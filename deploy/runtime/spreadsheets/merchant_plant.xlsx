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showInkAnnotation="0" codeName="ThisWorkbook" defaultThemeVersion="124226"/>
  <xr:revisionPtr revIDLastSave="0" documentId="13_ncr:1_{D4C99F66-FD11-489F-A891-07C46D0238B6}" xr6:coauthVersionLast="47" xr6:coauthVersionMax="47" xr10:uidLastSave="{00000000-0000-0000-0000-000000000000}"/>
  <bookViews>
    <workbookView xWindow="-120" yWindow="-120" windowWidth="29040" windowHeight="15720" tabRatio="734" xr2:uid="{00000000-000D-0000-FFFF-FFFF00000000}"/>
  </bookViews>
  <sheets>
    <sheet name="Inputs" sheetId="1" r:id="rId1"/>
    <sheet name="Cash Flow" sheetId="7" r:id="rId2"/>
    <sheet name="Depreciation Schedules" sheetId="4" r:id="rId3"/>
  </sheets>
  <definedNames>
    <definedName name="analysis_period">Inputs!$C$38</definedName>
    <definedName name="annual_fuel_usage">Inputs!$C$23</definedName>
    <definedName name="AnnualLandLease">Inputs!$D$215</definedName>
    <definedName name="AnnualOMCapacity">Inputs!$D$166</definedName>
    <definedName name="AnnualOMFixed">Inputs!$D$165</definedName>
    <definedName name="AnnualOMProduction">Inputs!$D$167</definedName>
    <definedName name="AnnualPBIFederal">Inputs!$D$179</definedName>
    <definedName name="AnnualPBIOther">Inputs!$D$182</definedName>
    <definedName name="AnnualPBIState">Inputs!$D$180</definedName>
    <definedName name="AnnualPBIUtility">Inputs!$D$181</definedName>
    <definedName name="AnnualPTCFederal">Inputs!$D$184</definedName>
    <definedName name="AnnualPTCState">Inputs!$D$185</definedName>
    <definedName name="AnnualTaxFederal">Inputs!$C$170</definedName>
    <definedName name="AnnualTaxState">Inputs!$C$169</definedName>
    <definedName name="batt_annual_discharge_energy">Inputs!$C$153</definedName>
    <definedName name="CapacityPayment">Inputs!$C$34</definedName>
    <definedName name="cbi_fed_amount">Inputs!$C$125</definedName>
    <definedName name="cbi_fed_deprbas_fed">Inputs!$G$125</definedName>
    <definedName name="cbi_fed_deprbas_sta">Inputs!$H$125</definedName>
    <definedName name="cbi_fed_maxvalue">Inputs!$D$125</definedName>
    <definedName name="cbi_fed_tax_fed">Inputs!$E$125</definedName>
    <definedName name="cbi_fed_tax_sta">Inputs!$F$125</definedName>
    <definedName name="cbi_oth_amount">Inputs!$C$128</definedName>
    <definedName name="cbi_oth_deprbas_fed">Inputs!$G$128</definedName>
    <definedName name="cbi_oth_deprbas_sta">Inputs!$H$128</definedName>
    <definedName name="cbi_oth_maxvalue">Inputs!$D$128</definedName>
    <definedName name="cbi_oth_tax_fed">Inputs!$E$128</definedName>
    <definedName name="cbi_oth_tax_sta">Inputs!$F$128</definedName>
    <definedName name="cbi_sta_amount">Inputs!$C$126</definedName>
    <definedName name="cbi_sta_deprbas_fed">Inputs!$G$126</definedName>
    <definedName name="cbi_sta_deprbas_sta">Inputs!$H$126</definedName>
    <definedName name="cbi_sta_maxvalue">Inputs!$D$126</definedName>
    <definedName name="cbi_sta_tax_fed">Inputs!$E$126</definedName>
    <definedName name="cbi_sta_tax_sta">Inputs!$F$126</definedName>
    <definedName name="cbi_uti_amount">Inputs!$C$127</definedName>
    <definedName name="cbi_uti_deprbas_fed">Inputs!$G$127</definedName>
    <definedName name="cbi_uti_deprbas_sta">Inputs!$H$127</definedName>
    <definedName name="cbi_uti_maxvalue">Inputs!$D$127</definedName>
    <definedName name="cbi_uti_tax_fed">Inputs!$E$127</definedName>
    <definedName name="cbi_uti_tax_sta">Inputs!$F$127</definedName>
    <definedName name="cf_ancillary_services_1_revenue">Inputs!$C$157</definedName>
    <definedName name="cf_ancillary_services_2_revenue">Inputs!$C$158</definedName>
    <definedName name="cf_ancillary_services_3_revenue">Inputs!$C$159</definedName>
    <definedName name="cf_ancillary_services_4_revenue">Inputs!$C$160</definedName>
    <definedName name="cf_annual_cost_lcos">Inputs!$C$212</definedName>
    <definedName name="cf_annual_discharge_lcos">Inputs!$C$213</definedName>
    <definedName name="cf_battery_replacement_cost">Inputs!$C$192</definedName>
    <definedName name="cf_capacity_payment">Inputs!$C$162</definedName>
    <definedName name="cf_curtailment_value">Inputs!$C$161</definedName>
    <definedName name="cf_disbursement_debtservice">Inputs!$C$207</definedName>
    <definedName name="cf_energy_market_revenue">Inputs!$C$156</definedName>
    <definedName name="cf_energy_net">Inputs!$C$151</definedName>
    <definedName name="cf_energy_purchases">Inputs!$C$150</definedName>
    <definedName name="cf_energy_sales">Inputs!$C$149</definedName>
    <definedName name="cf_energy_without_battery">Inputs!$C$152</definedName>
    <definedName name="cf_fuelcell_replacement_cost">Inputs!$C$197</definedName>
    <definedName name="cf_funding_debtservice">Inputs!$C$206</definedName>
    <definedName name="cf_om_capacity1_expense">Inputs!$C$190</definedName>
    <definedName name="cf_om_capacity2_expense">Inputs!$C$195</definedName>
    <definedName name="cf_om_fixed1_expense">Inputs!$C$189</definedName>
    <definedName name="cf_om_fixed2_expense">Inputs!$C$194</definedName>
    <definedName name="cf_om_fuel_expense">Inputs!$C$200</definedName>
    <definedName name="cf_om_opt_fuel_1_expense">Inputs!$C$201</definedName>
    <definedName name="cf_om_opt_fuel_2_expense">Inputs!$C$202</definedName>
    <definedName name="cf_om_production1_expense">Inputs!$C$191</definedName>
    <definedName name="cf_om_production2_expense">Inputs!$C$196</definedName>
    <definedName name="cf_recapitalization">Inputs!$C$204</definedName>
    <definedName name="cf_reserve_debtservice">Inputs!$C$208</definedName>
    <definedName name="cf_thermal_value">Inputs!$C$163</definedName>
    <definedName name="cf_utility_bill">Inputs!$C$187</definedName>
    <definedName name="const_per_interest_rate1">Inputs!$F$80</definedName>
    <definedName name="const_per_interest_rate2">Inputs!$F$81</definedName>
    <definedName name="const_per_interest_rate3">Inputs!$F$82</definedName>
    <definedName name="const_per_interest_rate4">Inputs!$F$83</definedName>
    <definedName name="const_per_interest_rate5">Inputs!$F$84</definedName>
    <definedName name="const_per_months1">Inputs!$E$80</definedName>
    <definedName name="const_per_months2">Inputs!$E$81</definedName>
    <definedName name="const_per_months3">Inputs!$E$82</definedName>
    <definedName name="const_per_months4">Inputs!$E$83</definedName>
    <definedName name="const_per_months5">Inputs!$E$84</definedName>
    <definedName name="const_per_percent1">Inputs!$C$80</definedName>
    <definedName name="const_per_percent2">Inputs!$C$81</definedName>
    <definedName name="const_per_percent3">Inputs!$C$82</definedName>
    <definedName name="const_per_percent4">Inputs!$C$83</definedName>
    <definedName name="const_per_percent5">Inputs!$C$84</definedName>
    <definedName name="const_per_upfront_rate1">Inputs!$D$80</definedName>
    <definedName name="const_per_upfront_rate2">Inputs!$D$81</definedName>
    <definedName name="const_per_upfront_rate3">Inputs!$D$82</definedName>
    <definedName name="const_per_upfront_rate4">Inputs!$D$83</definedName>
    <definedName name="const_per_upfront_rate5">Inputs!$D$84</definedName>
    <definedName name="construction_financing_cost">Inputs!$C$76</definedName>
    <definedName name="cost_debt_closing">Inputs!$C$68</definedName>
    <definedName name="cost_debt_fee">Inputs!$C$69</definedName>
    <definedName name="cost_other_financing">Inputs!$C$73</definedName>
    <definedName name="CostDebtUpfront">Inputs!$C$70</definedName>
    <definedName name="DebtPayment">Inputs!$C$63</definedName>
    <definedName name="DebtPercent">Inputs!$C$58</definedName>
    <definedName name="DebtServiceCoverageRatio">Inputs!$C$60</definedName>
    <definedName name="depr_alloc_custom_percent">Inputs!$C$143</definedName>
    <definedName name="depr_alloc_macrs_15_percent">Inputs!$C$138</definedName>
    <definedName name="depr_alloc_macrs_5_percent">Inputs!$C$137</definedName>
    <definedName name="depr_alloc_sl_15_percent">Inputs!$C$140</definedName>
    <definedName name="depr_alloc_sl_20_percent">Inputs!$C$141</definedName>
    <definedName name="depr_alloc_sl_39_percent">Inputs!$C$142</definedName>
    <definedName name="depr_alloc_sl_5_percent">Inputs!$C$139</definedName>
    <definedName name="depr_bonus_fed">Inputs!$D$144</definedName>
    <definedName name="depr_bonus_fed_custom">Inputs!$D$143</definedName>
    <definedName name="depr_bonus_fed_macrs_15">Inputs!$D$138</definedName>
    <definedName name="depr_bonus_fed_macrs_5">Inputs!$D$137</definedName>
    <definedName name="depr_bonus_fed_sl_15">Inputs!$D$140</definedName>
    <definedName name="depr_bonus_fed_sl_20">Inputs!$D$141</definedName>
    <definedName name="depr_bonus_fed_sl_39">Inputs!$D$142</definedName>
    <definedName name="depr_bonus_fed_sl_5">Inputs!$D$139</definedName>
    <definedName name="depr_bonus_sta">Inputs!$E$144</definedName>
    <definedName name="depr_bonus_sta_custom">Inputs!$E$143</definedName>
    <definedName name="depr_bonus_sta_macrs_15">Inputs!$E$138</definedName>
    <definedName name="depr_bonus_sta_macrs_5">Inputs!$E$137</definedName>
    <definedName name="depr_bonus_sta_sl_15">Inputs!$E$140</definedName>
    <definedName name="depr_bonus_sta_sl_20">Inputs!$E$141</definedName>
    <definedName name="depr_bonus_sta_sl_39">Inputs!$E$142</definedName>
    <definedName name="depr_bonus_sta_sl_5">Inputs!$E$139</definedName>
    <definedName name="depr_custom_schedule">Inputs!$D$210</definedName>
    <definedName name="depr_itc_fed_custom">Inputs!$F$143</definedName>
    <definedName name="depr_itc_fed_macrs_15">Inputs!$F$138</definedName>
    <definedName name="depr_itc_fed_macrs_5">Inputs!$F$137</definedName>
    <definedName name="depr_itc_fed_sl_15">Inputs!$F$140</definedName>
    <definedName name="depr_itc_fed_sl_20">Inputs!$F$141</definedName>
    <definedName name="depr_itc_fed_sl_39">Inputs!$F$142</definedName>
    <definedName name="depr_itc_fed_sl_5">Inputs!$F$139</definedName>
    <definedName name="depr_itc_sta_custom">Inputs!$G$143</definedName>
    <definedName name="depr_itc_sta_macrs_15">Inputs!$G$138</definedName>
    <definedName name="depr_itc_sta_macrs_5">Inputs!$G$137</definedName>
    <definedName name="depr_itc_sta_sl_15">Inputs!$G$140</definedName>
    <definedName name="depr_itc_sta_sl_20">Inputs!$G$141</definedName>
    <definedName name="depr_itc_sta_sl_39">Inputs!$G$142</definedName>
    <definedName name="depr_itc_sta_sl_5">Inputs!$G$139</definedName>
    <definedName name="dscr_limit_debt_fraction">Inputs!$C$61</definedName>
    <definedName name="dscr_maximum_debt_fraction">Inputs!$C$62</definedName>
    <definedName name="dscr_reserve_months">Inputs!$C$90</definedName>
    <definedName name="equip_reserve_depr_fed">Inputs!$C$97</definedName>
    <definedName name="equip_reserve_depr_sta">Inputs!$C$98</definedName>
    <definedName name="equip1_reserve_cost">Inputs!$C$93</definedName>
    <definedName name="equip1_reserve_freq">Inputs!$E$93</definedName>
    <definedName name="equip2_reserve_cost">Inputs!$C$94</definedName>
    <definedName name="equip2_reserve_freq">Inputs!$E$94</definedName>
    <definedName name="equip3_reserve_cost">Inputs!$C$95</definedName>
    <definedName name="equip3_reserve_freq">Inputs!$E$95</definedName>
    <definedName name="federal_tax_rate">Inputs!$C$43</definedName>
    <definedName name="fuelcell_annual_energy_discharged">Inputs!$C$154</definedName>
    <definedName name="FuelCellFuel">Inputs!$C$200</definedName>
    <definedName name="ibi_fed_amount">Inputs!$C$115</definedName>
    <definedName name="ibi_fed_amount_deprbas_fed">Inputs!$G$115</definedName>
    <definedName name="ibi_fed_amount_deprbas_sta">Inputs!$H$115</definedName>
    <definedName name="ibi_fed_amount_tax_fed">Inputs!$E$115</definedName>
    <definedName name="ibi_fed_amount_tax_sta">Inputs!$F$115</definedName>
    <definedName name="ibi_fed_percent">Inputs!$C$120</definedName>
    <definedName name="ibi_fed_percent_deprbas_fed">Inputs!$G$120</definedName>
    <definedName name="ibi_fed_percent_deprbas_sta">Inputs!$H$120</definedName>
    <definedName name="ibi_fed_percent_maxvalue">Inputs!$D$120</definedName>
    <definedName name="ibi_fed_percent_tax_fed">Inputs!$E$120</definedName>
    <definedName name="ibi_fed_percent_tax_sta">Inputs!$F$120</definedName>
    <definedName name="ibi_oth_amount">Inputs!$C$118</definedName>
    <definedName name="ibi_oth_amount_deprbas_fed">Inputs!$G$118</definedName>
    <definedName name="ibi_oth_amount_deprbas_sta">Inputs!$H$118</definedName>
    <definedName name="ibi_oth_amount_tax_fed">Inputs!$E$118</definedName>
    <definedName name="ibi_oth_amount_tax_sta">Inputs!$F$118</definedName>
    <definedName name="ibi_oth_percent">Inputs!$C$123</definedName>
    <definedName name="ibi_oth_percent_deprbas_fed">Inputs!$G$123</definedName>
    <definedName name="ibi_oth_percent_deprbas_sta">Inputs!$H$123</definedName>
    <definedName name="ibi_oth_percent_maxvalue">Inputs!$D$123</definedName>
    <definedName name="ibi_oth_percent_tax_fed">Inputs!$E$123</definedName>
    <definedName name="ibi_oth_percent_tax_sta">Inputs!$F$123</definedName>
    <definedName name="ibi_sta_amount">Inputs!$C$116</definedName>
    <definedName name="ibi_sta_amount_deprbas_fed">Inputs!$G$116</definedName>
    <definedName name="ibi_sta_amount_deprbas_sta">Inputs!$H$116</definedName>
    <definedName name="ibi_sta_amount_tax_fed">Inputs!$E$116</definedName>
    <definedName name="ibi_sta_amount_tax_sta">Inputs!$F$116</definedName>
    <definedName name="ibi_sta_percent">Inputs!$C$121</definedName>
    <definedName name="ibi_sta_percent_deprbas_fed">Inputs!$G$121</definedName>
    <definedName name="ibi_sta_percent_deprbas_sta">Inputs!$H$121</definedName>
    <definedName name="ibi_sta_percent_maxvalue">Inputs!$D$121</definedName>
    <definedName name="ibi_sta_percent_tax_fed">Inputs!$E$121</definedName>
    <definedName name="ibi_sta_percent_tax_sta">Inputs!$F$121</definedName>
    <definedName name="ibi_uti_amount">Inputs!$C$117</definedName>
    <definedName name="ibi_uti_amount_deprbas_fed">Inputs!$G$117</definedName>
    <definedName name="ibi_uti_amount_deprbas_sta">Inputs!$H$117</definedName>
    <definedName name="ibi_uti_amount_tax_fed">Inputs!$E$117</definedName>
    <definedName name="ibi_uti_amount_tax_sta">Inputs!$F$117</definedName>
    <definedName name="ibi_uti_percent">Inputs!$C$122</definedName>
    <definedName name="ibi_uti_percent_deprbas_fed">Inputs!$G$122</definedName>
    <definedName name="ibi_uti_percent_deprbas_sta">Inputs!$H$122</definedName>
    <definedName name="ibi_uti_percent_maxvalue">Inputs!$D$122</definedName>
    <definedName name="ibi_uti_percent_tax_fed">Inputs!$E$122</definedName>
    <definedName name="ibi_uti_percent_tax_sta">Inputs!$F$122</definedName>
    <definedName name="inflation_rate">Inputs!$C$39</definedName>
    <definedName name="insurance_rate">Inputs!$C$46</definedName>
    <definedName name="itc_fed_amount">Inputs!$D$172</definedName>
    <definedName name="itc_fed_amount_deprbas_fed">Inputs!$E$103</definedName>
    <definedName name="itc_fed_amount_deprbas_sta">Inputs!$F$103</definedName>
    <definedName name="itc_fed_percent">Inputs!$D$174</definedName>
    <definedName name="itc_fed_percent_deprbas_fed">Inputs!$E$106</definedName>
    <definedName name="itc_fed_percent_deprbas_sta">Inputs!$F$106</definedName>
    <definedName name="itc_fed_percent_maxvalue">Inputs!$D$175</definedName>
    <definedName name="itc_sta_amount">Inputs!$D$173</definedName>
    <definedName name="itc_sta_amount_deprbas_fed">Inputs!$E$104</definedName>
    <definedName name="itc_sta_amount_deprbas_sta">Inputs!$F$104</definedName>
    <definedName name="itc_sta_percent">Inputs!$D$176</definedName>
    <definedName name="itc_sta_percent_deprbas_fed">Inputs!$E$107</definedName>
    <definedName name="itc_sta_percent_deprbas_sta">Inputs!$F$107</definedName>
    <definedName name="itc_sta_percent_maxvalue">Inputs!$D$177</definedName>
    <definedName name="loan_moratorium">Inputs!$C$66</definedName>
    <definedName name="months_receivables_reserve">Inputs!$C$91</definedName>
    <definedName name="months_working_reserve">Inputs!$C$89</definedName>
    <definedName name="MortgageSizeOfDebt">Inputs!$C$59</definedName>
    <definedName name="mp_enable_ancserv1">Inputs!$C$30</definedName>
    <definedName name="mp_enable_ancserv2">Inputs!$C$31</definedName>
    <definedName name="mp_enable_ancserv3">Inputs!$C$32</definedName>
    <definedName name="mp_enable_ancserv4">Inputs!$C$33</definedName>
    <definedName name="mp_enable_energy_market_revenue">Inputs!$C$29</definedName>
    <definedName name="NominalDiscountRate">Inputs!$C$41</definedName>
    <definedName name="om_capacity">Inputs!$C$11</definedName>
    <definedName name="om_capacity_escal">Inputs!$C$12</definedName>
    <definedName name="om_fixed">Inputs!$C$9</definedName>
    <definedName name="om_fixed_escal">Inputs!$C$10</definedName>
    <definedName name="om_fuel_cost">Inputs!$C$25</definedName>
    <definedName name="om_fuel_cost_escal">Inputs!$C$26</definedName>
    <definedName name="om_land_lease">Inputs!$C$18</definedName>
    <definedName name="om_land_lease_escal">Inputs!$C$19</definedName>
    <definedName name="om_production">Inputs!$C$13</definedName>
    <definedName name="om_production_escal">Inputs!$C$14</definedName>
    <definedName name="pbi_fed_amount">Inputs!$C$130</definedName>
    <definedName name="pbi_fed_escal">Inputs!$E$130</definedName>
    <definedName name="pbi_fed_for_ds">Inputs!$H$130</definedName>
    <definedName name="pbi_fed_tax_fed">Inputs!$F$130</definedName>
    <definedName name="pbi_fed_tax_sta">Inputs!$G$130</definedName>
    <definedName name="pbi_fed_term">Inputs!$D$130</definedName>
    <definedName name="pbi_oth_amount">Inputs!$C$133</definedName>
    <definedName name="pbi_oth_escal">Inputs!$E$133</definedName>
    <definedName name="pbi_oth_for_ds">Inputs!$H$133</definedName>
    <definedName name="pbi_oth_tax_fed">Inputs!$F$133</definedName>
    <definedName name="pbi_oth_tax_sta">Inputs!$G$133</definedName>
    <definedName name="pbi_oth_term">Inputs!$D$133</definedName>
    <definedName name="pbi_sta_amount">Inputs!$C$131</definedName>
    <definedName name="pbi_sta_escal">Inputs!$E$131</definedName>
    <definedName name="pbi_sta_for_ds">Inputs!$H$131</definedName>
    <definedName name="pbi_sta_tax_fed">Inputs!$F$131</definedName>
    <definedName name="pbi_sta_tax_sta">Inputs!$G$131</definedName>
    <definedName name="pbi_sta_term">Inputs!$D$131</definedName>
    <definedName name="pbi_uti_amount">Inputs!$C$132</definedName>
    <definedName name="pbi_uti_escal">Inputs!$E$132</definedName>
    <definedName name="pbi_uti_for_ds">Inputs!$H$132</definedName>
    <definedName name="pbi_uti_tax_fed">Inputs!$F$132</definedName>
    <definedName name="pbi_uti_tax_sta">Inputs!$G$132</definedName>
    <definedName name="pbi_uti_term">Inputs!$D$132</definedName>
    <definedName name="prop_tax_assessed_decline">Inputs!$C$50</definedName>
    <definedName name="prop_tax_cost_assessed_percent">Inputs!$C$48</definedName>
    <definedName name="property_tax_rate">Inputs!$C$51</definedName>
    <definedName name="PropertyTaxAssessedValue">Inputs!$C$49</definedName>
    <definedName name="ptc_fed_amount">Inputs!$C$109</definedName>
    <definedName name="ptc_fed_escal">Inputs!$E$109</definedName>
    <definedName name="ptc_fed_term">Inputs!$D$109</definedName>
    <definedName name="ptc_sta_amount">Inputs!$C$110</definedName>
    <definedName name="ptc_sta_escal">Inputs!$E$110</definedName>
    <definedName name="ptc_sta_term">Inputs!$D$110</definedName>
    <definedName name="real_discount_rate">Inputs!$C$40</definedName>
    <definedName name="reserves_interest">Inputs!$C$88</definedName>
    <definedName name="sales_tax_rate">Inputs!$C$45</definedName>
    <definedName name="salvage_percentage">Inputs!$C$53</definedName>
    <definedName name="solver_adj" localSheetId="0" hidden="1">Inputs!#REF!</definedName>
    <definedName name="solver_cvg" localSheetId="0" hidden="1">0.0001</definedName>
    <definedName name="solver_drv" localSheetId="0" hidden="1">1</definedName>
    <definedName name="solver_est" localSheetId="0" hidden="1">1</definedName>
    <definedName name="solver_itr" localSheetId="0" hidden="1">100</definedName>
    <definedName name="solver_lin" localSheetId="0" hidden="1">2</definedName>
    <definedName name="solver_neg" localSheetId="0" hidden="1">2</definedName>
    <definedName name="solver_num" localSheetId="0" hidden="1">0</definedName>
    <definedName name="solver_nwt" localSheetId="0" hidden="1">1</definedName>
    <definedName name="solver_opt" localSheetId="0" hidden="1">Inputs!#REF!</definedName>
    <definedName name="solver_pre" localSheetId="0" hidden="1">0.000001</definedName>
    <definedName name="solver_scl" localSheetId="0" hidden="1">2</definedName>
    <definedName name="solver_sho" localSheetId="0" hidden="1">2</definedName>
    <definedName name="solver_tim" localSheetId="0" hidden="1">100</definedName>
    <definedName name="solver_tol" localSheetId="0" hidden="1">0.05</definedName>
    <definedName name="solver_typ" localSheetId="0" hidden="1">3</definedName>
    <definedName name="solver_val" localSheetId="0" hidden="1">0.1</definedName>
    <definedName name="state_tax_rate">Inputs!$C$44</definedName>
    <definedName name="system_capacity">Inputs!$C$3</definedName>
    <definedName name="system_heat_rate">Inputs!$C$24</definedName>
    <definedName name="term_int_rate">Inputs!$C$67</definedName>
    <definedName name="term_tenor">Inputs!$C$65</definedName>
    <definedName name="total_installed_cost">Inputs!$C$6</definedName>
    <definedName name="total_land_area">Inputs!$C$17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95" i="1" l="1"/>
  <c r="D94" i="1"/>
  <c r="D93" i="1"/>
  <c r="B247" i="7"/>
  <c r="G259" i="7"/>
  <c r="B244" i="7"/>
  <c r="B246" i="7"/>
  <c r="B245" i="7"/>
  <c r="C531" i="7" a="1"/>
  <c r="C531" i="7" s="1"/>
  <c r="C532" i="7" a="1"/>
  <c r="C532" i="7" s="1"/>
  <c r="B248" i="7" l="1"/>
  <c r="N532" i="7"/>
  <c r="L532" i="7"/>
  <c r="J532" i="7"/>
  <c r="H532" i="7"/>
  <c r="F532" i="7"/>
  <c r="D532" i="7"/>
  <c r="AP532" i="7"/>
  <c r="AN532" i="7"/>
  <c r="AL532" i="7"/>
  <c r="AJ532" i="7"/>
  <c r="AH532" i="7"/>
  <c r="AF532" i="7"/>
  <c r="AD532" i="7"/>
  <c r="AB532" i="7"/>
  <c r="Z532" i="7"/>
  <c r="X532" i="7"/>
  <c r="V532" i="7"/>
  <c r="T532" i="7"/>
  <c r="R532" i="7"/>
  <c r="P532" i="7"/>
  <c r="AP531" i="7"/>
  <c r="AL531" i="7"/>
  <c r="AH531" i="7"/>
  <c r="AD531" i="7"/>
  <c r="Z531" i="7"/>
  <c r="V531" i="7"/>
  <c r="R531" i="7"/>
  <c r="N531" i="7"/>
  <c r="J531" i="7"/>
  <c r="F531" i="7"/>
  <c r="AO531" i="7"/>
  <c r="AK531" i="7"/>
  <c r="AG531" i="7"/>
  <c r="AC531" i="7"/>
  <c r="Y531" i="7"/>
  <c r="U531" i="7"/>
  <c r="Q531" i="7"/>
  <c r="M531" i="7"/>
  <c r="I531" i="7"/>
  <c r="E531" i="7"/>
  <c r="AN531" i="7"/>
  <c r="AJ531" i="7"/>
  <c r="AF531" i="7"/>
  <c r="AB531" i="7"/>
  <c r="X531" i="7"/>
  <c r="T531" i="7"/>
  <c r="P531" i="7"/>
  <c r="L531" i="7"/>
  <c r="H531" i="7"/>
  <c r="D531" i="7"/>
  <c r="AM531" i="7"/>
  <c r="AI531" i="7"/>
  <c r="AE531" i="7"/>
  <c r="AA531" i="7"/>
  <c r="W531" i="7"/>
  <c r="S531" i="7"/>
  <c r="O531" i="7"/>
  <c r="K531" i="7"/>
  <c r="G531" i="7"/>
  <c r="AO532" i="7"/>
  <c r="AK532" i="7"/>
  <c r="AG532" i="7"/>
  <c r="AC532" i="7"/>
  <c r="Y532" i="7"/>
  <c r="U532" i="7"/>
  <c r="Q532" i="7"/>
  <c r="M532" i="7"/>
  <c r="I532" i="7"/>
  <c r="E532" i="7"/>
  <c r="AM532" i="7"/>
  <c r="AI532" i="7"/>
  <c r="AE532" i="7"/>
  <c r="AA532" i="7"/>
  <c r="W532" i="7"/>
  <c r="S532" i="7"/>
  <c r="O532" i="7"/>
  <c r="K532" i="7"/>
  <c r="G532" i="7"/>
  <c r="C538" i="7" l="1" a="1"/>
  <c r="E538" i="7" s="1"/>
  <c r="C537" i="7" a="1"/>
  <c r="F537" i="7" s="1"/>
  <c r="C536" i="7" a="1"/>
  <c r="E536" i="7" s="1"/>
  <c r="C530" i="7" a="1"/>
  <c r="E530" i="7" s="1"/>
  <c r="D107" i="1"/>
  <c r="D106" i="1"/>
  <c r="C107" i="1"/>
  <c r="C106" i="1"/>
  <c r="C104" i="1"/>
  <c r="C103" i="1"/>
  <c r="N530" i="7" l="1"/>
  <c r="L530" i="7"/>
  <c r="K530" i="7"/>
  <c r="J530" i="7"/>
  <c r="H530" i="7"/>
  <c r="AP538" i="7"/>
  <c r="AN538" i="7"/>
  <c r="AM538" i="7"/>
  <c r="AL538" i="7"/>
  <c r="AN530" i="7"/>
  <c r="AJ538" i="7"/>
  <c r="AM530" i="7"/>
  <c r="AI538" i="7"/>
  <c r="AL530" i="7"/>
  <c r="AH538" i="7"/>
  <c r="AJ530" i="7"/>
  <c r="AF538" i="7"/>
  <c r="AI530" i="7"/>
  <c r="AE538" i="7"/>
  <c r="AH530" i="7"/>
  <c r="O538" i="7"/>
  <c r="V530" i="7"/>
  <c r="N538" i="7"/>
  <c r="T530" i="7"/>
  <c r="L538" i="7"/>
  <c r="S530" i="7"/>
  <c r="K538" i="7"/>
  <c r="R530" i="7"/>
  <c r="J538" i="7"/>
  <c r="P530" i="7"/>
  <c r="H538" i="7"/>
  <c r="O530" i="7"/>
  <c r="AM536" i="7"/>
  <c r="F536" i="7"/>
  <c r="AL536" i="7"/>
  <c r="D536" i="7"/>
  <c r="AJ536" i="7"/>
  <c r="C536" i="7"/>
  <c r="AI536" i="7"/>
  <c r="AH536" i="7"/>
  <c r="AD536" i="7"/>
  <c r="Z536" i="7"/>
  <c r="X536" i="7"/>
  <c r="V536" i="7"/>
  <c r="R536" i="7"/>
  <c r="G530" i="7"/>
  <c r="F530" i="7"/>
  <c r="N536" i="7"/>
  <c r="D530" i="7"/>
  <c r="L536" i="7"/>
  <c r="C530" i="7"/>
  <c r="K536" i="7"/>
  <c r="G538" i="7"/>
  <c r="F538" i="7"/>
  <c r="AE536" i="7"/>
  <c r="S536" i="7"/>
  <c r="J536" i="7"/>
  <c r="AP536" i="7"/>
  <c r="H536" i="7"/>
  <c r="D538" i="7"/>
  <c r="AB536" i="7"/>
  <c r="AA536" i="7"/>
  <c r="W536" i="7"/>
  <c r="T536" i="7"/>
  <c r="P536" i="7"/>
  <c r="O536" i="7"/>
  <c r="AP530" i="7"/>
  <c r="AN536" i="7"/>
  <c r="G536" i="7"/>
  <c r="AN537" i="7"/>
  <c r="AM537" i="7"/>
  <c r="G537" i="7"/>
  <c r="AL537" i="7"/>
  <c r="AJ537" i="7"/>
  <c r="AH537" i="7"/>
  <c r="AE537" i="7"/>
  <c r="AD537" i="7"/>
  <c r="Z537" i="7"/>
  <c r="X537" i="7"/>
  <c r="W537" i="7"/>
  <c r="AD538" i="7"/>
  <c r="V537" i="7"/>
  <c r="AB538" i="7"/>
  <c r="T537" i="7"/>
  <c r="AA538" i="7"/>
  <c r="AF530" i="7"/>
  <c r="S537" i="7"/>
  <c r="Z538" i="7"/>
  <c r="AE530" i="7"/>
  <c r="R537" i="7"/>
  <c r="X538" i="7"/>
  <c r="AD530" i="7"/>
  <c r="P537" i="7"/>
  <c r="W538" i="7"/>
  <c r="AB530" i="7"/>
  <c r="O537" i="7"/>
  <c r="V538" i="7"/>
  <c r="AA530" i="7"/>
  <c r="N537" i="7"/>
  <c r="T538" i="7"/>
  <c r="Z530" i="7"/>
  <c r="L537" i="7"/>
  <c r="S538" i="7"/>
  <c r="X530" i="7"/>
  <c r="K537" i="7"/>
  <c r="R538" i="7"/>
  <c r="W530" i="7"/>
  <c r="AF536" i="7"/>
  <c r="AP537" i="7"/>
  <c r="J537" i="7"/>
  <c r="P538" i="7"/>
  <c r="H537" i="7"/>
  <c r="D537" i="7"/>
  <c r="AI537" i="7"/>
  <c r="AB537" i="7"/>
  <c r="C538" i="7"/>
  <c r="AF537" i="7"/>
  <c r="AA537" i="7"/>
  <c r="AO538" i="7"/>
  <c r="AK538" i="7"/>
  <c r="AG538" i="7"/>
  <c r="AC538" i="7"/>
  <c r="Y538" i="7"/>
  <c r="U538" i="7"/>
  <c r="Q538" i="7"/>
  <c r="M538" i="7"/>
  <c r="I538" i="7"/>
  <c r="AO537" i="7"/>
  <c r="AK537" i="7"/>
  <c r="AG537" i="7"/>
  <c r="AC537" i="7"/>
  <c r="Y537" i="7"/>
  <c r="U537" i="7"/>
  <c r="Q537" i="7"/>
  <c r="M537" i="7"/>
  <c r="I537" i="7"/>
  <c r="E537" i="7"/>
  <c r="C537" i="7"/>
  <c r="AO536" i="7"/>
  <c r="AK536" i="7"/>
  <c r="AG536" i="7"/>
  <c r="AC536" i="7"/>
  <c r="Y536" i="7"/>
  <c r="U536" i="7"/>
  <c r="Q536" i="7"/>
  <c r="M536" i="7"/>
  <c r="I536" i="7"/>
  <c r="AO530" i="7"/>
  <c r="AK530" i="7"/>
  <c r="AG530" i="7"/>
  <c r="AC530" i="7"/>
  <c r="Y530" i="7"/>
  <c r="U530" i="7"/>
  <c r="Q530" i="7"/>
  <c r="M530" i="7"/>
  <c r="I530" i="7"/>
  <c r="K260" i="7" l="1"/>
  <c r="K398" i="7"/>
  <c r="F12" i="1"/>
  <c r="AP640" i="7" l="1"/>
  <c r="B19" i="7" a="1"/>
  <c r="C19" i="7" s="1"/>
  <c r="O21" i="7" l="1"/>
  <c r="X20" i="7"/>
  <c r="AG19" i="7"/>
  <c r="J19" i="7"/>
  <c r="W21" i="7"/>
  <c r="AO20" i="7"/>
  <c r="AE21" i="7"/>
  <c r="AN20" i="7"/>
  <c r="Q20" i="7"/>
  <c r="AK19" i="7"/>
  <c r="Q19" i="7"/>
  <c r="E19" i="7"/>
  <c r="X21" i="7"/>
  <c r="AG20" i="7"/>
  <c r="AP19" i="7"/>
  <c r="U19" i="7"/>
  <c r="K21" i="7"/>
  <c r="T20" i="7"/>
  <c r="AN21" i="7"/>
  <c r="S21" i="7"/>
  <c r="H21" i="7"/>
  <c r="AB20" i="7"/>
  <c r="H20" i="7"/>
  <c r="Z19" i="7"/>
  <c r="AM21" i="7"/>
  <c r="AA21" i="7"/>
  <c r="P21" i="7"/>
  <c r="G21" i="7"/>
  <c r="AJ20" i="7"/>
  <c r="Y20" i="7"/>
  <c r="P20" i="7"/>
  <c r="D20" i="7"/>
  <c r="AH19" i="7"/>
  <c r="Y19" i="7"/>
  <c r="M19" i="7"/>
  <c r="B19" i="7"/>
  <c r="AI21" i="7"/>
  <c r="C21" i="7"/>
  <c r="L20" i="7"/>
  <c r="AF21" i="7"/>
  <c r="AF20" i="7"/>
  <c r="I20" i="7"/>
  <c r="AO19" i="7"/>
  <c r="AC19" i="7"/>
  <c r="R19" i="7"/>
  <c r="I19" i="7"/>
  <c r="AJ21" i="7"/>
  <c r="AB21" i="7"/>
  <c r="T21" i="7"/>
  <c r="L21" i="7"/>
  <c r="D21" i="7"/>
  <c r="AK20" i="7"/>
  <c r="AC20" i="7"/>
  <c r="U20" i="7"/>
  <c r="M20" i="7"/>
  <c r="E20" i="7"/>
  <c r="AL19" i="7"/>
  <c r="AD19" i="7"/>
  <c r="V19" i="7"/>
  <c r="N19" i="7"/>
  <c r="F19" i="7"/>
  <c r="AP21" i="7"/>
  <c r="R21" i="7"/>
  <c r="W20" i="7"/>
  <c r="S20" i="7"/>
  <c r="O20" i="7"/>
  <c r="K20" i="7"/>
  <c r="G20" i="7"/>
  <c r="C20" i="7"/>
  <c r="AN19" i="7"/>
  <c r="AJ19" i="7"/>
  <c r="AF19" i="7"/>
  <c r="AB19" i="7"/>
  <c r="X19" i="7"/>
  <c r="T19" i="7"/>
  <c r="P19" i="7"/>
  <c r="L19" i="7"/>
  <c r="H19" i="7"/>
  <c r="D19" i="7"/>
  <c r="AL21" i="7"/>
  <c r="AH21" i="7"/>
  <c r="AD21" i="7"/>
  <c r="Z21" i="7"/>
  <c r="V21" i="7"/>
  <c r="N21" i="7"/>
  <c r="J21" i="7"/>
  <c r="F21" i="7"/>
  <c r="B21" i="7"/>
  <c r="AM20" i="7"/>
  <c r="AI20" i="7"/>
  <c r="AE20" i="7"/>
  <c r="AA20" i="7"/>
  <c r="AO21" i="7"/>
  <c r="AK21" i="7"/>
  <c r="AG21" i="7"/>
  <c r="AC21" i="7"/>
  <c r="Y21" i="7"/>
  <c r="U21" i="7"/>
  <c r="Q21" i="7"/>
  <c r="M21" i="7"/>
  <c r="I21" i="7"/>
  <c r="E21" i="7"/>
  <c r="AP20" i="7"/>
  <c r="AL20" i="7"/>
  <c r="AH20" i="7"/>
  <c r="AD20" i="7"/>
  <c r="Z20" i="7"/>
  <c r="V20" i="7"/>
  <c r="R20" i="7"/>
  <c r="N20" i="7"/>
  <c r="J20" i="7"/>
  <c r="F20" i="7"/>
  <c r="B20" i="7"/>
  <c r="AM19" i="7"/>
  <c r="AI19" i="7"/>
  <c r="AE19" i="7"/>
  <c r="AA19" i="7"/>
  <c r="W19" i="7"/>
  <c r="S19" i="7"/>
  <c r="O19" i="7"/>
  <c r="K19" i="7"/>
  <c r="G19" i="7"/>
  <c r="B157" i="7" l="1" a="1"/>
  <c r="D157" i="7" s="1"/>
  <c r="B60" i="7" a="1"/>
  <c r="B60" i="7" s="1"/>
  <c r="B57" i="7" a="1"/>
  <c r="F57" i="7" s="1"/>
  <c r="B52" i="7" a="1"/>
  <c r="H53" i="7" s="1"/>
  <c r="B47" i="7" a="1"/>
  <c r="K47" i="7" s="1"/>
  <c r="B45" i="7" a="1"/>
  <c r="B45" i="7" s="1"/>
  <c r="B607" i="7"/>
  <c r="B8" i="7" a="1"/>
  <c r="E8" i="7" s="1"/>
  <c r="B5" i="7" a="1"/>
  <c r="C5" i="7" s="1"/>
  <c r="C552" i="7" l="1"/>
  <c r="C546" i="7"/>
  <c r="C579" i="7"/>
  <c r="C583" i="7"/>
  <c r="C587" i="7"/>
  <c r="C591" i="7"/>
  <c r="AL158" i="7"/>
  <c r="AG158" i="7"/>
  <c r="AB158" i="7"/>
  <c r="V158" i="7"/>
  <c r="Q158" i="7"/>
  <c r="L158" i="7"/>
  <c r="F158" i="7"/>
  <c r="AP157" i="7"/>
  <c r="AK157" i="7"/>
  <c r="AE157" i="7"/>
  <c r="Z157" i="7"/>
  <c r="U157" i="7"/>
  <c r="O157" i="7"/>
  <c r="J157" i="7"/>
  <c r="E157" i="7"/>
  <c r="AP158" i="7"/>
  <c r="AK158" i="7"/>
  <c r="AF158" i="7"/>
  <c r="Z158" i="7"/>
  <c r="U158" i="7"/>
  <c r="P158" i="7"/>
  <c r="J158" i="7"/>
  <c r="E158" i="7"/>
  <c r="AO157" i="7"/>
  <c r="AI157" i="7"/>
  <c r="AD157" i="7"/>
  <c r="Y157" i="7"/>
  <c r="S157" i="7"/>
  <c r="N157" i="7"/>
  <c r="I157" i="7"/>
  <c r="C157" i="7"/>
  <c r="AN158" i="7"/>
  <c r="AH158" i="7"/>
  <c r="AC158" i="7"/>
  <c r="X158" i="7"/>
  <c r="R158" i="7"/>
  <c r="M158" i="7"/>
  <c r="H158" i="7"/>
  <c r="B158" i="7"/>
  <c r="AL157" i="7"/>
  <c r="AG157" i="7"/>
  <c r="AA157" i="7"/>
  <c r="V157" i="7"/>
  <c r="Q157" i="7"/>
  <c r="K157" i="7"/>
  <c r="F157" i="7"/>
  <c r="AO158" i="7"/>
  <c r="AJ158" i="7"/>
  <c r="AD158" i="7"/>
  <c r="Y158" i="7"/>
  <c r="T158" i="7"/>
  <c r="N158" i="7"/>
  <c r="I158" i="7"/>
  <c r="D158" i="7"/>
  <c r="AM157" i="7"/>
  <c r="AH157" i="7"/>
  <c r="AC157" i="7"/>
  <c r="W157" i="7"/>
  <c r="R157" i="7"/>
  <c r="M157" i="7"/>
  <c r="G157" i="7"/>
  <c r="B157" i="7"/>
  <c r="AM158" i="7"/>
  <c r="AI158" i="7"/>
  <c r="AE158" i="7"/>
  <c r="AA158" i="7"/>
  <c r="W158" i="7"/>
  <c r="S158" i="7"/>
  <c r="O158" i="7"/>
  <c r="K158" i="7"/>
  <c r="G158" i="7"/>
  <c r="C158" i="7"/>
  <c r="AN157" i="7"/>
  <c r="AJ157" i="7"/>
  <c r="AF157" i="7"/>
  <c r="AB157" i="7"/>
  <c r="X157" i="7"/>
  <c r="T157" i="7"/>
  <c r="P157" i="7"/>
  <c r="L157" i="7"/>
  <c r="H157" i="7"/>
  <c r="AA57" i="7"/>
  <c r="D59" i="7"/>
  <c r="AE59" i="7"/>
  <c r="N58" i="7"/>
  <c r="I49" i="7"/>
  <c r="AF50" i="7"/>
  <c r="Z48" i="7"/>
  <c r="AJ59" i="7"/>
  <c r="E59" i="7"/>
  <c r="R58" i="7"/>
  <c r="AG57" i="7"/>
  <c r="B57" i="7"/>
  <c r="H50" i="7"/>
  <c r="F48" i="7"/>
  <c r="T59" i="7"/>
  <c r="AH58" i="7"/>
  <c r="D58" i="7"/>
  <c r="Q57" i="7"/>
  <c r="AC49" i="7"/>
  <c r="P59" i="7"/>
  <c r="AC58" i="7"/>
  <c r="B58" i="7"/>
  <c r="M57" i="7"/>
  <c r="AA47" i="7"/>
  <c r="C47" i="7"/>
  <c r="AC56" i="7"/>
  <c r="I56" i="7"/>
  <c r="Z55" i="7"/>
  <c r="F55" i="7"/>
  <c r="AA54" i="7"/>
  <c r="C54" i="7"/>
  <c r="X53" i="7"/>
  <c r="D53" i="7"/>
  <c r="X50" i="7"/>
  <c r="D50" i="7"/>
  <c r="Y49" i="7"/>
  <c r="AP48" i="7"/>
  <c r="V48" i="7"/>
  <c r="B48" i="7"/>
  <c r="S47" i="7"/>
  <c r="AN50" i="7"/>
  <c r="T50" i="7"/>
  <c r="AO49" i="7"/>
  <c r="Q49" i="7"/>
  <c r="AL48" i="7"/>
  <c r="R48" i="7"/>
  <c r="AI47" i="7"/>
  <c r="O47" i="7"/>
  <c r="AO56" i="7"/>
  <c r="Q56" i="7"/>
  <c r="AL55" i="7"/>
  <c r="R55" i="7"/>
  <c r="AI54" i="7"/>
  <c r="O54" i="7"/>
  <c r="AJ53" i="7"/>
  <c r="L53" i="7"/>
  <c r="AO59" i="7"/>
  <c r="AA59" i="7"/>
  <c r="O59" i="7"/>
  <c r="AN58" i="7"/>
  <c r="Y58" i="7"/>
  <c r="M58" i="7"/>
  <c r="AL57" i="7"/>
  <c r="W57" i="7"/>
  <c r="K57" i="7"/>
  <c r="Y56" i="7"/>
  <c r="AP55" i="7"/>
  <c r="V55" i="7"/>
  <c r="B55" i="7"/>
  <c r="S54" i="7"/>
  <c r="AN53" i="7"/>
  <c r="T53" i="7"/>
  <c r="AJ50" i="7"/>
  <c r="P50" i="7"/>
  <c r="AG49" i="7"/>
  <c r="M49" i="7"/>
  <c r="AH48" i="7"/>
  <c r="J48" i="7"/>
  <c r="AE47" i="7"/>
  <c r="AG56" i="7"/>
  <c r="M56" i="7"/>
  <c r="AH55" i="7"/>
  <c r="J55" i="7"/>
  <c r="AE54" i="7"/>
  <c r="K54" i="7"/>
  <c r="AB53" i="7"/>
  <c r="AK59" i="7"/>
  <c r="Y59" i="7"/>
  <c r="I59" i="7"/>
  <c r="AJ58" i="7"/>
  <c r="X58" i="7"/>
  <c r="H58" i="7"/>
  <c r="AH57" i="7"/>
  <c r="V57" i="7"/>
  <c r="D57" i="7"/>
  <c r="C57" i="7"/>
  <c r="I57" i="7"/>
  <c r="N57" i="7"/>
  <c r="S57" i="7"/>
  <c r="Y57" i="7"/>
  <c r="AD57" i="7"/>
  <c r="AI57" i="7"/>
  <c r="AO57" i="7"/>
  <c r="E58" i="7"/>
  <c r="J58" i="7"/>
  <c r="P58" i="7"/>
  <c r="U58" i="7"/>
  <c r="Z58" i="7"/>
  <c r="AF58" i="7"/>
  <c r="AK58" i="7"/>
  <c r="AP58" i="7"/>
  <c r="G59" i="7"/>
  <c r="L59" i="7"/>
  <c r="Q59" i="7"/>
  <c r="W59" i="7"/>
  <c r="AB59" i="7"/>
  <c r="AG59" i="7"/>
  <c r="AM59" i="7"/>
  <c r="O57" i="7"/>
  <c r="F58" i="7"/>
  <c r="Q58" i="7"/>
  <c r="AB58" i="7"/>
  <c r="AG58" i="7"/>
  <c r="AL58" i="7"/>
  <c r="H59" i="7"/>
  <c r="M59" i="7"/>
  <c r="S59" i="7"/>
  <c r="AC59" i="7"/>
  <c r="AI59" i="7"/>
  <c r="E57" i="7"/>
  <c r="J57" i="7"/>
  <c r="U57" i="7"/>
  <c r="Z57" i="7"/>
  <c r="AE57" i="7"/>
  <c r="AK57" i="7"/>
  <c r="AP57" i="7"/>
  <c r="L58" i="7"/>
  <c r="V58" i="7"/>
  <c r="C59" i="7"/>
  <c r="X59" i="7"/>
  <c r="AN59" i="7"/>
  <c r="E47" i="7"/>
  <c r="G47" i="7"/>
  <c r="W47" i="7"/>
  <c r="AM47" i="7"/>
  <c r="N48" i="7"/>
  <c r="AD48" i="7"/>
  <c r="E49" i="7"/>
  <c r="U49" i="7"/>
  <c r="AK49" i="7"/>
  <c r="L50" i="7"/>
  <c r="AB50" i="7"/>
  <c r="B52" i="7"/>
  <c r="AO52" i="7"/>
  <c r="P53" i="7"/>
  <c r="AF53" i="7"/>
  <c r="G54" i="7"/>
  <c r="W54" i="7"/>
  <c r="AM54" i="7"/>
  <c r="N55" i="7"/>
  <c r="AD55" i="7"/>
  <c r="E56" i="7"/>
  <c r="U56" i="7"/>
  <c r="AK56" i="7"/>
  <c r="AF59" i="7"/>
  <c r="U59" i="7"/>
  <c r="K59" i="7"/>
  <c r="AO58" i="7"/>
  <c r="AD58" i="7"/>
  <c r="T58" i="7"/>
  <c r="I58" i="7"/>
  <c r="AM57" i="7"/>
  <c r="AC57" i="7"/>
  <c r="R57" i="7"/>
  <c r="G57" i="7"/>
  <c r="AN60" i="7"/>
  <c r="AJ60" i="7"/>
  <c r="AF60" i="7"/>
  <c r="AB60" i="7"/>
  <c r="X60" i="7"/>
  <c r="T60" i="7"/>
  <c r="P60" i="7"/>
  <c r="L60" i="7"/>
  <c r="H60" i="7"/>
  <c r="D60" i="7"/>
  <c r="AO60" i="7"/>
  <c r="AK60" i="7"/>
  <c r="AG60" i="7"/>
  <c r="AC60" i="7"/>
  <c r="Y60" i="7"/>
  <c r="U60" i="7"/>
  <c r="Q60" i="7"/>
  <c r="M60" i="7"/>
  <c r="I60" i="7"/>
  <c r="E60" i="7"/>
  <c r="AM60" i="7"/>
  <c r="AI60" i="7"/>
  <c r="AE60" i="7"/>
  <c r="AA60" i="7"/>
  <c r="W60" i="7"/>
  <c r="S60" i="7"/>
  <c r="O60" i="7"/>
  <c r="K60" i="7"/>
  <c r="G60" i="7"/>
  <c r="C60" i="7"/>
  <c r="AP60" i="7"/>
  <c r="AL60" i="7"/>
  <c r="AH60" i="7"/>
  <c r="AD60" i="7"/>
  <c r="Z60" i="7"/>
  <c r="V60" i="7"/>
  <c r="R60" i="7"/>
  <c r="N60" i="7"/>
  <c r="J60" i="7"/>
  <c r="F60" i="7"/>
  <c r="AP59" i="7"/>
  <c r="AL59" i="7"/>
  <c r="AH59" i="7"/>
  <c r="AD59" i="7"/>
  <c r="Z59" i="7"/>
  <c r="V59" i="7"/>
  <c r="R59" i="7"/>
  <c r="N59" i="7"/>
  <c r="J59" i="7"/>
  <c r="F59" i="7"/>
  <c r="B59" i="7"/>
  <c r="AM58" i="7"/>
  <c r="AI58" i="7"/>
  <c r="AE58" i="7"/>
  <c r="AA58" i="7"/>
  <c r="W58" i="7"/>
  <c r="S58" i="7"/>
  <c r="O58" i="7"/>
  <c r="K58" i="7"/>
  <c r="G58" i="7"/>
  <c r="C58" i="7"/>
  <c r="AN57" i="7"/>
  <c r="AJ57" i="7"/>
  <c r="AF57" i="7"/>
  <c r="AB57" i="7"/>
  <c r="X57" i="7"/>
  <c r="T57" i="7"/>
  <c r="P57" i="7"/>
  <c r="L57" i="7"/>
  <c r="H57" i="7"/>
  <c r="AK52" i="7"/>
  <c r="AC52" i="7"/>
  <c r="Y52" i="7"/>
  <c r="Q52" i="7"/>
  <c r="M52" i="7"/>
  <c r="E52" i="7"/>
  <c r="AN56" i="7"/>
  <c r="AF56" i="7"/>
  <c r="X56" i="7"/>
  <c r="P56" i="7"/>
  <c r="H56" i="7"/>
  <c r="AO55" i="7"/>
  <c r="AG55" i="7"/>
  <c r="Y55" i="7"/>
  <c r="Q55" i="7"/>
  <c r="I55" i="7"/>
  <c r="AP54" i="7"/>
  <c r="AH54" i="7"/>
  <c r="Z54" i="7"/>
  <c r="R54" i="7"/>
  <c r="J54" i="7"/>
  <c r="B54" i="7"/>
  <c r="AI53" i="7"/>
  <c r="AA53" i="7"/>
  <c r="S53" i="7"/>
  <c r="K53" i="7"/>
  <c r="AN52" i="7"/>
  <c r="H52" i="7"/>
  <c r="AM56" i="7"/>
  <c r="AI56" i="7"/>
  <c r="AE56" i="7"/>
  <c r="AA56" i="7"/>
  <c r="W56" i="7"/>
  <c r="S56" i="7"/>
  <c r="K56" i="7"/>
  <c r="G56" i="7"/>
  <c r="C56" i="7"/>
  <c r="AN55" i="7"/>
  <c r="AJ55" i="7"/>
  <c r="AF55" i="7"/>
  <c r="AB55" i="7"/>
  <c r="X55" i="7"/>
  <c r="T55" i="7"/>
  <c r="P55" i="7"/>
  <c r="L55" i="7"/>
  <c r="H55" i="7"/>
  <c r="D55" i="7"/>
  <c r="AO54" i="7"/>
  <c r="AK54" i="7"/>
  <c r="AG54" i="7"/>
  <c r="AC54" i="7"/>
  <c r="Y54" i="7"/>
  <c r="U54" i="7"/>
  <c r="Q54" i="7"/>
  <c r="M54" i="7"/>
  <c r="I54" i="7"/>
  <c r="E54" i="7"/>
  <c r="AP53" i="7"/>
  <c r="AL53" i="7"/>
  <c r="AH53" i="7"/>
  <c r="AD53" i="7"/>
  <c r="Z53" i="7"/>
  <c r="V53" i="7"/>
  <c r="R53" i="7"/>
  <c r="N53" i="7"/>
  <c r="J53" i="7"/>
  <c r="F53" i="7"/>
  <c r="B53" i="7"/>
  <c r="AM52" i="7"/>
  <c r="AI52" i="7"/>
  <c r="AE52" i="7"/>
  <c r="AA52" i="7"/>
  <c r="W52" i="7"/>
  <c r="S52" i="7"/>
  <c r="O52" i="7"/>
  <c r="K52" i="7"/>
  <c r="G52" i="7"/>
  <c r="C52" i="7"/>
  <c r="AG52" i="7"/>
  <c r="U52" i="7"/>
  <c r="I52" i="7"/>
  <c r="AJ56" i="7"/>
  <c r="AB56" i="7"/>
  <c r="T56" i="7"/>
  <c r="L56" i="7"/>
  <c r="D56" i="7"/>
  <c r="AK55" i="7"/>
  <c r="AC55" i="7"/>
  <c r="U55" i="7"/>
  <c r="M55" i="7"/>
  <c r="E55" i="7"/>
  <c r="AL54" i="7"/>
  <c r="AD54" i="7"/>
  <c r="V54" i="7"/>
  <c r="N54" i="7"/>
  <c r="F54" i="7"/>
  <c r="AM53" i="7"/>
  <c r="AE53" i="7"/>
  <c r="W53" i="7"/>
  <c r="O53" i="7"/>
  <c r="G53" i="7"/>
  <c r="C53" i="7"/>
  <c r="AJ52" i="7"/>
  <c r="AF52" i="7"/>
  <c r="AB52" i="7"/>
  <c r="X52" i="7"/>
  <c r="T52" i="7"/>
  <c r="P52" i="7"/>
  <c r="L52" i="7"/>
  <c r="D52" i="7"/>
  <c r="O56" i="7"/>
  <c r="AP56" i="7"/>
  <c r="AL56" i="7"/>
  <c r="AH56" i="7"/>
  <c r="AD56" i="7"/>
  <c r="Z56" i="7"/>
  <c r="V56" i="7"/>
  <c r="R56" i="7"/>
  <c r="N56" i="7"/>
  <c r="J56" i="7"/>
  <c r="F56" i="7"/>
  <c r="B56" i="7"/>
  <c r="AM55" i="7"/>
  <c r="AI55" i="7"/>
  <c r="AE55" i="7"/>
  <c r="AA55" i="7"/>
  <c r="W55" i="7"/>
  <c r="S55" i="7"/>
  <c r="O55" i="7"/>
  <c r="K55" i="7"/>
  <c r="G55" i="7"/>
  <c r="C55" i="7"/>
  <c r="AN54" i="7"/>
  <c r="AJ54" i="7"/>
  <c r="AF54" i="7"/>
  <c r="AB54" i="7"/>
  <c r="X54" i="7"/>
  <c r="T54" i="7"/>
  <c r="P54" i="7"/>
  <c r="L54" i="7"/>
  <c r="H54" i="7"/>
  <c r="D54" i="7"/>
  <c r="AO53" i="7"/>
  <c r="AK53" i="7"/>
  <c r="AG53" i="7"/>
  <c r="AC53" i="7"/>
  <c r="Y53" i="7"/>
  <c r="U53" i="7"/>
  <c r="Q53" i="7"/>
  <c r="M53" i="7"/>
  <c r="I53" i="7"/>
  <c r="E53" i="7"/>
  <c r="AP52" i="7"/>
  <c r="AL52" i="7"/>
  <c r="AH52" i="7"/>
  <c r="AD52" i="7"/>
  <c r="Z52" i="7"/>
  <c r="V52" i="7"/>
  <c r="R52" i="7"/>
  <c r="N52" i="7"/>
  <c r="J52" i="7"/>
  <c r="F52" i="7"/>
  <c r="AO50" i="7"/>
  <c r="AK50" i="7"/>
  <c r="AG50" i="7"/>
  <c r="AC50" i="7"/>
  <c r="Y50" i="7"/>
  <c r="U50" i="7"/>
  <c r="Q50" i="7"/>
  <c r="M50" i="7"/>
  <c r="I50" i="7"/>
  <c r="E50" i="7"/>
  <c r="AP49" i="7"/>
  <c r="AL49" i="7"/>
  <c r="AH49" i="7"/>
  <c r="AD49" i="7"/>
  <c r="Z49" i="7"/>
  <c r="V49" i="7"/>
  <c r="R49" i="7"/>
  <c r="N49" i="7"/>
  <c r="J49" i="7"/>
  <c r="F49" i="7"/>
  <c r="B49" i="7"/>
  <c r="AM48" i="7"/>
  <c r="AI48" i="7"/>
  <c r="AE48" i="7"/>
  <c r="AA48" i="7"/>
  <c r="W48" i="7"/>
  <c r="S48" i="7"/>
  <c r="O48" i="7"/>
  <c r="K48" i="7"/>
  <c r="G48" i="7"/>
  <c r="C48" i="7"/>
  <c r="AN47" i="7"/>
  <c r="AJ47" i="7"/>
  <c r="AF47" i="7"/>
  <c r="AB47" i="7"/>
  <c r="X47" i="7"/>
  <c r="T47" i="7"/>
  <c r="P47" i="7"/>
  <c r="L47" i="7"/>
  <c r="H47" i="7"/>
  <c r="D47" i="7"/>
  <c r="AM50" i="7"/>
  <c r="AI50" i="7"/>
  <c r="AE50" i="7"/>
  <c r="AA50" i="7"/>
  <c r="W50" i="7"/>
  <c r="S50" i="7"/>
  <c r="O50" i="7"/>
  <c r="K50" i="7"/>
  <c r="G50" i="7"/>
  <c r="C50" i="7"/>
  <c r="AN49" i="7"/>
  <c r="AJ49" i="7"/>
  <c r="AF49" i="7"/>
  <c r="AB49" i="7"/>
  <c r="X49" i="7"/>
  <c r="T49" i="7"/>
  <c r="P49" i="7"/>
  <c r="L49" i="7"/>
  <c r="H49" i="7"/>
  <c r="D49" i="7"/>
  <c r="AO48" i="7"/>
  <c r="AK48" i="7"/>
  <c r="AG48" i="7"/>
  <c r="AC48" i="7"/>
  <c r="Y48" i="7"/>
  <c r="U48" i="7"/>
  <c r="Q48" i="7"/>
  <c r="M48" i="7"/>
  <c r="I48" i="7"/>
  <c r="E48" i="7"/>
  <c r="AP47" i="7"/>
  <c r="AL47" i="7"/>
  <c r="AH47" i="7"/>
  <c r="AD47" i="7"/>
  <c r="Z47" i="7"/>
  <c r="V47" i="7"/>
  <c r="R47" i="7"/>
  <c r="N47" i="7"/>
  <c r="J47" i="7"/>
  <c r="F47" i="7"/>
  <c r="B47" i="7"/>
  <c r="AP50" i="7"/>
  <c r="AL50" i="7"/>
  <c r="AH50" i="7"/>
  <c r="AD50" i="7"/>
  <c r="Z50" i="7"/>
  <c r="V50" i="7"/>
  <c r="R50" i="7"/>
  <c r="N50" i="7"/>
  <c r="J50" i="7"/>
  <c r="F50" i="7"/>
  <c r="B50" i="7"/>
  <c r="AM49" i="7"/>
  <c r="AI49" i="7"/>
  <c r="AE49" i="7"/>
  <c r="AA49" i="7"/>
  <c r="W49" i="7"/>
  <c r="S49" i="7"/>
  <c r="O49" i="7"/>
  <c r="K49" i="7"/>
  <c r="G49" i="7"/>
  <c r="C49" i="7"/>
  <c r="AN48" i="7"/>
  <c r="AJ48" i="7"/>
  <c r="AF48" i="7"/>
  <c r="AB48" i="7"/>
  <c r="X48" i="7"/>
  <c r="T48" i="7"/>
  <c r="P48" i="7"/>
  <c r="L48" i="7"/>
  <c r="H48" i="7"/>
  <c r="D48" i="7"/>
  <c r="AO47" i="7"/>
  <c r="AK47" i="7"/>
  <c r="AG47" i="7"/>
  <c r="AC47" i="7"/>
  <c r="Y47" i="7"/>
  <c r="U47" i="7"/>
  <c r="Q47" i="7"/>
  <c r="M47" i="7"/>
  <c r="I47" i="7"/>
  <c r="AO45" i="7"/>
  <c r="AK45" i="7"/>
  <c r="AG45" i="7"/>
  <c r="AC45" i="7"/>
  <c r="Y45" i="7"/>
  <c r="U45" i="7"/>
  <c r="Q45" i="7"/>
  <c r="M45" i="7"/>
  <c r="I45" i="7"/>
  <c r="E45" i="7"/>
  <c r="AB45" i="7"/>
  <c r="AN45" i="7"/>
  <c r="AJ45" i="7"/>
  <c r="AF45" i="7"/>
  <c r="X45" i="7"/>
  <c r="T45" i="7"/>
  <c r="P45" i="7"/>
  <c r="L45" i="7"/>
  <c r="H45" i="7"/>
  <c r="D45" i="7"/>
  <c r="AM45" i="7"/>
  <c r="AI45" i="7"/>
  <c r="AE45" i="7"/>
  <c r="AA45" i="7"/>
  <c r="W45" i="7"/>
  <c r="S45" i="7"/>
  <c r="O45" i="7"/>
  <c r="K45" i="7"/>
  <c r="G45" i="7"/>
  <c r="C45" i="7"/>
  <c r="AP45" i="7"/>
  <c r="AL45" i="7"/>
  <c r="AH45" i="7"/>
  <c r="AD45" i="7"/>
  <c r="Z45" i="7"/>
  <c r="V45" i="7"/>
  <c r="R45" i="7"/>
  <c r="N45" i="7"/>
  <c r="J45" i="7"/>
  <c r="F45" i="7"/>
  <c r="Q10" i="7"/>
  <c r="N9" i="7"/>
  <c r="N8" i="7"/>
  <c r="E10" i="7"/>
  <c r="E9" i="7"/>
  <c r="C8" i="7"/>
  <c r="C42" i="7" s="1"/>
  <c r="AJ10" i="7"/>
  <c r="AK9" i="7"/>
  <c r="AI8" i="7"/>
  <c r="AB10" i="7"/>
  <c r="Z9" i="7"/>
  <c r="W8" i="7"/>
  <c r="AN10" i="7"/>
  <c r="AG10" i="7"/>
  <c r="U10" i="7"/>
  <c r="L10" i="7"/>
  <c r="AP9" i="7"/>
  <c r="AD9" i="7"/>
  <c r="U9" i="7"/>
  <c r="J9" i="7"/>
  <c r="AM8" i="7"/>
  <c r="AD8" i="7"/>
  <c r="S8" i="7"/>
  <c r="G8" i="7"/>
  <c r="AO10" i="7"/>
  <c r="AI10" i="7"/>
  <c r="Y10" i="7"/>
  <c r="M10" i="7"/>
  <c r="D10" i="7"/>
  <c r="AH9" i="7"/>
  <c r="V9" i="7"/>
  <c r="M9" i="7"/>
  <c r="B9" i="7"/>
  <c r="AE8" i="7"/>
  <c r="V8" i="7"/>
  <c r="K8" i="7"/>
  <c r="AM10" i="7"/>
  <c r="AC10" i="7"/>
  <c r="T10" i="7"/>
  <c r="I10" i="7"/>
  <c r="AL9" i="7"/>
  <c r="AC9" i="7"/>
  <c r="R9" i="7"/>
  <c r="F9" i="7"/>
  <c r="AL8" i="7"/>
  <c r="AA8" i="7"/>
  <c r="O8" i="7"/>
  <c r="F8" i="7"/>
  <c r="C146" i="7"/>
  <c r="AK10" i="7"/>
  <c r="AF10" i="7"/>
  <c r="X10" i="7"/>
  <c r="P10" i="7"/>
  <c r="H10" i="7"/>
  <c r="AO9" i="7"/>
  <c r="AG9" i="7"/>
  <c r="Y9" i="7"/>
  <c r="Q9" i="7"/>
  <c r="I9" i="7"/>
  <c r="AP8" i="7"/>
  <c r="AH8" i="7"/>
  <c r="Z8" i="7"/>
  <c r="R8" i="7"/>
  <c r="J8" i="7"/>
  <c r="B8" i="7"/>
  <c r="AP10" i="7"/>
  <c r="AL10" i="7"/>
  <c r="AH10" i="7"/>
  <c r="AD10" i="7"/>
  <c r="Z10" i="7"/>
  <c r="V10" i="7"/>
  <c r="R10" i="7"/>
  <c r="N10" i="7"/>
  <c r="J10" i="7"/>
  <c r="F10" i="7"/>
  <c r="B10" i="7"/>
  <c r="AM9" i="7"/>
  <c r="AI9" i="7"/>
  <c r="AE9" i="7"/>
  <c r="AA9" i="7"/>
  <c r="W9" i="7"/>
  <c r="S9" i="7"/>
  <c r="O9" i="7"/>
  <c r="K9" i="7"/>
  <c r="G9" i="7"/>
  <c r="C9" i="7"/>
  <c r="AN8" i="7"/>
  <c r="AJ8" i="7"/>
  <c r="AF8" i="7"/>
  <c r="AB8" i="7"/>
  <c r="X8" i="7"/>
  <c r="T8" i="7"/>
  <c r="P8" i="7"/>
  <c r="L8" i="7"/>
  <c r="H8" i="7"/>
  <c r="D8" i="7"/>
  <c r="AE10" i="7"/>
  <c r="AA10" i="7"/>
  <c r="W10" i="7"/>
  <c r="S10" i="7"/>
  <c r="O10" i="7"/>
  <c r="K10" i="7"/>
  <c r="G10" i="7"/>
  <c r="C10" i="7"/>
  <c r="AN9" i="7"/>
  <c r="AJ9" i="7"/>
  <c r="AF9" i="7"/>
  <c r="AB9" i="7"/>
  <c r="X9" i="7"/>
  <c r="T9" i="7"/>
  <c r="P9" i="7"/>
  <c r="L9" i="7"/>
  <c r="H9" i="7"/>
  <c r="D9" i="7"/>
  <c r="AO8" i="7"/>
  <c r="AK8" i="7"/>
  <c r="AG8" i="7"/>
  <c r="AC8" i="7"/>
  <c r="Y8" i="7"/>
  <c r="U8" i="7"/>
  <c r="Q8" i="7"/>
  <c r="M8" i="7"/>
  <c r="I8" i="7"/>
  <c r="AO6" i="7"/>
  <c r="AK6" i="7"/>
  <c r="AG6" i="7"/>
  <c r="AC6" i="7"/>
  <c r="Y6" i="7"/>
  <c r="U6" i="7"/>
  <c r="Q6" i="7"/>
  <c r="M6" i="7"/>
  <c r="I6" i="7"/>
  <c r="E6" i="7"/>
  <c r="AP5" i="7"/>
  <c r="AL5" i="7"/>
  <c r="AH5" i="7"/>
  <c r="AD5" i="7"/>
  <c r="Z5" i="7"/>
  <c r="V5" i="7"/>
  <c r="R5" i="7"/>
  <c r="N5" i="7"/>
  <c r="J5" i="7"/>
  <c r="F5" i="7"/>
  <c r="B5" i="7"/>
  <c r="AN6" i="7"/>
  <c r="AJ6" i="7"/>
  <c r="AF6" i="7"/>
  <c r="AB6" i="7"/>
  <c r="X6" i="7"/>
  <c r="T6" i="7"/>
  <c r="P6" i="7"/>
  <c r="L6" i="7"/>
  <c r="H6" i="7"/>
  <c r="D6" i="7"/>
  <c r="AO5" i="7"/>
  <c r="AK5" i="7"/>
  <c r="AG5" i="7"/>
  <c r="AC5" i="7"/>
  <c r="Y5" i="7"/>
  <c r="U5" i="7"/>
  <c r="Q5" i="7"/>
  <c r="M5" i="7"/>
  <c r="I5" i="7"/>
  <c r="E5" i="7"/>
  <c r="E42" i="7" s="1"/>
  <c r="AM6" i="7"/>
  <c r="AA6" i="7"/>
  <c r="K6" i="7"/>
  <c r="AF5" i="7"/>
  <c r="D5" i="7"/>
  <c r="AI6" i="7"/>
  <c r="AE6" i="7"/>
  <c r="W6" i="7"/>
  <c r="S6" i="7"/>
  <c r="O6" i="7"/>
  <c r="G6" i="7"/>
  <c r="C6" i="7"/>
  <c r="C7" i="7" s="1"/>
  <c r="AN5" i="7"/>
  <c r="AJ5" i="7"/>
  <c r="AB5" i="7"/>
  <c r="X5" i="7"/>
  <c r="T5" i="7"/>
  <c r="P5" i="7"/>
  <c r="L5" i="7"/>
  <c r="H5" i="7"/>
  <c r="AP6" i="7"/>
  <c r="AL6" i="7"/>
  <c r="AH6" i="7"/>
  <c r="AD6" i="7"/>
  <c r="Z6" i="7"/>
  <c r="V6" i="7"/>
  <c r="R6" i="7"/>
  <c r="N6" i="7"/>
  <c r="J6" i="7"/>
  <c r="F6" i="7"/>
  <c r="B6" i="7"/>
  <c r="AM5" i="7"/>
  <c r="AI5" i="7"/>
  <c r="AE5" i="7"/>
  <c r="AA5" i="7"/>
  <c r="W5" i="7"/>
  <c r="S5" i="7"/>
  <c r="O5" i="7"/>
  <c r="K5" i="7"/>
  <c r="G5" i="7"/>
  <c r="B18" i="7" a="1"/>
  <c r="D18" i="7" s="1"/>
  <c r="B17" i="7" a="1"/>
  <c r="E17" i="7" s="1"/>
  <c r="B16" i="7" a="1"/>
  <c r="D16" i="7" s="1"/>
  <c r="B15" i="7" a="1"/>
  <c r="E15" i="7" s="1"/>
  <c r="B14" i="7" a="1"/>
  <c r="B14" i="7" s="1"/>
  <c r="D42" i="7" l="1"/>
  <c r="T42" i="7"/>
  <c r="AN42" i="7"/>
  <c r="S42" i="7"/>
  <c r="N42" i="7"/>
  <c r="F42" i="7"/>
  <c r="AD42" i="7"/>
  <c r="K42" i="7"/>
  <c r="L42" i="7"/>
  <c r="AB42" i="7"/>
  <c r="AA42" i="7"/>
  <c r="O552" i="7"/>
  <c r="O546" i="7"/>
  <c r="AE552" i="7"/>
  <c r="AE546" i="7"/>
  <c r="P546" i="7"/>
  <c r="P552" i="7"/>
  <c r="AJ546" i="7"/>
  <c r="AJ552" i="7"/>
  <c r="M552" i="7"/>
  <c r="M546" i="7"/>
  <c r="AC552" i="7"/>
  <c r="AC546" i="7"/>
  <c r="J552" i="7"/>
  <c r="J546" i="7"/>
  <c r="Z552" i="7"/>
  <c r="Z546" i="7"/>
  <c r="AP552" i="7"/>
  <c r="AP546" i="7"/>
  <c r="AC42" i="7"/>
  <c r="Z42" i="7"/>
  <c r="AE42" i="7"/>
  <c r="S552" i="7"/>
  <c r="S546" i="7"/>
  <c r="AI552" i="7"/>
  <c r="AI546" i="7"/>
  <c r="T552" i="7"/>
  <c r="T546" i="7"/>
  <c r="AN546" i="7"/>
  <c r="AN552" i="7"/>
  <c r="D552" i="7"/>
  <c r="D546" i="7"/>
  <c r="Q552" i="7"/>
  <c r="Q546" i="7"/>
  <c r="AG552" i="7"/>
  <c r="AG546" i="7"/>
  <c r="N552" i="7"/>
  <c r="N546" i="7"/>
  <c r="AD552" i="7"/>
  <c r="AD546" i="7"/>
  <c r="Q42" i="7"/>
  <c r="AG42" i="7"/>
  <c r="P42" i="7"/>
  <c r="AF42" i="7"/>
  <c r="AH42" i="7"/>
  <c r="AL42" i="7"/>
  <c r="AM42" i="7"/>
  <c r="AI42" i="7"/>
  <c r="G552" i="7"/>
  <c r="G546" i="7"/>
  <c r="W552" i="7"/>
  <c r="W546" i="7"/>
  <c r="AM552" i="7"/>
  <c r="AM546" i="7"/>
  <c r="H546" i="7"/>
  <c r="H552" i="7"/>
  <c r="X546" i="7"/>
  <c r="X552" i="7"/>
  <c r="AF552" i="7"/>
  <c r="AF546" i="7"/>
  <c r="E552" i="7"/>
  <c r="E546" i="7"/>
  <c r="U552" i="7"/>
  <c r="U546" i="7"/>
  <c r="AK552" i="7"/>
  <c r="AK546" i="7"/>
  <c r="AH552" i="7"/>
  <c r="AH546" i="7"/>
  <c r="U42" i="7"/>
  <c r="AK42" i="7"/>
  <c r="AJ42" i="7"/>
  <c r="J42" i="7"/>
  <c r="AP42" i="7"/>
  <c r="G42" i="7"/>
  <c r="W42" i="7"/>
  <c r="M42" i="7"/>
  <c r="R552" i="7"/>
  <c r="R546" i="7"/>
  <c r="K552" i="7"/>
  <c r="K546" i="7"/>
  <c r="AA552" i="7"/>
  <c r="AA546" i="7"/>
  <c r="L552" i="7"/>
  <c r="L546" i="7"/>
  <c r="AB552" i="7"/>
  <c r="AB546" i="7"/>
  <c r="I552" i="7"/>
  <c r="I546" i="7"/>
  <c r="Y552" i="7"/>
  <c r="Y546" i="7"/>
  <c r="AO552" i="7"/>
  <c r="AO546" i="7"/>
  <c r="F552" i="7"/>
  <c r="F546" i="7"/>
  <c r="V552" i="7"/>
  <c r="V546" i="7"/>
  <c r="AL552" i="7"/>
  <c r="AL546" i="7"/>
  <c r="I42" i="7"/>
  <c r="Y42" i="7"/>
  <c r="AO42" i="7"/>
  <c r="H42" i="7"/>
  <c r="X42" i="7"/>
  <c r="R42" i="7"/>
  <c r="O42" i="7"/>
  <c r="V42" i="7"/>
  <c r="AN7" i="7"/>
  <c r="AN591" i="7"/>
  <c r="AN587" i="7"/>
  <c r="AN583" i="7"/>
  <c r="AN579" i="7"/>
  <c r="N7" i="7"/>
  <c r="N591" i="7"/>
  <c r="N587" i="7"/>
  <c r="N583" i="7"/>
  <c r="N579" i="7"/>
  <c r="G7" i="7"/>
  <c r="G591" i="7"/>
  <c r="G587" i="7"/>
  <c r="G583" i="7"/>
  <c r="G579" i="7"/>
  <c r="AM7" i="7"/>
  <c r="AM591" i="7"/>
  <c r="AM587" i="7"/>
  <c r="AM583" i="7"/>
  <c r="AM579" i="7"/>
  <c r="H7" i="7"/>
  <c r="H591" i="7"/>
  <c r="H587" i="7"/>
  <c r="H583" i="7"/>
  <c r="H579" i="7"/>
  <c r="X7" i="7"/>
  <c r="X591" i="7"/>
  <c r="X587" i="7"/>
  <c r="X583" i="7"/>
  <c r="X579" i="7"/>
  <c r="E7" i="7"/>
  <c r="E591" i="7"/>
  <c r="E587" i="7"/>
  <c r="E583" i="7"/>
  <c r="E579" i="7"/>
  <c r="U7" i="7"/>
  <c r="U591" i="7"/>
  <c r="U587" i="7"/>
  <c r="U583" i="7"/>
  <c r="U579" i="7"/>
  <c r="AK7" i="7"/>
  <c r="AK591" i="7"/>
  <c r="AK587" i="7"/>
  <c r="AK583" i="7"/>
  <c r="AK579" i="7"/>
  <c r="R7" i="7"/>
  <c r="R587" i="7"/>
  <c r="R591" i="7"/>
  <c r="R579" i="7"/>
  <c r="R583" i="7"/>
  <c r="AH7" i="7"/>
  <c r="AH591" i="7"/>
  <c r="AH587" i="7"/>
  <c r="AH583" i="7"/>
  <c r="AH579" i="7"/>
  <c r="S7" i="7"/>
  <c r="S591" i="7"/>
  <c r="S587" i="7"/>
  <c r="S583" i="7"/>
  <c r="S579" i="7"/>
  <c r="T7" i="7"/>
  <c r="T591" i="7"/>
  <c r="T587" i="7"/>
  <c r="T583" i="7"/>
  <c r="T579" i="7"/>
  <c r="Q7" i="7"/>
  <c r="Q591" i="7"/>
  <c r="Q587" i="7"/>
  <c r="Q583" i="7"/>
  <c r="Q579" i="7"/>
  <c r="W7" i="7"/>
  <c r="W591" i="7"/>
  <c r="W587" i="7"/>
  <c r="W583" i="7"/>
  <c r="W579" i="7"/>
  <c r="AF7" i="7"/>
  <c r="AF591" i="7"/>
  <c r="AF587" i="7"/>
  <c r="AF583" i="7"/>
  <c r="AF579" i="7"/>
  <c r="K7" i="7"/>
  <c r="K591" i="7"/>
  <c r="K587" i="7"/>
  <c r="K583" i="7"/>
  <c r="K579" i="7"/>
  <c r="AA7" i="7"/>
  <c r="AA591" i="7"/>
  <c r="AA587" i="7"/>
  <c r="AA583" i="7"/>
  <c r="AA579" i="7"/>
  <c r="L7" i="7"/>
  <c r="L591" i="7"/>
  <c r="L587" i="7"/>
  <c r="L583" i="7"/>
  <c r="L579" i="7"/>
  <c r="AB7" i="7"/>
  <c r="AB591" i="7"/>
  <c r="AB587" i="7"/>
  <c r="AB583" i="7"/>
  <c r="AB579" i="7"/>
  <c r="I7" i="7"/>
  <c r="I591" i="7"/>
  <c r="I587" i="7"/>
  <c r="I583" i="7"/>
  <c r="I579" i="7"/>
  <c r="Y7" i="7"/>
  <c r="Y591" i="7"/>
  <c r="Y587" i="7"/>
  <c r="Y583" i="7"/>
  <c r="Y579" i="7"/>
  <c r="AO7" i="7"/>
  <c r="AO591" i="7"/>
  <c r="AO587" i="7"/>
  <c r="AO583" i="7"/>
  <c r="AO579" i="7"/>
  <c r="F7" i="7"/>
  <c r="F591" i="7"/>
  <c r="F583" i="7"/>
  <c r="F579" i="7"/>
  <c r="F587" i="7"/>
  <c r="V7" i="7"/>
  <c r="V591" i="7"/>
  <c r="V583" i="7"/>
  <c r="V587" i="7"/>
  <c r="V579" i="7"/>
  <c r="AL7" i="7"/>
  <c r="AL591" i="7"/>
  <c r="AL583" i="7"/>
  <c r="AL587" i="7"/>
  <c r="AL579" i="7"/>
  <c r="D7" i="7"/>
  <c r="D591" i="7"/>
  <c r="D587" i="7"/>
  <c r="D583" i="7"/>
  <c r="D579" i="7"/>
  <c r="O7" i="7"/>
  <c r="O591" i="7"/>
  <c r="O587" i="7"/>
  <c r="O583" i="7"/>
  <c r="O579" i="7"/>
  <c r="AE7" i="7"/>
  <c r="AE591" i="7"/>
  <c r="AE587" i="7"/>
  <c r="AE583" i="7"/>
  <c r="AE579" i="7"/>
  <c r="P7" i="7"/>
  <c r="P591" i="7"/>
  <c r="P587" i="7"/>
  <c r="P583" i="7"/>
  <c r="P579" i="7"/>
  <c r="AJ7" i="7"/>
  <c r="AJ591" i="7"/>
  <c r="AJ587" i="7"/>
  <c r="AJ583" i="7"/>
  <c r="AJ579" i="7"/>
  <c r="M7" i="7"/>
  <c r="M591" i="7"/>
  <c r="M587" i="7"/>
  <c r="M583" i="7"/>
  <c r="M579" i="7"/>
  <c r="AC7" i="7"/>
  <c r="AC591" i="7"/>
  <c r="AC587" i="7"/>
  <c r="AC583" i="7"/>
  <c r="AC579" i="7"/>
  <c r="J7" i="7"/>
  <c r="J591" i="7"/>
  <c r="J587" i="7"/>
  <c r="J579" i="7"/>
  <c r="J583" i="7"/>
  <c r="Z7" i="7"/>
  <c r="Z591" i="7"/>
  <c r="Z587" i="7"/>
  <c r="Z579" i="7"/>
  <c r="Z583" i="7"/>
  <c r="AP7" i="7"/>
  <c r="AP591" i="7"/>
  <c r="AP587" i="7"/>
  <c r="AP583" i="7"/>
  <c r="AP579" i="7"/>
  <c r="AI7" i="7"/>
  <c r="AI591" i="7"/>
  <c r="AI587" i="7"/>
  <c r="AI583" i="7"/>
  <c r="AI579" i="7"/>
  <c r="AG7" i="7"/>
  <c r="AG591" i="7"/>
  <c r="AG587" i="7"/>
  <c r="AG583" i="7"/>
  <c r="AG579" i="7"/>
  <c r="AD7" i="7"/>
  <c r="AD591" i="7"/>
  <c r="AD587" i="7"/>
  <c r="AD579" i="7"/>
  <c r="AD583" i="7"/>
  <c r="K146" i="7"/>
  <c r="AA146" i="7"/>
  <c r="L146" i="7"/>
  <c r="AB146" i="7"/>
  <c r="I146" i="7"/>
  <c r="Y146" i="7"/>
  <c r="AO146" i="7"/>
  <c r="F146" i="7"/>
  <c r="V146" i="7"/>
  <c r="AL146" i="7"/>
  <c r="O146" i="7"/>
  <c r="AE146" i="7"/>
  <c r="P146" i="7"/>
  <c r="AJ146" i="7"/>
  <c r="M146" i="7"/>
  <c r="AC146" i="7"/>
  <c r="J146" i="7"/>
  <c r="Z146" i="7"/>
  <c r="AP146" i="7"/>
  <c r="S146" i="7"/>
  <c r="AI146" i="7"/>
  <c r="T146" i="7"/>
  <c r="AN146" i="7"/>
  <c r="D146" i="7"/>
  <c r="Q146" i="7"/>
  <c r="AG146" i="7"/>
  <c r="N146" i="7"/>
  <c r="AD146" i="7"/>
  <c r="G146" i="7"/>
  <c r="W146" i="7"/>
  <c r="AM146" i="7"/>
  <c r="H146" i="7"/>
  <c r="X146" i="7"/>
  <c r="AF146" i="7"/>
  <c r="E146" i="7"/>
  <c r="U146" i="7"/>
  <c r="AK146" i="7"/>
  <c r="B7" i="7"/>
  <c r="R146" i="7"/>
  <c r="AH146" i="7"/>
  <c r="O16" i="7"/>
  <c r="AK16" i="7"/>
  <c r="AA16" i="7"/>
  <c r="S16" i="7"/>
  <c r="I16" i="7"/>
  <c r="AI16" i="7"/>
  <c r="Z16" i="7"/>
  <c r="F16" i="7"/>
  <c r="AP16" i="7"/>
  <c r="AG16" i="7"/>
  <c r="V16" i="7"/>
  <c r="N16" i="7"/>
  <c r="E16" i="7"/>
  <c r="AO16" i="7"/>
  <c r="AD16" i="7"/>
  <c r="U16" i="7"/>
  <c r="K16" i="7"/>
  <c r="AL16" i="7"/>
  <c r="AE16" i="7"/>
  <c r="Y16" i="7"/>
  <c r="Q16" i="7"/>
  <c r="J16" i="7"/>
  <c r="C16" i="7"/>
  <c r="AL18" i="7"/>
  <c r="F18" i="7"/>
  <c r="AP18" i="7"/>
  <c r="AK18" i="7"/>
  <c r="AE18" i="7"/>
  <c r="Z18" i="7"/>
  <c r="U18" i="7"/>
  <c r="J18" i="7"/>
  <c r="E18" i="7"/>
  <c r="AG18" i="7"/>
  <c r="AA18" i="7"/>
  <c r="V18" i="7"/>
  <c r="Q18" i="7"/>
  <c r="K18" i="7"/>
  <c r="O18" i="7"/>
  <c r="AM16" i="7"/>
  <c r="AH16" i="7"/>
  <c r="AC16" i="7"/>
  <c r="W16" i="7"/>
  <c r="R16" i="7"/>
  <c r="M16" i="7"/>
  <c r="G16" i="7"/>
  <c r="B16" i="7"/>
  <c r="AO18" i="7"/>
  <c r="AI18" i="7"/>
  <c r="AD18" i="7"/>
  <c r="Y18" i="7"/>
  <c r="S18" i="7"/>
  <c r="N18" i="7"/>
  <c r="I18" i="7"/>
  <c r="C18" i="7"/>
  <c r="AM18" i="7"/>
  <c r="AH18" i="7"/>
  <c r="AC18" i="7"/>
  <c r="W18" i="7"/>
  <c r="R18" i="7"/>
  <c r="M18" i="7"/>
  <c r="G18" i="7"/>
  <c r="B18" i="7"/>
  <c r="AN18" i="7"/>
  <c r="AJ18" i="7"/>
  <c r="AF18" i="7"/>
  <c r="AB18" i="7"/>
  <c r="X18" i="7"/>
  <c r="T18" i="7"/>
  <c r="P18" i="7"/>
  <c r="L18" i="7"/>
  <c r="H18" i="7"/>
  <c r="AN17" i="7"/>
  <c r="AJ17" i="7"/>
  <c r="AF17" i="7"/>
  <c r="AB17" i="7"/>
  <c r="X17" i="7"/>
  <c r="T17" i="7"/>
  <c r="P17" i="7"/>
  <c r="L17" i="7"/>
  <c r="H17" i="7"/>
  <c r="D17" i="7"/>
  <c r="AM17" i="7"/>
  <c r="AI17" i="7"/>
  <c r="AE17" i="7"/>
  <c r="AA17" i="7"/>
  <c r="W17" i="7"/>
  <c r="S17" i="7"/>
  <c r="O17" i="7"/>
  <c r="K17" i="7"/>
  <c r="G17" i="7"/>
  <c r="C17" i="7"/>
  <c r="AP17" i="7"/>
  <c r="AL17" i="7"/>
  <c r="AH17" i="7"/>
  <c r="AD17" i="7"/>
  <c r="Z17" i="7"/>
  <c r="V17" i="7"/>
  <c r="R17" i="7"/>
  <c r="N17" i="7"/>
  <c r="J17" i="7"/>
  <c r="F17" i="7"/>
  <c r="B17" i="7"/>
  <c r="AO17" i="7"/>
  <c r="AK17" i="7"/>
  <c r="AG17" i="7"/>
  <c r="AC17" i="7"/>
  <c r="Y17" i="7"/>
  <c r="U17" i="7"/>
  <c r="Q17" i="7"/>
  <c r="M17" i="7"/>
  <c r="I17" i="7"/>
  <c r="AN16" i="7"/>
  <c r="AJ16" i="7"/>
  <c r="AF16" i="7"/>
  <c r="AB16" i="7"/>
  <c r="X16" i="7"/>
  <c r="T16" i="7"/>
  <c r="P16" i="7"/>
  <c r="L16" i="7"/>
  <c r="H16" i="7"/>
  <c r="AN15" i="7"/>
  <c r="AJ15" i="7"/>
  <c r="AF15" i="7"/>
  <c r="AB15" i="7"/>
  <c r="X15" i="7"/>
  <c r="T15" i="7"/>
  <c r="P15" i="7"/>
  <c r="L15" i="7"/>
  <c r="H15" i="7"/>
  <c r="D15" i="7"/>
  <c r="AM15" i="7"/>
  <c r="AI15" i="7"/>
  <c r="AE15" i="7"/>
  <c r="AA15" i="7"/>
  <c r="W15" i="7"/>
  <c r="S15" i="7"/>
  <c r="O15" i="7"/>
  <c r="K15" i="7"/>
  <c r="G15" i="7"/>
  <c r="C15" i="7"/>
  <c r="AP15" i="7"/>
  <c r="AL15" i="7"/>
  <c r="AH15" i="7"/>
  <c r="AD15" i="7"/>
  <c r="Z15" i="7"/>
  <c r="V15" i="7"/>
  <c r="R15" i="7"/>
  <c r="N15" i="7"/>
  <c r="J15" i="7"/>
  <c r="F15" i="7"/>
  <c r="B15" i="7"/>
  <c r="AO15" i="7"/>
  <c r="AK15" i="7"/>
  <c r="AG15" i="7"/>
  <c r="AC15" i="7"/>
  <c r="Y15" i="7"/>
  <c r="U15" i="7"/>
  <c r="Q15" i="7"/>
  <c r="M15" i="7"/>
  <c r="I15" i="7"/>
  <c r="D14" i="7"/>
  <c r="AN14" i="7"/>
  <c r="AJ14" i="7"/>
  <c r="AF14" i="7"/>
  <c r="AB14" i="7"/>
  <c r="X14" i="7"/>
  <c r="T14" i="7"/>
  <c r="P14" i="7"/>
  <c r="L14" i="7"/>
  <c r="H14" i="7"/>
  <c r="AM14" i="7"/>
  <c r="AI14" i="7"/>
  <c r="AE14" i="7"/>
  <c r="AA14" i="7"/>
  <c r="W14" i="7"/>
  <c r="S14" i="7"/>
  <c r="O14" i="7"/>
  <c r="K14" i="7"/>
  <c r="G14" i="7"/>
  <c r="C14" i="7"/>
  <c r="AO14" i="7"/>
  <c r="AK14" i="7"/>
  <c r="AG14" i="7"/>
  <c r="AC14" i="7"/>
  <c r="Y14" i="7"/>
  <c r="U14" i="7"/>
  <c r="Q14" i="7"/>
  <c r="M14" i="7"/>
  <c r="I14" i="7"/>
  <c r="E14" i="7"/>
  <c r="AP14" i="7"/>
  <c r="AL14" i="7"/>
  <c r="AH14" i="7"/>
  <c r="AD14" i="7"/>
  <c r="Z14" i="7"/>
  <c r="V14" i="7"/>
  <c r="R14" i="7"/>
  <c r="N14" i="7"/>
  <c r="J14" i="7"/>
  <c r="F14" i="7"/>
  <c r="K22" i="7" l="1"/>
  <c r="J640" i="7" s="1"/>
  <c r="AL22" i="7"/>
  <c r="AK640" i="7" s="1"/>
  <c r="F22" i="7"/>
  <c r="E640" i="7" s="1"/>
  <c r="V22" i="7"/>
  <c r="U640" i="7" s="1"/>
  <c r="M22" i="7"/>
  <c r="L640" i="7" s="1"/>
  <c r="AC22" i="7"/>
  <c r="AB640" i="7" s="1"/>
  <c r="C22" i="7"/>
  <c r="B640" i="7" s="1"/>
  <c r="S22" i="7"/>
  <c r="R640" i="7" s="1"/>
  <c r="AI22" i="7"/>
  <c r="AH640" i="7" s="1"/>
  <c r="P22" i="7"/>
  <c r="O640" i="7" s="1"/>
  <c r="AF22" i="7"/>
  <c r="AE640" i="7" s="1"/>
  <c r="AA22" i="7"/>
  <c r="Z640" i="7" s="1"/>
  <c r="J22" i="7"/>
  <c r="I640" i="7" s="1"/>
  <c r="Z22" i="7"/>
  <c r="Y640" i="7" s="1"/>
  <c r="AP22" i="7"/>
  <c r="AO640" i="7" s="1"/>
  <c r="Q22" i="7"/>
  <c r="P640" i="7" s="1"/>
  <c r="AG22" i="7"/>
  <c r="AF640" i="7" s="1"/>
  <c r="G22" i="7"/>
  <c r="F640" i="7" s="1"/>
  <c r="W22" i="7"/>
  <c r="V640" i="7" s="1"/>
  <c r="AM22" i="7"/>
  <c r="AL640" i="7" s="1"/>
  <c r="T22" i="7"/>
  <c r="S640" i="7" s="1"/>
  <c r="AJ22" i="7"/>
  <c r="AI640" i="7" s="1"/>
  <c r="N22" i="7"/>
  <c r="M640" i="7" s="1"/>
  <c r="E22" i="7"/>
  <c r="D640" i="7" s="1"/>
  <c r="X22" i="7"/>
  <c r="W640" i="7" s="1"/>
  <c r="AD22" i="7"/>
  <c r="AC640" i="7" s="1"/>
  <c r="U22" i="7"/>
  <c r="T640" i="7" s="1"/>
  <c r="AK22" i="7"/>
  <c r="AJ640" i="7" s="1"/>
  <c r="H22" i="7"/>
  <c r="G640" i="7" s="1"/>
  <c r="AN22" i="7"/>
  <c r="AM640" i="7" s="1"/>
  <c r="R22" i="7"/>
  <c r="Q640" i="7" s="1"/>
  <c r="AH22" i="7"/>
  <c r="AG640" i="7" s="1"/>
  <c r="I22" i="7"/>
  <c r="H640" i="7" s="1"/>
  <c r="Y22" i="7"/>
  <c r="X640" i="7" s="1"/>
  <c r="AO22" i="7"/>
  <c r="AN640" i="7" s="1"/>
  <c r="O22" i="7"/>
  <c r="N640" i="7" s="1"/>
  <c r="AE22" i="7"/>
  <c r="AD640" i="7" s="1"/>
  <c r="L22" i="7"/>
  <c r="K640" i="7" s="1"/>
  <c r="AB22" i="7"/>
  <c r="AA640" i="7" s="1"/>
  <c r="D22" i="7"/>
  <c r="C640" i="7" s="1"/>
  <c r="R145" i="7"/>
  <c r="AL145" i="7" l="1"/>
  <c r="K145" i="7"/>
  <c r="AJ145" i="7"/>
  <c r="AF145" i="7"/>
  <c r="P145" i="7"/>
  <c r="Z145" i="7"/>
  <c r="C145" i="7"/>
  <c r="V145" i="7"/>
  <c r="Q145" i="7"/>
  <c r="AP145" i="7"/>
  <c r="O145" i="7"/>
  <c r="AA145" i="7"/>
  <c r="AM145" i="7"/>
  <c r="F145" i="7"/>
  <c r="W145" i="7"/>
  <c r="S145" i="7"/>
  <c r="L145" i="7"/>
  <c r="AC145" i="7"/>
  <c r="AD145" i="7"/>
  <c r="U145" i="7"/>
  <c r="M145" i="7"/>
  <c r="AK145" i="7"/>
  <c r="AI145" i="7"/>
  <c r="AH145" i="7"/>
  <c r="X145" i="7"/>
  <c r="AB145" i="7"/>
  <c r="N145" i="7"/>
  <c r="AO145" i="7"/>
  <c r="G145" i="7"/>
  <c r="Y145" i="7"/>
  <c r="AN145" i="7"/>
  <c r="H145" i="7"/>
  <c r="D145" i="7"/>
  <c r="I145" i="7"/>
  <c r="E145" i="7"/>
  <c r="T145" i="7"/>
  <c r="AG145" i="7"/>
  <c r="J145" i="7"/>
  <c r="AE145" i="7"/>
  <c r="B239" i="7" a="1"/>
  <c r="D239" i="7" s="1"/>
  <c r="B199" i="7" a="1"/>
  <c r="D199" i="7" s="1"/>
  <c r="AL239" i="7" l="1"/>
  <c r="AG239" i="7"/>
  <c r="AA239" i="7"/>
  <c r="V239" i="7"/>
  <c r="Q239" i="7"/>
  <c r="K239" i="7"/>
  <c r="F239" i="7"/>
  <c r="AP199" i="7"/>
  <c r="AK199" i="7"/>
  <c r="AE199" i="7"/>
  <c r="Z199" i="7"/>
  <c r="U199" i="7"/>
  <c r="O199" i="7"/>
  <c r="J199" i="7"/>
  <c r="E199" i="7"/>
  <c r="AP239" i="7"/>
  <c r="AK239" i="7"/>
  <c r="AE239" i="7"/>
  <c r="Z239" i="7"/>
  <c r="U239" i="7"/>
  <c r="O239" i="7"/>
  <c r="J239" i="7"/>
  <c r="E239" i="7"/>
  <c r="AO199" i="7"/>
  <c r="AI199" i="7"/>
  <c r="AD199" i="7"/>
  <c r="Y199" i="7"/>
  <c r="S199" i="7"/>
  <c r="N199" i="7"/>
  <c r="I199" i="7"/>
  <c r="C199" i="7"/>
  <c r="AO239" i="7"/>
  <c r="AI239" i="7"/>
  <c r="AD239" i="7"/>
  <c r="Y239" i="7"/>
  <c r="S239" i="7"/>
  <c r="N239" i="7"/>
  <c r="I239" i="7"/>
  <c r="C239" i="7"/>
  <c r="AM199" i="7"/>
  <c r="AH199" i="7"/>
  <c r="AC199" i="7"/>
  <c r="W199" i="7"/>
  <c r="R199" i="7"/>
  <c r="M199" i="7"/>
  <c r="G199" i="7"/>
  <c r="B199" i="7"/>
  <c r="AM239" i="7"/>
  <c r="AH239" i="7"/>
  <c r="AC239" i="7"/>
  <c r="W239" i="7"/>
  <c r="R239" i="7"/>
  <c r="M239" i="7"/>
  <c r="G239" i="7"/>
  <c r="B239" i="7"/>
  <c r="AL199" i="7"/>
  <c r="AG199" i="7"/>
  <c r="AA199" i="7"/>
  <c r="V199" i="7"/>
  <c r="Q199" i="7"/>
  <c r="K199" i="7"/>
  <c r="F199" i="7"/>
  <c r="AN239" i="7"/>
  <c r="AJ239" i="7"/>
  <c r="AF239" i="7"/>
  <c r="AB239" i="7"/>
  <c r="X239" i="7"/>
  <c r="T239" i="7"/>
  <c r="P239" i="7"/>
  <c r="L239" i="7"/>
  <c r="H239" i="7"/>
  <c r="AN199" i="7"/>
  <c r="AJ199" i="7"/>
  <c r="AF199" i="7"/>
  <c r="AB199" i="7"/>
  <c r="X199" i="7"/>
  <c r="T199" i="7"/>
  <c r="P199" i="7"/>
  <c r="L199" i="7"/>
  <c r="H199" i="7"/>
  <c r="B638" i="7"/>
  <c r="B632" i="7"/>
  <c r="B605" i="7" l="1"/>
  <c r="B606" i="7" s="1"/>
  <c r="B608" i="7" s="1"/>
  <c r="C2" i="7"/>
  <c r="C61" i="7" l="1" a="1"/>
  <c r="C61" i="7" s="1"/>
  <c r="C30" i="7"/>
  <c r="C611" i="7"/>
  <c r="C612" i="7" s="1"/>
  <c r="C618" i="7"/>
  <c r="C616" i="7"/>
  <c r="C598" i="7" s="1"/>
  <c r="C617" i="7"/>
  <c r="C620" i="7"/>
  <c r="C621" i="7" s="1"/>
  <c r="C599" i="7"/>
  <c r="C632" i="7"/>
  <c r="C638" i="7"/>
  <c r="D2" i="7"/>
  <c r="D61" i="7" s="1" a="1"/>
  <c r="D61" i="7" s="1"/>
  <c r="C43" i="1"/>
  <c r="C44" i="1"/>
  <c r="D611" i="7" l="1"/>
  <c r="D612" i="7" s="1"/>
  <c r="D618" i="7"/>
  <c r="D617" i="7"/>
  <c r="D616" i="7"/>
  <c r="D598" i="7" s="1"/>
  <c r="D620" i="7"/>
  <c r="D621" i="7" s="1"/>
  <c r="D30" i="7"/>
  <c r="D599" i="7"/>
  <c r="D32" i="7"/>
  <c r="E2" i="7"/>
  <c r="E61" i="7" s="1" a="1"/>
  <c r="E61" i="7" s="1"/>
  <c r="D632" i="7"/>
  <c r="D638" i="7"/>
  <c r="P259" i="7"/>
  <c r="P258" i="7"/>
  <c r="P257" i="7"/>
  <c r="P256" i="7"/>
  <c r="P255" i="7"/>
  <c r="P254" i="7"/>
  <c r="P253" i="7"/>
  <c r="P397" i="7"/>
  <c r="P396" i="7"/>
  <c r="P395" i="7"/>
  <c r="P394" i="7"/>
  <c r="P393" i="7"/>
  <c r="P392" i="7"/>
  <c r="G397" i="7"/>
  <c r="G396" i="7"/>
  <c r="G395" i="7"/>
  <c r="G394" i="7"/>
  <c r="G393" i="7"/>
  <c r="G392" i="7"/>
  <c r="G391" i="7"/>
  <c r="G258" i="7"/>
  <c r="G257" i="7"/>
  <c r="G256" i="7"/>
  <c r="G255" i="7"/>
  <c r="G254" i="7"/>
  <c r="G253" i="7"/>
  <c r="E611" i="7" l="1"/>
  <c r="E612" i="7" s="1"/>
  <c r="E617" i="7"/>
  <c r="E616" i="7"/>
  <c r="E598" i="7" s="1"/>
  <c r="E620" i="7"/>
  <c r="E621" i="7" s="1"/>
  <c r="E618" i="7"/>
  <c r="E30" i="7"/>
  <c r="E599" i="7"/>
  <c r="E32" i="7"/>
  <c r="F2" i="7"/>
  <c r="F61" i="7" s="1" a="1"/>
  <c r="F61" i="7" s="1"/>
  <c r="E632" i="7"/>
  <c r="E638" i="7"/>
  <c r="G398" i="7"/>
  <c r="B400" i="7" s="1"/>
  <c r="P260" i="7"/>
  <c r="G260" i="7"/>
  <c r="B262" i="7" s="1"/>
  <c r="C145" i="1"/>
  <c r="B259" i="7" s="1"/>
  <c r="C533" i="7" l="1"/>
  <c r="T533" i="7"/>
  <c r="I533" i="7"/>
  <c r="Y533" i="7"/>
  <c r="Y534" i="7" s="1"/>
  <c r="Y122" i="7" s="1"/>
  <c r="AJ533" i="7"/>
  <c r="AJ534" i="7" s="1"/>
  <c r="AJ122" i="7" s="1"/>
  <c r="O533" i="7"/>
  <c r="O534" i="7" s="1"/>
  <c r="O122" i="7" s="1"/>
  <c r="W533" i="7"/>
  <c r="W534" i="7" s="1"/>
  <c r="W122" i="7" s="1"/>
  <c r="U533" i="7"/>
  <c r="U534" i="7" s="1"/>
  <c r="U122" i="7" s="1"/>
  <c r="N533" i="7"/>
  <c r="N534" i="7" s="1"/>
  <c r="N122" i="7" s="1"/>
  <c r="AD533" i="7"/>
  <c r="AD534" i="7" s="1"/>
  <c r="AD122" i="7" s="1"/>
  <c r="AL533" i="7"/>
  <c r="AL534" i="7" s="1"/>
  <c r="AL122" i="7" s="1"/>
  <c r="AC533" i="7"/>
  <c r="AC534" i="7" s="1"/>
  <c r="AC122" i="7" s="1"/>
  <c r="AG533" i="7"/>
  <c r="AG534" i="7" s="1"/>
  <c r="AG122" i="7" s="1"/>
  <c r="J533" i="7"/>
  <c r="J534" i="7" s="1"/>
  <c r="J122" i="7" s="1"/>
  <c r="D533" i="7"/>
  <c r="D534" i="7" s="1"/>
  <c r="D122" i="7" s="1"/>
  <c r="AB533" i="7"/>
  <c r="AB534" i="7" s="1"/>
  <c r="AB122" i="7" s="1"/>
  <c r="M533" i="7"/>
  <c r="M534" i="7" s="1"/>
  <c r="M122" i="7" s="1"/>
  <c r="F533" i="7"/>
  <c r="F534" i="7" s="1"/>
  <c r="F122" i="7" s="1"/>
  <c r="R533" i="7"/>
  <c r="R534" i="7" s="1"/>
  <c r="R122" i="7" s="1"/>
  <c r="X533" i="7"/>
  <c r="X534" i="7" s="1"/>
  <c r="X122" i="7" s="1"/>
  <c r="E533" i="7"/>
  <c r="E534" i="7" s="1"/>
  <c r="E122" i="7" s="1"/>
  <c r="AK533" i="7"/>
  <c r="AK534" i="7" s="1"/>
  <c r="AK122" i="7" s="1"/>
  <c r="AE533" i="7"/>
  <c r="AE534" i="7" s="1"/>
  <c r="AE122" i="7" s="1"/>
  <c r="AI533" i="7"/>
  <c r="AI534" i="7" s="1"/>
  <c r="AI122" i="7" s="1"/>
  <c r="L533" i="7"/>
  <c r="AH533" i="7"/>
  <c r="S533" i="7"/>
  <c r="AM533" i="7"/>
  <c r="P533" i="7"/>
  <c r="AP533" i="7"/>
  <c r="AN533" i="7"/>
  <c r="AN534" i="7" s="1"/>
  <c r="AN122" i="7" s="1"/>
  <c r="G533" i="7"/>
  <c r="K533" i="7"/>
  <c r="K534" i="7" s="1"/>
  <c r="K122" i="7" s="1"/>
  <c r="AO533" i="7"/>
  <c r="H533" i="7"/>
  <c r="H534" i="7" s="1"/>
  <c r="H122" i="7" s="1"/>
  <c r="Z533" i="7"/>
  <c r="Z534" i="7" s="1"/>
  <c r="Z122" i="7" s="1"/>
  <c r="AA533" i="7"/>
  <c r="V533" i="7"/>
  <c r="V534" i="7" s="1"/>
  <c r="V122" i="7" s="1"/>
  <c r="AF533" i="7"/>
  <c r="AF534" i="7" s="1"/>
  <c r="AF122" i="7" s="1"/>
  <c r="Q533" i="7"/>
  <c r="Q534" i="7" s="1"/>
  <c r="Q122" i="7" s="1"/>
  <c r="F539" i="7"/>
  <c r="F540" i="7" s="1"/>
  <c r="F123" i="7" s="1"/>
  <c r="AF539" i="7"/>
  <c r="AF540" i="7" s="1"/>
  <c r="AF123" i="7" s="1"/>
  <c r="AJ539" i="7"/>
  <c r="AJ540" i="7" s="1"/>
  <c r="AJ123" i="7" s="1"/>
  <c r="AK539" i="7"/>
  <c r="AK540" i="7" s="1"/>
  <c r="AK123" i="7" s="1"/>
  <c r="C539" i="7"/>
  <c r="U539" i="7"/>
  <c r="U540" i="7" s="1"/>
  <c r="U123" i="7" s="1"/>
  <c r="AL539" i="7"/>
  <c r="AL540" i="7" s="1"/>
  <c r="AL123" i="7" s="1"/>
  <c r="K539" i="7"/>
  <c r="K540" i="7" s="1"/>
  <c r="K123" i="7" s="1"/>
  <c r="P539" i="7"/>
  <c r="T539" i="7"/>
  <c r="O539" i="7"/>
  <c r="O540" i="7" s="1"/>
  <c r="O123" i="7" s="1"/>
  <c r="I539" i="7"/>
  <c r="I540" i="7" s="1"/>
  <c r="I123" i="7" s="1"/>
  <c r="AA539" i="7"/>
  <c r="AA540" i="7" s="1"/>
  <c r="AA123" i="7" s="1"/>
  <c r="E539" i="7"/>
  <c r="E540" i="7" s="1"/>
  <c r="E123" i="7" s="1"/>
  <c r="AG539" i="7"/>
  <c r="AG540" i="7" s="1"/>
  <c r="AG123" i="7" s="1"/>
  <c r="S539" i="7"/>
  <c r="S540" i="7" s="1"/>
  <c r="S123" i="7" s="1"/>
  <c r="Z539" i="7"/>
  <c r="Z540" i="7" s="1"/>
  <c r="Z123" i="7" s="1"/>
  <c r="V539" i="7"/>
  <c r="V540" i="7" s="1"/>
  <c r="V123" i="7" s="1"/>
  <c r="AN539" i="7"/>
  <c r="AN540" i="7" s="1"/>
  <c r="AN123" i="7" s="1"/>
  <c r="AI539" i="7"/>
  <c r="AI540" i="7" s="1"/>
  <c r="AI123" i="7" s="1"/>
  <c r="H539" i="7"/>
  <c r="H540" i="7" s="1"/>
  <c r="H123" i="7" s="1"/>
  <c r="X539" i="7"/>
  <c r="X540" i="7" s="1"/>
  <c r="X123" i="7" s="1"/>
  <c r="AH539" i="7"/>
  <c r="AH540" i="7" s="1"/>
  <c r="AH123" i="7" s="1"/>
  <c r="AD539" i="7"/>
  <c r="AD540" i="7" s="1"/>
  <c r="AD123" i="7" s="1"/>
  <c r="AB539" i="7"/>
  <c r="AB540" i="7" s="1"/>
  <c r="AB123" i="7" s="1"/>
  <c r="AP539" i="7"/>
  <c r="AP540" i="7" s="1"/>
  <c r="AP123" i="7" s="1"/>
  <c r="AO539" i="7"/>
  <c r="AO540" i="7" s="1"/>
  <c r="AO123" i="7" s="1"/>
  <c r="W539" i="7"/>
  <c r="W540" i="7" s="1"/>
  <c r="W123" i="7" s="1"/>
  <c r="AE539" i="7"/>
  <c r="AE540" i="7" s="1"/>
  <c r="AE123" i="7" s="1"/>
  <c r="D539" i="7"/>
  <c r="D540" i="7" s="1"/>
  <c r="D123" i="7" s="1"/>
  <c r="J539" i="7"/>
  <c r="J540" i="7" s="1"/>
  <c r="J123" i="7" s="1"/>
  <c r="AC539" i="7"/>
  <c r="AC540" i="7" s="1"/>
  <c r="AC123" i="7" s="1"/>
  <c r="N539" i="7"/>
  <c r="M539" i="7"/>
  <c r="G539" i="7"/>
  <c r="AM539" i="7"/>
  <c r="AM540" i="7" s="1"/>
  <c r="AM123" i="7" s="1"/>
  <c r="R539" i="7"/>
  <c r="R540" i="7" s="1"/>
  <c r="R123" i="7" s="1"/>
  <c r="Q539" i="7"/>
  <c r="Q540" i="7" s="1"/>
  <c r="Q123" i="7" s="1"/>
  <c r="Y539" i="7"/>
  <c r="Y540" i="7" s="1"/>
  <c r="Y123" i="7" s="1"/>
  <c r="L539" i="7"/>
  <c r="L540" i="7" s="1"/>
  <c r="L123" i="7" s="1"/>
  <c r="AH534" i="7"/>
  <c r="AH122" i="7" s="1"/>
  <c r="L534" i="7"/>
  <c r="L122" i="7" s="1"/>
  <c r="AP534" i="7"/>
  <c r="AP122" i="7" s="1"/>
  <c r="C534" i="7"/>
  <c r="C122" i="7" s="1"/>
  <c r="AO534" i="7"/>
  <c r="AO122" i="7" s="1"/>
  <c r="G534" i="7"/>
  <c r="G122" i="7" s="1"/>
  <c r="S534" i="7"/>
  <c r="S122" i="7" s="1"/>
  <c r="AA534" i="7"/>
  <c r="AA122" i="7" s="1"/>
  <c r="AM534" i="7"/>
  <c r="AM122" i="7" s="1"/>
  <c r="P534" i="7"/>
  <c r="P122" i="7" s="1"/>
  <c r="T534" i="7"/>
  <c r="T122" i="7" s="1"/>
  <c r="I534" i="7"/>
  <c r="I122" i="7" s="1"/>
  <c r="G540" i="7"/>
  <c r="G123" i="7" s="1"/>
  <c r="T540" i="7"/>
  <c r="T123" i="7" s="1"/>
  <c r="P540" i="7"/>
  <c r="P123" i="7" s="1"/>
  <c r="N540" i="7"/>
  <c r="N123" i="7" s="1"/>
  <c r="M540" i="7"/>
  <c r="M123" i="7" s="1"/>
  <c r="F611" i="7"/>
  <c r="F612" i="7" s="1"/>
  <c r="F617" i="7"/>
  <c r="F616" i="7"/>
  <c r="F598" i="7" s="1"/>
  <c r="F620" i="7"/>
  <c r="F621" i="7" s="1"/>
  <c r="F618" i="7"/>
  <c r="F30" i="7"/>
  <c r="F599" i="7"/>
  <c r="F32" i="7"/>
  <c r="G2" i="7"/>
  <c r="G61" i="7" s="1" a="1"/>
  <c r="G61" i="7" s="1"/>
  <c r="F638" i="7"/>
  <c r="F632" i="7"/>
  <c r="B440" i="7"/>
  <c r="B439" i="7"/>
  <c r="C432" i="7" a="1"/>
  <c r="D432" i="7" s="1"/>
  <c r="M397" i="7"/>
  <c r="M396" i="7"/>
  <c r="B397" i="7"/>
  <c r="B302" i="7"/>
  <c r="B301" i="7"/>
  <c r="C294" i="7" a="1"/>
  <c r="D294" i="7" s="1"/>
  <c r="B294" i="7"/>
  <c r="B293" i="7"/>
  <c r="M259" i="7"/>
  <c r="M258" i="7"/>
  <c r="B258" i="7"/>
  <c r="AA124" i="7" l="1"/>
  <c r="AB124" i="7"/>
  <c r="N124" i="7"/>
  <c r="Y124" i="7"/>
  <c r="AM124" i="7"/>
  <c r="G124" i="7"/>
  <c r="AE124" i="7"/>
  <c r="E124" i="7"/>
  <c r="O124" i="7"/>
  <c r="K124" i="7"/>
  <c r="AK124" i="7"/>
  <c r="M124" i="7"/>
  <c r="AJ124" i="7"/>
  <c r="F124" i="7"/>
  <c r="AC124" i="7"/>
  <c r="AD124" i="7"/>
  <c r="AI124" i="7"/>
  <c r="AH124" i="7"/>
  <c r="S124" i="7"/>
  <c r="X124" i="7"/>
  <c r="I124" i="7"/>
  <c r="AO124" i="7"/>
  <c r="I398" i="7"/>
  <c r="C540" i="7"/>
  <c r="C123" i="7" s="1"/>
  <c r="C124" i="7" s="1"/>
  <c r="AG124" i="7"/>
  <c r="V124" i="7"/>
  <c r="AP124" i="7"/>
  <c r="J124" i="7"/>
  <c r="AF124" i="7"/>
  <c r="U124" i="7"/>
  <c r="L124" i="7"/>
  <c r="Q124" i="7"/>
  <c r="H124" i="7"/>
  <c r="D124" i="7"/>
  <c r="W124" i="7"/>
  <c r="R124" i="7"/>
  <c r="T124" i="7"/>
  <c r="AL124" i="7"/>
  <c r="Z124" i="7"/>
  <c r="P124" i="7"/>
  <c r="AN124" i="7"/>
  <c r="G611" i="7"/>
  <c r="G612" i="7" s="1"/>
  <c r="G618" i="7"/>
  <c r="G617" i="7"/>
  <c r="G620" i="7"/>
  <c r="G621" i="7" s="1"/>
  <c r="G616" i="7"/>
  <c r="G598" i="7" s="1"/>
  <c r="G30" i="7"/>
  <c r="G32" i="7"/>
  <c r="G599" i="7"/>
  <c r="H2" i="7"/>
  <c r="H61" i="7" s="1" a="1"/>
  <c r="H61" i="7" s="1"/>
  <c r="G632" i="7"/>
  <c r="G638" i="7"/>
  <c r="AM432" i="7"/>
  <c r="AI432" i="7"/>
  <c r="AE432" i="7"/>
  <c r="AA432" i="7"/>
  <c r="W432" i="7"/>
  <c r="S432" i="7"/>
  <c r="O432" i="7"/>
  <c r="K432" i="7"/>
  <c r="G432" i="7"/>
  <c r="C432" i="7"/>
  <c r="AP432" i="7"/>
  <c r="AL432" i="7"/>
  <c r="AH432" i="7"/>
  <c r="AD432" i="7"/>
  <c r="Z432" i="7"/>
  <c r="V432" i="7"/>
  <c r="R432" i="7"/>
  <c r="N432" i="7"/>
  <c r="J432" i="7"/>
  <c r="F432" i="7"/>
  <c r="AO432" i="7"/>
  <c r="AK432" i="7"/>
  <c r="AG432" i="7"/>
  <c r="AC432" i="7"/>
  <c r="Y432" i="7"/>
  <c r="U432" i="7"/>
  <c r="Q432" i="7"/>
  <c r="M432" i="7"/>
  <c r="I432" i="7"/>
  <c r="E432" i="7"/>
  <c r="AN432" i="7"/>
  <c r="AJ432" i="7"/>
  <c r="AF432" i="7"/>
  <c r="AB432" i="7"/>
  <c r="X432" i="7"/>
  <c r="T432" i="7"/>
  <c r="P432" i="7"/>
  <c r="L432" i="7"/>
  <c r="H432" i="7"/>
  <c r="AO294" i="7"/>
  <c r="AK294" i="7"/>
  <c r="AG294" i="7"/>
  <c r="AC294" i="7"/>
  <c r="Y294" i="7"/>
  <c r="U294" i="7"/>
  <c r="Q294" i="7"/>
  <c r="M294" i="7"/>
  <c r="I294" i="7"/>
  <c r="E294" i="7"/>
  <c r="AM294" i="7"/>
  <c r="AI294" i="7"/>
  <c r="AE294" i="7"/>
  <c r="AA294" i="7"/>
  <c r="W294" i="7"/>
  <c r="S294" i="7"/>
  <c r="O294" i="7"/>
  <c r="K294" i="7"/>
  <c r="G294" i="7"/>
  <c r="C294" i="7"/>
  <c r="AP294" i="7"/>
  <c r="AL294" i="7"/>
  <c r="AH294" i="7"/>
  <c r="AD294" i="7"/>
  <c r="Z294" i="7"/>
  <c r="V294" i="7"/>
  <c r="R294" i="7"/>
  <c r="N294" i="7"/>
  <c r="J294" i="7"/>
  <c r="F294" i="7"/>
  <c r="AN294" i="7"/>
  <c r="AJ294" i="7"/>
  <c r="AF294" i="7"/>
  <c r="AB294" i="7"/>
  <c r="X294" i="7"/>
  <c r="T294" i="7"/>
  <c r="P294" i="7"/>
  <c r="L294" i="7"/>
  <c r="H294" i="7"/>
  <c r="H611" i="7" l="1"/>
  <c r="H612" i="7" s="1"/>
  <c r="H620" i="7"/>
  <c r="H621" i="7" s="1"/>
  <c r="H617" i="7"/>
  <c r="H616" i="7"/>
  <c r="H598" i="7" s="1"/>
  <c r="H618" i="7"/>
  <c r="H30" i="7"/>
  <c r="H599" i="7"/>
  <c r="H32" i="7"/>
  <c r="I2" i="7"/>
  <c r="I61" i="7" s="1" a="1"/>
  <c r="I61" i="7" s="1"/>
  <c r="H638" i="7"/>
  <c r="H632" i="7"/>
  <c r="B432" i="7" a="1"/>
  <c r="B432" i="7" s="1"/>
  <c r="I611" i="7" l="1"/>
  <c r="I612" i="7" s="1"/>
  <c r="I617" i="7"/>
  <c r="I616" i="7"/>
  <c r="I598" i="7" s="1"/>
  <c r="I620" i="7"/>
  <c r="I621" i="7" s="1"/>
  <c r="I618" i="7"/>
  <c r="I30" i="7"/>
  <c r="I599" i="7"/>
  <c r="I32" i="7"/>
  <c r="J2" i="7"/>
  <c r="J61" i="7" s="1" a="1"/>
  <c r="J61" i="7" s="1"/>
  <c r="I638" i="7"/>
  <c r="I632" i="7"/>
  <c r="B628" i="7" a="1"/>
  <c r="C628" i="7" s="1"/>
  <c r="B627" i="7" a="1"/>
  <c r="C627" i="7" s="1"/>
  <c r="B626" i="7" a="1"/>
  <c r="B626" i="7" s="1"/>
  <c r="C397" i="7" l="1"/>
  <c r="C394" i="7"/>
  <c r="C393" i="7"/>
  <c r="C392" i="7"/>
  <c r="C391" i="7"/>
  <c r="C259" i="7"/>
  <c r="C258" i="7"/>
  <c r="C257" i="7"/>
  <c r="C256" i="7"/>
  <c r="C255" i="7"/>
  <c r="C254" i="7"/>
  <c r="C253" i="7"/>
  <c r="C396" i="7"/>
  <c r="C395" i="7"/>
  <c r="J611" i="7"/>
  <c r="J612" i="7" s="1"/>
  <c r="J617" i="7"/>
  <c r="J616" i="7"/>
  <c r="J598" i="7" s="1"/>
  <c r="J620" i="7"/>
  <c r="J621" i="7" s="1"/>
  <c r="J618" i="7"/>
  <c r="J30" i="7"/>
  <c r="J599" i="7"/>
  <c r="J32" i="7"/>
  <c r="K2" i="7"/>
  <c r="K61" i="7" s="1" a="1"/>
  <c r="K61" i="7" s="1"/>
  <c r="J638" i="7"/>
  <c r="J632" i="7"/>
  <c r="AO627" i="7"/>
  <c r="AG627" i="7"/>
  <c r="Y627" i="7"/>
  <c r="Q627" i="7"/>
  <c r="AL627" i="7"/>
  <c r="AD627" i="7"/>
  <c r="V627" i="7"/>
  <c r="N627" i="7"/>
  <c r="F627" i="7"/>
  <c r="AK627" i="7"/>
  <c r="AC627" i="7"/>
  <c r="U627" i="7"/>
  <c r="M627" i="7"/>
  <c r="E627" i="7"/>
  <c r="AP627" i="7"/>
  <c r="AH627" i="7"/>
  <c r="Z627" i="7"/>
  <c r="R627" i="7"/>
  <c r="J627" i="7"/>
  <c r="B627" i="7"/>
  <c r="I627" i="7"/>
  <c r="AL628" i="7"/>
  <c r="AD628" i="7"/>
  <c r="V628" i="7"/>
  <c r="N628" i="7"/>
  <c r="F628" i="7"/>
  <c r="AK628" i="7"/>
  <c r="AC628" i="7"/>
  <c r="U628" i="7"/>
  <c r="M628" i="7"/>
  <c r="E628" i="7"/>
  <c r="AN628" i="7"/>
  <c r="AJ628" i="7"/>
  <c r="AF628" i="7"/>
  <c r="AB628" i="7"/>
  <c r="X628" i="7"/>
  <c r="T628" i="7"/>
  <c r="P628" i="7"/>
  <c r="L628" i="7"/>
  <c r="H628" i="7"/>
  <c r="D628" i="7"/>
  <c r="AP628" i="7"/>
  <c r="AH628" i="7"/>
  <c r="Z628" i="7"/>
  <c r="R628" i="7"/>
  <c r="J628" i="7"/>
  <c r="B628" i="7"/>
  <c r="C625" i="7" s="1"/>
  <c r="AO628" i="7"/>
  <c r="AG628" i="7"/>
  <c r="Y628" i="7"/>
  <c r="Q628" i="7"/>
  <c r="I628" i="7"/>
  <c r="AM628" i="7"/>
  <c r="AI628" i="7"/>
  <c r="AE628" i="7"/>
  <c r="AA628" i="7"/>
  <c r="W628" i="7"/>
  <c r="S628" i="7"/>
  <c r="O628" i="7"/>
  <c r="K628" i="7"/>
  <c r="G628" i="7"/>
  <c r="AN627" i="7"/>
  <c r="AJ627" i="7"/>
  <c r="AF627" i="7"/>
  <c r="AB627" i="7"/>
  <c r="X627" i="7"/>
  <c r="T627" i="7"/>
  <c r="P627" i="7"/>
  <c r="L627" i="7"/>
  <c r="H627" i="7"/>
  <c r="D627" i="7"/>
  <c r="AM627" i="7"/>
  <c r="AI627" i="7"/>
  <c r="AE627" i="7"/>
  <c r="AA627" i="7"/>
  <c r="W627" i="7"/>
  <c r="S627" i="7"/>
  <c r="O627" i="7"/>
  <c r="K627" i="7"/>
  <c r="G627" i="7"/>
  <c r="AN626" i="7"/>
  <c r="AF626" i="7"/>
  <c r="X626" i="7"/>
  <c r="P626" i="7"/>
  <c r="H626" i="7"/>
  <c r="AM626" i="7"/>
  <c r="AE626" i="7"/>
  <c r="AA626" i="7"/>
  <c r="W626" i="7"/>
  <c r="S626" i="7"/>
  <c r="O626" i="7"/>
  <c r="K626" i="7"/>
  <c r="G626" i="7"/>
  <c r="C626" i="7"/>
  <c r="AO626" i="7"/>
  <c r="AK626" i="7"/>
  <c r="AG626" i="7"/>
  <c r="AC626" i="7"/>
  <c r="Y626" i="7"/>
  <c r="U626" i="7"/>
  <c r="Q626" i="7"/>
  <c r="M626" i="7"/>
  <c r="I626" i="7"/>
  <c r="E626" i="7"/>
  <c r="AJ626" i="7"/>
  <c r="AB626" i="7"/>
  <c r="T626" i="7"/>
  <c r="L626" i="7"/>
  <c r="D626" i="7"/>
  <c r="AI626" i="7"/>
  <c r="AP626" i="7"/>
  <c r="AL626" i="7"/>
  <c r="AH626" i="7"/>
  <c r="AD626" i="7"/>
  <c r="Z626" i="7"/>
  <c r="V626" i="7"/>
  <c r="R626" i="7"/>
  <c r="N626" i="7"/>
  <c r="J626" i="7"/>
  <c r="F626" i="7"/>
  <c r="K611" i="7" l="1"/>
  <c r="K612" i="7" s="1"/>
  <c r="K618" i="7"/>
  <c r="K620" i="7"/>
  <c r="K621" i="7" s="1"/>
  <c r="K617" i="7"/>
  <c r="K616" i="7"/>
  <c r="K598" i="7" s="1"/>
  <c r="K30" i="7"/>
  <c r="K599" i="7"/>
  <c r="K32" i="7"/>
  <c r="L2" i="7"/>
  <c r="L61" i="7" s="1" a="1"/>
  <c r="L61" i="7" s="1"/>
  <c r="K632" i="7"/>
  <c r="K638" i="7"/>
  <c r="L611" i="7" l="1"/>
  <c r="L612" i="7" s="1"/>
  <c r="L617" i="7"/>
  <c r="L616" i="7"/>
  <c r="L598" i="7" s="1"/>
  <c r="L618" i="7"/>
  <c r="L620" i="7"/>
  <c r="L621" i="7" s="1"/>
  <c r="L30" i="7"/>
  <c r="L599" i="7"/>
  <c r="L32" i="7"/>
  <c r="M2" i="7"/>
  <c r="M61" i="7" s="1" a="1"/>
  <c r="M61" i="7" s="1"/>
  <c r="L632" i="7"/>
  <c r="L638" i="7"/>
  <c r="M611" i="7" l="1"/>
  <c r="M612" i="7" s="1"/>
  <c r="M617" i="7"/>
  <c r="M616" i="7"/>
  <c r="M598" i="7" s="1"/>
  <c r="M620" i="7"/>
  <c r="M621" i="7" s="1"/>
  <c r="M618" i="7"/>
  <c r="M30" i="7"/>
  <c r="M599" i="7"/>
  <c r="M32" i="7"/>
  <c r="N2" i="7"/>
  <c r="N61" i="7" s="1" a="1"/>
  <c r="N61" i="7" s="1"/>
  <c r="M632" i="7"/>
  <c r="M638" i="7"/>
  <c r="B94" i="7"/>
  <c r="N611" i="7" l="1"/>
  <c r="N612" i="7" s="1"/>
  <c r="N617" i="7"/>
  <c r="N616" i="7"/>
  <c r="N598" i="7" s="1"/>
  <c r="N620" i="7"/>
  <c r="N621" i="7" s="1"/>
  <c r="N618" i="7"/>
  <c r="N30" i="7"/>
  <c r="N599" i="7"/>
  <c r="N32" i="7"/>
  <c r="O2" i="7"/>
  <c r="O61" i="7" s="1" a="1"/>
  <c r="O61" i="7" s="1"/>
  <c r="N638" i="7"/>
  <c r="N632" i="7"/>
  <c r="O611" i="7" l="1"/>
  <c r="O612" i="7" s="1"/>
  <c r="O618" i="7"/>
  <c r="O617" i="7"/>
  <c r="O616" i="7"/>
  <c r="O598" i="7" s="1"/>
  <c r="O620" i="7"/>
  <c r="O621" i="7" s="1"/>
  <c r="O30" i="7"/>
  <c r="O599" i="7"/>
  <c r="O32" i="7"/>
  <c r="P2" i="7"/>
  <c r="P61" i="7" s="1" a="1"/>
  <c r="P61" i="7" s="1"/>
  <c r="O632" i="7"/>
  <c r="O638" i="7"/>
  <c r="P611" i="7" l="1"/>
  <c r="P612" i="7" s="1"/>
  <c r="P620" i="7"/>
  <c r="P621" i="7" s="1"/>
  <c r="P617" i="7"/>
  <c r="P616" i="7"/>
  <c r="P598" i="7" s="1"/>
  <c r="P618" i="7"/>
  <c r="P30" i="7"/>
  <c r="P599" i="7"/>
  <c r="P32" i="7"/>
  <c r="Q2" i="7"/>
  <c r="Q61" i="7" s="1" a="1"/>
  <c r="Q61" i="7" s="1"/>
  <c r="P638" i="7"/>
  <c r="P632" i="7"/>
  <c r="Q611" i="7" l="1"/>
  <c r="Q612" i="7" s="1"/>
  <c r="Q617" i="7"/>
  <c r="Q616" i="7"/>
  <c r="Q598" i="7" s="1"/>
  <c r="Q620" i="7"/>
  <c r="Q621" i="7" s="1"/>
  <c r="Q618" i="7"/>
  <c r="Q30" i="7"/>
  <c r="Q599" i="7"/>
  <c r="Q32" i="7"/>
  <c r="R2" i="7"/>
  <c r="R61" i="7" s="1" a="1"/>
  <c r="R61" i="7" s="1"/>
  <c r="Q638" i="7"/>
  <c r="Q632" i="7"/>
  <c r="D147" i="1"/>
  <c r="R611" i="7" l="1"/>
  <c r="R612" i="7" s="1"/>
  <c r="R617" i="7"/>
  <c r="R616" i="7"/>
  <c r="R598" i="7" s="1"/>
  <c r="R620" i="7"/>
  <c r="R621" i="7" s="1"/>
  <c r="R618" i="7"/>
  <c r="R30" i="7"/>
  <c r="R599" i="7"/>
  <c r="R32" i="7"/>
  <c r="S2" i="7"/>
  <c r="S61" i="7" s="1" a="1"/>
  <c r="S61" i="7" s="1"/>
  <c r="R638" i="7"/>
  <c r="R632" i="7"/>
  <c r="E147" i="1"/>
  <c r="S611" i="7" l="1"/>
  <c r="S612" i="7" s="1"/>
  <c r="S618" i="7"/>
  <c r="S617" i="7"/>
  <c r="S616" i="7"/>
  <c r="S598" i="7" s="1"/>
  <c r="S620" i="7"/>
  <c r="S621" i="7" s="1"/>
  <c r="S30" i="7"/>
  <c r="S599" i="7"/>
  <c r="S32" i="7"/>
  <c r="F147" i="1"/>
  <c r="G147" i="1" s="1"/>
  <c r="T2" i="7"/>
  <c r="T61" i="7" s="1" a="1"/>
  <c r="T61" i="7" s="1"/>
  <c r="S632" i="7"/>
  <c r="S638" i="7"/>
  <c r="B85" i="7"/>
  <c r="T611" i="7" l="1"/>
  <c r="T612" i="7" s="1"/>
  <c r="T618" i="7"/>
  <c r="T617" i="7"/>
  <c r="T616" i="7"/>
  <c r="T598" i="7" s="1"/>
  <c r="T620" i="7"/>
  <c r="T621" i="7" s="1"/>
  <c r="T30" i="7"/>
  <c r="T599" i="7"/>
  <c r="T32" i="7"/>
  <c r="U2" i="7"/>
  <c r="U61" i="7" s="1" a="1"/>
  <c r="U61" i="7" s="1"/>
  <c r="T632" i="7"/>
  <c r="T638" i="7"/>
  <c r="H147" i="1"/>
  <c r="B84" i="7"/>
  <c r="U611" i="7" l="1"/>
  <c r="U612" i="7" s="1"/>
  <c r="U617" i="7"/>
  <c r="U616" i="7"/>
  <c r="U598" i="7" s="1"/>
  <c r="U620" i="7"/>
  <c r="U621" i="7" s="1"/>
  <c r="U618" i="7"/>
  <c r="U30" i="7"/>
  <c r="U599" i="7"/>
  <c r="U32" i="7"/>
  <c r="V2" i="7"/>
  <c r="U638" i="7"/>
  <c r="U632" i="7"/>
  <c r="I147" i="1"/>
  <c r="V61" i="7" l="1" a="1"/>
  <c r="V61" i="7" s="1"/>
  <c r="V611" i="7"/>
  <c r="V612" i="7" s="1"/>
  <c r="V617" i="7"/>
  <c r="V616" i="7"/>
  <c r="V598" i="7" s="1"/>
  <c r="V620" i="7"/>
  <c r="V621" i="7" s="1"/>
  <c r="V618" i="7"/>
  <c r="V30" i="7"/>
  <c r="V599" i="7"/>
  <c r="V32" i="7"/>
  <c r="W2" i="7"/>
  <c r="W61" i="7" s="1" a="1"/>
  <c r="W61" i="7" s="1"/>
  <c r="V638" i="7"/>
  <c r="V632" i="7"/>
  <c r="J147" i="1"/>
  <c r="M391" i="7"/>
  <c r="B420" i="7"/>
  <c r="B419" i="7"/>
  <c r="B417" i="7"/>
  <c r="B279" i="7"/>
  <c r="B414" i="7"/>
  <c r="B413" i="7"/>
  <c r="B412" i="7"/>
  <c r="B411" i="7"/>
  <c r="B276" i="7"/>
  <c r="B275" i="7"/>
  <c r="B274" i="7"/>
  <c r="B282" i="7"/>
  <c r="B281" i="7"/>
  <c r="W611" i="7" l="1"/>
  <c r="W612" i="7" s="1"/>
  <c r="W618" i="7"/>
  <c r="W617" i="7"/>
  <c r="W620" i="7"/>
  <c r="W621" i="7" s="1"/>
  <c r="W616" i="7"/>
  <c r="W598" i="7" s="1"/>
  <c r="W30" i="7"/>
  <c r="W599" i="7"/>
  <c r="W32" i="7"/>
  <c r="X2" i="7"/>
  <c r="X61" i="7" s="1" a="1"/>
  <c r="X61" i="7" s="1"/>
  <c r="W632" i="7"/>
  <c r="W638" i="7"/>
  <c r="K147" i="1"/>
  <c r="X611" i="7" l="1"/>
  <c r="X612" i="7" s="1"/>
  <c r="X616" i="7"/>
  <c r="X598" i="7" s="1"/>
  <c r="X618" i="7"/>
  <c r="X617" i="7"/>
  <c r="X620" i="7"/>
  <c r="X621" i="7" s="1"/>
  <c r="X30" i="7"/>
  <c r="X599" i="7"/>
  <c r="X32" i="7"/>
  <c r="Y2" i="7"/>
  <c r="X638" i="7"/>
  <c r="X632" i="7"/>
  <c r="L147" i="1"/>
  <c r="B646" i="7"/>
  <c r="B95" i="7"/>
  <c r="Y61" i="7" l="1" a="1"/>
  <c r="Y61" i="7" s="1"/>
  <c r="Y611" i="7"/>
  <c r="Y612" i="7" s="1"/>
  <c r="Y617" i="7"/>
  <c r="Y616" i="7"/>
  <c r="Y598" i="7" s="1"/>
  <c r="Y620" i="7"/>
  <c r="Y621" i="7" s="1"/>
  <c r="Y618" i="7"/>
  <c r="Y30" i="7"/>
  <c r="Y599" i="7"/>
  <c r="Y32" i="7"/>
  <c r="Z2" i="7"/>
  <c r="Z61" i="7" s="1" a="1"/>
  <c r="Z61" i="7" s="1"/>
  <c r="Y638" i="7"/>
  <c r="Y632" i="7"/>
  <c r="M147" i="1"/>
  <c r="B86" i="7"/>
  <c r="B83" i="7"/>
  <c r="Z611" i="7" l="1"/>
  <c r="Z612" i="7" s="1"/>
  <c r="Z617" i="7"/>
  <c r="Z616" i="7"/>
  <c r="Z598" i="7" s="1"/>
  <c r="Z620" i="7"/>
  <c r="Z621" i="7" s="1"/>
  <c r="Z618" i="7"/>
  <c r="Z30" i="7"/>
  <c r="Z599" i="7"/>
  <c r="Z32" i="7"/>
  <c r="AA2" i="7"/>
  <c r="Z638" i="7"/>
  <c r="Z632" i="7"/>
  <c r="N147" i="1"/>
  <c r="G84" i="1"/>
  <c r="G83" i="1"/>
  <c r="G82" i="1"/>
  <c r="G81" i="1"/>
  <c r="G80" i="1"/>
  <c r="AA61" i="7" l="1" a="1"/>
  <c r="AA61" i="7" s="1"/>
  <c r="AA611" i="7"/>
  <c r="AA612" i="7" s="1"/>
  <c r="AA618" i="7"/>
  <c r="AA616" i="7"/>
  <c r="AA598" i="7" s="1"/>
  <c r="AA617" i="7"/>
  <c r="AA620" i="7"/>
  <c r="AA621" i="7" s="1"/>
  <c r="AA30" i="7"/>
  <c r="AA599" i="7"/>
  <c r="AA32" i="7"/>
  <c r="AB2" i="7"/>
  <c r="AB61" i="7" s="1" a="1"/>
  <c r="AB61" i="7" s="1"/>
  <c r="AA632" i="7"/>
  <c r="AA638" i="7"/>
  <c r="O147" i="1"/>
  <c r="B395" i="7"/>
  <c r="B394" i="7"/>
  <c r="B257" i="7"/>
  <c r="B256" i="7"/>
  <c r="B392" i="7"/>
  <c r="B255" i="7"/>
  <c r="B391" i="7"/>
  <c r="B254" i="7"/>
  <c r="B253" i="7"/>
  <c r="B393" i="7"/>
  <c r="B396" i="7"/>
  <c r="C144" i="1"/>
  <c r="H80" i="1"/>
  <c r="I80" i="1" s="1"/>
  <c r="H82" i="1"/>
  <c r="I82" i="1" s="1"/>
  <c r="H83" i="1"/>
  <c r="I83" i="1" s="1"/>
  <c r="H84" i="1"/>
  <c r="I84" i="1" s="1"/>
  <c r="H81" i="1"/>
  <c r="I81" i="1" s="1"/>
  <c r="G85" i="1"/>
  <c r="AB611" i="7" l="1"/>
  <c r="AB612" i="7" s="1"/>
  <c r="AB620" i="7"/>
  <c r="AB621" i="7" s="1"/>
  <c r="AB618" i="7"/>
  <c r="AB617" i="7"/>
  <c r="AB616" i="7"/>
  <c r="AB598" i="7" s="1"/>
  <c r="AB30" i="7"/>
  <c r="AB599" i="7"/>
  <c r="AB32" i="7"/>
  <c r="AC2" i="7"/>
  <c r="AC61" i="7" s="1" a="1"/>
  <c r="AC61" i="7" s="1"/>
  <c r="AB632" i="7"/>
  <c r="AB638" i="7"/>
  <c r="B260" i="7"/>
  <c r="B398" i="7"/>
  <c r="P147" i="1"/>
  <c r="H85" i="1"/>
  <c r="I85" i="1"/>
  <c r="B87" i="7" s="1"/>
  <c r="C41" i="1"/>
  <c r="B161" i="7" l="1"/>
  <c r="B162" i="7" s="1"/>
  <c r="B160" i="7"/>
  <c r="AC611" i="7"/>
  <c r="AC612" i="7" s="1"/>
  <c r="AC617" i="7"/>
  <c r="AC616" i="7"/>
  <c r="AC598" i="7" s="1"/>
  <c r="AC620" i="7"/>
  <c r="AC621" i="7" s="1"/>
  <c r="AC618" i="7"/>
  <c r="AC30" i="7"/>
  <c r="AC599" i="7"/>
  <c r="AC32" i="7"/>
  <c r="AD2" i="7"/>
  <c r="AD61" i="7" s="1" a="1"/>
  <c r="AD61" i="7" s="1"/>
  <c r="AC638" i="7"/>
  <c r="AC632" i="7"/>
  <c r="Q147" i="1"/>
  <c r="B296" i="7"/>
  <c r="G42" i="4"/>
  <c r="G3" i="4"/>
  <c r="AD611" i="7" l="1"/>
  <c r="AD612" i="7" s="1"/>
  <c r="AD617" i="7"/>
  <c r="AD616" i="7"/>
  <c r="AD598" i="7" s="1"/>
  <c r="AD620" i="7"/>
  <c r="AD621" i="7" s="1"/>
  <c r="AD618" i="7"/>
  <c r="AD30" i="7"/>
  <c r="AD599" i="7"/>
  <c r="AD32" i="7"/>
  <c r="AE2" i="7"/>
  <c r="AE61" i="7" s="1" a="1"/>
  <c r="AE61" i="7" s="1"/>
  <c r="AD638" i="7"/>
  <c r="AD632" i="7"/>
  <c r="R147" i="1"/>
  <c r="C570" i="7"/>
  <c r="C571" i="7"/>
  <c r="C572" i="7"/>
  <c r="C573" i="7"/>
  <c r="C563" i="7"/>
  <c r="C564" i="7"/>
  <c r="C565" i="7"/>
  <c r="C566" i="7"/>
  <c r="C182" i="7" l="1"/>
  <c r="C222" i="7"/>
  <c r="C180" i="7"/>
  <c r="C220" i="7"/>
  <c r="C181" i="7"/>
  <c r="C221" i="7"/>
  <c r="B273" i="7"/>
  <c r="C219" i="7"/>
  <c r="AE611" i="7"/>
  <c r="AE612" i="7" s="1"/>
  <c r="AE618" i="7"/>
  <c r="AE617" i="7"/>
  <c r="AE616" i="7"/>
  <c r="AE598" i="7" s="1"/>
  <c r="AE620" i="7"/>
  <c r="AE621" i="7" s="1"/>
  <c r="AE30" i="7"/>
  <c r="AE32" i="7"/>
  <c r="AE599" i="7"/>
  <c r="C228" i="7"/>
  <c r="C188" i="7"/>
  <c r="C227" i="7"/>
  <c r="C187" i="7"/>
  <c r="C226" i="7"/>
  <c r="C186" i="7"/>
  <c r="C185" i="7"/>
  <c r="C225" i="7"/>
  <c r="AF2" i="7"/>
  <c r="AF61" i="7" s="1" a="1"/>
  <c r="AF61" i="7" s="1"/>
  <c r="AE632" i="7"/>
  <c r="AE638" i="7"/>
  <c r="S147" i="1"/>
  <c r="B280" i="7"/>
  <c r="B283" i="7" s="1"/>
  <c r="B418" i="7"/>
  <c r="C567" i="7"/>
  <c r="C574" i="7"/>
  <c r="B89" i="7" s="1"/>
  <c r="C179" i="7"/>
  <c r="E259" i="7" l="1"/>
  <c r="E258" i="7"/>
  <c r="E254" i="7"/>
  <c r="E256" i="7"/>
  <c r="E253" i="7"/>
  <c r="E255" i="7"/>
  <c r="E257" i="7"/>
  <c r="AF611" i="7"/>
  <c r="AF612" i="7" s="1"/>
  <c r="AF618" i="7"/>
  <c r="AF617" i="7"/>
  <c r="AF616" i="7"/>
  <c r="AF598" i="7" s="1"/>
  <c r="AF620" i="7"/>
  <c r="AF621" i="7" s="1"/>
  <c r="AF30" i="7"/>
  <c r="AF599" i="7"/>
  <c r="AF32" i="7"/>
  <c r="AG2" i="7"/>
  <c r="AG61" i="7" s="1" a="1"/>
  <c r="AG61" i="7" s="1"/>
  <c r="AF638" i="7"/>
  <c r="AF632" i="7"/>
  <c r="T147" i="1"/>
  <c r="C229" i="7"/>
  <c r="C54" i="1"/>
  <c r="C49" i="1"/>
  <c r="C32" i="7" s="1"/>
  <c r="E260" i="7" l="1"/>
  <c r="AG611" i="7"/>
  <c r="AG612" i="7" s="1"/>
  <c r="AG617" i="7"/>
  <c r="AG616" i="7"/>
  <c r="AG598" i="7" s="1"/>
  <c r="AG620" i="7"/>
  <c r="AG621" i="7" s="1"/>
  <c r="AG618" i="7"/>
  <c r="AG30" i="7"/>
  <c r="AG599" i="7"/>
  <c r="AG32" i="7"/>
  <c r="AH2" i="7"/>
  <c r="AH61" i="7" s="1" a="1"/>
  <c r="AH61" i="7" s="1"/>
  <c r="AG638" i="7"/>
  <c r="AG632" i="7"/>
  <c r="U147" i="1"/>
  <c r="B408" i="7"/>
  <c r="B407" i="7"/>
  <c r="B406" i="7"/>
  <c r="B405" i="7"/>
  <c r="B409" i="7" s="1"/>
  <c r="B270" i="7"/>
  <c r="B269" i="7"/>
  <c r="B268" i="7"/>
  <c r="B267" i="7"/>
  <c r="AP26" i="7"/>
  <c r="AO26" i="7"/>
  <c r="AN26" i="7"/>
  <c r="AM26" i="7"/>
  <c r="AL26" i="7"/>
  <c r="AK26" i="7"/>
  <c r="AJ26" i="7"/>
  <c r="AI26" i="7"/>
  <c r="AH26" i="7"/>
  <c r="AG26" i="7"/>
  <c r="AF26" i="7"/>
  <c r="AE26" i="7"/>
  <c r="AD26" i="7"/>
  <c r="AC26" i="7"/>
  <c r="AB26" i="7"/>
  <c r="AA26" i="7"/>
  <c r="Z26" i="7"/>
  <c r="Y26" i="7"/>
  <c r="X26" i="7"/>
  <c r="W26" i="7"/>
  <c r="V26" i="7"/>
  <c r="U26" i="7"/>
  <c r="T26" i="7"/>
  <c r="S26" i="7"/>
  <c r="R26" i="7"/>
  <c r="Q26" i="7"/>
  <c r="P26" i="7"/>
  <c r="O26" i="7"/>
  <c r="N26" i="7"/>
  <c r="M26" i="7"/>
  <c r="L26" i="7"/>
  <c r="K26" i="7"/>
  <c r="J26" i="7"/>
  <c r="I26" i="7"/>
  <c r="H26" i="7"/>
  <c r="G26" i="7"/>
  <c r="F26" i="7"/>
  <c r="E26" i="7"/>
  <c r="D26" i="7"/>
  <c r="C26" i="7"/>
  <c r="AP25" i="7"/>
  <c r="AO25" i="7"/>
  <c r="AN25" i="7"/>
  <c r="AM25" i="7"/>
  <c r="AL25" i="7"/>
  <c r="AK25" i="7"/>
  <c r="AJ25" i="7"/>
  <c r="AI25" i="7"/>
  <c r="AH25" i="7"/>
  <c r="AG25" i="7"/>
  <c r="AF25" i="7"/>
  <c r="AE25" i="7"/>
  <c r="AD25" i="7"/>
  <c r="AC25" i="7"/>
  <c r="AB25" i="7"/>
  <c r="AA25" i="7"/>
  <c r="Z25" i="7"/>
  <c r="Y25" i="7"/>
  <c r="X25" i="7"/>
  <c r="W25" i="7"/>
  <c r="V25" i="7"/>
  <c r="U25" i="7"/>
  <c r="T25" i="7"/>
  <c r="S25" i="7"/>
  <c r="R25" i="7"/>
  <c r="Q25" i="7"/>
  <c r="P25" i="7"/>
  <c r="O25" i="7"/>
  <c r="N25" i="7"/>
  <c r="M25" i="7"/>
  <c r="L25" i="7"/>
  <c r="K25" i="7"/>
  <c r="J25" i="7"/>
  <c r="I25" i="7"/>
  <c r="H25" i="7"/>
  <c r="G25" i="7"/>
  <c r="F25" i="7"/>
  <c r="E25" i="7"/>
  <c r="D25" i="7"/>
  <c r="C25" i="7"/>
  <c r="AP24" i="7"/>
  <c r="AO24" i="7"/>
  <c r="AN24" i="7"/>
  <c r="AM24"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AH611" i="7" l="1"/>
  <c r="AH612" i="7" s="1"/>
  <c r="AH617" i="7"/>
  <c r="AH616" i="7"/>
  <c r="AH598" i="7" s="1"/>
  <c r="AH620" i="7"/>
  <c r="AH621" i="7" s="1"/>
  <c r="AH618" i="7"/>
  <c r="AH30" i="7"/>
  <c r="AH599" i="7"/>
  <c r="AH32" i="7"/>
  <c r="B271" i="7"/>
  <c r="AI2" i="7"/>
  <c r="AI61" i="7" s="1" a="1"/>
  <c r="AI61" i="7" s="1"/>
  <c r="AH638" i="7"/>
  <c r="AH632" i="7"/>
  <c r="V147" i="1"/>
  <c r="AI611" i="7" l="1"/>
  <c r="AI612" i="7" s="1"/>
  <c r="AI618" i="7"/>
  <c r="AI617" i="7"/>
  <c r="AI620" i="7"/>
  <c r="AI621" i="7" s="1"/>
  <c r="AI616" i="7"/>
  <c r="AI598" i="7" s="1"/>
  <c r="AI30" i="7"/>
  <c r="AI599" i="7"/>
  <c r="AI32" i="7"/>
  <c r="AJ2" i="7"/>
  <c r="AJ61" i="7" s="1" a="1"/>
  <c r="AJ61" i="7" s="1"/>
  <c r="AI632" i="7"/>
  <c r="AI638" i="7"/>
  <c r="C62" i="7"/>
  <c r="C440" i="7"/>
  <c r="C302" i="7"/>
  <c r="W147" i="1"/>
  <c r="C605" i="7"/>
  <c r="C639" i="7"/>
  <c r="C600" i="7"/>
  <c r="C550" i="7"/>
  <c r="C544" i="7"/>
  <c r="C590" i="7"/>
  <c r="C586" i="7"/>
  <c r="C582" i="7"/>
  <c r="C578" i="7"/>
  <c r="C39" i="7"/>
  <c r="C43" i="7"/>
  <c r="C36" i="7"/>
  <c r="C607" i="7"/>
  <c r="D607" i="7" s="1"/>
  <c r="C714" i="7"/>
  <c r="C682" i="7"/>
  <c r="C650" i="7"/>
  <c r="C29" i="7"/>
  <c r="C63" i="7"/>
  <c r="AJ611" i="7" l="1"/>
  <c r="AJ612" i="7" s="1"/>
  <c r="AJ617" i="7"/>
  <c r="AJ616" i="7"/>
  <c r="AJ598" i="7" s="1"/>
  <c r="AJ620" i="7"/>
  <c r="AJ621" i="7" s="1"/>
  <c r="AJ618" i="7"/>
  <c r="AJ30" i="7"/>
  <c r="AJ599" i="7"/>
  <c r="AJ32" i="7"/>
  <c r="AK2" i="7"/>
  <c r="AK61" i="7" s="1" a="1"/>
  <c r="AK61" i="7" s="1"/>
  <c r="AJ638" i="7"/>
  <c r="AJ632" i="7"/>
  <c r="D62" i="7"/>
  <c r="D440" i="7"/>
  <c r="D302" i="7"/>
  <c r="C94" i="7"/>
  <c r="X147" i="1"/>
  <c r="D605" i="7"/>
  <c r="D639" i="7"/>
  <c r="D600" i="7"/>
  <c r="D590" i="7"/>
  <c r="D586" i="7"/>
  <c r="D582" i="7"/>
  <c r="D578" i="7"/>
  <c r="D550" i="7"/>
  <c r="D544" i="7"/>
  <c r="D39" i="7"/>
  <c r="D43" i="7"/>
  <c r="D36" i="7"/>
  <c r="E607" i="7"/>
  <c r="D714" i="7"/>
  <c r="D682" i="7"/>
  <c r="D650" i="7"/>
  <c r="D29" i="7"/>
  <c r="D63" i="7"/>
  <c r="AK611" i="7" l="1"/>
  <c r="AK612" i="7" s="1"/>
  <c r="AK617" i="7"/>
  <c r="AK616" i="7"/>
  <c r="AK598" i="7" s="1"/>
  <c r="AK620" i="7"/>
  <c r="AK621" i="7" s="1"/>
  <c r="AK618" i="7"/>
  <c r="AK30" i="7"/>
  <c r="AK599" i="7"/>
  <c r="AK32" i="7"/>
  <c r="AL2" i="7"/>
  <c r="AL61" i="7" s="1" a="1"/>
  <c r="AL61" i="7" s="1"/>
  <c r="AK638" i="7"/>
  <c r="AK632" i="7"/>
  <c r="E62" i="7"/>
  <c r="E440" i="7"/>
  <c r="E302" i="7"/>
  <c r="D94" i="7"/>
  <c r="Y147" i="1"/>
  <c r="E605" i="7"/>
  <c r="E639" i="7"/>
  <c r="E600" i="7"/>
  <c r="E550" i="7"/>
  <c r="E544" i="7"/>
  <c r="E590" i="7"/>
  <c r="E586" i="7"/>
  <c r="E582" i="7"/>
  <c r="E578" i="7"/>
  <c r="E39" i="7"/>
  <c r="E43" i="7"/>
  <c r="E36" i="7"/>
  <c r="F607" i="7"/>
  <c r="E714" i="7"/>
  <c r="E682" i="7"/>
  <c r="E650" i="7"/>
  <c r="E63" i="7"/>
  <c r="E29" i="7"/>
  <c r="AL611" i="7" l="1"/>
  <c r="AL612" i="7" s="1"/>
  <c r="AL617" i="7"/>
  <c r="AL616" i="7"/>
  <c r="AL598" i="7" s="1"/>
  <c r="AL620" i="7"/>
  <c r="AL621" i="7" s="1"/>
  <c r="AL618" i="7"/>
  <c r="AL30" i="7"/>
  <c r="AL599" i="7"/>
  <c r="AL32" i="7"/>
  <c r="AM2" i="7"/>
  <c r="AM61" i="7" s="1" a="1"/>
  <c r="AM61" i="7" s="1"/>
  <c r="AL638" i="7"/>
  <c r="AL632" i="7"/>
  <c r="F62" i="7"/>
  <c r="F440" i="7"/>
  <c r="F302" i="7"/>
  <c r="Z147" i="1"/>
  <c r="E94" i="7"/>
  <c r="F605" i="7"/>
  <c r="F639" i="7"/>
  <c r="F600" i="7"/>
  <c r="F544" i="7"/>
  <c r="F590" i="7"/>
  <c r="F586" i="7"/>
  <c r="F582" i="7"/>
  <c r="F578" i="7"/>
  <c r="F550" i="7"/>
  <c r="F39" i="7"/>
  <c r="F43" i="7"/>
  <c r="F36" i="7"/>
  <c r="G607" i="7"/>
  <c r="F682" i="7"/>
  <c r="F714" i="7"/>
  <c r="F650" i="7"/>
  <c r="F63" i="7"/>
  <c r="F29" i="7"/>
  <c r="AP634" i="7"/>
  <c r="AM611" i="7" l="1"/>
  <c r="AM612" i="7" s="1"/>
  <c r="AM618" i="7"/>
  <c r="AM616" i="7"/>
  <c r="AM598" i="7" s="1"/>
  <c r="AM617" i="7"/>
  <c r="AM620" i="7"/>
  <c r="AM621" i="7" s="1"/>
  <c r="AM30" i="7"/>
  <c r="AM599" i="7"/>
  <c r="AM32" i="7"/>
  <c r="AN2" i="7"/>
  <c r="AN61" i="7" s="1" a="1"/>
  <c r="AN61" i="7" s="1"/>
  <c r="AM632" i="7"/>
  <c r="AM638" i="7"/>
  <c r="G62" i="7"/>
  <c r="G440" i="7"/>
  <c r="G302" i="7"/>
  <c r="F94" i="7"/>
  <c r="AA147" i="1"/>
  <c r="G605" i="7"/>
  <c r="G639" i="7"/>
  <c r="G600" i="7"/>
  <c r="G550" i="7"/>
  <c r="G544" i="7"/>
  <c r="G582" i="7"/>
  <c r="G590" i="7"/>
  <c r="G586" i="7"/>
  <c r="G578" i="7"/>
  <c r="G39" i="7"/>
  <c r="G43" i="7"/>
  <c r="G36" i="7"/>
  <c r="H607" i="7"/>
  <c r="G714" i="7"/>
  <c r="G682" i="7"/>
  <c r="G650" i="7"/>
  <c r="G29" i="7"/>
  <c r="G63" i="7"/>
  <c r="AP208" i="7"/>
  <c r="AO208" i="7"/>
  <c r="AN208" i="7"/>
  <c r="AM208" i="7"/>
  <c r="AL208" i="7"/>
  <c r="AK208" i="7"/>
  <c r="AJ208" i="7"/>
  <c r="AI208" i="7"/>
  <c r="AH208" i="7"/>
  <c r="AG208" i="7"/>
  <c r="AF208" i="7"/>
  <c r="AE208" i="7"/>
  <c r="AD208" i="7"/>
  <c r="AC208" i="7"/>
  <c r="AB208" i="7"/>
  <c r="AA208" i="7"/>
  <c r="Z208" i="7"/>
  <c r="Y208" i="7"/>
  <c r="X208" i="7"/>
  <c r="W208" i="7"/>
  <c r="V208" i="7"/>
  <c r="U208" i="7"/>
  <c r="T208" i="7"/>
  <c r="S208" i="7"/>
  <c r="R208" i="7"/>
  <c r="Q208" i="7"/>
  <c r="P208" i="7"/>
  <c r="O208" i="7"/>
  <c r="N208" i="7"/>
  <c r="M208" i="7"/>
  <c r="L208" i="7"/>
  <c r="K208" i="7"/>
  <c r="J208" i="7"/>
  <c r="I208" i="7"/>
  <c r="H208" i="7"/>
  <c r="G208" i="7"/>
  <c r="F208" i="7"/>
  <c r="E208" i="7"/>
  <c r="D208" i="7"/>
  <c r="AN611" i="7" l="1"/>
  <c r="AN612" i="7" s="1"/>
  <c r="AN620" i="7"/>
  <c r="AN621" i="7" s="1"/>
  <c r="AN618" i="7"/>
  <c r="AN617" i="7"/>
  <c r="AN616" i="7"/>
  <c r="AN598" i="7" s="1"/>
  <c r="AN30" i="7"/>
  <c r="AN599" i="7"/>
  <c r="AN32" i="7"/>
  <c r="AO2" i="7"/>
  <c r="AO61" i="7" s="1" a="1"/>
  <c r="AO61" i="7" s="1"/>
  <c r="AN632" i="7"/>
  <c r="AN638" i="7"/>
  <c r="H62" i="7"/>
  <c r="H440" i="7"/>
  <c r="H302" i="7"/>
  <c r="G94" i="7"/>
  <c r="AB147" i="1"/>
  <c r="H605" i="7"/>
  <c r="H639" i="7"/>
  <c r="H600" i="7"/>
  <c r="H582" i="7"/>
  <c r="H550" i="7"/>
  <c r="H544" i="7"/>
  <c r="H590" i="7"/>
  <c r="H586" i="7"/>
  <c r="H578" i="7"/>
  <c r="H39" i="7"/>
  <c r="H43" i="7"/>
  <c r="H36" i="7"/>
  <c r="I607" i="7"/>
  <c r="H714" i="7"/>
  <c r="H650" i="7"/>
  <c r="H682" i="7"/>
  <c r="H29" i="7"/>
  <c r="H63" i="7"/>
  <c r="A727" i="7"/>
  <c r="A728" i="7" s="1"/>
  <c r="A729" i="7" s="1"/>
  <c r="A730" i="7" s="1"/>
  <c r="A731" i="7" s="1"/>
  <c r="A732" i="7" s="1"/>
  <c r="A733" i="7" s="1"/>
  <c r="A734" i="7" s="1"/>
  <c r="A735" i="7" s="1"/>
  <c r="A715" i="7"/>
  <c r="H715" i="7" s="1"/>
  <c r="B710" i="7"/>
  <c r="C707" i="7" s="1"/>
  <c r="A695" i="7"/>
  <c r="A696" i="7" s="1"/>
  <c r="A697" i="7" s="1"/>
  <c r="A698" i="7" s="1"/>
  <c r="A699" i="7" s="1"/>
  <c r="A700" i="7" s="1"/>
  <c r="A701" i="7" s="1"/>
  <c r="A702" i="7" s="1"/>
  <c r="A703" i="7" s="1"/>
  <c r="A683" i="7"/>
  <c r="H683" i="7" s="1"/>
  <c r="B678" i="7"/>
  <c r="C675" i="7" s="1"/>
  <c r="A663" i="7"/>
  <c r="A664" i="7" s="1"/>
  <c r="A665" i="7" s="1"/>
  <c r="A666" i="7" s="1"/>
  <c r="A667" i="7" s="1"/>
  <c r="A668" i="7" s="1"/>
  <c r="A669" i="7" s="1"/>
  <c r="A670" i="7" s="1"/>
  <c r="A671" i="7" s="1"/>
  <c r="A651" i="7"/>
  <c r="H651" i="7" s="1"/>
  <c r="C643" i="7"/>
  <c r="A589" i="7"/>
  <c r="A585" i="7"/>
  <c r="A581" i="7"/>
  <c r="A577" i="7"/>
  <c r="A573" i="7"/>
  <c r="A282" i="7" s="1"/>
  <c r="A572" i="7"/>
  <c r="A281" i="7" s="1"/>
  <c r="A571" i="7"/>
  <c r="A280" i="7" s="1"/>
  <c r="A570" i="7"/>
  <c r="A279" i="7" s="1"/>
  <c r="A566" i="7"/>
  <c r="A276" i="7" s="1"/>
  <c r="A565" i="7"/>
  <c r="A275" i="7" s="1"/>
  <c r="A564" i="7"/>
  <c r="A274" i="7" s="1"/>
  <c r="A563" i="7"/>
  <c r="A273" i="7" s="1"/>
  <c r="A562" i="7"/>
  <c r="A272" i="7" s="1"/>
  <c r="C560" i="7"/>
  <c r="A560" i="7"/>
  <c r="A270" i="7" s="1"/>
  <c r="C559" i="7"/>
  <c r="A559" i="7"/>
  <c r="A269" i="7" s="1"/>
  <c r="C558" i="7"/>
  <c r="A558" i="7"/>
  <c r="A268" i="7" s="1"/>
  <c r="C557" i="7"/>
  <c r="C213" i="7" s="1"/>
  <c r="A557" i="7"/>
  <c r="A267" i="7" s="1"/>
  <c r="A556" i="7"/>
  <c r="A266" i="7" s="1"/>
  <c r="A516" i="7"/>
  <c r="A517" i="7" s="1"/>
  <c r="A518" i="7" s="1"/>
  <c r="A519" i="7" s="1"/>
  <c r="A520" i="7" s="1"/>
  <c r="A521" i="7" s="1"/>
  <c r="A522" i="7" s="1"/>
  <c r="A523" i="7" s="1"/>
  <c r="A524" i="7" s="1"/>
  <c r="A504" i="7"/>
  <c r="A505" i="7" s="1"/>
  <c r="A506" i="7" s="1"/>
  <c r="A507" i="7" s="1"/>
  <c r="A508" i="7" s="1"/>
  <c r="A509" i="7" s="1"/>
  <c r="A510" i="7" s="1"/>
  <c r="A511" i="7" s="1"/>
  <c r="A512" i="7" s="1"/>
  <c r="A490" i="7"/>
  <c r="A491" i="7" s="1"/>
  <c r="A492" i="7" s="1"/>
  <c r="A493" i="7" s="1"/>
  <c r="A494" i="7" s="1"/>
  <c r="A495" i="7" s="1"/>
  <c r="A496" i="7" s="1"/>
  <c r="A497" i="7" s="1"/>
  <c r="A498" i="7" s="1"/>
  <c r="A478" i="7"/>
  <c r="A479" i="7" s="1"/>
  <c r="A480" i="7" s="1"/>
  <c r="A481" i="7" s="1"/>
  <c r="A482" i="7" s="1"/>
  <c r="A483" i="7" s="1"/>
  <c r="A484" i="7" s="1"/>
  <c r="A485" i="7" s="1"/>
  <c r="A486" i="7" s="1"/>
  <c r="A464" i="7"/>
  <c r="A465" i="7" s="1"/>
  <c r="A466" i="7" s="1"/>
  <c r="A467" i="7" s="1"/>
  <c r="A468" i="7" s="1"/>
  <c r="A469" i="7" s="1"/>
  <c r="A470" i="7" s="1"/>
  <c r="A471" i="7" s="1"/>
  <c r="A472" i="7" s="1"/>
  <c r="A452" i="7"/>
  <c r="A453" i="7" s="1"/>
  <c r="A454" i="7" s="1"/>
  <c r="A455" i="7" s="1"/>
  <c r="A456" i="7" s="1"/>
  <c r="A457" i="7" s="1"/>
  <c r="A458" i="7" s="1"/>
  <c r="A459" i="7" s="1"/>
  <c r="A460" i="7" s="1"/>
  <c r="B446" i="7"/>
  <c r="B445" i="7"/>
  <c r="A377" i="7"/>
  <c r="A378" i="7" s="1"/>
  <c r="A379" i="7" s="1"/>
  <c r="A380" i="7" s="1"/>
  <c r="A381" i="7" s="1"/>
  <c r="A382" i="7" s="1"/>
  <c r="A383" i="7" s="1"/>
  <c r="A384" i="7" s="1"/>
  <c r="A385" i="7" s="1"/>
  <c r="A365" i="7"/>
  <c r="A366" i="7" s="1"/>
  <c r="A367" i="7" s="1"/>
  <c r="A368" i="7" s="1"/>
  <c r="A369" i="7" s="1"/>
  <c r="A370" i="7" s="1"/>
  <c r="A371" i="7" s="1"/>
  <c r="A372" i="7" s="1"/>
  <c r="A373" i="7" s="1"/>
  <c r="A351" i="7"/>
  <c r="A352" i="7" s="1"/>
  <c r="A353" i="7" s="1"/>
  <c r="A354" i="7" s="1"/>
  <c r="A355" i="7" s="1"/>
  <c r="A356" i="7" s="1"/>
  <c r="A357" i="7" s="1"/>
  <c r="A358" i="7" s="1"/>
  <c r="A359" i="7" s="1"/>
  <c r="A339" i="7"/>
  <c r="A340" i="7" s="1"/>
  <c r="A341" i="7" s="1"/>
  <c r="A342" i="7" s="1"/>
  <c r="A343" i="7" s="1"/>
  <c r="A344" i="7" s="1"/>
  <c r="A345" i="7" s="1"/>
  <c r="A346" i="7" s="1"/>
  <c r="A347" i="7" s="1"/>
  <c r="A325" i="7"/>
  <c r="A326" i="7" s="1"/>
  <c r="A327" i="7" s="1"/>
  <c r="A328" i="7" s="1"/>
  <c r="A329" i="7" s="1"/>
  <c r="A330" i="7" s="1"/>
  <c r="A331" i="7" s="1"/>
  <c r="A332" i="7" s="1"/>
  <c r="A333" i="7" s="1"/>
  <c r="A314" i="7"/>
  <c r="A315" i="7" s="1"/>
  <c r="A316" i="7" s="1"/>
  <c r="A317" i="7" s="1"/>
  <c r="A318" i="7" s="1"/>
  <c r="A319" i="7" s="1"/>
  <c r="A320" i="7" s="1"/>
  <c r="A321" i="7" s="1"/>
  <c r="A322" i="7" s="1"/>
  <c r="B308" i="7"/>
  <c r="B307" i="7"/>
  <c r="A278" i="7"/>
  <c r="A265" i="7"/>
  <c r="A258" i="7"/>
  <c r="A396" i="7" s="1"/>
  <c r="A257" i="7"/>
  <c r="A395" i="7" s="1"/>
  <c r="A256" i="7"/>
  <c r="A394" i="7" s="1"/>
  <c r="A255" i="7"/>
  <c r="A393" i="7" s="1"/>
  <c r="A254" i="7"/>
  <c r="A392" i="7" s="1"/>
  <c r="A253" i="7"/>
  <c r="A391" i="7" s="1"/>
  <c r="A230" i="7"/>
  <c r="A224" i="7"/>
  <c r="A218" i="7"/>
  <c r="A212" i="7"/>
  <c r="A211" i="7"/>
  <c r="A190" i="7"/>
  <c r="A184" i="7"/>
  <c r="A178" i="7"/>
  <c r="A172" i="7"/>
  <c r="A171" i="7"/>
  <c r="B131" i="7"/>
  <c r="B130" i="7"/>
  <c r="B127" i="7"/>
  <c r="B126" i="7"/>
  <c r="AP116" i="7"/>
  <c r="AO116" i="7"/>
  <c r="AN116" i="7"/>
  <c r="AM116" i="7"/>
  <c r="AL116" i="7"/>
  <c r="AK116" i="7"/>
  <c r="AJ116" i="7"/>
  <c r="AI116" i="7"/>
  <c r="AH116" i="7"/>
  <c r="AG116" i="7"/>
  <c r="AF116" i="7"/>
  <c r="AE116" i="7"/>
  <c r="AD116" i="7"/>
  <c r="AC116" i="7"/>
  <c r="AB116" i="7"/>
  <c r="AA116" i="7"/>
  <c r="Z116" i="7"/>
  <c r="Y116" i="7"/>
  <c r="X116" i="7"/>
  <c r="W116" i="7"/>
  <c r="V116" i="7"/>
  <c r="U116" i="7"/>
  <c r="T116" i="7"/>
  <c r="S116" i="7"/>
  <c r="R116" i="7"/>
  <c r="Q116" i="7"/>
  <c r="P116" i="7"/>
  <c r="O116" i="7"/>
  <c r="N116" i="7"/>
  <c r="M116" i="7"/>
  <c r="L116" i="7"/>
  <c r="K116" i="7"/>
  <c r="J116" i="7"/>
  <c r="I116" i="7"/>
  <c r="H116" i="7"/>
  <c r="G116" i="7"/>
  <c r="F116" i="7"/>
  <c r="E116" i="7"/>
  <c r="D116" i="7"/>
  <c r="C116" i="7"/>
  <c r="B102" i="7"/>
  <c r="B101" i="7"/>
  <c r="B100" i="7"/>
  <c r="B97" i="7"/>
  <c r="B96" i="7"/>
  <c r="B79" i="7"/>
  <c r="A75" i="7"/>
  <c r="A74" i="7"/>
  <c r="A73" i="7"/>
  <c r="A72" i="7"/>
  <c r="AO611" i="7" l="1"/>
  <c r="AO612" i="7" s="1"/>
  <c r="AO617" i="7"/>
  <c r="AO616" i="7"/>
  <c r="AO598" i="7" s="1"/>
  <c r="AO620" i="7"/>
  <c r="AO621" i="7" s="1"/>
  <c r="AO618" i="7"/>
  <c r="AO30" i="7"/>
  <c r="AO599" i="7"/>
  <c r="AO32" i="7"/>
  <c r="AP2" i="7"/>
  <c r="AP61" i="7" s="1" a="1"/>
  <c r="AP61" i="7" s="1"/>
  <c r="AO638" i="7"/>
  <c r="AO632" i="7"/>
  <c r="I62" i="7"/>
  <c r="I440" i="7"/>
  <c r="I302" i="7"/>
  <c r="AC147" i="1"/>
  <c r="I605" i="7"/>
  <c r="I639" i="7"/>
  <c r="H94" i="7"/>
  <c r="I600" i="7"/>
  <c r="I550" i="7"/>
  <c r="I544" i="7"/>
  <c r="I590" i="7"/>
  <c r="I586" i="7"/>
  <c r="I582" i="7"/>
  <c r="I578" i="7"/>
  <c r="I39" i="7"/>
  <c r="I43" i="7"/>
  <c r="I36" i="7"/>
  <c r="J607" i="7"/>
  <c r="A716" i="7"/>
  <c r="C728" i="7" s="1"/>
  <c r="C715" i="7"/>
  <c r="C365" i="7" s="1"/>
  <c r="D715" i="7"/>
  <c r="E715" i="7"/>
  <c r="F715" i="7"/>
  <c r="G715" i="7"/>
  <c r="A652" i="7"/>
  <c r="C664" i="7" s="1"/>
  <c r="C651" i="7"/>
  <c r="D651" i="7"/>
  <c r="E651" i="7"/>
  <c r="F651" i="7"/>
  <c r="G651" i="7"/>
  <c r="A684" i="7"/>
  <c r="I684" i="7" s="1"/>
  <c r="C683" i="7"/>
  <c r="C339" i="7" s="1"/>
  <c r="D683" i="7"/>
  <c r="E683" i="7"/>
  <c r="F683" i="7"/>
  <c r="G683" i="7"/>
  <c r="I715" i="7"/>
  <c r="I714" i="7"/>
  <c r="I716" i="7"/>
  <c r="I682" i="7"/>
  <c r="I683" i="7"/>
  <c r="I650" i="7"/>
  <c r="I651" i="7"/>
  <c r="I63" i="7"/>
  <c r="I29" i="7"/>
  <c r="C173" i="7"/>
  <c r="C215" i="7"/>
  <c r="C175" i="7"/>
  <c r="C214" i="7"/>
  <c r="C174" i="7"/>
  <c r="C216" i="7"/>
  <c r="C176" i="7"/>
  <c r="C633" i="7"/>
  <c r="C561" i="7"/>
  <c r="B88" i="7" s="1"/>
  <c r="B277" i="7"/>
  <c r="B103" i="7"/>
  <c r="B415" i="7"/>
  <c r="D663" i="7"/>
  <c r="D429" i="7"/>
  <c r="D293" i="7"/>
  <c r="C727" i="7"/>
  <c r="C364" i="7"/>
  <c r="C695" i="7"/>
  <c r="C663" i="7"/>
  <c r="C313" i="7"/>
  <c r="C551" i="7"/>
  <c r="C545" i="7"/>
  <c r="C430" i="7"/>
  <c r="C429" i="7"/>
  <c r="C428" i="7"/>
  <c r="C427" i="7"/>
  <c r="C426" i="7"/>
  <c r="C446" i="7"/>
  <c r="C308" i="7"/>
  <c r="C292" i="7"/>
  <c r="C291" i="7"/>
  <c r="C290" i="7"/>
  <c r="C289" i="7"/>
  <c r="C288" i="7"/>
  <c r="B132" i="7"/>
  <c r="C38" i="7"/>
  <c r="D38" i="7"/>
  <c r="B128" i="7"/>
  <c r="A427" i="7"/>
  <c r="A435" i="7" s="1"/>
  <c r="A429" i="7"/>
  <c r="A437" i="7" s="1"/>
  <c r="A431" i="7"/>
  <c r="A439" i="7" s="1"/>
  <c r="A404" i="7"/>
  <c r="A415" i="7"/>
  <c r="A416" i="7"/>
  <c r="A288" i="7"/>
  <c r="A296" i="7" s="1"/>
  <c r="A289" i="7"/>
  <c r="A297" i="7" s="1"/>
  <c r="A290" i="7"/>
  <c r="A298" i="7" s="1"/>
  <c r="A291" i="7"/>
  <c r="A299" i="7" s="1"/>
  <c r="A292" i="7"/>
  <c r="A300" i="7" s="1"/>
  <c r="A293" i="7"/>
  <c r="A301" i="7" s="1"/>
  <c r="A426" i="7"/>
  <c r="A434" i="7" s="1"/>
  <c r="A428" i="7"/>
  <c r="A436" i="7" s="1"/>
  <c r="A430" i="7"/>
  <c r="A438" i="7" s="1"/>
  <c r="A403" i="7"/>
  <c r="A409" i="7"/>
  <c r="A410" i="7"/>
  <c r="A421" i="7"/>
  <c r="D259" i="7" l="1"/>
  <c r="D255" i="7"/>
  <c r="D257" i="7"/>
  <c r="D258" i="7"/>
  <c r="D256" i="7"/>
  <c r="D254" i="7"/>
  <c r="D253" i="7"/>
  <c r="AP611" i="7"/>
  <c r="AP612" i="7" s="1"/>
  <c r="AP617" i="7"/>
  <c r="AP616" i="7"/>
  <c r="AP598" i="7" s="1"/>
  <c r="AP620" i="7"/>
  <c r="AP621" i="7" s="1"/>
  <c r="AP618" i="7"/>
  <c r="AP30" i="7"/>
  <c r="AP599" i="7"/>
  <c r="AP32" i="7"/>
  <c r="AP638" i="7"/>
  <c r="AP632" i="7"/>
  <c r="D398" i="7"/>
  <c r="D397" i="7" s="1"/>
  <c r="J62" i="7"/>
  <c r="J440" i="7"/>
  <c r="J302" i="7"/>
  <c r="I94" i="7"/>
  <c r="AD147" i="1"/>
  <c r="J605" i="7"/>
  <c r="J639" i="7"/>
  <c r="J600" i="7"/>
  <c r="J550" i="7"/>
  <c r="J578" i="7"/>
  <c r="J544" i="7"/>
  <c r="J590" i="7"/>
  <c r="J586" i="7"/>
  <c r="J582" i="7"/>
  <c r="J39" i="7"/>
  <c r="J43" i="7"/>
  <c r="J36" i="7"/>
  <c r="K607" i="7"/>
  <c r="B90" i="7"/>
  <c r="I652" i="7"/>
  <c r="D696" i="7"/>
  <c r="C696" i="7"/>
  <c r="C309" i="7"/>
  <c r="A653" i="7"/>
  <c r="D665" i="7" s="1"/>
  <c r="C652" i="7"/>
  <c r="C315" i="7" s="1"/>
  <c r="D652" i="7"/>
  <c r="E652" i="7"/>
  <c r="F652" i="7"/>
  <c r="G652" i="7"/>
  <c r="H652" i="7"/>
  <c r="A685" i="7"/>
  <c r="D697" i="7" s="1"/>
  <c r="C684" i="7"/>
  <c r="C340" i="7" s="1"/>
  <c r="D684" i="7"/>
  <c r="E684" i="7"/>
  <c r="F684" i="7"/>
  <c r="G684" i="7"/>
  <c r="H684" i="7"/>
  <c r="A717" i="7"/>
  <c r="J717" i="7" s="1"/>
  <c r="C716" i="7"/>
  <c r="C366" i="7" s="1"/>
  <c r="D716" i="7"/>
  <c r="E716" i="7"/>
  <c r="F716" i="7"/>
  <c r="G716" i="7"/>
  <c r="H716" i="7"/>
  <c r="J714" i="7"/>
  <c r="J685" i="7"/>
  <c r="J684" i="7"/>
  <c r="J683" i="7"/>
  <c r="J682" i="7"/>
  <c r="J716" i="7"/>
  <c r="J715" i="7"/>
  <c r="J651" i="7"/>
  <c r="J652" i="7"/>
  <c r="J650" i="7"/>
  <c r="C177" i="7"/>
  <c r="J63" i="7"/>
  <c r="J29" i="7"/>
  <c r="D545" i="7"/>
  <c r="D289" i="7"/>
  <c r="D290" i="7"/>
  <c r="D426" i="7"/>
  <c r="D430" i="7"/>
  <c r="D551" i="7"/>
  <c r="D664" i="7"/>
  <c r="D338" i="7"/>
  <c r="D365" i="7"/>
  <c r="D308" i="7"/>
  <c r="D291" i="7"/>
  <c r="D427" i="7"/>
  <c r="D431" i="7"/>
  <c r="D313" i="7"/>
  <c r="D727" i="7"/>
  <c r="D40" i="7"/>
  <c r="D288" i="7"/>
  <c r="D292" i="7"/>
  <c r="D428" i="7"/>
  <c r="D446" i="7"/>
  <c r="D314" i="7"/>
  <c r="D695" i="7"/>
  <c r="D728" i="7"/>
  <c r="D633" i="7"/>
  <c r="C217" i="7"/>
  <c r="C447" i="7"/>
  <c r="C338" i="7"/>
  <c r="C40" i="7"/>
  <c r="E727" i="7"/>
  <c r="E728" i="7"/>
  <c r="E696" i="7"/>
  <c r="E695" i="7"/>
  <c r="E663" i="7"/>
  <c r="E551" i="7"/>
  <c r="E431" i="7"/>
  <c r="E430" i="7"/>
  <c r="E429" i="7"/>
  <c r="E427" i="7"/>
  <c r="E426" i="7"/>
  <c r="E446" i="7"/>
  <c r="E293" i="7"/>
  <c r="E292" i="7"/>
  <c r="E291" i="7"/>
  <c r="E289" i="7"/>
  <c r="E288" i="7"/>
  <c r="E38" i="7"/>
  <c r="C504" i="7"/>
  <c r="C314" i="7"/>
  <c r="C451" i="7"/>
  <c r="C478" i="7"/>
  <c r="C503" i="7"/>
  <c r="D364" i="7"/>
  <c r="D260" i="7" l="1"/>
  <c r="K62" i="7"/>
  <c r="K440" i="7"/>
  <c r="K302" i="7"/>
  <c r="J94" i="7"/>
  <c r="AE147" i="1"/>
  <c r="K605" i="7"/>
  <c r="K639" i="7"/>
  <c r="K600" i="7"/>
  <c r="K550" i="7"/>
  <c r="K544" i="7"/>
  <c r="K590" i="7"/>
  <c r="K586" i="7"/>
  <c r="K582" i="7"/>
  <c r="K578" i="7"/>
  <c r="K39" i="7"/>
  <c r="K43" i="7"/>
  <c r="K36" i="7"/>
  <c r="L607" i="7"/>
  <c r="D396" i="7"/>
  <c r="D394" i="7"/>
  <c r="D391" i="7"/>
  <c r="D392" i="7"/>
  <c r="D393" i="7"/>
  <c r="D395" i="7"/>
  <c r="D477" i="7"/>
  <c r="C453" i="7"/>
  <c r="C479" i="7"/>
  <c r="D452" i="7"/>
  <c r="C505" i="7"/>
  <c r="C477" i="7"/>
  <c r="E697" i="7"/>
  <c r="E665" i="7"/>
  <c r="D315" i="7"/>
  <c r="D366" i="7"/>
  <c r="D729" i="7"/>
  <c r="J653" i="7"/>
  <c r="A718" i="7"/>
  <c r="C730" i="7" s="1"/>
  <c r="C717" i="7"/>
  <c r="D717" i="7"/>
  <c r="E717" i="7"/>
  <c r="F717" i="7"/>
  <c r="G717" i="7"/>
  <c r="H717" i="7"/>
  <c r="C729" i="7"/>
  <c r="I717" i="7"/>
  <c r="A654" i="7"/>
  <c r="F666" i="7" s="1"/>
  <c r="C653" i="7"/>
  <c r="D653" i="7"/>
  <c r="E653" i="7"/>
  <c r="F653" i="7"/>
  <c r="G653" i="7"/>
  <c r="H653" i="7"/>
  <c r="I653" i="7"/>
  <c r="C665" i="7"/>
  <c r="D340" i="7"/>
  <c r="A686" i="7"/>
  <c r="K686" i="7" s="1"/>
  <c r="C685" i="7"/>
  <c r="D685" i="7"/>
  <c r="E685" i="7"/>
  <c r="F685" i="7"/>
  <c r="G685" i="7"/>
  <c r="H685" i="7"/>
  <c r="C697" i="7"/>
  <c r="C698" i="7"/>
  <c r="I685" i="7"/>
  <c r="K717" i="7"/>
  <c r="K716" i="7"/>
  <c r="K714" i="7"/>
  <c r="K685" i="7"/>
  <c r="K715" i="7"/>
  <c r="K683" i="7"/>
  <c r="K653" i="7"/>
  <c r="K651" i="7"/>
  <c r="K684" i="7"/>
  <c r="K652" i="7"/>
  <c r="K650" i="7"/>
  <c r="K682" i="7"/>
  <c r="D309" i="7"/>
  <c r="D447" i="7"/>
  <c r="K29" i="7"/>
  <c r="K63" i="7"/>
  <c r="E290" i="7"/>
  <c r="E308" i="7"/>
  <c r="E428" i="7"/>
  <c r="E545" i="7"/>
  <c r="E664" i="7"/>
  <c r="E729" i="7"/>
  <c r="E340" i="7"/>
  <c r="E313" i="7"/>
  <c r="E366" i="7"/>
  <c r="E365" i="7"/>
  <c r="D339" i="7"/>
  <c r="E314" i="7"/>
  <c r="E339" i="7"/>
  <c r="F633" i="7"/>
  <c r="E633" i="7"/>
  <c r="E364" i="7"/>
  <c r="E40" i="7"/>
  <c r="D504" i="7"/>
  <c r="D503" i="7"/>
  <c r="C452" i="7"/>
  <c r="D451" i="7"/>
  <c r="F729" i="7"/>
  <c r="F728" i="7"/>
  <c r="F366" i="7"/>
  <c r="F365" i="7"/>
  <c r="F364" i="7"/>
  <c r="F697" i="7"/>
  <c r="F696" i="7"/>
  <c r="F695" i="7"/>
  <c r="F340" i="7"/>
  <c r="F339" i="7"/>
  <c r="F338" i="7"/>
  <c r="F665" i="7"/>
  <c r="F664" i="7"/>
  <c r="F663" i="7"/>
  <c r="F314" i="7"/>
  <c r="F313" i="7"/>
  <c r="F551" i="7"/>
  <c r="F545" i="7"/>
  <c r="F446" i="7"/>
  <c r="F431" i="7"/>
  <c r="F430" i="7"/>
  <c r="F429" i="7"/>
  <c r="F428" i="7"/>
  <c r="F427" i="7"/>
  <c r="F426" i="7"/>
  <c r="F293" i="7"/>
  <c r="F292" i="7"/>
  <c r="F291" i="7"/>
  <c r="F290" i="7"/>
  <c r="F289" i="7"/>
  <c r="F288" i="7"/>
  <c r="F308" i="7"/>
  <c r="F38" i="7"/>
  <c r="E309" i="7"/>
  <c r="E447" i="7"/>
  <c r="L62" i="7" l="1"/>
  <c r="L440" i="7"/>
  <c r="L302" i="7"/>
  <c r="K94" i="7"/>
  <c r="AF147" i="1"/>
  <c r="L605" i="7"/>
  <c r="L639" i="7"/>
  <c r="L600" i="7"/>
  <c r="L586" i="7"/>
  <c r="L578" i="7"/>
  <c r="L550" i="7"/>
  <c r="L544" i="7"/>
  <c r="L590" i="7"/>
  <c r="L582" i="7"/>
  <c r="L39" i="7"/>
  <c r="L43" i="7"/>
  <c r="L36" i="7"/>
  <c r="M607" i="7"/>
  <c r="D479" i="7"/>
  <c r="E478" i="7"/>
  <c r="E452" i="7"/>
  <c r="D478" i="7"/>
  <c r="E504" i="7"/>
  <c r="E503" i="7"/>
  <c r="E505" i="7"/>
  <c r="D505" i="7"/>
  <c r="E451" i="7"/>
  <c r="D453" i="7"/>
  <c r="E479" i="7"/>
  <c r="F730" i="7"/>
  <c r="F698" i="7"/>
  <c r="F316" i="7"/>
  <c r="E341" i="7"/>
  <c r="F341" i="7"/>
  <c r="K654" i="7"/>
  <c r="E316" i="7"/>
  <c r="E367" i="7"/>
  <c r="C341" i="7"/>
  <c r="D341" i="7"/>
  <c r="C316" i="7"/>
  <c r="D316" i="7"/>
  <c r="A687" i="7"/>
  <c r="C699" i="7" s="1"/>
  <c r="C686" i="7"/>
  <c r="D686" i="7"/>
  <c r="E686" i="7"/>
  <c r="F686" i="7"/>
  <c r="G686" i="7"/>
  <c r="H686" i="7"/>
  <c r="I686" i="7"/>
  <c r="J686" i="7"/>
  <c r="D698" i="7"/>
  <c r="A655" i="7"/>
  <c r="E667" i="7" s="1"/>
  <c r="C654" i="7"/>
  <c r="D654" i="7"/>
  <c r="E654" i="7"/>
  <c r="F654" i="7"/>
  <c r="G654" i="7"/>
  <c r="H654" i="7"/>
  <c r="I654" i="7"/>
  <c r="C667" i="7"/>
  <c r="J654" i="7"/>
  <c r="E666" i="7"/>
  <c r="D666" i="7"/>
  <c r="E698" i="7"/>
  <c r="K718" i="7"/>
  <c r="C666" i="7"/>
  <c r="C367" i="7"/>
  <c r="D367" i="7"/>
  <c r="A719" i="7"/>
  <c r="C731" i="7" s="1"/>
  <c r="C718" i="7"/>
  <c r="D718" i="7"/>
  <c r="E718" i="7"/>
  <c r="F718" i="7"/>
  <c r="G718" i="7"/>
  <c r="H718" i="7"/>
  <c r="I718" i="7"/>
  <c r="E730" i="7"/>
  <c r="J718" i="7"/>
  <c r="D730" i="7"/>
  <c r="L717" i="7"/>
  <c r="L715" i="7"/>
  <c r="L718" i="7"/>
  <c r="L716" i="7"/>
  <c r="L714" i="7"/>
  <c r="L685" i="7"/>
  <c r="L683" i="7"/>
  <c r="L654" i="7"/>
  <c r="L653" i="7"/>
  <c r="L652" i="7"/>
  <c r="L651" i="7"/>
  <c r="L650" i="7"/>
  <c r="L686" i="7"/>
  <c r="L684" i="7"/>
  <c r="L682" i="7"/>
  <c r="L29" i="7"/>
  <c r="L63" i="7"/>
  <c r="E315" i="7"/>
  <c r="E338" i="7"/>
  <c r="F367" i="7"/>
  <c r="F315" i="7"/>
  <c r="G633" i="7"/>
  <c r="F40" i="7"/>
  <c r="F451" i="7"/>
  <c r="F479" i="7"/>
  <c r="F503" i="7"/>
  <c r="F504" i="7"/>
  <c r="G730" i="7"/>
  <c r="G729" i="7"/>
  <c r="G728" i="7"/>
  <c r="G367" i="7"/>
  <c r="G366" i="7"/>
  <c r="G365" i="7"/>
  <c r="G364" i="7"/>
  <c r="G698" i="7"/>
  <c r="G697" i="7"/>
  <c r="G696" i="7"/>
  <c r="G695" i="7"/>
  <c r="G341" i="7"/>
  <c r="G340" i="7"/>
  <c r="G339" i="7"/>
  <c r="G338" i="7"/>
  <c r="G666" i="7"/>
  <c r="G665" i="7"/>
  <c r="G664" i="7"/>
  <c r="G663" i="7"/>
  <c r="G316" i="7"/>
  <c r="G315" i="7"/>
  <c r="G314" i="7"/>
  <c r="G313" i="7"/>
  <c r="G551" i="7"/>
  <c r="G545" i="7"/>
  <c r="G431" i="7"/>
  <c r="G430" i="7"/>
  <c r="G429" i="7"/>
  <c r="G428" i="7"/>
  <c r="G427" i="7"/>
  <c r="G426" i="7"/>
  <c r="G446" i="7"/>
  <c r="G308" i="7"/>
  <c r="G293" i="7"/>
  <c r="G292" i="7"/>
  <c r="G291" i="7"/>
  <c r="G290" i="7"/>
  <c r="G289" i="7"/>
  <c r="G288" i="7"/>
  <c r="G38" i="7"/>
  <c r="F309" i="7"/>
  <c r="F452" i="7"/>
  <c r="F477" i="7"/>
  <c r="F505" i="7"/>
  <c r="F447" i="7"/>
  <c r="F478" i="7"/>
  <c r="E731" i="7" l="1"/>
  <c r="D731" i="7"/>
  <c r="M62" i="7"/>
  <c r="M440" i="7"/>
  <c r="M302" i="7"/>
  <c r="L94" i="7"/>
  <c r="AG147" i="1"/>
  <c r="M605" i="7"/>
  <c r="M639" i="7"/>
  <c r="M600" i="7"/>
  <c r="M550" i="7"/>
  <c r="M544" i="7"/>
  <c r="M590" i="7"/>
  <c r="M586" i="7"/>
  <c r="M582" i="7"/>
  <c r="M578" i="7"/>
  <c r="M39" i="7"/>
  <c r="M43" i="7"/>
  <c r="M36" i="7"/>
  <c r="N607" i="7"/>
  <c r="E477" i="7"/>
  <c r="F480" i="7"/>
  <c r="D454" i="7"/>
  <c r="E480" i="7"/>
  <c r="C454" i="7"/>
  <c r="F454" i="7"/>
  <c r="D480" i="7"/>
  <c r="F453" i="7"/>
  <c r="C480" i="7"/>
  <c r="F506" i="7"/>
  <c r="E506" i="7"/>
  <c r="D506" i="7"/>
  <c r="E454" i="7"/>
  <c r="E453" i="7"/>
  <c r="C506" i="7"/>
  <c r="G699" i="7"/>
  <c r="E699" i="7"/>
  <c r="L687" i="7"/>
  <c r="G342" i="7"/>
  <c r="D667" i="7"/>
  <c r="G317" i="7"/>
  <c r="G667" i="7"/>
  <c r="L655" i="7"/>
  <c r="G368" i="7"/>
  <c r="D699" i="7"/>
  <c r="G731" i="7"/>
  <c r="L719" i="7"/>
  <c r="F699" i="7"/>
  <c r="C317" i="7"/>
  <c r="D317" i="7"/>
  <c r="F317" i="7"/>
  <c r="E317" i="7"/>
  <c r="D368" i="7"/>
  <c r="C368" i="7"/>
  <c r="F368" i="7"/>
  <c r="E368" i="7"/>
  <c r="A656" i="7"/>
  <c r="C668" i="7" s="1"/>
  <c r="C655" i="7"/>
  <c r="D655" i="7"/>
  <c r="E655" i="7"/>
  <c r="F655" i="7"/>
  <c r="G655" i="7"/>
  <c r="H655" i="7"/>
  <c r="I655" i="7"/>
  <c r="J655" i="7"/>
  <c r="K655" i="7"/>
  <c r="F667" i="7"/>
  <c r="C342" i="7"/>
  <c r="D342" i="7"/>
  <c r="F342" i="7"/>
  <c r="E342" i="7"/>
  <c r="A720" i="7"/>
  <c r="E732" i="7" s="1"/>
  <c r="C719" i="7"/>
  <c r="D719" i="7"/>
  <c r="E719" i="7"/>
  <c r="F719" i="7"/>
  <c r="G719" i="7"/>
  <c r="H719" i="7"/>
  <c r="I719" i="7"/>
  <c r="J719" i="7"/>
  <c r="K719" i="7"/>
  <c r="F731" i="7"/>
  <c r="A688" i="7"/>
  <c r="D700" i="7" s="1"/>
  <c r="C687" i="7"/>
  <c r="D687" i="7"/>
  <c r="E687" i="7"/>
  <c r="F687" i="7"/>
  <c r="G687" i="7"/>
  <c r="H687" i="7"/>
  <c r="I687" i="7"/>
  <c r="J687" i="7"/>
  <c r="K687" i="7"/>
  <c r="M718" i="7"/>
  <c r="M716" i="7"/>
  <c r="M715" i="7"/>
  <c r="M714" i="7"/>
  <c r="M719" i="7"/>
  <c r="M682" i="7"/>
  <c r="M687" i="7"/>
  <c r="M685" i="7"/>
  <c r="M717" i="7"/>
  <c r="M686" i="7"/>
  <c r="M684" i="7"/>
  <c r="M654" i="7"/>
  <c r="M652" i="7"/>
  <c r="M650" i="7"/>
  <c r="M683" i="7"/>
  <c r="M655" i="7"/>
  <c r="M653" i="7"/>
  <c r="M651" i="7"/>
  <c r="M63" i="7"/>
  <c r="M29" i="7"/>
  <c r="H633" i="7"/>
  <c r="G40" i="7"/>
  <c r="G451" i="7"/>
  <c r="G454" i="7"/>
  <c r="G478" i="7"/>
  <c r="G506" i="7"/>
  <c r="G479" i="7"/>
  <c r="G503" i="7"/>
  <c r="H731" i="7"/>
  <c r="H730" i="7"/>
  <c r="H729" i="7"/>
  <c r="H728" i="7"/>
  <c r="H368" i="7"/>
  <c r="H367" i="7"/>
  <c r="H366" i="7"/>
  <c r="H365" i="7"/>
  <c r="H364" i="7"/>
  <c r="H699" i="7"/>
  <c r="H698" i="7"/>
  <c r="H697" i="7"/>
  <c r="H696" i="7"/>
  <c r="H695" i="7"/>
  <c r="H342" i="7"/>
  <c r="H341" i="7"/>
  <c r="H340" i="7"/>
  <c r="H339" i="7"/>
  <c r="H338" i="7"/>
  <c r="H667" i="7"/>
  <c r="H666" i="7"/>
  <c r="H665" i="7"/>
  <c r="H664" i="7"/>
  <c r="H663" i="7"/>
  <c r="H317" i="7"/>
  <c r="H316" i="7"/>
  <c r="H315" i="7"/>
  <c r="H314" i="7"/>
  <c r="H313" i="7"/>
  <c r="H551" i="7"/>
  <c r="H545" i="7"/>
  <c r="H446" i="7"/>
  <c r="H431" i="7"/>
  <c r="H430" i="7"/>
  <c r="H429" i="7"/>
  <c r="H428" i="7"/>
  <c r="H427" i="7"/>
  <c r="H426" i="7"/>
  <c r="H293" i="7"/>
  <c r="H292" i="7"/>
  <c r="H291" i="7"/>
  <c r="H290" i="7"/>
  <c r="H289" i="7"/>
  <c r="H288" i="7"/>
  <c r="H308" i="7"/>
  <c r="H38" i="7"/>
  <c r="G309" i="7"/>
  <c r="G453" i="7"/>
  <c r="G452" i="7"/>
  <c r="G480" i="7"/>
  <c r="G504" i="7"/>
  <c r="G477" i="7"/>
  <c r="G505" i="7"/>
  <c r="G447" i="7"/>
  <c r="N62" i="7" l="1"/>
  <c r="N440" i="7"/>
  <c r="N302" i="7"/>
  <c r="M94" i="7"/>
  <c r="AH147" i="1"/>
  <c r="N605" i="7"/>
  <c r="N639" i="7"/>
  <c r="N600" i="7"/>
  <c r="N544" i="7"/>
  <c r="N590" i="7"/>
  <c r="N586" i="7"/>
  <c r="N582" i="7"/>
  <c r="N578" i="7"/>
  <c r="N550" i="7"/>
  <c r="N39" i="7"/>
  <c r="N43" i="7"/>
  <c r="N36" i="7"/>
  <c r="O607" i="7"/>
  <c r="C455" i="7"/>
  <c r="G455" i="7"/>
  <c r="E507" i="7"/>
  <c r="E481" i="7"/>
  <c r="F507" i="7"/>
  <c r="G481" i="7"/>
  <c r="F481" i="7"/>
  <c r="C507" i="7"/>
  <c r="D455" i="7"/>
  <c r="D481" i="7"/>
  <c r="D507" i="7"/>
  <c r="F455" i="7"/>
  <c r="C481" i="7"/>
  <c r="E455" i="7"/>
  <c r="G507" i="7"/>
  <c r="H700" i="7"/>
  <c r="H732" i="7"/>
  <c r="H668" i="7"/>
  <c r="F668" i="7"/>
  <c r="M688" i="7"/>
  <c r="E700" i="7"/>
  <c r="F700" i="7"/>
  <c r="H318" i="7"/>
  <c r="D668" i="7"/>
  <c r="C700" i="7"/>
  <c r="E668" i="7"/>
  <c r="M656" i="7"/>
  <c r="H343" i="7"/>
  <c r="M720" i="7"/>
  <c r="F732" i="7"/>
  <c r="D732" i="7"/>
  <c r="C732" i="7"/>
  <c r="H369" i="7"/>
  <c r="A689" i="7"/>
  <c r="E701" i="7" s="1"/>
  <c r="C688" i="7"/>
  <c r="D688" i="7"/>
  <c r="E688" i="7"/>
  <c r="F688" i="7"/>
  <c r="G688" i="7"/>
  <c r="H688" i="7"/>
  <c r="I688" i="7"/>
  <c r="J688" i="7"/>
  <c r="K688" i="7"/>
  <c r="L688" i="7"/>
  <c r="G700" i="7"/>
  <c r="C369" i="7"/>
  <c r="D369" i="7"/>
  <c r="E369" i="7"/>
  <c r="F369" i="7"/>
  <c r="G369" i="7"/>
  <c r="C318" i="7"/>
  <c r="D318" i="7"/>
  <c r="E318" i="7"/>
  <c r="G318" i="7"/>
  <c r="F318" i="7"/>
  <c r="C343" i="7"/>
  <c r="D343" i="7"/>
  <c r="E343" i="7"/>
  <c r="F343" i="7"/>
  <c r="G343" i="7"/>
  <c r="A721" i="7"/>
  <c r="G733" i="7" s="1"/>
  <c r="C720" i="7"/>
  <c r="D720" i="7"/>
  <c r="E720" i="7"/>
  <c r="F720" i="7"/>
  <c r="G720" i="7"/>
  <c r="H720" i="7"/>
  <c r="I720" i="7"/>
  <c r="J720" i="7"/>
  <c r="K720" i="7"/>
  <c r="G732" i="7"/>
  <c r="L720" i="7"/>
  <c r="A657" i="7"/>
  <c r="G669" i="7" s="1"/>
  <c r="C656" i="7"/>
  <c r="D656" i="7"/>
  <c r="E656" i="7"/>
  <c r="F656" i="7"/>
  <c r="G656" i="7"/>
  <c r="H656" i="7"/>
  <c r="I656" i="7"/>
  <c r="J656" i="7"/>
  <c r="K656" i="7"/>
  <c r="L656" i="7"/>
  <c r="G668" i="7"/>
  <c r="N720" i="7"/>
  <c r="N718" i="7"/>
  <c r="N716" i="7"/>
  <c r="N688" i="7"/>
  <c r="N687" i="7"/>
  <c r="N686" i="7"/>
  <c r="N685" i="7"/>
  <c r="N684" i="7"/>
  <c r="N683" i="7"/>
  <c r="N682" i="7"/>
  <c r="N715" i="7"/>
  <c r="N719" i="7"/>
  <c r="N714" i="7"/>
  <c r="N717" i="7"/>
  <c r="N656" i="7"/>
  <c r="N654" i="7"/>
  <c r="N652" i="7"/>
  <c r="N650" i="7"/>
  <c r="N655" i="7"/>
  <c r="N653" i="7"/>
  <c r="N651" i="7"/>
  <c r="N63" i="7"/>
  <c r="N29" i="7"/>
  <c r="I633" i="7"/>
  <c r="H40" i="7"/>
  <c r="H452" i="7"/>
  <c r="H453" i="7"/>
  <c r="H477" i="7"/>
  <c r="H481" i="7"/>
  <c r="H505" i="7"/>
  <c r="H447" i="7"/>
  <c r="H478" i="7"/>
  <c r="H506" i="7"/>
  <c r="I732" i="7"/>
  <c r="I731" i="7"/>
  <c r="I730" i="7"/>
  <c r="I729" i="7"/>
  <c r="I369" i="7"/>
  <c r="I368" i="7"/>
  <c r="I367" i="7"/>
  <c r="I366" i="7"/>
  <c r="I365" i="7"/>
  <c r="I343" i="7"/>
  <c r="I342" i="7"/>
  <c r="I364" i="7"/>
  <c r="I700" i="7"/>
  <c r="I699" i="7"/>
  <c r="I698" i="7"/>
  <c r="I697" i="7"/>
  <c r="I696" i="7"/>
  <c r="I695" i="7"/>
  <c r="I318" i="7"/>
  <c r="I317" i="7"/>
  <c r="I341" i="7"/>
  <c r="I339" i="7"/>
  <c r="I338" i="7"/>
  <c r="I668" i="7"/>
  <c r="I667" i="7"/>
  <c r="I666" i="7"/>
  <c r="I665" i="7"/>
  <c r="I664" i="7"/>
  <c r="I663" i="7"/>
  <c r="I316" i="7"/>
  <c r="I315" i="7"/>
  <c r="I314" i="7"/>
  <c r="I313" i="7"/>
  <c r="I551" i="7"/>
  <c r="I545" i="7"/>
  <c r="I431" i="7"/>
  <c r="I430" i="7"/>
  <c r="I429" i="7"/>
  <c r="I428" i="7"/>
  <c r="I427" i="7"/>
  <c r="I426" i="7"/>
  <c r="I340" i="7"/>
  <c r="I446" i="7"/>
  <c r="I308" i="7"/>
  <c r="I293" i="7"/>
  <c r="I292" i="7"/>
  <c r="I291" i="7"/>
  <c r="I290" i="7"/>
  <c r="I289" i="7"/>
  <c r="I288" i="7"/>
  <c r="I38" i="7"/>
  <c r="H309" i="7"/>
  <c r="H454" i="7"/>
  <c r="H451" i="7"/>
  <c r="H455" i="7"/>
  <c r="H479" i="7"/>
  <c r="H503" i="7"/>
  <c r="H507" i="7"/>
  <c r="H480" i="7"/>
  <c r="H504" i="7"/>
  <c r="C669" i="7" l="1"/>
  <c r="O62" i="7"/>
  <c r="O440" i="7"/>
  <c r="O302" i="7"/>
  <c r="AI147" i="1"/>
  <c r="O605" i="7"/>
  <c r="O639" i="7"/>
  <c r="N94" i="7"/>
  <c r="O600" i="7"/>
  <c r="O550" i="7"/>
  <c r="O590" i="7"/>
  <c r="O586" i="7"/>
  <c r="O578" i="7"/>
  <c r="O544" i="7"/>
  <c r="O582" i="7"/>
  <c r="O39" i="7"/>
  <c r="O43" i="7"/>
  <c r="O36" i="7"/>
  <c r="P607" i="7"/>
  <c r="G482" i="7"/>
  <c r="D456" i="7"/>
  <c r="H482" i="7"/>
  <c r="E482" i="7"/>
  <c r="G508" i="7"/>
  <c r="D482" i="7"/>
  <c r="F508" i="7"/>
  <c r="H508" i="7"/>
  <c r="C456" i="7"/>
  <c r="C482" i="7"/>
  <c r="E508" i="7"/>
  <c r="F456" i="7"/>
  <c r="D508" i="7"/>
  <c r="H456" i="7"/>
  <c r="G456" i="7"/>
  <c r="C508" i="7"/>
  <c r="F482" i="7"/>
  <c r="E456" i="7"/>
  <c r="C733" i="7"/>
  <c r="F733" i="7"/>
  <c r="I701" i="7"/>
  <c r="N689" i="7"/>
  <c r="F701" i="7"/>
  <c r="C701" i="7"/>
  <c r="I733" i="7"/>
  <c r="E733" i="7"/>
  <c r="D733" i="7"/>
  <c r="I669" i="7"/>
  <c r="N721" i="7"/>
  <c r="I344" i="7"/>
  <c r="D701" i="7"/>
  <c r="D669" i="7"/>
  <c r="G701" i="7"/>
  <c r="N657" i="7"/>
  <c r="F669" i="7"/>
  <c r="I370" i="7"/>
  <c r="A722" i="7"/>
  <c r="D734" i="7" s="1"/>
  <c r="C721" i="7"/>
  <c r="D721" i="7"/>
  <c r="E721" i="7"/>
  <c r="F721" i="7"/>
  <c r="G721" i="7"/>
  <c r="H721" i="7"/>
  <c r="I721" i="7"/>
  <c r="C734" i="7"/>
  <c r="J721" i="7"/>
  <c r="K721" i="7"/>
  <c r="L721" i="7"/>
  <c r="H733" i="7"/>
  <c r="M721" i="7"/>
  <c r="C319" i="7"/>
  <c r="E319" i="7"/>
  <c r="D319" i="7"/>
  <c r="F319" i="7"/>
  <c r="G319" i="7"/>
  <c r="H319" i="7"/>
  <c r="C344" i="7"/>
  <c r="D344" i="7"/>
  <c r="F344" i="7"/>
  <c r="E344" i="7"/>
  <c r="G344" i="7"/>
  <c r="H344" i="7"/>
  <c r="A658" i="7"/>
  <c r="E670" i="7" s="1"/>
  <c r="C657" i="7"/>
  <c r="D657" i="7"/>
  <c r="E657" i="7"/>
  <c r="F657" i="7"/>
  <c r="G657" i="7"/>
  <c r="H657" i="7"/>
  <c r="I657" i="7"/>
  <c r="C670" i="7"/>
  <c r="J657" i="7"/>
  <c r="K657" i="7"/>
  <c r="L657" i="7"/>
  <c r="M657" i="7"/>
  <c r="H669" i="7"/>
  <c r="A690" i="7"/>
  <c r="F702" i="7" s="1"/>
  <c r="C689" i="7"/>
  <c r="D689" i="7"/>
  <c r="E689" i="7"/>
  <c r="F689" i="7"/>
  <c r="G689" i="7"/>
  <c r="H689" i="7"/>
  <c r="I689" i="7"/>
  <c r="J689" i="7"/>
  <c r="K689" i="7"/>
  <c r="L689" i="7"/>
  <c r="M689" i="7"/>
  <c r="H701" i="7"/>
  <c r="I319" i="7"/>
  <c r="E669" i="7"/>
  <c r="C370" i="7"/>
  <c r="D370" i="7"/>
  <c r="E370" i="7"/>
  <c r="F370" i="7"/>
  <c r="G370" i="7"/>
  <c r="H370" i="7"/>
  <c r="O721" i="7"/>
  <c r="O720" i="7"/>
  <c r="O719" i="7"/>
  <c r="O718" i="7"/>
  <c r="O717" i="7"/>
  <c r="O716" i="7"/>
  <c r="O714" i="7"/>
  <c r="O689" i="7"/>
  <c r="O687" i="7"/>
  <c r="O715" i="7"/>
  <c r="O688" i="7"/>
  <c r="O686" i="7"/>
  <c r="O684" i="7"/>
  <c r="O682" i="7"/>
  <c r="O655" i="7"/>
  <c r="O653" i="7"/>
  <c r="O651" i="7"/>
  <c r="O683" i="7"/>
  <c r="O657" i="7"/>
  <c r="O685" i="7"/>
  <c r="O656" i="7"/>
  <c r="O654" i="7"/>
  <c r="O652" i="7"/>
  <c r="O650" i="7"/>
  <c r="O29" i="7"/>
  <c r="O63" i="7"/>
  <c r="J633" i="7"/>
  <c r="I455" i="7"/>
  <c r="I454" i="7"/>
  <c r="I478" i="7"/>
  <c r="I482" i="7"/>
  <c r="I506" i="7"/>
  <c r="I479" i="7"/>
  <c r="I503" i="7"/>
  <c r="I507" i="7"/>
  <c r="I40" i="7"/>
  <c r="J733" i="7"/>
  <c r="J732" i="7"/>
  <c r="J731" i="7"/>
  <c r="J730" i="7"/>
  <c r="J729" i="7"/>
  <c r="J370" i="7"/>
  <c r="J369" i="7"/>
  <c r="J368" i="7"/>
  <c r="J367" i="7"/>
  <c r="J366" i="7"/>
  <c r="J365" i="7"/>
  <c r="J364" i="7"/>
  <c r="J701" i="7"/>
  <c r="J700" i="7"/>
  <c r="J699" i="7"/>
  <c r="J698" i="7"/>
  <c r="J697" i="7"/>
  <c r="J696" i="7"/>
  <c r="J695" i="7"/>
  <c r="J344" i="7"/>
  <c r="J343" i="7"/>
  <c r="J342" i="7"/>
  <c r="J341" i="7"/>
  <c r="J340" i="7"/>
  <c r="J339" i="7"/>
  <c r="J338" i="7"/>
  <c r="J669" i="7"/>
  <c r="J668" i="7"/>
  <c r="J667" i="7"/>
  <c r="J666" i="7"/>
  <c r="J665" i="7"/>
  <c r="J664" i="7"/>
  <c r="J663" i="7"/>
  <c r="J319" i="7"/>
  <c r="J318" i="7"/>
  <c r="J317" i="7"/>
  <c r="J316" i="7"/>
  <c r="J315" i="7"/>
  <c r="J314" i="7"/>
  <c r="J313" i="7"/>
  <c r="J551" i="7"/>
  <c r="J545" i="7"/>
  <c r="J446" i="7"/>
  <c r="J431" i="7"/>
  <c r="J430" i="7"/>
  <c r="J429" i="7"/>
  <c r="J428" i="7"/>
  <c r="J427" i="7"/>
  <c r="J426" i="7"/>
  <c r="J293" i="7"/>
  <c r="J292" i="7"/>
  <c r="J291" i="7"/>
  <c r="J290" i="7"/>
  <c r="J289" i="7"/>
  <c r="J288" i="7"/>
  <c r="J308" i="7"/>
  <c r="J38" i="7"/>
  <c r="I309" i="7"/>
  <c r="I451" i="7"/>
  <c r="I453" i="7"/>
  <c r="I452" i="7"/>
  <c r="I456" i="7"/>
  <c r="I480" i="7"/>
  <c r="I504" i="7"/>
  <c r="I508" i="7"/>
  <c r="I477" i="7"/>
  <c r="I481" i="7"/>
  <c r="I505" i="7"/>
  <c r="I447" i="7"/>
  <c r="C702" i="7" l="1"/>
  <c r="P62" i="7"/>
  <c r="P440" i="7"/>
  <c r="P302" i="7"/>
  <c r="AJ147" i="1"/>
  <c r="O94" i="7"/>
  <c r="P605" i="7"/>
  <c r="P639" i="7"/>
  <c r="P600" i="7"/>
  <c r="P590" i="7"/>
  <c r="P582" i="7"/>
  <c r="P550" i="7"/>
  <c r="P544" i="7"/>
  <c r="P586" i="7"/>
  <c r="P578" i="7"/>
  <c r="P39" i="7"/>
  <c r="P43" i="7"/>
  <c r="P36" i="7"/>
  <c r="Q607" i="7"/>
  <c r="O658" i="7"/>
  <c r="C457" i="7"/>
  <c r="H509" i="7"/>
  <c r="D483" i="7"/>
  <c r="I457" i="7"/>
  <c r="G509" i="7"/>
  <c r="C483" i="7"/>
  <c r="F509" i="7"/>
  <c r="H457" i="7"/>
  <c r="F483" i="7"/>
  <c r="E509" i="7"/>
  <c r="G457" i="7"/>
  <c r="D509" i="7"/>
  <c r="H483" i="7"/>
  <c r="F457" i="7"/>
  <c r="I483" i="7"/>
  <c r="C509" i="7"/>
  <c r="G483" i="7"/>
  <c r="D457" i="7"/>
  <c r="E483" i="7"/>
  <c r="E457" i="7"/>
  <c r="I509" i="7"/>
  <c r="E702" i="7"/>
  <c r="G670" i="7"/>
  <c r="D670" i="7"/>
  <c r="J670" i="7"/>
  <c r="H670" i="7"/>
  <c r="F670" i="7"/>
  <c r="J734" i="7"/>
  <c r="F734" i="7"/>
  <c r="O690" i="7"/>
  <c r="H702" i="7"/>
  <c r="G702" i="7"/>
  <c r="J320" i="7"/>
  <c r="H734" i="7"/>
  <c r="J702" i="7"/>
  <c r="D702" i="7"/>
  <c r="E734" i="7"/>
  <c r="O722" i="7"/>
  <c r="G734" i="7"/>
  <c r="J345" i="7"/>
  <c r="A691" i="7"/>
  <c r="D703" i="7" s="1"/>
  <c r="C690" i="7"/>
  <c r="D690" i="7"/>
  <c r="E690" i="7"/>
  <c r="F690" i="7"/>
  <c r="G690" i="7"/>
  <c r="H690" i="7"/>
  <c r="I690" i="7"/>
  <c r="J690" i="7"/>
  <c r="K690" i="7"/>
  <c r="L690" i="7"/>
  <c r="M690" i="7"/>
  <c r="I702" i="7"/>
  <c r="N690" i="7"/>
  <c r="D371" i="7"/>
  <c r="C371" i="7"/>
  <c r="E371" i="7"/>
  <c r="F371" i="7"/>
  <c r="G371" i="7"/>
  <c r="H371" i="7"/>
  <c r="I371" i="7"/>
  <c r="C320" i="7"/>
  <c r="D320" i="7"/>
  <c r="F320" i="7"/>
  <c r="E320" i="7"/>
  <c r="G320" i="7"/>
  <c r="H320" i="7"/>
  <c r="I320" i="7"/>
  <c r="A723" i="7"/>
  <c r="I735" i="7" s="1"/>
  <c r="C722" i="7"/>
  <c r="D722" i="7"/>
  <c r="E722" i="7"/>
  <c r="F722" i="7"/>
  <c r="G722" i="7"/>
  <c r="H722" i="7"/>
  <c r="I722" i="7"/>
  <c r="J722" i="7"/>
  <c r="K722" i="7"/>
  <c r="L722" i="7"/>
  <c r="M722" i="7"/>
  <c r="I734" i="7"/>
  <c r="N722" i="7"/>
  <c r="J371" i="7"/>
  <c r="C345" i="7"/>
  <c r="E345" i="7"/>
  <c r="D345" i="7"/>
  <c r="F345" i="7"/>
  <c r="G345" i="7"/>
  <c r="H345" i="7"/>
  <c r="I345" i="7"/>
  <c r="A659" i="7"/>
  <c r="F671" i="7" s="1"/>
  <c r="C658" i="7"/>
  <c r="D658" i="7"/>
  <c r="E658" i="7"/>
  <c r="F658" i="7"/>
  <c r="G658" i="7"/>
  <c r="H658" i="7"/>
  <c r="I658" i="7"/>
  <c r="C671" i="7"/>
  <c r="J658" i="7"/>
  <c r="K658" i="7"/>
  <c r="L658" i="7"/>
  <c r="M658" i="7"/>
  <c r="N658" i="7"/>
  <c r="I670" i="7"/>
  <c r="P721" i="7"/>
  <c r="P719" i="7"/>
  <c r="P717" i="7"/>
  <c r="P720" i="7"/>
  <c r="P716" i="7"/>
  <c r="P718" i="7"/>
  <c r="P689" i="7"/>
  <c r="P687" i="7"/>
  <c r="P683" i="7"/>
  <c r="P714" i="7"/>
  <c r="P715" i="7"/>
  <c r="P690" i="7"/>
  <c r="P688" i="7"/>
  <c r="P686" i="7"/>
  <c r="P722" i="7"/>
  <c r="P656" i="7"/>
  <c r="P655" i="7"/>
  <c r="P654" i="7"/>
  <c r="P653" i="7"/>
  <c r="P652" i="7"/>
  <c r="P651" i="7"/>
  <c r="P650" i="7"/>
  <c r="P685" i="7"/>
  <c r="P682" i="7"/>
  <c r="P657" i="7"/>
  <c r="P684" i="7"/>
  <c r="P658" i="7"/>
  <c r="P29" i="7"/>
  <c r="P63" i="7"/>
  <c r="K633" i="7"/>
  <c r="J456" i="7"/>
  <c r="J451" i="7"/>
  <c r="J455" i="7"/>
  <c r="J479" i="7"/>
  <c r="J483" i="7"/>
  <c r="J503" i="7"/>
  <c r="J507" i="7"/>
  <c r="J480" i="7"/>
  <c r="J504" i="7"/>
  <c r="J508" i="7"/>
  <c r="J40" i="7"/>
  <c r="K734" i="7"/>
  <c r="K733" i="7"/>
  <c r="K732" i="7"/>
  <c r="K731" i="7"/>
  <c r="K730" i="7"/>
  <c r="K729" i="7"/>
  <c r="K371" i="7"/>
  <c r="K370" i="7"/>
  <c r="K369" i="7"/>
  <c r="K368" i="7"/>
  <c r="K367" i="7"/>
  <c r="K366" i="7"/>
  <c r="K345" i="7"/>
  <c r="K344" i="7"/>
  <c r="K343" i="7"/>
  <c r="K342" i="7"/>
  <c r="K365" i="7"/>
  <c r="K702" i="7"/>
  <c r="K701" i="7"/>
  <c r="K700" i="7"/>
  <c r="K699" i="7"/>
  <c r="K698" i="7"/>
  <c r="K697" i="7"/>
  <c r="K696" i="7"/>
  <c r="K695" i="7"/>
  <c r="K341" i="7"/>
  <c r="K320" i="7"/>
  <c r="K319" i="7"/>
  <c r="K318" i="7"/>
  <c r="K317" i="7"/>
  <c r="K340" i="7"/>
  <c r="K339" i="7"/>
  <c r="K338" i="7"/>
  <c r="K670" i="7"/>
  <c r="K669" i="7"/>
  <c r="K668" i="7"/>
  <c r="K667" i="7"/>
  <c r="K666" i="7"/>
  <c r="K665" i="7"/>
  <c r="K664" i="7"/>
  <c r="K663" i="7"/>
  <c r="K315" i="7"/>
  <c r="K316" i="7"/>
  <c r="K314" i="7"/>
  <c r="K551" i="7"/>
  <c r="K545" i="7"/>
  <c r="K431" i="7"/>
  <c r="K430" i="7"/>
  <c r="K429" i="7"/>
  <c r="K428" i="7"/>
  <c r="K427" i="7"/>
  <c r="K426" i="7"/>
  <c r="K446" i="7"/>
  <c r="K308" i="7"/>
  <c r="K293" i="7"/>
  <c r="K292" i="7"/>
  <c r="K291" i="7"/>
  <c r="K290" i="7"/>
  <c r="K289" i="7"/>
  <c r="K288" i="7"/>
  <c r="K38" i="7"/>
  <c r="J454" i="7"/>
  <c r="J309" i="7"/>
  <c r="J452" i="7"/>
  <c r="J453" i="7"/>
  <c r="J457" i="7"/>
  <c r="J477" i="7"/>
  <c r="J481" i="7"/>
  <c r="J505" i="7"/>
  <c r="J509" i="7"/>
  <c r="J447" i="7"/>
  <c r="J478" i="7"/>
  <c r="J482" i="7"/>
  <c r="J506" i="7"/>
  <c r="C735" i="7" l="1"/>
  <c r="K735" i="7"/>
  <c r="Q62" i="7"/>
  <c r="Q440" i="7"/>
  <c r="Q302" i="7"/>
  <c r="K703" i="7"/>
  <c r="AK147" i="1"/>
  <c r="Q605" i="7"/>
  <c r="Q639" i="7"/>
  <c r="P94" i="7"/>
  <c r="Q600" i="7"/>
  <c r="Q550" i="7"/>
  <c r="Q544" i="7"/>
  <c r="Q590" i="7"/>
  <c r="Q586" i="7"/>
  <c r="Q582" i="7"/>
  <c r="Q578" i="7"/>
  <c r="Q39" i="7"/>
  <c r="Q43" i="7"/>
  <c r="Q36" i="7"/>
  <c r="R607" i="7"/>
  <c r="E484" i="7"/>
  <c r="C458" i="7"/>
  <c r="D484" i="7"/>
  <c r="C484" i="7"/>
  <c r="I510" i="7"/>
  <c r="D510" i="7"/>
  <c r="J510" i="7"/>
  <c r="I458" i="7"/>
  <c r="H510" i="7"/>
  <c r="D458" i="7"/>
  <c r="I484" i="7"/>
  <c r="H458" i="7"/>
  <c r="G510" i="7"/>
  <c r="H484" i="7"/>
  <c r="G458" i="7"/>
  <c r="F510" i="7"/>
  <c r="G484" i="7"/>
  <c r="E458" i="7"/>
  <c r="E510" i="7"/>
  <c r="J458" i="7"/>
  <c r="F484" i="7"/>
  <c r="F458" i="7"/>
  <c r="C510" i="7"/>
  <c r="J484" i="7"/>
  <c r="C703" i="7"/>
  <c r="G703" i="7"/>
  <c r="G671" i="7"/>
  <c r="P659" i="7"/>
  <c r="K346" i="7"/>
  <c r="F735" i="7"/>
  <c r="H735" i="7"/>
  <c r="K372" i="7"/>
  <c r="I671" i="7"/>
  <c r="D671" i="7"/>
  <c r="E703" i="7"/>
  <c r="E735" i="7"/>
  <c r="H671" i="7"/>
  <c r="E671" i="7"/>
  <c r="G735" i="7"/>
  <c r="D735" i="7"/>
  <c r="I703" i="7"/>
  <c r="K671" i="7"/>
  <c r="P691" i="7"/>
  <c r="P723" i="7"/>
  <c r="H703" i="7"/>
  <c r="F703" i="7"/>
  <c r="K321" i="7"/>
  <c r="C372" i="7"/>
  <c r="D372" i="7"/>
  <c r="E372" i="7"/>
  <c r="F372" i="7"/>
  <c r="G372" i="7"/>
  <c r="H372" i="7"/>
  <c r="I372" i="7"/>
  <c r="J372" i="7"/>
  <c r="C659" i="7"/>
  <c r="D659" i="7"/>
  <c r="D660" i="7" s="1"/>
  <c r="D645" i="7" s="1"/>
  <c r="D100" i="7" s="1"/>
  <c r="E659" i="7"/>
  <c r="E660" i="7" s="1"/>
  <c r="E645" i="7" s="1"/>
  <c r="E100" i="7" s="1"/>
  <c r="F659" i="7"/>
  <c r="F660" i="7" s="1"/>
  <c r="F645" i="7" s="1"/>
  <c r="F100" i="7" s="1"/>
  <c r="G659" i="7"/>
  <c r="G660" i="7" s="1"/>
  <c r="G645" i="7" s="1"/>
  <c r="G100" i="7" s="1"/>
  <c r="H659" i="7"/>
  <c r="H660" i="7" s="1"/>
  <c r="H645" i="7" s="1"/>
  <c r="H100" i="7" s="1"/>
  <c r="I659" i="7"/>
  <c r="I660" i="7" s="1"/>
  <c r="I645" i="7" s="1"/>
  <c r="I100" i="7" s="1"/>
  <c r="J659" i="7"/>
  <c r="J660" i="7" s="1"/>
  <c r="J645" i="7" s="1"/>
  <c r="J100" i="7" s="1"/>
  <c r="K659" i="7"/>
  <c r="K660" i="7" s="1"/>
  <c r="K645" i="7" s="1"/>
  <c r="K100" i="7" s="1"/>
  <c r="L659" i="7"/>
  <c r="M659" i="7"/>
  <c r="N659" i="7"/>
  <c r="O659" i="7"/>
  <c r="J671" i="7"/>
  <c r="C723" i="7"/>
  <c r="D723" i="7"/>
  <c r="D724" i="7" s="1"/>
  <c r="D709" i="7" s="1"/>
  <c r="D102" i="7" s="1"/>
  <c r="E723" i="7"/>
  <c r="E724" i="7" s="1"/>
  <c r="E709" i="7" s="1"/>
  <c r="E102" i="7" s="1"/>
  <c r="F723" i="7"/>
  <c r="F724" i="7" s="1"/>
  <c r="F709" i="7" s="1"/>
  <c r="F102" i="7" s="1"/>
  <c r="G723" i="7"/>
  <c r="G724" i="7" s="1"/>
  <c r="G709" i="7" s="1"/>
  <c r="G102" i="7" s="1"/>
  <c r="H723" i="7"/>
  <c r="H724" i="7" s="1"/>
  <c r="H709" i="7" s="1"/>
  <c r="H102" i="7" s="1"/>
  <c r="I723" i="7"/>
  <c r="I724" i="7" s="1"/>
  <c r="I709" i="7" s="1"/>
  <c r="I102" i="7" s="1"/>
  <c r="J723" i="7"/>
  <c r="J724" i="7" s="1"/>
  <c r="J709" i="7" s="1"/>
  <c r="J102" i="7" s="1"/>
  <c r="K723" i="7"/>
  <c r="K724" i="7" s="1"/>
  <c r="K709" i="7" s="1"/>
  <c r="K102" i="7" s="1"/>
  <c r="L723" i="7"/>
  <c r="M723" i="7"/>
  <c r="N723" i="7"/>
  <c r="O723" i="7"/>
  <c r="J735" i="7"/>
  <c r="C346" i="7"/>
  <c r="D346" i="7"/>
  <c r="F346" i="7"/>
  <c r="E346" i="7"/>
  <c r="G346" i="7"/>
  <c r="H346" i="7"/>
  <c r="I346" i="7"/>
  <c r="J346" i="7"/>
  <c r="C321" i="7"/>
  <c r="D321" i="7"/>
  <c r="E321" i="7"/>
  <c r="F321" i="7"/>
  <c r="G321" i="7"/>
  <c r="H321" i="7"/>
  <c r="I321" i="7"/>
  <c r="J321" i="7"/>
  <c r="C691" i="7"/>
  <c r="D691" i="7"/>
  <c r="D692" i="7" s="1"/>
  <c r="D677" i="7" s="1"/>
  <c r="D101" i="7" s="1"/>
  <c r="E691" i="7"/>
  <c r="E692" i="7" s="1"/>
  <c r="E677" i="7" s="1"/>
  <c r="E101" i="7" s="1"/>
  <c r="F691" i="7"/>
  <c r="F692" i="7" s="1"/>
  <c r="F677" i="7" s="1"/>
  <c r="F101" i="7" s="1"/>
  <c r="G691" i="7"/>
  <c r="G692" i="7" s="1"/>
  <c r="G677" i="7" s="1"/>
  <c r="G101" i="7" s="1"/>
  <c r="H691" i="7"/>
  <c r="H692" i="7" s="1"/>
  <c r="H677" i="7" s="1"/>
  <c r="H101" i="7" s="1"/>
  <c r="I691" i="7"/>
  <c r="I692" i="7" s="1"/>
  <c r="I677" i="7" s="1"/>
  <c r="I101" i="7" s="1"/>
  <c r="J691" i="7"/>
  <c r="J692" i="7" s="1"/>
  <c r="J677" i="7" s="1"/>
  <c r="J101" i="7" s="1"/>
  <c r="K691" i="7"/>
  <c r="K692" i="7" s="1"/>
  <c r="K677" i="7" s="1"/>
  <c r="K101" i="7" s="1"/>
  <c r="L691" i="7"/>
  <c r="M691" i="7"/>
  <c r="N691" i="7"/>
  <c r="J703" i="7"/>
  <c r="O691" i="7"/>
  <c r="Q715" i="7"/>
  <c r="Q714" i="7"/>
  <c r="Q723" i="7"/>
  <c r="Q721" i="7"/>
  <c r="Q719" i="7"/>
  <c r="Q717" i="7"/>
  <c r="Q720" i="7"/>
  <c r="Q690" i="7"/>
  <c r="Q688" i="7"/>
  <c r="Q722" i="7"/>
  <c r="Q716" i="7"/>
  <c r="Q718" i="7"/>
  <c r="Q691" i="7"/>
  <c r="Q689" i="7"/>
  <c r="Q687" i="7"/>
  <c r="Q685" i="7"/>
  <c r="Q683" i="7"/>
  <c r="Q659" i="7"/>
  <c r="Q657" i="7"/>
  <c r="Q682" i="7"/>
  <c r="Q655" i="7"/>
  <c r="Q653" i="7"/>
  <c r="Q651" i="7"/>
  <c r="Q684" i="7"/>
  <c r="Q658" i="7"/>
  <c r="Q656" i="7"/>
  <c r="Q654" i="7"/>
  <c r="Q652" i="7"/>
  <c r="Q650" i="7"/>
  <c r="Q686" i="7"/>
  <c r="Q63" i="7"/>
  <c r="Q29" i="7"/>
  <c r="L633" i="7"/>
  <c r="K479" i="7"/>
  <c r="K458" i="7"/>
  <c r="K507" i="7"/>
  <c r="K454" i="7"/>
  <c r="K483" i="7"/>
  <c r="K309" i="7"/>
  <c r="K455" i="7"/>
  <c r="L735" i="7"/>
  <c r="L734" i="7"/>
  <c r="L733" i="7"/>
  <c r="L732" i="7"/>
  <c r="L731" i="7"/>
  <c r="L730" i="7"/>
  <c r="L728" i="7"/>
  <c r="L372" i="7"/>
  <c r="L371" i="7"/>
  <c r="L370" i="7"/>
  <c r="L369" i="7"/>
  <c r="L368" i="7"/>
  <c r="L367" i="7"/>
  <c r="L366" i="7"/>
  <c r="L365" i="7"/>
  <c r="L703" i="7"/>
  <c r="L702" i="7"/>
  <c r="L701" i="7"/>
  <c r="L700" i="7"/>
  <c r="L699" i="7"/>
  <c r="L698" i="7"/>
  <c r="L697" i="7"/>
  <c r="L696" i="7"/>
  <c r="L695" i="7"/>
  <c r="L346" i="7"/>
  <c r="L345" i="7"/>
  <c r="L344" i="7"/>
  <c r="L343" i="7"/>
  <c r="L342" i="7"/>
  <c r="L341" i="7"/>
  <c r="L340" i="7"/>
  <c r="L339" i="7"/>
  <c r="L338" i="7"/>
  <c r="L671" i="7"/>
  <c r="L670" i="7"/>
  <c r="L669" i="7"/>
  <c r="L668" i="7"/>
  <c r="L667" i="7"/>
  <c r="L666" i="7"/>
  <c r="L665" i="7"/>
  <c r="L664" i="7"/>
  <c r="L663" i="7"/>
  <c r="L321" i="7"/>
  <c r="L320" i="7"/>
  <c r="L319" i="7"/>
  <c r="L318" i="7"/>
  <c r="L317" i="7"/>
  <c r="L316" i="7"/>
  <c r="L315" i="7"/>
  <c r="L314" i="7"/>
  <c r="L551" i="7"/>
  <c r="L545" i="7"/>
  <c r="L446" i="7"/>
  <c r="L431" i="7"/>
  <c r="L430" i="7"/>
  <c r="L429" i="7"/>
  <c r="L428" i="7"/>
  <c r="L427" i="7"/>
  <c r="L426" i="7"/>
  <c r="L293" i="7"/>
  <c r="L292" i="7"/>
  <c r="L291" i="7"/>
  <c r="L290" i="7"/>
  <c r="L289" i="7"/>
  <c r="L288" i="7"/>
  <c r="L308" i="7"/>
  <c r="L38" i="7"/>
  <c r="K457" i="7"/>
  <c r="K478" i="7"/>
  <c r="K482" i="7"/>
  <c r="K506" i="7"/>
  <c r="K510" i="7"/>
  <c r="K40" i="7"/>
  <c r="K313" i="7"/>
  <c r="K364" i="7"/>
  <c r="K453" i="7"/>
  <c r="K452" i="7"/>
  <c r="K456" i="7"/>
  <c r="K480" i="7"/>
  <c r="K484" i="7"/>
  <c r="K504" i="7"/>
  <c r="K508" i="7"/>
  <c r="K477" i="7"/>
  <c r="K481" i="7"/>
  <c r="K505" i="7"/>
  <c r="K509" i="7"/>
  <c r="K447" i="7"/>
  <c r="R62" i="7" l="1"/>
  <c r="R440" i="7"/>
  <c r="R302" i="7"/>
  <c r="Q94" i="7"/>
  <c r="AL147" i="1"/>
  <c r="R605" i="7"/>
  <c r="R639" i="7"/>
  <c r="R600" i="7"/>
  <c r="R586" i="7"/>
  <c r="R582" i="7"/>
  <c r="R550" i="7"/>
  <c r="R544" i="7"/>
  <c r="R590" i="7"/>
  <c r="R578" i="7"/>
  <c r="R39" i="7"/>
  <c r="R43" i="7"/>
  <c r="R36" i="7"/>
  <c r="S607" i="7"/>
  <c r="D459" i="7"/>
  <c r="D485" i="7"/>
  <c r="H511" i="7"/>
  <c r="K485" i="7"/>
  <c r="G511" i="7"/>
  <c r="J459" i="7"/>
  <c r="J485" i="7"/>
  <c r="F511" i="7"/>
  <c r="I459" i="7"/>
  <c r="I485" i="7"/>
  <c r="E511" i="7"/>
  <c r="H459" i="7"/>
  <c r="H485" i="7"/>
  <c r="D511" i="7"/>
  <c r="G459" i="7"/>
  <c r="G485" i="7"/>
  <c r="C511" i="7"/>
  <c r="K511" i="7"/>
  <c r="C459" i="7"/>
  <c r="F459" i="7"/>
  <c r="E485" i="7"/>
  <c r="J511" i="7"/>
  <c r="K459" i="7"/>
  <c r="C485" i="7"/>
  <c r="E459" i="7"/>
  <c r="F485" i="7"/>
  <c r="I511" i="7"/>
  <c r="L322" i="7"/>
  <c r="L373" i="7"/>
  <c r="L347" i="7"/>
  <c r="J103" i="7"/>
  <c r="H103" i="7"/>
  <c r="I103" i="7"/>
  <c r="D103" i="7"/>
  <c r="G103" i="7"/>
  <c r="C322" i="7"/>
  <c r="D322" i="7"/>
  <c r="E322" i="7"/>
  <c r="F322" i="7"/>
  <c r="G322" i="7"/>
  <c r="H322" i="7"/>
  <c r="I322" i="7"/>
  <c r="J322" i="7"/>
  <c r="K322" i="7"/>
  <c r="C660" i="7"/>
  <c r="C645" i="7" s="1"/>
  <c r="C100" i="7" s="1"/>
  <c r="C347" i="7"/>
  <c r="D347" i="7"/>
  <c r="E347" i="7"/>
  <c r="F347" i="7"/>
  <c r="G347" i="7"/>
  <c r="H347" i="7"/>
  <c r="I347" i="7"/>
  <c r="J347" i="7"/>
  <c r="K347" i="7"/>
  <c r="C692" i="7"/>
  <c r="C677" i="7" s="1"/>
  <c r="C101" i="7" s="1"/>
  <c r="F103" i="7"/>
  <c r="C373" i="7"/>
  <c r="D373" i="7"/>
  <c r="F373" i="7"/>
  <c r="E373" i="7"/>
  <c r="G373" i="7"/>
  <c r="H373" i="7"/>
  <c r="I373" i="7"/>
  <c r="J373" i="7"/>
  <c r="K373" i="7"/>
  <c r="C724" i="7"/>
  <c r="C709" i="7" s="1"/>
  <c r="C102" i="7" s="1"/>
  <c r="E103" i="7"/>
  <c r="R722" i="7"/>
  <c r="R720" i="7"/>
  <c r="R718" i="7"/>
  <c r="R716" i="7"/>
  <c r="R721" i="7"/>
  <c r="R717" i="7"/>
  <c r="R715" i="7"/>
  <c r="R691" i="7"/>
  <c r="R690" i="7"/>
  <c r="R689" i="7"/>
  <c r="R688" i="7"/>
  <c r="R687" i="7"/>
  <c r="R686" i="7"/>
  <c r="R685" i="7"/>
  <c r="R684" i="7"/>
  <c r="R683" i="7"/>
  <c r="R682" i="7"/>
  <c r="R659" i="7"/>
  <c r="R658" i="7"/>
  <c r="R657" i="7"/>
  <c r="R719" i="7"/>
  <c r="R714" i="7"/>
  <c r="R723" i="7"/>
  <c r="R656" i="7"/>
  <c r="R654" i="7"/>
  <c r="R652" i="7"/>
  <c r="R650" i="7"/>
  <c r="R655" i="7"/>
  <c r="R653" i="7"/>
  <c r="R651" i="7"/>
  <c r="R63" i="7"/>
  <c r="R29" i="7"/>
  <c r="M633" i="7"/>
  <c r="L364" i="7"/>
  <c r="L660" i="7"/>
  <c r="L645" i="7" s="1"/>
  <c r="L100" i="7" s="1"/>
  <c r="L724" i="7"/>
  <c r="L709" i="7" s="1"/>
  <c r="L102" i="7" s="1"/>
  <c r="L313" i="7"/>
  <c r="L40" i="7"/>
  <c r="L692" i="7"/>
  <c r="L677" i="7" s="1"/>
  <c r="L101" i="7" s="1"/>
  <c r="K503" i="7"/>
  <c r="L456" i="7"/>
  <c r="L309" i="7"/>
  <c r="L454" i="7"/>
  <c r="L455" i="7"/>
  <c r="L459" i="7"/>
  <c r="L479" i="7"/>
  <c r="L483" i="7"/>
  <c r="L507" i="7"/>
  <c r="L511" i="7"/>
  <c r="L480" i="7"/>
  <c r="L484" i="7"/>
  <c r="L504" i="7"/>
  <c r="L508" i="7"/>
  <c r="K451" i="7"/>
  <c r="M735" i="7"/>
  <c r="M734" i="7"/>
  <c r="M733" i="7"/>
  <c r="M732" i="7"/>
  <c r="M731" i="7"/>
  <c r="M730" i="7"/>
  <c r="M727" i="7"/>
  <c r="M373" i="7"/>
  <c r="M372" i="7"/>
  <c r="M371" i="7"/>
  <c r="M370" i="7"/>
  <c r="M369" i="7"/>
  <c r="M368" i="7"/>
  <c r="M367" i="7"/>
  <c r="M366" i="7"/>
  <c r="M365" i="7"/>
  <c r="M347" i="7"/>
  <c r="M346" i="7"/>
  <c r="M345" i="7"/>
  <c r="M344" i="7"/>
  <c r="M343" i="7"/>
  <c r="M342" i="7"/>
  <c r="M341" i="7"/>
  <c r="M703" i="7"/>
  <c r="M702" i="7"/>
  <c r="M701" i="7"/>
  <c r="M700" i="7"/>
  <c r="M699" i="7"/>
  <c r="M698" i="7"/>
  <c r="M697" i="7"/>
  <c r="M696" i="7"/>
  <c r="M695" i="7"/>
  <c r="M322" i="7"/>
  <c r="M321" i="7"/>
  <c r="M320" i="7"/>
  <c r="M319" i="7"/>
  <c r="M318" i="7"/>
  <c r="M317" i="7"/>
  <c r="M340" i="7"/>
  <c r="M339" i="7"/>
  <c r="M338" i="7"/>
  <c r="M671" i="7"/>
  <c r="M670" i="7"/>
  <c r="M669" i="7"/>
  <c r="M668" i="7"/>
  <c r="M667" i="7"/>
  <c r="M666" i="7"/>
  <c r="M665" i="7"/>
  <c r="M664" i="7"/>
  <c r="M663" i="7"/>
  <c r="M316" i="7"/>
  <c r="M315" i="7"/>
  <c r="M314" i="7"/>
  <c r="M313" i="7"/>
  <c r="M551" i="7"/>
  <c r="M545" i="7"/>
  <c r="M431" i="7"/>
  <c r="M430" i="7"/>
  <c r="M429" i="7"/>
  <c r="M428" i="7"/>
  <c r="M427" i="7"/>
  <c r="M426" i="7"/>
  <c r="M446" i="7"/>
  <c r="M308" i="7"/>
  <c r="M293" i="7"/>
  <c r="M292" i="7"/>
  <c r="M291" i="7"/>
  <c r="M290" i="7"/>
  <c r="M289" i="7"/>
  <c r="M288" i="7"/>
  <c r="M38" i="7"/>
  <c r="L452" i="7"/>
  <c r="L458" i="7"/>
  <c r="L453" i="7"/>
  <c r="L457" i="7"/>
  <c r="L477" i="7"/>
  <c r="L481" i="7"/>
  <c r="L485" i="7"/>
  <c r="L505" i="7"/>
  <c r="L509" i="7"/>
  <c r="L447" i="7"/>
  <c r="L478" i="7"/>
  <c r="L482" i="7"/>
  <c r="L506" i="7"/>
  <c r="L510" i="7"/>
  <c r="K103" i="7"/>
  <c r="S62" i="7" l="1"/>
  <c r="S440" i="7"/>
  <c r="S302" i="7"/>
  <c r="R94" i="7"/>
  <c r="AM147" i="1"/>
  <c r="S605" i="7"/>
  <c r="S639" i="7"/>
  <c r="S600" i="7"/>
  <c r="S550" i="7"/>
  <c r="S544" i="7"/>
  <c r="S590" i="7"/>
  <c r="S586" i="7"/>
  <c r="S582" i="7"/>
  <c r="S578" i="7"/>
  <c r="S39" i="7"/>
  <c r="S43" i="7"/>
  <c r="S36" i="7"/>
  <c r="T607" i="7"/>
  <c r="H460" i="7"/>
  <c r="J512" i="7"/>
  <c r="E486" i="7"/>
  <c r="G460" i="7"/>
  <c r="L451" i="7"/>
  <c r="I512" i="7"/>
  <c r="D486" i="7"/>
  <c r="F460" i="7"/>
  <c r="F486" i="7"/>
  <c r="L503" i="7"/>
  <c r="H512" i="7"/>
  <c r="K486" i="7"/>
  <c r="C486" i="7"/>
  <c r="E460" i="7"/>
  <c r="L486" i="7"/>
  <c r="G512" i="7"/>
  <c r="J486" i="7"/>
  <c r="D460" i="7"/>
  <c r="L512" i="7"/>
  <c r="C512" i="7"/>
  <c r="E512" i="7"/>
  <c r="I486" i="7"/>
  <c r="K460" i="7"/>
  <c r="C460" i="7"/>
  <c r="L460" i="7"/>
  <c r="K512" i="7"/>
  <c r="F512" i="7"/>
  <c r="H486" i="7"/>
  <c r="J460" i="7"/>
  <c r="D512" i="7"/>
  <c r="G486" i="7"/>
  <c r="I460" i="7"/>
  <c r="C103" i="7"/>
  <c r="S723" i="7"/>
  <c r="S722" i="7"/>
  <c r="S721" i="7"/>
  <c r="S720" i="7"/>
  <c r="S719" i="7"/>
  <c r="S718" i="7"/>
  <c r="S717" i="7"/>
  <c r="S716" i="7"/>
  <c r="S686" i="7"/>
  <c r="S715" i="7"/>
  <c r="S691" i="7"/>
  <c r="S689" i="7"/>
  <c r="S687" i="7"/>
  <c r="S685" i="7"/>
  <c r="S714" i="7"/>
  <c r="S690" i="7"/>
  <c r="S688" i="7"/>
  <c r="S684" i="7"/>
  <c r="S682" i="7"/>
  <c r="S657" i="7"/>
  <c r="S656" i="7"/>
  <c r="S654" i="7"/>
  <c r="S652" i="7"/>
  <c r="S650" i="7"/>
  <c r="S683" i="7"/>
  <c r="S658" i="7"/>
  <c r="S655" i="7"/>
  <c r="S653" i="7"/>
  <c r="S651" i="7"/>
  <c r="S659" i="7"/>
  <c r="S29" i="7"/>
  <c r="S63" i="7"/>
  <c r="N633" i="7"/>
  <c r="M364" i="7"/>
  <c r="L103" i="7"/>
  <c r="M724" i="7"/>
  <c r="M709" i="7" s="1"/>
  <c r="M102" i="7" s="1"/>
  <c r="M40" i="7"/>
  <c r="M452" i="7"/>
  <c r="M481" i="7"/>
  <c r="M485" i="7"/>
  <c r="M504" i="7"/>
  <c r="M459" i="7"/>
  <c r="M508" i="7"/>
  <c r="M512" i="7"/>
  <c r="M455" i="7"/>
  <c r="M457" i="7"/>
  <c r="M454" i="7"/>
  <c r="M458" i="7"/>
  <c r="M478" i="7"/>
  <c r="M482" i="7"/>
  <c r="M486" i="7"/>
  <c r="M506" i="7"/>
  <c r="M510" i="7"/>
  <c r="M479" i="7"/>
  <c r="M483" i="7"/>
  <c r="M507" i="7"/>
  <c r="M511" i="7"/>
  <c r="N735" i="7"/>
  <c r="N734" i="7"/>
  <c r="N733" i="7"/>
  <c r="N732" i="7"/>
  <c r="N731" i="7"/>
  <c r="N730" i="7"/>
  <c r="N727" i="7"/>
  <c r="N373" i="7"/>
  <c r="N372" i="7"/>
  <c r="N371" i="7"/>
  <c r="N370" i="7"/>
  <c r="N369" i="7"/>
  <c r="N368" i="7"/>
  <c r="N367" i="7"/>
  <c r="N366" i="7"/>
  <c r="N365" i="7"/>
  <c r="N364" i="7"/>
  <c r="N703" i="7"/>
  <c r="N702" i="7"/>
  <c r="N701" i="7"/>
  <c r="N700" i="7"/>
  <c r="N699" i="7"/>
  <c r="N698" i="7"/>
  <c r="N697" i="7"/>
  <c r="N696" i="7"/>
  <c r="N695" i="7"/>
  <c r="N347" i="7"/>
  <c r="N346" i="7"/>
  <c r="N345" i="7"/>
  <c r="N344" i="7"/>
  <c r="N343" i="7"/>
  <c r="N342" i="7"/>
  <c r="N341" i="7"/>
  <c r="N340" i="7"/>
  <c r="N339" i="7"/>
  <c r="N338" i="7"/>
  <c r="N671" i="7"/>
  <c r="N670" i="7"/>
  <c r="N669" i="7"/>
  <c r="N668" i="7"/>
  <c r="N667" i="7"/>
  <c r="N666" i="7"/>
  <c r="N665" i="7"/>
  <c r="N664" i="7"/>
  <c r="N663" i="7"/>
  <c r="N322" i="7"/>
  <c r="N321" i="7"/>
  <c r="N320" i="7"/>
  <c r="N319" i="7"/>
  <c r="N318" i="7"/>
  <c r="N317" i="7"/>
  <c r="N316" i="7"/>
  <c r="N315" i="7"/>
  <c r="N314" i="7"/>
  <c r="N313" i="7"/>
  <c r="N551" i="7"/>
  <c r="N545" i="7"/>
  <c r="N446" i="7"/>
  <c r="N431" i="7"/>
  <c r="N430" i="7"/>
  <c r="N429" i="7"/>
  <c r="N428" i="7"/>
  <c r="N427" i="7"/>
  <c r="N426" i="7"/>
  <c r="N293" i="7"/>
  <c r="N292" i="7"/>
  <c r="N291" i="7"/>
  <c r="N290" i="7"/>
  <c r="N289" i="7"/>
  <c r="N288" i="7"/>
  <c r="N308" i="7"/>
  <c r="N38" i="7"/>
  <c r="M309" i="7"/>
  <c r="M451" i="7"/>
  <c r="M453" i="7"/>
  <c r="M456" i="7"/>
  <c r="M460" i="7"/>
  <c r="M480" i="7"/>
  <c r="M484" i="7"/>
  <c r="M477" i="7"/>
  <c r="M505" i="7"/>
  <c r="M509" i="7"/>
  <c r="M447" i="7"/>
  <c r="M660" i="7"/>
  <c r="M645" i="7" s="1"/>
  <c r="M100" i="7" s="1"/>
  <c r="M692" i="7"/>
  <c r="M677" i="7" s="1"/>
  <c r="M101" i="7" s="1"/>
  <c r="T62" i="7" l="1"/>
  <c r="T440" i="7"/>
  <c r="T302" i="7"/>
  <c r="S94" i="7"/>
  <c r="AN147" i="1"/>
  <c r="T605" i="7"/>
  <c r="T639" i="7"/>
  <c r="T600" i="7"/>
  <c r="T586" i="7"/>
  <c r="T578" i="7"/>
  <c r="T550" i="7"/>
  <c r="T544" i="7"/>
  <c r="T590" i="7"/>
  <c r="T582" i="7"/>
  <c r="T39" i="7"/>
  <c r="T43" i="7"/>
  <c r="T36" i="7"/>
  <c r="U607" i="7"/>
  <c r="M503" i="7"/>
  <c r="T722" i="7"/>
  <c r="T720" i="7"/>
  <c r="T718" i="7"/>
  <c r="T716" i="7"/>
  <c r="T714" i="7"/>
  <c r="T715" i="7"/>
  <c r="T721" i="7"/>
  <c r="T691" i="7"/>
  <c r="T689" i="7"/>
  <c r="T687" i="7"/>
  <c r="T723" i="7"/>
  <c r="T717" i="7"/>
  <c r="T719" i="7"/>
  <c r="T690" i="7"/>
  <c r="T688" i="7"/>
  <c r="T686" i="7"/>
  <c r="T684" i="7"/>
  <c r="T682" i="7"/>
  <c r="T658" i="7"/>
  <c r="T656" i="7"/>
  <c r="T655" i="7"/>
  <c r="T654" i="7"/>
  <c r="T653" i="7"/>
  <c r="T652" i="7"/>
  <c r="T651" i="7"/>
  <c r="T650" i="7"/>
  <c r="T683" i="7"/>
  <c r="T685" i="7"/>
  <c r="T659" i="7"/>
  <c r="T657" i="7"/>
  <c r="T29" i="7"/>
  <c r="T63" i="7"/>
  <c r="O633" i="7"/>
  <c r="N480" i="7"/>
  <c r="N456" i="7"/>
  <c r="N458" i="7"/>
  <c r="N504" i="7"/>
  <c r="N508" i="7"/>
  <c r="N512" i="7"/>
  <c r="N484" i="7"/>
  <c r="N454" i="7"/>
  <c r="N309" i="7"/>
  <c r="N452" i="7"/>
  <c r="N460" i="7"/>
  <c r="N453" i="7"/>
  <c r="N457" i="7"/>
  <c r="N477" i="7"/>
  <c r="N481" i="7"/>
  <c r="N485" i="7"/>
  <c r="N505" i="7"/>
  <c r="N509" i="7"/>
  <c r="N447" i="7"/>
  <c r="N478" i="7"/>
  <c r="N482" i="7"/>
  <c r="N486" i="7"/>
  <c r="N506" i="7"/>
  <c r="N510" i="7"/>
  <c r="O735" i="7"/>
  <c r="O734" i="7"/>
  <c r="O733" i="7"/>
  <c r="O732" i="7"/>
  <c r="O731" i="7"/>
  <c r="O729" i="7"/>
  <c r="O373" i="7"/>
  <c r="O372" i="7"/>
  <c r="O371" i="7"/>
  <c r="O370" i="7"/>
  <c r="O369" i="7"/>
  <c r="O368" i="7"/>
  <c r="O367" i="7"/>
  <c r="O366" i="7"/>
  <c r="O727" i="7"/>
  <c r="O364" i="7"/>
  <c r="O347" i="7"/>
  <c r="O346" i="7"/>
  <c r="O345" i="7"/>
  <c r="O344" i="7"/>
  <c r="O343" i="7"/>
  <c r="O342" i="7"/>
  <c r="O341" i="7"/>
  <c r="O365" i="7"/>
  <c r="O703" i="7"/>
  <c r="O702" i="7"/>
  <c r="O701" i="7"/>
  <c r="O700" i="7"/>
  <c r="O699" i="7"/>
  <c r="O698" i="7"/>
  <c r="O697" i="7"/>
  <c r="O696" i="7"/>
  <c r="O695" i="7"/>
  <c r="O322" i="7"/>
  <c r="O321" i="7"/>
  <c r="O320" i="7"/>
  <c r="O319" i="7"/>
  <c r="O318" i="7"/>
  <c r="O317" i="7"/>
  <c r="O340" i="7"/>
  <c r="O339" i="7"/>
  <c r="O338" i="7"/>
  <c r="O671" i="7"/>
  <c r="O670" i="7"/>
  <c r="O669" i="7"/>
  <c r="O668" i="7"/>
  <c r="O667" i="7"/>
  <c r="O666" i="7"/>
  <c r="O665" i="7"/>
  <c r="O664" i="7"/>
  <c r="O662" i="7"/>
  <c r="O315" i="7"/>
  <c r="O316" i="7"/>
  <c r="O314" i="7"/>
  <c r="O551" i="7"/>
  <c r="O545" i="7"/>
  <c r="O431" i="7"/>
  <c r="O430" i="7"/>
  <c r="O429" i="7"/>
  <c r="O428" i="7"/>
  <c r="O427" i="7"/>
  <c r="O426" i="7"/>
  <c r="O446" i="7"/>
  <c r="O308" i="7"/>
  <c r="O293" i="7"/>
  <c r="O292" i="7"/>
  <c r="O291" i="7"/>
  <c r="O290" i="7"/>
  <c r="O289" i="7"/>
  <c r="O288" i="7"/>
  <c r="O38" i="7"/>
  <c r="N451" i="7"/>
  <c r="N455" i="7"/>
  <c r="N459" i="7"/>
  <c r="N479" i="7"/>
  <c r="N483" i="7"/>
  <c r="N503" i="7"/>
  <c r="N507" i="7"/>
  <c r="N511" i="7"/>
  <c r="M103" i="7"/>
  <c r="N40" i="7"/>
  <c r="N660" i="7"/>
  <c r="N645" i="7" s="1"/>
  <c r="N100" i="7" s="1"/>
  <c r="N692" i="7"/>
  <c r="N677" i="7" s="1"/>
  <c r="N101" i="7" s="1"/>
  <c r="N724" i="7"/>
  <c r="N709" i="7" s="1"/>
  <c r="N102" i="7" s="1"/>
  <c r="U62" i="7" l="1"/>
  <c r="U440" i="7"/>
  <c r="U302" i="7"/>
  <c r="T94" i="7"/>
  <c r="AO147" i="1"/>
  <c r="U605" i="7"/>
  <c r="U639" i="7"/>
  <c r="U600" i="7"/>
  <c r="U550" i="7"/>
  <c r="U544" i="7"/>
  <c r="U590" i="7"/>
  <c r="U586" i="7"/>
  <c r="U582" i="7"/>
  <c r="U578" i="7"/>
  <c r="U39" i="7"/>
  <c r="U43" i="7"/>
  <c r="U36" i="7"/>
  <c r="V607" i="7"/>
  <c r="U723" i="7"/>
  <c r="U721" i="7"/>
  <c r="U719" i="7"/>
  <c r="U717" i="7"/>
  <c r="U715" i="7"/>
  <c r="U714" i="7"/>
  <c r="U691" i="7"/>
  <c r="U722" i="7"/>
  <c r="U718" i="7"/>
  <c r="U720" i="7"/>
  <c r="U716" i="7"/>
  <c r="U690" i="7"/>
  <c r="U688" i="7"/>
  <c r="U686" i="7"/>
  <c r="U689" i="7"/>
  <c r="U687" i="7"/>
  <c r="U685" i="7"/>
  <c r="U683" i="7"/>
  <c r="U659" i="7"/>
  <c r="U658" i="7"/>
  <c r="U684" i="7"/>
  <c r="U655" i="7"/>
  <c r="U653" i="7"/>
  <c r="U651" i="7"/>
  <c r="U657" i="7"/>
  <c r="U682" i="7"/>
  <c r="U656" i="7"/>
  <c r="U654" i="7"/>
  <c r="U652" i="7"/>
  <c r="U650" i="7"/>
  <c r="U63" i="7"/>
  <c r="U29" i="7"/>
  <c r="P633" i="7"/>
  <c r="O40" i="7"/>
  <c r="O660" i="7"/>
  <c r="O645" i="7" s="1"/>
  <c r="O100" i="7" s="1"/>
  <c r="O692" i="7"/>
  <c r="O677" i="7" s="1"/>
  <c r="O101" i="7" s="1"/>
  <c r="O479" i="7"/>
  <c r="O458" i="7"/>
  <c r="O507" i="7"/>
  <c r="O454" i="7"/>
  <c r="O482" i="7"/>
  <c r="P735" i="7"/>
  <c r="P734" i="7"/>
  <c r="P733" i="7"/>
  <c r="P732" i="7"/>
  <c r="P731" i="7"/>
  <c r="P729" i="7"/>
  <c r="P727" i="7"/>
  <c r="P373" i="7"/>
  <c r="P372" i="7"/>
  <c r="P371" i="7"/>
  <c r="P370" i="7"/>
  <c r="P369" i="7"/>
  <c r="P368" i="7"/>
  <c r="P367" i="7"/>
  <c r="P366" i="7"/>
  <c r="P365" i="7"/>
  <c r="P364" i="7"/>
  <c r="P703" i="7"/>
  <c r="P702" i="7"/>
  <c r="P701" i="7"/>
  <c r="P700" i="7"/>
  <c r="P699" i="7"/>
  <c r="P698" i="7"/>
  <c r="P697" i="7"/>
  <c r="P696" i="7"/>
  <c r="P695" i="7"/>
  <c r="P347" i="7"/>
  <c r="P346" i="7"/>
  <c r="P345" i="7"/>
  <c r="P344" i="7"/>
  <c r="P343" i="7"/>
  <c r="P342" i="7"/>
  <c r="P341" i="7"/>
  <c r="P340" i="7"/>
  <c r="P339" i="7"/>
  <c r="P338" i="7"/>
  <c r="P671" i="7"/>
  <c r="P670" i="7"/>
  <c r="P669" i="7"/>
  <c r="P668" i="7"/>
  <c r="P667" i="7"/>
  <c r="P666" i="7"/>
  <c r="P665" i="7"/>
  <c r="P664" i="7"/>
  <c r="P662" i="7"/>
  <c r="P322" i="7"/>
  <c r="P321" i="7"/>
  <c r="P320" i="7"/>
  <c r="P319" i="7"/>
  <c r="P318" i="7"/>
  <c r="P317" i="7"/>
  <c r="P316" i="7"/>
  <c r="P315" i="7"/>
  <c r="P314" i="7"/>
  <c r="P551" i="7"/>
  <c r="P545" i="7"/>
  <c r="P446" i="7"/>
  <c r="P431" i="7"/>
  <c r="P430" i="7"/>
  <c r="P429" i="7"/>
  <c r="P428" i="7"/>
  <c r="P427" i="7"/>
  <c r="P426" i="7"/>
  <c r="P293" i="7"/>
  <c r="P292" i="7"/>
  <c r="P291" i="7"/>
  <c r="P290" i="7"/>
  <c r="P289" i="7"/>
  <c r="P288" i="7"/>
  <c r="P308" i="7"/>
  <c r="P38" i="7"/>
  <c r="O455" i="7"/>
  <c r="O456" i="7"/>
  <c r="O480" i="7"/>
  <c r="O504" i="7"/>
  <c r="O508" i="7"/>
  <c r="O512" i="7"/>
  <c r="O481" i="7"/>
  <c r="O485" i="7"/>
  <c r="O509" i="7"/>
  <c r="O447" i="7"/>
  <c r="O457" i="7"/>
  <c r="O459" i="7"/>
  <c r="O478" i="7"/>
  <c r="O486" i="7"/>
  <c r="O506" i="7"/>
  <c r="O510" i="7"/>
  <c r="O483" i="7"/>
  <c r="O503" i="7"/>
  <c r="O511" i="7"/>
  <c r="N103" i="7"/>
  <c r="O313" i="7"/>
  <c r="O724" i="7"/>
  <c r="O709" i="7" s="1"/>
  <c r="O102" i="7" s="1"/>
  <c r="O309" i="7"/>
  <c r="O453" i="7"/>
  <c r="O452" i="7"/>
  <c r="O460" i="7"/>
  <c r="O484" i="7"/>
  <c r="O477" i="7"/>
  <c r="O505" i="7"/>
  <c r="V62" i="7" l="1"/>
  <c r="V440" i="7"/>
  <c r="V302" i="7"/>
  <c r="U94" i="7"/>
  <c r="AP147" i="1"/>
  <c r="V605" i="7"/>
  <c r="V639" i="7"/>
  <c r="V600" i="7"/>
  <c r="V544" i="7"/>
  <c r="V590" i="7"/>
  <c r="V586" i="7"/>
  <c r="V582" i="7"/>
  <c r="V578" i="7"/>
  <c r="V550" i="7"/>
  <c r="V39" i="7"/>
  <c r="V43" i="7"/>
  <c r="V36" i="7"/>
  <c r="W607" i="7"/>
  <c r="V723" i="7"/>
  <c r="V721" i="7"/>
  <c r="V719" i="7"/>
  <c r="V717" i="7"/>
  <c r="V690" i="7"/>
  <c r="V689" i="7"/>
  <c r="V688" i="7"/>
  <c r="V687" i="7"/>
  <c r="V686" i="7"/>
  <c r="V685" i="7"/>
  <c r="V684" i="7"/>
  <c r="V683" i="7"/>
  <c r="V682" i="7"/>
  <c r="V659" i="7"/>
  <c r="V658" i="7"/>
  <c r="V657" i="7"/>
  <c r="V716" i="7"/>
  <c r="V691" i="7"/>
  <c r="V722" i="7"/>
  <c r="V718" i="7"/>
  <c r="V714" i="7"/>
  <c r="V720" i="7"/>
  <c r="V715" i="7"/>
  <c r="V655" i="7"/>
  <c r="V653" i="7"/>
  <c r="V651" i="7"/>
  <c r="V656" i="7"/>
  <c r="V654" i="7"/>
  <c r="V652" i="7"/>
  <c r="V650" i="7"/>
  <c r="V63" i="7"/>
  <c r="V29" i="7"/>
  <c r="Q633" i="7"/>
  <c r="O103" i="7"/>
  <c r="O451" i="7"/>
  <c r="P456" i="7"/>
  <c r="P309" i="7"/>
  <c r="P454" i="7"/>
  <c r="P455" i="7"/>
  <c r="P459" i="7"/>
  <c r="P479" i="7"/>
  <c r="P483" i="7"/>
  <c r="P503" i="7"/>
  <c r="P507" i="7"/>
  <c r="P511" i="7"/>
  <c r="P480" i="7"/>
  <c r="P484" i="7"/>
  <c r="P504" i="7"/>
  <c r="P508" i="7"/>
  <c r="P512" i="7"/>
  <c r="P40" i="7"/>
  <c r="P313" i="7"/>
  <c r="P660" i="7"/>
  <c r="P645" i="7" s="1"/>
  <c r="P100" i="7" s="1"/>
  <c r="P692" i="7"/>
  <c r="P677" i="7" s="1"/>
  <c r="P101" i="7" s="1"/>
  <c r="P724" i="7"/>
  <c r="P709" i="7" s="1"/>
  <c r="P102" i="7" s="1"/>
  <c r="Q735" i="7"/>
  <c r="Q734" i="7"/>
  <c r="Q733" i="7"/>
  <c r="Q732" i="7"/>
  <c r="Q731" i="7"/>
  <c r="Q729" i="7"/>
  <c r="Q727" i="7"/>
  <c r="Q373" i="7"/>
  <c r="Q372" i="7"/>
  <c r="Q371" i="7"/>
  <c r="Q370" i="7"/>
  <c r="Q369" i="7"/>
  <c r="Q368" i="7"/>
  <c r="Q367" i="7"/>
  <c r="Q366" i="7"/>
  <c r="Q365" i="7"/>
  <c r="Q347" i="7"/>
  <c r="Q346" i="7"/>
  <c r="Q345" i="7"/>
  <c r="Q344" i="7"/>
  <c r="Q343" i="7"/>
  <c r="Q342" i="7"/>
  <c r="Q341" i="7"/>
  <c r="Q364" i="7"/>
  <c r="Q703" i="7"/>
  <c r="Q702" i="7"/>
  <c r="Q701" i="7"/>
  <c r="Q700" i="7"/>
  <c r="Q699" i="7"/>
  <c r="Q698" i="7"/>
  <c r="Q697" i="7"/>
  <c r="Q696" i="7"/>
  <c r="Q695" i="7"/>
  <c r="Q340" i="7"/>
  <c r="Q322" i="7"/>
  <c r="Q321" i="7"/>
  <c r="Q320" i="7"/>
  <c r="Q319" i="7"/>
  <c r="Q318" i="7"/>
  <c r="Q317" i="7"/>
  <c r="Q339" i="7"/>
  <c r="Q671" i="7"/>
  <c r="Q670" i="7"/>
  <c r="Q669" i="7"/>
  <c r="Q668" i="7"/>
  <c r="Q667" i="7"/>
  <c r="Q666" i="7"/>
  <c r="Q665" i="7"/>
  <c r="Q664" i="7"/>
  <c r="Q662" i="7"/>
  <c r="Q316" i="7"/>
  <c r="Q315" i="7"/>
  <c r="Q314" i="7"/>
  <c r="Q551" i="7"/>
  <c r="Q545" i="7"/>
  <c r="Q431" i="7"/>
  <c r="Q430" i="7"/>
  <c r="Q429" i="7"/>
  <c r="Q428" i="7"/>
  <c r="Q427" i="7"/>
  <c r="Q426" i="7"/>
  <c r="Q446" i="7"/>
  <c r="Q308" i="7"/>
  <c r="Q293" i="7"/>
  <c r="Q292" i="7"/>
  <c r="Q291" i="7"/>
  <c r="Q290" i="7"/>
  <c r="Q289" i="7"/>
  <c r="Q288" i="7"/>
  <c r="Q38" i="7"/>
  <c r="P452" i="7"/>
  <c r="P460" i="7"/>
  <c r="P458" i="7"/>
  <c r="P453" i="7"/>
  <c r="P457" i="7"/>
  <c r="P477" i="7"/>
  <c r="P481" i="7"/>
  <c r="P485" i="7"/>
  <c r="P505" i="7"/>
  <c r="P509" i="7"/>
  <c r="P447" i="7"/>
  <c r="P478" i="7"/>
  <c r="P482" i="7"/>
  <c r="P486" i="7"/>
  <c r="P506" i="7"/>
  <c r="P510" i="7"/>
  <c r="W62" i="7" l="1"/>
  <c r="W440" i="7"/>
  <c r="W302" i="7"/>
  <c r="AQ147" i="1"/>
  <c r="V94" i="7"/>
  <c r="W605" i="7"/>
  <c r="W639" i="7"/>
  <c r="W600" i="7"/>
  <c r="W550" i="7"/>
  <c r="W544" i="7"/>
  <c r="W582" i="7"/>
  <c r="W590" i="7"/>
  <c r="W586" i="7"/>
  <c r="W578" i="7"/>
  <c r="W39" i="7"/>
  <c r="W43" i="7"/>
  <c r="W36" i="7"/>
  <c r="X607" i="7"/>
  <c r="W723" i="7"/>
  <c r="W722" i="7"/>
  <c r="W721" i="7"/>
  <c r="W720" i="7"/>
  <c r="W719" i="7"/>
  <c r="W718" i="7"/>
  <c r="W717" i="7"/>
  <c r="W716" i="7"/>
  <c r="W715" i="7"/>
  <c r="W691" i="7"/>
  <c r="W714" i="7"/>
  <c r="W690" i="7"/>
  <c r="W688" i="7"/>
  <c r="W689" i="7"/>
  <c r="W687" i="7"/>
  <c r="W685" i="7"/>
  <c r="W683" i="7"/>
  <c r="W659" i="7"/>
  <c r="W657" i="7"/>
  <c r="W684" i="7"/>
  <c r="W656" i="7"/>
  <c r="W654" i="7"/>
  <c r="W652" i="7"/>
  <c r="W650" i="7"/>
  <c r="W686" i="7"/>
  <c r="W682" i="7"/>
  <c r="W658" i="7"/>
  <c r="W655" i="7"/>
  <c r="W653" i="7"/>
  <c r="W651" i="7"/>
  <c r="W29" i="7"/>
  <c r="W63" i="7"/>
  <c r="R633" i="7"/>
  <c r="Q313" i="7"/>
  <c r="Q692" i="7"/>
  <c r="Q677" i="7" s="1"/>
  <c r="Q101" i="7" s="1"/>
  <c r="Q40" i="7"/>
  <c r="Q338" i="7"/>
  <c r="Q660" i="7"/>
  <c r="Q645" i="7" s="1"/>
  <c r="Q100" i="7" s="1"/>
  <c r="Q455" i="7"/>
  <c r="Q457" i="7"/>
  <c r="Q454" i="7"/>
  <c r="Q458" i="7"/>
  <c r="Q478" i="7"/>
  <c r="Q482" i="7"/>
  <c r="Q486" i="7"/>
  <c r="Q506" i="7"/>
  <c r="Q510" i="7"/>
  <c r="Q479" i="7"/>
  <c r="Q483" i="7"/>
  <c r="Q503" i="7"/>
  <c r="Q507" i="7"/>
  <c r="Q511" i="7"/>
  <c r="P451" i="7"/>
  <c r="Q724" i="7"/>
  <c r="Q709" i="7" s="1"/>
  <c r="Q102" i="7" s="1"/>
  <c r="P103" i="7"/>
  <c r="R735" i="7"/>
  <c r="R734" i="7"/>
  <c r="R733" i="7"/>
  <c r="R732" i="7"/>
  <c r="R730" i="7"/>
  <c r="R728" i="7"/>
  <c r="R727" i="7"/>
  <c r="R373" i="7"/>
  <c r="R372" i="7"/>
  <c r="R371" i="7"/>
  <c r="R370" i="7"/>
  <c r="R369" i="7"/>
  <c r="R368" i="7"/>
  <c r="R367" i="7"/>
  <c r="R366" i="7"/>
  <c r="R365" i="7"/>
  <c r="R364" i="7"/>
  <c r="R703" i="7"/>
  <c r="R702" i="7"/>
  <c r="R701" i="7"/>
  <c r="R700" i="7"/>
  <c r="R699" i="7"/>
  <c r="R698" i="7"/>
  <c r="R697" i="7"/>
  <c r="R696" i="7"/>
  <c r="R694" i="7"/>
  <c r="R347" i="7"/>
  <c r="R346" i="7"/>
  <c r="R345" i="7"/>
  <c r="R344" i="7"/>
  <c r="R343" i="7"/>
  <c r="R342" i="7"/>
  <c r="R341" i="7"/>
  <c r="R340" i="7"/>
  <c r="R339" i="7"/>
  <c r="R338" i="7"/>
  <c r="R671" i="7"/>
  <c r="R670" i="7"/>
  <c r="R669" i="7"/>
  <c r="R668" i="7"/>
  <c r="R667" i="7"/>
  <c r="R666" i="7"/>
  <c r="R665" i="7"/>
  <c r="R664" i="7"/>
  <c r="R662" i="7"/>
  <c r="R322" i="7"/>
  <c r="R321" i="7"/>
  <c r="R320" i="7"/>
  <c r="R319" i="7"/>
  <c r="R318" i="7"/>
  <c r="R317" i="7"/>
  <c r="R316" i="7"/>
  <c r="R315" i="7"/>
  <c r="R314" i="7"/>
  <c r="R551" i="7"/>
  <c r="R545" i="7"/>
  <c r="R446" i="7"/>
  <c r="R431" i="7"/>
  <c r="R430" i="7"/>
  <c r="R429" i="7"/>
  <c r="R428" i="7"/>
  <c r="R427" i="7"/>
  <c r="R426" i="7"/>
  <c r="R293" i="7"/>
  <c r="R292" i="7"/>
  <c r="R291" i="7"/>
  <c r="R290" i="7"/>
  <c r="R289" i="7"/>
  <c r="R288" i="7"/>
  <c r="R308" i="7"/>
  <c r="R38" i="7"/>
  <c r="Q309" i="7"/>
  <c r="Q459" i="7"/>
  <c r="Q453" i="7"/>
  <c r="Q452" i="7"/>
  <c r="Q456" i="7"/>
  <c r="Q460" i="7"/>
  <c r="Q480" i="7"/>
  <c r="Q484" i="7"/>
  <c r="Q504" i="7"/>
  <c r="Q508" i="7"/>
  <c r="Q512" i="7"/>
  <c r="Q481" i="7"/>
  <c r="Q485" i="7"/>
  <c r="Q505" i="7"/>
  <c r="Q509" i="7"/>
  <c r="Q447" i="7"/>
  <c r="X62" i="7" l="1"/>
  <c r="X440" i="7"/>
  <c r="X302" i="7"/>
  <c r="W94" i="7"/>
  <c r="X605" i="7"/>
  <c r="X639" i="7"/>
  <c r="X600" i="7"/>
  <c r="X582" i="7"/>
  <c r="X550" i="7"/>
  <c r="X544" i="7"/>
  <c r="X590" i="7"/>
  <c r="X586" i="7"/>
  <c r="X578" i="7"/>
  <c r="X39" i="7"/>
  <c r="X43" i="7"/>
  <c r="X36" i="7"/>
  <c r="Y607" i="7"/>
  <c r="Q477" i="7"/>
  <c r="Q451" i="7"/>
  <c r="X722" i="7"/>
  <c r="X720" i="7"/>
  <c r="X718" i="7"/>
  <c r="X716" i="7"/>
  <c r="X723" i="7"/>
  <c r="X719" i="7"/>
  <c r="X715" i="7"/>
  <c r="X721" i="7"/>
  <c r="X714" i="7"/>
  <c r="X690" i="7"/>
  <c r="X688" i="7"/>
  <c r="X684" i="7"/>
  <c r="X717" i="7"/>
  <c r="X689" i="7"/>
  <c r="X687" i="7"/>
  <c r="X685" i="7"/>
  <c r="X691" i="7"/>
  <c r="X656" i="7"/>
  <c r="X655" i="7"/>
  <c r="X654" i="7"/>
  <c r="X653" i="7"/>
  <c r="X652" i="7"/>
  <c r="X651" i="7"/>
  <c r="X650" i="7"/>
  <c r="X686" i="7"/>
  <c r="X682" i="7"/>
  <c r="X659" i="7"/>
  <c r="X657" i="7"/>
  <c r="X658" i="7"/>
  <c r="X683" i="7"/>
  <c r="X29" i="7"/>
  <c r="X63" i="7"/>
  <c r="S633" i="7"/>
  <c r="B421" i="7"/>
  <c r="E398" i="7" s="1"/>
  <c r="E397" i="7" s="1"/>
  <c r="R313" i="7"/>
  <c r="Q103" i="7"/>
  <c r="S735" i="7"/>
  <c r="S734" i="7"/>
  <c r="S733" i="7"/>
  <c r="S732" i="7"/>
  <c r="S730" i="7"/>
  <c r="S728" i="7"/>
  <c r="S373" i="7"/>
  <c r="S372" i="7"/>
  <c r="S371" i="7"/>
  <c r="S370" i="7"/>
  <c r="S369" i="7"/>
  <c r="S368" i="7"/>
  <c r="S367" i="7"/>
  <c r="S366" i="7"/>
  <c r="S727" i="7"/>
  <c r="S364" i="7"/>
  <c r="S347" i="7"/>
  <c r="S346" i="7"/>
  <c r="S345" i="7"/>
  <c r="S344" i="7"/>
  <c r="S343" i="7"/>
  <c r="S342" i="7"/>
  <c r="S341" i="7"/>
  <c r="S365" i="7"/>
  <c r="S703" i="7"/>
  <c r="S702" i="7"/>
  <c r="S701" i="7"/>
  <c r="S700" i="7"/>
  <c r="S699" i="7"/>
  <c r="S698" i="7"/>
  <c r="S697" i="7"/>
  <c r="S696" i="7"/>
  <c r="S694" i="7"/>
  <c r="S322" i="7"/>
  <c r="S321" i="7"/>
  <c r="S320" i="7"/>
  <c r="S319" i="7"/>
  <c r="S318" i="7"/>
  <c r="S317" i="7"/>
  <c r="S340" i="7"/>
  <c r="S339" i="7"/>
  <c r="S338" i="7"/>
  <c r="S671" i="7"/>
  <c r="S670" i="7"/>
  <c r="S669" i="7"/>
  <c r="S668" i="7"/>
  <c r="S667" i="7"/>
  <c r="S666" i="7"/>
  <c r="S665" i="7"/>
  <c r="S664" i="7"/>
  <c r="S662" i="7"/>
  <c r="S315" i="7"/>
  <c r="S316" i="7"/>
  <c r="S314" i="7"/>
  <c r="S551" i="7"/>
  <c r="S545" i="7"/>
  <c r="S431" i="7"/>
  <c r="S430" i="7"/>
  <c r="S429" i="7"/>
  <c r="S428" i="7"/>
  <c r="S427" i="7"/>
  <c r="S426" i="7"/>
  <c r="S446" i="7"/>
  <c r="S308" i="7"/>
  <c r="S293" i="7"/>
  <c r="S292" i="7"/>
  <c r="S291" i="7"/>
  <c r="S290" i="7"/>
  <c r="S289" i="7"/>
  <c r="S288" i="7"/>
  <c r="S38" i="7"/>
  <c r="R458" i="7"/>
  <c r="R456" i="7"/>
  <c r="R455" i="7"/>
  <c r="R459" i="7"/>
  <c r="R479" i="7"/>
  <c r="R483" i="7"/>
  <c r="R503" i="7"/>
  <c r="R507" i="7"/>
  <c r="R511" i="7"/>
  <c r="R480" i="7"/>
  <c r="R484" i="7"/>
  <c r="R504" i="7"/>
  <c r="R508" i="7"/>
  <c r="R512" i="7"/>
  <c r="R40" i="7"/>
  <c r="R660" i="7"/>
  <c r="R645" i="7" s="1"/>
  <c r="R100" i="7" s="1"/>
  <c r="R692" i="7"/>
  <c r="R677" i="7" s="1"/>
  <c r="R101" i="7" s="1"/>
  <c r="R724" i="7"/>
  <c r="R709" i="7" s="1"/>
  <c r="R102" i="7" s="1"/>
  <c r="R454" i="7"/>
  <c r="R309" i="7"/>
  <c r="R452" i="7"/>
  <c r="R460" i="7"/>
  <c r="R453" i="7"/>
  <c r="R457" i="7"/>
  <c r="R477" i="7"/>
  <c r="R481" i="7"/>
  <c r="R485" i="7"/>
  <c r="R505" i="7"/>
  <c r="R509" i="7"/>
  <c r="R447" i="7"/>
  <c r="R478" i="7"/>
  <c r="R482" i="7"/>
  <c r="R486" i="7"/>
  <c r="R506" i="7"/>
  <c r="R510" i="7"/>
  <c r="Y440" i="7" l="1"/>
  <c r="Y302" i="7"/>
  <c r="Y605" i="7"/>
  <c r="Y639" i="7"/>
  <c r="X94" i="7"/>
  <c r="Y600" i="7"/>
  <c r="Y550" i="7"/>
  <c r="Y544" i="7"/>
  <c r="Y590" i="7"/>
  <c r="Y586" i="7"/>
  <c r="Y582" i="7"/>
  <c r="Y578" i="7"/>
  <c r="Y39" i="7"/>
  <c r="Y43" i="7"/>
  <c r="Y36" i="7"/>
  <c r="Z607" i="7"/>
  <c r="E394" i="7"/>
  <c r="R451" i="7"/>
  <c r="Y62" i="7"/>
  <c r="Y714" i="7"/>
  <c r="Y691" i="7"/>
  <c r="Y722" i="7"/>
  <c r="Y720" i="7"/>
  <c r="Y718" i="7"/>
  <c r="Y716" i="7"/>
  <c r="Y717" i="7"/>
  <c r="Y723" i="7"/>
  <c r="Y689" i="7"/>
  <c r="Y687" i="7"/>
  <c r="Y719" i="7"/>
  <c r="Y715" i="7"/>
  <c r="Y721" i="7"/>
  <c r="Y690" i="7"/>
  <c r="Y688" i="7"/>
  <c r="Y686" i="7"/>
  <c r="Y684" i="7"/>
  <c r="Y682" i="7"/>
  <c r="Y658" i="7"/>
  <c r="Y659" i="7"/>
  <c r="Y657" i="7"/>
  <c r="Y656" i="7"/>
  <c r="Y654" i="7"/>
  <c r="Y652" i="7"/>
  <c r="Y650" i="7"/>
  <c r="Y685" i="7"/>
  <c r="Y683" i="7"/>
  <c r="Y655" i="7"/>
  <c r="Y653" i="7"/>
  <c r="Y651" i="7"/>
  <c r="Y63" i="7"/>
  <c r="Y29" i="7"/>
  <c r="C189" i="7"/>
  <c r="T633" i="7"/>
  <c r="S313" i="7"/>
  <c r="T735" i="7"/>
  <c r="T734" i="7"/>
  <c r="T733" i="7"/>
  <c r="T732" i="7"/>
  <c r="T730" i="7"/>
  <c r="T728" i="7"/>
  <c r="T727" i="7"/>
  <c r="T373" i="7"/>
  <c r="T372" i="7"/>
  <c r="T371" i="7"/>
  <c r="T370" i="7"/>
  <c r="T369" i="7"/>
  <c r="T368" i="7"/>
  <c r="T367" i="7"/>
  <c r="T366" i="7"/>
  <c r="T365" i="7"/>
  <c r="T364" i="7"/>
  <c r="T703" i="7"/>
  <c r="T702" i="7"/>
  <c r="T701" i="7"/>
  <c r="T700" i="7"/>
  <c r="T699" i="7"/>
  <c r="T698" i="7"/>
  <c r="T697" i="7"/>
  <c r="T696" i="7"/>
  <c r="T694" i="7"/>
  <c r="T347" i="7"/>
  <c r="T346" i="7"/>
  <c r="T345" i="7"/>
  <c r="T344" i="7"/>
  <c r="T343" i="7"/>
  <c r="T342" i="7"/>
  <c r="T341" i="7"/>
  <c r="T340" i="7"/>
  <c r="T339" i="7"/>
  <c r="T338" i="7"/>
  <c r="T671" i="7"/>
  <c r="T670" i="7"/>
  <c r="T669" i="7"/>
  <c r="T668" i="7"/>
  <c r="T667" i="7"/>
  <c r="T666" i="7"/>
  <c r="T665" i="7"/>
  <c r="T664" i="7"/>
  <c r="T662" i="7"/>
  <c r="T322" i="7"/>
  <c r="T321" i="7"/>
  <c r="T320" i="7"/>
  <c r="T319" i="7"/>
  <c r="T318" i="7"/>
  <c r="T317" i="7"/>
  <c r="T316" i="7"/>
  <c r="T315" i="7"/>
  <c r="T314" i="7"/>
  <c r="T551" i="7"/>
  <c r="T545" i="7"/>
  <c r="T446" i="7"/>
  <c r="T431" i="7"/>
  <c r="T430" i="7"/>
  <c r="T429" i="7"/>
  <c r="T428" i="7"/>
  <c r="T427" i="7"/>
  <c r="T426" i="7"/>
  <c r="T293" i="7"/>
  <c r="T292" i="7"/>
  <c r="T291" i="7"/>
  <c r="T290" i="7"/>
  <c r="T289" i="7"/>
  <c r="T288" i="7"/>
  <c r="T308" i="7"/>
  <c r="T38" i="7"/>
  <c r="S309" i="7"/>
  <c r="S453" i="7"/>
  <c r="S455" i="7"/>
  <c r="S452" i="7"/>
  <c r="S456" i="7"/>
  <c r="S460" i="7"/>
  <c r="S480" i="7"/>
  <c r="S484" i="7"/>
  <c r="S504" i="7"/>
  <c r="S508" i="7"/>
  <c r="S512" i="7"/>
  <c r="S477" i="7"/>
  <c r="S481" i="7"/>
  <c r="S485" i="7"/>
  <c r="S505" i="7"/>
  <c r="S509" i="7"/>
  <c r="S447" i="7"/>
  <c r="R103" i="7"/>
  <c r="S40" i="7"/>
  <c r="S660" i="7"/>
  <c r="S645" i="7" s="1"/>
  <c r="S100" i="7" s="1"/>
  <c r="S692" i="7"/>
  <c r="S677" i="7" s="1"/>
  <c r="S101" i="7" s="1"/>
  <c r="S457" i="7"/>
  <c r="S459" i="7"/>
  <c r="S454" i="7"/>
  <c r="S458" i="7"/>
  <c r="S478" i="7"/>
  <c r="S482" i="7"/>
  <c r="S486" i="7"/>
  <c r="S506" i="7"/>
  <c r="S510" i="7"/>
  <c r="S479" i="7"/>
  <c r="S483" i="7"/>
  <c r="S503" i="7"/>
  <c r="S507" i="7"/>
  <c r="S511" i="7"/>
  <c r="S724" i="7"/>
  <c r="S709" i="7" s="1"/>
  <c r="S102" i="7" s="1"/>
  <c r="Z62" i="7" l="1"/>
  <c r="Z440" i="7"/>
  <c r="Z302" i="7"/>
  <c r="Y94" i="7"/>
  <c r="Z605" i="7"/>
  <c r="Z639" i="7"/>
  <c r="Z600" i="7"/>
  <c r="Z550" i="7"/>
  <c r="Z578" i="7"/>
  <c r="Z544" i="7"/>
  <c r="Z590" i="7"/>
  <c r="Z586" i="7"/>
  <c r="Z582" i="7"/>
  <c r="Z39" i="7"/>
  <c r="Z43" i="7"/>
  <c r="Z36" i="7"/>
  <c r="AA607" i="7"/>
  <c r="E391" i="7"/>
  <c r="E393" i="7"/>
  <c r="E392" i="7"/>
  <c r="E396" i="7"/>
  <c r="E395" i="7"/>
  <c r="S451" i="7"/>
  <c r="Z723" i="7"/>
  <c r="Z721" i="7"/>
  <c r="Z719" i="7"/>
  <c r="Z717" i="7"/>
  <c r="Z715" i="7"/>
  <c r="Z720" i="7"/>
  <c r="Z716" i="7"/>
  <c r="Z714" i="7"/>
  <c r="Z690" i="7"/>
  <c r="Z689" i="7"/>
  <c r="Z688" i="7"/>
  <c r="Z687" i="7"/>
  <c r="Z686" i="7"/>
  <c r="Z685" i="7"/>
  <c r="Z684" i="7"/>
  <c r="Z683" i="7"/>
  <c r="Z682" i="7"/>
  <c r="Z659" i="7"/>
  <c r="Z658" i="7"/>
  <c r="Z657" i="7"/>
  <c r="Z722" i="7"/>
  <c r="Z718" i="7"/>
  <c r="Z691" i="7"/>
  <c r="Z650" i="7"/>
  <c r="Z655" i="7"/>
  <c r="Z653" i="7"/>
  <c r="Z651" i="7"/>
  <c r="Z656" i="7"/>
  <c r="Z654" i="7"/>
  <c r="Z652" i="7"/>
  <c r="Z63" i="7"/>
  <c r="Z29" i="7"/>
  <c r="U633" i="7"/>
  <c r="T313" i="7"/>
  <c r="T724" i="7"/>
  <c r="T709" i="7" s="1"/>
  <c r="T102" i="7" s="1"/>
  <c r="U735" i="7"/>
  <c r="U734" i="7"/>
  <c r="U733" i="7"/>
  <c r="U731" i="7"/>
  <c r="U730" i="7"/>
  <c r="U728" i="7"/>
  <c r="U727" i="7"/>
  <c r="U373" i="7"/>
  <c r="U372" i="7"/>
  <c r="U371" i="7"/>
  <c r="U370" i="7"/>
  <c r="U369" i="7"/>
  <c r="U368" i="7"/>
  <c r="U367" i="7"/>
  <c r="U366" i="7"/>
  <c r="U365" i="7"/>
  <c r="U347" i="7"/>
  <c r="U346" i="7"/>
  <c r="U345" i="7"/>
  <c r="U344" i="7"/>
  <c r="U343" i="7"/>
  <c r="U342" i="7"/>
  <c r="U341" i="7"/>
  <c r="U364" i="7"/>
  <c r="U703" i="7"/>
  <c r="U702" i="7"/>
  <c r="U701" i="7"/>
  <c r="U700" i="7"/>
  <c r="U699" i="7"/>
  <c r="U698" i="7"/>
  <c r="U697" i="7"/>
  <c r="U696" i="7"/>
  <c r="U694" i="7"/>
  <c r="U340" i="7"/>
  <c r="U322" i="7"/>
  <c r="U321" i="7"/>
  <c r="U320" i="7"/>
  <c r="U319" i="7"/>
  <c r="U318" i="7"/>
  <c r="U317" i="7"/>
  <c r="U339" i="7"/>
  <c r="U338" i="7"/>
  <c r="U671" i="7"/>
  <c r="U670" i="7"/>
  <c r="U669" i="7"/>
  <c r="U668" i="7"/>
  <c r="U667" i="7"/>
  <c r="U666" i="7"/>
  <c r="U665" i="7"/>
  <c r="U664" i="7"/>
  <c r="U662" i="7"/>
  <c r="U316" i="7"/>
  <c r="U315" i="7"/>
  <c r="U314" i="7"/>
  <c r="U551" i="7"/>
  <c r="U545" i="7"/>
  <c r="U431" i="7"/>
  <c r="U430" i="7"/>
  <c r="U429" i="7"/>
  <c r="U428" i="7"/>
  <c r="U427" i="7"/>
  <c r="U426" i="7"/>
  <c r="U446" i="7"/>
  <c r="U308" i="7"/>
  <c r="U293" i="7"/>
  <c r="U292" i="7"/>
  <c r="U291" i="7"/>
  <c r="U290" i="7"/>
  <c r="U289" i="7"/>
  <c r="U288" i="7"/>
  <c r="U38" i="7"/>
  <c r="T456" i="7"/>
  <c r="T309" i="7"/>
  <c r="T454" i="7"/>
  <c r="T455" i="7"/>
  <c r="T459" i="7"/>
  <c r="T479" i="7"/>
  <c r="T483" i="7"/>
  <c r="T503" i="7"/>
  <c r="T507" i="7"/>
  <c r="T511" i="7"/>
  <c r="T480" i="7"/>
  <c r="T484" i="7"/>
  <c r="T504" i="7"/>
  <c r="T508" i="7"/>
  <c r="T512" i="7"/>
  <c r="T40" i="7"/>
  <c r="T660" i="7"/>
  <c r="T645" i="7" s="1"/>
  <c r="T100" i="7" s="1"/>
  <c r="T692" i="7"/>
  <c r="T677" i="7" s="1"/>
  <c r="T101" i="7" s="1"/>
  <c r="T452" i="7"/>
  <c r="T460" i="7"/>
  <c r="T458" i="7"/>
  <c r="T453" i="7"/>
  <c r="T457" i="7"/>
  <c r="T477" i="7"/>
  <c r="T481" i="7"/>
  <c r="T485" i="7"/>
  <c r="T505" i="7"/>
  <c r="T509" i="7"/>
  <c r="T447" i="7"/>
  <c r="T478" i="7"/>
  <c r="T482" i="7"/>
  <c r="T486" i="7"/>
  <c r="T506" i="7"/>
  <c r="T510" i="7"/>
  <c r="S103" i="7"/>
  <c r="Z94" i="7" l="1"/>
  <c r="AA62" i="7"/>
  <c r="AA440" i="7"/>
  <c r="AA302" i="7"/>
  <c r="AA605" i="7"/>
  <c r="AA639" i="7"/>
  <c r="AA600" i="7"/>
  <c r="AA550" i="7"/>
  <c r="AA544" i="7"/>
  <c r="AA590" i="7"/>
  <c r="AA586" i="7"/>
  <c r="AA582" i="7"/>
  <c r="AA578" i="7"/>
  <c r="AA39" i="7"/>
  <c r="AA43" i="7"/>
  <c r="AA36" i="7"/>
  <c r="AB607" i="7"/>
  <c r="T451" i="7"/>
  <c r="AA723" i="7"/>
  <c r="AA722" i="7"/>
  <c r="AA721" i="7"/>
  <c r="AA720" i="7"/>
  <c r="AA719" i="7"/>
  <c r="AA718" i="7"/>
  <c r="AA717" i="7"/>
  <c r="AA716" i="7"/>
  <c r="AA715" i="7"/>
  <c r="AA691" i="7"/>
  <c r="AA690" i="7"/>
  <c r="AA688" i="7"/>
  <c r="AA686" i="7"/>
  <c r="AA714" i="7"/>
  <c r="AA689" i="7"/>
  <c r="AA687" i="7"/>
  <c r="AA685" i="7"/>
  <c r="AA683" i="7"/>
  <c r="AA659" i="7"/>
  <c r="AA655" i="7"/>
  <c r="AA653" i="7"/>
  <c r="AA651" i="7"/>
  <c r="AA682" i="7"/>
  <c r="AA658" i="7"/>
  <c r="AA656" i="7"/>
  <c r="AA654" i="7"/>
  <c r="AA652" i="7"/>
  <c r="AA650" i="7"/>
  <c r="AA684" i="7"/>
  <c r="AA657" i="7"/>
  <c r="AA29" i="7"/>
  <c r="AA63" i="7"/>
  <c r="V633" i="7"/>
  <c r="U313" i="7"/>
  <c r="U724" i="7"/>
  <c r="U709" i="7" s="1"/>
  <c r="U102" i="7" s="1"/>
  <c r="V735" i="7"/>
  <c r="V734" i="7"/>
  <c r="V733" i="7"/>
  <c r="V731" i="7"/>
  <c r="V730" i="7"/>
  <c r="V728" i="7"/>
  <c r="V727" i="7"/>
  <c r="V373" i="7"/>
  <c r="V372" i="7"/>
  <c r="V371" i="7"/>
  <c r="V370" i="7"/>
  <c r="V369" i="7"/>
  <c r="V368" i="7"/>
  <c r="V367" i="7"/>
  <c r="V366" i="7"/>
  <c r="V365" i="7"/>
  <c r="V364" i="7"/>
  <c r="V703" i="7"/>
  <c r="V702" i="7"/>
  <c r="V701" i="7"/>
  <c r="V700" i="7"/>
  <c r="V699" i="7"/>
  <c r="V698" i="7"/>
  <c r="V697" i="7"/>
  <c r="V696" i="7"/>
  <c r="V694" i="7"/>
  <c r="V347" i="7"/>
  <c r="V346" i="7"/>
  <c r="V345" i="7"/>
  <c r="V344" i="7"/>
  <c r="V343" i="7"/>
  <c r="V342" i="7"/>
  <c r="V341" i="7"/>
  <c r="V340" i="7"/>
  <c r="V339" i="7"/>
  <c r="V338" i="7"/>
  <c r="V671" i="7"/>
  <c r="V670" i="7"/>
  <c r="V669" i="7"/>
  <c r="V668" i="7"/>
  <c r="V667" i="7"/>
  <c r="V666" i="7"/>
  <c r="V665" i="7"/>
  <c r="V664" i="7"/>
  <c r="V662" i="7"/>
  <c r="V322" i="7"/>
  <c r="V321" i="7"/>
  <c r="V320" i="7"/>
  <c r="V319" i="7"/>
  <c r="V318" i="7"/>
  <c r="V317" i="7"/>
  <c r="V316" i="7"/>
  <c r="V315" i="7"/>
  <c r="V314" i="7"/>
  <c r="V551" i="7"/>
  <c r="V545" i="7"/>
  <c r="V446" i="7"/>
  <c r="V431" i="7"/>
  <c r="V430" i="7"/>
  <c r="V429" i="7"/>
  <c r="V428" i="7"/>
  <c r="V427" i="7"/>
  <c r="V426" i="7"/>
  <c r="V293" i="7"/>
  <c r="V292" i="7"/>
  <c r="V291" i="7"/>
  <c r="V290" i="7"/>
  <c r="V289" i="7"/>
  <c r="V288" i="7"/>
  <c r="V308" i="7"/>
  <c r="V38" i="7"/>
  <c r="U309" i="7"/>
  <c r="U459" i="7"/>
  <c r="U453" i="7"/>
  <c r="U452" i="7"/>
  <c r="U456" i="7"/>
  <c r="U460" i="7"/>
  <c r="U480" i="7"/>
  <c r="U484" i="7"/>
  <c r="U504" i="7"/>
  <c r="U508" i="7"/>
  <c r="U512" i="7"/>
  <c r="U477" i="7"/>
  <c r="U481" i="7"/>
  <c r="U485" i="7"/>
  <c r="U505" i="7"/>
  <c r="U509" i="7"/>
  <c r="U447" i="7"/>
  <c r="T103" i="7"/>
  <c r="U40" i="7"/>
  <c r="U660" i="7"/>
  <c r="U645" i="7" s="1"/>
  <c r="U100" i="7" s="1"/>
  <c r="U692" i="7"/>
  <c r="U677" i="7" s="1"/>
  <c r="U101" i="7" s="1"/>
  <c r="U455" i="7"/>
  <c r="U457" i="7"/>
  <c r="U454" i="7"/>
  <c r="U458" i="7"/>
  <c r="U478" i="7"/>
  <c r="U482" i="7"/>
  <c r="U486" i="7"/>
  <c r="U506" i="7"/>
  <c r="U510" i="7"/>
  <c r="U479" i="7"/>
  <c r="U483" i="7"/>
  <c r="U503" i="7"/>
  <c r="U507" i="7"/>
  <c r="U511" i="7"/>
  <c r="AB440" i="7" l="1"/>
  <c r="AB302" i="7"/>
  <c r="AA94" i="7"/>
  <c r="AB605" i="7"/>
  <c r="AB639" i="7"/>
  <c r="AB600" i="7"/>
  <c r="AB586" i="7"/>
  <c r="AB578" i="7"/>
  <c r="AB550" i="7"/>
  <c r="AB544" i="7"/>
  <c r="AB590" i="7"/>
  <c r="AB582" i="7"/>
  <c r="AB39" i="7"/>
  <c r="AB36" i="7"/>
  <c r="AB43" i="7"/>
  <c r="AC607" i="7"/>
  <c r="U451" i="7"/>
  <c r="AB62" i="7"/>
  <c r="AB723" i="7"/>
  <c r="AB721" i="7"/>
  <c r="AB719" i="7"/>
  <c r="AB717" i="7"/>
  <c r="AB691" i="7"/>
  <c r="AB718" i="7"/>
  <c r="AB715" i="7"/>
  <c r="AB690" i="7"/>
  <c r="AB688" i="7"/>
  <c r="AB720" i="7"/>
  <c r="AB714" i="7"/>
  <c r="AB722" i="7"/>
  <c r="AB716" i="7"/>
  <c r="AB689" i="7"/>
  <c r="AB687" i="7"/>
  <c r="AB685" i="7"/>
  <c r="AB683" i="7"/>
  <c r="AB659" i="7"/>
  <c r="AB657" i="7"/>
  <c r="AB656" i="7"/>
  <c r="AB655" i="7"/>
  <c r="AB654" i="7"/>
  <c r="AB653" i="7"/>
  <c r="AB652" i="7"/>
  <c r="AB651" i="7"/>
  <c r="AB650" i="7"/>
  <c r="AB682" i="7"/>
  <c r="AB658" i="7"/>
  <c r="AB686" i="7"/>
  <c r="AB684" i="7"/>
  <c r="AB29" i="7"/>
  <c r="AB63" i="7"/>
  <c r="W633" i="7"/>
  <c r="W604" i="7"/>
  <c r="V660" i="7"/>
  <c r="V645" i="7" s="1"/>
  <c r="V100" i="7" s="1"/>
  <c r="V724" i="7"/>
  <c r="V709" i="7" s="1"/>
  <c r="V102" i="7" s="1"/>
  <c r="V313" i="7"/>
  <c r="V40" i="7"/>
  <c r="V692" i="7"/>
  <c r="V677" i="7" s="1"/>
  <c r="V101" i="7" s="1"/>
  <c r="W735" i="7"/>
  <c r="W734" i="7"/>
  <c r="W733" i="7"/>
  <c r="W731" i="7"/>
  <c r="W729" i="7"/>
  <c r="W728" i="7"/>
  <c r="W373" i="7"/>
  <c r="W372" i="7"/>
  <c r="W371" i="7"/>
  <c r="W370" i="7"/>
  <c r="W369" i="7"/>
  <c r="W368" i="7"/>
  <c r="W367" i="7"/>
  <c r="W366" i="7"/>
  <c r="W726" i="7"/>
  <c r="W364" i="7"/>
  <c r="W347" i="7"/>
  <c r="W346" i="7"/>
  <c r="W345" i="7"/>
  <c r="W344" i="7"/>
  <c r="W343" i="7"/>
  <c r="W342" i="7"/>
  <c r="W341" i="7"/>
  <c r="W365" i="7"/>
  <c r="W703" i="7"/>
  <c r="W702" i="7"/>
  <c r="W701" i="7"/>
  <c r="W700" i="7"/>
  <c r="W699" i="7"/>
  <c r="W698" i="7"/>
  <c r="W697" i="7"/>
  <c r="W696" i="7"/>
  <c r="W694" i="7"/>
  <c r="W322" i="7"/>
  <c r="W321" i="7"/>
  <c r="W320" i="7"/>
  <c r="W319" i="7"/>
  <c r="W318" i="7"/>
  <c r="W317" i="7"/>
  <c r="W340" i="7"/>
  <c r="W339" i="7"/>
  <c r="W338" i="7"/>
  <c r="W671" i="7"/>
  <c r="W670" i="7"/>
  <c r="W669" i="7"/>
  <c r="W668" i="7"/>
  <c r="W667" i="7"/>
  <c r="W666" i="7"/>
  <c r="W665" i="7"/>
  <c r="W664" i="7"/>
  <c r="W662" i="7"/>
  <c r="W315" i="7"/>
  <c r="W316" i="7"/>
  <c r="W314" i="7"/>
  <c r="W551" i="7"/>
  <c r="W545" i="7"/>
  <c r="W431" i="7"/>
  <c r="W430" i="7"/>
  <c r="W429" i="7"/>
  <c r="W428" i="7"/>
  <c r="W427" i="7"/>
  <c r="W426" i="7"/>
  <c r="W446" i="7"/>
  <c r="W308" i="7"/>
  <c r="W293" i="7"/>
  <c r="W292" i="7"/>
  <c r="W291" i="7"/>
  <c r="W290" i="7"/>
  <c r="W289" i="7"/>
  <c r="W288" i="7"/>
  <c r="W38" i="7"/>
  <c r="V454" i="7"/>
  <c r="V309" i="7"/>
  <c r="V452" i="7"/>
  <c r="V460" i="7"/>
  <c r="V453" i="7"/>
  <c r="V457" i="7"/>
  <c r="V477" i="7"/>
  <c r="V481" i="7"/>
  <c r="V485" i="7"/>
  <c r="V505" i="7"/>
  <c r="V509" i="7"/>
  <c r="V447" i="7"/>
  <c r="V478" i="7"/>
  <c r="V482" i="7"/>
  <c r="V486" i="7"/>
  <c r="V506" i="7"/>
  <c r="V510" i="7"/>
  <c r="V458" i="7"/>
  <c r="V456" i="7"/>
  <c r="V455" i="7"/>
  <c r="V459" i="7"/>
  <c r="V479" i="7"/>
  <c r="V483" i="7"/>
  <c r="V503" i="7"/>
  <c r="V507" i="7"/>
  <c r="V511" i="7"/>
  <c r="V480" i="7"/>
  <c r="V484" i="7"/>
  <c r="V504" i="7"/>
  <c r="V508" i="7"/>
  <c r="V512" i="7"/>
  <c r="U103" i="7"/>
  <c r="AB94" i="7" l="1"/>
  <c r="AC62" i="7"/>
  <c r="AC440" i="7"/>
  <c r="AC302" i="7"/>
  <c r="AC605" i="7"/>
  <c r="AC639" i="7"/>
  <c r="AC600" i="7"/>
  <c r="AC550" i="7"/>
  <c r="AC544" i="7"/>
  <c r="AC590" i="7"/>
  <c r="AC586" i="7"/>
  <c r="AC582" i="7"/>
  <c r="AC578" i="7"/>
  <c r="AC39" i="7"/>
  <c r="AC43" i="7"/>
  <c r="AC36" i="7"/>
  <c r="AD607" i="7"/>
  <c r="V451" i="7"/>
  <c r="AC722" i="7"/>
  <c r="AC720" i="7"/>
  <c r="AC718" i="7"/>
  <c r="AC716" i="7"/>
  <c r="AC714" i="7"/>
  <c r="AC691" i="7"/>
  <c r="AC721" i="7"/>
  <c r="AC717" i="7"/>
  <c r="AC723" i="7"/>
  <c r="AC715" i="7"/>
  <c r="AC682" i="7"/>
  <c r="AC719" i="7"/>
  <c r="AC689" i="7"/>
  <c r="AC687" i="7"/>
  <c r="AC685" i="7"/>
  <c r="AC690" i="7"/>
  <c r="AC688" i="7"/>
  <c r="AC686" i="7"/>
  <c r="AC684" i="7"/>
  <c r="AC683" i="7"/>
  <c r="AC656" i="7"/>
  <c r="AC654" i="7"/>
  <c r="AC652" i="7"/>
  <c r="AC650" i="7"/>
  <c r="AC657" i="7"/>
  <c r="AC659" i="7"/>
  <c r="AC658" i="7"/>
  <c r="AC655" i="7"/>
  <c r="AC653" i="7"/>
  <c r="AC651" i="7"/>
  <c r="AC63" i="7"/>
  <c r="AC29" i="7"/>
  <c r="W606" i="7"/>
  <c r="W608" i="7" s="1"/>
  <c r="X633" i="7"/>
  <c r="X604" i="7"/>
  <c r="W205" i="7"/>
  <c r="W168" i="7"/>
  <c r="W78" i="7"/>
  <c r="W92" i="7"/>
  <c r="V103" i="7"/>
  <c r="W313" i="7"/>
  <c r="W40" i="7"/>
  <c r="W692" i="7"/>
  <c r="W677" i="7" s="1"/>
  <c r="W101" i="7" s="1"/>
  <c r="W660" i="7"/>
  <c r="W645" i="7" s="1"/>
  <c r="W100" i="7" s="1"/>
  <c r="W457" i="7"/>
  <c r="W459" i="7"/>
  <c r="W454" i="7"/>
  <c r="W458" i="7"/>
  <c r="W478" i="7"/>
  <c r="W482" i="7"/>
  <c r="W486" i="7"/>
  <c r="W506" i="7"/>
  <c r="W510" i="7"/>
  <c r="W479" i="7"/>
  <c r="W483" i="7"/>
  <c r="W503" i="7"/>
  <c r="W507" i="7"/>
  <c r="W511" i="7"/>
  <c r="X625" i="7"/>
  <c r="W724" i="7"/>
  <c r="W709" i="7" s="1"/>
  <c r="W102" i="7" s="1"/>
  <c r="X735" i="7"/>
  <c r="X734" i="7"/>
  <c r="X732" i="7"/>
  <c r="X731" i="7"/>
  <c r="X729" i="7"/>
  <c r="X728" i="7"/>
  <c r="X726" i="7"/>
  <c r="X373" i="7"/>
  <c r="X372" i="7"/>
  <c r="X371" i="7"/>
  <c r="X370" i="7"/>
  <c r="X369" i="7"/>
  <c r="X367" i="7"/>
  <c r="X366" i="7"/>
  <c r="X365" i="7"/>
  <c r="X364" i="7"/>
  <c r="X703" i="7"/>
  <c r="X702" i="7"/>
  <c r="X701" i="7"/>
  <c r="X700" i="7"/>
  <c r="X699" i="7"/>
  <c r="X698" i="7"/>
  <c r="X697" i="7"/>
  <c r="X696" i="7"/>
  <c r="X694" i="7"/>
  <c r="X347" i="7"/>
  <c r="X346" i="7"/>
  <c r="X345" i="7"/>
  <c r="X344" i="7"/>
  <c r="X343" i="7"/>
  <c r="X342" i="7"/>
  <c r="X341" i="7"/>
  <c r="X340" i="7"/>
  <c r="X339" i="7"/>
  <c r="X338" i="7"/>
  <c r="X671" i="7"/>
  <c r="X670" i="7"/>
  <c r="X669" i="7"/>
  <c r="X668" i="7"/>
  <c r="X667" i="7"/>
  <c r="X666" i="7"/>
  <c r="X665" i="7"/>
  <c r="X664" i="7"/>
  <c r="X662" i="7"/>
  <c r="X322" i="7"/>
  <c r="X321" i="7"/>
  <c r="X320" i="7"/>
  <c r="X319" i="7"/>
  <c r="X318" i="7"/>
  <c r="X317" i="7"/>
  <c r="X316" i="7"/>
  <c r="X315" i="7"/>
  <c r="X314" i="7"/>
  <c r="X551" i="7"/>
  <c r="X545" i="7"/>
  <c r="X446" i="7"/>
  <c r="X431" i="7"/>
  <c r="X430" i="7"/>
  <c r="X429" i="7"/>
  <c r="X428" i="7"/>
  <c r="X427" i="7"/>
  <c r="X426" i="7"/>
  <c r="X368" i="7"/>
  <c r="X293" i="7"/>
  <c r="X292" i="7"/>
  <c r="X291" i="7"/>
  <c r="X290" i="7"/>
  <c r="X289" i="7"/>
  <c r="X288" i="7"/>
  <c r="X308" i="7"/>
  <c r="X38" i="7"/>
  <c r="W309" i="7"/>
  <c r="W453" i="7"/>
  <c r="W455" i="7"/>
  <c r="W452" i="7"/>
  <c r="W456" i="7"/>
  <c r="W460" i="7"/>
  <c r="W480" i="7"/>
  <c r="W484" i="7"/>
  <c r="W504" i="7"/>
  <c r="W508" i="7"/>
  <c r="W512" i="7"/>
  <c r="W477" i="7"/>
  <c r="W481" i="7"/>
  <c r="W485" i="7"/>
  <c r="W505" i="7"/>
  <c r="W509" i="7"/>
  <c r="W447" i="7"/>
  <c r="AD440" i="7" l="1"/>
  <c r="AD302" i="7"/>
  <c r="AC94" i="7"/>
  <c r="AD605" i="7"/>
  <c r="AD639" i="7"/>
  <c r="AD600" i="7"/>
  <c r="AD590" i="7"/>
  <c r="AD586" i="7"/>
  <c r="AD582" i="7"/>
  <c r="AD578" i="7"/>
  <c r="AD550" i="7"/>
  <c r="AD544" i="7"/>
  <c r="AD39" i="7"/>
  <c r="AD43" i="7"/>
  <c r="AD36" i="7"/>
  <c r="AE607" i="7"/>
  <c r="W451" i="7"/>
  <c r="AD62" i="7"/>
  <c r="AD722" i="7"/>
  <c r="AD720" i="7"/>
  <c r="AD718" i="7"/>
  <c r="AD716" i="7"/>
  <c r="AD715" i="7"/>
  <c r="AD690" i="7"/>
  <c r="AD689" i="7"/>
  <c r="AD688" i="7"/>
  <c r="AD687" i="7"/>
  <c r="AD686" i="7"/>
  <c r="AD685" i="7"/>
  <c r="AD684" i="7"/>
  <c r="AD683" i="7"/>
  <c r="AD682" i="7"/>
  <c r="AD659" i="7"/>
  <c r="AD658" i="7"/>
  <c r="AD657" i="7"/>
  <c r="AD719" i="7"/>
  <c r="AD714" i="7"/>
  <c r="AD721" i="7"/>
  <c r="AD723" i="7"/>
  <c r="AD717" i="7"/>
  <c r="AD691" i="7"/>
  <c r="AD656" i="7"/>
  <c r="AD654" i="7"/>
  <c r="AD652" i="7"/>
  <c r="AD650" i="7"/>
  <c r="AD655" i="7"/>
  <c r="AD653" i="7"/>
  <c r="AD651" i="7"/>
  <c r="AD63" i="7"/>
  <c r="AD29" i="7"/>
  <c r="X606" i="7"/>
  <c r="X608" i="7" s="1"/>
  <c r="Y633" i="7"/>
  <c r="Y604" i="7"/>
  <c r="X205" i="7"/>
  <c r="X168" i="7"/>
  <c r="X78" i="7"/>
  <c r="X313" i="7"/>
  <c r="W103" i="7"/>
  <c r="X456" i="7"/>
  <c r="X309" i="7"/>
  <c r="X454" i="7"/>
  <c r="X455" i="7"/>
  <c r="X459" i="7"/>
  <c r="X479" i="7"/>
  <c r="X483" i="7"/>
  <c r="X503" i="7"/>
  <c r="X507" i="7"/>
  <c r="X511" i="7"/>
  <c r="X480" i="7"/>
  <c r="X484" i="7"/>
  <c r="X504" i="7"/>
  <c r="X508" i="7"/>
  <c r="X512" i="7"/>
  <c r="Y625" i="7"/>
  <c r="X40" i="7"/>
  <c r="X92" i="7"/>
  <c r="X660" i="7"/>
  <c r="X645" i="7" s="1"/>
  <c r="X100" i="7" s="1"/>
  <c r="X692" i="7"/>
  <c r="X677" i="7" s="1"/>
  <c r="X101" i="7" s="1"/>
  <c r="X724" i="7"/>
  <c r="X709" i="7" s="1"/>
  <c r="X102" i="7" s="1"/>
  <c r="Y735" i="7"/>
  <c r="Y734" i="7"/>
  <c r="Y732" i="7"/>
  <c r="Y731" i="7"/>
  <c r="Y729" i="7"/>
  <c r="Y728" i="7"/>
  <c r="Y373" i="7"/>
  <c r="Y372" i="7"/>
  <c r="Y371" i="7"/>
  <c r="Y370" i="7"/>
  <c r="Y369" i="7"/>
  <c r="Y368" i="7"/>
  <c r="Y367" i="7"/>
  <c r="Y366" i="7"/>
  <c r="Y726" i="7"/>
  <c r="Y365" i="7"/>
  <c r="Y347" i="7"/>
  <c r="Y346" i="7"/>
  <c r="Y345" i="7"/>
  <c r="Y344" i="7"/>
  <c r="Y343" i="7"/>
  <c r="Y342" i="7"/>
  <c r="Y341" i="7"/>
  <c r="Y364" i="7"/>
  <c r="Y703" i="7"/>
  <c r="Y702" i="7"/>
  <c r="Y701" i="7"/>
  <c r="Y700" i="7"/>
  <c r="Y699" i="7"/>
  <c r="Y698" i="7"/>
  <c r="Y697" i="7"/>
  <c r="Y696" i="7"/>
  <c r="Y694" i="7"/>
  <c r="Y340" i="7"/>
  <c r="Y322" i="7"/>
  <c r="Y321" i="7"/>
  <c r="Y320" i="7"/>
  <c r="Y319" i="7"/>
  <c r="Y318" i="7"/>
  <c r="Y317" i="7"/>
  <c r="Y339" i="7"/>
  <c r="Y338" i="7"/>
  <c r="Y671" i="7"/>
  <c r="Y670" i="7"/>
  <c r="Y669" i="7"/>
  <c r="Y668" i="7"/>
  <c r="Y667" i="7"/>
  <c r="Y666" i="7"/>
  <c r="Y665" i="7"/>
  <c r="Y664" i="7"/>
  <c r="Y662" i="7"/>
  <c r="Y316" i="7"/>
  <c r="Y315" i="7"/>
  <c r="Y314" i="7"/>
  <c r="Y551" i="7"/>
  <c r="Y545" i="7"/>
  <c r="Y431" i="7"/>
  <c r="Y430" i="7"/>
  <c r="Y429" i="7"/>
  <c r="Y428" i="7"/>
  <c r="Y427" i="7"/>
  <c r="Y426" i="7"/>
  <c r="Y446" i="7"/>
  <c r="Y308" i="7"/>
  <c r="Y293" i="7"/>
  <c r="Y292" i="7"/>
  <c r="Y291" i="7"/>
  <c r="Y290" i="7"/>
  <c r="Y289" i="7"/>
  <c r="Y288" i="7"/>
  <c r="Y38" i="7"/>
  <c r="X452" i="7"/>
  <c r="X460" i="7"/>
  <c r="X458" i="7"/>
  <c r="X453" i="7"/>
  <c r="X457" i="7"/>
  <c r="X477" i="7"/>
  <c r="X481" i="7"/>
  <c r="X485" i="7"/>
  <c r="X505" i="7"/>
  <c r="X509" i="7"/>
  <c r="X447" i="7"/>
  <c r="X478" i="7"/>
  <c r="X482" i="7"/>
  <c r="X486" i="7"/>
  <c r="X506" i="7"/>
  <c r="X510" i="7"/>
  <c r="AD94" i="7" l="1"/>
  <c r="AE62" i="7"/>
  <c r="AE440" i="7"/>
  <c r="AE302" i="7"/>
  <c r="AE605" i="7"/>
  <c r="AE639" i="7"/>
  <c r="AE600" i="7"/>
  <c r="AE550" i="7"/>
  <c r="AE544" i="7"/>
  <c r="AE590" i="7"/>
  <c r="AE586" i="7"/>
  <c r="AE578" i="7"/>
  <c r="AE582" i="7"/>
  <c r="AE39" i="7"/>
  <c r="AE43" i="7"/>
  <c r="AE36" i="7"/>
  <c r="AF607" i="7"/>
  <c r="W111" i="7"/>
  <c r="W112" i="7" s="1"/>
  <c r="X451" i="7"/>
  <c r="AE723" i="7"/>
  <c r="AE722" i="7"/>
  <c r="AE721" i="7"/>
  <c r="AE720" i="7"/>
  <c r="AE719" i="7"/>
  <c r="AE718" i="7"/>
  <c r="AE717" i="7"/>
  <c r="AE716" i="7"/>
  <c r="AE715" i="7"/>
  <c r="AE714" i="7"/>
  <c r="AE689" i="7"/>
  <c r="AE687" i="7"/>
  <c r="AE691" i="7"/>
  <c r="AE690" i="7"/>
  <c r="AE688" i="7"/>
  <c r="AE686" i="7"/>
  <c r="AE684" i="7"/>
  <c r="AE682" i="7"/>
  <c r="AE658" i="7"/>
  <c r="AE650" i="7"/>
  <c r="AE685" i="7"/>
  <c r="AE683" i="7"/>
  <c r="AE657" i="7"/>
  <c r="AE655" i="7"/>
  <c r="AE653" i="7"/>
  <c r="AE651" i="7"/>
  <c r="AE659" i="7"/>
  <c r="AE656" i="7"/>
  <c r="AE654" i="7"/>
  <c r="AE652" i="7"/>
  <c r="AE29" i="7"/>
  <c r="AE63" i="7"/>
  <c r="Y606" i="7"/>
  <c r="Y608" i="7" s="1"/>
  <c r="Z633" i="7"/>
  <c r="Y313" i="7"/>
  <c r="Z604" i="7"/>
  <c r="Y205" i="7"/>
  <c r="Y168" i="7"/>
  <c r="Y78" i="7"/>
  <c r="Y724" i="7"/>
  <c r="Y709" i="7" s="1"/>
  <c r="Y102" i="7" s="1"/>
  <c r="Y40" i="7"/>
  <c r="Z735" i="7"/>
  <c r="Z734" i="7"/>
  <c r="Z732" i="7"/>
  <c r="Z731" i="7"/>
  <c r="Z729" i="7"/>
  <c r="Z728" i="7"/>
  <c r="Z726" i="7"/>
  <c r="Z373" i="7"/>
  <c r="Z372" i="7"/>
  <c r="Z371" i="7"/>
  <c r="Z370" i="7"/>
  <c r="Z369" i="7"/>
  <c r="Z368" i="7"/>
  <c r="Z367" i="7"/>
  <c r="Z366" i="7"/>
  <c r="Z365" i="7"/>
  <c r="Z364" i="7"/>
  <c r="Z703" i="7"/>
  <c r="Z702" i="7"/>
  <c r="Z701" i="7"/>
  <c r="Z700" i="7"/>
  <c r="Z699" i="7"/>
  <c r="Z698" i="7"/>
  <c r="Z697" i="7"/>
  <c r="Z696" i="7"/>
  <c r="Z694" i="7"/>
  <c r="Z347" i="7"/>
  <c r="Z346" i="7"/>
  <c r="Z345" i="7"/>
  <c r="Z344" i="7"/>
  <c r="Z343" i="7"/>
  <c r="Z342" i="7"/>
  <c r="Z341" i="7"/>
  <c r="Z340" i="7"/>
  <c r="Z339" i="7"/>
  <c r="Z338" i="7"/>
  <c r="Z671" i="7"/>
  <c r="Z670" i="7"/>
  <c r="Z669" i="7"/>
  <c r="Z668" i="7"/>
  <c r="Z667" i="7"/>
  <c r="Z666" i="7"/>
  <c r="Z665" i="7"/>
  <c r="Z664" i="7"/>
  <c r="Z662" i="7"/>
  <c r="Z322" i="7"/>
  <c r="Z321" i="7"/>
  <c r="Z320" i="7"/>
  <c r="Z319" i="7"/>
  <c r="Z318" i="7"/>
  <c r="Z317" i="7"/>
  <c r="Z316" i="7"/>
  <c r="Z315" i="7"/>
  <c r="Z314" i="7"/>
  <c r="Z551" i="7"/>
  <c r="Z545" i="7"/>
  <c r="Z446" i="7"/>
  <c r="Z431" i="7"/>
  <c r="Z430" i="7"/>
  <c r="Z429" i="7"/>
  <c r="Z428" i="7"/>
  <c r="Z427" i="7"/>
  <c r="Z426" i="7"/>
  <c r="Z293" i="7"/>
  <c r="Z292" i="7"/>
  <c r="Z291" i="7"/>
  <c r="Z290" i="7"/>
  <c r="Z289" i="7"/>
  <c r="Z288" i="7"/>
  <c r="Z308" i="7"/>
  <c r="Z38" i="7"/>
  <c r="Y309" i="7"/>
  <c r="Y459" i="7"/>
  <c r="Y453" i="7"/>
  <c r="Y452" i="7"/>
  <c r="Y456" i="7"/>
  <c r="Y460" i="7"/>
  <c r="Y480" i="7"/>
  <c r="Y484" i="7"/>
  <c r="Y504" i="7"/>
  <c r="Y508" i="7"/>
  <c r="Y512" i="7"/>
  <c r="Y477" i="7"/>
  <c r="Y481" i="7"/>
  <c r="Y485" i="7"/>
  <c r="Y505" i="7"/>
  <c r="Y509" i="7"/>
  <c r="Y447" i="7"/>
  <c r="Y92" i="7"/>
  <c r="Y660" i="7"/>
  <c r="Y645" i="7" s="1"/>
  <c r="Y100" i="7" s="1"/>
  <c r="Y692" i="7"/>
  <c r="Y677" i="7" s="1"/>
  <c r="Y101" i="7" s="1"/>
  <c r="X103" i="7"/>
  <c r="Y455" i="7"/>
  <c r="Y457" i="7"/>
  <c r="Y454" i="7"/>
  <c r="Y458" i="7"/>
  <c r="Y478" i="7"/>
  <c r="Y482" i="7"/>
  <c r="Y486" i="7"/>
  <c r="Y506" i="7"/>
  <c r="Y510" i="7"/>
  <c r="Y479" i="7"/>
  <c r="Y483" i="7"/>
  <c r="Y503" i="7"/>
  <c r="Y507" i="7"/>
  <c r="Y511" i="7"/>
  <c r="Z625" i="7"/>
  <c r="AF62" i="7" l="1"/>
  <c r="AF440" i="7"/>
  <c r="AF302" i="7"/>
  <c r="AE94" i="7"/>
  <c r="AF605" i="7"/>
  <c r="AF639" i="7"/>
  <c r="W625" i="7"/>
  <c r="AF600" i="7"/>
  <c r="AF582" i="7"/>
  <c r="AF550" i="7"/>
  <c r="AF544" i="7"/>
  <c r="AF590" i="7"/>
  <c r="AF586" i="7"/>
  <c r="AF578" i="7"/>
  <c r="AF39" i="7"/>
  <c r="AF43" i="7"/>
  <c r="AF36" i="7"/>
  <c r="AG607" i="7"/>
  <c r="Y451" i="7"/>
  <c r="AF723" i="7"/>
  <c r="AF721" i="7"/>
  <c r="AF719" i="7"/>
  <c r="AF717" i="7"/>
  <c r="AF715" i="7"/>
  <c r="AF722" i="7"/>
  <c r="AF718" i="7"/>
  <c r="AF714" i="7"/>
  <c r="AF689" i="7"/>
  <c r="AF687" i="7"/>
  <c r="AF685" i="7"/>
  <c r="AF683" i="7"/>
  <c r="AF659" i="7"/>
  <c r="AF720" i="7"/>
  <c r="AF716" i="7"/>
  <c r="AF691" i="7"/>
  <c r="AF690" i="7"/>
  <c r="AF688" i="7"/>
  <c r="AF686" i="7"/>
  <c r="AF656" i="7"/>
  <c r="AF655" i="7"/>
  <c r="AF654" i="7"/>
  <c r="AF653" i="7"/>
  <c r="AF652" i="7"/>
  <c r="AF651" i="7"/>
  <c r="AF650" i="7"/>
  <c r="AF657" i="7"/>
  <c r="AF684" i="7"/>
  <c r="AF658" i="7"/>
  <c r="AF682" i="7"/>
  <c r="AF29" i="7"/>
  <c r="AF63" i="7"/>
  <c r="X111" i="7"/>
  <c r="X112" i="7" s="1"/>
  <c r="Z606" i="7"/>
  <c r="Z608" i="7" s="1"/>
  <c r="Z313" i="7"/>
  <c r="AA604" i="7"/>
  <c r="Z205" i="7"/>
  <c r="Z168" i="7"/>
  <c r="Z78" i="7"/>
  <c r="AA735" i="7"/>
  <c r="AA733" i="7"/>
  <c r="AA732" i="7"/>
  <c r="AA731" i="7"/>
  <c r="AA729" i="7"/>
  <c r="AA728" i="7"/>
  <c r="AA373" i="7"/>
  <c r="AA372" i="7"/>
  <c r="AA371" i="7"/>
  <c r="AA370" i="7"/>
  <c r="AA369" i="7"/>
  <c r="AA368" i="7"/>
  <c r="AA367" i="7"/>
  <c r="AA366" i="7"/>
  <c r="AA726" i="7"/>
  <c r="AA364" i="7"/>
  <c r="AA347" i="7"/>
  <c r="AA346" i="7"/>
  <c r="AA345" i="7"/>
  <c r="AA344" i="7"/>
  <c r="AA343" i="7"/>
  <c r="AA342" i="7"/>
  <c r="AA341" i="7"/>
  <c r="AA365" i="7"/>
  <c r="AA703" i="7"/>
  <c r="AA702" i="7"/>
  <c r="AA701" i="7"/>
  <c r="AA700" i="7"/>
  <c r="AA699" i="7"/>
  <c r="AA698" i="7"/>
  <c r="AA697" i="7"/>
  <c r="AA696" i="7"/>
  <c r="AA694" i="7"/>
  <c r="AA322" i="7"/>
  <c r="AA321" i="7"/>
  <c r="AA320" i="7"/>
  <c r="AA319" i="7"/>
  <c r="AA318" i="7"/>
  <c r="AA317" i="7"/>
  <c r="AA340" i="7"/>
  <c r="AA339" i="7"/>
  <c r="AA338" i="7"/>
  <c r="AA671" i="7"/>
  <c r="AA670" i="7"/>
  <c r="AA669" i="7"/>
  <c r="AA668" i="7"/>
  <c r="AA667" i="7"/>
  <c r="AA666" i="7"/>
  <c r="AA665" i="7"/>
  <c r="AA663" i="7"/>
  <c r="AA662" i="7"/>
  <c r="AA315" i="7"/>
  <c r="AA316" i="7"/>
  <c r="AA314" i="7"/>
  <c r="AA551" i="7"/>
  <c r="AA545" i="7"/>
  <c r="AA431" i="7"/>
  <c r="AA430" i="7"/>
  <c r="AA429" i="7"/>
  <c r="AA428" i="7"/>
  <c r="AA427" i="7"/>
  <c r="AA426" i="7"/>
  <c r="AA446" i="7"/>
  <c r="AA308" i="7"/>
  <c r="AA293" i="7"/>
  <c r="AA292" i="7"/>
  <c r="AA291" i="7"/>
  <c r="AA290" i="7"/>
  <c r="AA289" i="7"/>
  <c r="AA288" i="7"/>
  <c r="AA38" i="7"/>
  <c r="Z458" i="7"/>
  <c r="Z456" i="7"/>
  <c r="Z455" i="7"/>
  <c r="Z459" i="7"/>
  <c r="Z479" i="7"/>
  <c r="Z483" i="7"/>
  <c r="Z503" i="7"/>
  <c r="Z507" i="7"/>
  <c r="Z511" i="7"/>
  <c r="Z480" i="7"/>
  <c r="Z484" i="7"/>
  <c r="Z504" i="7"/>
  <c r="Z508" i="7"/>
  <c r="Z512" i="7"/>
  <c r="AA625" i="7"/>
  <c r="Z40" i="7"/>
  <c r="Z92" i="7"/>
  <c r="Z660" i="7"/>
  <c r="Z645" i="7" s="1"/>
  <c r="Z100" i="7" s="1"/>
  <c r="Z692" i="7"/>
  <c r="Z677" i="7" s="1"/>
  <c r="Z101" i="7" s="1"/>
  <c r="Z724" i="7"/>
  <c r="Z709" i="7" s="1"/>
  <c r="Z102" i="7" s="1"/>
  <c r="Z454" i="7"/>
  <c r="Z309" i="7"/>
  <c r="Z452" i="7"/>
  <c r="Z460" i="7"/>
  <c r="Z453" i="7"/>
  <c r="Z457" i="7"/>
  <c r="Z477" i="7"/>
  <c r="Z481" i="7"/>
  <c r="Z485" i="7"/>
  <c r="Z505" i="7"/>
  <c r="Z509" i="7"/>
  <c r="Z447" i="7"/>
  <c r="Z478" i="7"/>
  <c r="Z482" i="7"/>
  <c r="Z486" i="7"/>
  <c r="Z506" i="7"/>
  <c r="Z510" i="7"/>
  <c r="Y103" i="7"/>
  <c r="AG62" i="7" l="1"/>
  <c r="AG440" i="7"/>
  <c r="AG302" i="7"/>
  <c r="AF94" i="7"/>
  <c r="AG605" i="7"/>
  <c r="AG639" i="7"/>
  <c r="AG600" i="7"/>
  <c r="AG550" i="7"/>
  <c r="AG544" i="7"/>
  <c r="AG590" i="7"/>
  <c r="AG586" i="7"/>
  <c r="AG582" i="7"/>
  <c r="AG578" i="7"/>
  <c r="AG39" i="7"/>
  <c r="AG43" i="7"/>
  <c r="AG36" i="7"/>
  <c r="AH607" i="7"/>
  <c r="Z111" i="7"/>
  <c r="Z112" i="7" s="1"/>
  <c r="Z451" i="7"/>
  <c r="Y111" i="7"/>
  <c r="Y112" i="7" s="1"/>
  <c r="AG714" i="7"/>
  <c r="AG691" i="7"/>
  <c r="AG723" i="7"/>
  <c r="AG721" i="7"/>
  <c r="AG719" i="7"/>
  <c r="AG717" i="7"/>
  <c r="AG720" i="7"/>
  <c r="AG716" i="7"/>
  <c r="AG690" i="7"/>
  <c r="AG688" i="7"/>
  <c r="AG686" i="7"/>
  <c r="AG722" i="7"/>
  <c r="AG718" i="7"/>
  <c r="AG715" i="7"/>
  <c r="AG689" i="7"/>
  <c r="AG687" i="7"/>
  <c r="AG685" i="7"/>
  <c r="AG683" i="7"/>
  <c r="AG659" i="7"/>
  <c r="AG657" i="7"/>
  <c r="AG684" i="7"/>
  <c r="AG655" i="7"/>
  <c r="AG653" i="7"/>
  <c r="AG651" i="7"/>
  <c r="AG658" i="7"/>
  <c r="AG682" i="7"/>
  <c r="AG656" i="7"/>
  <c r="AG654" i="7"/>
  <c r="AG652" i="7"/>
  <c r="AG650" i="7"/>
  <c r="AG740" i="7"/>
  <c r="AG63" i="7"/>
  <c r="AG29" i="7"/>
  <c r="AA313" i="7"/>
  <c r="AA606" i="7"/>
  <c r="AA608" i="7" s="1"/>
  <c r="AB633" i="7"/>
  <c r="AB604" i="7"/>
  <c r="AA205" i="7"/>
  <c r="AA168" i="7"/>
  <c r="AA78" i="7"/>
  <c r="AA692" i="7"/>
  <c r="AA677" i="7" s="1"/>
  <c r="AA101" i="7" s="1"/>
  <c r="AA660" i="7"/>
  <c r="AA645" i="7" s="1"/>
  <c r="AA100" i="7" s="1"/>
  <c r="AA92" i="7"/>
  <c r="AB735" i="7"/>
  <c r="AB733" i="7"/>
  <c r="AB732" i="7"/>
  <c r="AB730" i="7"/>
  <c r="AB729" i="7"/>
  <c r="AB728" i="7"/>
  <c r="AB726" i="7"/>
  <c r="AB373" i="7"/>
  <c r="AB372" i="7"/>
  <c r="AB371" i="7"/>
  <c r="AB370" i="7"/>
  <c r="AB369" i="7"/>
  <c r="AB368" i="7"/>
  <c r="AB367" i="7"/>
  <c r="AB366" i="7"/>
  <c r="AB365" i="7"/>
  <c r="AB364" i="7"/>
  <c r="AB703" i="7"/>
  <c r="AB702" i="7"/>
  <c r="AB701" i="7"/>
  <c r="AB700" i="7"/>
  <c r="AB699" i="7"/>
  <c r="AB698" i="7"/>
  <c r="AB697" i="7"/>
  <c r="AB696" i="7"/>
  <c r="AB694" i="7"/>
  <c r="AB347" i="7"/>
  <c r="AB346" i="7"/>
  <c r="AB345" i="7"/>
  <c r="AB344" i="7"/>
  <c r="AB343" i="7"/>
  <c r="AB342" i="7"/>
  <c r="AB341" i="7"/>
  <c r="AB340" i="7"/>
  <c r="AB339" i="7"/>
  <c r="AB338" i="7"/>
  <c r="AB671" i="7"/>
  <c r="AB670" i="7"/>
  <c r="AB669" i="7"/>
  <c r="AB668" i="7"/>
  <c r="AB667" i="7"/>
  <c r="AB666" i="7"/>
  <c r="AB665" i="7"/>
  <c r="AB663" i="7"/>
  <c r="AB662" i="7"/>
  <c r="AB322" i="7"/>
  <c r="AB321" i="7"/>
  <c r="AB320" i="7"/>
  <c r="AB319" i="7"/>
  <c r="AB318" i="7"/>
  <c r="AB317" i="7"/>
  <c r="AB316" i="7"/>
  <c r="AB315" i="7"/>
  <c r="AB314" i="7"/>
  <c r="AB313" i="7"/>
  <c r="AB551" i="7"/>
  <c r="AB545" i="7"/>
  <c r="AB446" i="7"/>
  <c r="AB431" i="7"/>
  <c r="AB430" i="7"/>
  <c r="AB429" i="7"/>
  <c r="AB428" i="7"/>
  <c r="AB427" i="7"/>
  <c r="AB426" i="7"/>
  <c r="AB308" i="7"/>
  <c r="AB293" i="7"/>
  <c r="AB292" i="7"/>
  <c r="AB291" i="7"/>
  <c r="AB290" i="7"/>
  <c r="AB289" i="7"/>
  <c r="AB288" i="7"/>
  <c r="AB38" i="7"/>
  <c r="AA457" i="7"/>
  <c r="AA459" i="7"/>
  <c r="AA454" i="7"/>
  <c r="AA458" i="7"/>
  <c r="AA478" i="7"/>
  <c r="AA482" i="7"/>
  <c r="AA486" i="7"/>
  <c r="AA506" i="7"/>
  <c r="AA510" i="7"/>
  <c r="AA479" i="7"/>
  <c r="AA483" i="7"/>
  <c r="AA503" i="7"/>
  <c r="AA507" i="7"/>
  <c r="AA511" i="7"/>
  <c r="AB625" i="7"/>
  <c r="Z103" i="7"/>
  <c r="AA40" i="7"/>
  <c r="AA724" i="7"/>
  <c r="AA709" i="7" s="1"/>
  <c r="AA102" i="7" s="1"/>
  <c r="AA309" i="7"/>
  <c r="AA453" i="7"/>
  <c r="AA455" i="7"/>
  <c r="AA452" i="7"/>
  <c r="AA456" i="7"/>
  <c r="AA460" i="7"/>
  <c r="AA480" i="7"/>
  <c r="AA484" i="7"/>
  <c r="AA504" i="7"/>
  <c r="AA508" i="7"/>
  <c r="AA512" i="7"/>
  <c r="AA477" i="7"/>
  <c r="AA481" i="7"/>
  <c r="AA485" i="7"/>
  <c r="AA505" i="7"/>
  <c r="AA509" i="7"/>
  <c r="AA447" i="7"/>
  <c r="AG94" i="7" l="1"/>
  <c r="AH62" i="7"/>
  <c r="AH440" i="7"/>
  <c r="AH302" i="7"/>
  <c r="AH605" i="7"/>
  <c r="AH639" i="7"/>
  <c r="AH600" i="7"/>
  <c r="AH544" i="7"/>
  <c r="AH582" i="7"/>
  <c r="AH550" i="7"/>
  <c r="AH590" i="7"/>
  <c r="AH586" i="7"/>
  <c r="AH578" i="7"/>
  <c r="AH39" i="7"/>
  <c r="AH43" i="7"/>
  <c r="AH36" i="7"/>
  <c r="AI607" i="7"/>
  <c r="AA451" i="7"/>
  <c r="AH722" i="7"/>
  <c r="AH720" i="7"/>
  <c r="AH718" i="7"/>
  <c r="AH716" i="7"/>
  <c r="AH723" i="7"/>
  <c r="AH719" i="7"/>
  <c r="AH691" i="7"/>
  <c r="AH690" i="7"/>
  <c r="AH689" i="7"/>
  <c r="AH688" i="7"/>
  <c r="AH687" i="7"/>
  <c r="AH686" i="7"/>
  <c r="AH685" i="7"/>
  <c r="AH684" i="7"/>
  <c r="AH683" i="7"/>
  <c r="AH682" i="7"/>
  <c r="AH659" i="7"/>
  <c r="AH658" i="7"/>
  <c r="AH657" i="7"/>
  <c r="AH721" i="7"/>
  <c r="AH717" i="7"/>
  <c r="AH715" i="7"/>
  <c r="AH714" i="7"/>
  <c r="AH656" i="7"/>
  <c r="AH654" i="7"/>
  <c r="AH652" i="7"/>
  <c r="AH650" i="7"/>
  <c r="AH655" i="7"/>
  <c r="AH653" i="7"/>
  <c r="AH651" i="7"/>
  <c r="AH740" i="7"/>
  <c r="AH63" i="7"/>
  <c r="AH29" i="7"/>
  <c r="AB606" i="7"/>
  <c r="AB608" i="7" s="1"/>
  <c r="AC633" i="7"/>
  <c r="AC604" i="7"/>
  <c r="AB205" i="7"/>
  <c r="AB168" i="7"/>
  <c r="AB78" i="7"/>
  <c r="AA103" i="7"/>
  <c r="AB660" i="7"/>
  <c r="AB645" i="7" s="1"/>
  <c r="AB100" i="7" s="1"/>
  <c r="AB724" i="7"/>
  <c r="AB709" i="7" s="1"/>
  <c r="AB102" i="7" s="1"/>
  <c r="AB40" i="7"/>
  <c r="AB692" i="7"/>
  <c r="AB677" i="7" s="1"/>
  <c r="AB101" i="7" s="1"/>
  <c r="AB92" i="7"/>
  <c r="AC735" i="7"/>
  <c r="AC733" i="7"/>
  <c r="AC732" i="7"/>
  <c r="AC730" i="7"/>
  <c r="AC729" i="7"/>
  <c r="AC728" i="7"/>
  <c r="AC373" i="7"/>
  <c r="AC372" i="7"/>
  <c r="AC371" i="7"/>
  <c r="AC370" i="7"/>
  <c r="AC369" i="7"/>
  <c r="AC368" i="7"/>
  <c r="AC367" i="7"/>
  <c r="AC366" i="7"/>
  <c r="AC726" i="7"/>
  <c r="AC365" i="7"/>
  <c r="AC347" i="7"/>
  <c r="AC346" i="7"/>
  <c r="AC345" i="7"/>
  <c r="AC344" i="7"/>
  <c r="AC343" i="7"/>
  <c r="AC342" i="7"/>
  <c r="AC341" i="7"/>
  <c r="AC364" i="7"/>
  <c r="AC703" i="7"/>
  <c r="AC702" i="7"/>
  <c r="AC701" i="7"/>
  <c r="AC700" i="7"/>
  <c r="AC699" i="7"/>
  <c r="AC698" i="7"/>
  <c r="AC697" i="7"/>
  <c r="AC696" i="7"/>
  <c r="AC694" i="7"/>
  <c r="AC340" i="7"/>
  <c r="AC322" i="7"/>
  <c r="AC321" i="7"/>
  <c r="AC320" i="7"/>
  <c r="AC319" i="7"/>
  <c r="AC318" i="7"/>
  <c r="AC317" i="7"/>
  <c r="AC339" i="7"/>
  <c r="AC338" i="7"/>
  <c r="AC671" i="7"/>
  <c r="AC670" i="7"/>
  <c r="AC669" i="7"/>
  <c r="AC668" i="7"/>
  <c r="AC667" i="7"/>
  <c r="AC666" i="7"/>
  <c r="AC665" i="7"/>
  <c r="AC663" i="7"/>
  <c r="AC662" i="7"/>
  <c r="AC316" i="7"/>
  <c r="AC315" i="7"/>
  <c r="AC314" i="7"/>
  <c r="AC313" i="7"/>
  <c r="AC551" i="7"/>
  <c r="AC545" i="7"/>
  <c r="AC431" i="7"/>
  <c r="AC430" i="7"/>
  <c r="AC429" i="7"/>
  <c r="AC428" i="7"/>
  <c r="AC427" i="7"/>
  <c r="AC426" i="7"/>
  <c r="AC446" i="7"/>
  <c r="AC308" i="7"/>
  <c r="AC293" i="7"/>
  <c r="AC292" i="7"/>
  <c r="AC291" i="7"/>
  <c r="AC290" i="7"/>
  <c r="AC289" i="7"/>
  <c r="AC288" i="7"/>
  <c r="AC38" i="7"/>
  <c r="AB456" i="7"/>
  <c r="AB309" i="7"/>
  <c r="AB454" i="7"/>
  <c r="AB453" i="7"/>
  <c r="AB457" i="7"/>
  <c r="AB477" i="7"/>
  <c r="AB481" i="7"/>
  <c r="AB485" i="7"/>
  <c r="AB505" i="7"/>
  <c r="AB509" i="7"/>
  <c r="AB447" i="7"/>
  <c r="AB478" i="7"/>
  <c r="AB482" i="7"/>
  <c r="AB486" i="7"/>
  <c r="AB506" i="7"/>
  <c r="AB510" i="7"/>
  <c r="AB452" i="7"/>
  <c r="AB460" i="7"/>
  <c r="AB458" i="7"/>
  <c r="AB451" i="7"/>
  <c r="AB455" i="7"/>
  <c r="AB459" i="7"/>
  <c r="AB479" i="7"/>
  <c r="AB483" i="7"/>
  <c r="AB503" i="7"/>
  <c r="AB507" i="7"/>
  <c r="AB511" i="7"/>
  <c r="AB480" i="7"/>
  <c r="AB484" i="7"/>
  <c r="AB504" i="7"/>
  <c r="AB508" i="7"/>
  <c r="AB512" i="7"/>
  <c r="AC625" i="7"/>
  <c r="AI440" i="7" l="1"/>
  <c r="AI302" i="7"/>
  <c r="AH94" i="7"/>
  <c r="AI605" i="7"/>
  <c r="AI639" i="7"/>
  <c r="AI600" i="7"/>
  <c r="AI550" i="7"/>
  <c r="AI544" i="7"/>
  <c r="AI590" i="7"/>
  <c r="AI586" i="7"/>
  <c r="AI582" i="7"/>
  <c r="AI578" i="7"/>
  <c r="AI39" i="7"/>
  <c r="AI43" i="7"/>
  <c r="AI36" i="7"/>
  <c r="AJ607" i="7"/>
  <c r="AB111" i="7"/>
  <c r="AB112" i="7" s="1"/>
  <c r="AI62" i="7"/>
  <c r="AA111" i="7"/>
  <c r="AA112" i="7" s="1"/>
  <c r="AI723" i="7"/>
  <c r="AI722" i="7"/>
  <c r="AI721" i="7"/>
  <c r="AI720" i="7"/>
  <c r="AI719" i="7"/>
  <c r="AI718" i="7"/>
  <c r="AI717" i="7"/>
  <c r="AI716" i="7"/>
  <c r="AI715" i="7"/>
  <c r="AI690" i="7"/>
  <c r="AI686" i="7"/>
  <c r="AI691" i="7"/>
  <c r="AI714" i="7"/>
  <c r="AI689" i="7"/>
  <c r="AI687" i="7"/>
  <c r="AI685" i="7"/>
  <c r="AI688" i="7"/>
  <c r="AI684" i="7"/>
  <c r="AI682" i="7"/>
  <c r="AI658" i="7"/>
  <c r="AI656" i="7"/>
  <c r="AI654" i="7"/>
  <c r="AI652" i="7"/>
  <c r="AI650" i="7"/>
  <c r="AI659" i="7"/>
  <c r="AI655" i="7"/>
  <c r="AI653" i="7"/>
  <c r="AI651" i="7"/>
  <c r="AI683" i="7"/>
  <c r="AI657" i="7"/>
  <c r="AI740" i="7"/>
  <c r="AI29" i="7"/>
  <c r="AI63" i="7"/>
  <c r="AC606" i="7"/>
  <c r="AC608" i="7" s="1"/>
  <c r="AD633" i="7"/>
  <c r="AD604" i="7"/>
  <c r="AC205" i="7"/>
  <c r="AC168" i="7"/>
  <c r="AC78" i="7"/>
  <c r="AB103" i="7"/>
  <c r="AC724" i="7"/>
  <c r="AC709" i="7" s="1"/>
  <c r="AC102" i="7" s="1"/>
  <c r="AC40" i="7"/>
  <c r="AD734" i="7"/>
  <c r="AD733" i="7"/>
  <c r="AD732" i="7"/>
  <c r="AD730" i="7"/>
  <c r="AD729" i="7"/>
  <c r="AD728" i="7"/>
  <c r="AD726" i="7"/>
  <c r="AD373" i="7"/>
  <c r="AD372" i="7"/>
  <c r="AD371" i="7"/>
  <c r="AD370" i="7"/>
  <c r="AD369" i="7"/>
  <c r="AD368" i="7"/>
  <c r="AD367" i="7"/>
  <c r="AD366" i="7"/>
  <c r="AD365" i="7"/>
  <c r="AD364" i="7"/>
  <c r="AD703" i="7"/>
  <c r="AD702" i="7"/>
  <c r="AD701" i="7"/>
  <c r="AD700" i="7"/>
  <c r="AD699" i="7"/>
  <c r="AD698" i="7"/>
  <c r="AD697" i="7"/>
  <c r="AD696" i="7"/>
  <c r="AD694" i="7"/>
  <c r="AD347" i="7"/>
  <c r="AD346" i="7"/>
  <c r="AD345" i="7"/>
  <c r="AD344" i="7"/>
  <c r="AD343" i="7"/>
  <c r="AD342" i="7"/>
  <c r="AD341" i="7"/>
  <c r="AD340" i="7"/>
  <c r="AD339" i="7"/>
  <c r="AD338" i="7"/>
  <c r="AD671" i="7"/>
  <c r="AD670" i="7"/>
  <c r="AD669" i="7"/>
  <c r="AD668" i="7"/>
  <c r="AD667" i="7"/>
  <c r="AD666" i="7"/>
  <c r="AD665" i="7"/>
  <c r="AD663" i="7"/>
  <c r="AD662" i="7"/>
  <c r="AD322" i="7"/>
  <c r="AD321" i="7"/>
  <c r="AD320" i="7"/>
  <c r="AD319" i="7"/>
  <c r="AD318" i="7"/>
  <c r="AD317" i="7"/>
  <c r="AD316" i="7"/>
  <c r="AD315" i="7"/>
  <c r="AD314" i="7"/>
  <c r="AD313" i="7"/>
  <c r="AD551" i="7"/>
  <c r="AD545" i="7"/>
  <c r="AD446" i="7"/>
  <c r="AD431" i="7"/>
  <c r="AD430" i="7"/>
  <c r="AD429" i="7"/>
  <c r="AD428" i="7"/>
  <c r="AD427" i="7"/>
  <c r="AD426" i="7"/>
  <c r="AD308" i="7"/>
  <c r="AD293" i="7"/>
  <c r="AD292" i="7"/>
  <c r="AD291" i="7"/>
  <c r="AD290" i="7"/>
  <c r="AD289" i="7"/>
  <c r="AD288" i="7"/>
  <c r="AD38" i="7"/>
  <c r="AC309" i="7"/>
  <c r="AC455" i="7"/>
  <c r="AC453" i="7"/>
  <c r="AC452" i="7"/>
  <c r="AC456" i="7"/>
  <c r="AC460" i="7"/>
  <c r="AC480" i="7"/>
  <c r="AC484" i="7"/>
  <c r="AC504" i="7"/>
  <c r="AC508" i="7"/>
  <c r="AC512" i="7"/>
  <c r="AC477" i="7"/>
  <c r="AC481" i="7"/>
  <c r="AC485" i="7"/>
  <c r="AC505" i="7"/>
  <c r="AC509" i="7"/>
  <c r="AC447" i="7"/>
  <c r="AC92" i="7"/>
  <c r="AC660" i="7"/>
  <c r="AC645" i="7" s="1"/>
  <c r="AC100" i="7" s="1"/>
  <c r="AC692" i="7"/>
  <c r="AC677" i="7" s="1"/>
  <c r="AC101" i="7" s="1"/>
  <c r="AC451" i="7"/>
  <c r="AC459" i="7"/>
  <c r="AC457" i="7"/>
  <c r="AC454" i="7"/>
  <c r="AC458" i="7"/>
  <c r="AC478" i="7"/>
  <c r="AC482" i="7"/>
  <c r="AC486" i="7"/>
  <c r="AC506" i="7"/>
  <c r="AC510" i="7"/>
  <c r="AC479" i="7"/>
  <c r="AC483" i="7"/>
  <c r="AC503" i="7"/>
  <c r="AC507" i="7"/>
  <c r="AC511" i="7"/>
  <c r="AD625" i="7"/>
  <c r="AI94" i="7" l="1"/>
  <c r="AJ62" i="7"/>
  <c r="AJ440" i="7"/>
  <c r="AJ302" i="7"/>
  <c r="AJ605" i="7"/>
  <c r="AJ639" i="7"/>
  <c r="AJ600" i="7"/>
  <c r="AJ586" i="7"/>
  <c r="AJ582" i="7"/>
  <c r="AJ578" i="7"/>
  <c r="AJ550" i="7"/>
  <c r="AJ544" i="7"/>
  <c r="AJ590" i="7"/>
  <c r="AJ39" i="7"/>
  <c r="AJ43" i="7"/>
  <c r="AJ36" i="7"/>
  <c r="AK607" i="7"/>
  <c r="AJ722" i="7"/>
  <c r="AJ720" i="7"/>
  <c r="AJ718" i="7"/>
  <c r="AJ716" i="7"/>
  <c r="AJ714" i="7"/>
  <c r="AJ721" i="7"/>
  <c r="AJ691" i="7"/>
  <c r="AJ717" i="7"/>
  <c r="AJ715" i="7"/>
  <c r="AJ689" i="7"/>
  <c r="AJ687" i="7"/>
  <c r="AJ723" i="7"/>
  <c r="AJ719" i="7"/>
  <c r="AJ690" i="7"/>
  <c r="AJ688" i="7"/>
  <c r="AJ686" i="7"/>
  <c r="AJ684" i="7"/>
  <c r="AJ682" i="7"/>
  <c r="AJ658" i="7"/>
  <c r="AJ656" i="7"/>
  <c r="AJ655" i="7"/>
  <c r="AJ654" i="7"/>
  <c r="AJ653" i="7"/>
  <c r="AJ652" i="7"/>
  <c r="AJ651" i="7"/>
  <c r="AJ650" i="7"/>
  <c r="AJ659" i="7"/>
  <c r="AJ683" i="7"/>
  <c r="AJ657" i="7"/>
  <c r="AJ685" i="7"/>
  <c r="AJ740" i="7"/>
  <c r="AJ29" i="7"/>
  <c r="AJ63" i="7"/>
  <c r="AD606" i="7"/>
  <c r="AD608" i="7" s="1"/>
  <c r="AE633" i="7"/>
  <c r="AE604" i="7"/>
  <c r="AD205" i="7"/>
  <c r="AD168" i="7"/>
  <c r="AD78" i="7"/>
  <c r="AE734" i="7"/>
  <c r="AE733" i="7"/>
  <c r="AE732" i="7"/>
  <c r="AE730" i="7"/>
  <c r="AE729" i="7"/>
  <c r="AE728" i="7"/>
  <c r="AE726" i="7"/>
  <c r="AE373" i="7"/>
  <c r="AE372" i="7"/>
  <c r="AE371" i="7"/>
  <c r="AE370" i="7"/>
  <c r="AE369" i="7"/>
  <c r="AE368" i="7"/>
  <c r="AE367" i="7"/>
  <c r="AE366" i="7"/>
  <c r="AE364" i="7"/>
  <c r="AE347" i="7"/>
  <c r="AE346" i="7"/>
  <c r="AE345" i="7"/>
  <c r="AE344" i="7"/>
  <c r="AE343" i="7"/>
  <c r="AE342" i="7"/>
  <c r="AE341" i="7"/>
  <c r="AE365" i="7"/>
  <c r="AE703" i="7"/>
  <c r="AE702" i="7"/>
  <c r="AE701" i="7"/>
  <c r="AE700" i="7"/>
  <c r="AE699" i="7"/>
  <c r="AE698" i="7"/>
  <c r="AE697" i="7"/>
  <c r="AE696" i="7"/>
  <c r="AE694" i="7"/>
  <c r="AE322" i="7"/>
  <c r="AE321" i="7"/>
  <c r="AE320" i="7"/>
  <c r="AE319" i="7"/>
  <c r="AE318" i="7"/>
  <c r="AE317" i="7"/>
  <c r="AE340" i="7"/>
  <c r="AE339" i="7"/>
  <c r="AE338" i="7"/>
  <c r="AE671" i="7"/>
  <c r="AE670" i="7"/>
  <c r="AE669" i="7"/>
  <c r="AE668" i="7"/>
  <c r="AE667" i="7"/>
  <c r="AE666" i="7"/>
  <c r="AE665" i="7"/>
  <c r="AE663" i="7"/>
  <c r="AE662" i="7"/>
  <c r="AE315" i="7"/>
  <c r="AE316" i="7"/>
  <c r="AE314" i="7"/>
  <c r="AE313" i="7"/>
  <c r="AE551" i="7"/>
  <c r="AE545" i="7"/>
  <c r="AE431" i="7"/>
  <c r="AE430" i="7"/>
  <c r="AE429" i="7"/>
  <c r="AE428" i="7"/>
  <c r="AE427" i="7"/>
  <c r="AE426" i="7"/>
  <c r="AE446" i="7"/>
  <c r="AE308" i="7"/>
  <c r="AE293" i="7"/>
  <c r="AE292" i="7"/>
  <c r="AE291" i="7"/>
  <c r="AE290" i="7"/>
  <c r="AE289" i="7"/>
  <c r="AE288" i="7"/>
  <c r="AE38" i="7"/>
  <c r="AD454" i="7"/>
  <c r="AD309" i="7"/>
  <c r="AD452" i="7"/>
  <c r="AD460" i="7"/>
  <c r="AD451" i="7"/>
  <c r="AD455" i="7"/>
  <c r="AD459" i="7"/>
  <c r="AD479" i="7"/>
  <c r="AD483" i="7"/>
  <c r="AD503" i="7"/>
  <c r="AD507" i="7"/>
  <c r="AD511" i="7"/>
  <c r="AD480" i="7"/>
  <c r="AD484" i="7"/>
  <c r="AD504" i="7"/>
  <c r="AD508" i="7"/>
  <c r="AD512" i="7"/>
  <c r="AE625" i="7"/>
  <c r="AD40" i="7"/>
  <c r="AD92" i="7"/>
  <c r="AD660" i="7"/>
  <c r="AD645" i="7" s="1"/>
  <c r="AD100" i="7" s="1"/>
  <c r="AD692" i="7"/>
  <c r="AD677" i="7" s="1"/>
  <c r="AD101" i="7" s="1"/>
  <c r="AD724" i="7"/>
  <c r="AD709" i="7" s="1"/>
  <c r="AD102" i="7" s="1"/>
  <c r="AD458" i="7"/>
  <c r="AD456" i="7"/>
  <c r="AD453" i="7"/>
  <c r="AD457" i="7"/>
  <c r="AD477" i="7"/>
  <c r="AD481" i="7"/>
  <c r="AD485" i="7"/>
  <c r="AD505" i="7"/>
  <c r="AD509" i="7"/>
  <c r="AD447" i="7"/>
  <c r="AD478" i="7"/>
  <c r="AD482" i="7"/>
  <c r="AD486" i="7"/>
  <c r="AD506" i="7"/>
  <c r="AD510" i="7"/>
  <c r="AC103" i="7"/>
  <c r="AK62" i="7" l="1"/>
  <c r="AK440" i="7"/>
  <c r="AK302" i="7"/>
  <c r="AJ94" i="7"/>
  <c r="AK605" i="7"/>
  <c r="AK639" i="7"/>
  <c r="AK600" i="7"/>
  <c r="AK550" i="7"/>
  <c r="AK544" i="7"/>
  <c r="AK590" i="7"/>
  <c r="AK586" i="7"/>
  <c r="AK582" i="7"/>
  <c r="AK578" i="7"/>
  <c r="AK39" i="7"/>
  <c r="AK43" i="7"/>
  <c r="AK36" i="7"/>
  <c r="AL607" i="7"/>
  <c r="AC111" i="7"/>
  <c r="AC112" i="7" s="1"/>
  <c r="AK723" i="7"/>
  <c r="AK721" i="7"/>
  <c r="AK719" i="7"/>
  <c r="AK717" i="7"/>
  <c r="AK715" i="7"/>
  <c r="AK714" i="7"/>
  <c r="AK691" i="7"/>
  <c r="AK720" i="7"/>
  <c r="AK716" i="7"/>
  <c r="AK722" i="7"/>
  <c r="AK718" i="7"/>
  <c r="AK690" i="7"/>
  <c r="AK688" i="7"/>
  <c r="AK686" i="7"/>
  <c r="AK689" i="7"/>
  <c r="AK687" i="7"/>
  <c r="AK685" i="7"/>
  <c r="AK683" i="7"/>
  <c r="AK659" i="7"/>
  <c r="AK682" i="7"/>
  <c r="AK657" i="7"/>
  <c r="AK655" i="7"/>
  <c r="AK653" i="7"/>
  <c r="AK651" i="7"/>
  <c r="AK684" i="7"/>
  <c r="AK658" i="7"/>
  <c r="AK656" i="7"/>
  <c r="AK654" i="7"/>
  <c r="AK652" i="7"/>
  <c r="AK650" i="7"/>
  <c r="AK740" i="7"/>
  <c r="AK63" i="7"/>
  <c r="AK29" i="7"/>
  <c r="AE606" i="7"/>
  <c r="AE608" i="7" s="1"/>
  <c r="AF604" i="7"/>
  <c r="AE205" i="7"/>
  <c r="AE168" i="7"/>
  <c r="AE78" i="7"/>
  <c r="AE660" i="7"/>
  <c r="AE645" i="7" s="1"/>
  <c r="AE100" i="7" s="1"/>
  <c r="AE692" i="7"/>
  <c r="AE677" i="7" s="1"/>
  <c r="AE101" i="7" s="1"/>
  <c r="AE92" i="7"/>
  <c r="AE457" i="7"/>
  <c r="AE451" i="7"/>
  <c r="AE459" i="7"/>
  <c r="AE454" i="7"/>
  <c r="AE458" i="7"/>
  <c r="AE478" i="7"/>
  <c r="AE482" i="7"/>
  <c r="AE486" i="7"/>
  <c r="AE506" i="7"/>
  <c r="AE510" i="7"/>
  <c r="AE479" i="7"/>
  <c r="AE483" i="7"/>
  <c r="AE503" i="7"/>
  <c r="AE507" i="7"/>
  <c r="AE511" i="7"/>
  <c r="AF625" i="7"/>
  <c r="AE40" i="7"/>
  <c r="AE724" i="7"/>
  <c r="AE709" i="7" s="1"/>
  <c r="AE102" i="7" s="1"/>
  <c r="AF734" i="7"/>
  <c r="AF733" i="7"/>
  <c r="AF732" i="7"/>
  <c r="AF730" i="7"/>
  <c r="AF729" i="7"/>
  <c r="AF728" i="7"/>
  <c r="AF726" i="7"/>
  <c r="AF373" i="7"/>
  <c r="AF372" i="7"/>
  <c r="AF371" i="7"/>
  <c r="AF370" i="7"/>
  <c r="AF369" i="7"/>
  <c r="AF368" i="7"/>
  <c r="AF367" i="7"/>
  <c r="AF366" i="7"/>
  <c r="AF365" i="7"/>
  <c r="AF364" i="7"/>
  <c r="AF703" i="7"/>
  <c r="AF702" i="7"/>
  <c r="AF701" i="7"/>
  <c r="AF700" i="7"/>
  <c r="AF699" i="7"/>
  <c r="AF698" i="7"/>
  <c r="AF697" i="7"/>
  <c r="AF696" i="7"/>
  <c r="AF694" i="7"/>
  <c r="AF347" i="7"/>
  <c r="AF346" i="7"/>
  <c r="AF345" i="7"/>
  <c r="AF344" i="7"/>
  <c r="AF343" i="7"/>
  <c r="AF342" i="7"/>
  <c r="AF341" i="7"/>
  <c r="AF340" i="7"/>
  <c r="AF339" i="7"/>
  <c r="AF338" i="7"/>
  <c r="AF671" i="7"/>
  <c r="AF670" i="7"/>
  <c r="AF669" i="7"/>
  <c r="AF668" i="7"/>
  <c r="AF667" i="7"/>
  <c r="AF666" i="7"/>
  <c r="AF665" i="7"/>
  <c r="AF663" i="7"/>
  <c r="AF662" i="7"/>
  <c r="AF322" i="7"/>
  <c r="AF321" i="7"/>
  <c r="AF320" i="7"/>
  <c r="AF319" i="7"/>
  <c r="AF318" i="7"/>
  <c r="AF317" i="7"/>
  <c r="AF316" i="7"/>
  <c r="AF315" i="7"/>
  <c r="AF314" i="7"/>
  <c r="AF313" i="7"/>
  <c r="AF551" i="7"/>
  <c r="AF545" i="7"/>
  <c r="AF446" i="7"/>
  <c r="AF431" i="7"/>
  <c r="AF430" i="7"/>
  <c r="AF429" i="7"/>
  <c r="AF428" i="7"/>
  <c r="AF427" i="7"/>
  <c r="AF426" i="7"/>
  <c r="AF308" i="7"/>
  <c r="AF293" i="7"/>
  <c r="AF292" i="7"/>
  <c r="AF291" i="7"/>
  <c r="AF290" i="7"/>
  <c r="AF289" i="7"/>
  <c r="AF288" i="7"/>
  <c r="AF38" i="7"/>
  <c r="AE309" i="7"/>
  <c r="AE453" i="7"/>
  <c r="AE455" i="7"/>
  <c r="AE452" i="7"/>
  <c r="AE456" i="7"/>
  <c r="AE460" i="7"/>
  <c r="AE480" i="7"/>
  <c r="AE484" i="7"/>
  <c r="AE504" i="7"/>
  <c r="AE508" i="7"/>
  <c r="AE512" i="7"/>
  <c r="AE477" i="7"/>
  <c r="AE481" i="7"/>
  <c r="AE485" i="7"/>
  <c r="AE505" i="7"/>
  <c r="AE509" i="7"/>
  <c r="AE447" i="7"/>
  <c r="AD103" i="7"/>
  <c r="AK94" i="7" l="1"/>
  <c r="AL62" i="7"/>
  <c r="AL440" i="7"/>
  <c r="AL302" i="7"/>
  <c r="AL605" i="7"/>
  <c r="AL639" i="7"/>
  <c r="AL600" i="7"/>
  <c r="AL590" i="7"/>
  <c r="AL586" i="7"/>
  <c r="AL582" i="7"/>
  <c r="AL578" i="7"/>
  <c r="AL550" i="7"/>
  <c r="AL544" i="7"/>
  <c r="AL39" i="7"/>
  <c r="AL43" i="7"/>
  <c r="AL36" i="7"/>
  <c r="AM607" i="7"/>
  <c r="AE111" i="7"/>
  <c r="AE112" i="7" s="1"/>
  <c r="AD111" i="7"/>
  <c r="AD112" i="7" s="1"/>
  <c r="AL723" i="7"/>
  <c r="AL721" i="7"/>
  <c r="AL719" i="7"/>
  <c r="AL717" i="7"/>
  <c r="AL715" i="7"/>
  <c r="AL690" i="7"/>
  <c r="AL689" i="7"/>
  <c r="AL688" i="7"/>
  <c r="AL687" i="7"/>
  <c r="AL686" i="7"/>
  <c r="AL685" i="7"/>
  <c r="AL684" i="7"/>
  <c r="AL683" i="7"/>
  <c r="AL682" i="7"/>
  <c r="AL659" i="7"/>
  <c r="AL658" i="7"/>
  <c r="AL657" i="7"/>
  <c r="AL722" i="7"/>
  <c r="AL716" i="7"/>
  <c r="AL718" i="7"/>
  <c r="AL714" i="7"/>
  <c r="AL720" i="7"/>
  <c r="AL691" i="7"/>
  <c r="AL655" i="7"/>
  <c r="AL653" i="7"/>
  <c r="AL651" i="7"/>
  <c r="AL656" i="7"/>
  <c r="AL654" i="7"/>
  <c r="AL652" i="7"/>
  <c r="AL650" i="7"/>
  <c r="AL740" i="7"/>
  <c r="AL63" i="7"/>
  <c r="AL29" i="7"/>
  <c r="AF606" i="7"/>
  <c r="AF608" i="7" s="1"/>
  <c r="AG633" i="7"/>
  <c r="C431" i="7"/>
  <c r="C293" i="7"/>
  <c r="AG604" i="7"/>
  <c r="AF205" i="7"/>
  <c r="AF168" i="7"/>
  <c r="AF78" i="7"/>
  <c r="AE103" i="7"/>
  <c r="AF692" i="7"/>
  <c r="AF677" i="7" s="1"/>
  <c r="AF101" i="7" s="1"/>
  <c r="AF40" i="7"/>
  <c r="AF660" i="7"/>
  <c r="AF645" i="7" s="1"/>
  <c r="AF100" i="7" s="1"/>
  <c r="AF724" i="7"/>
  <c r="AF709" i="7" s="1"/>
  <c r="AF102" i="7" s="1"/>
  <c r="AF92" i="7"/>
  <c r="AG735" i="7"/>
  <c r="AG734" i="7"/>
  <c r="AG733" i="7"/>
  <c r="AG731" i="7"/>
  <c r="AG730" i="7"/>
  <c r="AG729" i="7"/>
  <c r="AG728" i="7"/>
  <c r="AG373" i="7"/>
  <c r="AG371" i="7"/>
  <c r="AG370" i="7"/>
  <c r="AG369" i="7"/>
  <c r="AG368" i="7"/>
  <c r="AG367" i="7"/>
  <c r="AG366" i="7"/>
  <c r="AG726" i="7"/>
  <c r="AG365" i="7"/>
  <c r="AG347" i="7"/>
  <c r="AG346" i="7"/>
  <c r="AG345" i="7"/>
  <c r="AG344" i="7"/>
  <c r="AG343" i="7"/>
  <c r="AG342" i="7"/>
  <c r="AG341" i="7"/>
  <c r="AG364" i="7"/>
  <c r="AG703" i="7"/>
  <c r="AG702" i="7"/>
  <c r="AG701" i="7"/>
  <c r="AG700" i="7"/>
  <c r="AG699" i="7"/>
  <c r="AG698" i="7"/>
  <c r="AG697" i="7"/>
  <c r="AG695" i="7"/>
  <c r="AG694" i="7"/>
  <c r="AG340" i="7"/>
  <c r="AG322" i="7"/>
  <c r="AG321" i="7"/>
  <c r="AG320" i="7"/>
  <c r="AG319" i="7"/>
  <c r="AG318" i="7"/>
  <c r="AG317" i="7"/>
  <c r="AG339" i="7"/>
  <c r="AG338" i="7"/>
  <c r="AG671" i="7"/>
  <c r="AG670" i="7"/>
  <c r="AG669" i="7"/>
  <c r="AG668" i="7"/>
  <c r="AG667" i="7"/>
  <c r="AG666" i="7"/>
  <c r="AG665" i="7"/>
  <c r="AG663" i="7"/>
  <c r="AG662" i="7"/>
  <c r="AG316" i="7"/>
  <c r="AG315" i="7"/>
  <c r="AG314" i="7"/>
  <c r="AG313" i="7"/>
  <c r="AG551" i="7"/>
  <c r="AG545" i="7"/>
  <c r="AG431" i="7"/>
  <c r="AG430" i="7"/>
  <c r="AG429" i="7"/>
  <c r="AG428" i="7"/>
  <c r="AG427" i="7"/>
  <c r="AG426" i="7"/>
  <c r="AG372" i="7"/>
  <c r="AG446" i="7"/>
  <c r="AG308" i="7"/>
  <c r="AG293" i="7"/>
  <c r="AG292" i="7"/>
  <c r="AG291" i="7"/>
  <c r="AG290" i="7"/>
  <c r="AG289" i="7"/>
  <c r="AG288" i="7"/>
  <c r="AG38" i="7"/>
  <c r="AF456" i="7"/>
  <c r="AF309" i="7"/>
  <c r="AF454" i="7"/>
  <c r="AF453" i="7"/>
  <c r="AF457" i="7"/>
  <c r="AF477" i="7"/>
  <c r="AF481" i="7"/>
  <c r="AF485" i="7"/>
  <c r="AF505" i="7"/>
  <c r="AF509" i="7"/>
  <c r="AF447" i="7"/>
  <c r="AF478" i="7"/>
  <c r="AF482" i="7"/>
  <c r="AF486" i="7"/>
  <c r="AF506" i="7"/>
  <c r="AF510" i="7"/>
  <c r="AF452" i="7"/>
  <c r="AF460" i="7"/>
  <c r="AF458" i="7"/>
  <c r="AF451" i="7"/>
  <c r="AF455" i="7"/>
  <c r="AF459" i="7"/>
  <c r="AF479" i="7"/>
  <c r="AF483" i="7"/>
  <c r="AF503" i="7"/>
  <c r="AF507" i="7"/>
  <c r="AF511" i="7"/>
  <c r="AF480" i="7"/>
  <c r="AF484" i="7"/>
  <c r="AF504" i="7"/>
  <c r="AF508" i="7"/>
  <c r="AF512" i="7"/>
  <c r="AG625" i="7"/>
  <c r="AM440" i="7" l="1"/>
  <c r="AM302" i="7"/>
  <c r="AL94" i="7"/>
  <c r="AM605" i="7"/>
  <c r="AM639" i="7"/>
  <c r="AM600" i="7"/>
  <c r="AM544" i="7"/>
  <c r="AM550" i="7"/>
  <c r="AM582" i="7"/>
  <c r="AM590" i="7"/>
  <c r="AM586" i="7"/>
  <c r="AM578" i="7"/>
  <c r="AM39" i="7"/>
  <c r="AM43" i="7"/>
  <c r="AM36" i="7"/>
  <c r="AN607" i="7"/>
  <c r="AF111" i="7"/>
  <c r="AF112" i="7" s="1"/>
  <c r="AM62" i="7"/>
  <c r="AM723" i="7"/>
  <c r="AM722" i="7"/>
  <c r="AM721" i="7"/>
  <c r="AM720" i="7"/>
  <c r="AM719" i="7"/>
  <c r="AM718" i="7"/>
  <c r="AM717" i="7"/>
  <c r="AM716" i="7"/>
  <c r="AM715" i="7"/>
  <c r="AM691" i="7"/>
  <c r="AM714" i="7"/>
  <c r="AM690" i="7"/>
  <c r="AM688" i="7"/>
  <c r="AM686" i="7"/>
  <c r="AM689" i="7"/>
  <c r="AM687" i="7"/>
  <c r="AM685" i="7"/>
  <c r="AM683" i="7"/>
  <c r="AM659" i="7"/>
  <c r="AM657" i="7"/>
  <c r="AM653" i="7"/>
  <c r="AM682" i="7"/>
  <c r="AM656" i="7"/>
  <c r="AM654" i="7"/>
  <c r="AM652" i="7"/>
  <c r="AM650" i="7"/>
  <c r="AM684" i="7"/>
  <c r="AM658" i="7"/>
  <c r="AM655" i="7"/>
  <c r="AM651" i="7"/>
  <c r="AM740" i="7"/>
  <c r="AM29" i="7"/>
  <c r="AM63" i="7"/>
  <c r="AG606" i="7"/>
  <c r="AG608" i="7" s="1"/>
  <c r="AH633" i="7"/>
  <c r="AH604" i="7"/>
  <c r="AG205" i="7"/>
  <c r="AG168" i="7"/>
  <c r="AG78" i="7"/>
  <c r="AG724" i="7"/>
  <c r="AG709" i="7" s="1"/>
  <c r="AG102" i="7" s="1"/>
  <c r="AF103" i="7"/>
  <c r="AH735" i="7"/>
  <c r="AH734" i="7"/>
  <c r="AH733" i="7"/>
  <c r="AH731" i="7"/>
  <c r="AH730" i="7"/>
  <c r="AH729" i="7"/>
  <c r="AH728" i="7"/>
  <c r="AH726" i="7"/>
  <c r="AH373" i="7"/>
  <c r="AH372" i="7"/>
  <c r="AH371" i="7"/>
  <c r="AH370" i="7"/>
  <c r="AH369" i="7"/>
  <c r="AH367" i="7"/>
  <c r="AH366" i="7"/>
  <c r="AH365" i="7"/>
  <c r="AH364" i="7"/>
  <c r="AH703" i="7"/>
  <c r="AH702" i="7"/>
  <c r="AH701" i="7"/>
  <c r="AH700" i="7"/>
  <c r="AH699" i="7"/>
  <c r="AH698" i="7"/>
  <c r="AH697" i="7"/>
  <c r="AH695" i="7"/>
  <c r="AH694" i="7"/>
  <c r="AH347" i="7"/>
  <c r="AH346" i="7"/>
  <c r="AH345" i="7"/>
  <c r="AH344" i="7"/>
  <c r="AH343" i="7"/>
  <c r="AH342" i="7"/>
  <c r="AH341" i="7"/>
  <c r="AH340" i="7"/>
  <c r="AH339" i="7"/>
  <c r="AH338" i="7"/>
  <c r="AH671" i="7"/>
  <c r="AH670" i="7"/>
  <c r="AH669" i="7"/>
  <c r="AH668" i="7"/>
  <c r="AH667" i="7"/>
  <c r="AH666" i="7"/>
  <c r="AH665" i="7"/>
  <c r="AH663" i="7"/>
  <c r="AH662" i="7"/>
  <c r="AH322" i="7"/>
  <c r="AH321" i="7"/>
  <c r="AH320" i="7"/>
  <c r="AH319" i="7"/>
  <c r="AH318" i="7"/>
  <c r="AH317" i="7"/>
  <c r="AH316" i="7"/>
  <c r="AH315" i="7"/>
  <c r="AH314" i="7"/>
  <c r="AH313" i="7"/>
  <c r="AH551" i="7"/>
  <c r="AH545" i="7"/>
  <c r="AH446" i="7"/>
  <c r="AH431" i="7"/>
  <c r="AH430" i="7"/>
  <c r="AH429" i="7"/>
  <c r="AH428" i="7"/>
  <c r="AH427" i="7"/>
  <c r="AH426" i="7"/>
  <c r="AH368" i="7"/>
  <c r="AH308" i="7"/>
  <c r="AH293" i="7"/>
  <c r="AH292" i="7"/>
  <c r="AH291" i="7"/>
  <c r="AH290" i="7"/>
  <c r="AH289" i="7"/>
  <c r="AH288" i="7"/>
  <c r="AH38" i="7"/>
  <c r="AG309" i="7"/>
  <c r="AG455" i="7"/>
  <c r="AG453" i="7"/>
  <c r="AG452" i="7"/>
  <c r="AG456" i="7"/>
  <c r="AG460" i="7"/>
  <c r="AG480" i="7"/>
  <c r="AG484" i="7"/>
  <c r="AG504" i="7"/>
  <c r="AG508" i="7"/>
  <c r="AG512" i="7"/>
  <c r="AG477" i="7"/>
  <c r="AG481" i="7"/>
  <c r="AG485" i="7"/>
  <c r="AG505" i="7"/>
  <c r="AG509" i="7"/>
  <c r="AG447" i="7"/>
  <c r="AG40" i="7"/>
  <c r="AG92" i="7"/>
  <c r="AG660" i="7"/>
  <c r="AG645" i="7" s="1"/>
  <c r="AG100" i="7" s="1"/>
  <c r="AG692" i="7"/>
  <c r="AG677" i="7" s="1"/>
  <c r="AG101" i="7" s="1"/>
  <c r="AG451" i="7"/>
  <c r="AG459" i="7"/>
  <c r="AG457" i="7"/>
  <c r="AG454" i="7"/>
  <c r="AG458" i="7"/>
  <c r="AG478" i="7"/>
  <c r="AG482" i="7"/>
  <c r="AG486" i="7"/>
  <c r="AG506" i="7"/>
  <c r="AG510" i="7"/>
  <c r="AG479" i="7"/>
  <c r="AG483" i="7"/>
  <c r="AG503" i="7"/>
  <c r="AG507" i="7"/>
  <c r="AG511" i="7"/>
  <c r="AH625" i="7"/>
  <c r="AN62" i="7" l="1"/>
  <c r="AN440" i="7"/>
  <c r="AN302" i="7"/>
  <c r="AM94" i="7"/>
  <c r="AN605" i="7"/>
  <c r="AN639" i="7"/>
  <c r="AN600" i="7"/>
  <c r="AN550" i="7"/>
  <c r="AN544" i="7"/>
  <c r="AN590" i="7"/>
  <c r="AN586" i="7"/>
  <c r="AN582" i="7"/>
  <c r="AN578" i="7"/>
  <c r="AN39" i="7"/>
  <c r="AN43" i="7"/>
  <c r="AN36" i="7"/>
  <c r="AO607" i="7"/>
  <c r="AN722" i="7"/>
  <c r="AN720" i="7"/>
  <c r="AN718" i="7"/>
  <c r="AN716" i="7"/>
  <c r="AN721" i="7"/>
  <c r="AN717" i="7"/>
  <c r="AN715" i="7"/>
  <c r="AN688" i="7"/>
  <c r="AN684" i="7"/>
  <c r="AN682" i="7"/>
  <c r="AN723" i="7"/>
  <c r="AN719" i="7"/>
  <c r="AN691" i="7"/>
  <c r="AN689" i="7"/>
  <c r="AN687" i="7"/>
  <c r="AN685" i="7"/>
  <c r="AN714" i="7"/>
  <c r="AN656" i="7"/>
  <c r="AN655" i="7"/>
  <c r="AN654" i="7"/>
  <c r="AN653" i="7"/>
  <c r="AN652" i="7"/>
  <c r="AN651" i="7"/>
  <c r="AN650" i="7"/>
  <c r="AN690" i="7"/>
  <c r="AN686" i="7"/>
  <c r="AN658" i="7"/>
  <c r="AN657" i="7"/>
  <c r="AN683" i="7"/>
  <c r="AN659" i="7"/>
  <c r="AN740" i="7"/>
  <c r="AN29" i="7"/>
  <c r="AN63" i="7"/>
  <c r="AH606" i="7"/>
  <c r="AH608" i="7" s="1"/>
  <c r="AI633" i="7"/>
  <c r="AI604" i="7"/>
  <c r="AH205" i="7"/>
  <c r="AH168" i="7"/>
  <c r="AH78" i="7"/>
  <c r="AH40" i="7"/>
  <c r="AH660" i="7"/>
  <c r="AH645" i="7" s="1"/>
  <c r="AH100" i="7" s="1"/>
  <c r="AH92" i="7"/>
  <c r="AI735" i="7"/>
  <c r="AI734" i="7"/>
  <c r="AI733" i="7"/>
  <c r="AI731" i="7"/>
  <c r="AI730" i="7"/>
  <c r="AI729" i="7"/>
  <c r="AI728" i="7"/>
  <c r="AI726" i="7"/>
  <c r="AI373" i="7"/>
  <c r="AI372" i="7"/>
  <c r="AI371" i="7"/>
  <c r="AI370" i="7"/>
  <c r="AI369" i="7"/>
  <c r="AI368" i="7"/>
  <c r="AI367" i="7"/>
  <c r="AI366" i="7"/>
  <c r="AI364" i="7"/>
  <c r="AI347" i="7"/>
  <c r="AI346" i="7"/>
  <c r="AI345" i="7"/>
  <c r="AI344" i="7"/>
  <c r="AI343" i="7"/>
  <c r="AI342" i="7"/>
  <c r="AI341" i="7"/>
  <c r="AI365" i="7"/>
  <c r="AI703" i="7"/>
  <c r="AI702" i="7"/>
  <c r="AI701" i="7"/>
  <c r="AI700" i="7"/>
  <c r="AI699" i="7"/>
  <c r="AI698" i="7"/>
  <c r="AI697" i="7"/>
  <c r="AI695" i="7"/>
  <c r="AI694" i="7"/>
  <c r="AI322" i="7"/>
  <c r="AI321" i="7"/>
  <c r="AI320" i="7"/>
  <c r="AI319" i="7"/>
  <c r="AI318" i="7"/>
  <c r="AI317" i="7"/>
  <c r="AI340" i="7"/>
  <c r="AI339" i="7"/>
  <c r="AI338" i="7"/>
  <c r="AI671" i="7"/>
  <c r="AI670" i="7"/>
  <c r="AI669" i="7"/>
  <c r="AI668" i="7"/>
  <c r="AI667" i="7"/>
  <c r="AI666" i="7"/>
  <c r="AI665" i="7"/>
  <c r="AI663" i="7"/>
  <c r="AI662" i="7"/>
  <c r="AI315" i="7"/>
  <c r="AI316" i="7"/>
  <c r="AI314" i="7"/>
  <c r="AI313" i="7"/>
  <c r="AI551" i="7"/>
  <c r="AI545" i="7"/>
  <c r="AI431" i="7"/>
  <c r="AI430" i="7"/>
  <c r="AI429" i="7"/>
  <c r="AI428" i="7"/>
  <c r="AI427" i="7"/>
  <c r="AI426" i="7"/>
  <c r="AI446" i="7"/>
  <c r="AI308" i="7"/>
  <c r="AI293" i="7"/>
  <c r="AI292" i="7"/>
  <c r="AI291" i="7"/>
  <c r="AI290" i="7"/>
  <c r="AI289" i="7"/>
  <c r="AI288" i="7"/>
  <c r="AI38" i="7"/>
  <c r="AH458" i="7"/>
  <c r="AH456" i="7"/>
  <c r="AH453" i="7"/>
  <c r="AH457" i="7"/>
  <c r="AH477" i="7"/>
  <c r="AH481" i="7"/>
  <c r="AH485" i="7"/>
  <c r="AH505" i="7"/>
  <c r="AH509" i="7"/>
  <c r="AH447" i="7"/>
  <c r="AH478" i="7"/>
  <c r="AH482" i="7"/>
  <c r="AH486" i="7"/>
  <c r="AH506" i="7"/>
  <c r="AH510" i="7"/>
  <c r="AG103" i="7"/>
  <c r="AH454" i="7"/>
  <c r="AH309" i="7"/>
  <c r="AH452" i="7"/>
  <c r="AH460" i="7"/>
  <c r="AH451" i="7"/>
  <c r="AH455" i="7"/>
  <c r="AH459" i="7"/>
  <c r="AH479" i="7"/>
  <c r="AH483" i="7"/>
  <c r="AH503" i="7"/>
  <c r="AH507" i="7"/>
  <c r="AH511" i="7"/>
  <c r="AH480" i="7"/>
  <c r="AH484" i="7"/>
  <c r="AH504" i="7"/>
  <c r="AH508" i="7"/>
  <c r="AH512" i="7"/>
  <c r="AI625" i="7"/>
  <c r="AH692" i="7"/>
  <c r="AH677" i="7" s="1"/>
  <c r="AH101" i="7" s="1"/>
  <c r="AH724" i="7"/>
  <c r="AH709" i="7" s="1"/>
  <c r="AH102" i="7" s="1"/>
  <c r="AO62" i="7" l="1"/>
  <c r="AO440" i="7"/>
  <c r="AO302" i="7"/>
  <c r="AN94" i="7"/>
  <c r="AO605" i="7"/>
  <c r="AO639" i="7"/>
  <c r="AO600" i="7"/>
  <c r="AO550" i="7"/>
  <c r="AO544" i="7"/>
  <c r="AO590" i="7"/>
  <c r="AO586" i="7"/>
  <c r="AO582" i="7"/>
  <c r="AO578" i="7"/>
  <c r="AO39" i="7"/>
  <c r="AO43" i="7"/>
  <c r="AO36" i="7"/>
  <c r="AP607" i="7"/>
  <c r="AG111" i="7"/>
  <c r="AG112" i="7" s="1"/>
  <c r="AO714" i="7"/>
  <c r="AO691" i="7"/>
  <c r="AO722" i="7"/>
  <c r="AO720" i="7"/>
  <c r="AO718" i="7"/>
  <c r="AO716" i="7"/>
  <c r="AO723" i="7"/>
  <c r="AO717" i="7"/>
  <c r="AO719" i="7"/>
  <c r="AO689" i="7"/>
  <c r="AO687" i="7"/>
  <c r="AO721" i="7"/>
  <c r="AO715" i="7"/>
  <c r="AO690" i="7"/>
  <c r="AO688" i="7"/>
  <c r="AO686" i="7"/>
  <c r="AO684" i="7"/>
  <c r="AO682" i="7"/>
  <c r="AO658" i="7"/>
  <c r="AO683" i="7"/>
  <c r="AO656" i="7"/>
  <c r="AO654" i="7"/>
  <c r="AO652" i="7"/>
  <c r="AO650" i="7"/>
  <c r="AO685" i="7"/>
  <c r="AO659" i="7"/>
  <c r="AO655" i="7"/>
  <c r="AO653" i="7"/>
  <c r="AO651" i="7"/>
  <c r="AO657" i="7"/>
  <c r="AO740" i="7"/>
  <c r="AO63" i="7"/>
  <c r="AO29" i="7"/>
  <c r="AI606" i="7"/>
  <c r="AI608" i="7" s="1"/>
  <c r="AJ633" i="7"/>
  <c r="AJ604" i="7"/>
  <c r="AI205" i="7"/>
  <c r="AI168" i="7"/>
  <c r="AI78" i="7"/>
  <c r="AH103" i="7"/>
  <c r="AJ735" i="7"/>
  <c r="AJ734" i="7"/>
  <c r="AJ733" i="7"/>
  <c r="AJ731" i="7"/>
  <c r="AJ730" i="7"/>
  <c r="AJ729" i="7"/>
  <c r="AJ728" i="7"/>
  <c r="AJ726" i="7"/>
  <c r="AJ373" i="7"/>
  <c r="AJ372" i="7"/>
  <c r="AJ371" i="7"/>
  <c r="AJ370" i="7"/>
  <c r="AJ369" i="7"/>
  <c r="AJ368" i="7"/>
  <c r="AJ367" i="7"/>
  <c r="AJ366" i="7"/>
  <c r="AJ365" i="7"/>
  <c r="AJ703" i="7"/>
  <c r="AJ702" i="7"/>
  <c r="AJ701" i="7"/>
  <c r="AJ700" i="7"/>
  <c r="AJ699" i="7"/>
  <c r="AJ698" i="7"/>
  <c r="AJ697" i="7"/>
  <c r="AJ695" i="7"/>
  <c r="AJ694" i="7"/>
  <c r="AJ347" i="7"/>
  <c r="AJ346" i="7"/>
  <c r="AJ345" i="7"/>
  <c r="AJ344" i="7"/>
  <c r="AJ343" i="7"/>
  <c r="AJ342" i="7"/>
  <c r="AJ341" i="7"/>
  <c r="AJ340" i="7"/>
  <c r="AJ339" i="7"/>
  <c r="AJ338" i="7"/>
  <c r="AJ671" i="7"/>
  <c r="AJ670" i="7"/>
  <c r="AJ669" i="7"/>
  <c r="AJ668" i="7"/>
  <c r="AJ667" i="7"/>
  <c r="AJ666" i="7"/>
  <c r="AJ665" i="7"/>
  <c r="AJ663" i="7"/>
  <c r="AJ662" i="7"/>
  <c r="AJ322" i="7"/>
  <c r="AJ321" i="7"/>
  <c r="AJ320" i="7"/>
  <c r="AJ319" i="7"/>
  <c r="AJ318" i="7"/>
  <c r="AJ317" i="7"/>
  <c r="AJ316" i="7"/>
  <c r="AJ315" i="7"/>
  <c r="AJ314" i="7"/>
  <c r="AJ313" i="7"/>
  <c r="AJ551" i="7"/>
  <c r="AJ545" i="7"/>
  <c r="AJ446" i="7"/>
  <c r="AJ431" i="7"/>
  <c r="AJ430" i="7"/>
  <c r="AJ429" i="7"/>
  <c r="AJ428" i="7"/>
  <c r="AJ427" i="7"/>
  <c r="AJ426" i="7"/>
  <c r="AJ364" i="7"/>
  <c r="AJ308" i="7"/>
  <c r="AJ293" i="7"/>
  <c r="AJ292" i="7"/>
  <c r="AJ291" i="7"/>
  <c r="AJ290" i="7"/>
  <c r="AJ289" i="7"/>
  <c r="AJ288" i="7"/>
  <c r="AJ38" i="7"/>
  <c r="AI309" i="7"/>
  <c r="AI453" i="7"/>
  <c r="AI455" i="7"/>
  <c r="AI452" i="7"/>
  <c r="AI456" i="7"/>
  <c r="AI460" i="7"/>
  <c r="AI480" i="7"/>
  <c r="AI484" i="7"/>
  <c r="AI504" i="7"/>
  <c r="AI508" i="7"/>
  <c r="AI512" i="7"/>
  <c r="AI477" i="7"/>
  <c r="AI481" i="7"/>
  <c r="AI485" i="7"/>
  <c r="AI505" i="7"/>
  <c r="AI509" i="7"/>
  <c r="AI447" i="7"/>
  <c r="AI40" i="7"/>
  <c r="AI92" i="7"/>
  <c r="AI660" i="7"/>
  <c r="AI645" i="7" s="1"/>
  <c r="AI100" i="7" s="1"/>
  <c r="AI692" i="7"/>
  <c r="AI677" i="7" s="1"/>
  <c r="AI101" i="7" s="1"/>
  <c r="AI457" i="7"/>
  <c r="AI451" i="7"/>
  <c r="AI459" i="7"/>
  <c r="AI454" i="7"/>
  <c r="AI458" i="7"/>
  <c r="AI478" i="7"/>
  <c r="AI482" i="7"/>
  <c r="AI486" i="7"/>
  <c r="AI506" i="7"/>
  <c r="AI510" i="7"/>
  <c r="AI479" i="7"/>
  <c r="AI483" i="7"/>
  <c r="AI503" i="7"/>
  <c r="AI507" i="7"/>
  <c r="AI511" i="7"/>
  <c r="AJ625" i="7"/>
  <c r="AI724" i="7"/>
  <c r="AI709" i="7" s="1"/>
  <c r="AI102" i="7" s="1"/>
  <c r="AO94" i="7" l="1"/>
  <c r="AP62" i="7"/>
  <c r="AP440" i="7"/>
  <c r="AP302" i="7"/>
  <c r="AP605" i="7"/>
  <c r="AP639" i="7"/>
  <c r="AP600" i="7"/>
  <c r="AP550" i="7"/>
  <c r="AP586" i="7"/>
  <c r="AP582" i="7"/>
  <c r="AP578" i="7"/>
  <c r="AP544" i="7"/>
  <c r="AP590" i="7"/>
  <c r="AP39" i="7"/>
  <c r="AP43" i="7"/>
  <c r="AP36" i="7"/>
  <c r="AH111" i="7"/>
  <c r="AH112" i="7" s="1"/>
  <c r="AP723" i="7"/>
  <c r="AP721" i="7"/>
  <c r="AP719" i="7"/>
  <c r="AP717" i="7"/>
  <c r="AP715" i="7"/>
  <c r="AP722" i="7"/>
  <c r="AP718" i="7"/>
  <c r="AP714" i="7"/>
  <c r="AP690" i="7"/>
  <c r="AP689" i="7"/>
  <c r="AP688" i="7"/>
  <c r="AP687" i="7"/>
  <c r="AP686" i="7"/>
  <c r="AP685" i="7"/>
  <c r="AP684" i="7"/>
  <c r="AP683" i="7"/>
  <c r="AP682" i="7"/>
  <c r="AP659" i="7"/>
  <c r="AP658" i="7"/>
  <c r="AP657" i="7"/>
  <c r="AP691" i="7"/>
  <c r="AP720" i="7"/>
  <c r="AP716" i="7"/>
  <c r="AP655" i="7"/>
  <c r="AP653" i="7"/>
  <c r="AP651" i="7"/>
  <c r="AP656" i="7"/>
  <c r="AP654" i="7"/>
  <c r="AP652" i="7"/>
  <c r="AP650" i="7"/>
  <c r="AP740" i="7"/>
  <c r="AP63" i="7"/>
  <c r="AP29" i="7"/>
  <c r="AJ606" i="7"/>
  <c r="AJ608" i="7" s="1"/>
  <c r="AK633" i="7"/>
  <c r="AK604" i="7"/>
  <c r="AJ205" i="7"/>
  <c r="AJ168" i="7"/>
  <c r="AJ78" i="7"/>
  <c r="AK735" i="7"/>
  <c r="AK734" i="7"/>
  <c r="AK733" i="7"/>
  <c r="AK731" i="7"/>
  <c r="AK730" i="7"/>
  <c r="AK729" i="7"/>
  <c r="AK728" i="7"/>
  <c r="AK373" i="7"/>
  <c r="AK371" i="7"/>
  <c r="AK370" i="7"/>
  <c r="AK369" i="7"/>
  <c r="AK368" i="7"/>
  <c r="AK367" i="7"/>
  <c r="AK366" i="7"/>
  <c r="AK726" i="7"/>
  <c r="AK365" i="7"/>
  <c r="AK347" i="7"/>
  <c r="AK346" i="7"/>
  <c r="AK345" i="7"/>
  <c r="AK344" i="7"/>
  <c r="AK343" i="7"/>
  <c r="AK342" i="7"/>
  <c r="AK341" i="7"/>
  <c r="AK364" i="7"/>
  <c r="AK703" i="7"/>
  <c r="AK702" i="7"/>
  <c r="AK701" i="7"/>
  <c r="AK700" i="7"/>
  <c r="AK699" i="7"/>
  <c r="AK698" i="7"/>
  <c r="AK697" i="7"/>
  <c r="AK695" i="7"/>
  <c r="AK694" i="7"/>
  <c r="AK340" i="7"/>
  <c r="AK322" i="7"/>
  <c r="AK321" i="7"/>
  <c r="AK320" i="7"/>
  <c r="AK319" i="7"/>
  <c r="AK318" i="7"/>
  <c r="AK317" i="7"/>
  <c r="AK339" i="7"/>
  <c r="AK338" i="7"/>
  <c r="AK671" i="7"/>
  <c r="AK670" i="7"/>
  <c r="AK669" i="7"/>
  <c r="AK668" i="7"/>
  <c r="AK667" i="7"/>
  <c r="AK666" i="7"/>
  <c r="AK665" i="7"/>
  <c r="AK663" i="7"/>
  <c r="AK662" i="7"/>
  <c r="AK316" i="7"/>
  <c r="AK315" i="7"/>
  <c r="AK314" i="7"/>
  <c r="AK313" i="7"/>
  <c r="AK551" i="7"/>
  <c r="AK545" i="7"/>
  <c r="AK431" i="7"/>
  <c r="AK430" i="7"/>
  <c r="AK429" i="7"/>
  <c r="AK428" i="7"/>
  <c r="AK427" i="7"/>
  <c r="AK426" i="7"/>
  <c r="AK372" i="7"/>
  <c r="AK446" i="7"/>
  <c r="AK308" i="7"/>
  <c r="AK293" i="7"/>
  <c r="AK292" i="7"/>
  <c r="AK291" i="7"/>
  <c r="AK290" i="7"/>
  <c r="AK289" i="7"/>
  <c r="AK288" i="7"/>
  <c r="AK38" i="7"/>
  <c r="AJ452" i="7"/>
  <c r="AJ460" i="7"/>
  <c r="AJ458" i="7"/>
  <c r="AJ451" i="7"/>
  <c r="AJ455" i="7"/>
  <c r="AJ459" i="7"/>
  <c r="AJ479" i="7"/>
  <c r="AJ483" i="7"/>
  <c r="AJ503" i="7"/>
  <c r="AJ507" i="7"/>
  <c r="AJ511" i="7"/>
  <c r="AJ480" i="7"/>
  <c r="AJ484" i="7"/>
  <c r="AJ504" i="7"/>
  <c r="AJ508" i="7"/>
  <c r="AJ512" i="7"/>
  <c r="AK625" i="7"/>
  <c r="AJ40" i="7"/>
  <c r="AJ92" i="7"/>
  <c r="AJ660" i="7"/>
  <c r="AJ645" i="7" s="1"/>
  <c r="AJ100" i="7" s="1"/>
  <c r="AJ692" i="7"/>
  <c r="AJ677" i="7" s="1"/>
  <c r="AJ101" i="7" s="1"/>
  <c r="AJ724" i="7"/>
  <c r="AJ709" i="7" s="1"/>
  <c r="AJ102" i="7" s="1"/>
  <c r="AJ456" i="7"/>
  <c r="AJ309" i="7"/>
  <c r="AJ454" i="7"/>
  <c r="AJ453" i="7"/>
  <c r="AJ457" i="7"/>
  <c r="AJ477" i="7"/>
  <c r="AJ481" i="7"/>
  <c r="AJ485" i="7"/>
  <c r="AJ505" i="7"/>
  <c r="AJ509" i="7"/>
  <c r="AJ447" i="7"/>
  <c r="AJ478" i="7"/>
  <c r="AJ482" i="7"/>
  <c r="AJ486" i="7"/>
  <c r="AJ506" i="7"/>
  <c r="AJ510" i="7"/>
  <c r="AI103" i="7"/>
  <c r="AP94" i="7" l="1"/>
  <c r="AI111" i="7"/>
  <c r="AI112" i="7" s="1"/>
  <c r="AK606" i="7"/>
  <c r="AK608" i="7" s="1"/>
  <c r="AL633" i="7"/>
  <c r="AL604" i="7"/>
  <c r="AK205" i="7"/>
  <c r="AK168" i="7"/>
  <c r="AK78" i="7"/>
  <c r="AK724" i="7"/>
  <c r="AK709" i="7" s="1"/>
  <c r="AK102" i="7" s="1"/>
  <c r="AK40" i="7"/>
  <c r="AK451" i="7"/>
  <c r="AK459" i="7"/>
  <c r="AK457" i="7"/>
  <c r="AK454" i="7"/>
  <c r="AK458" i="7"/>
  <c r="AK478" i="7"/>
  <c r="AK482" i="7"/>
  <c r="AK486" i="7"/>
  <c r="AK506" i="7"/>
  <c r="AK510" i="7"/>
  <c r="AK479" i="7"/>
  <c r="AK483" i="7"/>
  <c r="AK503" i="7"/>
  <c r="AK507" i="7"/>
  <c r="AK511" i="7"/>
  <c r="AL625" i="7"/>
  <c r="AL735" i="7"/>
  <c r="AL734" i="7"/>
  <c r="AL732" i="7"/>
  <c r="AL731" i="7"/>
  <c r="AL730" i="7"/>
  <c r="AL729" i="7"/>
  <c r="AL728" i="7"/>
  <c r="AL726" i="7"/>
  <c r="AL373" i="7"/>
  <c r="AL371" i="7"/>
  <c r="AL370" i="7"/>
  <c r="AL369" i="7"/>
  <c r="AL368" i="7"/>
  <c r="AL367" i="7"/>
  <c r="AL366" i="7"/>
  <c r="AL365" i="7"/>
  <c r="AL364" i="7"/>
  <c r="AL703" i="7"/>
  <c r="AL702" i="7"/>
  <c r="AL701" i="7"/>
  <c r="AL700" i="7"/>
  <c r="AL699" i="7"/>
  <c r="AL698" i="7"/>
  <c r="AL697" i="7"/>
  <c r="AL695" i="7"/>
  <c r="AL694" i="7"/>
  <c r="AL347" i="7"/>
  <c r="AL346" i="7"/>
  <c r="AL345" i="7"/>
  <c r="AL344" i="7"/>
  <c r="AL343" i="7"/>
  <c r="AL342" i="7"/>
  <c r="AL341" i="7"/>
  <c r="AL340" i="7"/>
  <c r="AL339" i="7"/>
  <c r="AL338" i="7"/>
  <c r="AL671" i="7"/>
  <c r="AL670" i="7"/>
  <c r="AL669" i="7"/>
  <c r="AL668" i="7"/>
  <c r="AL667" i="7"/>
  <c r="AL666" i="7"/>
  <c r="AL665" i="7"/>
  <c r="AL663" i="7"/>
  <c r="AL662" i="7"/>
  <c r="AL322" i="7"/>
  <c r="AL321" i="7"/>
  <c r="AL320" i="7"/>
  <c r="AL319" i="7"/>
  <c r="AL318" i="7"/>
  <c r="AL317" i="7"/>
  <c r="AL316" i="7"/>
  <c r="AL315" i="7"/>
  <c r="AL314" i="7"/>
  <c r="AL313" i="7"/>
  <c r="AL551" i="7"/>
  <c r="AL545" i="7"/>
  <c r="AL446" i="7"/>
  <c r="AL431" i="7"/>
  <c r="AL430" i="7"/>
  <c r="AL429" i="7"/>
  <c r="AL428" i="7"/>
  <c r="AL427" i="7"/>
  <c r="AL426" i="7"/>
  <c r="AL372" i="7"/>
  <c r="AL308" i="7"/>
  <c r="AL293" i="7"/>
  <c r="AL292" i="7"/>
  <c r="AL291" i="7"/>
  <c r="AL290" i="7"/>
  <c r="AL289" i="7"/>
  <c r="AL288" i="7"/>
  <c r="AL38" i="7"/>
  <c r="AK309" i="7"/>
  <c r="AK455" i="7"/>
  <c r="AK453" i="7"/>
  <c r="AK452" i="7"/>
  <c r="AK456" i="7"/>
  <c r="AK460" i="7"/>
  <c r="AK480" i="7"/>
  <c r="AK484" i="7"/>
  <c r="AK504" i="7"/>
  <c r="AK508" i="7"/>
  <c r="AK512" i="7"/>
  <c r="AK477" i="7"/>
  <c r="AK481" i="7"/>
  <c r="AK485" i="7"/>
  <c r="AK505" i="7"/>
  <c r="AK509" i="7"/>
  <c r="AK447" i="7"/>
  <c r="AJ103" i="7"/>
  <c r="AK92" i="7"/>
  <c r="AK660" i="7"/>
  <c r="AK645" i="7" s="1"/>
  <c r="AK100" i="7" s="1"/>
  <c r="AK692" i="7"/>
  <c r="AK677" i="7" s="1"/>
  <c r="AK101" i="7" s="1"/>
  <c r="AJ111" i="7" l="1"/>
  <c r="AJ112" i="7" s="1"/>
  <c r="AL606" i="7"/>
  <c r="AL608" i="7" s="1"/>
  <c r="AM633" i="7"/>
  <c r="AM604" i="7"/>
  <c r="AL205" i="7"/>
  <c r="AL168" i="7"/>
  <c r="AL78" i="7"/>
  <c r="AL660" i="7"/>
  <c r="AL645" i="7" s="1"/>
  <c r="AL100" i="7" s="1"/>
  <c r="AL724" i="7"/>
  <c r="AL709" i="7" s="1"/>
  <c r="AL102" i="7" s="1"/>
  <c r="AL40" i="7"/>
  <c r="AL692" i="7"/>
  <c r="AL677" i="7" s="1"/>
  <c r="AL101" i="7" s="1"/>
  <c r="AL92" i="7"/>
  <c r="AM735" i="7"/>
  <c r="AM734" i="7"/>
  <c r="AM732" i="7"/>
  <c r="AM731" i="7"/>
  <c r="AM730" i="7"/>
  <c r="AM729" i="7"/>
  <c r="AM728" i="7"/>
  <c r="AM726" i="7"/>
  <c r="AM373" i="7"/>
  <c r="AM372" i="7"/>
  <c r="AM371" i="7"/>
  <c r="AM370" i="7"/>
  <c r="AM369" i="7"/>
  <c r="AM368" i="7"/>
  <c r="AM367" i="7"/>
  <c r="AM366" i="7"/>
  <c r="AM364" i="7"/>
  <c r="AM347" i="7"/>
  <c r="AM346" i="7"/>
  <c r="AM345" i="7"/>
  <c r="AM344" i="7"/>
  <c r="AM343" i="7"/>
  <c r="AM342" i="7"/>
  <c r="AM341" i="7"/>
  <c r="AM365" i="7"/>
  <c r="AM703" i="7"/>
  <c r="AM702" i="7"/>
  <c r="AM701" i="7"/>
  <c r="AM700" i="7"/>
  <c r="AM699" i="7"/>
  <c r="AM698" i="7"/>
  <c r="AM697" i="7"/>
  <c r="AM695" i="7"/>
  <c r="AM694" i="7"/>
  <c r="AM322" i="7"/>
  <c r="AM321" i="7"/>
  <c r="AM320" i="7"/>
  <c r="AM319" i="7"/>
  <c r="AM318" i="7"/>
  <c r="AM317" i="7"/>
  <c r="AM340" i="7"/>
  <c r="AM339" i="7"/>
  <c r="AM338" i="7"/>
  <c r="AM671" i="7"/>
  <c r="AM670" i="7"/>
  <c r="AM669" i="7"/>
  <c r="AM668" i="7"/>
  <c r="AM667" i="7"/>
  <c r="AM666" i="7"/>
  <c r="AM664" i="7"/>
  <c r="AM663" i="7"/>
  <c r="AM662" i="7"/>
  <c r="AM315" i="7"/>
  <c r="AM316" i="7"/>
  <c r="AM314" i="7"/>
  <c r="AM313" i="7"/>
  <c r="AM551" i="7"/>
  <c r="AM545" i="7"/>
  <c r="AM431" i="7"/>
  <c r="AM430" i="7"/>
  <c r="AM429" i="7"/>
  <c r="AM428" i="7"/>
  <c r="AM427" i="7"/>
  <c r="AM426" i="7"/>
  <c r="AM446" i="7"/>
  <c r="AM308" i="7"/>
  <c r="AM293" i="7"/>
  <c r="AM292" i="7"/>
  <c r="AM291" i="7"/>
  <c r="AM290" i="7"/>
  <c r="AM289" i="7"/>
  <c r="AM288" i="7"/>
  <c r="AM38" i="7"/>
  <c r="AL458" i="7"/>
  <c r="AL456" i="7"/>
  <c r="AL453" i="7"/>
  <c r="AL457" i="7"/>
  <c r="AL477" i="7"/>
  <c r="AL481" i="7"/>
  <c r="AL485" i="7"/>
  <c r="AL505" i="7"/>
  <c r="AL509" i="7"/>
  <c r="AL447" i="7"/>
  <c r="AL478" i="7"/>
  <c r="AL482" i="7"/>
  <c r="AL486" i="7"/>
  <c r="AL506" i="7"/>
  <c r="AL510" i="7"/>
  <c r="AK103" i="7"/>
  <c r="AL454" i="7"/>
  <c r="AL309" i="7"/>
  <c r="AL452" i="7"/>
  <c r="AL460" i="7"/>
  <c r="AL451" i="7"/>
  <c r="AL455" i="7"/>
  <c r="AL459" i="7"/>
  <c r="AL479" i="7"/>
  <c r="AL483" i="7"/>
  <c r="AL503" i="7"/>
  <c r="AL507" i="7"/>
  <c r="AL511" i="7"/>
  <c r="AL480" i="7"/>
  <c r="AL484" i="7"/>
  <c r="AL504" i="7"/>
  <c r="AL508" i="7"/>
  <c r="AL512" i="7"/>
  <c r="AM625" i="7"/>
  <c r="AK111" i="7" l="1"/>
  <c r="AK112" i="7" s="1"/>
  <c r="AM606" i="7"/>
  <c r="AM608" i="7" s="1"/>
  <c r="AN633" i="7"/>
  <c r="AN604" i="7"/>
  <c r="AM205" i="7"/>
  <c r="AM168" i="7"/>
  <c r="AM78" i="7"/>
  <c r="AL103" i="7"/>
  <c r="AM40" i="7"/>
  <c r="AM660" i="7"/>
  <c r="AM645" i="7" s="1"/>
  <c r="AM100" i="7" s="1"/>
  <c r="AM692" i="7"/>
  <c r="AM677" i="7" s="1"/>
  <c r="AM101" i="7" s="1"/>
  <c r="AM92" i="7"/>
  <c r="AM457" i="7"/>
  <c r="AM451" i="7"/>
  <c r="AM459" i="7"/>
  <c r="AM454" i="7"/>
  <c r="AM458" i="7"/>
  <c r="AM478" i="7"/>
  <c r="AM482" i="7"/>
  <c r="AM486" i="7"/>
  <c r="AM506" i="7"/>
  <c r="AM510" i="7"/>
  <c r="AM479" i="7"/>
  <c r="AM483" i="7"/>
  <c r="AM503" i="7"/>
  <c r="AM507" i="7"/>
  <c r="AM511" i="7"/>
  <c r="AN625" i="7"/>
  <c r="AM724" i="7"/>
  <c r="AM709" i="7" s="1"/>
  <c r="AM102" i="7" s="1"/>
  <c r="AN735" i="7"/>
  <c r="AN734" i="7"/>
  <c r="AN732" i="7"/>
  <c r="AN731" i="7"/>
  <c r="AN730" i="7"/>
  <c r="AN729" i="7"/>
  <c r="AN728" i="7"/>
  <c r="AN726" i="7"/>
  <c r="AN373" i="7"/>
  <c r="AN372" i="7"/>
  <c r="AN371" i="7"/>
  <c r="AN370" i="7"/>
  <c r="AN369" i="7"/>
  <c r="AN368" i="7"/>
  <c r="AN367" i="7"/>
  <c r="AN366" i="7"/>
  <c r="AN365" i="7"/>
  <c r="AN364" i="7"/>
  <c r="AN703" i="7"/>
  <c r="AN702" i="7"/>
  <c r="AN701" i="7"/>
  <c r="AN700" i="7"/>
  <c r="AN699" i="7"/>
  <c r="AN698" i="7"/>
  <c r="AN697" i="7"/>
  <c r="AN695" i="7"/>
  <c r="AN694" i="7"/>
  <c r="AN346" i="7"/>
  <c r="AN345" i="7"/>
  <c r="AN344" i="7"/>
  <c r="AN343" i="7"/>
  <c r="AN342" i="7"/>
  <c r="AN341" i="7"/>
  <c r="AN340" i="7"/>
  <c r="AN339" i="7"/>
  <c r="AN338" i="7"/>
  <c r="AN671" i="7"/>
  <c r="AN670" i="7"/>
  <c r="AN669" i="7"/>
  <c r="AN668" i="7"/>
  <c r="AN667" i="7"/>
  <c r="AN666" i="7"/>
  <c r="AN664" i="7"/>
  <c r="AN663" i="7"/>
  <c r="AN662" i="7"/>
  <c r="AN322" i="7"/>
  <c r="AN321" i="7"/>
  <c r="AN320" i="7"/>
  <c r="AN319" i="7"/>
  <c r="AN318" i="7"/>
  <c r="AN317" i="7"/>
  <c r="AN316" i="7"/>
  <c r="AN315" i="7"/>
  <c r="AN314" i="7"/>
  <c r="AN313" i="7"/>
  <c r="AN551" i="7"/>
  <c r="AN545" i="7"/>
  <c r="AN446" i="7"/>
  <c r="AN347" i="7"/>
  <c r="AN431" i="7"/>
  <c r="AN430" i="7"/>
  <c r="AN429" i="7"/>
  <c r="AN428" i="7"/>
  <c r="AN427" i="7"/>
  <c r="AN426" i="7"/>
  <c r="AN308" i="7"/>
  <c r="AN293" i="7"/>
  <c r="AN292" i="7"/>
  <c r="AN291" i="7"/>
  <c r="AN290" i="7"/>
  <c r="AN289" i="7"/>
  <c r="AN288" i="7"/>
  <c r="AN38" i="7"/>
  <c r="AM309" i="7"/>
  <c r="AM453" i="7"/>
  <c r="AM455" i="7"/>
  <c r="AM452" i="7"/>
  <c r="AM456" i="7"/>
  <c r="AM460" i="7"/>
  <c r="AM480" i="7"/>
  <c r="AM484" i="7"/>
  <c r="AM504" i="7"/>
  <c r="AM508" i="7"/>
  <c r="AM512" i="7"/>
  <c r="AM477" i="7"/>
  <c r="AM481" i="7"/>
  <c r="AM485" i="7"/>
  <c r="AM505" i="7"/>
  <c r="AM509" i="7"/>
  <c r="AM447" i="7"/>
  <c r="AL111" i="7" l="1"/>
  <c r="AL112" i="7" s="1"/>
  <c r="AN606" i="7"/>
  <c r="AN608" i="7" s="1"/>
  <c r="AO633" i="7"/>
  <c r="AO604" i="7"/>
  <c r="AN205" i="7"/>
  <c r="AN168" i="7"/>
  <c r="AN78" i="7"/>
  <c r="AM103" i="7"/>
  <c r="AN456" i="7"/>
  <c r="AN309" i="7"/>
  <c r="AN454" i="7"/>
  <c r="AN453" i="7"/>
  <c r="AN457" i="7"/>
  <c r="AN477" i="7"/>
  <c r="AN481" i="7"/>
  <c r="AN485" i="7"/>
  <c r="AN505" i="7"/>
  <c r="AN509" i="7"/>
  <c r="AN447" i="7"/>
  <c r="AN478" i="7"/>
  <c r="AN482" i="7"/>
  <c r="AN486" i="7"/>
  <c r="AN506" i="7"/>
  <c r="AN510" i="7"/>
  <c r="AO735" i="7"/>
  <c r="AO734" i="7"/>
  <c r="AO732" i="7"/>
  <c r="AO731" i="7"/>
  <c r="AO730" i="7"/>
  <c r="AO729" i="7"/>
  <c r="AO728" i="7"/>
  <c r="AO373" i="7"/>
  <c r="AO371" i="7"/>
  <c r="AO370" i="7"/>
  <c r="AO369" i="7"/>
  <c r="AO368" i="7"/>
  <c r="AO367" i="7"/>
  <c r="AO366" i="7"/>
  <c r="AO726" i="7"/>
  <c r="AO365" i="7"/>
  <c r="AO347" i="7"/>
  <c r="AO346" i="7"/>
  <c r="AO345" i="7"/>
  <c r="AO344" i="7"/>
  <c r="AO343" i="7"/>
  <c r="AO342" i="7"/>
  <c r="AO341" i="7"/>
  <c r="AO364" i="7"/>
  <c r="AO703" i="7"/>
  <c r="AO702" i="7"/>
  <c r="AO701" i="7"/>
  <c r="AO700" i="7"/>
  <c r="AO699" i="7"/>
  <c r="AO698" i="7"/>
  <c r="AO697" i="7"/>
  <c r="AO695" i="7"/>
  <c r="AO694" i="7"/>
  <c r="AO340" i="7"/>
  <c r="AO322" i="7"/>
  <c r="AO321" i="7"/>
  <c r="AO320" i="7"/>
  <c r="AO319" i="7"/>
  <c r="AO318" i="7"/>
  <c r="AO317" i="7"/>
  <c r="AO339" i="7"/>
  <c r="AO338" i="7"/>
  <c r="AO671" i="7"/>
  <c r="AO670" i="7"/>
  <c r="AO669" i="7"/>
  <c r="AO668" i="7"/>
  <c r="AO667" i="7"/>
  <c r="AO666" i="7"/>
  <c r="AO664" i="7"/>
  <c r="AO663" i="7"/>
  <c r="AO662" i="7"/>
  <c r="AO316" i="7"/>
  <c r="AO315" i="7"/>
  <c r="AO314" i="7"/>
  <c r="AO313" i="7"/>
  <c r="AO551" i="7"/>
  <c r="AO545" i="7"/>
  <c r="AO431" i="7"/>
  <c r="AO430" i="7"/>
  <c r="AO429" i="7"/>
  <c r="AO428" i="7"/>
  <c r="AO427" i="7"/>
  <c r="AO426" i="7"/>
  <c r="AO372" i="7"/>
  <c r="AO446" i="7"/>
  <c r="AO308" i="7"/>
  <c r="AO293" i="7"/>
  <c r="AO292" i="7"/>
  <c r="AO291" i="7"/>
  <c r="AO290" i="7"/>
  <c r="AO289" i="7"/>
  <c r="AO288" i="7"/>
  <c r="AO38" i="7"/>
  <c r="AN452" i="7"/>
  <c r="AN460" i="7"/>
  <c r="AN458" i="7"/>
  <c r="AN451" i="7"/>
  <c r="AN455" i="7"/>
  <c r="AN459" i="7"/>
  <c r="AN479" i="7"/>
  <c r="AN483" i="7"/>
  <c r="AN503" i="7"/>
  <c r="AN507" i="7"/>
  <c r="AN511" i="7"/>
  <c r="AN480" i="7"/>
  <c r="AN484" i="7"/>
  <c r="AN504" i="7"/>
  <c r="AN508" i="7"/>
  <c r="AN512" i="7"/>
  <c r="AO625" i="7"/>
  <c r="AN40" i="7"/>
  <c r="AN92" i="7"/>
  <c r="AN660" i="7"/>
  <c r="AN645" i="7" s="1"/>
  <c r="AN100" i="7" s="1"/>
  <c r="AN692" i="7"/>
  <c r="AN677" i="7" s="1"/>
  <c r="AN101" i="7" s="1"/>
  <c r="AN724" i="7"/>
  <c r="AN709" i="7" s="1"/>
  <c r="AN102" i="7" s="1"/>
  <c r="AM111" i="7" l="1"/>
  <c r="AM112" i="7" s="1"/>
  <c r="AO606" i="7"/>
  <c r="AO608" i="7" s="1"/>
  <c r="AP604" i="7"/>
  <c r="AO205" i="7"/>
  <c r="AO168" i="7"/>
  <c r="AO78" i="7"/>
  <c r="AO40" i="7"/>
  <c r="AO660" i="7"/>
  <c r="AO645" i="7" s="1"/>
  <c r="AO100" i="7" s="1"/>
  <c r="AO692" i="7"/>
  <c r="AO677" i="7" s="1"/>
  <c r="AO101" i="7" s="1"/>
  <c r="AO92" i="7"/>
  <c r="AO451" i="7"/>
  <c r="AO459" i="7"/>
  <c r="AO457" i="7"/>
  <c r="AO454" i="7"/>
  <c r="AO458" i="7"/>
  <c r="AO478" i="7"/>
  <c r="AO482" i="7"/>
  <c r="AO486" i="7"/>
  <c r="AO506" i="7"/>
  <c r="AO510" i="7"/>
  <c r="AO479" i="7"/>
  <c r="AO483" i="7"/>
  <c r="AO503" i="7"/>
  <c r="AO507" i="7"/>
  <c r="AO511" i="7"/>
  <c r="AP625" i="7"/>
  <c r="AO724" i="7"/>
  <c r="AO709" i="7" s="1"/>
  <c r="AO102" i="7" s="1"/>
  <c r="AP735" i="7"/>
  <c r="AP734" i="7"/>
  <c r="AP732" i="7"/>
  <c r="AP731" i="7"/>
  <c r="AP730" i="7"/>
  <c r="AP729" i="7"/>
  <c r="AP728" i="7"/>
  <c r="AP726" i="7"/>
  <c r="B723" i="7"/>
  <c r="B722" i="7"/>
  <c r="B721" i="7"/>
  <c r="B720" i="7"/>
  <c r="B719" i="7"/>
  <c r="B718" i="7"/>
  <c r="B717" i="7"/>
  <c r="B716" i="7"/>
  <c r="B715" i="7"/>
  <c r="AP364" i="7"/>
  <c r="AP703" i="7"/>
  <c r="B703" i="7" s="1"/>
  <c r="AP702" i="7"/>
  <c r="B702" i="7" s="1"/>
  <c r="AP701" i="7"/>
  <c r="B701" i="7" s="1"/>
  <c r="AP700" i="7"/>
  <c r="B700" i="7" s="1"/>
  <c r="AP699" i="7"/>
  <c r="B699" i="7" s="1"/>
  <c r="AP698" i="7"/>
  <c r="B698" i="7" s="1"/>
  <c r="AP697" i="7"/>
  <c r="B697" i="7" s="1"/>
  <c r="AP695" i="7"/>
  <c r="AP694" i="7"/>
  <c r="B691" i="7"/>
  <c r="B690" i="7"/>
  <c r="B689" i="7"/>
  <c r="B688" i="7"/>
  <c r="B687" i="7"/>
  <c r="B686" i="7"/>
  <c r="B685" i="7"/>
  <c r="B684" i="7"/>
  <c r="B683" i="7"/>
  <c r="AP338" i="7"/>
  <c r="AP671" i="7"/>
  <c r="B671" i="7" s="1"/>
  <c r="AP670" i="7"/>
  <c r="B670" i="7" s="1"/>
  <c r="AP669" i="7"/>
  <c r="B669" i="7" s="1"/>
  <c r="AP668" i="7"/>
  <c r="B668" i="7" s="1"/>
  <c r="AP667" i="7"/>
  <c r="B667" i="7" s="1"/>
  <c r="AP666" i="7"/>
  <c r="B666" i="7" s="1"/>
  <c r="AP664" i="7"/>
  <c r="AP663" i="7"/>
  <c r="AP662" i="7"/>
  <c r="B659" i="7"/>
  <c r="B658" i="7"/>
  <c r="B657" i="7"/>
  <c r="B656" i="7"/>
  <c r="B655" i="7"/>
  <c r="B654" i="7"/>
  <c r="B653" i="7"/>
  <c r="B652" i="7"/>
  <c r="B651" i="7"/>
  <c r="AP313" i="7"/>
  <c r="AP551" i="7"/>
  <c r="AP545" i="7"/>
  <c r="AP446" i="7"/>
  <c r="AP347" i="7"/>
  <c r="AP431" i="7"/>
  <c r="AP430" i="7"/>
  <c r="AP429" i="7"/>
  <c r="AP428" i="7"/>
  <c r="AP427" i="7"/>
  <c r="AP426" i="7"/>
  <c r="AP308" i="7"/>
  <c r="AP293" i="7"/>
  <c r="AP292" i="7"/>
  <c r="AP291" i="7"/>
  <c r="AP290" i="7"/>
  <c r="AP289" i="7"/>
  <c r="AP288" i="7"/>
  <c r="AP38" i="7"/>
  <c r="AO309" i="7"/>
  <c r="AO455" i="7"/>
  <c r="AO453" i="7"/>
  <c r="AO452" i="7"/>
  <c r="AO456" i="7"/>
  <c r="AO460" i="7"/>
  <c r="AO480" i="7"/>
  <c r="AO484" i="7"/>
  <c r="AO504" i="7"/>
  <c r="AO508" i="7"/>
  <c r="AO512" i="7"/>
  <c r="AO477" i="7"/>
  <c r="AO481" i="7"/>
  <c r="AO485" i="7"/>
  <c r="AO505" i="7"/>
  <c r="AO509" i="7"/>
  <c r="AO447" i="7"/>
  <c r="AN103" i="7"/>
  <c r="AO467" i="7" l="1"/>
  <c r="AO524" i="7"/>
  <c r="AN466" i="7"/>
  <c r="AO517" i="7"/>
  <c r="AO521" i="7"/>
  <c r="AO496" i="7"/>
  <c r="AO493" i="7"/>
  <c r="AO497" i="7"/>
  <c r="AO520" i="7"/>
  <c r="AO325" i="7"/>
  <c r="AN472" i="7"/>
  <c r="AO352" i="7"/>
  <c r="AN518" i="7"/>
  <c r="AN465" i="7"/>
  <c r="AO380" i="7"/>
  <c r="AN470" i="7"/>
  <c r="AN493" i="7"/>
  <c r="AN497" i="7"/>
  <c r="AN520" i="7"/>
  <c r="AP359" i="7"/>
  <c r="AN467" i="7"/>
  <c r="AN490" i="7"/>
  <c r="AN498" i="7"/>
  <c r="AO378" i="7"/>
  <c r="AO382" i="7"/>
  <c r="AO516" i="7"/>
  <c r="AO464" i="7"/>
  <c r="AO472" i="7"/>
  <c r="AO465" i="7"/>
  <c r="AO492" i="7"/>
  <c r="AO518" i="7"/>
  <c r="AN491" i="7"/>
  <c r="AO468" i="7"/>
  <c r="AO351" i="7"/>
  <c r="E329" i="7"/>
  <c r="D329" i="7"/>
  <c r="H329" i="7"/>
  <c r="G329" i="7"/>
  <c r="F329" i="7"/>
  <c r="C329" i="7"/>
  <c r="I329" i="7"/>
  <c r="J329" i="7"/>
  <c r="C468" i="7"/>
  <c r="E468" i="7"/>
  <c r="D468" i="7"/>
  <c r="G468" i="7"/>
  <c r="H468" i="7"/>
  <c r="F468" i="7"/>
  <c r="I468" i="7"/>
  <c r="K329" i="7"/>
  <c r="J468" i="7"/>
  <c r="K468" i="7"/>
  <c r="L329" i="7"/>
  <c r="L468" i="7"/>
  <c r="M329" i="7"/>
  <c r="M468" i="7"/>
  <c r="N329" i="7"/>
  <c r="O329" i="7"/>
  <c r="N468" i="7"/>
  <c r="P329" i="7"/>
  <c r="O468" i="7"/>
  <c r="Q329" i="7"/>
  <c r="P468" i="7"/>
  <c r="R329" i="7"/>
  <c r="Q468" i="7"/>
  <c r="S329" i="7"/>
  <c r="R468" i="7"/>
  <c r="T329" i="7"/>
  <c r="S468" i="7"/>
  <c r="T468" i="7"/>
  <c r="U329" i="7"/>
  <c r="U468" i="7"/>
  <c r="V329" i="7"/>
  <c r="V468" i="7"/>
  <c r="W329" i="7"/>
  <c r="X329" i="7"/>
  <c r="W468" i="7"/>
  <c r="Y329" i="7"/>
  <c r="X468" i="7"/>
  <c r="Y468" i="7"/>
  <c r="Z329" i="7"/>
  <c r="Z468" i="7"/>
  <c r="AA329" i="7"/>
  <c r="AB329" i="7"/>
  <c r="AA468" i="7"/>
  <c r="AC329" i="7"/>
  <c r="AB468" i="7"/>
  <c r="AC468" i="7"/>
  <c r="AD329" i="7"/>
  <c r="AD468" i="7"/>
  <c r="AE329" i="7"/>
  <c r="AF329" i="7"/>
  <c r="AE468" i="7"/>
  <c r="AF468" i="7"/>
  <c r="AG329" i="7"/>
  <c r="AG468" i="7"/>
  <c r="AH329" i="7"/>
  <c r="AH468" i="7"/>
  <c r="AI329" i="7"/>
  <c r="AI468" i="7"/>
  <c r="AJ329" i="7"/>
  <c r="AJ468" i="7"/>
  <c r="AK329" i="7"/>
  <c r="AK468" i="7"/>
  <c r="AL329" i="7"/>
  <c r="AL468" i="7"/>
  <c r="AM329" i="7"/>
  <c r="AN329" i="7"/>
  <c r="AM468" i="7"/>
  <c r="C352" i="7"/>
  <c r="F352" i="7"/>
  <c r="D352" i="7"/>
  <c r="C491" i="7"/>
  <c r="E352" i="7"/>
  <c r="D491" i="7"/>
  <c r="G352" i="7"/>
  <c r="E491" i="7"/>
  <c r="F491" i="7"/>
  <c r="G491" i="7"/>
  <c r="H352" i="7"/>
  <c r="I352" i="7"/>
  <c r="H491" i="7"/>
  <c r="I491" i="7"/>
  <c r="J352" i="7"/>
  <c r="J491" i="7"/>
  <c r="K352" i="7"/>
  <c r="L352" i="7"/>
  <c r="K491" i="7"/>
  <c r="M352" i="7"/>
  <c r="L491" i="7"/>
  <c r="M491" i="7"/>
  <c r="N352" i="7"/>
  <c r="N491" i="7"/>
  <c r="O352" i="7"/>
  <c r="P352" i="7"/>
  <c r="O491" i="7"/>
  <c r="P491" i="7"/>
  <c r="Q352" i="7"/>
  <c r="R352" i="7"/>
  <c r="Q491" i="7"/>
  <c r="R491" i="7"/>
  <c r="S352" i="7"/>
  <c r="T352" i="7"/>
  <c r="S491" i="7"/>
  <c r="U352" i="7"/>
  <c r="T491" i="7"/>
  <c r="V352" i="7"/>
  <c r="U491" i="7"/>
  <c r="V491" i="7"/>
  <c r="W352" i="7"/>
  <c r="W491" i="7"/>
  <c r="X352" i="7"/>
  <c r="Y352" i="7"/>
  <c r="X491" i="7"/>
  <c r="Y491" i="7"/>
  <c r="Z352" i="7"/>
  <c r="Z491" i="7"/>
  <c r="AA352" i="7"/>
  <c r="AA491" i="7"/>
  <c r="AB352" i="7"/>
  <c r="AB491" i="7"/>
  <c r="AC352" i="7"/>
  <c r="AC491" i="7"/>
  <c r="AD352" i="7"/>
  <c r="AD491" i="7"/>
  <c r="AE352" i="7"/>
  <c r="AF352" i="7"/>
  <c r="AE491" i="7"/>
  <c r="AG352" i="7"/>
  <c r="AF491" i="7"/>
  <c r="AG491" i="7"/>
  <c r="AH352" i="7"/>
  <c r="AI352" i="7"/>
  <c r="AH491" i="7"/>
  <c r="AI491" i="7"/>
  <c r="AJ352" i="7"/>
  <c r="AK352" i="7"/>
  <c r="AJ491" i="7"/>
  <c r="AK491" i="7"/>
  <c r="AL352" i="7"/>
  <c r="AL491" i="7"/>
  <c r="AM352" i="7"/>
  <c r="AN352" i="7"/>
  <c r="AM491" i="7"/>
  <c r="H383" i="7"/>
  <c r="D383" i="7"/>
  <c r="E383" i="7"/>
  <c r="G383" i="7"/>
  <c r="F383" i="7"/>
  <c r="C383" i="7"/>
  <c r="I383" i="7"/>
  <c r="J383" i="7"/>
  <c r="K383" i="7"/>
  <c r="J522" i="7"/>
  <c r="L383" i="7"/>
  <c r="I522" i="7"/>
  <c r="H522" i="7"/>
  <c r="C522" i="7"/>
  <c r="E522" i="7"/>
  <c r="G522" i="7"/>
  <c r="K522" i="7"/>
  <c r="F522" i="7"/>
  <c r="D522" i="7"/>
  <c r="L522" i="7"/>
  <c r="M383" i="7"/>
  <c r="M522" i="7"/>
  <c r="N383" i="7"/>
  <c r="N522" i="7"/>
  <c r="O383" i="7"/>
  <c r="P383" i="7"/>
  <c r="O522" i="7"/>
  <c r="P522" i="7"/>
  <c r="Q383" i="7"/>
  <c r="R383" i="7"/>
  <c r="Q522" i="7"/>
  <c r="R522" i="7"/>
  <c r="S383" i="7"/>
  <c r="T383" i="7"/>
  <c r="S522" i="7"/>
  <c r="U383" i="7"/>
  <c r="T522" i="7"/>
  <c r="V383" i="7"/>
  <c r="U522" i="7"/>
  <c r="V522" i="7"/>
  <c r="W383" i="7"/>
  <c r="W522" i="7"/>
  <c r="X383" i="7"/>
  <c r="X522" i="7"/>
  <c r="Y383" i="7"/>
  <c r="Y522" i="7"/>
  <c r="Z383" i="7"/>
  <c r="Z522" i="7"/>
  <c r="AA383" i="7"/>
  <c r="AB383" i="7"/>
  <c r="AA522" i="7"/>
  <c r="AC383" i="7"/>
  <c r="AB522" i="7"/>
  <c r="AC522" i="7"/>
  <c r="AD383" i="7"/>
  <c r="AE383" i="7"/>
  <c r="AD522" i="7"/>
  <c r="AF383" i="7"/>
  <c r="AE522" i="7"/>
  <c r="AG383" i="7"/>
  <c r="AF522" i="7"/>
  <c r="AH383" i="7"/>
  <c r="AG522" i="7"/>
  <c r="AI383" i="7"/>
  <c r="AH522" i="7"/>
  <c r="AI522" i="7"/>
  <c r="AJ383" i="7"/>
  <c r="AK383" i="7"/>
  <c r="AJ522" i="7"/>
  <c r="AL383" i="7"/>
  <c r="AK522" i="7"/>
  <c r="AL522" i="7"/>
  <c r="AM383" i="7"/>
  <c r="AN383" i="7"/>
  <c r="AM522" i="7"/>
  <c r="AO495" i="7"/>
  <c r="AO466" i="7"/>
  <c r="AN517" i="7"/>
  <c r="AN521" i="7"/>
  <c r="AO333" i="7"/>
  <c r="AO326" i="7"/>
  <c r="G330" i="7"/>
  <c r="F330" i="7"/>
  <c r="H330" i="7"/>
  <c r="D330" i="7"/>
  <c r="C330" i="7"/>
  <c r="I330" i="7"/>
  <c r="E330" i="7"/>
  <c r="J330" i="7"/>
  <c r="C469" i="7"/>
  <c r="K330" i="7"/>
  <c r="J469" i="7"/>
  <c r="I469" i="7"/>
  <c r="D469" i="7"/>
  <c r="F469" i="7"/>
  <c r="E469" i="7"/>
  <c r="G469" i="7"/>
  <c r="H469" i="7"/>
  <c r="L330" i="7"/>
  <c r="K469" i="7"/>
  <c r="M330" i="7"/>
  <c r="L469" i="7"/>
  <c r="N330" i="7"/>
  <c r="M469" i="7"/>
  <c r="O330" i="7"/>
  <c r="N469" i="7"/>
  <c r="P330" i="7"/>
  <c r="O469" i="7"/>
  <c r="P469" i="7"/>
  <c r="Q330" i="7"/>
  <c r="R330" i="7"/>
  <c r="Q469" i="7"/>
  <c r="S330" i="7"/>
  <c r="R469" i="7"/>
  <c r="T330" i="7"/>
  <c r="S469" i="7"/>
  <c r="T469" i="7"/>
  <c r="U330" i="7"/>
  <c r="V330" i="7"/>
  <c r="U469" i="7"/>
  <c r="V469" i="7"/>
  <c r="W330" i="7"/>
  <c r="X330" i="7"/>
  <c r="W469" i="7"/>
  <c r="Y330" i="7"/>
  <c r="X469" i="7"/>
  <c r="Z330" i="7"/>
  <c r="Y469" i="7"/>
  <c r="AA330" i="7"/>
  <c r="Z469" i="7"/>
  <c r="AB330" i="7"/>
  <c r="AA469" i="7"/>
  <c r="AC330" i="7"/>
  <c r="AB469" i="7"/>
  <c r="AD330" i="7"/>
  <c r="AC469" i="7"/>
  <c r="AE330" i="7"/>
  <c r="AD469" i="7"/>
  <c r="AF330" i="7"/>
  <c r="AE469" i="7"/>
  <c r="AG330" i="7"/>
  <c r="AF469" i="7"/>
  <c r="AH330" i="7"/>
  <c r="AG469" i="7"/>
  <c r="AI330" i="7"/>
  <c r="AH469" i="7"/>
  <c r="AI469" i="7"/>
  <c r="AJ330" i="7"/>
  <c r="AJ469" i="7"/>
  <c r="AK330" i="7"/>
  <c r="AK469" i="7"/>
  <c r="AL330" i="7"/>
  <c r="AM330" i="7"/>
  <c r="AL469" i="7"/>
  <c r="AM469" i="7"/>
  <c r="AN330" i="7"/>
  <c r="D353" i="7"/>
  <c r="F353" i="7"/>
  <c r="G353" i="7"/>
  <c r="E353" i="7"/>
  <c r="C353" i="7"/>
  <c r="G492" i="7"/>
  <c r="C492" i="7"/>
  <c r="H353" i="7"/>
  <c r="E492" i="7"/>
  <c r="F492" i="7"/>
  <c r="D492" i="7"/>
  <c r="I353" i="7"/>
  <c r="H492" i="7"/>
  <c r="I492" i="7"/>
  <c r="J353" i="7"/>
  <c r="J492" i="7"/>
  <c r="K353" i="7"/>
  <c r="L353" i="7"/>
  <c r="K492" i="7"/>
  <c r="L492" i="7"/>
  <c r="M353" i="7"/>
  <c r="M492" i="7"/>
  <c r="N353" i="7"/>
  <c r="N492" i="7"/>
  <c r="O353" i="7"/>
  <c r="P353" i="7"/>
  <c r="O492" i="7"/>
  <c r="Q353" i="7"/>
  <c r="P492" i="7"/>
  <c r="R353" i="7"/>
  <c r="Q492" i="7"/>
  <c r="R492" i="7"/>
  <c r="S353" i="7"/>
  <c r="T353" i="7"/>
  <c r="S492" i="7"/>
  <c r="U353" i="7"/>
  <c r="T492" i="7"/>
  <c r="V353" i="7"/>
  <c r="U492" i="7"/>
  <c r="V492" i="7"/>
  <c r="W353" i="7"/>
  <c r="X353" i="7"/>
  <c r="W492" i="7"/>
  <c r="Y353" i="7"/>
  <c r="X492" i="7"/>
  <c r="Z353" i="7"/>
  <c r="Y492" i="7"/>
  <c r="Z492" i="7"/>
  <c r="AA353" i="7"/>
  <c r="AA492" i="7"/>
  <c r="AB353" i="7"/>
  <c r="AC353" i="7"/>
  <c r="AB492" i="7"/>
  <c r="AD353" i="7"/>
  <c r="AC492" i="7"/>
  <c r="AE353" i="7"/>
  <c r="AD492" i="7"/>
  <c r="AF353" i="7"/>
  <c r="AE492" i="7"/>
  <c r="AF492" i="7"/>
  <c r="AG353" i="7"/>
  <c r="AG492" i="7"/>
  <c r="AH353" i="7"/>
  <c r="AH492" i="7"/>
  <c r="AI353" i="7"/>
  <c r="AJ353" i="7"/>
  <c r="AI492" i="7"/>
  <c r="AK353" i="7"/>
  <c r="AJ492" i="7"/>
  <c r="AK492" i="7"/>
  <c r="AL353" i="7"/>
  <c r="AL492" i="7"/>
  <c r="AM353" i="7"/>
  <c r="AM492" i="7"/>
  <c r="AN353" i="7"/>
  <c r="E384" i="7"/>
  <c r="D384" i="7"/>
  <c r="F384" i="7"/>
  <c r="L384" i="7"/>
  <c r="C384" i="7"/>
  <c r="K384" i="7"/>
  <c r="J384" i="7"/>
  <c r="I384" i="7"/>
  <c r="H384" i="7"/>
  <c r="G384" i="7"/>
  <c r="L523" i="7"/>
  <c r="M384" i="7"/>
  <c r="G523" i="7"/>
  <c r="C523" i="7"/>
  <c r="H523" i="7"/>
  <c r="F523" i="7"/>
  <c r="E523" i="7"/>
  <c r="I523" i="7"/>
  <c r="D523" i="7"/>
  <c r="J523" i="7"/>
  <c r="K523" i="7"/>
  <c r="M523" i="7"/>
  <c r="N384" i="7"/>
  <c r="O384" i="7"/>
  <c r="N523" i="7"/>
  <c r="O523" i="7"/>
  <c r="P384" i="7"/>
  <c r="Q384" i="7"/>
  <c r="P523" i="7"/>
  <c r="Q523" i="7"/>
  <c r="R384" i="7"/>
  <c r="R523" i="7"/>
  <c r="S384" i="7"/>
  <c r="S523" i="7"/>
  <c r="T384" i="7"/>
  <c r="U384" i="7"/>
  <c r="T523" i="7"/>
  <c r="U523" i="7"/>
  <c r="V384" i="7"/>
  <c r="W384" i="7"/>
  <c r="V523" i="7"/>
  <c r="W523" i="7"/>
  <c r="X384" i="7"/>
  <c r="X523" i="7"/>
  <c r="Y384" i="7"/>
  <c r="Y523" i="7"/>
  <c r="Z384" i="7"/>
  <c r="AA384" i="7"/>
  <c r="Z523" i="7"/>
  <c r="AA523" i="7"/>
  <c r="AB384" i="7"/>
  <c r="AC384" i="7"/>
  <c r="AB523" i="7"/>
  <c r="AD384" i="7"/>
  <c r="AC523" i="7"/>
  <c r="AE384" i="7"/>
  <c r="AD523" i="7"/>
  <c r="AE523" i="7"/>
  <c r="AF384" i="7"/>
  <c r="AF523" i="7"/>
  <c r="AG384" i="7"/>
  <c r="AG523" i="7"/>
  <c r="AH384" i="7"/>
  <c r="AH523" i="7"/>
  <c r="AI384" i="7"/>
  <c r="AJ384" i="7"/>
  <c r="AI523" i="7"/>
  <c r="AK384" i="7"/>
  <c r="AJ523" i="7"/>
  <c r="AK523" i="7"/>
  <c r="AL384" i="7"/>
  <c r="AM384" i="7"/>
  <c r="AL523" i="7"/>
  <c r="AM523" i="7"/>
  <c r="AN384" i="7"/>
  <c r="AO491" i="7"/>
  <c r="AO469" i="7"/>
  <c r="AO328" i="7"/>
  <c r="AO383" i="7"/>
  <c r="AN523" i="7"/>
  <c r="AN492" i="7"/>
  <c r="H331" i="7"/>
  <c r="G331" i="7"/>
  <c r="K331" i="7"/>
  <c r="F331" i="7"/>
  <c r="I331" i="7"/>
  <c r="J331" i="7"/>
  <c r="C331" i="7"/>
  <c r="D331" i="7"/>
  <c r="E331" i="7"/>
  <c r="G470" i="7"/>
  <c r="H470" i="7"/>
  <c r="D470" i="7"/>
  <c r="C470" i="7"/>
  <c r="I470" i="7"/>
  <c r="F470" i="7"/>
  <c r="L331" i="7"/>
  <c r="K470" i="7"/>
  <c r="J470" i="7"/>
  <c r="E470" i="7"/>
  <c r="L470" i="7"/>
  <c r="M331" i="7"/>
  <c r="M470" i="7"/>
  <c r="N331" i="7"/>
  <c r="N470" i="7"/>
  <c r="O331" i="7"/>
  <c r="O470" i="7"/>
  <c r="P331" i="7"/>
  <c r="P470" i="7"/>
  <c r="Q331" i="7"/>
  <c r="Q470" i="7"/>
  <c r="R331" i="7"/>
  <c r="R470" i="7"/>
  <c r="S331" i="7"/>
  <c r="S470" i="7"/>
  <c r="T331" i="7"/>
  <c r="U331" i="7"/>
  <c r="T470" i="7"/>
  <c r="V331" i="7"/>
  <c r="U470" i="7"/>
  <c r="V470" i="7"/>
  <c r="W331" i="7"/>
  <c r="X331" i="7"/>
  <c r="W470" i="7"/>
  <c r="X470" i="7"/>
  <c r="Y331" i="7"/>
  <c r="Y470" i="7"/>
  <c r="Z331" i="7"/>
  <c r="Z470" i="7"/>
  <c r="AA331" i="7"/>
  <c r="AB331" i="7"/>
  <c r="AA470" i="7"/>
  <c r="AB470" i="7"/>
  <c r="AC331" i="7"/>
  <c r="AC470" i="7"/>
  <c r="AD331" i="7"/>
  <c r="AE331" i="7"/>
  <c r="AD470" i="7"/>
  <c r="AF331" i="7"/>
  <c r="AE470" i="7"/>
  <c r="AG331" i="7"/>
  <c r="AF470" i="7"/>
  <c r="AH331" i="7"/>
  <c r="AG470" i="7"/>
  <c r="AI331" i="7"/>
  <c r="AH470" i="7"/>
  <c r="AJ331" i="7"/>
  <c r="AI470" i="7"/>
  <c r="AJ470" i="7"/>
  <c r="AK331" i="7"/>
  <c r="AK470" i="7"/>
  <c r="AL331" i="7"/>
  <c r="AM331" i="7"/>
  <c r="AL470" i="7"/>
  <c r="AM470" i="7"/>
  <c r="AN331" i="7"/>
  <c r="E354" i="7"/>
  <c r="C354" i="7"/>
  <c r="D354" i="7"/>
  <c r="G354" i="7"/>
  <c r="H354" i="7"/>
  <c r="F354" i="7"/>
  <c r="D493" i="7"/>
  <c r="C493" i="7"/>
  <c r="F493" i="7"/>
  <c r="G493" i="7"/>
  <c r="H493" i="7"/>
  <c r="E493" i="7"/>
  <c r="I354" i="7"/>
  <c r="J354" i="7"/>
  <c r="I493" i="7"/>
  <c r="K354" i="7"/>
  <c r="J493" i="7"/>
  <c r="K493" i="7"/>
  <c r="L354" i="7"/>
  <c r="L493" i="7"/>
  <c r="M354" i="7"/>
  <c r="N354" i="7"/>
  <c r="M493" i="7"/>
  <c r="N493" i="7"/>
  <c r="O354" i="7"/>
  <c r="P354" i="7"/>
  <c r="O493" i="7"/>
  <c r="P493" i="7"/>
  <c r="Q354" i="7"/>
  <c r="R354" i="7"/>
  <c r="Q493" i="7"/>
  <c r="S354" i="7"/>
  <c r="R493" i="7"/>
  <c r="T354" i="7"/>
  <c r="S493" i="7"/>
  <c r="T493" i="7"/>
  <c r="U354" i="7"/>
  <c r="U493" i="7"/>
  <c r="V354" i="7"/>
  <c r="W354" i="7"/>
  <c r="V493" i="7"/>
  <c r="X354" i="7"/>
  <c r="W493" i="7"/>
  <c r="X493" i="7"/>
  <c r="Y354" i="7"/>
  <c r="Y493" i="7"/>
  <c r="Z354" i="7"/>
  <c r="AA354" i="7"/>
  <c r="Z493" i="7"/>
  <c r="AA493" i="7"/>
  <c r="AB354" i="7"/>
  <c r="AB493" i="7"/>
  <c r="AC354" i="7"/>
  <c r="AC493" i="7"/>
  <c r="AD354" i="7"/>
  <c r="AE354" i="7"/>
  <c r="AD493" i="7"/>
  <c r="AE493" i="7"/>
  <c r="AF354" i="7"/>
  <c r="AG354" i="7"/>
  <c r="AF493" i="7"/>
  <c r="AH354" i="7"/>
  <c r="AG493" i="7"/>
  <c r="AI354" i="7"/>
  <c r="AH493" i="7"/>
  <c r="AI493" i="7"/>
  <c r="AJ354" i="7"/>
  <c r="AK354" i="7"/>
  <c r="AJ493" i="7"/>
  <c r="AL354" i="7"/>
  <c r="AK493" i="7"/>
  <c r="AM354" i="7"/>
  <c r="AL493" i="7"/>
  <c r="AM493" i="7"/>
  <c r="AN354" i="7"/>
  <c r="C377" i="7"/>
  <c r="C516" i="7"/>
  <c r="D377" i="7"/>
  <c r="F377" i="7"/>
  <c r="D516" i="7"/>
  <c r="E377" i="7"/>
  <c r="G377" i="7"/>
  <c r="E516" i="7"/>
  <c r="F516" i="7"/>
  <c r="G516" i="7"/>
  <c r="H377" i="7"/>
  <c r="I377" i="7"/>
  <c r="H516" i="7"/>
  <c r="J377" i="7"/>
  <c r="I516" i="7"/>
  <c r="J516" i="7"/>
  <c r="K377" i="7"/>
  <c r="L377" i="7"/>
  <c r="K516" i="7"/>
  <c r="L516" i="7"/>
  <c r="M377" i="7"/>
  <c r="M516" i="7"/>
  <c r="N377" i="7"/>
  <c r="N516" i="7"/>
  <c r="O377" i="7"/>
  <c r="P377" i="7"/>
  <c r="O516" i="7"/>
  <c r="Q377" i="7"/>
  <c r="P516" i="7"/>
  <c r="Q516" i="7"/>
  <c r="R377" i="7"/>
  <c r="R516" i="7"/>
  <c r="S377" i="7"/>
  <c r="S516" i="7"/>
  <c r="T377" i="7"/>
  <c r="U377" i="7"/>
  <c r="T516" i="7"/>
  <c r="U516" i="7"/>
  <c r="V377" i="7"/>
  <c r="V516" i="7"/>
  <c r="W377" i="7"/>
  <c r="X377" i="7"/>
  <c r="W516" i="7"/>
  <c r="Y377" i="7"/>
  <c r="X516" i="7"/>
  <c r="Y516" i="7"/>
  <c r="Z377" i="7"/>
  <c r="AA377" i="7"/>
  <c r="Z516" i="7"/>
  <c r="AB377" i="7"/>
  <c r="AA516" i="7"/>
  <c r="AC377" i="7"/>
  <c r="AB516" i="7"/>
  <c r="AC516" i="7"/>
  <c r="AD377" i="7"/>
  <c r="AD516" i="7"/>
  <c r="AE377" i="7"/>
  <c r="AE516" i="7"/>
  <c r="AF377" i="7"/>
  <c r="AG377" i="7"/>
  <c r="AF516" i="7"/>
  <c r="AH377" i="7"/>
  <c r="AG516" i="7"/>
  <c r="AI377" i="7"/>
  <c r="AH516" i="7"/>
  <c r="AJ377" i="7"/>
  <c r="AI516" i="7"/>
  <c r="AK377" i="7"/>
  <c r="AJ516" i="7"/>
  <c r="AL377" i="7"/>
  <c r="AK516" i="7"/>
  <c r="AL516" i="7"/>
  <c r="AM377" i="7"/>
  <c r="AN377" i="7"/>
  <c r="AM516" i="7"/>
  <c r="C385" i="7"/>
  <c r="L385" i="7"/>
  <c r="D385" i="7"/>
  <c r="I385" i="7"/>
  <c r="E385" i="7"/>
  <c r="K385" i="7"/>
  <c r="G385" i="7"/>
  <c r="F385" i="7"/>
  <c r="J385" i="7"/>
  <c r="H385" i="7"/>
  <c r="M385" i="7"/>
  <c r="F524" i="7"/>
  <c r="G524" i="7"/>
  <c r="K524" i="7"/>
  <c r="H524" i="7"/>
  <c r="D524" i="7"/>
  <c r="E524" i="7"/>
  <c r="L524" i="7"/>
  <c r="C524" i="7"/>
  <c r="J524" i="7"/>
  <c r="M524" i="7"/>
  <c r="N385" i="7"/>
  <c r="I524" i="7"/>
  <c r="N524" i="7"/>
  <c r="O385" i="7"/>
  <c r="O524" i="7"/>
  <c r="P385" i="7"/>
  <c r="P524" i="7"/>
  <c r="Q385" i="7"/>
  <c r="R385" i="7"/>
  <c r="Q524" i="7"/>
  <c r="S385" i="7"/>
  <c r="R524" i="7"/>
  <c r="T385" i="7"/>
  <c r="S524" i="7"/>
  <c r="T524" i="7"/>
  <c r="U385" i="7"/>
  <c r="V385" i="7"/>
  <c r="U524" i="7"/>
  <c r="W385" i="7"/>
  <c r="V524" i="7"/>
  <c r="W524" i="7"/>
  <c r="X385" i="7"/>
  <c r="X524" i="7"/>
  <c r="Y385" i="7"/>
  <c r="Y524" i="7"/>
  <c r="Z385" i="7"/>
  <c r="AA385" i="7"/>
  <c r="Z524" i="7"/>
  <c r="AB385" i="7"/>
  <c r="AA524" i="7"/>
  <c r="AB524" i="7"/>
  <c r="AC385" i="7"/>
  <c r="AC524" i="7"/>
  <c r="AD385" i="7"/>
  <c r="AD524" i="7"/>
  <c r="AE385" i="7"/>
  <c r="AF385" i="7"/>
  <c r="AE524" i="7"/>
  <c r="AF524" i="7"/>
  <c r="AG385" i="7"/>
  <c r="AH385" i="7"/>
  <c r="AG524" i="7"/>
  <c r="AH524" i="7"/>
  <c r="AI385" i="7"/>
  <c r="AJ385" i="7"/>
  <c r="AI524" i="7"/>
  <c r="AK385" i="7"/>
  <c r="AJ524" i="7"/>
  <c r="AL385" i="7"/>
  <c r="AK524" i="7"/>
  <c r="AL524" i="7"/>
  <c r="AM385" i="7"/>
  <c r="AN385" i="7"/>
  <c r="AM524" i="7"/>
  <c r="AO522" i="7"/>
  <c r="AO471" i="7"/>
  <c r="AO384" i="7"/>
  <c r="AO359" i="7"/>
  <c r="AO358" i="7"/>
  <c r="AN469" i="7"/>
  <c r="AO353" i="7"/>
  <c r="E355" i="7"/>
  <c r="I355" i="7"/>
  <c r="F355" i="7"/>
  <c r="H355" i="7"/>
  <c r="C355" i="7"/>
  <c r="G355" i="7"/>
  <c r="D355" i="7"/>
  <c r="C494" i="7"/>
  <c r="E494" i="7"/>
  <c r="J355" i="7"/>
  <c r="F494" i="7"/>
  <c r="H494" i="7"/>
  <c r="I494" i="7"/>
  <c r="D494" i="7"/>
  <c r="G494" i="7"/>
  <c r="J494" i="7"/>
  <c r="K355" i="7"/>
  <c r="K494" i="7"/>
  <c r="L355" i="7"/>
  <c r="L494" i="7"/>
  <c r="M355" i="7"/>
  <c r="N355" i="7"/>
  <c r="M494" i="7"/>
  <c r="O355" i="7"/>
  <c r="N494" i="7"/>
  <c r="P355" i="7"/>
  <c r="O494" i="7"/>
  <c r="P494" i="7"/>
  <c r="Q355" i="7"/>
  <c r="Q494" i="7"/>
  <c r="R355" i="7"/>
  <c r="S355" i="7"/>
  <c r="R494" i="7"/>
  <c r="T355" i="7"/>
  <c r="S494" i="7"/>
  <c r="U355" i="7"/>
  <c r="T494" i="7"/>
  <c r="V355" i="7"/>
  <c r="U494" i="7"/>
  <c r="V494" i="7"/>
  <c r="W355" i="7"/>
  <c r="X355" i="7"/>
  <c r="W494" i="7"/>
  <c r="X494" i="7"/>
  <c r="Y355" i="7"/>
  <c r="Y494" i="7"/>
  <c r="Z355" i="7"/>
  <c r="AA355" i="7"/>
  <c r="Z494" i="7"/>
  <c r="AB355" i="7"/>
  <c r="AA494" i="7"/>
  <c r="AC355" i="7"/>
  <c r="AB494" i="7"/>
  <c r="AC494" i="7"/>
  <c r="AD355" i="7"/>
  <c r="AE355" i="7"/>
  <c r="AD494" i="7"/>
  <c r="AE494" i="7"/>
  <c r="AF355" i="7"/>
  <c r="AG355" i="7"/>
  <c r="AF494" i="7"/>
  <c r="AG494" i="7"/>
  <c r="AH355" i="7"/>
  <c r="AH494" i="7"/>
  <c r="AI355" i="7"/>
  <c r="AJ355" i="7"/>
  <c r="AI494" i="7"/>
  <c r="AK355" i="7"/>
  <c r="AJ494" i="7"/>
  <c r="AL355" i="7"/>
  <c r="AK494" i="7"/>
  <c r="AM355" i="7"/>
  <c r="AL494" i="7"/>
  <c r="AM494" i="7"/>
  <c r="AN355" i="7"/>
  <c r="C325" i="7"/>
  <c r="D325" i="7"/>
  <c r="F325" i="7"/>
  <c r="E325" i="7"/>
  <c r="C464" i="7"/>
  <c r="D464" i="7"/>
  <c r="E464" i="7"/>
  <c r="F464" i="7"/>
  <c r="G325" i="7"/>
  <c r="G464" i="7"/>
  <c r="H325" i="7"/>
  <c r="I325" i="7"/>
  <c r="H464" i="7"/>
  <c r="I464" i="7"/>
  <c r="J325" i="7"/>
  <c r="K325" i="7"/>
  <c r="J464" i="7"/>
  <c r="K464" i="7"/>
  <c r="L325" i="7"/>
  <c r="L464" i="7"/>
  <c r="M325" i="7"/>
  <c r="N325" i="7"/>
  <c r="M464" i="7"/>
  <c r="O325" i="7"/>
  <c r="N464" i="7"/>
  <c r="O464" i="7"/>
  <c r="P325" i="7"/>
  <c r="Q325" i="7"/>
  <c r="P464" i="7"/>
  <c r="R325" i="7"/>
  <c r="Q464" i="7"/>
  <c r="S325" i="7"/>
  <c r="R464" i="7"/>
  <c r="T325" i="7"/>
  <c r="S464" i="7"/>
  <c r="T464" i="7"/>
  <c r="U325" i="7"/>
  <c r="U464" i="7"/>
  <c r="V325" i="7"/>
  <c r="W325" i="7"/>
  <c r="V464" i="7"/>
  <c r="X325" i="7"/>
  <c r="W464" i="7"/>
  <c r="X464" i="7"/>
  <c r="Y325" i="7"/>
  <c r="Y464" i="7"/>
  <c r="Z325" i="7"/>
  <c r="Z464" i="7"/>
  <c r="AA325" i="7"/>
  <c r="AB325" i="7"/>
  <c r="AA464" i="7"/>
  <c r="AB464" i="7"/>
  <c r="AC325" i="7"/>
  <c r="AD325" i="7"/>
  <c r="AC464" i="7"/>
  <c r="AD464" i="7"/>
  <c r="AE325" i="7"/>
  <c r="AE464" i="7"/>
  <c r="AF325" i="7"/>
  <c r="AF464" i="7"/>
  <c r="AG325" i="7"/>
  <c r="AH325" i="7"/>
  <c r="AG464" i="7"/>
  <c r="AI325" i="7"/>
  <c r="AH464" i="7"/>
  <c r="AI464" i="7"/>
  <c r="AJ325" i="7"/>
  <c r="AJ464" i="7"/>
  <c r="AK325" i="7"/>
  <c r="AL325" i="7"/>
  <c r="AK464" i="7"/>
  <c r="AM325" i="7"/>
  <c r="AL464" i="7"/>
  <c r="AM464" i="7"/>
  <c r="AN325" i="7"/>
  <c r="G333" i="7"/>
  <c r="C333" i="7"/>
  <c r="J333" i="7"/>
  <c r="H333" i="7"/>
  <c r="E333" i="7"/>
  <c r="L333" i="7"/>
  <c r="I333" i="7"/>
  <c r="F333" i="7"/>
  <c r="K333" i="7"/>
  <c r="M333" i="7"/>
  <c r="D333" i="7"/>
  <c r="K472" i="7"/>
  <c r="H472" i="7"/>
  <c r="M472" i="7"/>
  <c r="J472" i="7"/>
  <c r="N333" i="7"/>
  <c r="F472" i="7"/>
  <c r="D472" i="7"/>
  <c r="L472" i="7"/>
  <c r="E472" i="7"/>
  <c r="I472" i="7"/>
  <c r="G472" i="7"/>
  <c r="C472" i="7"/>
  <c r="O333" i="7"/>
  <c r="N472" i="7"/>
  <c r="O472" i="7"/>
  <c r="P333" i="7"/>
  <c r="P472" i="7"/>
  <c r="Q333" i="7"/>
  <c r="R333" i="7"/>
  <c r="Q472" i="7"/>
  <c r="R472" i="7"/>
  <c r="S333" i="7"/>
  <c r="T333" i="7"/>
  <c r="S472" i="7"/>
  <c r="U333" i="7"/>
  <c r="T472" i="7"/>
  <c r="U472" i="7"/>
  <c r="V333" i="7"/>
  <c r="V472" i="7"/>
  <c r="W333" i="7"/>
  <c r="X333" i="7"/>
  <c r="W472" i="7"/>
  <c r="Y333" i="7"/>
  <c r="X472" i="7"/>
  <c r="Z333" i="7"/>
  <c r="Y472" i="7"/>
  <c r="AA333" i="7"/>
  <c r="Z472" i="7"/>
  <c r="AB333" i="7"/>
  <c r="AA472" i="7"/>
  <c r="AC333" i="7"/>
  <c r="AB472" i="7"/>
  <c r="AD333" i="7"/>
  <c r="AC472" i="7"/>
  <c r="AE333" i="7"/>
  <c r="AD472" i="7"/>
  <c r="AF333" i="7"/>
  <c r="AE472" i="7"/>
  <c r="AF472" i="7"/>
  <c r="AG333" i="7"/>
  <c r="AG472" i="7"/>
  <c r="AH333" i="7"/>
  <c r="AH472" i="7"/>
  <c r="AI333" i="7"/>
  <c r="AJ333" i="7"/>
  <c r="AI472" i="7"/>
  <c r="AJ472" i="7"/>
  <c r="AK333" i="7"/>
  <c r="AL333" i="7"/>
  <c r="AK472" i="7"/>
  <c r="AM333" i="7"/>
  <c r="AL472" i="7"/>
  <c r="AM472" i="7"/>
  <c r="AN333" i="7"/>
  <c r="I356" i="7"/>
  <c r="E356" i="7"/>
  <c r="D356" i="7"/>
  <c r="F356" i="7"/>
  <c r="H356" i="7"/>
  <c r="J356" i="7"/>
  <c r="C356" i="7"/>
  <c r="G356" i="7"/>
  <c r="J495" i="7"/>
  <c r="K356" i="7"/>
  <c r="E495" i="7"/>
  <c r="G495" i="7"/>
  <c r="F495" i="7"/>
  <c r="I495" i="7"/>
  <c r="D495" i="7"/>
  <c r="C495" i="7"/>
  <c r="H495" i="7"/>
  <c r="L356" i="7"/>
  <c r="K495" i="7"/>
  <c r="L495" i="7"/>
  <c r="M356" i="7"/>
  <c r="N356" i="7"/>
  <c r="M495" i="7"/>
  <c r="O356" i="7"/>
  <c r="N495" i="7"/>
  <c r="P356" i="7"/>
  <c r="O495" i="7"/>
  <c r="P495" i="7"/>
  <c r="Q356" i="7"/>
  <c r="Q495" i="7"/>
  <c r="R356" i="7"/>
  <c r="S356" i="7"/>
  <c r="R495" i="7"/>
  <c r="S495" i="7"/>
  <c r="T356" i="7"/>
  <c r="T495" i="7"/>
  <c r="U356" i="7"/>
  <c r="U495" i="7"/>
  <c r="V356" i="7"/>
  <c r="W356" i="7"/>
  <c r="V495" i="7"/>
  <c r="W495" i="7"/>
  <c r="X356" i="7"/>
  <c r="X495" i="7"/>
  <c r="Y356" i="7"/>
  <c r="Y495" i="7"/>
  <c r="Z356" i="7"/>
  <c r="Z495" i="7"/>
  <c r="AA356" i="7"/>
  <c r="AA495" i="7"/>
  <c r="AB356" i="7"/>
  <c r="AB495" i="7"/>
  <c r="AC356" i="7"/>
  <c r="AC495" i="7"/>
  <c r="AD356" i="7"/>
  <c r="AE356" i="7"/>
  <c r="AD495" i="7"/>
  <c r="AF356" i="7"/>
  <c r="AE495" i="7"/>
  <c r="AG356" i="7"/>
  <c r="AF495" i="7"/>
  <c r="AG495" i="7"/>
  <c r="AH356" i="7"/>
  <c r="AI356" i="7"/>
  <c r="AH495" i="7"/>
  <c r="AJ356" i="7"/>
  <c r="AI495" i="7"/>
  <c r="AK356" i="7"/>
  <c r="AJ495" i="7"/>
  <c r="AK495" i="7"/>
  <c r="AL356" i="7"/>
  <c r="AM356" i="7"/>
  <c r="AL495" i="7"/>
  <c r="AM495" i="7"/>
  <c r="AN356" i="7"/>
  <c r="F379" i="7"/>
  <c r="G379" i="7"/>
  <c r="E379" i="7"/>
  <c r="C379" i="7"/>
  <c r="D379" i="7"/>
  <c r="F518" i="7"/>
  <c r="C518" i="7"/>
  <c r="D518" i="7"/>
  <c r="H379" i="7"/>
  <c r="E518" i="7"/>
  <c r="G518" i="7"/>
  <c r="I379" i="7"/>
  <c r="H518" i="7"/>
  <c r="I518" i="7"/>
  <c r="J379" i="7"/>
  <c r="J518" i="7"/>
  <c r="K379" i="7"/>
  <c r="K518" i="7"/>
  <c r="L379" i="7"/>
  <c r="M379" i="7"/>
  <c r="L518" i="7"/>
  <c r="N379" i="7"/>
  <c r="M518" i="7"/>
  <c r="O379" i="7"/>
  <c r="N518" i="7"/>
  <c r="P379" i="7"/>
  <c r="O518" i="7"/>
  <c r="P518" i="7"/>
  <c r="Q379" i="7"/>
  <c r="Q518" i="7"/>
  <c r="R379" i="7"/>
  <c r="S379" i="7"/>
  <c r="R518" i="7"/>
  <c r="S518" i="7"/>
  <c r="T379" i="7"/>
  <c r="U379" i="7"/>
  <c r="T518" i="7"/>
  <c r="V379" i="7"/>
  <c r="U518" i="7"/>
  <c r="V518" i="7"/>
  <c r="W379" i="7"/>
  <c r="W518" i="7"/>
  <c r="X379" i="7"/>
  <c r="X518" i="7"/>
  <c r="Y379" i="7"/>
  <c r="Y518" i="7"/>
  <c r="Z379" i="7"/>
  <c r="AA379" i="7"/>
  <c r="Z518" i="7"/>
  <c r="AB379" i="7"/>
  <c r="AA518" i="7"/>
  <c r="AC379" i="7"/>
  <c r="AB518" i="7"/>
  <c r="AD379" i="7"/>
  <c r="AC518" i="7"/>
  <c r="AE379" i="7"/>
  <c r="AD518" i="7"/>
  <c r="AF379" i="7"/>
  <c r="AE518" i="7"/>
  <c r="AG379" i="7"/>
  <c r="AF518" i="7"/>
  <c r="AG518" i="7"/>
  <c r="AH379" i="7"/>
  <c r="AI379" i="7"/>
  <c r="AH518" i="7"/>
  <c r="AI518" i="7"/>
  <c r="AJ379" i="7"/>
  <c r="AK379" i="7"/>
  <c r="AJ518" i="7"/>
  <c r="AK518" i="7"/>
  <c r="AL379" i="7"/>
  <c r="AM379" i="7"/>
  <c r="AL518" i="7"/>
  <c r="AN379" i="7"/>
  <c r="AM518" i="7"/>
  <c r="AO498" i="7"/>
  <c r="AN495" i="7"/>
  <c r="AN494" i="7"/>
  <c r="AO329" i="7"/>
  <c r="C332" i="7"/>
  <c r="F332" i="7"/>
  <c r="D332" i="7"/>
  <c r="L332" i="7"/>
  <c r="E332" i="7"/>
  <c r="I332" i="7"/>
  <c r="H332" i="7"/>
  <c r="J332" i="7"/>
  <c r="G332" i="7"/>
  <c r="K332" i="7"/>
  <c r="L471" i="7"/>
  <c r="D471" i="7"/>
  <c r="C471" i="7"/>
  <c r="E471" i="7"/>
  <c r="F471" i="7"/>
  <c r="H471" i="7"/>
  <c r="I471" i="7"/>
  <c r="M332" i="7"/>
  <c r="K471" i="7"/>
  <c r="J471" i="7"/>
  <c r="G471" i="7"/>
  <c r="M471" i="7"/>
  <c r="N332" i="7"/>
  <c r="O332" i="7"/>
  <c r="N471" i="7"/>
  <c r="P332" i="7"/>
  <c r="O471" i="7"/>
  <c r="Q332" i="7"/>
  <c r="P471" i="7"/>
  <c r="R332" i="7"/>
  <c r="Q471" i="7"/>
  <c r="R471" i="7"/>
  <c r="S332" i="7"/>
  <c r="S471" i="7"/>
  <c r="T332" i="7"/>
  <c r="T471" i="7"/>
  <c r="U332" i="7"/>
  <c r="U471" i="7"/>
  <c r="V332" i="7"/>
  <c r="V471" i="7"/>
  <c r="W332" i="7"/>
  <c r="W471" i="7"/>
  <c r="X332" i="7"/>
  <c r="Y332" i="7"/>
  <c r="X471" i="7"/>
  <c r="Y471" i="7"/>
  <c r="Z332" i="7"/>
  <c r="AA332" i="7"/>
  <c r="Z471" i="7"/>
  <c r="AB332" i="7"/>
  <c r="AA471" i="7"/>
  <c r="AC332" i="7"/>
  <c r="AB471" i="7"/>
  <c r="AC471" i="7"/>
  <c r="AD332" i="7"/>
  <c r="AD471" i="7"/>
  <c r="AE332" i="7"/>
  <c r="AF332" i="7"/>
  <c r="AE471" i="7"/>
  <c r="AF471" i="7"/>
  <c r="AG332" i="7"/>
  <c r="AG471" i="7"/>
  <c r="AH332" i="7"/>
  <c r="AI332" i="7"/>
  <c r="AH471" i="7"/>
  <c r="AJ332" i="7"/>
  <c r="AI471" i="7"/>
  <c r="AK332" i="7"/>
  <c r="AJ471" i="7"/>
  <c r="AK471" i="7"/>
  <c r="AL332" i="7"/>
  <c r="AM332" i="7"/>
  <c r="AL471" i="7"/>
  <c r="AM471" i="7"/>
  <c r="AN332" i="7"/>
  <c r="C326" i="7"/>
  <c r="D326" i="7"/>
  <c r="C465" i="7"/>
  <c r="E326" i="7"/>
  <c r="F326" i="7"/>
  <c r="G326" i="7"/>
  <c r="D465" i="7"/>
  <c r="G465" i="7"/>
  <c r="H326" i="7"/>
  <c r="F465" i="7"/>
  <c r="E465" i="7"/>
  <c r="H465" i="7"/>
  <c r="I326" i="7"/>
  <c r="J326" i="7"/>
  <c r="I465" i="7"/>
  <c r="J465" i="7"/>
  <c r="K326" i="7"/>
  <c r="K465" i="7"/>
  <c r="L326" i="7"/>
  <c r="L465" i="7"/>
  <c r="M326" i="7"/>
  <c r="N326" i="7"/>
  <c r="M465" i="7"/>
  <c r="N465" i="7"/>
  <c r="O326" i="7"/>
  <c r="P326" i="7"/>
  <c r="O465" i="7"/>
  <c r="Q326" i="7"/>
  <c r="P465" i="7"/>
  <c r="R326" i="7"/>
  <c r="Q465" i="7"/>
  <c r="R465" i="7"/>
  <c r="S326" i="7"/>
  <c r="T326" i="7"/>
  <c r="S465" i="7"/>
  <c r="U326" i="7"/>
  <c r="T465" i="7"/>
  <c r="V326" i="7"/>
  <c r="U465" i="7"/>
  <c r="W326" i="7"/>
  <c r="V465" i="7"/>
  <c r="W465" i="7"/>
  <c r="X326" i="7"/>
  <c r="Y326" i="7"/>
  <c r="X465" i="7"/>
  <c r="Z326" i="7"/>
  <c r="Y465" i="7"/>
  <c r="Z465" i="7"/>
  <c r="AA326" i="7"/>
  <c r="AA465" i="7"/>
  <c r="AB326" i="7"/>
  <c r="AC326" i="7"/>
  <c r="AB465" i="7"/>
  <c r="AD326" i="7"/>
  <c r="AC465" i="7"/>
  <c r="AE326" i="7"/>
  <c r="AD465" i="7"/>
  <c r="AE465" i="7"/>
  <c r="AF326" i="7"/>
  <c r="AG326" i="7"/>
  <c r="AF465" i="7"/>
  <c r="AH326" i="7"/>
  <c r="AG465" i="7"/>
  <c r="AH465" i="7"/>
  <c r="AI326" i="7"/>
  <c r="AI465" i="7"/>
  <c r="AJ326" i="7"/>
  <c r="AK326" i="7"/>
  <c r="AJ465" i="7"/>
  <c r="AK465" i="7"/>
  <c r="AL326" i="7"/>
  <c r="AM326" i="7"/>
  <c r="AL465" i="7"/>
  <c r="AN326" i="7"/>
  <c r="AM465" i="7"/>
  <c r="I357" i="7"/>
  <c r="H357" i="7"/>
  <c r="E357" i="7"/>
  <c r="C357" i="7"/>
  <c r="K357" i="7"/>
  <c r="D357" i="7"/>
  <c r="G357" i="7"/>
  <c r="J357" i="7"/>
  <c r="F357" i="7"/>
  <c r="C496" i="7"/>
  <c r="L357" i="7"/>
  <c r="J496" i="7"/>
  <c r="E496" i="7"/>
  <c r="H496" i="7"/>
  <c r="G496" i="7"/>
  <c r="F496" i="7"/>
  <c r="I496" i="7"/>
  <c r="K496" i="7"/>
  <c r="D496" i="7"/>
  <c r="L496" i="7"/>
  <c r="M357" i="7"/>
  <c r="N357" i="7"/>
  <c r="M496" i="7"/>
  <c r="N496" i="7"/>
  <c r="O357" i="7"/>
  <c r="O496" i="7"/>
  <c r="P357" i="7"/>
  <c r="P496" i="7"/>
  <c r="Q357" i="7"/>
  <c r="R357" i="7"/>
  <c r="Q496" i="7"/>
  <c r="R496" i="7"/>
  <c r="S357" i="7"/>
  <c r="T357" i="7"/>
  <c r="S496" i="7"/>
  <c r="U357" i="7"/>
  <c r="T496" i="7"/>
  <c r="U496" i="7"/>
  <c r="V357" i="7"/>
  <c r="V496" i="7"/>
  <c r="W357" i="7"/>
  <c r="X357" i="7"/>
  <c r="W496" i="7"/>
  <c r="Y357" i="7"/>
  <c r="X496" i="7"/>
  <c r="Z357" i="7"/>
  <c r="Y496" i="7"/>
  <c r="AA357" i="7"/>
  <c r="Z496" i="7"/>
  <c r="AA496" i="7"/>
  <c r="AB357" i="7"/>
  <c r="AC357" i="7"/>
  <c r="AB496" i="7"/>
  <c r="AD357" i="7"/>
  <c r="AC496" i="7"/>
  <c r="AE357" i="7"/>
  <c r="AD496" i="7"/>
  <c r="AE496" i="7"/>
  <c r="AF357" i="7"/>
  <c r="AF496" i="7"/>
  <c r="AG357" i="7"/>
  <c r="AH357" i="7"/>
  <c r="AG496" i="7"/>
  <c r="AH496" i="7"/>
  <c r="AI357" i="7"/>
  <c r="AJ357" i="7"/>
  <c r="AI496" i="7"/>
  <c r="AK357" i="7"/>
  <c r="AJ496" i="7"/>
  <c r="AL357" i="7"/>
  <c r="AK496" i="7"/>
  <c r="AL496" i="7"/>
  <c r="AM357" i="7"/>
  <c r="AM496" i="7"/>
  <c r="AN357" i="7"/>
  <c r="C380" i="7"/>
  <c r="E380" i="7"/>
  <c r="F380" i="7"/>
  <c r="H380" i="7"/>
  <c r="D380" i="7"/>
  <c r="G380" i="7"/>
  <c r="F519" i="7"/>
  <c r="G519" i="7"/>
  <c r="D519" i="7"/>
  <c r="E519" i="7"/>
  <c r="C519" i="7"/>
  <c r="I380" i="7"/>
  <c r="H519" i="7"/>
  <c r="I519" i="7"/>
  <c r="J380" i="7"/>
  <c r="K380" i="7"/>
  <c r="J519" i="7"/>
  <c r="K519" i="7"/>
  <c r="L380" i="7"/>
  <c r="L519" i="7"/>
  <c r="M380" i="7"/>
  <c r="N380" i="7"/>
  <c r="M519" i="7"/>
  <c r="O380" i="7"/>
  <c r="N519" i="7"/>
  <c r="O519" i="7"/>
  <c r="P380" i="7"/>
  <c r="Q380" i="7"/>
  <c r="P519" i="7"/>
  <c r="R380" i="7"/>
  <c r="Q519" i="7"/>
  <c r="R519" i="7"/>
  <c r="S380" i="7"/>
  <c r="T380" i="7"/>
  <c r="S519" i="7"/>
  <c r="U380" i="7"/>
  <c r="T519" i="7"/>
  <c r="V380" i="7"/>
  <c r="U519" i="7"/>
  <c r="V519" i="7"/>
  <c r="W380" i="7"/>
  <c r="X380" i="7"/>
  <c r="W519" i="7"/>
  <c r="Y380" i="7"/>
  <c r="X519" i="7"/>
  <c r="Y519" i="7"/>
  <c r="Z380" i="7"/>
  <c r="AA380" i="7"/>
  <c r="Z519" i="7"/>
  <c r="AA519" i="7"/>
  <c r="AB380" i="7"/>
  <c r="AB519" i="7"/>
  <c r="AC380" i="7"/>
  <c r="AC519" i="7"/>
  <c r="AD380" i="7"/>
  <c r="AE380" i="7"/>
  <c r="AD519" i="7"/>
  <c r="AE519" i="7"/>
  <c r="AF380" i="7"/>
  <c r="AG380" i="7"/>
  <c r="AF519" i="7"/>
  <c r="AG519" i="7"/>
  <c r="AH380" i="7"/>
  <c r="AH519" i="7"/>
  <c r="AI380" i="7"/>
  <c r="AJ380" i="7"/>
  <c r="AI519" i="7"/>
  <c r="AK380" i="7"/>
  <c r="AJ519" i="7"/>
  <c r="AL380" i="7"/>
  <c r="AK519" i="7"/>
  <c r="AM380" i="7"/>
  <c r="AL519" i="7"/>
  <c r="AN380" i="7"/>
  <c r="AM519" i="7"/>
  <c r="AO523" i="7"/>
  <c r="AO494" i="7"/>
  <c r="AN522" i="7"/>
  <c r="AN464" i="7"/>
  <c r="AN524" i="7"/>
  <c r="AO356" i="7"/>
  <c r="AO379" i="7"/>
  <c r="E327" i="7"/>
  <c r="C327" i="7"/>
  <c r="D327" i="7"/>
  <c r="F327" i="7"/>
  <c r="G327" i="7"/>
  <c r="G466" i="7"/>
  <c r="E466" i="7"/>
  <c r="F466" i="7"/>
  <c r="C466" i="7"/>
  <c r="H327" i="7"/>
  <c r="D466" i="7"/>
  <c r="I327" i="7"/>
  <c r="H466" i="7"/>
  <c r="J327" i="7"/>
  <c r="I466" i="7"/>
  <c r="K327" i="7"/>
  <c r="J466" i="7"/>
  <c r="L327" i="7"/>
  <c r="K466" i="7"/>
  <c r="L466" i="7"/>
  <c r="M327" i="7"/>
  <c r="N327" i="7"/>
  <c r="M466" i="7"/>
  <c r="O327" i="7"/>
  <c r="N466" i="7"/>
  <c r="P327" i="7"/>
  <c r="O466" i="7"/>
  <c r="P466" i="7"/>
  <c r="Q327" i="7"/>
  <c r="Q466" i="7"/>
  <c r="R327" i="7"/>
  <c r="S327" i="7"/>
  <c r="R466" i="7"/>
  <c r="T327" i="7"/>
  <c r="S466" i="7"/>
  <c r="U327" i="7"/>
  <c r="T466" i="7"/>
  <c r="V327" i="7"/>
  <c r="U466" i="7"/>
  <c r="V466" i="7"/>
  <c r="W327" i="7"/>
  <c r="W466" i="7"/>
  <c r="X327" i="7"/>
  <c r="X466" i="7"/>
  <c r="Y327" i="7"/>
  <c r="Y466" i="7"/>
  <c r="Z327" i="7"/>
  <c r="AA327" i="7"/>
  <c r="Z466" i="7"/>
  <c r="AA466" i="7"/>
  <c r="AB327" i="7"/>
  <c r="AB466" i="7"/>
  <c r="AC327" i="7"/>
  <c r="AC466" i="7"/>
  <c r="AD327" i="7"/>
  <c r="AE327" i="7"/>
  <c r="AD466" i="7"/>
  <c r="AF327" i="7"/>
  <c r="AE466" i="7"/>
  <c r="AF466" i="7"/>
  <c r="AG327" i="7"/>
  <c r="AG466" i="7"/>
  <c r="AH327" i="7"/>
  <c r="AH466" i="7"/>
  <c r="AI327" i="7"/>
  <c r="AJ327" i="7"/>
  <c r="AI466" i="7"/>
  <c r="AJ466" i="7"/>
  <c r="AK327" i="7"/>
  <c r="AK466" i="7"/>
  <c r="AL327" i="7"/>
  <c r="AL466" i="7"/>
  <c r="AM327" i="7"/>
  <c r="AM466" i="7"/>
  <c r="AN327" i="7"/>
  <c r="K358" i="7"/>
  <c r="L358" i="7"/>
  <c r="E358" i="7"/>
  <c r="F358" i="7"/>
  <c r="J358" i="7"/>
  <c r="C358" i="7"/>
  <c r="D358" i="7"/>
  <c r="G358" i="7"/>
  <c r="I358" i="7"/>
  <c r="H358" i="7"/>
  <c r="K497" i="7"/>
  <c r="I497" i="7"/>
  <c r="H497" i="7"/>
  <c r="E497" i="7"/>
  <c r="G497" i="7"/>
  <c r="L497" i="7"/>
  <c r="J497" i="7"/>
  <c r="D497" i="7"/>
  <c r="C497" i="7"/>
  <c r="M358" i="7"/>
  <c r="F497" i="7"/>
  <c r="M497" i="7"/>
  <c r="N358" i="7"/>
  <c r="O358" i="7"/>
  <c r="N497" i="7"/>
  <c r="P358" i="7"/>
  <c r="O497" i="7"/>
  <c r="P497" i="7"/>
  <c r="Q358" i="7"/>
  <c r="R358" i="7"/>
  <c r="Q497" i="7"/>
  <c r="R497" i="7"/>
  <c r="S358" i="7"/>
  <c r="T358" i="7"/>
  <c r="S497" i="7"/>
  <c r="T497" i="7"/>
  <c r="U358" i="7"/>
  <c r="U497" i="7"/>
  <c r="V358" i="7"/>
  <c r="V497" i="7"/>
  <c r="W358" i="7"/>
  <c r="W497" i="7"/>
  <c r="X358" i="7"/>
  <c r="X497" i="7"/>
  <c r="Y358" i="7"/>
  <c r="Y497" i="7"/>
  <c r="Z358" i="7"/>
  <c r="Z497" i="7"/>
  <c r="AA358" i="7"/>
  <c r="AA497" i="7"/>
  <c r="AB358" i="7"/>
  <c r="AB497" i="7"/>
  <c r="AC358" i="7"/>
  <c r="AD358" i="7"/>
  <c r="AC497" i="7"/>
  <c r="AE358" i="7"/>
  <c r="AD497" i="7"/>
  <c r="AF358" i="7"/>
  <c r="AE497" i="7"/>
  <c r="AG358" i="7"/>
  <c r="AF497" i="7"/>
  <c r="AH358" i="7"/>
  <c r="AG497" i="7"/>
  <c r="AI358" i="7"/>
  <c r="AH497" i="7"/>
  <c r="AI497" i="7"/>
  <c r="AJ358" i="7"/>
  <c r="AJ497" i="7"/>
  <c r="AK358" i="7"/>
  <c r="AK497" i="7"/>
  <c r="AL358" i="7"/>
  <c r="AM358" i="7"/>
  <c r="AL497" i="7"/>
  <c r="AM497" i="7"/>
  <c r="AN358" i="7"/>
  <c r="E381" i="7"/>
  <c r="F381" i="7"/>
  <c r="D381" i="7"/>
  <c r="G381" i="7"/>
  <c r="H381" i="7"/>
  <c r="I381" i="7"/>
  <c r="C381" i="7"/>
  <c r="F520" i="7"/>
  <c r="C520" i="7"/>
  <c r="E520" i="7"/>
  <c r="J381" i="7"/>
  <c r="I520" i="7"/>
  <c r="H520" i="7"/>
  <c r="G520" i="7"/>
  <c r="D520" i="7"/>
  <c r="J520" i="7"/>
  <c r="K381" i="7"/>
  <c r="K520" i="7"/>
  <c r="L381" i="7"/>
  <c r="M381" i="7"/>
  <c r="L520" i="7"/>
  <c r="M520" i="7"/>
  <c r="N381" i="7"/>
  <c r="O381" i="7"/>
  <c r="N520" i="7"/>
  <c r="P381" i="7"/>
  <c r="O520" i="7"/>
  <c r="P520" i="7"/>
  <c r="Q381" i="7"/>
  <c r="R381" i="7"/>
  <c r="Q520" i="7"/>
  <c r="R520" i="7"/>
  <c r="S381" i="7"/>
  <c r="S520" i="7"/>
  <c r="T381" i="7"/>
  <c r="T520" i="7"/>
  <c r="U381" i="7"/>
  <c r="V381" i="7"/>
  <c r="U520" i="7"/>
  <c r="V520" i="7"/>
  <c r="W381" i="7"/>
  <c r="X381" i="7"/>
  <c r="W520" i="7"/>
  <c r="Y381" i="7"/>
  <c r="X520" i="7"/>
  <c r="Z381" i="7"/>
  <c r="Y520" i="7"/>
  <c r="Z520" i="7"/>
  <c r="AA381" i="7"/>
  <c r="AB381" i="7"/>
  <c r="AA520" i="7"/>
  <c r="AC381" i="7"/>
  <c r="AB520" i="7"/>
  <c r="AC520" i="7"/>
  <c r="AD381" i="7"/>
  <c r="AE381" i="7"/>
  <c r="AD520" i="7"/>
  <c r="AE520" i="7"/>
  <c r="AF381" i="7"/>
  <c r="AG381" i="7"/>
  <c r="AF520" i="7"/>
  <c r="AG520" i="7"/>
  <c r="AH381" i="7"/>
  <c r="AI381" i="7"/>
  <c r="AH520" i="7"/>
  <c r="AJ381" i="7"/>
  <c r="AI520" i="7"/>
  <c r="AJ520" i="7"/>
  <c r="AK381" i="7"/>
  <c r="AL381" i="7"/>
  <c r="AK520" i="7"/>
  <c r="AL520" i="7"/>
  <c r="AM381" i="7"/>
  <c r="AM520" i="7"/>
  <c r="AN381" i="7"/>
  <c r="AO519" i="7"/>
  <c r="AO490" i="7"/>
  <c r="AO385" i="7"/>
  <c r="AN519" i="7"/>
  <c r="AO381" i="7"/>
  <c r="AO332" i="7"/>
  <c r="AO355" i="7"/>
  <c r="AO354" i="7"/>
  <c r="AN471" i="7"/>
  <c r="C378" i="7"/>
  <c r="F378" i="7"/>
  <c r="C517" i="7"/>
  <c r="E378" i="7"/>
  <c r="D378" i="7"/>
  <c r="D517" i="7"/>
  <c r="E517" i="7"/>
  <c r="F517" i="7"/>
  <c r="G378" i="7"/>
  <c r="G517" i="7"/>
  <c r="H378" i="7"/>
  <c r="I378" i="7"/>
  <c r="H517" i="7"/>
  <c r="I517" i="7"/>
  <c r="J378" i="7"/>
  <c r="J517" i="7"/>
  <c r="K378" i="7"/>
  <c r="L378" i="7"/>
  <c r="K517" i="7"/>
  <c r="M378" i="7"/>
  <c r="L517" i="7"/>
  <c r="M517" i="7"/>
  <c r="N378" i="7"/>
  <c r="N517" i="7"/>
  <c r="O378" i="7"/>
  <c r="P378" i="7"/>
  <c r="O517" i="7"/>
  <c r="Q378" i="7"/>
  <c r="P517" i="7"/>
  <c r="R378" i="7"/>
  <c r="Q517" i="7"/>
  <c r="S378" i="7"/>
  <c r="R517" i="7"/>
  <c r="S517" i="7"/>
  <c r="T378" i="7"/>
  <c r="T517" i="7"/>
  <c r="U378" i="7"/>
  <c r="U517" i="7"/>
  <c r="V378" i="7"/>
  <c r="V517" i="7"/>
  <c r="W378" i="7"/>
  <c r="X378" i="7"/>
  <c r="W517" i="7"/>
  <c r="X517" i="7"/>
  <c r="Y378" i="7"/>
  <c r="Y517" i="7"/>
  <c r="Z378" i="7"/>
  <c r="AA378" i="7"/>
  <c r="Z517" i="7"/>
  <c r="AA517" i="7"/>
  <c r="AB378" i="7"/>
  <c r="AC378" i="7"/>
  <c r="AB517" i="7"/>
  <c r="AD378" i="7"/>
  <c r="AC517" i="7"/>
  <c r="AE378" i="7"/>
  <c r="AD517" i="7"/>
  <c r="AE517" i="7"/>
  <c r="AF378" i="7"/>
  <c r="AG378" i="7"/>
  <c r="AF517" i="7"/>
  <c r="AH378" i="7"/>
  <c r="AG517" i="7"/>
  <c r="AI378" i="7"/>
  <c r="AH517" i="7"/>
  <c r="AJ378" i="7"/>
  <c r="AI517" i="7"/>
  <c r="AK378" i="7"/>
  <c r="AJ517" i="7"/>
  <c r="AL378" i="7"/>
  <c r="AK517" i="7"/>
  <c r="AM378" i="7"/>
  <c r="AL517" i="7"/>
  <c r="AN378" i="7"/>
  <c r="AM517" i="7"/>
  <c r="C328" i="7"/>
  <c r="F328" i="7"/>
  <c r="E328" i="7"/>
  <c r="G328" i="7"/>
  <c r="H328" i="7"/>
  <c r="D328" i="7"/>
  <c r="I328" i="7"/>
  <c r="F467" i="7"/>
  <c r="D467" i="7"/>
  <c r="C467" i="7"/>
  <c r="G467" i="7"/>
  <c r="H467" i="7"/>
  <c r="E467" i="7"/>
  <c r="I467" i="7"/>
  <c r="J328" i="7"/>
  <c r="J467" i="7"/>
  <c r="K328" i="7"/>
  <c r="L328" i="7"/>
  <c r="K467" i="7"/>
  <c r="L467" i="7"/>
  <c r="M328" i="7"/>
  <c r="M467" i="7"/>
  <c r="N328" i="7"/>
  <c r="N467" i="7"/>
  <c r="O328" i="7"/>
  <c r="O467" i="7"/>
  <c r="P328" i="7"/>
  <c r="P467" i="7"/>
  <c r="Q328" i="7"/>
  <c r="R328" i="7"/>
  <c r="Q467" i="7"/>
  <c r="R467" i="7"/>
  <c r="S328" i="7"/>
  <c r="T328" i="7"/>
  <c r="S467" i="7"/>
  <c r="T467" i="7"/>
  <c r="U328" i="7"/>
  <c r="U467" i="7"/>
  <c r="V328" i="7"/>
  <c r="V467" i="7"/>
  <c r="W328" i="7"/>
  <c r="W467" i="7"/>
  <c r="X328" i="7"/>
  <c r="Y328" i="7"/>
  <c r="X467" i="7"/>
  <c r="Y467" i="7"/>
  <c r="Z328" i="7"/>
  <c r="AA328" i="7"/>
  <c r="Z467" i="7"/>
  <c r="AA467" i="7"/>
  <c r="AB328" i="7"/>
  <c r="AC328" i="7"/>
  <c r="AB467" i="7"/>
  <c r="AD328" i="7"/>
  <c r="AC467" i="7"/>
  <c r="AE328" i="7"/>
  <c r="AD467" i="7"/>
  <c r="AF328" i="7"/>
  <c r="AE467" i="7"/>
  <c r="AF467" i="7"/>
  <c r="AG328" i="7"/>
  <c r="AG467" i="7"/>
  <c r="AH328" i="7"/>
  <c r="AI328" i="7"/>
  <c r="AH467" i="7"/>
  <c r="AJ328" i="7"/>
  <c r="AI467" i="7"/>
  <c r="AJ467" i="7"/>
  <c r="AK328" i="7"/>
  <c r="AK467" i="7"/>
  <c r="AL328" i="7"/>
  <c r="AL467" i="7"/>
  <c r="AM328" i="7"/>
  <c r="AM467" i="7"/>
  <c r="AN328" i="7"/>
  <c r="C351" i="7"/>
  <c r="C490" i="7"/>
  <c r="F351" i="7"/>
  <c r="E351" i="7"/>
  <c r="D351" i="7"/>
  <c r="F490" i="7"/>
  <c r="G351" i="7"/>
  <c r="D490" i="7"/>
  <c r="E490" i="7"/>
  <c r="H351" i="7"/>
  <c r="G490" i="7"/>
  <c r="H490" i="7"/>
  <c r="I351" i="7"/>
  <c r="I490" i="7"/>
  <c r="J351" i="7"/>
  <c r="J490" i="7"/>
  <c r="K351" i="7"/>
  <c r="L351" i="7"/>
  <c r="K490" i="7"/>
  <c r="L490" i="7"/>
  <c r="M351" i="7"/>
  <c r="N351" i="7"/>
  <c r="M490" i="7"/>
  <c r="O351" i="7"/>
  <c r="N490" i="7"/>
  <c r="P351" i="7"/>
  <c r="O490" i="7"/>
  <c r="Q351" i="7"/>
  <c r="P490" i="7"/>
  <c r="Q490" i="7"/>
  <c r="R351" i="7"/>
  <c r="R490" i="7"/>
  <c r="S351" i="7"/>
  <c r="S490" i="7"/>
  <c r="T351" i="7"/>
  <c r="T490" i="7"/>
  <c r="U351" i="7"/>
  <c r="U490" i="7"/>
  <c r="V351" i="7"/>
  <c r="V490" i="7"/>
  <c r="W351" i="7"/>
  <c r="X351" i="7"/>
  <c r="W490" i="7"/>
  <c r="Y351" i="7"/>
  <c r="X490" i="7"/>
  <c r="Y490" i="7"/>
  <c r="Z351" i="7"/>
  <c r="Z490" i="7"/>
  <c r="AA351" i="7"/>
  <c r="AA490" i="7"/>
  <c r="AB351" i="7"/>
  <c r="AB490" i="7"/>
  <c r="AC351" i="7"/>
  <c r="AC490" i="7"/>
  <c r="AD351" i="7"/>
  <c r="AD490" i="7"/>
  <c r="AE351" i="7"/>
  <c r="AF351" i="7"/>
  <c r="AE490" i="7"/>
  <c r="AG351" i="7"/>
  <c r="AF490" i="7"/>
  <c r="AH351" i="7"/>
  <c r="AG490" i="7"/>
  <c r="AI351" i="7"/>
  <c r="AH490" i="7"/>
  <c r="AJ351" i="7"/>
  <c r="AI490" i="7"/>
  <c r="AK351" i="7"/>
  <c r="AJ490" i="7"/>
  <c r="AK490" i="7"/>
  <c r="AL351" i="7"/>
  <c r="AM351" i="7"/>
  <c r="AL490" i="7"/>
  <c r="AM490" i="7"/>
  <c r="AN351" i="7"/>
  <c r="C359" i="7"/>
  <c r="M359" i="7"/>
  <c r="G359" i="7"/>
  <c r="D359" i="7"/>
  <c r="F359" i="7"/>
  <c r="L359" i="7"/>
  <c r="I359" i="7"/>
  <c r="J359" i="7"/>
  <c r="H359" i="7"/>
  <c r="E359" i="7"/>
  <c r="K359" i="7"/>
  <c r="J498" i="7"/>
  <c r="M498" i="7"/>
  <c r="C498" i="7"/>
  <c r="K498" i="7"/>
  <c r="I498" i="7"/>
  <c r="L498" i="7"/>
  <c r="N359" i="7"/>
  <c r="E498" i="7"/>
  <c r="F498" i="7"/>
  <c r="D498" i="7"/>
  <c r="H498" i="7"/>
  <c r="G498" i="7"/>
  <c r="O359" i="7"/>
  <c r="N498" i="7"/>
  <c r="O498" i="7"/>
  <c r="P359" i="7"/>
  <c r="P498" i="7"/>
  <c r="Q359" i="7"/>
  <c r="Q498" i="7"/>
  <c r="R359" i="7"/>
  <c r="S359" i="7"/>
  <c r="R498" i="7"/>
  <c r="T359" i="7"/>
  <c r="S498" i="7"/>
  <c r="T498" i="7"/>
  <c r="U359" i="7"/>
  <c r="U498" i="7"/>
  <c r="V359" i="7"/>
  <c r="W359" i="7"/>
  <c r="V498" i="7"/>
  <c r="W498" i="7"/>
  <c r="X359" i="7"/>
  <c r="Y359" i="7"/>
  <c r="X498" i="7"/>
  <c r="Y498" i="7"/>
  <c r="Z359" i="7"/>
  <c r="Z498" i="7"/>
  <c r="AA359" i="7"/>
  <c r="AA498" i="7"/>
  <c r="AB359" i="7"/>
  <c r="AC359" i="7"/>
  <c r="AB498" i="7"/>
  <c r="AD359" i="7"/>
  <c r="AC498" i="7"/>
  <c r="AD498" i="7"/>
  <c r="AE359" i="7"/>
  <c r="AF359" i="7"/>
  <c r="AE498" i="7"/>
  <c r="AG359" i="7"/>
  <c r="AF498" i="7"/>
  <c r="AG498" i="7"/>
  <c r="AH359" i="7"/>
  <c r="AH498" i="7"/>
  <c r="AI359" i="7"/>
  <c r="AI498" i="7"/>
  <c r="AJ359" i="7"/>
  <c r="AK359" i="7"/>
  <c r="AJ498" i="7"/>
  <c r="AL359" i="7"/>
  <c r="AK498" i="7"/>
  <c r="AM359" i="7"/>
  <c r="AL498" i="7"/>
  <c r="AM498" i="7"/>
  <c r="AN359" i="7"/>
  <c r="J382" i="7"/>
  <c r="F382" i="7"/>
  <c r="H382" i="7"/>
  <c r="D382" i="7"/>
  <c r="G382" i="7"/>
  <c r="C382" i="7"/>
  <c r="E382" i="7"/>
  <c r="I382" i="7"/>
  <c r="J521" i="7"/>
  <c r="C521" i="7"/>
  <c r="G521" i="7"/>
  <c r="F521" i="7"/>
  <c r="D521" i="7"/>
  <c r="I521" i="7"/>
  <c r="K382" i="7"/>
  <c r="E521" i="7"/>
  <c r="H521" i="7"/>
  <c r="L382" i="7"/>
  <c r="K521" i="7"/>
  <c r="L521" i="7"/>
  <c r="M382" i="7"/>
  <c r="M521" i="7"/>
  <c r="N382" i="7"/>
  <c r="O382" i="7"/>
  <c r="N521" i="7"/>
  <c r="P382" i="7"/>
  <c r="O521" i="7"/>
  <c r="P521" i="7"/>
  <c r="Q382" i="7"/>
  <c r="Q521" i="7"/>
  <c r="R382" i="7"/>
  <c r="S382" i="7"/>
  <c r="R521" i="7"/>
  <c r="T382" i="7"/>
  <c r="S521" i="7"/>
  <c r="U382" i="7"/>
  <c r="T521" i="7"/>
  <c r="V382" i="7"/>
  <c r="U521" i="7"/>
  <c r="W382" i="7"/>
  <c r="V521" i="7"/>
  <c r="X382" i="7"/>
  <c r="W521" i="7"/>
  <c r="X521" i="7"/>
  <c r="Y382" i="7"/>
  <c r="Y521" i="7"/>
  <c r="Z382" i="7"/>
  <c r="AA382" i="7"/>
  <c r="Z521" i="7"/>
  <c r="AB382" i="7"/>
  <c r="AA521" i="7"/>
  <c r="AC382" i="7"/>
  <c r="AB521" i="7"/>
  <c r="AC521" i="7"/>
  <c r="AD382" i="7"/>
  <c r="AE382" i="7"/>
  <c r="AD521" i="7"/>
  <c r="AF382" i="7"/>
  <c r="AE521" i="7"/>
  <c r="AG382" i="7"/>
  <c r="AF521" i="7"/>
  <c r="AH382" i="7"/>
  <c r="AG521" i="7"/>
  <c r="AI382" i="7"/>
  <c r="AH521" i="7"/>
  <c r="AJ382" i="7"/>
  <c r="AI521" i="7"/>
  <c r="AJ521" i="7"/>
  <c r="AK382" i="7"/>
  <c r="AL382" i="7"/>
  <c r="AK521" i="7"/>
  <c r="AM382" i="7"/>
  <c r="AL521" i="7"/>
  <c r="AM521" i="7"/>
  <c r="AN382" i="7"/>
  <c r="AO470" i="7"/>
  <c r="AO377" i="7"/>
  <c r="AN468" i="7"/>
  <c r="AN496" i="7"/>
  <c r="AO357" i="7"/>
  <c r="AO327" i="7"/>
  <c r="AO331" i="7"/>
  <c r="AO330" i="7"/>
  <c r="AN516" i="7"/>
  <c r="AN111" i="7"/>
  <c r="AN112" i="7" s="1"/>
  <c r="B288" i="7" a="1"/>
  <c r="B288" i="7" s="1"/>
  <c r="B290" i="7" a="1"/>
  <c r="B290" i="7" s="1"/>
  <c r="B292" i="7" a="1"/>
  <c r="B292" i="7" s="1"/>
  <c r="B427" i="7" a="1"/>
  <c r="B427" i="7" s="1"/>
  <c r="B429" i="7" a="1"/>
  <c r="B429" i="7" s="1"/>
  <c r="B431" i="7" a="1"/>
  <c r="B431" i="7" s="1"/>
  <c r="B289" i="7" a="1"/>
  <c r="B289" i="7" s="1"/>
  <c r="B291" i="7" a="1"/>
  <c r="B291" i="7" s="1"/>
  <c r="B426" i="7" a="1"/>
  <c r="B426" i="7" s="1"/>
  <c r="B428" i="7" a="1"/>
  <c r="B428" i="7" s="1"/>
  <c r="B430" i="7" a="1"/>
  <c r="B430" i="7" s="1"/>
  <c r="AP606" i="7"/>
  <c r="AP608" i="7" s="1"/>
  <c r="R729" i="7"/>
  <c r="S729" i="7"/>
  <c r="T729" i="7"/>
  <c r="U729" i="7"/>
  <c r="V729" i="7"/>
  <c r="AL733" i="7"/>
  <c r="AM733" i="7"/>
  <c r="AN733" i="7"/>
  <c r="AO733" i="7"/>
  <c r="W730" i="7"/>
  <c r="X730" i="7"/>
  <c r="Y730" i="7"/>
  <c r="Z730" i="7"/>
  <c r="AA730" i="7"/>
  <c r="AP733" i="7"/>
  <c r="I727" i="7"/>
  <c r="J727" i="7"/>
  <c r="K727" i="7"/>
  <c r="L727" i="7"/>
  <c r="AB731" i="7"/>
  <c r="AC731" i="7"/>
  <c r="AD731" i="7"/>
  <c r="AE731" i="7"/>
  <c r="AF731" i="7"/>
  <c r="M728" i="7"/>
  <c r="N728" i="7"/>
  <c r="O728" i="7"/>
  <c r="P728" i="7"/>
  <c r="Q728" i="7"/>
  <c r="AG732" i="7"/>
  <c r="AH732" i="7"/>
  <c r="AI732" i="7"/>
  <c r="AJ732" i="7"/>
  <c r="AK732" i="7"/>
  <c r="AP316" i="7"/>
  <c r="AP327" i="7" s="1"/>
  <c r="AP366" i="7"/>
  <c r="AP378" i="7" s="1"/>
  <c r="AP368" i="7"/>
  <c r="AP372" i="7"/>
  <c r="AP321" i="7"/>
  <c r="AP332" i="7" s="1"/>
  <c r="AP370" i="7"/>
  <c r="AP339" i="7"/>
  <c r="AP351" i="7" s="1"/>
  <c r="AP341" i="7"/>
  <c r="AP343" i="7"/>
  <c r="AP355" i="7" s="1"/>
  <c r="AP319" i="7"/>
  <c r="AP317" i="7"/>
  <c r="AP345" i="7"/>
  <c r="AP357" i="7" s="1"/>
  <c r="AP315" i="7"/>
  <c r="AP344" i="7"/>
  <c r="AP322" i="7"/>
  <c r="AP369" i="7"/>
  <c r="AP314" i="7"/>
  <c r="AP325" i="7" s="1"/>
  <c r="AP340" i="7"/>
  <c r="AP365" i="7"/>
  <c r="AP373" i="7"/>
  <c r="AP320" i="7"/>
  <c r="AP318" i="7"/>
  <c r="AP342" i="7"/>
  <c r="AP354" i="7" s="1"/>
  <c r="AP346" i="7"/>
  <c r="AP367" i="7"/>
  <c r="AP371" i="7"/>
  <c r="AP383" i="7" s="1"/>
  <c r="AP205" i="7"/>
  <c r="AP168" i="7"/>
  <c r="AP78" i="7"/>
  <c r="AP727" i="7"/>
  <c r="F727" i="7"/>
  <c r="G727" i="7"/>
  <c r="H727" i="7"/>
  <c r="L729" i="7"/>
  <c r="M729" i="7"/>
  <c r="N729" i="7"/>
  <c r="R731" i="7"/>
  <c r="S731" i="7"/>
  <c r="T731" i="7"/>
  <c r="X733" i="7"/>
  <c r="Y733" i="7"/>
  <c r="Z733" i="7"/>
  <c r="AD735" i="7"/>
  <c r="AE735" i="7"/>
  <c r="AF735" i="7"/>
  <c r="I728" i="7"/>
  <c r="J728" i="7"/>
  <c r="K728" i="7"/>
  <c r="O730" i="7"/>
  <c r="P730" i="7"/>
  <c r="Q730" i="7"/>
  <c r="U732" i="7"/>
  <c r="V732" i="7"/>
  <c r="W732" i="7"/>
  <c r="AA734" i="7"/>
  <c r="AB734" i="7"/>
  <c r="AC734" i="7"/>
  <c r="AP40" i="7"/>
  <c r="AO103" i="7"/>
  <c r="AP92" i="7"/>
  <c r="AP477" i="7"/>
  <c r="AP447" i="7"/>
  <c r="AP486" i="7"/>
  <c r="AP498" i="7" s="1"/>
  <c r="O663" i="7"/>
  <c r="O672" i="7" s="1"/>
  <c r="O644" i="7" s="1"/>
  <c r="P663" i="7"/>
  <c r="P672" i="7" s="1"/>
  <c r="P644" i="7" s="1"/>
  <c r="Q663" i="7"/>
  <c r="Q672" i="7" s="1"/>
  <c r="Q644" i="7" s="1"/>
  <c r="R663" i="7"/>
  <c r="R672" i="7" s="1"/>
  <c r="R644" i="7" s="1"/>
  <c r="S663" i="7"/>
  <c r="S672" i="7" s="1"/>
  <c r="S644" i="7" s="1"/>
  <c r="T663" i="7"/>
  <c r="T672" i="7" s="1"/>
  <c r="T644" i="7" s="1"/>
  <c r="U663" i="7"/>
  <c r="U672" i="7" s="1"/>
  <c r="U644" i="7" s="1"/>
  <c r="V663" i="7"/>
  <c r="V672" i="7" s="1"/>
  <c r="V644" i="7" s="1"/>
  <c r="W663" i="7"/>
  <c r="W672" i="7" s="1"/>
  <c r="W644" i="7" s="1"/>
  <c r="W95" i="7" s="1"/>
  <c r="X663" i="7"/>
  <c r="X672" i="7" s="1"/>
  <c r="X644" i="7" s="1"/>
  <c r="X95" i="7" s="1"/>
  <c r="Y663" i="7"/>
  <c r="Y672" i="7" s="1"/>
  <c r="Y644" i="7" s="1"/>
  <c r="Y95" i="7" s="1"/>
  <c r="Z663" i="7"/>
  <c r="Z672" i="7" s="1"/>
  <c r="Z644" i="7" s="1"/>
  <c r="Z95" i="7" s="1"/>
  <c r="AM665" i="7"/>
  <c r="AM672" i="7" s="1"/>
  <c r="AM644" i="7" s="1"/>
  <c r="AM95" i="7" s="1"/>
  <c r="AN665" i="7"/>
  <c r="AN672" i="7" s="1"/>
  <c r="AN644" i="7" s="1"/>
  <c r="AN95" i="7" s="1"/>
  <c r="AO665" i="7"/>
  <c r="AO672" i="7" s="1"/>
  <c r="AO644" i="7" s="1"/>
  <c r="AO95" i="7" s="1"/>
  <c r="R695" i="7"/>
  <c r="R704" i="7" s="1"/>
  <c r="R676" i="7" s="1"/>
  <c r="R96" i="7" s="1"/>
  <c r="S695" i="7"/>
  <c r="S704" i="7" s="1"/>
  <c r="S676" i="7" s="1"/>
  <c r="S96" i="7" s="1"/>
  <c r="T695" i="7"/>
  <c r="T704" i="7" s="1"/>
  <c r="T676" i="7" s="1"/>
  <c r="T96" i="7" s="1"/>
  <c r="U695" i="7"/>
  <c r="U704" i="7" s="1"/>
  <c r="U676" i="7" s="1"/>
  <c r="U96" i="7" s="1"/>
  <c r="V695" i="7"/>
  <c r="V704" i="7" s="1"/>
  <c r="V676" i="7" s="1"/>
  <c r="V96" i="7" s="1"/>
  <c r="W695" i="7"/>
  <c r="W704" i="7" s="1"/>
  <c r="W676" i="7" s="1"/>
  <c r="W96" i="7" s="1"/>
  <c r="X695" i="7"/>
  <c r="X704" i="7" s="1"/>
  <c r="X676" i="7" s="1"/>
  <c r="X96" i="7" s="1"/>
  <c r="Y695" i="7"/>
  <c r="Y704" i="7" s="1"/>
  <c r="Y676" i="7" s="1"/>
  <c r="Y96" i="7" s="1"/>
  <c r="Z695" i="7"/>
  <c r="Z704" i="7" s="1"/>
  <c r="Z676" i="7" s="1"/>
  <c r="Z96" i="7" s="1"/>
  <c r="AA695" i="7"/>
  <c r="AA704" i="7" s="1"/>
  <c r="AA676" i="7" s="1"/>
  <c r="AA96" i="7" s="1"/>
  <c r="AB695" i="7"/>
  <c r="AB704" i="7" s="1"/>
  <c r="AB676" i="7" s="1"/>
  <c r="AB96" i="7" s="1"/>
  <c r="AC695" i="7"/>
  <c r="AC704" i="7" s="1"/>
  <c r="AC676" i="7" s="1"/>
  <c r="AC96" i="7" s="1"/>
  <c r="AD695" i="7"/>
  <c r="AD704" i="7" s="1"/>
  <c r="AD676" i="7" s="1"/>
  <c r="AD96" i="7" s="1"/>
  <c r="AE695" i="7"/>
  <c r="AE704" i="7" s="1"/>
  <c r="AE676" i="7" s="1"/>
  <c r="AE96" i="7" s="1"/>
  <c r="AF695" i="7"/>
  <c r="AF704" i="7" s="1"/>
  <c r="AF676" i="7" s="1"/>
  <c r="AF96" i="7" s="1"/>
  <c r="W727" i="7"/>
  <c r="X727" i="7"/>
  <c r="Y727" i="7"/>
  <c r="Z727" i="7"/>
  <c r="AA727" i="7"/>
  <c r="AB727" i="7"/>
  <c r="AC727" i="7"/>
  <c r="AD727" i="7"/>
  <c r="AE727" i="7"/>
  <c r="AF727" i="7"/>
  <c r="AG727" i="7"/>
  <c r="AH727" i="7"/>
  <c r="AI727" i="7"/>
  <c r="AJ727" i="7"/>
  <c r="AK727" i="7"/>
  <c r="AL727" i="7"/>
  <c r="AM727" i="7"/>
  <c r="AN727" i="7"/>
  <c r="AO727" i="7"/>
  <c r="AP665" i="7"/>
  <c r="AP672" i="7" s="1"/>
  <c r="AP644" i="7" s="1"/>
  <c r="AP309" i="7"/>
  <c r="AP451" i="7"/>
  <c r="AP503" i="7"/>
  <c r="AP660" i="7"/>
  <c r="AP645" i="7" s="1"/>
  <c r="AP100" i="7" s="1"/>
  <c r="B650" i="7"/>
  <c r="C324" i="7" s="1"/>
  <c r="AA664" i="7"/>
  <c r="AA672" i="7" s="1"/>
  <c r="AA644" i="7" s="1"/>
  <c r="AA95" i="7" s="1"/>
  <c r="AB664" i="7"/>
  <c r="AB672" i="7" s="1"/>
  <c r="AB644" i="7" s="1"/>
  <c r="AB95" i="7" s="1"/>
  <c r="AC664" i="7"/>
  <c r="AC672" i="7" s="1"/>
  <c r="AC644" i="7" s="1"/>
  <c r="AC95" i="7" s="1"/>
  <c r="AD664" i="7"/>
  <c r="AD672" i="7" s="1"/>
  <c r="AD644" i="7" s="1"/>
  <c r="AD95" i="7" s="1"/>
  <c r="AE664" i="7"/>
  <c r="AE672" i="7" s="1"/>
  <c r="AE644" i="7" s="1"/>
  <c r="AE95" i="7" s="1"/>
  <c r="AF664" i="7"/>
  <c r="AF672" i="7" s="1"/>
  <c r="AF644" i="7" s="1"/>
  <c r="AF95" i="7" s="1"/>
  <c r="AG664" i="7"/>
  <c r="AG672" i="7" s="1"/>
  <c r="AG644" i="7" s="1"/>
  <c r="AG95" i="7" s="1"/>
  <c r="AH664" i="7"/>
  <c r="AH672" i="7" s="1"/>
  <c r="AH644" i="7" s="1"/>
  <c r="AH95" i="7" s="1"/>
  <c r="AI664" i="7"/>
  <c r="AI672" i="7" s="1"/>
  <c r="AI644" i="7" s="1"/>
  <c r="AI95" i="7" s="1"/>
  <c r="AJ664" i="7"/>
  <c r="AJ672" i="7" s="1"/>
  <c r="AJ644" i="7" s="1"/>
  <c r="AJ95" i="7" s="1"/>
  <c r="AK664" i="7"/>
  <c r="AK672" i="7" s="1"/>
  <c r="AK644" i="7" s="1"/>
  <c r="AK95" i="7" s="1"/>
  <c r="AL664" i="7"/>
  <c r="AL672" i="7" s="1"/>
  <c r="AL644" i="7" s="1"/>
  <c r="AL95" i="7" s="1"/>
  <c r="AP692" i="7"/>
  <c r="AP677" i="7" s="1"/>
  <c r="AP101" i="7" s="1"/>
  <c r="B682" i="7"/>
  <c r="AP350" i="7" s="1"/>
  <c r="AG696" i="7"/>
  <c r="AG704" i="7" s="1"/>
  <c r="AG676" i="7" s="1"/>
  <c r="AG96" i="7" s="1"/>
  <c r="AH696" i="7"/>
  <c r="AH704" i="7" s="1"/>
  <c r="AH676" i="7" s="1"/>
  <c r="AH96" i="7" s="1"/>
  <c r="AI696" i="7"/>
  <c r="AI704" i="7" s="1"/>
  <c r="AI676" i="7" s="1"/>
  <c r="AI96" i="7" s="1"/>
  <c r="AJ696" i="7"/>
  <c r="AJ704" i="7" s="1"/>
  <c r="AJ676" i="7" s="1"/>
  <c r="AJ96" i="7" s="1"/>
  <c r="AK696" i="7"/>
  <c r="AK704" i="7" s="1"/>
  <c r="AK676" i="7" s="1"/>
  <c r="AK96" i="7" s="1"/>
  <c r="AL696" i="7"/>
  <c r="AL704" i="7" s="1"/>
  <c r="AL676" i="7" s="1"/>
  <c r="AL96" i="7" s="1"/>
  <c r="AM696" i="7"/>
  <c r="AM704" i="7" s="1"/>
  <c r="AM676" i="7" s="1"/>
  <c r="AM96" i="7" s="1"/>
  <c r="AN696" i="7"/>
  <c r="AN704" i="7" s="1"/>
  <c r="AN676" i="7" s="1"/>
  <c r="AN96" i="7" s="1"/>
  <c r="AO696" i="7"/>
  <c r="AO704" i="7" s="1"/>
  <c r="AO676" i="7" s="1"/>
  <c r="AO96" i="7" s="1"/>
  <c r="AP724" i="7"/>
  <c r="AP709" i="7" s="1"/>
  <c r="AP102" i="7" s="1"/>
  <c r="B714" i="7"/>
  <c r="AP696" i="7"/>
  <c r="U95" i="7" l="1"/>
  <c r="V95" i="7"/>
  <c r="AP489" i="7"/>
  <c r="AP463" i="7"/>
  <c r="AP506" i="7"/>
  <c r="AP518" i="7" s="1"/>
  <c r="B518" i="7" s="1"/>
  <c r="AP379" i="7"/>
  <c r="AP485" i="7"/>
  <c r="AP497" i="7" s="1"/>
  <c r="B497" i="7" s="1"/>
  <c r="AP358" i="7"/>
  <c r="B358" i="7" s="1"/>
  <c r="AP508" i="7"/>
  <c r="AP520" i="7" s="1"/>
  <c r="B520" i="7" s="1"/>
  <c r="AP381" i="7"/>
  <c r="B381" i="7" s="1"/>
  <c r="AP480" i="7"/>
  <c r="AP492" i="7" s="1"/>
  <c r="B492" i="7" s="1"/>
  <c r="AP353" i="7"/>
  <c r="B353" i="7" s="1"/>
  <c r="C376" i="7"/>
  <c r="D376" i="7"/>
  <c r="D386" i="7" s="1"/>
  <c r="C515" i="7"/>
  <c r="F376" i="7"/>
  <c r="F386" i="7" s="1"/>
  <c r="D515" i="7"/>
  <c r="D525" i="7" s="1"/>
  <c r="E376" i="7"/>
  <c r="E386" i="7" s="1"/>
  <c r="G376" i="7"/>
  <c r="G386" i="7" s="1"/>
  <c r="E515" i="7"/>
  <c r="E525" i="7" s="1"/>
  <c r="F515" i="7"/>
  <c r="F525" i="7" s="1"/>
  <c r="H376" i="7"/>
  <c r="H386" i="7" s="1"/>
  <c r="G515" i="7"/>
  <c r="G525" i="7" s="1"/>
  <c r="H515" i="7"/>
  <c r="H525" i="7" s="1"/>
  <c r="I376" i="7"/>
  <c r="I386" i="7" s="1"/>
  <c r="I515" i="7"/>
  <c r="J376" i="7"/>
  <c r="J386" i="7" s="1"/>
  <c r="J515" i="7"/>
  <c r="J525" i="7" s="1"/>
  <c r="K376" i="7"/>
  <c r="K386" i="7" s="1"/>
  <c r="K515" i="7"/>
  <c r="K525" i="7" s="1"/>
  <c r="L376" i="7"/>
  <c r="L386" i="7" s="1"/>
  <c r="M376" i="7"/>
  <c r="M386" i="7" s="1"/>
  <c r="N376" i="7"/>
  <c r="N386" i="7" s="1"/>
  <c r="L515" i="7"/>
  <c r="L525" i="7" s="1"/>
  <c r="N515" i="7"/>
  <c r="N525" i="7" s="1"/>
  <c r="M515" i="7"/>
  <c r="M525" i="7" s="1"/>
  <c r="O376" i="7"/>
  <c r="O386" i="7" s="1"/>
  <c r="O515" i="7"/>
  <c r="O525" i="7" s="1"/>
  <c r="P376" i="7"/>
  <c r="P386" i="7" s="1"/>
  <c r="Q376" i="7"/>
  <c r="Q386" i="7" s="1"/>
  <c r="P515" i="7"/>
  <c r="P525" i="7" s="1"/>
  <c r="R376" i="7"/>
  <c r="R386" i="7" s="1"/>
  <c r="Q515" i="7"/>
  <c r="Q525" i="7" s="1"/>
  <c r="S376" i="7"/>
  <c r="S386" i="7" s="1"/>
  <c r="R515" i="7"/>
  <c r="R525" i="7" s="1"/>
  <c r="S515" i="7"/>
  <c r="S525" i="7" s="1"/>
  <c r="T376" i="7"/>
  <c r="T386" i="7" s="1"/>
  <c r="T515" i="7"/>
  <c r="T525" i="7" s="1"/>
  <c r="U376" i="7"/>
  <c r="U386" i="7" s="1"/>
  <c r="V376" i="7"/>
  <c r="V386" i="7" s="1"/>
  <c r="U515" i="7"/>
  <c r="U525" i="7" s="1"/>
  <c r="V515" i="7"/>
  <c r="V525" i="7" s="1"/>
  <c r="W376" i="7"/>
  <c r="W386" i="7" s="1"/>
  <c r="X376" i="7"/>
  <c r="X386" i="7" s="1"/>
  <c r="W515" i="7"/>
  <c r="W525" i="7" s="1"/>
  <c r="Y376" i="7"/>
  <c r="Y386" i="7" s="1"/>
  <c r="X515" i="7"/>
  <c r="X525" i="7" s="1"/>
  <c r="Y515" i="7"/>
  <c r="Y525" i="7" s="1"/>
  <c r="Z376" i="7"/>
  <c r="Z386" i="7" s="1"/>
  <c r="AA376" i="7"/>
  <c r="AA386" i="7" s="1"/>
  <c r="Z515" i="7"/>
  <c r="Z525" i="7" s="1"/>
  <c r="AA515" i="7"/>
  <c r="AA525" i="7" s="1"/>
  <c r="AB376" i="7"/>
  <c r="AB386" i="7" s="1"/>
  <c r="AC376" i="7"/>
  <c r="AC386" i="7" s="1"/>
  <c r="AB515" i="7"/>
  <c r="AB525" i="7" s="1"/>
  <c r="AD376" i="7"/>
  <c r="AD386" i="7" s="1"/>
  <c r="AC515" i="7"/>
  <c r="AC525" i="7" s="1"/>
  <c r="AD515" i="7"/>
  <c r="AD525" i="7" s="1"/>
  <c r="AE376" i="7"/>
  <c r="AE386" i="7" s="1"/>
  <c r="AF376" i="7"/>
  <c r="AF386" i="7" s="1"/>
  <c r="AE515" i="7"/>
  <c r="AE525" i="7" s="1"/>
  <c r="AG376" i="7"/>
  <c r="AG386" i="7" s="1"/>
  <c r="AF515" i="7"/>
  <c r="AF525" i="7" s="1"/>
  <c r="AH376" i="7"/>
  <c r="AH386" i="7" s="1"/>
  <c r="AG515" i="7"/>
  <c r="AG525" i="7" s="1"/>
  <c r="AH515" i="7"/>
  <c r="AH525" i="7" s="1"/>
  <c r="AI376" i="7"/>
  <c r="AI515" i="7"/>
  <c r="AI525" i="7" s="1"/>
  <c r="AJ376" i="7"/>
  <c r="AJ386" i="7" s="1"/>
  <c r="AJ515" i="7"/>
  <c r="AJ525" i="7" s="1"/>
  <c r="AK376" i="7"/>
  <c r="AK386" i="7" s="1"/>
  <c r="AL376" i="7"/>
  <c r="AL386" i="7" s="1"/>
  <c r="AK515" i="7"/>
  <c r="AK525" i="7" s="1"/>
  <c r="AL515" i="7"/>
  <c r="AL525" i="7" s="1"/>
  <c r="AM376" i="7"/>
  <c r="AM386" i="7" s="1"/>
  <c r="AM515" i="7"/>
  <c r="AM525" i="7" s="1"/>
  <c r="AN376" i="7"/>
  <c r="AN386" i="7" s="1"/>
  <c r="AN515" i="7"/>
  <c r="AN525" i="7" s="1"/>
  <c r="AO376" i="7"/>
  <c r="AO386" i="7" s="1"/>
  <c r="AP460" i="7"/>
  <c r="AP472" i="7" s="1"/>
  <c r="B472" i="7" s="1"/>
  <c r="AP333" i="7"/>
  <c r="B333" i="7" s="1"/>
  <c r="D324" i="7"/>
  <c r="C463" i="7"/>
  <c r="F324" i="7"/>
  <c r="F334" i="7" s="1"/>
  <c r="D463" i="7"/>
  <c r="D473" i="7" s="1"/>
  <c r="E324" i="7"/>
  <c r="E334" i="7" s="1"/>
  <c r="F463" i="7"/>
  <c r="F473" i="7" s="1"/>
  <c r="E463" i="7"/>
  <c r="E473" i="7" s="1"/>
  <c r="G324" i="7"/>
  <c r="G334" i="7" s="1"/>
  <c r="G463" i="7"/>
  <c r="G473" i="7" s="1"/>
  <c r="H324" i="7"/>
  <c r="H334" i="7" s="1"/>
  <c r="I324" i="7"/>
  <c r="I334" i="7" s="1"/>
  <c r="H463" i="7"/>
  <c r="H473" i="7" s="1"/>
  <c r="I463" i="7"/>
  <c r="I473" i="7" s="1"/>
  <c r="J324" i="7"/>
  <c r="J334" i="7" s="1"/>
  <c r="J463" i="7"/>
  <c r="J473" i="7" s="1"/>
  <c r="K324" i="7"/>
  <c r="K334" i="7" s="1"/>
  <c r="M324" i="7"/>
  <c r="M334" i="7" s="1"/>
  <c r="L324" i="7"/>
  <c r="L334" i="7" s="1"/>
  <c r="K463" i="7"/>
  <c r="K473" i="7" s="1"/>
  <c r="N324" i="7"/>
  <c r="N334" i="7" s="1"/>
  <c r="L463" i="7"/>
  <c r="L473" i="7" s="1"/>
  <c r="M463" i="7"/>
  <c r="M473" i="7" s="1"/>
  <c r="N463" i="7"/>
  <c r="N473" i="7" s="1"/>
  <c r="O324" i="7"/>
  <c r="O334" i="7" s="1"/>
  <c r="O463" i="7"/>
  <c r="O473" i="7" s="1"/>
  <c r="P324" i="7"/>
  <c r="P334" i="7" s="1"/>
  <c r="Q324" i="7"/>
  <c r="Q334" i="7" s="1"/>
  <c r="P463" i="7"/>
  <c r="P473" i="7" s="1"/>
  <c r="R324" i="7"/>
  <c r="R334" i="7" s="1"/>
  <c r="Q463" i="7"/>
  <c r="Q473" i="7" s="1"/>
  <c r="S324" i="7"/>
  <c r="S334" i="7" s="1"/>
  <c r="R463" i="7"/>
  <c r="R473" i="7" s="1"/>
  <c r="S463" i="7"/>
  <c r="S473" i="7" s="1"/>
  <c r="T324" i="7"/>
  <c r="T334" i="7" s="1"/>
  <c r="U324" i="7"/>
  <c r="U334" i="7" s="1"/>
  <c r="T463" i="7"/>
  <c r="T473" i="7" s="1"/>
  <c r="V324" i="7"/>
  <c r="V334" i="7" s="1"/>
  <c r="U463" i="7"/>
  <c r="U473" i="7" s="1"/>
  <c r="W324" i="7"/>
  <c r="W334" i="7" s="1"/>
  <c r="V463" i="7"/>
  <c r="V473" i="7" s="1"/>
  <c r="X324" i="7"/>
  <c r="X334" i="7" s="1"/>
  <c r="W463" i="7"/>
  <c r="W473" i="7" s="1"/>
  <c r="X463" i="7"/>
  <c r="X473" i="7" s="1"/>
  <c r="Y324" i="7"/>
  <c r="Y334" i="7" s="1"/>
  <c r="Z324" i="7"/>
  <c r="Z334" i="7" s="1"/>
  <c r="Y463" i="7"/>
  <c r="Y473" i="7" s="1"/>
  <c r="AA324" i="7"/>
  <c r="AA334" i="7" s="1"/>
  <c r="AB324" i="7"/>
  <c r="AB334" i="7" s="1"/>
  <c r="Z463" i="7"/>
  <c r="Z473" i="7" s="1"/>
  <c r="AC324" i="7"/>
  <c r="AC334" i="7" s="1"/>
  <c r="AA463" i="7"/>
  <c r="AA473" i="7" s="1"/>
  <c r="AB463" i="7"/>
  <c r="AB473" i="7" s="1"/>
  <c r="AC463" i="7"/>
  <c r="AC473" i="7" s="1"/>
  <c r="AD324" i="7"/>
  <c r="AD334" i="7" s="1"/>
  <c r="AE324" i="7"/>
  <c r="AE334" i="7" s="1"/>
  <c r="AD463" i="7"/>
  <c r="AD473" i="7" s="1"/>
  <c r="AF324" i="7"/>
  <c r="AF334" i="7" s="1"/>
  <c r="AE463" i="7"/>
  <c r="AE473" i="7" s="1"/>
  <c r="AG324" i="7"/>
  <c r="AG334" i="7" s="1"/>
  <c r="AF463" i="7"/>
  <c r="AF473" i="7" s="1"/>
  <c r="AG463" i="7"/>
  <c r="AG473" i="7" s="1"/>
  <c r="AH324" i="7"/>
  <c r="AH334" i="7" s="1"/>
  <c r="AI324" i="7"/>
  <c r="AI334" i="7" s="1"/>
  <c r="AH463" i="7"/>
  <c r="AH473" i="7" s="1"/>
  <c r="AJ324" i="7"/>
  <c r="AJ334" i="7" s="1"/>
  <c r="AI463" i="7"/>
  <c r="AI473" i="7" s="1"/>
  <c r="AJ463" i="7"/>
  <c r="AJ473" i="7" s="1"/>
  <c r="AK324" i="7"/>
  <c r="AK334" i="7" s="1"/>
  <c r="AK463" i="7"/>
  <c r="AK473" i="7" s="1"/>
  <c r="AL324" i="7"/>
  <c r="AL334" i="7" s="1"/>
  <c r="AL463" i="7"/>
  <c r="AL473" i="7" s="1"/>
  <c r="AM324" i="7"/>
  <c r="AM334" i="7" s="1"/>
  <c r="AM463" i="7"/>
  <c r="AM473" i="7" s="1"/>
  <c r="AN324" i="7"/>
  <c r="AN334" i="7" s="1"/>
  <c r="AO324" i="7"/>
  <c r="AO334" i="7" s="1"/>
  <c r="AN463" i="7"/>
  <c r="AN473" i="7" s="1"/>
  <c r="AM736" i="7"/>
  <c r="AM708" i="7" s="1"/>
  <c r="AM97" i="7" s="1"/>
  <c r="AP456" i="7"/>
  <c r="AP468" i="7" s="1"/>
  <c r="B468" i="7" s="1"/>
  <c r="AP329" i="7"/>
  <c r="B329" i="7" s="1"/>
  <c r="AP483" i="7"/>
  <c r="AP495" i="7" s="1"/>
  <c r="B495" i="7" s="1"/>
  <c r="AP356" i="7"/>
  <c r="AP509" i="7"/>
  <c r="AP521" i="7" s="1"/>
  <c r="B521" i="7" s="1"/>
  <c r="AP382" i="7"/>
  <c r="B382" i="7" s="1"/>
  <c r="AO515" i="7"/>
  <c r="AO525" i="7" s="1"/>
  <c r="AP376" i="7"/>
  <c r="AP453" i="7"/>
  <c r="AP465" i="7" s="1"/>
  <c r="B465" i="7" s="1"/>
  <c r="AP326" i="7"/>
  <c r="B326" i="7" s="1"/>
  <c r="C350" i="7"/>
  <c r="D350" i="7"/>
  <c r="D360" i="7" s="1"/>
  <c r="F350" i="7"/>
  <c r="F360" i="7" s="1"/>
  <c r="C489" i="7"/>
  <c r="D489" i="7"/>
  <c r="D499" i="7" s="1"/>
  <c r="E350" i="7"/>
  <c r="E360" i="7" s="1"/>
  <c r="F489" i="7"/>
  <c r="F499" i="7" s="1"/>
  <c r="G350" i="7"/>
  <c r="G360" i="7" s="1"/>
  <c r="H350" i="7"/>
  <c r="H360" i="7" s="1"/>
  <c r="G489" i="7"/>
  <c r="G499" i="7" s="1"/>
  <c r="E489" i="7"/>
  <c r="E499" i="7" s="1"/>
  <c r="I350" i="7"/>
  <c r="I360" i="7" s="1"/>
  <c r="H489" i="7"/>
  <c r="H499" i="7" s="1"/>
  <c r="I489" i="7"/>
  <c r="I499" i="7" s="1"/>
  <c r="J350" i="7"/>
  <c r="J360" i="7" s="1"/>
  <c r="K350" i="7"/>
  <c r="K360" i="7" s="1"/>
  <c r="J489" i="7"/>
  <c r="J499" i="7" s="1"/>
  <c r="K489" i="7"/>
  <c r="K499" i="7" s="1"/>
  <c r="L350" i="7"/>
  <c r="L360" i="7" s="1"/>
  <c r="L489" i="7"/>
  <c r="L499" i="7" s="1"/>
  <c r="M350" i="7"/>
  <c r="M360" i="7" s="1"/>
  <c r="M489" i="7"/>
  <c r="M499" i="7" s="1"/>
  <c r="N350" i="7"/>
  <c r="N360" i="7" s="1"/>
  <c r="N489" i="7"/>
  <c r="N499" i="7" s="1"/>
  <c r="O350" i="7"/>
  <c r="O360" i="7" s="1"/>
  <c r="P350" i="7"/>
  <c r="P360" i="7" s="1"/>
  <c r="O489" i="7"/>
  <c r="O499" i="7" s="1"/>
  <c r="P489" i="7"/>
  <c r="P499" i="7" s="1"/>
  <c r="Q350" i="7"/>
  <c r="Q360" i="7" s="1"/>
  <c r="R350" i="7"/>
  <c r="R360" i="7" s="1"/>
  <c r="Q489" i="7"/>
  <c r="Q499" i="7" s="1"/>
  <c r="S350" i="7"/>
  <c r="S360" i="7" s="1"/>
  <c r="R489" i="7"/>
  <c r="R499" i="7" s="1"/>
  <c r="S489" i="7"/>
  <c r="S499" i="7" s="1"/>
  <c r="T350" i="7"/>
  <c r="T360" i="7" s="1"/>
  <c r="T489" i="7"/>
  <c r="T499" i="7" s="1"/>
  <c r="U350" i="7"/>
  <c r="U360" i="7" s="1"/>
  <c r="U489" i="7"/>
  <c r="U499" i="7" s="1"/>
  <c r="V350" i="7"/>
  <c r="V360" i="7" s="1"/>
  <c r="V489" i="7"/>
  <c r="V499" i="7" s="1"/>
  <c r="W350" i="7"/>
  <c r="W360" i="7" s="1"/>
  <c r="W489" i="7"/>
  <c r="W499" i="7" s="1"/>
  <c r="X350" i="7"/>
  <c r="X360" i="7" s="1"/>
  <c r="X489" i="7"/>
  <c r="X499" i="7" s="1"/>
  <c r="Y350" i="7"/>
  <c r="Y360" i="7" s="1"/>
  <c r="Y489" i="7"/>
  <c r="Y499" i="7" s="1"/>
  <c r="Z350" i="7"/>
  <c r="Z360" i="7" s="1"/>
  <c r="Z489" i="7"/>
  <c r="Z499" i="7" s="1"/>
  <c r="AA350" i="7"/>
  <c r="AA360" i="7" s="1"/>
  <c r="AB350" i="7"/>
  <c r="AB360" i="7" s="1"/>
  <c r="AA489" i="7"/>
  <c r="AA499" i="7" s="1"/>
  <c r="AC350" i="7"/>
  <c r="AC360" i="7" s="1"/>
  <c r="AB489" i="7"/>
  <c r="AB499" i="7" s="1"/>
  <c r="AC489" i="7"/>
  <c r="AC499" i="7" s="1"/>
  <c r="AD350" i="7"/>
  <c r="AD360" i="7" s="1"/>
  <c r="AE350" i="7"/>
  <c r="AE360" i="7" s="1"/>
  <c r="AD489" i="7"/>
  <c r="AD499" i="7" s="1"/>
  <c r="AF350" i="7"/>
  <c r="AF360" i="7" s="1"/>
  <c r="AE489" i="7"/>
  <c r="AE499" i="7" s="1"/>
  <c r="AG350" i="7"/>
  <c r="AG360" i="7" s="1"/>
  <c r="AF489" i="7"/>
  <c r="AF499" i="7" s="1"/>
  <c r="AG489" i="7"/>
  <c r="AG499" i="7" s="1"/>
  <c r="AH350" i="7"/>
  <c r="AH360" i="7" s="1"/>
  <c r="AH489" i="7"/>
  <c r="AH499" i="7" s="1"/>
  <c r="AI350" i="7"/>
  <c r="AI360" i="7" s="1"/>
  <c r="AJ350" i="7"/>
  <c r="AJ360" i="7" s="1"/>
  <c r="AI489" i="7"/>
  <c r="AI499" i="7" s="1"/>
  <c r="AK350" i="7"/>
  <c r="AK360" i="7" s="1"/>
  <c r="AJ489" i="7"/>
  <c r="AJ499" i="7" s="1"/>
  <c r="AK489" i="7"/>
  <c r="AK499" i="7" s="1"/>
  <c r="AL350" i="7"/>
  <c r="AL360" i="7" s="1"/>
  <c r="AM350" i="7"/>
  <c r="AM360" i="7" s="1"/>
  <c r="AL489" i="7"/>
  <c r="AL499" i="7" s="1"/>
  <c r="AM489" i="7"/>
  <c r="AM499" i="7" s="1"/>
  <c r="AN350" i="7"/>
  <c r="AN360" i="7" s="1"/>
  <c r="AO350" i="7"/>
  <c r="AO360" i="7" s="1"/>
  <c r="AN489" i="7"/>
  <c r="AN499" i="7" s="1"/>
  <c r="AP515" i="7"/>
  <c r="AP512" i="7"/>
  <c r="AP524" i="7" s="1"/>
  <c r="B524" i="7" s="1"/>
  <c r="AP385" i="7"/>
  <c r="B385" i="7" s="1"/>
  <c r="AP511" i="7"/>
  <c r="AP523" i="7" s="1"/>
  <c r="B523" i="7" s="1"/>
  <c r="AP384" i="7"/>
  <c r="B384" i="7" s="1"/>
  <c r="AP324" i="7"/>
  <c r="AP504" i="7"/>
  <c r="AP516" i="7" s="1"/>
  <c r="B516" i="7" s="1"/>
  <c r="AP377" i="7"/>
  <c r="B377" i="7" s="1"/>
  <c r="AP455" i="7"/>
  <c r="AP467" i="7" s="1"/>
  <c r="B467" i="7" s="1"/>
  <c r="AP328" i="7"/>
  <c r="B328" i="7" s="1"/>
  <c r="AP507" i="7"/>
  <c r="AP519" i="7" s="1"/>
  <c r="B519" i="7" s="1"/>
  <c r="AP380" i="7"/>
  <c r="B380" i="7" s="1"/>
  <c r="AO489" i="7"/>
  <c r="AO499" i="7" s="1"/>
  <c r="AP458" i="7"/>
  <c r="AP470" i="7" s="1"/>
  <c r="B470" i="7" s="1"/>
  <c r="AP331" i="7"/>
  <c r="B331" i="7" s="1"/>
  <c r="AP479" i="7"/>
  <c r="AP491" i="7" s="1"/>
  <c r="B491" i="7" s="1"/>
  <c r="AP352" i="7"/>
  <c r="B352" i="7" s="1"/>
  <c r="AP457" i="7"/>
  <c r="AP469" i="7" s="1"/>
  <c r="B469" i="7" s="1"/>
  <c r="AP330" i="7"/>
  <c r="AO463" i="7"/>
  <c r="AO473" i="7" s="1"/>
  <c r="AO736" i="7"/>
  <c r="AO708" i="7" s="1"/>
  <c r="AO97" i="7" s="1"/>
  <c r="AO111" i="7"/>
  <c r="AO112" i="7" s="1"/>
  <c r="Q95" i="7"/>
  <c r="T95" i="7"/>
  <c r="P95" i="7"/>
  <c r="S95" i="7"/>
  <c r="R95" i="7"/>
  <c r="AP484" i="7"/>
  <c r="AP496" i="7" s="1"/>
  <c r="B496" i="7" s="1"/>
  <c r="AP459" i="7"/>
  <c r="AP471" i="7" s="1"/>
  <c r="B471" i="7" s="1"/>
  <c r="AP454" i="7"/>
  <c r="AP736" i="7"/>
  <c r="AP708" i="7" s="1"/>
  <c r="AP97" i="7" s="1"/>
  <c r="AJ736" i="7"/>
  <c r="AJ708" i="7" s="1"/>
  <c r="AJ97" i="7" s="1"/>
  <c r="AH736" i="7"/>
  <c r="AH708" i="7" s="1"/>
  <c r="AH97" i="7" s="1"/>
  <c r="AK736" i="7"/>
  <c r="AK708" i="7" s="1"/>
  <c r="AK97" i="7" s="1"/>
  <c r="AL736" i="7"/>
  <c r="AL708" i="7" s="1"/>
  <c r="AL97" i="7" s="1"/>
  <c r="AG736" i="7"/>
  <c r="AG708" i="7" s="1"/>
  <c r="AG97" i="7" s="1"/>
  <c r="AA736" i="7"/>
  <c r="AA708" i="7" s="1"/>
  <c r="AA97" i="7" s="1"/>
  <c r="AN736" i="7"/>
  <c r="AN708" i="7" s="1"/>
  <c r="AN97" i="7" s="1"/>
  <c r="AI736" i="7"/>
  <c r="AI708" i="7" s="1"/>
  <c r="AI97" i="7" s="1"/>
  <c r="AP505" i="7"/>
  <c r="AF736" i="7"/>
  <c r="AF708" i="7" s="1"/>
  <c r="AF97" i="7" s="1"/>
  <c r="AC736" i="7"/>
  <c r="AC708" i="7" s="1"/>
  <c r="AC97" i="7" s="1"/>
  <c r="Z736" i="7"/>
  <c r="Z708" i="7" s="1"/>
  <c r="Z97" i="7" s="1"/>
  <c r="W736" i="7"/>
  <c r="W708" i="7" s="1"/>
  <c r="W97" i="7" s="1"/>
  <c r="AP482" i="7"/>
  <c r="AP478" i="7"/>
  <c r="AP510" i="7"/>
  <c r="X736" i="7"/>
  <c r="X708" i="7" s="1"/>
  <c r="X97" i="7" s="1"/>
  <c r="AD736" i="7"/>
  <c r="AD708" i="7" s="1"/>
  <c r="AD97" i="7" s="1"/>
  <c r="AP452" i="7"/>
  <c r="AB736" i="7"/>
  <c r="AB708" i="7" s="1"/>
  <c r="AB97" i="7" s="1"/>
  <c r="B379" i="7"/>
  <c r="AP481" i="7"/>
  <c r="AE736" i="7"/>
  <c r="AE708" i="7" s="1"/>
  <c r="AE97" i="7" s="1"/>
  <c r="Y736" i="7"/>
  <c r="Y708" i="7" s="1"/>
  <c r="Y97" i="7" s="1"/>
  <c r="O95" i="7"/>
  <c r="B731" i="7"/>
  <c r="B663" i="7"/>
  <c r="B730" i="7"/>
  <c r="B735" i="7"/>
  <c r="B734" i="7"/>
  <c r="B728" i="7"/>
  <c r="B733" i="7"/>
  <c r="B729" i="7"/>
  <c r="B732" i="7"/>
  <c r="B727" i="7"/>
  <c r="B664" i="7"/>
  <c r="B695" i="7"/>
  <c r="B696" i="7"/>
  <c r="AP95" i="7"/>
  <c r="B665" i="7"/>
  <c r="D726" i="7"/>
  <c r="D736" i="7" s="1"/>
  <c r="D708" i="7" s="1"/>
  <c r="D97" i="7" s="1"/>
  <c r="C726" i="7"/>
  <c r="E726" i="7"/>
  <c r="E736" i="7" s="1"/>
  <c r="E708" i="7" s="1"/>
  <c r="E97" i="7" s="1"/>
  <c r="F726" i="7"/>
  <c r="F736" i="7" s="1"/>
  <c r="F708" i="7" s="1"/>
  <c r="F97" i="7" s="1"/>
  <c r="G726" i="7"/>
  <c r="G736" i="7" s="1"/>
  <c r="G708" i="7" s="1"/>
  <c r="G97" i="7" s="1"/>
  <c r="H726" i="7"/>
  <c r="H736" i="7" s="1"/>
  <c r="H708" i="7" s="1"/>
  <c r="H97" i="7" s="1"/>
  <c r="I726" i="7"/>
  <c r="I736" i="7" s="1"/>
  <c r="I708" i="7" s="1"/>
  <c r="I97" i="7" s="1"/>
  <c r="J726" i="7"/>
  <c r="J736" i="7" s="1"/>
  <c r="J708" i="7" s="1"/>
  <c r="J97" i="7" s="1"/>
  <c r="K726" i="7"/>
  <c r="K736" i="7" s="1"/>
  <c r="K708" i="7" s="1"/>
  <c r="K97" i="7" s="1"/>
  <c r="L726" i="7"/>
  <c r="L736" i="7" s="1"/>
  <c r="L708" i="7" s="1"/>
  <c r="L97" i="7" s="1"/>
  <c r="M726" i="7"/>
  <c r="M736" i="7" s="1"/>
  <c r="M708" i="7" s="1"/>
  <c r="M97" i="7" s="1"/>
  <c r="N726" i="7"/>
  <c r="N736" i="7" s="1"/>
  <c r="N708" i="7" s="1"/>
  <c r="N97" i="7" s="1"/>
  <c r="O726" i="7"/>
  <c r="O736" i="7" s="1"/>
  <c r="O708" i="7" s="1"/>
  <c r="O97" i="7" s="1"/>
  <c r="P726" i="7"/>
  <c r="P736" i="7" s="1"/>
  <c r="P708" i="7" s="1"/>
  <c r="P97" i="7" s="1"/>
  <c r="Q726" i="7"/>
  <c r="Q736" i="7" s="1"/>
  <c r="Q708" i="7" s="1"/>
  <c r="Q97" i="7" s="1"/>
  <c r="R726" i="7"/>
  <c r="R736" i="7" s="1"/>
  <c r="R708" i="7" s="1"/>
  <c r="R97" i="7" s="1"/>
  <c r="S726" i="7"/>
  <c r="S736" i="7" s="1"/>
  <c r="S708" i="7" s="1"/>
  <c r="S97" i="7" s="1"/>
  <c r="T726" i="7"/>
  <c r="T736" i="7" s="1"/>
  <c r="T708" i="7" s="1"/>
  <c r="T97" i="7" s="1"/>
  <c r="U726" i="7"/>
  <c r="U736" i="7" s="1"/>
  <c r="U708" i="7" s="1"/>
  <c r="U97" i="7" s="1"/>
  <c r="V726" i="7"/>
  <c r="V736" i="7" s="1"/>
  <c r="V708" i="7" s="1"/>
  <c r="V97" i="7" s="1"/>
  <c r="I525" i="7"/>
  <c r="AI386" i="7"/>
  <c r="AP704" i="7"/>
  <c r="AP676" i="7" s="1"/>
  <c r="AP96" i="7" s="1"/>
  <c r="B378" i="7"/>
  <c r="B332" i="7"/>
  <c r="AP103" i="7"/>
  <c r="B359" i="7"/>
  <c r="B498" i="7"/>
  <c r="B357" i="7"/>
  <c r="B351" i="7"/>
  <c r="D694" i="7"/>
  <c r="D704" i="7" s="1"/>
  <c r="D676" i="7" s="1"/>
  <c r="D96" i="7" s="1"/>
  <c r="C694" i="7"/>
  <c r="E694" i="7"/>
  <c r="E704" i="7" s="1"/>
  <c r="E676" i="7" s="1"/>
  <c r="E96" i="7" s="1"/>
  <c r="F694" i="7"/>
  <c r="F704" i="7" s="1"/>
  <c r="F676" i="7" s="1"/>
  <c r="F96" i="7" s="1"/>
  <c r="G694" i="7"/>
  <c r="G704" i="7" s="1"/>
  <c r="G676" i="7" s="1"/>
  <c r="G96" i="7" s="1"/>
  <c r="H694" i="7"/>
  <c r="H704" i="7" s="1"/>
  <c r="H676" i="7" s="1"/>
  <c r="H96" i="7" s="1"/>
  <c r="I694" i="7"/>
  <c r="I704" i="7" s="1"/>
  <c r="I676" i="7" s="1"/>
  <c r="I96" i="7" s="1"/>
  <c r="J694" i="7"/>
  <c r="J704" i="7" s="1"/>
  <c r="J676" i="7" s="1"/>
  <c r="J96" i="7" s="1"/>
  <c r="K694" i="7"/>
  <c r="K704" i="7" s="1"/>
  <c r="K676" i="7" s="1"/>
  <c r="K96" i="7" s="1"/>
  <c r="L694" i="7"/>
  <c r="L704" i="7" s="1"/>
  <c r="L676" i="7" s="1"/>
  <c r="L96" i="7" s="1"/>
  <c r="M694" i="7"/>
  <c r="M704" i="7" s="1"/>
  <c r="M676" i="7" s="1"/>
  <c r="N694" i="7"/>
  <c r="N704" i="7" s="1"/>
  <c r="N676" i="7" s="1"/>
  <c r="O694" i="7"/>
  <c r="O704" i="7" s="1"/>
  <c r="O676" i="7" s="1"/>
  <c r="P694" i="7"/>
  <c r="P704" i="7" s="1"/>
  <c r="P676" i="7" s="1"/>
  <c r="Q694" i="7"/>
  <c r="Q704" i="7" s="1"/>
  <c r="Q676" i="7" s="1"/>
  <c r="D662" i="7"/>
  <c r="D672" i="7" s="1"/>
  <c r="D644" i="7" s="1"/>
  <c r="C662" i="7"/>
  <c r="E662" i="7"/>
  <c r="E672" i="7" s="1"/>
  <c r="E644" i="7" s="1"/>
  <c r="F662" i="7"/>
  <c r="F672" i="7" s="1"/>
  <c r="F644" i="7" s="1"/>
  <c r="G662" i="7"/>
  <c r="G672" i="7" s="1"/>
  <c r="G644" i="7" s="1"/>
  <c r="H662" i="7"/>
  <c r="H672" i="7" s="1"/>
  <c r="H644" i="7" s="1"/>
  <c r="I662" i="7"/>
  <c r="I672" i="7" s="1"/>
  <c r="I644" i="7" s="1"/>
  <c r="J662" i="7"/>
  <c r="J672" i="7" s="1"/>
  <c r="J644" i="7" s="1"/>
  <c r="K662" i="7"/>
  <c r="K672" i="7" s="1"/>
  <c r="K644" i="7" s="1"/>
  <c r="L662" i="7"/>
  <c r="L672" i="7" s="1"/>
  <c r="L644" i="7" s="1"/>
  <c r="M662" i="7"/>
  <c r="M672" i="7" s="1"/>
  <c r="M644" i="7" s="1"/>
  <c r="N662" i="7"/>
  <c r="N672" i="7" s="1"/>
  <c r="N644" i="7" s="1"/>
  <c r="B354" i="7"/>
  <c r="B383" i="7"/>
  <c r="B355" i="7"/>
  <c r="B327" i="7"/>
  <c r="B325" i="7"/>
  <c r="D334" i="7" l="1"/>
  <c r="B324" i="7"/>
  <c r="AP493" i="7"/>
  <c r="B493" i="7" s="1"/>
  <c r="AP494" i="7"/>
  <c r="B494" i="7" s="1"/>
  <c r="AP466" i="7"/>
  <c r="B466" i="7" s="1"/>
  <c r="AP522" i="7"/>
  <c r="B522" i="7" s="1"/>
  <c r="AP517" i="7"/>
  <c r="B517" i="7" s="1"/>
  <c r="AP490" i="7"/>
  <c r="B490" i="7" s="1"/>
  <c r="AP464" i="7"/>
  <c r="B464" i="7" s="1"/>
  <c r="AP111" i="7"/>
  <c r="AP112" i="7" s="1"/>
  <c r="AP360" i="7"/>
  <c r="AP386" i="7"/>
  <c r="B356" i="7"/>
  <c r="AP334" i="7"/>
  <c r="B330" i="7"/>
  <c r="N95" i="7"/>
  <c r="M95" i="7"/>
  <c r="P96" i="7"/>
  <c r="N96" i="7"/>
  <c r="Q96" i="7"/>
  <c r="O96" i="7"/>
  <c r="M96" i="7"/>
  <c r="K95" i="7"/>
  <c r="I95" i="7"/>
  <c r="G95" i="7"/>
  <c r="E95" i="7"/>
  <c r="D95" i="7"/>
  <c r="L95" i="7"/>
  <c r="J95" i="7"/>
  <c r="H95" i="7"/>
  <c r="F95" i="7"/>
  <c r="B662" i="7"/>
  <c r="C672" i="7"/>
  <c r="C644" i="7" s="1"/>
  <c r="B489" i="7"/>
  <c r="C499" i="7"/>
  <c r="B694" i="7"/>
  <c r="C704" i="7"/>
  <c r="C676" i="7" s="1"/>
  <c r="C736" i="7"/>
  <c r="C708" i="7" s="1"/>
  <c r="B726" i="7"/>
  <c r="C334" i="7"/>
  <c r="C473" i="7"/>
  <c r="B463" i="7"/>
  <c r="C360" i="7"/>
  <c r="B350" i="7"/>
  <c r="C386" i="7"/>
  <c r="B376" i="7"/>
  <c r="B515" i="7"/>
  <c r="C525" i="7"/>
  <c r="AP499" i="7" l="1"/>
  <c r="AP473" i="7"/>
  <c r="AP525" i="7"/>
  <c r="C97" i="7"/>
  <c r="C710" i="7"/>
  <c r="D707" i="7" s="1"/>
  <c r="D710" i="7" s="1"/>
  <c r="E707" i="7" s="1"/>
  <c r="E710" i="7" s="1"/>
  <c r="F707" i="7" s="1"/>
  <c r="F710" i="7" s="1"/>
  <c r="G707" i="7" s="1"/>
  <c r="G710" i="7" s="1"/>
  <c r="H707" i="7" s="1"/>
  <c r="H710" i="7" s="1"/>
  <c r="I707" i="7" s="1"/>
  <c r="I710" i="7" s="1"/>
  <c r="J707" i="7" s="1"/>
  <c r="J710" i="7" s="1"/>
  <c r="K707" i="7" s="1"/>
  <c r="K710" i="7" s="1"/>
  <c r="L707" i="7" s="1"/>
  <c r="L710" i="7" s="1"/>
  <c r="M707" i="7" s="1"/>
  <c r="M710" i="7" s="1"/>
  <c r="N707" i="7" s="1"/>
  <c r="N710" i="7" s="1"/>
  <c r="O707" i="7" s="1"/>
  <c r="O710" i="7" s="1"/>
  <c r="P707" i="7" s="1"/>
  <c r="P710" i="7" s="1"/>
  <c r="Q707" i="7" s="1"/>
  <c r="Q710" i="7" s="1"/>
  <c r="R707" i="7" s="1"/>
  <c r="R710" i="7" s="1"/>
  <c r="S707" i="7" s="1"/>
  <c r="S710" i="7" s="1"/>
  <c r="T707" i="7" s="1"/>
  <c r="T710" i="7" s="1"/>
  <c r="U707" i="7" s="1"/>
  <c r="U710" i="7" s="1"/>
  <c r="V707" i="7" s="1"/>
  <c r="V710" i="7" s="1"/>
  <c r="W707" i="7" s="1"/>
  <c r="W710" i="7" s="1"/>
  <c r="X707" i="7" s="1"/>
  <c r="X710" i="7" s="1"/>
  <c r="Y707" i="7" s="1"/>
  <c r="Y710" i="7" s="1"/>
  <c r="Z707" i="7" s="1"/>
  <c r="Z710" i="7" s="1"/>
  <c r="AA707" i="7" s="1"/>
  <c r="AA710" i="7" s="1"/>
  <c r="AB707" i="7" s="1"/>
  <c r="AB710" i="7" s="1"/>
  <c r="AC707" i="7" s="1"/>
  <c r="AC710" i="7" s="1"/>
  <c r="AD707" i="7" s="1"/>
  <c r="AD710" i="7" s="1"/>
  <c r="AE707" i="7" s="1"/>
  <c r="AE710" i="7" s="1"/>
  <c r="AF707" i="7" s="1"/>
  <c r="AF710" i="7" s="1"/>
  <c r="AG707" i="7" s="1"/>
  <c r="AG710" i="7" s="1"/>
  <c r="AH707" i="7" s="1"/>
  <c r="AH710" i="7" s="1"/>
  <c r="AI707" i="7" s="1"/>
  <c r="AI710" i="7" s="1"/>
  <c r="AJ707" i="7" s="1"/>
  <c r="AJ710" i="7" s="1"/>
  <c r="AK707" i="7" s="1"/>
  <c r="AK710" i="7" s="1"/>
  <c r="AL707" i="7" s="1"/>
  <c r="AL710" i="7" s="1"/>
  <c r="AM707" i="7" s="1"/>
  <c r="AM710" i="7" s="1"/>
  <c r="AN707" i="7" s="1"/>
  <c r="AN710" i="7" s="1"/>
  <c r="AO707" i="7" s="1"/>
  <c r="AO710" i="7" s="1"/>
  <c r="AP707" i="7" s="1"/>
  <c r="AP710" i="7" s="1"/>
  <c r="C96" i="7"/>
  <c r="C678" i="7"/>
  <c r="D675" i="7" s="1"/>
  <c r="D678" i="7" s="1"/>
  <c r="E675" i="7" s="1"/>
  <c r="E678" i="7" s="1"/>
  <c r="F675" i="7" s="1"/>
  <c r="F678" i="7" s="1"/>
  <c r="G675" i="7" s="1"/>
  <c r="G678" i="7" s="1"/>
  <c r="H675" i="7" s="1"/>
  <c r="H678" i="7" s="1"/>
  <c r="I675" i="7" s="1"/>
  <c r="I678" i="7" s="1"/>
  <c r="J675" i="7" s="1"/>
  <c r="J678" i="7" s="1"/>
  <c r="K675" i="7" s="1"/>
  <c r="K678" i="7" s="1"/>
  <c r="L675" i="7" s="1"/>
  <c r="L678" i="7" s="1"/>
  <c r="M675" i="7" s="1"/>
  <c r="M678" i="7" s="1"/>
  <c r="N675" i="7" s="1"/>
  <c r="N678" i="7" s="1"/>
  <c r="O675" i="7" s="1"/>
  <c r="O678" i="7" s="1"/>
  <c r="P675" i="7" s="1"/>
  <c r="P678" i="7" s="1"/>
  <c r="Q675" i="7" s="1"/>
  <c r="Q678" i="7" s="1"/>
  <c r="R675" i="7" s="1"/>
  <c r="R678" i="7" s="1"/>
  <c r="S675" i="7" s="1"/>
  <c r="S678" i="7" s="1"/>
  <c r="T675" i="7" s="1"/>
  <c r="T678" i="7" s="1"/>
  <c r="U675" i="7" s="1"/>
  <c r="U678" i="7" s="1"/>
  <c r="V675" i="7" s="1"/>
  <c r="V678" i="7" s="1"/>
  <c r="W675" i="7" s="1"/>
  <c r="W678" i="7" s="1"/>
  <c r="X675" i="7" s="1"/>
  <c r="X678" i="7" s="1"/>
  <c r="Y675" i="7" s="1"/>
  <c r="Y678" i="7" s="1"/>
  <c r="Z675" i="7" s="1"/>
  <c r="Z678" i="7" s="1"/>
  <c r="AA675" i="7" s="1"/>
  <c r="AA678" i="7" s="1"/>
  <c r="AB675" i="7" s="1"/>
  <c r="AB678" i="7" s="1"/>
  <c r="AC675" i="7" s="1"/>
  <c r="AC678" i="7" s="1"/>
  <c r="AD675" i="7" s="1"/>
  <c r="AD678" i="7" s="1"/>
  <c r="AE675" i="7" s="1"/>
  <c r="AE678" i="7" s="1"/>
  <c r="AF675" i="7" s="1"/>
  <c r="AF678" i="7" s="1"/>
  <c r="AG675" i="7" s="1"/>
  <c r="AG678" i="7" s="1"/>
  <c r="AH675" i="7" s="1"/>
  <c r="AH678" i="7" s="1"/>
  <c r="AI675" i="7" s="1"/>
  <c r="AI678" i="7" s="1"/>
  <c r="AJ675" i="7" s="1"/>
  <c r="AJ678" i="7" s="1"/>
  <c r="AK675" i="7" s="1"/>
  <c r="AK678" i="7" s="1"/>
  <c r="AL675" i="7" s="1"/>
  <c r="AL678" i="7" s="1"/>
  <c r="AM675" i="7" s="1"/>
  <c r="AM678" i="7" s="1"/>
  <c r="AN675" i="7" s="1"/>
  <c r="AN678" i="7" s="1"/>
  <c r="AO675" i="7" s="1"/>
  <c r="AO678" i="7" s="1"/>
  <c r="AP675" i="7" s="1"/>
  <c r="AP678" i="7" s="1"/>
  <c r="C95" i="7"/>
  <c r="C646" i="7"/>
  <c r="D643" i="7" s="1"/>
  <c r="D646" i="7" s="1"/>
  <c r="E643" i="7" s="1"/>
  <c r="E646" i="7" s="1"/>
  <c r="F643" i="7" s="1"/>
  <c r="F646" i="7" s="1"/>
  <c r="G643" i="7" s="1"/>
  <c r="G646" i="7" s="1"/>
  <c r="H643" i="7" s="1"/>
  <c r="H646" i="7" s="1"/>
  <c r="I643" i="7" s="1"/>
  <c r="I646" i="7" s="1"/>
  <c r="J643" i="7" s="1"/>
  <c r="J646" i="7" s="1"/>
  <c r="K643" i="7" s="1"/>
  <c r="K646" i="7" s="1"/>
  <c r="L643" i="7" s="1"/>
  <c r="L646" i="7" s="1"/>
  <c r="M643" i="7" l="1"/>
  <c r="M646" i="7" s="1"/>
  <c r="N643" i="7" l="1"/>
  <c r="N646" i="7" s="1"/>
  <c r="AO592" i="7" l="1"/>
  <c r="AO27" i="7" s="1"/>
  <c r="AO588" i="7"/>
  <c r="AO553" i="7"/>
  <c r="AO127" i="7" s="1"/>
  <c r="AO584" i="7"/>
  <c r="AO580" i="7"/>
  <c r="AO547" i="7"/>
  <c r="AO126" i="7" s="1"/>
  <c r="AO44" i="7"/>
  <c r="AN588" i="7"/>
  <c r="AN553" i="7"/>
  <c r="AN127" i="7" s="1"/>
  <c r="AN592" i="7"/>
  <c r="AN27" i="7" s="1"/>
  <c r="AN580" i="7"/>
  <c r="AN547" i="7"/>
  <c r="AN126" i="7" s="1"/>
  <c r="AN584" i="7"/>
  <c r="AN44" i="7"/>
  <c r="AM584" i="7"/>
  <c r="AM580" i="7"/>
  <c r="AM547" i="7"/>
  <c r="AM126" i="7" s="1"/>
  <c r="AM44" i="7"/>
  <c r="AM592" i="7"/>
  <c r="AM27" i="7" s="1"/>
  <c r="AM588" i="7"/>
  <c r="AM553" i="7"/>
  <c r="AM127" i="7" s="1"/>
  <c r="AL588" i="7"/>
  <c r="AL553" i="7"/>
  <c r="AL127" i="7" s="1"/>
  <c r="AL592" i="7"/>
  <c r="AL27" i="7" s="1"/>
  <c r="AL580" i="7"/>
  <c r="AL547" i="7"/>
  <c r="AL126" i="7" s="1"/>
  <c r="AL584" i="7"/>
  <c r="AL44" i="7"/>
  <c r="AK592" i="7"/>
  <c r="AK27" i="7" s="1"/>
  <c r="AK588" i="7"/>
  <c r="AK584" i="7"/>
  <c r="AK580" i="7"/>
  <c r="AK547" i="7"/>
  <c r="AK126" i="7" s="1"/>
  <c r="AK44" i="7"/>
  <c r="AK553" i="7"/>
  <c r="AK127" i="7" s="1"/>
  <c r="AJ580" i="7"/>
  <c r="AJ547" i="7"/>
  <c r="AJ126" i="7" s="1"/>
  <c r="AJ584" i="7"/>
  <c r="AJ44" i="7"/>
  <c r="AJ588" i="7"/>
  <c r="AJ553" i="7"/>
  <c r="AJ127" i="7" s="1"/>
  <c r="AJ592" i="7"/>
  <c r="AJ27" i="7" s="1"/>
  <c r="AH580" i="7"/>
  <c r="AH547" i="7"/>
  <c r="AH126" i="7" s="1"/>
  <c r="AH584" i="7"/>
  <c r="AH44" i="7"/>
  <c r="AH588" i="7"/>
  <c r="AH553" i="7"/>
  <c r="AH127" i="7" s="1"/>
  <c r="AH592" i="7"/>
  <c r="AH27" i="7" s="1"/>
  <c r="AG584" i="7"/>
  <c r="AG580" i="7"/>
  <c r="AG547" i="7"/>
  <c r="AG126" i="7" s="1"/>
  <c r="AG44" i="7"/>
  <c r="AG592" i="7"/>
  <c r="AG27" i="7" s="1"/>
  <c r="AG588" i="7"/>
  <c r="AG553" i="7"/>
  <c r="AG127" i="7" s="1"/>
  <c r="AP588" i="7"/>
  <c r="AP553" i="7"/>
  <c r="AP127" i="7" s="1"/>
  <c r="AP592" i="7"/>
  <c r="AP27" i="7" s="1"/>
  <c r="AP580" i="7"/>
  <c r="AP547" i="7"/>
  <c r="AP126" i="7" s="1"/>
  <c r="AP584" i="7"/>
  <c r="AP44" i="7"/>
  <c r="AI584" i="7"/>
  <c r="AI547" i="7"/>
  <c r="AI126" i="7" s="1"/>
  <c r="AI592" i="7"/>
  <c r="AI27" i="7" s="1"/>
  <c r="AI588" i="7"/>
  <c r="AI553" i="7"/>
  <c r="AI127" i="7" s="1"/>
  <c r="AI580" i="7"/>
  <c r="AI44" i="7"/>
  <c r="C580" i="7"/>
  <c r="C44" i="7"/>
  <c r="C588" i="7"/>
  <c r="C584" i="7"/>
  <c r="C547" i="7"/>
  <c r="C126" i="7" s="1"/>
  <c r="C592" i="7"/>
  <c r="C27" i="7" s="1"/>
  <c r="C28" i="7" s="1"/>
  <c r="C553" i="7"/>
  <c r="C127" i="7" s="1"/>
  <c r="G592" i="7"/>
  <c r="G27" i="7" s="1"/>
  <c r="G553" i="7"/>
  <c r="G127" i="7" s="1"/>
  <c r="G580" i="7"/>
  <c r="G44" i="7"/>
  <c r="G588" i="7"/>
  <c r="G584" i="7"/>
  <c r="G547" i="7"/>
  <c r="G126" i="7" s="1"/>
  <c r="K592" i="7"/>
  <c r="K27" i="7" s="1"/>
  <c r="K553" i="7"/>
  <c r="K127" i="7" s="1"/>
  <c r="K547" i="7"/>
  <c r="K126" i="7" s="1"/>
  <c r="K580" i="7"/>
  <c r="K588" i="7"/>
  <c r="K584" i="7"/>
  <c r="K44" i="7"/>
  <c r="O592" i="7"/>
  <c r="O27" i="7" s="1"/>
  <c r="O580" i="7"/>
  <c r="O44" i="7"/>
  <c r="O588" i="7"/>
  <c r="O584" i="7"/>
  <c r="O547" i="7"/>
  <c r="O126" i="7" s="1"/>
  <c r="O553" i="7"/>
  <c r="O127" i="7" s="1"/>
  <c r="S584" i="7"/>
  <c r="S547" i="7"/>
  <c r="S126" i="7" s="1"/>
  <c r="S592" i="7"/>
  <c r="S27" i="7" s="1"/>
  <c r="S553" i="7"/>
  <c r="S127" i="7" s="1"/>
  <c r="S580" i="7"/>
  <c r="S44" i="7"/>
  <c r="S588" i="7"/>
  <c r="W584" i="7"/>
  <c r="W547" i="7"/>
  <c r="W126" i="7" s="1"/>
  <c r="W592" i="7"/>
  <c r="W27" i="7" s="1"/>
  <c r="W553" i="7"/>
  <c r="W127" i="7" s="1"/>
  <c r="W580" i="7"/>
  <c r="W44" i="7"/>
  <c r="W588" i="7"/>
  <c r="AA584" i="7"/>
  <c r="AA547" i="7"/>
  <c r="AA126" i="7" s="1"/>
  <c r="AA592" i="7"/>
  <c r="AA27" i="7" s="1"/>
  <c r="AA553" i="7"/>
  <c r="AA127" i="7" s="1"/>
  <c r="AA580" i="7"/>
  <c r="AA44" i="7"/>
  <c r="AA588" i="7"/>
  <c r="AE592" i="7"/>
  <c r="AE27" i="7" s="1"/>
  <c r="AE553" i="7"/>
  <c r="AE127" i="7" s="1"/>
  <c r="AE580" i="7"/>
  <c r="AE44" i="7"/>
  <c r="AE588" i="7"/>
  <c r="AE584" i="7"/>
  <c r="AE547" i="7"/>
  <c r="AE126" i="7" s="1"/>
  <c r="F588" i="7"/>
  <c r="F592" i="7"/>
  <c r="F27" i="7" s="1"/>
  <c r="F547" i="7"/>
  <c r="F126" i="7" s="1"/>
  <c r="F44" i="7"/>
  <c r="F553" i="7"/>
  <c r="F127" i="7" s="1"/>
  <c r="F580" i="7"/>
  <c r="F584" i="7"/>
  <c r="J547" i="7"/>
  <c r="J126" i="7" s="1"/>
  <c r="J44" i="7"/>
  <c r="J553" i="7"/>
  <c r="J127" i="7" s="1"/>
  <c r="J580" i="7"/>
  <c r="J584" i="7"/>
  <c r="J588" i="7"/>
  <c r="J592" i="7"/>
  <c r="J27" i="7" s="1"/>
  <c r="N547" i="7"/>
  <c r="N126" i="7" s="1"/>
  <c r="N44" i="7"/>
  <c r="N553" i="7"/>
  <c r="N127" i="7" s="1"/>
  <c r="N580" i="7"/>
  <c r="N584" i="7"/>
  <c r="N588" i="7"/>
  <c r="N592" i="7"/>
  <c r="N27" i="7" s="1"/>
  <c r="R580" i="7"/>
  <c r="R584" i="7"/>
  <c r="R588" i="7"/>
  <c r="R592" i="7"/>
  <c r="R27" i="7" s="1"/>
  <c r="R547" i="7"/>
  <c r="R126" i="7" s="1"/>
  <c r="R44" i="7"/>
  <c r="R553" i="7"/>
  <c r="R127" i="7" s="1"/>
  <c r="V553" i="7"/>
  <c r="V127" i="7" s="1"/>
  <c r="V547" i="7"/>
  <c r="V126" i="7" s="1"/>
  <c r="V44" i="7"/>
  <c r="V588" i="7"/>
  <c r="V592" i="7"/>
  <c r="V27" i="7" s="1"/>
  <c r="V580" i="7"/>
  <c r="V584" i="7"/>
  <c r="Z553" i="7"/>
  <c r="Z127" i="7" s="1"/>
  <c r="Z580" i="7"/>
  <c r="Z584" i="7"/>
  <c r="Z592" i="7"/>
  <c r="Z27" i="7" s="1"/>
  <c r="Z588" i="7"/>
  <c r="Z547" i="7"/>
  <c r="Z126" i="7" s="1"/>
  <c r="Z44" i="7"/>
  <c r="AD547" i="7"/>
  <c r="AD126" i="7" s="1"/>
  <c r="AD44" i="7"/>
  <c r="AD553" i="7"/>
  <c r="AD127" i="7" s="1"/>
  <c r="AD580" i="7"/>
  <c r="AD584" i="7"/>
  <c r="AD588" i="7"/>
  <c r="AD592" i="7"/>
  <c r="AD27" i="7" s="1"/>
  <c r="E592" i="7"/>
  <c r="E27" i="7" s="1"/>
  <c r="E553" i="7"/>
  <c r="E127" i="7" s="1"/>
  <c r="E580" i="7"/>
  <c r="E44" i="7"/>
  <c r="E588" i="7"/>
  <c r="E584" i="7"/>
  <c r="E547" i="7"/>
  <c r="E126" i="7" s="1"/>
  <c r="I584" i="7"/>
  <c r="I547" i="7"/>
  <c r="I126" i="7" s="1"/>
  <c r="I592" i="7"/>
  <c r="I27" i="7" s="1"/>
  <c r="I553" i="7"/>
  <c r="I127" i="7" s="1"/>
  <c r="I580" i="7"/>
  <c r="I44" i="7"/>
  <c r="I588" i="7"/>
  <c r="M592" i="7"/>
  <c r="M27" i="7" s="1"/>
  <c r="M584" i="7"/>
  <c r="M547" i="7"/>
  <c r="M126" i="7" s="1"/>
  <c r="M588" i="7"/>
  <c r="M553" i="7"/>
  <c r="M127" i="7" s="1"/>
  <c r="M580" i="7"/>
  <c r="M44" i="7"/>
  <c r="Q592" i="7"/>
  <c r="Q27" i="7" s="1"/>
  <c r="Q553" i="7"/>
  <c r="Q127" i="7" s="1"/>
  <c r="Q580" i="7"/>
  <c r="Q44" i="7"/>
  <c r="Q588" i="7"/>
  <c r="Q584" i="7"/>
  <c r="Q547" i="7"/>
  <c r="Q126" i="7" s="1"/>
  <c r="U592" i="7"/>
  <c r="U27" i="7" s="1"/>
  <c r="U553" i="7"/>
  <c r="U127" i="7" s="1"/>
  <c r="U584" i="7"/>
  <c r="U44" i="7"/>
  <c r="U588" i="7"/>
  <c r="U547" i="7"/>
  <c r="U126" i="7" s="1"/>
  <c r="U580" i="7"/>
  <c r="Y592" i="7"/>
  <c r="Y27" i="7" s="1"/>
  <c r="Y553" i="7"/>
  <c r="Y127" i="7" s="1"/>
  <c r="Y580" i="7"/>
  <c r="Y44" i="7"/>
  <c r="Y588" i="7"/>
  <c r="Y584" i="7"/>
  <c r="Y547" i="7"/>
  <c r="Y126" i="7" s="1"/>
  <c r="AC592" i="7"/>
  <c r="AC27" i="7" s="1"/>
  <c r="AC553" i="7"/>
  <c r="AC127" i="7" s="1"/>
  <c r="AC580" i="7"/>
  <c r="AC44" i="7"/>
  <c r="AC588" i="7"/>
  <c r="AC584" i="7"/>
  <c r="AC547" i="7"/>
  <c r="AC126" i="7" s="1"/>
  <c r="D588" i="7"/>
  <c r="D592" i="7"/>
  <c r="D27" i="7" s="1"/>
  <c r="D547" i="7"/>
  <c r="D126" i="7" s="1"/>
  <c r="D44" i="7"/>
  <c r="D553" i="7"/>
  <c r="D127" i="7" s="1"/>
  <c r="D580" i="7"/>
  <c r="D584" i="7"/>
  <c r="H547" i="7"/>
  <c r="H126" i="7" s="1"/>
  <c r="H44" i="7"/>
  <c r="H580" i="7"/>
  <c r="H584" i="7"/>
  <c r="H588" i="7"/>
  <c r="H592" i="7"/>
  <c r="H27" i="7" s="1"/>
  <c r="H553" i="7"/>
  <c r="H127" i="7" s="1"/>
  <c r="L547" i="7"/>
  <c r="L126" i="7" s="1"/>
  <c r="L44" i="7"/>
  <c r="L553" i="7"/>
  <c r="L127" i="7" s="1"/>
  <c r="L580" i="7"/>
  <c r="L584" i="7"/>
  <c r="L588" i="7"/>
  <c r="L592" i="7"/>
  <c r="L27" i="7" s="1"/>
  <c r="P547" i="7"/>
  <c r="P126" i="7" s="1"/>
  <c r="P44" i="7"/>
  <c r="P553" i="7"/>
  <c r="P127" i="7" s="1"/>
  <c r="P580" i="7"/>
  <c r="P584" i="7"/>
  <c r="P588" i="7"/>
  <c r="P592" i="7"/>
  <c r="P27" i="7" s="1"/>
  <c r="T588" i="7"/>
  <c r="T592" i="7"/>
  <c r="T27" i="7" s="1"/>
  <c r="T584" i="7"/>
  <c r="T547" i="7"/>
  <c r="T126" i="7" s="1"/>
  <c r="T553" i="7"/>
  <c r="T127" i="7" s="1"/>
  <c r="T580" i="7"/>
  <c r="T44" i="7"/>
  <c r="X547" i="7"/>
  <c r="X126" i="7" s="1"/>
  <c r="X44" i="7"/>
  <c r="X553" i="7"/>
  <c r="X127" i="7" s="1"/>
  <c r="X580" i="7"/>
  <c r="X584" i="7"/>
  <c r="X588" i="7"/>
  <c r="X592" i="7"/>
  <c r="X27" i="7" s="1"/>
  <c r="AB588" i="7"/>
  <c r="AB592" i="7"/>
  <c r="AB27" i="7" s="1"/>
  <c r="AB584" i="7"/>
  <c r="AB580" i="7"/>
  <c r="AB553" i="7"/>
  <c r="AB127" i="7" s="1"/>
  <c r="AB547" i="7"/>
  <c r="AB126" i="7" s="1"/>
  <c r="AB44" i="7"/>
  <c r="AF547" i="7"/>
  <c r="AF126" i="7" s="1"/>
  <c r="AF44" i="7"/>
  <c r="AF553" i="7"/>
  <c r="AF127" i="7" s="1"/>
  <c r="AF580" i="7"/>
  <c r="AF584" i="7"/>
  <c r="AF588" i="7"/>
  <c r="AF592" i="7"/>
  <c r="AF27" i="7" s="1"/>
  <c r="O643" i="7"/>
  <c r="O646" i="7" s="1"/>
  <c r="Y64" i="7" l="1"/>
  <c r="Y66" i="7" s="1"/>
  <c r="F64" i="7"/>
  <c r="F66" i="7" s="1"/>
  <c r="L64" i="7"/>
  <c r="L66" i="7" s="1"/>
  <c r="D64" i="7"/>
  <c r="D66" i="7" s="1"/>
  <c r="Q64" i="7"/>
  <c r="Q66" i="7" s="1"/>
  <c r="M64" i="7"/>
  <c r="M66" i="7" s="1"/>
  <c r="I64" i="7"/>
  <c r="I66" i="7" s="1"/>
  <c r="Z64" i="7"/>
  <c r="Z66" i="7" s="1"/>
  <c r="S64" i="7"/>
  <c r="S66" i="7" s="1"/>
  <c r="C64" i="7"/>
  <c r="C66" i="7" s="1"/>
  <c r="AL64" i="7"/>
  <c r="AL66" i="7" s="1"/>
  <c r="AF64" i="7"/>
  <c r="AF66" i="7" s="1"/>
  <c r="T64" i="7"/>
  <c r="T66" i="7" s="1"/>
  <c r="P64" i="7"/>
  <c r="P66" i="7" s="1"/>
  <c r="U64" i="7"/>
  <c r="U66" i="7" s="1"/>
  <c r="E64" i="7"/>
  <c r="E66" i="7" s="1"/>
  <c r="J64" i="7"/>
  <c r="J66" i="7" s="1"/>
  <c r="AE64" i="7"/>
  <c r="AE66" i="7" s="1"/>
  <c r="W64" i="7"/>
  <c r="W66" i="7" s="1"/>
  <c r="K64" i="7"/>
  <c r="K66" i="7" s="1"/>
  <c r="AP64" i="7"/>
  <c r="AP66" i="7" s="1"/>
  <c r="AJ64" i="7"/>
  <c r="AJ66" i="7" s="1"/>
  <c r="AO64" i="7"/>
  <c r="AO66" i="7" s="1"/>
  <c r="AD64" i="7"/>
  <c r="AD66" i="7" s="1"/>
  <c r="AA64" i="7"/>
  <c r="AA66" i="7" s="1"/>
  <c r="O64" i="7"/>
  <c r="O66" i="7" s="1"/>
  <c r="AI64" i="7"/>
  <c r="AI66" i="7" s="1"/>
  <c r="AH64" i="7"/>
  <c r="AH66" i="7" s="1"/>
  <c r="AK64" i="7"/>
  <c r="AK66" i="7" s="1"/>
  <c r="AM64" i="7"/>
  <c r="AM66" i="7" s="1"/>
  <c r="AN64" i="7"/>
  <c r="AN66" i="7" s="1"/>
  <c r="N64" i="7"/>
  <c r="N66" i="7" s="1"/>
  <c r="AB64" i="7"/>
  <c r="AB66" i="7" s="1"/>
  <c r="X64" i="7"/>
  <c r="X66" i="7" s="1"/>
  <c r="H64" i="7"/>
  <c r="H66" i="7" s="1"/>
  <c r="AC64" i="7"/>
  <c r="AC66" i="7" s="1"/>
  <c r="V64" i="7"/>
  <c r="V66" i="7" s="1"/>
  <c r="R64" i="7"/>
  <c r="R66" i="7" s="1"/>
  <c r="G64" i="7"/>
  <c r="G66" i="7" s="1"/>
  <c r="AG64" i="7"/>
  <c r="AG66" i="7" s="1"/>
  <c r="AC637" i="7"/>
  <c r="Y637" i="7"/>
  <c r="U637" i="7"/>
  <c r="Q637" i="7"/>
  <c r="E637" i="7"/>
  <c r="Z637" i="7"/>
  <c r="V637" i="7"/>
  <c r="R637" i="7"/>
  <c r="AA637" i="7"/>
  <c r="W637" i="7"/>
  <c r="S637" i="7"/>
  <c r="AL637" i="7"/>
  <c r="X637" i="7"/>
  <c r="AF637" i="7"/>
  <c r="T637" i="7"/>
  <c r="D637" i="7"/>
  <c r="M637" i="7"/>
  <c r="AD637" i="7"/>
  <c r="N637" i="7"/>
  <c r="J637" i="7"/>
  <c r="AP637" i="7"/>
  <c r="AJ637" i="7"/>
  <c r="AO637" i="7"/>
  <c r="AB637" i="7"/>
  <c r="I637" i="7"/>
  <c r="AE637" i="7"/>
  <c r="O637" i="7"/>
  <c r="K637" i="7"/>
  <c r="G637" i="7"/>
  <c r="AI637" i="7"/>
  <c r="AH637" i="7"/>
  <c r="AK637" i="7"/>
  <c r="AM637" i="7"/>
  <c r="AN637" i="7"/>
  <c r="P637" i="7"/>
  <c r="L637" i="7"/>
  <c r="H637" i="7"/>
  <c r="F637" i="7"/>
  <c r="AG637" i="7"/>
  <c r="C637" i="7"/>
  <c r="C594" i="7"/>
  <c r="B149" i="7"/>
  <c r="AB234" i="7"/>
  <c r="AB194" i="7"/>
  <c r="AB75" i="7"/>
  <c r="X233" i="7"/>
  <c r="X193" i="7"/>
  <c r="X74" i="7"/>
  <c r="T231" i="7"/>
  <c r="T72" i="7"/>
  <c r="T191" i="7"/>
  <c r="T232" i="7"/>
  <c r="T192" i="7"/>
  <c r="T73" i="7"/>
  <c r="P231" i="7"/>
  <c r="P191" i="7"/>
  <c r="P72" i="7"/>
  <c r="L232" i="7"/>
  <c r="L192" i="7"/>
  <c r="L73" i="7"/>
  <c r="H231" i="7"/>
  <c r="H191" i="7"/>
  <c r="H72" i="7"/>
  <c r="D231" i="7"/>
  <c r="D72" i="7"/>
  <c r="D191" i="7"/>
  <c r="AC234" i="7"/>
  <c r="AC194" i="7"/>
  <c r="AC75" i="7"/>
  <c r="Y233" i="7"/>
  <c r="Y193" i="7"/>
  <c r="Y74" i="7"/>
  <c r="Q232" i="7"/>
  <c r="Q73" i="7"/>
  <c r="Q192" i="7"/>
  <c r="Q231" i="7"/>
  <c r="Q191" i="7"/>
  <c r="Q72" i="7"/>
  <c r="M234" i="7"/>
  <c r="M194" i="7"/>
  <c r="M75" i="7"/>
  <c r="I231" i="7"/>
  <c r="I191" i="7"/>
  <c r="I72" i="7"/>
  <c r="AD234" i="7"/>
  <c r="AD194" i="7"/>
  <c r="AD75" i="7"/>
  <c r="Z233" i="7"/>
  <c r="Z193" i="7"/>
  <c r="Z74" i="7"/>
  <c r="V234" i="7"/>
  <c r="V194" i="7"/>
  <c r="V75" i="7"/>
  <c r="R233" i="7"/>
  <c r="R74" i="7"/>
  <c r="R193" i="7"/>
  <c r="N234" i="7"/>
  <c r="N194" i="7"/>
  <c r="N75" i="7"/>
  <c r="J231" i="7"/>
  <c r="J72" i="7"/>
  <c r="J191" i="7"/>
  <c r="F234" i="7"/>
  <c r="F194" i="7"/>
  <c r="F75" i="7"/>
  <c r="AA233" i="7"/>
  <c r="AA193" i="7"/>
  <c r="AA74" i="7"/>
  <c r="W232" i="7"/>
  <c r="W192" i="7"/>
  <c r="W73" i="7"/>
  <c r="S231" i="7"/>
  <c r="S191" i="7"/>
  <c r="S72" i="7"/>
  <c r="O232" i="7"/>
  <c r="O192" i="7"/>
  <c r="O73" i="7"/>
  <c r="O231" i="7"/>
  <c r="O72" i="7"/>
  <c r="O191" i="7"/>
  <c r="K232" i="7"/>
  <c r="K73" i="7"/>
  <c r="K192" i="7"/>
  <c r="G234" i="7"/>
  <c r="G194" i="7"/>
  <c r="G75" i="7"/>
  <c r="AI234" i="7"/>
  <c r="AI194" i="7"/>
  <c r="AI75" i="7"/>
  <c r="AP232" i="7"/>
  <c r="AP192" i="7"/>
  <c r="AP73" i="7"/>
  <c r="AG234" i="7"/>
  <c r="AG194" i="7"/>
  <c r="AG75" i="7"/>
  <c r="AG232" i="7"/>
  <c r="AG192" i="7"/>
  <c r="AG73" i="7"/>
  <c r="AJ234" i="7"/>
  <c r="AJ194" i="7"/>
  <c r="AJ75" i="7"/>
  <c r="AJ232" i="7"/>
  <c r="AJ192" i="7"/>
  <c r="AJ73" i="7"/>
  <c r="AK232" i="7"/>
  <c r="AK73" i="7"/>
  <c r="AK192" i="7"/>
  <c r="AL233" i="7"/>
  <c r="AL193" i="7"/>
  <c r="AL74" i="7"/>
  <c r="AM233" i="7"/>
  <c r="AM193" i="7"/>
  <c r="AM74" i="7"/>
  <c r="AM231" i="7"/>
  <c r="AM191" i="7"/>
  <c r="AM72" i="7"/>
  <c r="AN234" i="7"/>
  <c r="AN194" i="7"/>
  <c r="AN75" i="7"/>
  <c r="AB231" i="7"/>
  <c r="AB191" i="7"/>
  <c r="AB72" i="7"/>
  <c r="P234" i="7"/>
  <c r="P194" i="7"/>
  <c r="P75" i="7"/>
  <c r="L231" i="7"/>
  <c r="L72" i="7"/>
  <c r="L191" i="7"/>
  <c r="H234" i="7"/>
  <c r="H194" i="7"/>
  <c r="H75" i="7"/>
  <c r="AC232" i="7"/>
  <c r="AC73" i="7"/>
  <c r="AC192" i="7"/>
  <c r="AC231" i="7"/>
  <c r="AC191" i="7"/>
  <c r="AC72" i="7"/>
  <c r="Y234" i="7"/>
  <c r="Y194" i="7"/>
  <c r="Y75" i="7"/>
  <c r="U233" i="7"/>
  <c r="U193" i="7"/>
  <c r="U74" i="7"/>
  <c r="M233" i="7"/>
  <c r="M193" i="7"/>
  <c r="M74" i="7"/>
  <c r="I232" i="7"/>
  <c r="I73" i="7"/>
  <c r="I192" i="7"/>
  <c r="E233" i="7"/>
  <c r="E193" i="7"/>
  <c r="E74" i="7"/>
  <c r="AD233" i="7"/>
  <c r="AD193" i="7"/>
  <c r="AD74" i="7"/>
  <c r="Z234" i="7"/>
  <c r="Z194" i="7"/>
  <c r="Z75" i="7"/>
  <c r="V233" i="7"/>
  <c r="V193" i="7"/>
  <c r="V74" i="7"/>
  <c r="R232" i="7"/>
  <c r="R192" i="7"/>
  <c r="R73" i="7"/>
  <c r="N233" i="7"/>
  <c r="N74" i="7"/>
  <c r="N193" i="7"/>
  <c r="J234" i="7"/>
  <c r="J194" i="7"/>
  <c r="J75" i="7"/>
  <c r="F232" i="7"/>
  <c r="F192" i="7"/>
  <c r="F73" i="7"/>
  <c r="F233" i="7"/>
  <c r="F74" i="7"/>
  <c r="F193" i="7"/>
  <c r="AE233" i="7"/>
  <c r="AE193" i="7"/>
  <c r="AE74" i="7"/>
  <c r="AA234" i="7"/>
  <c r="AA194" i="7"/>
  <c r="AA75" i="7"/>
  <c r="W233" i="7"/>
  <c r="W193" i="7"/>
  <c r="W74" i="7"/>
  <c r="S232" i="7"/>
  <c r="S192" i="7"/>
  <c r="S73" i="7"/>
  <c r="O233" i="7"/>
  <c r="O193" i="7"/>
  <c r="O74" i="7"/>
  <c r="G232" i="7"/>
  <c r="G192" i="7"/>
  <c r="G73" i="7"/>
  <c r="G231" i="7"/>
  <c r="G72" i="7"/>
  <c r="G191" i="7"/>
  <c r="C232" i="7"/>
  <c r="C192" i="7"/>
  <c r="C73" i="7"/>
  <c r="C231" i="7"/>
  <c r="C191" i="7"/>
  <c r="C72" i="7"/>
  <c r="AP234" i="7"/>
  <c r="AP194" i="7"/>
  <c r="AP75" i="7"/>
  <c r="AH233" i="7"/>
  <c r="AH193" i="7"/>
  <c r="AH74" i="7"/>
  <c r="AH231" i="7"/>
  <c r="AH72" i="7"/>
  <c r="AH191" i="7"/>
  <c r="AL232" i="7"/>
  <c r="AL192" i="7"/>
  <c r="AL73" i="7"/>
  <c r="AM234" i="7"/>
  <c r="AM194" i="7"/>
  <c r="AM75" i="7"/>
  <c r="AM232" i="7"/>
  <c r="AM192" i="7"/>
  <c r="AM73" i="7"/>
  <c r="AN231" i="7"/>
  <c r="AN191" i="7"/>
  <c r="AN72" i="7"/>
  <c r="AO231" i="7"/>
  <c r="AO191" i="7"/>
  <c r="AO72" i="7"/>
  <c r="X232" i="7"/>
  <c r="X192" i="7"/>
  <c r="X73" i="7"/>
  <c r="D234" i="7"/>
  <c r="D194" i="7"/>
  <c r="D75" i="7"/>
  <c r="Y232" i="7"/>
  <c r="Y73" i="7"/>
  <c r="Y192" i="7"/>
  <c r="Y231" i="7"/>
  <c r="Y191" i="7"/>
  <c r="Y72" i="7"/>
  <c r="U231" i="7"/>
  <c r="U191" i="7"/>
  <c r="U72" i="7"/>
  <c r="U234" i="7"/>
  <c r="U194" i="7"/>
  <c r="U75" i="7"/>
  <c r="Q233" i="7"/>
  <c r="Q193" i="7"/>
  <c r="Q74" i="7"/>
  <c r="M231" i="7"/>
  <c r="M191" i="7"/>
  <c r="M72" i="7"/>
  <c r="I233" i="7"/>
  <c r="I193" i="7"/>
  <c r="I74" i="7"/>
  <c r="E234" i="7"/>
  <c r="E194" i="7"/>
  <c r="E75" i="7"/>
  <c r="AD232" i="7"/>
  <c r="AD192" i="7"/>
  <c r="AD73" i="7"/>
  <c r="Z232" i="7"/>
  <c r="Z192" i="7"/>
  <c r="Z73" i="7"/>
  <c r="V232" i="7"/>
  <c r="V192" i="7"/>
  <c r="V73" i="7"/>
  <c r="R234" i="7"/>
  <c r="R194" i="7"/>
  <c r="R75" i="7"/>
  <c r="R231" i="7"/>
  <c r="R72" i="7"/>
  <c r="R191" i="7"/>
  <c r="N232" i="7"/>
  <c r="N192" i="7"/>
  <c r="N73" i="7"/>
  <c r="J233" i="7"/>
  <c r="J193" i="7"/>
  <c r="J74" i="7"/>
  <c r="F231" i="7"/>
  <c r="F72" i="7"/>
  <c r="F191" i="7"/>
  <c r="AE234" i="7"/>
  <c r="AE194" i="7"/>
  <c r="AE75" i="7"/>
  <c r="AA231" i="7"/>
  <c r="AA191" i="7"/>
  <c r="AA72" i="7"/>
  <c r="W234" i="7"/>
  <c r="W194" i="7"/>
  <c r="W75" i="7"/>
  <c r="S233" i="7"/>
  <c r="S193" i="7"/>
  <c r="S74" i="7"/>
  <c r="O234" i="7"/>
  <c r="O194" i="7"/>
  <c r="O75" i="7"/>
  <c r="K233" i="7"/>
  <c r="K193" i="7"/>
  <c r="K74" i="7"/>
  <c r="AI232" i="7"/>
  <c r="AI192" i="7"/>
  <c r="AI73" i="7"/>
  <c r="AP231" i="7"/>
  <c r="AP191" i="7"/>
  <c r="AP72" i="7"/>
  <c r="AJ233" i="7"/>
  <c r="AJ193" i="7"/>
  <c r="AJ74" i="7"/>
  <c r="AJ231" i="7"/>
  <c r="AJ72" i="7"/>
  <c r="AJ191" i="7"/>
  <c r="AK233" i="7"/>
  <c r="AK193" i="7"/>
  <c r="AK74" i="7"/>
  <c r="AL234" i="7"/>
  <c r="AL194" i="7"/>
  <c r="AL75" i="7"/>
  <c r="AN233" i="7"/>
  <c r="AN193" i="7"/>
  <c r="AN74" i="7"/>
  <c r="AO232" i="7"/>
  <c r="AO192" i="7"/>
  <c r="AO73" i="7"/>
  <c r="AO233" i="7"/>
  <c r="AO193" i="7"/>
  <c r="AO74" i="7"/>
  <c r="AF231" i="7"/>
  <c r="AF191" i="7"/>
  <c r="AF72" i="7"/>
  <c r="AF234" i="7"/>
  <c r="AF194" i="7"/>
  <c r="AF75" i="7"/>
  <c r="AB233" i="7"/>
  <c r="AB193" i="7"/>
  <c r="AB74" i="7"/>
  <c r="AF233" i="7"/>
  <c r="AF193" i="7"/>
  <c r="AF74" i="7"/>
  <c r="AB232" i="7"/>
  <c r="AB192" i="7"/>
  <c r="AB73" i="7"/>
  <c r="X231" i="7"/>
  <c r="X191" i="7"/>
  <c r="X72" i="7"/>
  <c r="T234" i="7"/>
  <c r="T194" i="7"/>
  <c r="T75" i="7"/>
  <c r="P233" i="7"/>
  <c r="P193" i="7"/>
  <c r="P74" i="7"/>
  <c r="L234" i="7"/>
  <c r="L194" i="7"/>
  <c r="L75" i="7"/>
  <c r="H233" i="7"/>
  <c r="H193" i="7"/>
  <c r="H74" i="7"/>
  <c r="AF232" i="7"/>
  <c r="AF192" i="7"/>
  <c r="AF73" i="7"/>
  <c r="X234" i="7"/>
  <c r="X194" i="7"/>
  <c r="X75" i="7"/>
  <c r="T233" i="7"/>
  <c r="T193" i="7"/>
  <c r="T74" i="7"/>
  <c r="P232" i="7"/>
  <c r="P192" i="7"/>
  <c r="P73" i="7"/>
  <c r="L233" i="7"/>
  <c r="L193" i="7"/>
  <c r="L74" i="7"/>
  <c r="H232" i="7"/>
  <c r="H192" i="7"/>
  <c r="H73" i="7"/>
  <c r="D232" i="7"/>
  <c r="D192" i="7"/>
  <c r="D73" i="7"/>
  <c r="D233" i="7"/>
  <c r="D193" i="7"/>
  <c r="D74" i="7"/>
  <c r="AC233" i="7"/>
  <c r="AC193" i="7"/>
  <c r="AC74" i="7"/>
  <c r="U232" i="7"/>
  <c r="U192" i="7"/>
  <c r="U73" i="7"/>
  <c r="Q234" i="7"/>
  <c r="Q194" i="7"/>
  <c r="Q75" i="7"/>
  <c r="M232" i="7"/>
  <c r="M192" i="7"/>
  <c r="M73" i="7"/>
  <c r="I234" i="7"/>
  <c r="I194" i="7"/>
  <c r="I75" i="7"/>
  <c r="E232" i="7"/>
  <c r="E192" i="7"/>
  <c r="E73" i="7"/>
  <c r="E231" i="7"/>
  <c r="E191" i="7"/>
  <c r="E72" i="7"/>
  <c r="AD231" i="7"/>
  <c r="AD191" i="7"/>
  <c r="AD72" i="7"/>
  <c r="Z231" i="7"/>
  <c r="Z191" i="7"/>
  <c r="Z72" i="7"/>
  <c r="V231" i="7"/>
  <c r="V191" i="7"/>
  <c r="V72" i="7"/>
  <c r="N231" i="7"/>
  <c r="N72" i="7"/>
  <c r="N191" i="7"/>
  <c r="J232" i="7"/>
  <c r="J192" i="7"/>
  <c r="J73" i="7"/>
  <c r="AE232" i="7"/>
  <c r="AE192" i="7"/>
  <c r="AE73" i="7"/>
  <c r="AE231" i="7"/>
  <c r="AE191" i="7"/>
  <c r="AE72" i="7"/>
  <c r="AA232" i="7"/>
  <c r="AA73" i="7"/>
  <c r="AA192" i="7"/>
  <c r="W231" i="7"/>
  <c r="W191" i="7"/>
  <c r="W72" i="7"/>
  <c r="S234" i="7"/>
  <c r="S194" i="7"/>
  <c r="S75" i="7"/>
  <c r="K231" i="7"/>
  <c r="K72" i="7"/>
  <c r="K191" i="7"/>
  <c r="K234" i="7"/>
  <c r="K194" i="7"/>
  <c r="K75" i="7"/>
  <c r="G233" i="7"/>
  <c r="G193" i="7"/>
  <c r="G74" i="7"/>
  <c r="C234" i="7"/>
  <c r="C75" i="7"/>
  <c r="C194" i="7"/>
  <c r="C233" i="7"/>
  <c r="C74" i="7"/>
  <c r="C193" i="7"/>
  <c r="AI231" i="7"/>
  <c r="AI191" i="7"/>
  <c r="AI72" i="7"/>
  <c r="AI233" i="7"/>
  <c r="AI193" i="7"/>
  <c r="AI74" i="7"/>
  <c r="AP233" i="7"/>
  <c r="AP193" i="7"/>
  <c r="AP74" i="7"/>
  <c r="AG233" i="7"/>
  <c r="AG193" i="7"/>
  <c r="AG74" i="7"/>
  <c r="AG231" i="7"/>
  <c r="AG191" i="7"/>
  <c r="AG72" i="7"/>
  <c r="AH234" i="7"/>
  <c r="AH194" i="7"/>
  <c r="AH75" i="7"/>
  <c r="AH232" i="7"/>
  <c r="AH192" i="7"/>
  <c r="AH73" i="7"/>
  <c r="AK231" i="7"/>
  <c r="AK191" i="7"/>
  <c r="AK72" i="7"/>
  <c r="AK234" i="7"/>
  <c r="AK194" i="7"/>
  <c r="AK75" i="7"/>
  <c r="AL231" i="7"/>
  <c r="AL191" i="7"/>
  <c r="AL72" i="7"/>
  <c r="AN232" i="7"/>
  <c r="AN192" i="7"/>
  <c r="AN73" i="7"/>
  <c r="AO234" i="7"/>
  <c r="AO194" i="7"/>
  <c r="AO75" i="7"/>
  <c r="AI28" i="7"/>
  <c r="AI594" i="7"/>
  <c r="AI209" i="7"/>
  <c r="AI128" i="7"/>
  <c r="AP209" i="7"/>
  <c r="AP128" i="7"/>
  <c r="AG28" i="7"/>
  <c r="AG594" i="7"/>
  <c r="AH28" i="7"/>
  <c r="AH594" i="7"/>
  <c r="AJ28" i="7"/>
  <c r="AJ594" i="7"/>
  <c r="AK209" i="7"/>
  <c r="AK128" i="7"/>
  <c r="AL209" i="7"/>
  <c r="AL128" i="7"/>
  <c r="AM28" i="7"/>
  <c r="AM594" i="7"/>
  <c r="AN209" i="7"/>
  <c r="AN128" i="7"/>
  <c r="AO209" i="7"/>
  <c r="AO128" i="7"/>
  <c r="AP28" i="7"/>
  <c r="AP594" i="7"/>
  <c r="AG209" i="7"/>
  <c r="AG128" i="7"/>
  <c r="AH209" i="7"/>
  <c r="AH128" i="7"/>
  <c r="AJ209" i="7"/>
  <c r="AJ128" i="7"/>
  <c r="AK28" i="7"/>
  <c r="AK594" i="7"/>
  <c r="AL28" i="7"/>
  <c r="AL594" i="7"/>
  <c r="AM209" i="7"/>
  <c r="AM128" i="7"/>
  <c r="AN28" i="7"/>
  <c r="AN594" i="7"/>
  <c r="AO28" i="7"/>
  <c r="AO594" i="7"/>
  <c r="AB28" i="7"/>
  <c r="AB594" i="7"/>
  <c r="T209" i="7"/>
  <c r="T128" i="7"/>
  <c r="L28" i="7"/>
  <c r="L594" i="7"/>
  <c r="L209" i="7"/>
  <c r="L128" i="7"/>
  <c r="AC28" i="7"/>
  <c r="AC594" i="7"/>
  <c r="Y209" i="7"/>
  <c r="Y128" i="7"/>
  <c r="U209" i="7"/>
  <c r="U128" i="7"/>
  <c r="Q209" i="7"/>
  <c r="Q128" i="7"/>
  <c r="E28" i="7"/>
  <c r="E594" i="7"/>
  <c r="Z209" i="7"/>
  <c r="Z128" i="7"/>
  <c r="R28" i="7"/>
  <c r="R594" i="7"/>
  <c r="J28" i="7"/>
  <c r="J594" i="7"/>
  <c r="J209" i="7"/>
  <c r="J128" i="7"/>
  <c r="F28" i="7"/>
  <c r="F594" i="7"/>
  <c r="F209" i="7"/>
  <c r="F128" i="7"/>
  <c r="AE28" i="7"/>
  <c r="AE594" i="7"/>
  <c r="W28" i="7"/>
  <c r="W594" i="7"/>
  <c r="W209" i="7"/>
  <c r="W128" i="7"/>
  <c r="O209" i="7"/>
  <c r="O128" i="7"/>
  <c r="K28" i="7"/>
  <c r="K594" i="7"/>
  <c r="G28" i="7"/>
  <c r="G594" i="7"/>
  <c r="AF28" i="7"/>
  <c r="AF594" i="7"/>
  <c r="AF209" i="7"/>
  <c r="AF128" i="7"/>
  <c r="AB209" i="7"/>
  <c r="AB128" i="7"/>
  <c r="X28" i="7"/>
  <c r="X594" i="7"/>
  <c r="X209" i="7"/>
  <c r="X128" i="7"/>
  <c r="T28" i="7"/>
  <c r="T594" i="7"/>
  <c r="P28" i="7"/>
  <c r="P594" i="7"/>
  <c r="P209" i="7"/>
  <c r="P128" i="7"/>
  <c r="H28" i="7"/>
  <c r="H594" i="7"/>
  <c r="H209" i="7"/>
  <c r="H128" i="7"/>
  <c r="D28" i="7"/>
  <c r="D594" i="7"/>
  <c r="D209" i="7"/>
  <c r="D128" i="7"/>
  <c r="AC209" i="7"/>
  <c r="AC128" i="7"/>
  <c r="Y28" i="7"/>
  <c r="Y594" i="7"/>
  <c r="U28" i="7"/>
  <c r="U594" i="7"/>
  <c r="Q28" i="7"/>
  <c r="Q594" i="7"/>
  <c r="M28" i="7"/>
  <c r="M594" i="7"/>
  <c r="M209" i="7"/>
  <c r="M128" i="7"/>
  <c r="I28" i="7"/>
  <c r="I594" i="7"/>
  <c r="I209" i="7"/>
  <c r="I128" i="7"/>
  <c r="E209" i="7"/>
  <c r="E128" i="7"/>
  <c r="AD28" i="7"/>
  <c r="AD594" i="7"/>
  <c r="AD209" i="7"/>
  <c r="AD128" i="7"/>
  <c r="Z28" i="7"/>
  <c r="Z594" i="7"/>
  <c r="V28" i="7"/>
  <c r="V594" i="7"/>
  <c r="V209" i="7"/>
  <c r="V128" i="7"/>
  <c r="R209" i="7"/>
  <c r="R128" i="7"/>
  <c r="N28" i="7"/>
  <c r="N594" i="7"/>
  <c r="N209" i="7"/>
  <c r="N128" i="7"/>
  <c r="AE209" i="7"/>
  <c r="AE128" i="7"/>
  <c r="AA28" i="7"/>
  <c r="AA594" i="7"/>
  <c r="AA209" i="7"/>
  <c r="AA128" i="7"/>
  <c r="S28" i="7"/>
  <c r="S594" i="7"/>
  <c r="S209" i="7"/>
  <c r="S128" i="7"/>
  <c r="O28" i="7"/>
  <c r="O594" i="7"/>
  <c r="K209" i="7"/>
  <c r="K128" i="7"/>
  <c r="G209" i="7"/>
  <c r="G128" i="7"/>
  <c r="C209" i="7"/>
  <c r="C128" i="7"/>
  <c r="P643" i="7"/>
  <c r="P646" i="7" s="1"/>
  <c r="B153" i="7" l="1"/>
  <c r="B152" i="7"/>
  <c r="V235" i="7"/>
  <c r="V236" i="7" s="1"/>
  <c r="Z235" i="7"/>
  <c r="Z236" i="7" s="1"/>
  <c r="C195" i="7"/>
  <c r="F235" i="7"/>
  <c r="F236" i="7" s="1"/>
  <c r="AJ235" i="7"/>
  <c r="AJ236" i="7" s="1"/>
  <c r="Y235" i="7"/>
  <c r="Y236" i="7" s="1"/>
  <c r="AA235" i="7"/>
  <c r="AA236" i="7" s="1"/>
  <c r="AK235" i="7"/>
  <c r="AK236" i="7" s="1"/>
  <c r="K235" i="7"/>
  <c r="K236" i="7" s="1"/>
  <c r="N235" i="7"/>
  <c r="N236" i="7" s="1"/>
  <c r="AL235" i="7"/>
  <c r="AL236" i="7" s="1"/>
  <c r="W235" i="7"/>
  <c r="W236" i="7" s="1"/>
  <c r="AD235" i="7"/>
  <c r="AD236" i="7" s="1"/>
  <c r="X235" i="7"/>
  <c r="X236" i="7" s="1"/>
  <c r="R235" i="7"/>
  <c r="R236" i="7" s="1"/>
  <c r="AN235" i="7"/>
  <c r="AN236" i="7" s="1"/>
  <c r="AH235" i="7"/>
  <c r="AH236" i="7" s="1"/>
  <c r="L235" i="7"/>
  <c r="L236" i="7" s="1"/>
  <c r="AM235" i="7"/>
  <c r="AM236" i="7" s="1"/>
  <c r="O235" i="7"/>
  <c r="O236" i="7" s="1"/>
  <c r="I235" i="7"/>
  <c r="I236" i="7" s="1"/>
  <c r="M235" i="7"/>
  <c r="M236" i="7" s="1"/>
  <c r="AO235" i="7"/>
  <c r="AO236" i="7" s="1"/>
  <c r="H235" i="7"/>
  <c r="H236" i="7" s="1"/>
  <c r="T235" i="7"/>
  <c r="T236" i="7" s="1"/>
  <c r="AE235" i="7"/>
  <c r="AE236" i="7" s="1"/>
  <c r="U235" i="7"/>
  <c r="U236" i="7" s="1"/>
  <c r="AB235" i="7"/>
  <c r="AB236" i="7" s="1"/>
  <c r="S235" i="7"/>
  <c r="S236" i="7" s="1"/>
  <c r="J235" i="7"/>
  <c r="J236" i="7" s="1"/>
  <c r="Q235" i="7"/>
  <c r="Q236" i="7" s="1"/>
  <c r="D235" i="7"/>
  <c r="D236" i="7" s="1"/>
  <c r="AG235" i="7"/>
  <c r="AG236" i="7" s="1"/>
  <c r="AI235" i="7"/>
  <c r="AI236" i="7" s="1"/>
  <c r="E235" i="7"/>
  <c r="E236" i="7" s="1"/>
  <c r="AF235" i="7"/>
  <c r="AF236" i="7" s="1"/>
  <c r="AP235" i="7"/>
  <c r="AP236" i="7" s="1"/>
  <c r="G235" i="7"/>
  <c r="G236" i="7" s="1"/>
  <c r="AC235" i="7"/>
  <c r="AC236" i="7" s="1"/>
  <c r="P235" i="7"/>
  <c r="P236" i="7" s="1"/>
  <c r="S76" i="7"/>
  <c r="AF76" i="7"/>
  <c r="AP76" i="7"/>
  <c r="AK195" i="7"/>
  <c r="AK196" i="7" s="1"/>
  <c r="AL76" i="7"/>
  <c r="S195" i="7"/>
  <c r="S196" i="7" s="1"/>
  <c r="AJ76" i="7"/>
  <c r="AJ195" i="7"/>
  <c r="AJ196" i="7" s="1"/>
  <c r="AK76" i="7"/>
  <c r="AP195" i="7"/>
  <c r="AP196" i="7" s="1"/>
  <c r="AH76" i="7"/>
  <c r="AH195" i="7"/>
  <c r="AH196" i="7" s="1"/>
  <c r="AO195" i="7"/>
  <c r="AO196" i="7" s="1"/>
  <c r="AN195" i="7"/>
  <c r="AN196" i="7" s="1"/>
  <c r="AN76" i="7"/>
  <c r="AL195" i="7"/>
  <c r="AL196" i="7" s="1"/>
  <c r="AM76" i="7"/>
  <c r="AM195" i="7"/>
  <c r="AM196" i="7" s="1"/>
  <c r="AG195" i="7"/>
  <c r="AG196" i="7" s="1"/>
  <c r="AG76" i="7"/>
  <c r="AI76" i="7"/>
  <c r="AI195" i="7"/>
  <c r="AI196" i="7" s="1"/>
  <c r="AO76" i="7"/>
  <c r="I76" i="7"/>
  <c r="P76" i="7"/>
  <c r="X195" i="7"/>
  <c r="X196" i="7" s="1"/>
  <c r="Z76" i="7"/>
  <c r="I195" i="7"/>
  <c r="I196" i="7" s="1"/>
  <c r="H76" i="7"/>
  <c r="N76" i="7"/>
  <c r="O76" i="7"/>
  <c r="V76" i="7"/>
  <c r="Q76" i="7"/>
  <c r="Y195" i="7"/>
  <c r="Y196" i="7" s="1"/>
  <c r="H195" i="7"/>
  <c r="H196" i="7" s="1"/>
  <c r="AA76" i="7"/>
  <c r="N195" i="7"/>
  <c r="N196" i="7" s="1"/>
  <c r="AD195" i="7"/>
  <c r="AD196" i="7" s="1"/>
  <c r="P195" i="7"/>
  <c r="P196" i="7" s="1"/>
  <c r="M195" i="7"/>
  <c r="M196" i="7" s="1"/>
  <c r="U76" i="7"/>
  <c r="D195" i="7"/>
  <c r="D196" i="7" s="1"/>
  <c r="T76" i="7"/>
  <c r="G76" i="7"/>
  <c r="K195" i="7"/>
  <c r="K196" i="7" s="1"/>
  <c r="W195" i="7"/>
  <c r="W196" i="7" s="1"/>
  <c r="AE195" i="7"/>
  <c r="AE196" i="7" s="1"/>
  <c r="F76" i="7"/>
  <c r="J195" i="7"/>
  <c r="J196" i="7" s="1"/>
  <c r="R76" i="7"/>
  <c r="E195" i="7"/>
  <c r="E196" i="7" s="1"/>
  <c r="AC195" i="7"/>
  <c r="AC196" i="7" s="1"/>
  <c r="L76" i="7"/>
  <c r="AB195" i="7"/>
  <c r="AB196" i="7" s="1"/>
  <c r="O195" i="7"/>
  <c r="O196" i="7" s="1"/>
  <c r="AA195" i="7"/>
  <c r="AA196" i="7" s="1"/>
  <c r="V195" i="7"/>
  <c r="V196" i="7" s="1"/>
  <c r="Z195" i="7"/>
  <c r="Z196" i="7" s="1"/>
  <c r="AD76" i="7"/>
  <c r="M76" i="7"/>
  <c r="Q195" i="7"/>
  <c r="Q196" i="7" s="1"/>
  <c r="U195" i="7"/>
  <c r="U196" i="7" s="1"/>
  <c r="Y76" i="7"/>
  <c r="D76" i="7"/>
  <c r="T195" i="7"/>
  <c r="T196" i="7" s="1"/>
  <c r="X76" i="7"/>
  <c r="AF195" i="7"/>
  <c r="AF196" i="7" s="1"/>
  <c r="C76" i="7"/>
  <c r="C235" i="7"/>
  <c r="G195" i="7"/>
  <c r="G196" i="7" s="1"/>
  <c r="K76" i="7"/>
  <c r="W76" i="7"/>
  <c r="AE76" i="7"/>
  <c r="F195" i="7"/>
  <c r="F196" i="7" s="1"/>
  <c r="J76" i="7"/>
  <c r="R195" i="7"/>
  <c r="R196" i="7" s="1"/>
  <c r="E76" i="7"/>
  <c r="AC76" i="7"/>
  <c r="L195" i="7"/>
  <c r="L196" i="7" s="1"/>
  <c r="AB76" i="7"/>
  <c r="Q643" i="7"/>
  <c r="Q646" i="7" s="1"/>
  <c r="B154" i="7" l="1"/>
  <c r="R643" i="7"/>
  <c r="R646" i="7" s="1"/>
  <c r="AO634" i="7" l="1"/>
  <c r="AM634" i="7"/>
  <c r="AL634" i="7"/>
  <c r="AK634" i="7"/>
  <c r="AJ634" i="7"/>
  <c r="AI634" i="7"/>
  <c r="AF634" i="7"/>
  <c r="AN634" i="7"/>
  <c r="AH634" i="7"/>
  <c r="AG634" i="7"/>
  <c r="AE634" i="7"/>
  <c r="AC634" i="7"/>
  <c r="AA634" i="7"/>
  <c r="Y634" i="7"/>
  <c r="W634" i="7"/>
  <c r="U634" i="7"/>
  <c r="S634" i="7"/>
  <c r="Q634" i="7"/>
  <c r="O634" i="7"/>
  <c r="M634" i="7"/>
  <c r="K634" i="7"/>
  <c r="I634" i="7"/>
  <c r="G634" i="7"/>
  <c r="E634" i="7"/>
  <c r="C634" i="7"/>
  <c r="AD634" i="7"/>
  <c r="AB634" i="7"/>
  <c r="Z634" i="7"/>
  <c r="X634" i="7"/>
  <c r="V634" i="7"/>
  <c r="T634" i="7"/>
  <c r="U631" i="7" s="1"/>
  <c r="R634" i="7"/>
  <c r="S631" i="7" s="1"/>
  <c r="P634" i="7"/>
  <c r="Q631" i="7" s="1"/>
  <c r="N634" i="7"/>
  <c r="O631" i="7" s="1"/>
  <c r="L634" i="7"/>
  <c r="M631" i="7" s="1"/>
  <c r="J634" i="7"/>
  <c r="K631" i="7" s="1"/>
  <c r="H634" i="7"/>
  <c r="I631" i="7" s="1"/>
  <c r="F634" i="7"/>
  <c r="G631" i="7" s="1"/>
  <c r="D634" i="7"/>
  <c r="E631" i="7" s="1"/>
  <c r="S643" i="7"/>
  <c r="S646" i="7" s="1"/>
  <c r="AA631" i="7" l="1"/>
  <c r="AA633" i="7" s="1"/>
  <c r="AA93" i="7" s="1"/>
  <c r="AA98" i="7" s="1"/>
  <c r="AA104" i="7" s="1"/>
  <c r="AC631" i="7"/>
  <c r="AG631" i="7"/>
  <c r="W631" i="7"/>
  <c r="AE631" i="7"/>
  <c r="AJ631" i="7"/>
  <c r="Y631" i="7"/>
  <c r="B634" i="7"/>
  <c r="AG93" i="7"/>
  <c r="AG98" i="7" s="1"/>
  <c r="AG104" i="7" s="1"/>
  <c r="AH631" i="7"/>
  <c r="AH93" i="7" s="1"/>
  <c r="AH98" i="7" s="1"/>
  <c r="AH104" i="7" s="1"/>
  <c r="AI631" i="7"/>
  <c r="AI93" i="7" s="1"/>
  <c r="AI98" i="7" s="1"/>
  <c r="AI104" i="7" s="1"/>
  <c r="AO631" i="7"/>
  <c r="AO93" i="7" s="1"/>
  <c r="AO98" i="7" s="1"/>
  <c r="AO104" i="7" s="1"/>
  <c r="AK631" i="7"/>
  <c r="AK93" i="7" s="1"/>
  <c r="AK98" i="7" s="1"/>
  <c r="AK104" i="7" s="1"/>
  <c r="AJ93" i="7"/>
  <c r="AJ98" i="7" s="1"/>
  <c r="AJ104" i="7" s="1"/>
  <c r="AL631" i="7"/>
  <c r="AL93" i="7" s="1"/>
  <c r="AL98" i="7" s="1"/>
  <c r="AL104" i="7" s="1"/>
  <c r="AP631" i="7"/>
  <c r="AP633" i="7" s="1"/>
  <c r="AP93" i="7" s="1"/>
  <c r="AP98" i="7" s="1"/>
  <c r="AP104" i="7" s="1"/>
  <c r="AM631" i="7"/>
  <c r="AM93" i="7" s="1"/>
  <c r="AM98" i="7" s="1"/>
  <c r="AM104" i="7" s="1"/>
  <c r="AN631" i="7"/>
  <c r="AN93" i="7" s="1"/>
  <c r="AN98" i="7" s="1"/>
  <c r="AN104" i="7" s="1"/>
  <c r="D631" i="7"/>
  <c r="D93" i="7" s="1"/>
  <c r="F631" i="7"/>
  <c r="F93" i="7" s="1"/>
  <c r="E93" i="7"/>
  <c r="H631" i="7"/>
  <c r="H93" i="7" s="1"/>
  <c r="G93" i="7"/>
  <c r="J631" i="7"/>
  <c r="J93" i="7" s="1"/>
  <c r="I93" i="7"/>
  <c r="L631" i="7"/>
  <c r="L93" i="7" s="1"/>
  <c r="K93" i="7"/>
  <c r="N631" i="7"/>
  <c r="N93" i="7" s="1"/>
  <c r="M93" i="7"/>
  <c r="P631" i="7"/>
  <c r="P93" i="7" s="1"/>
  <c r="O93" i="7"/>
  <c r="R631" i="7"/>
  <c r="R93" i="7" s="1"/>
  <c r="Q93" i="7"/>
  <c r="T631" i="7"/>
  <c r="T93" i="7" s="1"/>
  <c r="S93" i="7"/>
  <c r="V631" i="7"/>
  <c r="V93" i="7" s="1"/>
  <c r="U93" i="7"/>
  <c r="X631" i="7"/>
  <c r="X93" i="7" s="1"/>
  <c r="X98" i="7" s="1"/>
  <c r="X104" i="7" s="1"/>
  <c r="W93" i="7"/>
  <c r="W98" i="7" s="1"/>
  <c r="W104" i="7" s="1"/>
  <c r="Z631" i="7"/>
  <c r="Z93" i="7" s="1"/>
  <c r="Z98" i="7" s="1"/>
  <c r="Z104" i="7" s="1"/>
  <c r="Y93" i="7"/>
  <c r="Y98" i="7" s="1"/>
  <c r="Y104" i="7" s="1"/>
  <c r="AB631" i="7"/>
  <c r="AB93" i="7" s="1"/>
  <c r="AB98" i="7" s="1"/>
  <c r="AB104" i="7" s="1"/>
  <c r="AD631" i="7"/>
  <c r="AD93" i="7" s="1"/>
  <c r="AD98" i="7" s="1"/>
  <c r="AD104" i="7" s="1"/>
  <c r="AC93" i="7"/>
  <c r="AC98" i="7" s="1"/>
  <c r="AC104" i="7" s="1"/>
  <c r="AF631" i="7"/>
  <c r="AE93" i="7"/>
  <c r="AE98" i="7" s="1"/>
  <c r="AE104" i="7" s="1"/>
  <c r="C223" i="7"/>
  <c r="C236" i="7" s="1"/>
  <c r="C183" i="7"/>
  <c r="C196" i="7" s="1"/>
  <c r="T643" i="7"/>
  <c r="T646" i="7" s="1"/>
  <c r="C631" i="7" l="1"/>
  <c r="C93" i="7" s="1"/>
  <c r="B93" i="7"/>
  <c r="AF633" i="7"/>
  <c r="U643" i="7"/>
  <c r="U646" i="7" s="1"/>
  <c r="AF93" i="7" l="1"/>
  <c r="AF98" i="7" s="1"/>
  <c r="AF104" i="7" s="1"/>
  <c r="V643" i="7"/>
  <c r="V646" i="7" s="1"/>
  <c r="V739" i="7" s="1"/>
  <c r="W643" i="7" l="1"/>
  <c r="W646" i="7" s="1"/>
  <c r="W739" i="7" s="1"/>
  <c r="W740" i="7"/>
  <c r="W204" i="7" l="1"/>
  <c r="W167" i="7"/>
  <c r="W77" i="7"/>
  <c r="X643" i="7"/>
  <c r="X646" i="7" s="1"/>
  <c r="X739" i="7" s="1"/>
  <c r="X740" i="7"/>
  <c r="X204" i="7" l="1"/>
  <c r="X167" i="7"/>
  <c r="X77" i="7"/>
  <c r="Y643" i="7"/>
  <c r="Y646" i="7" s="1"/>
  <c r="Y739" i="7" s="1"/>
  <c r="Y740" i="7"/>
  <c r="Y204" i="7" l="1"/>
  <c r="Y167" i="7"/>
  <c r="Y77" i="7"/>
  <c r="Z643" i="7"/>
  <c r="Z646" i="7" s="1"/>
  <c r="Z739" i="7" s="1"/>
  <c r="Z740" i="7"/>
  <c r="AA643" i="7" l="1"/>
  <c r="AA646" i="7" s="1"/>
  <c r="AA739" i="7" s="1"/>
  <c r="AA740" i="7"/>
  <c r="Z204" i="7"/>
  <c r="Z167" i="7"/>
  <c r="Z77" i="7"/>
  <c r="AB643" i="7" l="1"/>
  <c r="AB646" i="7" s="1"/>
  <c r="AB739" i="7" s="1"/>
  <c r="AB740" i="7"/>
  <c r="AA204" i="7"/>
  <c r="AA167" i="7"/>
  <c r="AA77" i="7"/>
  <c r="AC643" i="7" l="1"/>
  <c r="AC646" i="7" s="1"/>
  <c r="AC739" i="7" s="1"/>
  <c r="AC740" i="7"/>
  <c r="AB204" i="7"/>
  <c r="AB167" i="7"/>
  <c r="AB77" i="7"/>
  <c r="AC204" i="7" l="1"/>
  <c r="AC167" i="7"/>
  <c r="AC77" i="7"/>
  <c r="AD643" i="7"/>
  <c r="AD646" i="7" s="1"/>
  <c r="AD739" i="7" s="1"/>
  <c r="AD740" i="7"/>
  <c r="AE643" i="7" l="1"/>
  <c r="AE646" i="7" s="1"/>
  <c r="AE739" i="7" s="1"/>
  <c r="AE740" i="7"/>
  <c r="AD204" i="7"/>
  <c r="AD167" i="7"/>
  <c r="AD77" i="7"/>
  <c r="AF643" i="7" l="1"/>
  <c r="AF646" i="7" s="1"/>
  <c r="AF739" i="7" s="1"/>
  <c r="AF740" i="7"/>
  <c r="AE204" i="7"/>
  <c r="AE167" i="7"/>
  <c r="AE77" i="7"/>
  <c r="AG643" i="7" l="1"/>
  <c r="AG646" i="7" s="1"/>
  <c r="AG739" i="7" s="1"/>
  <c r="AF204" i="7"/>
  <c r="AF167" i="7"/>
  <c r="AF77" i="7"/>
  <c r="AG167" i="7" l="1"/>
  <c r="AG204" i="7"/>
  <c r="AG77" i="7"/>
  <c r="M393" i="7"/>
  <c r="M395" i="7"/>
  <c r="AH643" i="7"/>
  <c r="AH646" i="7" s="1"/>
  <c r="AH739" i="7" s="1"/>
  <c r="M253" i="7" l="1"/>
  <c r="AH204" i="7"/>
  <c r="AH77" i="7"/>
  <c r="AH167" i="7"/>
  <c r="M256" i="7"/>
  <c r="M392" i="7"/>
  <c r="AI643" i="7"/>
  <c r="AI646" i="7" s="1"/>
  <c r="AI739" i="7" s="1"/>
  <c r="AI167" i="7" l="1"/>
  <c r="AI204" i="7"/>
  <c r="AI77" i="7"/>
  <c r="AJ643" i="7"/>
  <c r="AJ646" i="7" s="1"/>
  <c r="AJ739" i="7" s="1"/>
  <c r="AJ204" i="7" l="1"/>
  <c r="AJ167" i="7"/>
  <c r="AJ77" i="7"/>
  <c r="AK643" i="7"/>
  <c r="AK646" i="7" s="1"/>
  <c r="AK739" i="7" s="1"/>
  <c r="AK204" i="7" l="1"/>
  <c r="AK167" i="7"/>
  <c r="AK77" i="7"/>
  <c r="AL643" i="7"/>
  <c r="AL646" i="7" s="1"/>
  <c r="AL739" i="7" s="1"/>
  <c r="AL167" i="7" l="1"/>
  <c r="AL204" i="7"/>
  <c r="AL77" i="7"/>
  <c r="AM643" i="7"/>
  <c r="AM646" i="7" s="1"/>
  <c r="AM739" i="7" s="1"/>
  <c r="AM204" i="7" l="1"/>
  <c r="AM77" i="7"/>
  <c r="AM167" i="7"/>
  <c r="AN643" i="7"/>
  <c r="AN646" i="7" s="1"/>
  <c r="AN739" i="7" s="1"/>
  <c r="AN204" i="7" l="1"/>
  <c r="AN77" i="7"/>
  <c r="AN167" i="7"/>
  <c r="AO643" i="7"/>
  <c r="AO646" i="7" s="1"/>
  <c r="AO739" i="7" s="1"/>
  <c r="AO204" i="7" l="1"/>
  <c r="AO77" i="7"/>
  <c r="AO167" i="7"/>
  <c r="AP643" i="7"/>
  <c r="AP646" i="7" s="1"/>
  <c r="AP739" i="7" s="1"/>
  <c r="AP167" i="7" l="1"/>
  <c r="AP204" i="7"/>
  <c r="AP77" i="7"/>
  <c r="AF70" i="7" l="1"/>
  <c r="AF79" i="7" s="1"/>
  <c r="AF117" i="7" s="1"/>
  <c r="AC70" i="7"/>
  <c r="AC79" i="7" s="1"/>
  <c r="AC117" i="7" s="1"/>
  <c r="H604" i="7" l="1"/>
  <c r="H606" i="7" s="1"/>
  <c r="H608" i="7" s="1"/>
  <c r="AC166" i="7"/>
  <c r="H166" i="7"/>
  <c r="H70" i="7"/>
  <c r="H203" i="7"/>
  <c r="AC203" i="7"/>
  <c r="AF203" i="7"/>
  <c r="AF166" i="7"/>
  <c r="C604" i="7"/>
  <c r="C606" i="7" s="1"/>
  <c r="C608" i="7" s="1"/>
  <c r="AC118" i="7"/>
  <c r="AF118" i="7"/>
  <c r="AN166" i="7"/>
  <c r="AN203" i="7"/>
  <c r="AN70" i="7"/>
  <c r="AN79" i="7" s="1"/>
  <c r="AN117" i="7" s="1"/>
  <c r="AP203" i="7"/>
  <c r="AP70" i="7"/>
  <c r="AP79" i="7" s="1"/>
  <c r="AP117" i="7" s="1"/>
  <c r="AP166" i="7"/>
  <c r="U604" i="7"/>
  <c r="U606" i="7" s="1"/>
  <c r="U608" i="7" s="1"/>
  <c r="AH203" i="7"/>
  <c r="AH166" i="7"/>
  <c r="AH70" i="7"/>
  <c r="AH79" i="7" s="1"/>
  <c r="AH117" i="7" s="1"/>
  <c r="T739" i="7" l="1"/>
  <c r="T604" i="7"/>
  <c r="T606" i="7" s="1"/>
  <c r="T608" i="7" s="1"/>
  <c r="Q604" i="7"/>
  <c r="Q606" i="7" s="1"/>
  <c r="Q608" i="7" s="1"/>
  <c r="R604" i="7"/>
  <c r="R606" i="7" s="1"/>
  <c r="R608" i="7" s="1"/>
  <c r="AA203" i="7"/>
  <c r="M166" i="7"/>
  <c r="T70" i="7"/>
  <c r="T203" i="7"/>
  <c r="T166" i="7"/>
  <c r="AH118" i="7"/>
  <c r="R166" i="7"/>
  <c r="R70" i="7"/>
  <c r="R203" i="7"/>
  <c r="J604" i="7"/>
  <c r="J606" i="7" s="1"/>
  <c r="J608" i="7" s="1"/>
  <c r="J70" i="7"/>
  <c r="J203" i="7"/>
  <c r="J166" i="7"/>
  <c r="AJ70" i="7"/>
  <c r="AJ79" i="7" s="1"/>
  <c r="AJ117" i="7" s="1"/>
  <c r="AJ166" i="7"/>
  <c r="AJ203" i="7"/>
  <c r="AK166" i="7"/>
  <c r="AK70" i="7"/>
  <c r="AK79" i="7" s="1"/>
  <c r="AK117" i="7" s="1"/>
  <c r="AK203" i="7"/>
  <c r="E166" i="7"/>
  <c r="E70" i="7"/>
  <c r="E203" i="7"/>
  <c r="E604" i="7"/>
  <c r="E606" i="7" s="1"/>
  <c r="E608" i="7" s="1"/>
  <c r="AP118" i="7"/>
  <c r="G70" i="7"/>
  <c r="G203" i="7"/>
  <c r="G166" i="7"/>
  <c r="G604" i="7"/>
  <c r="G606" i="7" s="1"/>
  <c r="G608" i="7" s="1"/>
  <c r="AN118" i="7"/>
  <c r="C70" i="7"/>
  <c r="C166" i="7"/>
  <c r="C203" i="7"/>
  <c r="AI70" i="7"/>
  <c r="AI79" i="7" s="1"/>
  <c r="AI117" i="7" s="1"/>
  <c r="AI203" i="7"/>
  <c r="AI166" i="7"/>
  <c r="AM70" i="7"/>
  <c r="AM79" i="7" s="1"/>
  <c r="AM117" i="7" s="1"/>
  <c r="AM166" i="7"/>
  <c r="AM203" i="7"/>
  <c r="AO70" i="7"/>
  <c r="AO79" i="7" s="1"/>
  <c r="AO117" i="7" s="1"/>
  <c r="AO166" i="7"/>
  <c r="AO203" i="7"/>
  <c r="L604" i="7"/>
  <c r="L606" i="7" s="1"/>
  <c r="L608" i="7" s="1"/>
  <c r="L166" i="7"/>
  <c r="L203" i="7"/>
  <c r="L70" i="7"/>
  <c r="Q70" i="7"/>
  <c r="Q166" i="7"/>
  <c r="Q203" i="7"/>
  <c r="V604" i="7"/>
  <c r="V606" i="7" s="1"/>
  <c r="V608" i="7" s="1"/>
  <c r="AL203" i="7"/>
  <c r="AL166" i="7"/>
  <c r="AL70" i="7"/>
  <c r="AL79" i="7" s="1"/>
  <c r="AL117" i="7" s="1"/>
  <c r="N166" i="7"/>
  <c r="N203" i="7"/>
  <c r="N70" i="7"/>
  <c r="N604" i="7"/>
  <c r="N606" i="7" s="1"/>
  <c r="N608" i="7" s="1"/>
  <c r="AE166" i="7"/>
  <c r="AE70" i="7"/>
  <c r="AE79" i="7" s="1"/>
  <c r="AE117" i="7" s="1"/>
  <c r="AE203" i="7"/>
  <c r="AG203" i="7"/>
  <c r="AG70" i="7"/>
  <c r="AG79" i="7" s="1"/>
  <c r="AG117" i="7" s="1"/>
  <c r="AG166" i="7"/>
  <c r="U166" i="7"/>
  <c r="U70" i="7"/>
  <c r="U203" i="7"/>
  <c r="AD70" i="7"/>
  <c r="AD79" i="7" s="1"/>
  <c r="AD117" i="7" s="1"/>
  <c r="AD203" i="7"/>
  <c r="AD166" i="7"/>
  <c r="AB166" i="7"/>
  <c r="AB70" i="7"/>
  <c r="AB79" i="7" s="1"/>
  <c r="AB117" i="7" s="1"/>
  <c r="AB203" i="7"/>
  <c r="U740" i="7" l="1"/>
  <c r="U625" i="7"/>
  <c r="U739" i="7"/>
  <c r="P604" i="7"/>
  <c r="P606" i="7" s="1"/>
  <c r="P608" i="7" s="1"/>
  <c r="S604" i="7"/>
  <c r="S606" i="7" s="1"/>
  <c r="S608" i="7" s="1"/>
  <c r="AA166" i="7"/>
  <c r="AA70" i="7"/>
  <c r="AA79" i="7" s="1"/>
  <c r="M203" i="7"/>
  <c r="M70" i="7"/>
  <c r="D166" i="7"/>
  <c r="M604" i="7"/>
  <c r="M606" i="7" s="1"/>
  <c r="M608" i="7" s="1"/>
  <c r="D70" i="7"/>
  <c r="F604" i="7"/>
  <c r="F606" i="7" s="1"/>
  <c r="F608" i="7" s="1"/>
  <c r="F203" i="7"/>
  <c r="F166" i="7"/>
  <c r="F70" i="7"/>
  <c r="D604" i="7"/>
  <c r="D606" i="7" s="1"/>
  <c r="D608" i="7" s="1"/>
  <c r="D203" i="7"/>
  <c r="K203" i="7"/>
  <c r="K166" i="7"/>
  <c r="K604" i="7"/>
  <c r="K606" i="7" s="1"/>
  <c r="K608" i="7" s="1"/>
  <c r="K70" i="7"/>
  <c r="AG118" i="7"/>
  <c r="W203" i="7"/>
  <c r="W166" i="7"/>
  <c r="W70" i="7"/>
  <c r="W79" i="7" s="1"/>
  <c r="W117" i="7" s="1"/>
  <c r="AL118" i="7"/>
  <c r="AM118" i="7"/>
  <c r="Y166" i="7"/>
  <c r="Y70" i="7"/>
  <c r="Y79" i="7" s="1"/>
  <c r="Y117" i="7" s="1"/>
  <c r="Y203" i="7"/>
  <c r="Z203" i="7"/>
  <c r="Z166" i="7"/>
  <c r="Z70" i="7"/>
  <c r="Z79" i="7" s="1"/>
  <c r="Z117" i="7" s="1"/>
  <c r="S166" i="7"/>
  <c r="S203" i="7"/>
  <c r="S70" i="7"/>
  <c r="O166" i="7"/>
  <c r="O604" i="7"/>
  <c r="O606" i="7" s="1"/>
  <c r="O608" i="7" s="1"/>
  <c r="O203" i="7"/>
  <c r="O70" i="7"/>
  <c r="I70" i="7"/>
  <c r="I203" i="7"/>
  <c r="I166" i="7"/>
  <c r="I604" i="7"/>
  <c r="I606" i="7" s="1"/>
  <c r="I608" i="7" s="1"/>
  <c r="AB118" i="7"/>
  <c r="AD118" i="7"/>
  <c r="AE118" i="7"/>
  <c r="V70" i="7"/>
  <c r="V203" i="7"/>
  <c r="V166" i="7"/>
  <c r="AO118" i="7"/>
  <c r="X166" i="7"/>
  <c r="X70" i="7"/>
  <c r="X79" i="7" s="1"/>
  <c r="X117" i="7" s="1"/>
  <c r="X203" i="7"/>
  <c r="AI118" i="7"/>
  <c r="AK118" i="7"/>
  <c r="AJ118" i="7"/>
  <c r="P70" i="7"/>
  <c r="P203" i="7"/>
  <c r="P166" i="7"/>
  <c r="AA117" i="7" l="1"/>
  <c r="AA118" i="7" s="1"/>
  <c r="V740" i="7"/>
  <c r="V625" i="7"/>
  <c r="V92" i="7" s="1"/>
  <c r="V98" i="7" s="1"/>
  <c r="V104" i="7" s="1"/>
  <c r="U92" i="7"/>
  <c r="U98" i="7" s="1"/>
  <c r="U104" i="7" s="1"/>
  <c r="U77" i="7"/>
  <c r="U167" i="7"/>
  <c r="U204" i="7"/>
  <c r="X118" i="7"/>
  <c r="Z118" i="7"/>
  <c r="Y118" i="7"/>
  <c r="W118" i="7"/>
  <c r="V204" i="7" l="1"/>
  <c r="V167" i="7"/>
  <c r="V77" i="7"/>
  <c r="U205" i="7" l="1"/>
  <c r="U78" i="7"/>
  <c r="U79" i="7" s="1"/>
  <c r="U168" i="7"/>
  <c r="U111" i="7" l="1"/>
  <c r="U112" i="7" s="1"/>
  <c r="U117" i="7" s="1"/>
  <c r="AN169" i="7"/>
  <c r="AN170" i="7" s="1"/>
  <c r="AN198" i="7" s="1"/>
  <c r="AN200" i="7" s="1"/>
  <c r="AP169" i="7"/>
  <c r="AP170" i="7" s="1"/>
  <c r="AP198" i="7" s="1"/>
  <c r="AP200" i="7" s="1"/>
  <c r="AL169" i="7"/>
  <c r="AL170" i="7" s="1"/>
  <c r="AL198" i="7" s="1"/>
  <c r="AL200" i="7" s="1"/>
  <c r="AH169" i="7"/>
  <c r="AH170" i="7" s="1"/>
  <c r="AH198" i="7" s="1"/>
  <c r="AH200" i="7" s="1"/>
  <c r="AO169" i="7"/>
  <c r="AO170" i="7" s="1"/>
  <c r="AO198" i="7" s="1"/>
  <c r="AO200" i="7" s="1"/>
  <c r="AK169" i="7"/>
  <c r="AK170" i="7" s="1"/>
  <c r="AK198" i="7" s="1"/>
  <c r="AK200" i="7" s="1"/>
  <c r="AG169" i="7"/>
  <c r="AG170" i="7" s="1"/>
  <c r="AG198" i="7" s="1"/>
  <c r="AG200" i="7" s="1"/>
  <c r="AJ169" i="7"/>
  <c r="AJ170" i="7" s="1"/>
  <c r="AJ198" i="7" s="1"/>
  <c r="AJ200" i="7" s="1"/>
  <c r="AM169" i="7"/>
  <c r="AM170" i="7" s="1"/>
  <c r="AM198" i="7" s="1"/>
  <c r="AM200" i="7" s="1"/>
  <c r="AI169" i="7"/>
  <c r="AI170" i="7" s="1"/>
  <c r="AI198" i="7" s="1"/>
  <c r="AI200" i="7" s="1"/>
  <c r="U118" i="7" l="1"/>
  <c r="AG207" i="7"/>
  <c r="AG130" i="7"/>
  <c r="AH207" i="7"/>
  <c r="AH130" i="7"/>
  <c r="AK207" i="7"/>
  <c r="AK130" i="7"/>
  <c r="AL130" i="7"/>
  <c r="AL207" i="7"/>
  <c r="AI207" i="7"/>
  <c r="AI130" i="7"/>
  <c r="AJ207" i="7"/>
  <c r="AJ130" i="7"/>
  <c r="AO207" i="7"/>
  <c r="AO130" i="7"/>
  <c r="AP207" i="7"/>
  <c r="AP130" i="7"/>
  <c r="AM207" i="7"/>
  <c r="AM130" i="7"/>
  <c r="AN207" i="7"/>
  <c r="AN130" i="7"/>
  <c r="AK206" i="7"/>
  <c r="AJ206" i="7"/>
  <c r="AG206" i="7"/>
  <c r="AI206" i="7"/>
  <c r="AL206" i="7"/>
  <c r="AO206" i="7"/>
  <c r="AH206" i="7"/>
  <c r="AN206" i="7"/>
  <c r="AP206" i="7"/>
  <c r="AM206" i="7"/>
  <c r="V78" i="7" l="1"/>
  <c r="V79" i="7" s="1"/>
  <c r="V205" i="7"/>
  <c r="V168" i="7"/>
  <c r="AG210" i="7"/>
  <c r="AG238" i="7" s="1"/>
  <c r="AN210" i="7"/>
  <c r="AN238" i="7" s="1"/>
  <c r="AL210" i="7"/>
  <c r="AL238" i="7" s="1"/>
  <c r="AM210" i="7"/>
  <c r="AM238" i="7" s="1"/>
  <c r="AP210" i="7"/>
  <c r="AP238" i="7" s="1"/>
  <c r="AJ210" i="7"/>
  <c r="AJ238" i="7" s="1"/>
  <c r="AO210" i="7"/>
  <c r="AO238" i="7" s="1"/>
  <c r="AI210" i="7"/>
  <c r="AI238" i="7" s="1"/>
  <c r="AK210" i="7"/>
  <c r="AK238" i="7" s="1"/>
  <c r="AH210" i="7"/>
  <c r="AH238" i="7" s="1"/>
  <c r="AK240" i="7" l="1"/>
  <c r="AK144" i="7" s="1"/>
  <c r="AP240" i="7"/>
  <c r="AP144" i="7" s="1"/>
  <c r="AG240" i="7"/>
  <c r="AG144" i="7" s="1"/>
  <c r="AI240" i="7"/>
  <c r="AI144" i="7" s="1"/>
  <c r="AM240" i="7"/>
  <c r="AM144" i="7" s="1"/>
  <c r="AO240" i="7"/>
  <c r="AO144" i="7" s="1"/>
  <c r="AL240" i="7"/>
  <c r="AL144" i="7" s="1"/>
  <c r="AH240" i="7"/>
  <c r="AH144" i="7" s="1"/>
  <c r="AJ240" i="7"/>
  <c r="AJ144" i="7" s="1"/>
  <c r="AN240" i="7"/>
  <c r="AN144" i="7" s="1"/>
  <c r="V111" i="7"/>
  <c r="V112" i="7" s="1"/>
  <c r="V117" i="7" s="1"/>
  <c r="AI131" i="7" l="1"/>
  <c r="AI132" i="7" s="1"/>
  <c r="AI133" i="7" s="1"/>
  <c r="AP131" i="7"/>
  <c r="AP132" i="7" s="1"/>
  <c r="AP133" i="7" s="1"/>
  <c r="AO131" i="7"/>
  <c r="AO132" i="7" s="1"/>
  <c r="AO133" i="7" s="1"/>
  <c r="AJ131" i="7"/>
  <c r="AJ132" i="7" s="1"/>
  <c r="AJ133" i="7" s="1"/>
  <c r="AK131" i="7"/>
  <c r="AK132" i="7" s="1"/>
  <c r="AK133" i="7" s="1"/>
  <c r="AM131" i="7"/>
  <c r="AM132" i="7" s="1"/>
  <c r="AM133" i="7" s="1"/>
  <c r="AH131" i="7"/>
  <c r="AH132" i="7" s="1"/>
  <c r="AH133" i="7" s="1"/>
  <c r="AG131" i="7"/>
  <c r="AG132" i="7" s="1"/>
  <c r="AG133" i="7" s="1"/>
  <c r="AL131" i="7"/>
  <c r="AL132" i="7" s="1"/>
  <c r="AL133" i="7" s="1"/>
  <c r="AN131" i="7"/>
  <c r="AN132" i="7" s="1"/>
  <c r="AN133" i="7" s="1"/>
  <c r="V118" i="7"/>
  <c r="M394" i="7" l="1"/>
  <c r="M398" i="7" s="1"/>
  <c r="C303" i="7"/>
  <c r="B303" i="7" s="1"/>
  <c r="M254" i="7"/>
  <c r="M257" i="7"/>
  <c r="M255" i="7"/>
  <c r="M260" i="7" l="1"/>
  <c r="AD169" i="7"/>
  <c r="AD170" i="7" s="1"/>
  <c r="AD198" i="7" s="1"/>
  <c r="AD200" i="7" s="1"/>
  <c r="AD206" i="7"/>
  <c r="AB169" i="7"/>
  <c r="AB170" i="7" s="1"/>
  <c r="AB198" i="7" s="1"/>
  <c r="AB200" i="7" s="1"/>
  <c r="AB206" i="7"/>
  <c r="AF169" i="7"/>
  <c r="AF170" i="7" s="1"/>
  <c r="AF198" i="7" s="1"/>
  <c r="AF200" i="7" s="1"/>
  <c r="AF206" i="7"/>
  <c r="AC169" i="7"/>
  <c r="AC170" i="7" s="1"/>
  <c r="AC198" i="7" s="1"/>
  <c r="AC200" i="7" s="1"/>
  <c r="AC206" i="7"/>
  <c r="AE169" i="7"/>
  <c r="AE170" i="7" s="1"/>
  <c r="AE198" i="7" s="1"/>
  <c r="AE200" i="7" s="1"/>
  <c r="AE206" i="7"/>
  <c r="AD130" i="7" l="1"/>
  <c r="AD207" i="7"/>
  <c r="AD210" i="7" s="1"/>
  <c r="AD238" i="7" s="1"/>
  <c r="AB207" i="7"/>
  <c r="AB210" i="7" s="1"/>
  <c r="AB238" i="7" s="1"/>
  <c r="AB130" i="7"/>
  <c r="AE130" i="7"/>
  <c r="AE207" i="7"/>
  <c r="AE210" i="7" s="1"/>
  <c r="AE238" i="7" s="1"/>
  <c r="AF207" i="7"/>
  <c r="AF210" i="7" s="1"/>
  <c r="AF238" i="7" s="1"/>
  <c r="AF130" i="7"/>
  <c r="AC130" i="7"/>
  <c r="AC207" i="7"/>
  <c r="AC210" i="7" s="1"/>
  <c r="AC238" i="7" s="1"/>
  <c r="AB240" i="7" l="1"/>
  <c r="AB144" i="7" s="1"/>
  <c r="AC240" i="7"/>
  <c r="AC144" i="7" s="1"/>
  <c r="AD240" i="7"/>
  <c r="AD144" i="7" s="1"/>
  <c r="AF240" i="7"/>
  <c r="AF144" i="7" s="1"/>
  <c r="AE240" i="7"/>
  <c r="AE144" i="7" s="1"/>
  <c r="AD131" i="7" l="1"/>
  <c r="AD132" i="7" s="1"/>
  <c r="AD133" i="7" s="1"/>
  <c r="AC131" i="7"/>
  <c r="AC132" i="7" s="1"/>
  <c r="AC133" i="7" s="1"/>
  <c r="AE131" i="7"/>
  <c r="AE132" i="7" s="1"/>
  <c r="AE133" i="7" s="1"/>
  <c r="AB131" i="7"/>
  <c r="AB132" i="7" s="1"/>
  <c r="AB133" i="7" s="1"/>
  <c r="AF131" i="7"/>
  <c r="AF132" i="7" s="1"/>
  <c r="AF133" i="7" s="1"/>
  <c r="B620" i="7" l="1"/>
  <c r="B611" i="7" l="1"/>
  <c r="B612" i="7" s="1"/>
  <c r="B621" i="7"/>
  <c r="F17" i="1" s="1"/>
  <c r="N739" i="7"/>
  <c r="S92" i="7"/>
  <c r="S98" i="7" s="1"/>
  <c r="S104" i="7" s="1"/>
  <c r="O739" i="7"/>
  <c r="J740" i="7"/>
  <c r="G739" i="7"/>
  <c r="B739" i="7"/>
  <c r="L739" i="7"/>
  <c r="J739" i="7"/>
  <c r="C739" i="7"/>
  <c r="H739" i="7"/>
  <c r="K739" i="7"/>
  <c r="Q739" i="7"/>
  <c r="M739" i="7"/>
  <c r="B613" i="7" l="1" a="1"/>
  <c r="B613" i="7" s="1"/>
  <c r="F740" i="7"/>
  <c r="F167" i="7" s="1"/>
  <c r="E739" i="7"/>
  <c r="S625" i="7"/>
  <c r="R739" i="7"/>
  <c r="E740" i="7"/>
  <c r="E167" i="7" s="1"/>
  <c r="D739" i="7"/>
  <c r="G625" i="7"/>
  <c r="F739" i="7"/>
  <c r="Q740" i="7"/>
  <c r="Q204" i="7" s="1"/>
  <c r="P739" i="7"/>
  <c r="T625" i="7"/>
  <c r="T92" i="7" s="1"/>
  <c r="T98" i="7" s="1"/>
  <c r="T104" i="7" s="1"/>
  <c r="S739" i="7"/>
  <c r="J625" i="7"/>
  <c r="I739" i="7"/>
  <c r="T740" i="7"/>
  <c r="T204" i="7" s="1"/>
  <c r="E625" i="7"/>
  <c r="E92" i="7" s="1"/>
  <c r="E98" i="7" s="1"/>
  <c r="E104" i="7" s="1"/>
  <c r="S740" i="7"/>
  <c r="S167" i="7" s="1"/>
  <c r="G740" i="7"/>
  <c r="G204" i="7" s="1"/>
  <c r="F625" i="7"/>
  <c r="F92" i="7" s="1"/>
  <c r="F98" i="7" s="1"/>
  <c r="F104" i="7" s="1"/>
  <c r="Q625" i="7"/>
  <c r="L625" i="7"/>
  <c r="L92" i="7" s="1"/>
  <c r="L98" i="7" s="1"/>
  <c r="L104" i="7" s="1"/>
  <c r="L740" i="7"/>
  <c r="C92" i="7"/>
  <c r="C98" i="7" s="1"/>
  <c r="C104" i="7" s="1"/>
  <c r="C740" i="7"/>
  <c r="J167" i="7"/>
  <c r="J204" i="7"/>
  <c r="J77" i="7"/>
  <c r="N625" i="7"/>
  <c r="N740" i="7"/>
  <c r="I625" i="7"/>
  <c r="I92" i="7" s="1"/>
  <c r="I98" i="7" s="1"/>
  <c r="I104" i="7" s="1"/>
  <c r="I740" i="7"/>
  <c r="K625" i="7"/>
  <c r="K92" i="7" s="1"/>
  <c r="K98" i="7" s="1"/>
  <c r="K104" i="7" s="1"/>
  <c r="J92" i="7"/>
  <c r="J98" i="7" s="1"/>
  <c r="J104" i="7" s="1"/>
  <c r="K740" i="7"/>
  <c r="H625" i="7"/>
  <c r="H92" i="7" s="1"/>
  <c r="H98" i="7" s="1"/>
  <c r="H104" i="7" s="1"/>
  <c r="G92" i="7"/>
  <c r="G98" i="7" s="1"/>
  <c r="G104" i="7" s="1"/>
  <c r="H740" i="7"/>
  <c r="O625" i="7"/>
  <c r="N92" i="7"/>
  <c r="N98" i="7" s="1"/>
  <c r="N104" i="7" s="1"/>
  <c r="O740" i="7"/>
  <c r="R625" i="7"/>
  <c r="R92" i="7" s="1"/>
  <c r="R98" i="7" s="1"/>
  <c r="R104" i="7" s="1"/>
  <c r="Q92" i="7"/>
  <c r="Q98" i="7" s="1"/>
  <c r="Q104" i="7" s="1"/>
  <c r="R740" i="7"/>
  <c r="D625" i="7"/>
  <c r="D92" i="7" s="1"/>
  <c r="D98" i="7" s="1"/>
  <c r="D104" i="7" s="1"/>
  <c r="D740" i="7"/>
  <c r="M625" i="7"/>
  <c r="M92" i="7" s="1"/>
  <c r="M98" i="7" s="1"/>
  <c r="M104" i="7" s="1"/>
  <c r="M740" i="7"/>
  <c r="P625" i="7"/>
  <c r="P92" i="7" s="1"/>
  <c r="P98" i="7" s="1"/>
  <c r="P104" i="7" s="1"/>
  <c r="O92" i="7"/>
  <c r="O98" i="7" s="1"/>
  <c r="O104" i="7" s="1"/>
  <c r="P740" i="7"/>
  <c r="B601" i="7" l="1"/>
  <c r="C601" i="7" s="1"/>
  <c r="D601" i="7" s="1"/>
  <c r="E601" i="7" s="1"/>
  <c r="F601" i="7" s="1"/>
  <c r="G601" i="7" s="1"/>
  <c r="H601" i="7" s="1"/>
  <c r="I601" i="7" s="1"/>
  <c r="J601" i="7" s="1"/>
  <c r="K601" i="7" s="1"/>
  <c r="L601" i="7" s="1"/>
  <c r="M601" i="7" s="1"/>
  <c r="N601" i="7" s="1"/>
  <c r="O601" i="7" s="1"/>
  <c r="P601" i="7" s="1"/>
  <c r="Q601" i="7" s="1"/>
  <c r="R601" i="7" s="1"/>
  <c r="S601" i="7" s="1"/>
  <c r="T601" i="7" s="1"/>
  <c r="U601" i="7" s="1"/>
  <c r="V601" i="7" s="1"/>
  <c r="W601" i="7" s="1"/>
  <c r="X601" i="7" s="1"/>
  <c r="Y601" i="7" s="1"/>
  <c r="Z601" i="7" s="1"/>
  <c r="AA601" i="7" s="1"/>
  <c r="AB601" i="7" s="1"/>
  <c r="AC601" i="7" s="1"/>
  <c r="AD601" i="7" s="1"/>
  <c r="AE601" i="7" s="1"/>
  <c r="AF601" i="7" s="1"/>
  <c r="AG601" i="7" s="1"/>
  <c r="AH601" i="7" s="1"/>
  <c r="AI601" i="7" s="1"/>
  <c r="AJ601" i="7" s="1"/>
  <c r="AK601" i="7" s="1"/>
  <c r="AL601" i="7" s="1"/>
  <c r="AM601" i="7" s="1"/>
  <c r="AN601" i="7" s="1"/>
  <c r="AO601" i="7" s="1"/>
  <c r="AP601" i="7" s="1"/>
  <c r="B108" i="7"/>
  <c r="B109" i="7" s="1"/>
  <c r="F77" i="7"/>
  <c r="Q167" i="7"/>
  <c r="E204" i="7"/>
  <c r="F204" i="7"/>
  <c r="Q77" i="7"/>
  <c r="E77" i="7"/>
  <c r="B92" i="7"/>
  <c r="B98" i="7" s="1"/>
  <c r="T167" i="7"/>
  <c r="T77" i="7"/>
  <c r="G77" i="7"/>
  <c r="S77" i="7"/>
  <c r="G167" i="7"/>
  <c r="S204" i="7"/>
  <c r="M167" i="7"/>
  <c r="M204" i="7"/>
  <c r="M77" i="7"/>
  <c r="I204" i="7"/>
  <c r="I167" i="7"/>
  <c r="I77" i="7"/>
  <c r="L167" i="7"/>
  <c r="L77" i="7"/>
  <c r="L204" i="7"/>
  <c r="H204" i="7"/>
  <c r="H167" i="7"/>
  <c r="H77" i="7"/>
  <c r="K204" i="7"/>
  <c r="K167" i="7"/>
  <c r="K77" i="7"/>
  <c r="R167" i="7"/>
  <c r="R204" i="7"/>
  <c r="R77" i="7"/>
  <c r="O77" i="7"/>
  <c r="O204" i="7"/>
  <c r="O167" i="7"/>
  <c r="C204" i="7"/>
  <c r="C167" i="7"/>
  <c r="C77" i="7"/>
  <c r="P167" i="7"/>
  <c r="P77" i="7"/>
  <c r="P204" i="7"/>
  <c r="D167" i="7"/>
  <c r="D77" i="7"/>
  <c r="D204" i="7"/>
  <c r="N167" i="7"/>
  <c r="N204" i="7"/>
  <c r="N77" i="7"/>
  <c r="F16" i="1" l="1"/>
  <c r="B104" i="7"/>
  <c r="F397" i="7" s="1"/>
  <c r="C168" i="7"/>
  <c r="C78" i="7"/>
  <c r="C79" i="7" s="1"/>
  <c r="C205" i="7"/>
  <c r="F253" i="7" l="1"/>
  <c r="B110" i="7"/>
  <c r="B116" i="7" s="1"/>
  <c r="B144" i="7" s="1"/>
  <c r="F254" i="7"/>
  <c r="F394" i="7"/>
  <c r="F391" i="7"/>
  <c r="F393" i="7"/>
  <c r="F256" i="7"/>
  <c r="F395" i="7"/>
  <c r="F392" i="7"/>
  <c r="F14" i="1"/>
  <c r="F18" i="1" s="1"/>
  <c r="F396" i="7"/>
  <c r="F258" i="7"/>
  <c r="F259" i="7"/>
  <c r="F255" i="7"/>
  <c r="F257" i="7"/>
  <c r="C111" i="7"/>
  <c r="C112" i="7" s="1"/>
  <c r="C117" i="7" s="1"/>
  <c r="C118" i="7" s="1"/>
  <c r="F15" i="1" l="1"/>
  <c r="B112" i="7"/>
  <c r="B117" i="7" s="1"/>
  <c r="B118" i="7" s="1"/>
  <c r="B133" i="7" s="1"/>
  <c r="F398" i="7"/>
  <c r="C398" i="7"/>
  <c r="F260" i="7"/>
  <c r="C260" i="7"/>
  <c r="H397" i="7"/>
  <c r="K397" i="7" s="1"/>
  <c r="L397" i="7" s="1"/>
  <c r="H259" i="7"/>
  <c r="K259" i="7" s="1"/>
  <c r="L259" i="7" s="1"/>
  <c r="D78" i="7"/>
  <c r="D79" i="7" s="1"/>
  <c r="D168" i="7"/>
  <c r="D205" i="7"/>
  <c r="H255" i="7"/>
  <c r="K255" i="7" s="1"/>
  <c r="L255" i="7" s="1"/>
  <c r="H258" i="7"/>
  <c r="H254" i="7"/>
  <c r="K254" i="7" s="1"/>
  <c r="L254" i="7" s="1"/>
  <c r="H257" i="7"/>
  <c r="K257" i="7" s="1"/>
  <c r="L257" i="7" s="1"/>
  <c r="H256" i="7"/>
  <c r="K256" i="7" s="1"/>
  <c r="L256" i="7" s="1"/>
  <c r="H253" i="7"/>
  <c r="H392" i="7"/>
  <c r="K392" i="7" s="1"/>
  <c r="L392" i="7" s="1"/>
  <c r="H391" i="7"/>
  <c r="H394" i="7"/>
  <c r="K394" i="7" s="1"/>
  <c r="L394" i="7" s="1"/>
  <c r="H396" i="7"/>
  <c r="H393" i="7"/>
  <c r="K393" i="7" s="1"/>
  <c r="L393" i="7" s="1"/>
  <c r="H395" i="7"/>
  <c r="K395" i="7" s="1"/>
  <c r="L395" i="7" s="1"/>
  <c r="I397" i="7" l="1"/>
  <c r="J397" i="7" s="1"/>
  <c r="N259" i="7" s="1"/>
  <c r="H398" i="7"/>
  <c r="K396" i="7"/>
  <c r="L396" i="7" s="1"/>
  <c r="K258" i="7"/>
  <c r="L258" i="7" s="1"/>
  <c r="H260" i="7"/>
  <c r="D111" i="7"/>
  <c r="D112" i="7" s="1"/>
  <c r="D117" i="7" s="1"/>
  <c r="D118" i="7" s="1"/>
  <c r="K391" i="7"/>
  <c r="L391" i="7" s="1"/>
  <c r="I394" i="7"/>
  <c r="J394" i="7" s="1"/>
  <c r="N394" i="7" s="1"/>
  <c r="O394" i="7" s="1"/>
  <c r="Q394" i="7" s="1"/>
  <c r="I396" i="7"/>
  <c r="J396" i="7" s="1"/>
  <c r="I392" i="7"/>
  <c r="J392" i="7" s="1"/>
  <c r="N392" i="7" s="1"/>
  <c r="O392" i="7" s="1"/>
  <c r="I393" i="7"/>
  <c r="J393" i="7" s="1"/>
  <c r="N255" i="7" s="1"/>
  <c r="O255" i="7" s="1"/>
  <c r="Q255" i="7" s="1"/>
  <c r="I391" i="7"/>
  <c r="J391" i="7" s="1"/>
  <c r="I395" i="7"/>
  <c r="J395" i="7" s="1"/>
  <c r="N257" i="7" s="1"/>
  <c r="O257" i="7" s="1"/>
  <c r="Q257" i="7" s="1"/>
  <c r="K253" i="7"/>
  <c r="L253" i="7" s="1"/>
  <c r="N391" i="7" l="1"/>
  <c r="O391" i="7" s="1"/>
  <c r="N397" i="7"/>
  <c r="O397" i="7" s="1"/>
  <c r="Q397" i="7" s="1"/>
  <c r="L398" i="7"/>
  <c r="AP298" i="7"/>
  <c r="AL298" i="7"/>
  <c r="AH298" i="7"/>
  <c r="AD298" i="7"/>
  <c r="Z298" i="7"/>
  <c r="V298" i="7"/>
  <c r="R298" i="7"/>
  <c r="N298" i="7"/>
  <c r="J298" i="7"/>
  <c r="F298" i="7"/>
  <c r="P298" i="7"/>
  <c r="AO298" i="7"/>
  <c r="AK298" i="7"/>
  <c r="AG298" i="7"/>
  <c r="AC298" i="7"/>
  <c r="Y298" i="7"/>
  <c r="U298" i="7"/>
  <c r="Q298" i="7"/>
  <c r="M298" i="7"/>
  <c r="I298" i="7"/>
  <c r="E298" i="7"/>
  <c r="AN298" i="7"/>
  <c r="AJ298" i="7"/>
  <c r="AF298" i="7"/>
  <c r="AB298" i="7"/>
  <c r="X298" i="7"/>
  <c r="T298" i="7"/>
  <c r="L298" i="7"/>
  <c r="H298" i="7"/>
  <c r="D298" i="7"/>
  <c r="AM298" i="7"/>
  <c r="W298" i="7"/>
  <c r="G298" i="7"/>
  <c r="AA298" i="7"/>
  <c r="AI298" i="7"/>
  <c r="S298" i="7"/>
  <c r="C298" i="7"/>
  <c r="AE298" i="7"/>
  <c r="O298" i="7"/>
  <c r="K298" i="7"/>
  <c r="AP300" i="7"/>
  <c r="AL300" i="7"/>
  <c r="AH300" i="7"/>
  <c r="AD300" i="7"/>
  <c r="Z300" i="7"/>
  <c r="V300" i="7"/>
  <c r="R300" i="7"/>
  <c r="N300" i="7"/>
  <c r="J300" i="7"/>
  <c r="F300" i="7"/>
  <c r="AJ300" i="7"/>
  <c r="AB300" i="7"/>
  <c r="AO300" i="7"/>
  <c r="AK300" i="7"/>
  <c r="AG300" i="7"/>
  <c r="AC300" i="7"/>
  <c r="Y300" i="7"/>
  <c r="U300" i="7"/>
  <c r="Q300" i="7"/>
  <c r="M300" i="7"/>
  <c r="I300" i="7"/>
  <c r="E300" i="7"/>
  <c r="AN300" i="7"/>
  <c r="AF300" i="7"/>
  <c r="X300" i="7"/>
  <c r="P300" i="7"/>
  <c r="L300" i="7"/>
  <c r="H300" i="7"/>
  <c r="D300" i="7"/>
  <c r="AE300" i="7"/>
  <c r="S300" i="7"/>
  <c r="C300" i="7"/>
  <c r="T300" i="7"/>
  <c r="AA300" i="7"/>
  <c r="O300" i="7"/>
  <c r="AM300" i="7"/>
  <c r="W300" i="7"/>
  <c r="K300" i="7"/>
  <c r="AI300" i="7"/>
  <c r="G300" i="7"/>
  <c r="N258" i="7"/>
  <c r="O258" i="7" s="1"/>
  <c r="Q258" i="7" s="1"/>
  <c r="J398" i="7"/>
  <c r="L260" i="7"/>
  <c r="E168" i="7"/>
  <c r="E111" i="7"/>
  <c r="E112" i="7" s="1"/>
  <c r="E205" i="7"/>
  <c r="E78" i="7"/>
  <c r="E79" i="7" s="1"/>
  <c r="N256" i="7"/>
  <c r="O256" i="7" s="1"/>
  <c r="Q256" i="7" s="1"/>
  <c r="Q392" i="7"/>
  <c r="C208" i="7"/>
  <c r="N254" i="7"/>
  <c r="O254" i="7" s="1"/>
  <c r="Q254" i="7" s="1"/>
  <c r="N253" i="7"/>
  <c r="N396" i="7"/>
  <c r="O396" i="7" s="1"/>
  <c r="Q396" i="7" s="1"/>
  <c r="N393" i="7"/>
  <c r="O393" i="7" s="1"/>
  <c r="Q393" i="7" s="1"/>
  <c r="N395" i="7"/>
  <c r="O395" i="7" s="1"/>
  <c r="Q395" i="7" s="1"/>
  <c r="P437" i="7"/>
  <c r="R437" i="7"/>
  <c r="H437" i="7"/>
  <c r="N437" i="7"/>
  <c r="AK437" i="7"/>
  <c r="V437" i="7"/>
  <c r="AJ437" i="7"/>
  <c r="AI437" i="7"/>
  <c r="F437" i="7"/>
  <c r="T437" i="7"/>
  <c r="AP437" i="7"/>
  <c r="AO437" i="7"/>
  <c r="L437" i="7"/>
  <c r="AE437" i="7"/>
  <c r="AB437" i="7"/>
  <c r="E437" i="7"/>
  <c r="U437" i="7"/>
  <c r="AM437" i="7"/>
  <c r="I437" i="7"/>
  <c r="O437" i="7"/>
  <c r="D437" i="7"/>
  <c r="M437" i="7"/>
  <c r="W437" i="7"/>
  <c r="C437" i="7"/>
  <c r="AA437" i="7"/>
  <c r="AG437" i="7"/>
  <c r="J437" i="7"/>
  <c r="K437" i="7"/>
  <c r="AC437" i="7"/>
  <c r="AN437" i="7"/>
  <c r="AL437" i="7"/>
  <c r="X437" i="7"/>
  <c r="AH437" i="7"/>
  <c r="AD437" i="7"/>
  <c r="Z437" i="7"/>
  <c r="G437" i="7"/>
  <c r="Q437" i="7"/>
  <c r="S437" i="7"/>
  <c r="AF437" i="7"/>
  <c r="Y437" i="7"/>
  <c r="AM299" i="7" l="1"/>
  <c r="AI299" i="7"/>
  <c r="AE299" i="7"/>
  <c r="AA299" i="7"/>
  <c r="W299" i="7"/>
  <c r="S299" i="7"/>
  <c r="O299" i="7"/>
  <c r="K299" i="7"/>
  <c r="G299" i="7"/>
  <c r="C299" i="7"/>
  <c r="AF299" i="7"/>
  <c r="T299" i="7"/>
  <c r="H299" i="7"/>
  <c r="AP299" i="7"/>
  <c r="AL299" i="7"/>
  <c r="AH299" i="7"/>
  <c r="AD299" i="7"/>
  <c r="Z299" i="7"/>
  <c r="V299" i="7"/>
  <c r="R299" i="7"/>
  <c r="N299" i="7"/>
  <c r="J299" i="7"/>
  <c r="F299" i="7"/>
  <c r="AJ299" i="7"/>
  <c r="X299" i="7"/>
  <c r="L299" i="7"/>
  <c r="AO299" i="7"/>
  <c r="AK299" i="7"/>
  <c r="AG299" i="7"/>
  <c r="AC299" i="7"/>
  <c r="Y299" i="7"/>
  <c r="U299" i="7"/>
  <c r="Q299" i="7"/>
  <c r="M299" i="7"/>
  <c r="I299" i="7"/>
  <c r="E299" i="7"/>
  <c r="AN299" i="7"/>
  <c r="AB299" i="7"/>
  <c r="P299" i="7"/>
  <c r="D299" i="7"/>
  <c r="N260" i="7"/>
  <c r="AP297" i="7"/>
  <c r="AL297" i="7"/>
  <c r="AH297" i="7"/>
  <c r="AD297" i="7"/>
  <c r="Z297" i="7"/>
  <c r="V297" i="7"/>
  <c r="R297" i="7"/>
  <c r="N297" i="7"/>
  <c r="J297" i="7"/>
  <c r="F297" i="7"/>
  <c r="D297" i="7"/>
  <c r="AO297" i="7"/>
  <c r="AK297" i="7"/>
  <c r="AG297" i="7"/>
  <c r="AC297" i="7"/>
  <c r="Y297" i="7"/>
  <c r="U297" i="7"/>
  <c r="Q297" i="7"/>
  <c r="M297" i="7"/>
  <c r="I297" i="7"/>
  <c r="E297" i="7"/>
  <c r="AN297" i="7"/>
  <c r="AJ297" i="7"/>
  <c r="AF297" i="7"/>
  <c r="AB297" i="7"/>
  <c r="X297" i="7"/>
  <c r="T297" i="7"/>
  <c r="P297" i="7"/>
  <c r="L297" i="7"/>
  <c r="H297" i="7"/>
  <c r="AE297" i="7"/>
  <c r="O297" i="7"/>
  <c r="AI297" i="7"/>
  <c r="C297" i="7"/>
  <c r="AA297" i="7"/>
  <c r="K297" i="7"/>
  <c r="AM297" i="7"/>
  <c r="W297" i="7"/>
  <c r="G297" i="7"/>
  <c r="S297" i="7"/>
  <c r="AP301" i="7"/>
  <c r="AL301" i="7"/>
  <c r="AH301" i="7"/>
  <c r="AD301" i="7"/>
  <c r="Z301" i="7"/>
  <c r="V301" i="7"/>
  <c r="R301" i="7"/>
  <c r="N301" i="7"/>
  <c r="J301" i="7"/>
  <c r="F301" i="7"/>
  <c r="AO301" i="7"/>
  <c r="AK301" i="7"/>
  <c r="AG301" i="7"/>
  <c r="AC301" i="7"/>
  <c r="Y301" i="7"/>
  <c r="U301" i="7"/>
  <c r="Q301" i="7"/>
  <c r="M301" i="7"/>
  <c r="I301" i="7"/>
  <c r="E301" i="7"/>
  <c r="AN301" i="7"/>
  <c r="AF301" i="7"/>
  <c r="X301" i="7"/>
  <c r="P301" i="7"/>
  <c r="H301" i="7"/>
  <c r="AI301" i="7"/>
  <c r="AA301" i="7"/>
  <c r="K301" i="7"/>
  <c r="AM301" i="7"/>
  <c r="AE301" i="7"/>
  <c r="W301" i="7"/>
  <c r="O301" i="7"/>
  <c r="G301" i="7"/>
  <c r="AJ301" i="7"/>
  <c r="AB301" i="7"/>
  <c r="T301" i="7"/>
  <c r="L301" i="7"/>
  <c r="D301" i="7"/>
  <c r="S301" i="7"/>
  <c r="C301" i="7"/>
  <c r="N398" i="7"/>
  <c r="O259" i="7"/>
  <c r="Q259" i="7" s="1"/>
  <c r="E117" i="7"/>
  <c r="E118" i="7" s="1"/>
  <c r="P439" i="7"/>
  <c r="X439" i="7"/>
  <c r="AN439" i="7"/>
  <c r="K439" i="7"/>
  <c r="I439" i="7"/>
  <c r="T439" i="7"/>
  <c r="AC439" i="7"/>
  <c r="U439" i="7"/>
  <c r="AL439" i="7"/>
  <c r="AB439" i="7"/>
  <c r="M439" i="7"/>
  <c r="Z439" i="7"/>
  <c r="H439" i="7"/>
  <c r="AK439" i="7"/>
  <c r="V439" i="7"/>
  <c r="AM439" i="7"/>
  <c r="G439" i="7"/>
  <c r="E439" i="7"/>
  <c r="Q439" i="7"/>
  <c r="Y439" i="7"/>
  <c r="AO439" i="7"/>
  <c r="AH439" i="7"/>
  <c r="AE439" i="7"/>
  <c r="C439" i="7"/>
  <c r="AF439" i="7"/>
  <c r="AI439" i="7"/>
  <c r="D439" i="7"/>
  <c r="W439" i="7"/>
  <c r="AG439" i="7"/>
  <c r="R439" i="7"/>
  <c r="J439" i="7"/>
  <c r="AD439" i="7"/>
  <c r="N439" i="7"/>
  <c r="S439" i="7"/>
  <c r="O439" i="7"/>
  <c r="F439" i="7"/>
  <c r="L439" i="7"/>
  <c r="AA439" i="7"/>
  <c r="AJ439" i="7"/>
  <c r="AP439" i="7"/>
  <c r="O398" i="7"/>
  <c r="B300" i="7" a="1"/>
  <c r="B300" i="7" s="1"/>
  <c r="O253" i="7"/>
  <c r="E435" i="7"/>
  <c r="U435" i="7"/>
  <c r="P435" i="7"/>
  <c r="AF435" i="7"/>
  <c r="AP435" i="7"/>
  <c r="D435" i="7"/>
  <c r="V435" i="7"/>
  <c r="L435" i="7"/>
  <c r="AG435" i="7"/>
  <c r="T435" i="7"/>
  <c r="AN435" i="7"/>
  <c r="F435" i="7"/>
  <c r="AB435" i="7"/>
  <c r="O435" i="7"/>
  <c r="Y435" i="7"/>
  <c r="R435" i="7"/>
  <c r="AO435" i="7"/>
  <c r="AD435" i="7"/>
  <c r="N435" i="7"/>
  <c r="Q435" i="7"/>
  <c r="AM435" i="7"/>
  <c r="K435" i="7"/>
  <c r="H435" i="7"/>
  <c r="C435" i="7"/>
  <c r="AJ435" i="7"/>
  <c r="M435" i="7"/>
  <c r="AA435" i="7"/>
  <c r="Z435" i="7"/>
  <c r="AK435" i="7"/>
  <c r="X435" i="7"/>
  <c r="I435" i="7"/>
  <c r="G435" i="7"/>
  <c r="W435" i="7"/>
  <c r="J435" i="7"/>
  <c r="AE435" i="7"/>
  <c r="AL435" i="7"/>
  <c r="AH435" i="7"/>
  <c r="S435" i="7"/>
  <c r="AI435" i="7"/>
  <c r="AC435" i="7"/>
  <c r="B298" i="7" a="1"/>
  <c r="B298" i="7" s="1"/>
  <c r="B437" i="7" a="1"/>
  <c r="B437" i="7" s="1"/>
  <c r="C438" i="7"/>
  <c r="AL438" i="7"/>
  <c r="AO438" i="7"/>
  <c r="AG438" i="7"/>
  <c r="AN438" i="7"/>
  <c r="AK438" i="7"/>
  <c r="D438" i="7"/>
  <c r="AC438" i="7"/>
  <c r="Z438" i="7"/>
  <c r="H438" i="7"/>
  <c r="T438" i="7"/>
  <c r="AM438" i="7"/>
  <c r="AD438" i="7"/>
  <c r="Q438" i="7"/>
  <c r="J438" i="7"/>
  <c r="Y438" i="7"/>
  <c r="M438" i="7"/>
  <c r="AB438" i="7"/>
  <c r="AA438" i="7"/>
  <c r="AH438" i="7"/>
  <c r="S438" i="7"/>
  <c r="V438" i="7"/>
  <c r="X438" i="7"/>
  <c r="AF438" i="7"/>
  <c r="W438" i="7"/>
  <c r="E438" i="7"/>
  <c r="K438" i="7"/>
  <c r="O438" i="7"/>
  <c r="L438" i="7"/>
  <c r="AE438" i="7"/>
  <c r="I438" i="7"/>
  <c r="AI438" i="7"/>
  <c r="N438" i="7"/>
  <c r="AJ438" i="7"/>
  <c r="P438" i="7"/>
  <c r="G438" i="7"/>
  <c r="F438" i="7"/>
  <c r="AP438" i="7"/>
  <c r="R438" i="7"/>
  <c r="U438" i="7"/>
  <c r="AD436" i="7"/>
  <c r="R436" i="7"/>
  <c r="S436" i="7"/>
  <c r="E436" i="7"/>
  <c r="AK436" i="7"/>
  <c r="U436" i="7"/>
  <c r="M436" i="7"/>
  <c r="L436" i="7"/>
  <c r="AL436" i="7"/>
  <c r="AO436" i="7"/>
  <c r="N436" i="7"/>
  <c r="AF436" i="7"/>
  <c r="Q436" i="7"/>
  <c r="AP436" i="7"/>
  <c r="AN436" i="7"/>
  <c r="C436" i="7"/>
  <c r="AC436" i="7"/>
  <c r="X436" i="7"/>
  <c r="T436" i="7"/>
  <c r="Y436" i="7"/>
  <c r="I436" i="7"/>
  <c r="AI436" i="7"/>
  <c r="H436" i="7"/>
  <c r="V436" i="7"/>
  <c r="AA436" i="7"/>
  <c r="O436" i="7"/>
  <c r="J436" i="7"/>
  <c r="F436" i="7"/>
  <c r="G436" i="7"/>
  <c r="AJ436" i="7"/>
  <c r="K436" i="7"/>
  <c r="AB436" i="7"/>
  <c r="P436" i="7"/>
  <c r="AH436" i="7"/>
  <c r="Z436" i="7"/>
  <c r="AE436" i="7"/>
  <c r="D436" i="7"/>
  <c r="AG436" i="7"/>
  <c r="AM436" i="7"/>
  <c r="W436" i="7"/>
  <c r="O260" i="7" l="1"/>
  <c r="B299" i="7" a="1"/>
  <c r="B299" i="7" s="1"/>
  <c r="B297" i="7" a="1"/>
  <c r="B297" i="7" s="1"/>
  <c r="F78" i="7"/>
  <c r="F79" i="7" s="1"/>
  <c r="F205" i="7"/>
  <c r="F168" i="7"/>
  <c r="B436" i="7" a="1"/>
  <c r="B436" i="7" s="1"/>
  <c r="B435" i="7" a="1"/>
  <c r="B435" i="7" s="1"/>
  <c r="Q253" i="7"/>
  <c r="Q260" i="7" s="1"/>
  <c r="B438" i="7" a="1"/>
  <c r="B438" i="7" s="1"/>
  <c r="P391" i="7"/>
  <c r="AP296" i="7" l="1"/>
  <c r="AP304" i="7" s="1"/>
  <c r="AL296" i="7"/>
  <c r="AL304" i="7" s="1"/>
  <c r="AH296" i="7"/>
  <c r="AH304" i="7" s="1"/>
  <c r="AD296" i="7"/>
  <c r="AD304" i="7" s="1"/>
  <c r="Z296" i="7"/>
  <c r="Z304" i="7" s="1"/>
  <c r="Z169" i="7" s="1"/>
  <c r="Z170" i="7" s="1"/>
  <c r="Z198" i="7" s="1"/>
  <c r="Z200" i="7" s="1"/>
  <c r="V296" i="7"/>
  <c r="V304" i="7" s="1"/>
  <c r="V169" i="7" s="1"/>
  <c r="V170" i="7" s="1"/>
  <c r="V198" i="7" s="1"/>
  <c r="V200" i="7" s="1"/>
  <c r="R296" i="7"/>
  <c r="R304" i="7" s="1"/>
  <c r="R169" i="7" s="1"/>
  <c r="N296" i="7"/>
  <c r="N304" i="7" s="1"/>
  <c r="N169" i="7" s="1"/>
  <c r="J296" i="7"/>
  <c r="J304" i="7" s="1"/>
  <c r="J169" i="7" s="1"/>
  <c r="F296" i="7"/>
  <c r="F304" i="7" s="1"/>
  <c r="F169" i="7" s="1"/>
  <c r="F170" i="7" s="1"/>
  <c r="F198" i="7" s="1"/>
  <c r="F200" i="7" s="1"/>
  <c r="AJ296" i="7"/>
  <c r="AJ304" i="7" s="1"/>
  <c r="AO296" i="7"/>
  <c r="AO304" i="7" s="1"/>
  <c r="AK296" i="7"/>
  <c r="AK304" i="7" s="1"/>
  <c r="AG296" i="7"/>
  <c r="AG304" i="7" s="1"/>
  <c r="AC296" i="7"/>
  <c r="AC304" i="7" s="1"/>
  <c r="Y296" i="7"/>
  <c r="Y304" i="7" s="1"/>
  <c r="Y169" i="7" s="1"/>
  <c r="Y170" i="7" s="1"/>
  <c r="Y198" i="7" s="1"/>
  <c r="Y200" i="7" s="1"/>
  <c r="U296" i="7"/>
  <c r="U304" i="7" s="1"/>
  <c r="U169" i="7" s="1"/>
  <c r="U170" i="7" s="1"/>
  <c r="U198" i="7" s="1"/>
  <c r="U200" i="7" s="1"/>
  <c r="Q296" i="7"/>
  <c r="Q304" i="7" s="1"/>
  <c r="Q169" i="7" s="1"/>
  <c r="M296" i="7"/>
  <c r="M304" i="7" s="1"/>
  <c r="M169" i="7" s="1"/>
  <c r="I296" i="7"/>
  <c r="I304" i="7" s="1"/>
  <c r="I169" i="7" s="1"/>
  <c r="E296" i="7"/>
  <c r="E304" i="7" s="1"/>
  <c r="E169" i="7" s="1"/>
  <c r="E170" i="7" s="1"/>
  <c r="E198" i="7" s="1"/>
  <c r="E200" i="7" s="1"/>
  <c r="AN296" i="7"/>
  <c r="AN304" i="7" s="1"/>
  <c r="AF296" i="7"/>
  <c r="AF304" i="7" s="1"/>
  <c r="AB296" i="7"/>
  <c r="AB304" i="7" s="1"/>
  <c r="X296" i="7"/>
  <c r="X304" i="7" s="1"/>
  <c r="X169" i="7" s="1"/>
  <c r="X170" i="7" s="1"/>
  <c r="X198" i="7" s="1"/>
  <c r="X200" i="7" s="1"/>
  <c r="T296" i="7"/>
  <c r="T304" i="7" s="1"/>
  <c r="T169" i="7" s="1"/>
  <c r="P296" i="7"/>
  <c r="P304" i="7" s="1"/>
  <c r="P169" i="7" s="1"/>
  <c r="L296" i="7"/>
  <c r="L304" i="7" s="1"/>
  <c r="L169" i="7" s="1"/>
  <c r="H296" i="7"/>
  <c r="H304" i="7" s="1"/>
  <c r="H169" i="7" s="1"/>
  <c r="D296" i="7"/>
  <c r="D304" i="7" s="1"/>
  <c r="AM296" i="7"/>
  <c r="AM304" i="7" s="1"/>
  <c r="W296" i="7"/>
  <c r="W304" i="7" s="1"/>
  <c r="W169" i="7" s="1"/>
  <c r="W170" i="7" s="1"/>
  <c r="W198" i="7" s="1"/>
  <c r="W200" i="7" s="1"/>
  <c r="G296" i="7"/>
  <c r="G304" i="7" s="1"/>
  <c r="G169" i="7" s="1"/>
  <c r="K296" i="7"/>
  <c r="K304" i="7" s="1"/>
  <c r="K169" i="7" s="1"/>
  <c r="AI296" i="7"/>
  <c r="AI304" i="7" s="1"/>
  <c r="S296" i="7"/>
  <c r="S304" i="7" s="1"/>
  <c r="S169" i="7" s="1"/>
  <c r="C296" i="7"/>
  <c r="C304" i="7" s="1"/>
  <c r="AE296" i="7"/>
  <c r="AE304" i="7" s="1"/>
  <c r="O296" i="7"/>
  <c r="O304" i="7" s="1"/>
  <c r="O169" i="7" s="1"/>
  <c r="AA296" i="7"/>
  <c r="AA304" i="7" s="1"/>
  <c r="AA169" i="7" s="1"/>
  <c r="AA170" i="7" s="1"/>
  <c r="AA198" i="7" s="1"/>
  <c r="AA200" i="7" s="1"/>
  <c r="P398" i="7"/>
  <c r="C441" i="7" s="1"/>
  <c r="B441" i="7" s="1" a="1"/>
  <c r="B441" i="7" s="1"/>
  <c r="F111" i="7"/>
  <c r="F112" i="7" s="1"/>
  <c r="F117" i="7" s="1"/>
  <c r="F118" i="7" s="1"/>
  <c r="Q391" i="7"/>
  <c r="Q398" i="7" s="1"/>
  <c r="D169" i="7" l="1"/>
  <c r="D170" i="7" s="1"/>
  <c r="D198" i="7" s="1"/>
  <c r="D200" i="7" s="1"/>
  <c r="D130" i="7" s="1"/>
  <c r="B304" i="7" a="1"/>
  <c r="B304" i="7" s="1"/>
  <c r="Y207" i="7"/>
  <c r="Y130" i="7"/>
  <c r="V207" i="7"/>
  <c r="V130" i="7"/>
  <c r="U207" i="7"/>
  <c r="U130" i="7"/>
  <c r="C169" i="7"/>
  <c r="C170" i="7" s="1"/>
  <c r="C198" i="7" s="1"/>
  <c r="C200" i="7" s="1"/>
  <c r="E207" i="7"/>
  <c r="E130" i="7"/>
  <c r="F207" i="7"/>
  <c r="F130" i="7"/>
  <c r="C434" i="7"/>
  <c r="C442" i="7" s="1"/>
  <c r="AI434" i="7"/>
  <c r="AI442" i="7" s="1"/>
  <c r="AP434" i="7"/>
  <c r="AP442" i="7" s="1"/>
  <c r="I434" i="7"/>
  <c r="I442" i="7" s="1"/>
  <c r="I206" i="7" s="1"/>
  <c r="AJ434" i="7"/>
  <c r="AJ442" i="7" s="1"/>
  <c r="AC434" i="7"/>
  <c r="AC442" i="7" s="1"/>
  <c r="AG434" i="7"/>
  <c r="AG442" i="7" s="1"/>
  <c r="AM434" i="7"/>
  <c r="AM442" i="7" s="1"/>
  <c r="AK434" i="7"/>
  <c r="AK442" i="7" s="1"/>
  <c r="T434" i="7"/>
  <c r="T442" i="7" s="1"/>
  <c r="T206" i="7" s="1"/>
  <c r="D434" i="7"/>
  <c r="D442" i="7" s="1"/>
  <c r="D206" i="7" s="1"/>
  <c r="K434" i="7"/>
  <c r="K442" i="7" s="1"/>
  <c r="K206" i="7" s="1"/>
  <c r="AO434" i="7"/>
  <c r="AO442" i="7" s="1"/>
  <c r="L434" i="7"/>
  <c r="L442" i="7" s="1"/>
  <c r="L206" i="7" s="1"/>
  <c r="G434" i="7"/>
  <c r="G442" i="7" s="1"/>
  <c r="G206" i="7" s="1"/>
  <c r="AB434" i="7"/>
  <c r="AB442" i="7" s="1"/>
  <c r="AN434" i="7"/>
  <c r="AN442" i="7" s="1"/>
  <c r="S434" i="7"/>
  <c r="S442" i="7" s="1"/>
  <c r="S206" i="7" s="1"/>
  <c r="E434" i="7"/>
  <c r="E442" i="7" s="1"/>
  <c r="E206" i="7" s="1"/>
  <c r="P434" i="7"/>
  <c r="P442" i="7" s="1"/>
  <c r="P206" i="7" s="1"/>
  <c r="AD434" i="7"/>
  <c r="AD442" i="7" s="1"/>
  <c r="AE434" i="7"/>
  <c r="AE442" i="7" s="1"/>
  <c r="AL434" i="7"/>
  <c r="AL442" i="7" s="1"/>
  <c r="J434" i="7"/>
  <c r="J442" i="7" s="1"/>
  <c r="J206" i="7" s="1"/>
  <c r="H434" i="7"/>
  <c r="H442" i="7" s="1"/>
  <c r="H206" i="7" s="1"/>
  <c r="AF434" i="7"/>
  <c r="AF442" i="7" s="1"/>
  <c r="M434" i="7"/>
  <c r="M442" i="7" s="1"/>
  <c r="M206" i="7" s="1"/>
  <c r="AH434" i="7"/>
  <c r="AH442" i="7" s="1"/>
  <c r="W434" i="7"/>
  <c r="W442" i="7" s="1"/>
  <c r="W206" i="7" s="1"/>
  <c r="U434" i="7"/>
  <c r="U442" i="7" s="1"/>
  <c r="U206" i="7" s="1"/>
  <c r="Z434" i="7"/>
  <c r="Z442" i="7" s="1"/>
  <c r="Z206" i="7" s="1"/>
  <c r="O434" i="7"/>
  <c r="O442" i="7" s="1"/>
  <c r="O206" i="7" s="1"/>
  <c r="R434" i="7"/>
  <c r="R442" i="7" s="1"/>
  <c r="R206" i="7" s="1"/>
  <c r="Q434" i="7"/>
  <c r="Q442" i="7" s="1"/>
  <c r="Q206" i="7" s="1"/>
  <c r="AA434" i="7"/>
  <c r="AA442" i="7" s="1"/>
  <c r="AA206" i="7" s="1"/>
  <c r="F434" i="7"/>
  <c r="F442" i="7" s="1"/>
  <c r="F206" i="7" s="1"/>
  <c r="X434" i="7"/>
  <c r="X442" i="7" s="1"/>
  <c r="X206" i="7" s="1"/>
  <c r="Y434" i="7"/>
  <c r="Y442" i="7" s="1"/>
  <c r="Y206" i="7" s="1"/>
  <c r="N434" i="7"/>
  <c r="N442" i="7" s="1"/>
  <c r="N206" i="7" s="1"/>
  <c r="V434" i="7"/>
  <c r="V442" i="7" s="1"/>
  <c r="V206" i="7" s="1"/>
  <c r="W207" i="7"/>
  <c r="W130" i="7"/>
  <c r="X207" i="7"/>
  <c r="X130" i="7"/>
  <c r="Z207" i="7"/>
  <c r="Z130" i="7"/>
  <c r="AA207" i="7"/>
  <c r="AA130" i="7"/>
  <c r="D207" i="7" l="1"/>
  <c r="Y210" i="7"/>
  <c r="Y238" i="7" s="1"/>
  <c r="U210" i="7"/>
  <c r="U238" i="7" s="1"/>
  <c r="V210" i="7"/>
  <c r="V238" i="7" s="1"/>
  <c r="E210" i="7"/>
  <c r="E238" i="7" s="1"/>
  <c r="E240" i="7" s="1"/>
  <c r="E144" i="7" s="1"/>
  <c r="F210" i="7"/>
  <c r="F238" i="7" s="1"/>
  <c r="F240" i="7" s="1"/>
  <c r="F144" i="7" s="1"/>
  <c r="G168" i="7"/>
  <c r="G170" i="7" s="1"/>
  <c r="G198" i="7" s="1"/>
  <c r="G200" i="7" s="1"/>
  <c r="G78" i="7"/>
  <c r="G79" i="7" s="1"/>
  <c r="G205" i="7"/>
  <c r="X210" i="7"/>
  <c r="X238" i="7" s="1"/>
  <c r="W210" i="7"/>
  <c r="W238" i="7" s="1"/>
  <c r="C207" i="7"/>
  <c r="C130" i="7"/>
  <c r="B434" i="7" a="1"/>
  <c r="B434" i="7" s="1"/>
  <c r="AA210" i="7"/>
  <c r="AA238" i="7" s="1"/>
  <c r="Z210" i="7"/>
  <c r="Z238" i="7" s="1"/>
  <c r="D210" i="7"/>
  <c r="D238" i="7" s="1"/>
  <c r="AA240" i="7" l="1"/>
  <c r="AA144" i="7" s="1"/>
  <c r="W240" i="7"/>
  <c r="W144" i="7" s="1"/>
  <c r="V240" i="7"/>
  <c r="V144" i="7" s="1"/>
  <c r="D240" i="7"/>
  <c r="D144" i="7" s="1"/>
  <c r="X240" i="7"/>
  <c r="X144" i="7" s="1"/>
  <c r="U240" i="7"/>
  <c r="U144" i="7" s="1"/>
  <c r="Z240" i="7"/>
  <c r="Z144" i="7" s="1"/>
  <c r="Y240" i="7"/>
  <c r="Y144" i="7" s="1"/>
  <c r="F131" i="7"/>
  <c r="F132" i="7" s="1"/>
  <c r="F133" i="7" s="1"/>
  <c r="E131" i="7"/>
  <c r="E132" i="7" s="1"/>
  <c r="E133" i="7" s="1"/>
  <c r="B442" i="7" a="1"/>
  <c r="B442" i="7" s="1"/>
  <c r="C206" i="7"/>
  <c r="C210" i="7" s="1"/>
  <c r="C238" i="7" s="1"/>
  <c r="G111" i="7"/>
  <c r="G112" i="7" s="1"/>
  <c r="G117" i="7" s="1"/>
  <c r="G118" i="7" s="1"/>
  <c r="G130" i="7"/>
  <c r="G207" i="7"/>
  <c r="G210" i="7" s="1"/>
  <c r="G238" i="7" s="1"/>
  <c r="V131" i="7" l="1"/>
  <c r="V132" i="7" s="1"/>
  <c r="V133" i="7" s="1"/>
  <c r="W131" i="7"/>
  <c r="W132" i="7" s="1"/>
  <c r="W133" i="7" s="1"/>
  <c r="X131" i="7"/>
  <c r="X132" i="7" s="1"/>
  <c r="X133" i="7" s="1"/>
  <c r="D131" i="7"/>
  <c r="D132" i="7" s="1"/>
  <c r="D133" i="7" s="1"/>
  <c r="AA131" i="7"/>
  <c r="AA132" i="7" s="1"/>
  <c r="AA133" i="7" s="1"/>
  <c r="Z131" i="7"/>
  <c r="Z132" i="7" s="1"/>
  <c r="Z133" i="7" s="1"/>
  <c r="Y131" i="7"/>
  <c r="Y132" i="7" s="1"/>
  <c r="Y133" i="7" s="1"/>
  <c r="U131" i="7"/>
  <c r="U132" i="7" s="1"/>
  <c r="U133" i="7" s="1"/>
  <c r="G240" i="7"/>
  <c r="G144" i="7" s="1"/>
  <c r="C240" i="7"/>
  <c r="C144" i="7" s="1"/>
  <c r="C131" i="7" l="1"/>
  <c r="C132" i="7" s="1"/>
  <c r="C133" i="7" s="1"/>
  <c r="G131" i="7"/>
  <c r="G132" i="7" s="1"/>
  <c r="G133" i="7" s="1"/>
  <c r="H205" i="7"/>
  <c r="H78" i="7"/>
  <c r="H79" i="7" s="1"/>
  <c r="H168" i="7"/>
  <c r="H170" i="7" s="1"/>
  <c r="H198" i="7" s="1"/>
  <c r="H200" i="7" s="1"/>
  <c r="E137" i="7" l="1"/>
  <c r="F137" i="7"/>
  <c r="D137" i="7"/>
  <c r="C137" i="7"/>
  <c r="C138" i="7" s="1"/>
  <c r="G137" i="7"/>
  <c r="H111" i="7"/>
  <c r="H112" i="7" s="1"/>
  <c r="H117" i="7" s="1"/>
  <c r="H118" i="7" s="1"/>
  <c r="H207" i="7"/>
  <c r="H210" i="7" s="1"/>
  <c r="H238" i="7" s="1"/>
  <c r="H130" i="7"/>
  <c r="F138" i="7" l="1"/>
  <c r="G138" i="7"/>
  <c r="D138" i="7"/>
  <c r="E138" i="7"/>
  <c r="H240" i="7"/>
  <c r="H144" i="7" s="1"/>
  <c r="F139" i="7" l="1"/>
  <c r="G139" i="7"/>
  <c r="E139" i="7"/>
  <c r="D139" i="7"/>
  <c r="C139" i="7"/>
  <c r="H131" i="7"/>
  <c r="H132" i="7" s="1"/>
  <c r="H133" i="7" s="1"/>
  <c r="I205" i="7"/>
  <c r="I78" i="7"/>
  <c r="I79" i="7" s="1"/>
  <c r="I168" i="7"/>
  <c r="I170" i="7" s="1"/>
  <c r="I198" i="7" s="1"/>
  <c r="I200" i="7" s="1"/>
  <c r="H137" i="7" l="1"/>
  <c r="H138" i="7" s="1"/>
  <c r="I207" i="7"/>
  <c r="I210" i="7" s="1"/>
  <c r="I238" i="7" s="1"/>
  <c r="I130" i="7"/>
  <c r="I111" i="7"/>
  <c r="I112" i="7" s="1"/>
  <c r="I117" i="7" s="1"/>
  <c r="I118" i="7" s="1"/>
  <c r="H139" i="7" l="1"/>
  <c r="I240" i="7"/>
  <c r="I144" i="7" s="1"/>
  <c r="I131" i="7" l="1"/>
  <c r="I132" i="7" s="1"/>
  <c r="I133" i="7" s="1"/>
  <c r="J78" i="7"/>
  <c r="J79" i="7" s="1"/>
  <c r="J205" i="7"/>
  <c r="J168" i="7"/>
  <c r="J170" i="7" s="1"/>
  <c r="J198" i="7" s="1"/>
  <c r="J200" i="7" s="1"/>
  <c r="I137" i="7" l="1"/>
  <c r="I138" i="7" s="1"/>
  <c r="J111" i="7"/>
  <c r="J112" i="7" s="1"/>
  <c r="J117" i="7" s="1"/>
  <c r="J118" i="7" s="1"/>
  <c r="J207" i="7"/>
  <c r="J210" i="7" s="1"/>
  <c r="J238" i="7" s="1"/>
  <c r="J130" i="7"/>
  <c r="I139" i="7" l="1"/>
  <c r="J240" i="7"/>
  <c r="J144" i="7" s="1"/>
  <c r="J131" i="7" l="1"/>
  <c r="J132" i="7" s="1"/>
  <c r="J133" i="7" s="1"/>
  <c r="K168" i="7"/>
  <c r="K170" i="7" s="1"/>
  <c r="K198" i="7" s="1"/>
  <c r="K200" i="7" s="1"/>
  <c r="K205" i="7"/>
  <c r="K78" i="7"/>
  <c r="K79" i="7" s="1"/>
  <c r="J137" i="7" l="1"/>
  <c r="J138" i="7" s="1"/>
  <c r="K207" i="7"/>
  <c r="K210" i="7" s="1"/>
  <c r="K238" i="7" s="1"/>
  <c r="K130" i="7"/>
  <c r="K111" i="7"/>
  <c r="K112" i="7" s="1"/>
  <c r="K117" i="7" s="1"/>
  <c r="K118" i="7" s="1"/>
  <c r="J139" i="7" l="1"/>
  <c r="K240" i="7"/>
  <c r="K144" i="7" s="1"/>
  <c r="K131" i="7" l="1"/>
  <c r="K132" i="7" s="1"/>
  <c r="K133" i="7" s="1"/>
  <c r="L205" i="7"/>
  <c r="L168" i="7"/>
  <c r="L170" i="7" s="1"/>
  <c r="L198" i="7" s="1"/>
  <c r="L200" i="7" s="1"/>
  <c r="L78" i="7"/>
  <c r="L79" i="7" s="1"/>
  <c r="K137" i="7" l="1"/>
  <c r="K138" i="7" s="1"/>
  <c r="K139" i="7" s="1"/>
  <c r="L130" i="7"/>
  <c r="L207" i="7"/>
  <c r="L210" i="7" s="1"/>
  <c r="L238" i="7" s="1"/>
  <c r="L111" i="7"/>
  <c r="L112" i="7" s="1"/>
  <c r="L117" i="7" s="1"/>
  <c r="L118" i="7" s="1"/>
  <c r="L240" i="7" l="1"/>
  <c r="L144" i="7" s="1"/>
  <c r="L131" i="7" l="1"/>
  <c r="L132" i="7" s="1"/>
  <c r="L133" i="7" s="1"/>
  <c r="M78" i="7"/>
  <c r="M79" i="7" s="1"/>
  <c r="M168" i="7"/>
  <c r="M170" i="7" s="1"/>
  <c r="M198" i="7" s="1"/>
  <c r="M200" i="7" s="1"/>
  <c r="M205" i="7"/>
  <c r="L137" i="7" l="1"/>
  <c r="L138" i="7" s="1"/>
  <c r="L139" i="7" s="1"/>
  <c r="M207" i="7"/>
  <c r="M210" i="7" s="1"/>
  <c r="M238" i="7" s="1"/>
  <c r="M130" i="7"/>
  <c r="M111" i="7"/>
  <c r="M112" i="7" s="1"/>
  <c r="M117" i="7" s="1"/>
  <c r="M118" i="7" s="1"/>
  <c r="M240" i="7" l="1"/>
  <c r="M144" i="7" s="1"/>
  <c r="M131" i="7" l="1"/>
  <c r="M132" i="7" s="1"/>
  <c r="M133" i="7" s="1"/>
  <c r="N168" i="7"/>
  <c r="N170" i="7" s="1"/>
  <c r="N198" i="7" s="1"/>
  <c r="N200" i="7" s="1"/>
  <c r="N78" i="7"/>
  <c r="N79" i="7" s="1"/>
  <c r="N205" i="7"/>
  <c r="M137" i="7" l="1"/>
  <c r="M138" i="7" s="1"/>
  <c r="M139" i="7" s="1"/>
  <c r="N207" i="7"/>
  <c r="N210" i="7" s="1"/>
  <c r="N238" i="7" s="1"/>
  <c r="N130" i="7"/>
  <c r="N111" i="7"/>
  <c r="N112" i="7" s="1"/>
  <c r="N117" i="7" s="1"/>
  <c r="N118" i="7" s="1"/>
  <c r="N240" i="7" l="1"/>
  <c r="N144" i="7" s="1"/>
  <c r="N131" i="7" l="1"/>
  <c r="N132" i="7" s="1"/>
  <c r="N133" i="7" s="1"/>
  <c r="O78" i="7"/>
  <c r="O79" i="7" s="1"/>
  <c r="O205" i="7"/>
  <c r="O168" i="7"/>
  <c r="O170" i="7" s="1"/>
  <c r="O198" i="7" s="1"/>
  <c r="O200" i="7" s="1"/>
  <c r="N137" i="7" l="1"/>
  <c r="N138" i="7" s="1"/>
  <c r="N139" i="7" s="1"/>
  <c r="O111" i="7"/>
  <c r="O112" i="7" s="1"/>
  <c r="O117" i="7" s="1"/>
  <c r="O118" i="7" s="1"/>
  <c r="O207" i="7"/>
  <c r="O210" i="7" s="1"/>
  <c r="O238" i="7" s="1"/>
  <c r="O130" i="7"/>
  <c r="O240" i="7" l="1"/>
  <c r="O144" i="7" s="1"/>
  <c r="O131" i="7" l="1"/>
  <c r="O132" i="7" s="1"/>
  <c r="O133" i="7" s="1"/>
  <c r="P78" i="7"/>
  <c r="P79" i="7" s="1"/>
  <c r="P205" i="7"/>
  <c r="P168" i="7"/>
  <c r="P170" i="7" s="1"/>
  <c r="P198" i="7" s="1"/>
  <c r="P200" i="7" s="1"/>
  <c r="O137" i="7" l="1"/>
  <c r="O138" i="7" s="1"/>
  <c r="O139" i="7" s="1"/>
  <c r="P111" i="7"/>
  <c r="P112" i="7" s="1"/>
  <c r="P117" i="7" s="1"/>
  <c r="P118" i="7" s="1"/>
  <c r="P207" i="7"/>
  <c r="P210" i="7" s="1"/>
  <c r="P238" i="7" s="1"/>
  <c r="P130" i="7"/>
  <c r="P240" i="7" l="1"/>
  <c r="P144" i="7" s="1"/>
  <c r="P131" i="7" l="1"/>
  <c r="P132" i="7" s="1"/>
  <c r="P133" i="7" s="1"/>
  <c r="Q78" i="7"/>
  <c r="Q79" i="7" s="1"/>
  <c r="Q205" i="7"/>
  <c r="Q168" i="7"/>
  <c r="Q170" i="7" s="1"/>
  <c r="Q198" i="7" s="1"/>
  <c r="Q200" i="7" s="1"/>
  <c r="P137" i="7" l="1"/>
  <c r="P138" i="7" s="1"/>
  <c r="P139" i="7" s="1"/>
  <c r="Q111" i="7"/>
  <c r="Q112" i="7" s="1"/>
  <c r="Q117" i="7" s="1"/>
  <c r="Q118" i="7" s="1"/>
  <c r="Q207" i="7"/>
  <c r="Q210" i="7" s="1"/>
  <c r="Q238" i="7" s="1"/>
  <c r="Q130" i="7"/>
  <c r="Q240" i="7" l="1"/>
  <c r="Q144" i="7" s="1"/>
  <c r="Q131" i="7" l="1"/>
  <c r="Q132" i="7" s="1"/>
  <c r="Q133" i="7" s="1"/>
  <c r="R168" i="7"/>
  <c r="R170" i="7" s="1"/>
  <c r="R198" i="7" s="1"/>
  <c r="R200" i="7" s="1"/>
  <c r="R205" i="7"/>
  <c r="R78" i="7"/>
  <c r="R79" i="7" s="1"/>
  <c r="Q137" i="7" l="1"/>
  <c r="Q138" i="7" s="1"/>
  <c r="Q139" i="7" s="1"/>
  <c r="R130" i="7"/>
  <c r="R207" i="7"/>
  <c r="R210" i="7" s="1"/>
  <c r="R238" i="7" s="1"/>
  <c r="R111" i="7"/>
  <c r="R112" i="7" s="1"/>
  <c r="R117" i="7" s="1"/>
  <c r="R118" i="7" s="1"/>
  <c r="R240" i="7" l="1"/>
  <c r="R144" i="7" s="1"/>
  <c r="R131" i="7" l="1"/>
  <c r="R132" i="7" s="1"/>
  <c r="R133" i="7" s="1"/>
  <c r="S78" i="7"/>
  <c r="S79" i="7" s="1"/>
  <c r="S205" i="7"/>
  <c r="S168" i="7"/>
  <c r="S170" i="7" s="1"/>
  <c r="S198" i="7" s="1"/>
  <c r="S200" i="7" s="1"/>
  <c r="R137" i="7" l="1"/>
  <c r="R138" i="7" s="1"/>
  <c r="R139" i="7" s="1"/>
  <c r="S111" i="7"/>
  <c r="S112" i="7" s="1"/>
  <c r="S117" i="7" s="1"/>
  <c r="S118" i="7" s="1"/>
  <c r="S207" i="7"/>
  <c r="S210" i="7" s="1"/>
  <c r="S238" i="7" s="1"/>
  <c r="S130" i="7"/>
  <c r="S240" i="7" l="1"/>
  <c r="S144" i="7" s="1"/>
  <c r="S131" i="7" l="1"/>
  <c r="S132" i="7" s="1"/>
  <c r="S133" i="7" s="1"/>
  <c r="T78" i="7"/>
  <c r="T79" i="7" s="1"/>
  <c r="T168" i="7"/>
  <c r="T170" i="7" s="1"/>
  <c r="T198" i="7" s="1"/>
  <c r="T200" i="7" s="1"/>
  <c r="T205" i="7"/>
  <c r="S137" i="7" l="1"/>
  <c r="S138" i="7" s="1"/>
  <c r="S139" i="7" s="1"/>
  <c r="T111" i="7"/>
  <c r="T112" i="7" s="1"/>
  <c r="T117" i="7" s="1"/>
  <c r="T118" i="7" s="1"/>
  <c r="T207" i="7"/>
  <c r="T210" i="7" s="1"/>
  <c r="T238" i="7" s="1"/>
  <c r="T130" i="7"/>
  <c r="T240" i="7" l="1"/>
  <c r="T144" i="7" s="1"/>
  <c r="T131" i="7" l="1"/>
  <c r="T132" i="7" s="1"/>
  <c r="T133" i="7" s="1"/>
  <c r="B148" i="7"/>
  <c r="B150" i="7" s="1"/>
  <c r="F9" i="1" s="1"/>
  <c r="AN137" i="7" l="1"/>
  <c r="AD137" i="7"/>
  <c r="AH137" i="7"/>
  <c r="AG137" i="7"/>
  <c r="AI137" i="7"/>
  <c r="AK137" i="7"/>
  <c r="AA137" i="7"/>
  <c r="AO137" i="7"/>
  <c r="V137" i="7"/>
  <c r="AF137" i="7"/>
  <c r="Z137" i="7"/>
  <c r="AM137" i="7"/>
  <c r="AE137" i="7"/>
  <c r="T137" i="7"/>
  <c r="T138" i="7" s="1"/>
  <c r="AL137" i="7"/>
  <c r="AC137" i="7"/>
  <c r="AB137" i="7"/>
  <c r="W137" i="7"/>
  <c r="AJ137" i="7"/>
  <c r="AP137" i="7"/>
  <c r="Y137" i="7"/>
  <c r="X137" i="7"/>
  <c r="U137" i="7"/>
  <c r="B141" i="7"/>
  <c r="F10" i="1" s="1"/>
  <c r="T139" i="7" l="1"/>
  <c r="AE138" i="7"/>
  <c r="U138" i="7"/>
  <c r="AD138" i="7"/>
  <c r="AN138" i="7"/>
  <c r="Z138" i="7"/>
  <c r="AB138" i="7"/>
  <c r="AI138" i="7"/>
  <c r="AM138" i="7"/>
  <c r="AK138" i="7"/>
  <c r="AA138" i="7"/>
  <c r="W138" i="7"/>
  <c r="X138" i="7"/>
  <c r="V138" i="7"/>
  <c r="AL138" i="7"/>
  <c r="Y138" i="7"/>
  <c r="AG138" i="7"/>
  <c r="AP138" i="7"/>
  <c r="AC138" i="7"/>
  <c r="AH138" i="7"/>
  <c r="AJ138" i="7"/>
  <c r="AO138" i="7"/>
  <c r="AF138" i="7"/>
  <c r="AP139" i="7" l="1"/>
  <c r="AN139" i="7"/>
  <c r="F11" i="1"/>
  <c r="F13" i="1"/>
  <c r="AB139" i="7"/>
  <c r="AI139" i="7"/>
  <c r="V139" i="7"/>
  <c r="AM139" i="7"/>
  <c r="AG139" i="7"/>
  <c r="W139" i="7"/>
  <c r="AD139" i="7"/>
  <c r="AH139" i="7"/>
  <c r="Y139" i="7"/>
  <c r="AA139" i="7"/>
  <c r="AF139" i="7"/>
  <c r="AC139" i="7"/>
  <c r="AO139" i="7"/>
  <c r="AL139" i="7"/>
  <c r="AK139" i="7"/>
  <c r="Z139" i="7"/>
  <c r="X139" i="7"/>
  <c r="AJ139" i="7"/>
  <c r="AE139" i="7"/>
  <c r="U139" i="7"/>
  <c r="B139" i="7" l="1"/>
  <c r="I260" i="7"/>
  <c r="I257" i="7" s="1"/>
  <c r="J257" i="7" s="1"/>
  <c r="I255" i="7" l="1"/>
  <c r="J255" i="7" s="1"/>
  <c r="I259" i="7"/>
  <c r="J259" i="7" s="1"/>
  <c r="I258" i="7"/>
  <c r="J258" i="7" s="1"/>
  <c r="I256" i="7"/>
  <c r="J256" i="7" s="1"/>
  <c r="I254" i="7"/>
  <c r="J254" i="7" s="1"/>
  <c r="I253" i="7"/>
  <c r="J253" i="7" s="1"/>
  <c r="J260"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<sst xmlns="http://schemas.openxmlformats.org/spreadsheetml/2006/main" count="812" uniqueCount="439">
  <si>
    <t>Property Tax</t>
  </si>
  <si>
    <t>Operating Year</t>
  </si>
  <si>
    <t>Investment Tax Credit</t>
  </si>
  <si>
    <t>Amount</t>
  </si>
  <si>
    <t>Federal</t>
  </si>
  <si>
    <t>State</t>
  </si>
  <si>
    <t>Production Tax Credit</t>
  </si>
  <si>
    <t>%</t>
  </si>
  <si>
    <t>Maximum</t>
  </si>
  <si>
    <t>Amount ($/kWh)</t>
  </si>
  <si>
    <t>Capacity (DC kW)</t>
  </si>
  <si>
    <t>Fixed Cost ($/DC kW-yr)</t>
  </si>
  <si>
    <t>Total</t>
  </si>
  <si>
    <t>Generation (AC-MWh)</t>
  </si>
  <si>
    <t>Variable Cost ($/AC-MWh)</t>
  </si>
  <si>
    <t>Investment Based Incentive (IBI)</t>
  </si>
  <si>
    <t>Yes</t>
  </si>
  <si>
    <t>No</t>
  </si>
  <si>
    <t>Total Expenses</t>
  </si>
  <si>
    <t>Production Based Incentive (included if available for debt service)</t>
  </si>
  <si>
    <t>Debt</t>
  </si>
  <si>
    <t>Funding</t>
  </si>
  <si>
    <t>Repayment</t>
  </si>
  <si>
    <t>Principal</t>
  </si>
  <si>
    <t>Interest</t>
  </si>
  <si>
    <t>Total P&amp;I</t>
  </si>
  <si>
    <t>Taxes</t>
  </si>
  <si>
    <t>EBITDA</t>
  </si>
  <si>
    <t>Less: Interest Payment</t>
  </si>
  <si>
    <t>Taxable Income Prior to Incentives</t>
  </si>
  <si>
    <t>Federal Income Taxes</t>
  </si>
  <si>
    <t>Less: Tax Depreciation</t>
  </si>
  <si>
    <t>Production Based Incentive (PBI)</t>
  </si>
  <si>
    <t>Incentive ($/kWh)</t>
  </si>
  <si>
    <t>Generation (kWh)</t>
  </si>
  <si>
    <t>Capacity Based Incentive (CBI)</t>
  </si>
  <si>
    <t>Plus: Interest Earned</t>
  </si>
  <si>
    <t>State Tax Benefit/(Liability)</t>
  </si>
  <si>
    <t>Total Taxable Incentives</t>
  </si>
  <si>
    <t>Taxable Income Including Incentives</t>
  </si>
  <si>
    <t>State Income Taxes</t>
  </si>
  <si>
    <t>Insurance</t>
  </si>
  <si>
    <t>5-yr MACRS</t>
  </si>
  <si>
    <t>15-yr MACRS</t>
  </si>
  <si>
    <t>5-yr SL</t>
  </si>
  <si>
    <t>15-yr SL</t>
  </si>
  <si>
    <t>20-yr SL</t>
  </si>
  <si>
    <t>39-yr SL</t>
  </si>
  <si>
    <t>Salvage Value</t>
  </si>
  <si>
    <t>Applicable %</t>
  </si>
  <si>
    <t>State ITC</t>
  </si>
  <si>
    <t>ITC Qualifying Costs</t>
  </si>
  <si>
    <t>% of ITC Qualifying Costs</t>
  </si>
  <si>
    <t>ITC as Fixed Amount</t>
  </si>
  <si>
    <t>Production Tax Credit (PTC)</t>
  </si>
  <si>
    <t>Production (MWh)</t>
  </si>
  <si>
    <t>Cash Flows from Investing Activities</t>
  </si>
  <si>
    <t>Cash Flows from Financing Activities</t>
  </si>
  <si>
    <t>Reserve Accounts</t>
  </si>
  <si>
    <t>Funding (through operations)</t>
  </si>
  <si>
    <t>Timing</t>
  </si>
  <si>
    <t>Year</t>
  </si>
  <si>
    <t>Depreciation Percent</t>
  </si>
  <si>
    <t>Depreciation Amount</t>
  </si>
  <si>
    <t>Tax Benefit/(Liability)</t>
  </si>
  <si>
    <t>Federal Tax Benefit/(Liability)</t>
  </si>
  <si>
    <t>State Depreciation Amounts</t>
  </si>
  <si>
    <t>Federal Depreciation Amounts</t>
  </si>
  <si>
    <t>Total Revenue</t>
  </si>
  <si>
    <t>Cash Flow: Project</t>
  </si>
  <si>
    <t>KEY</t>
  </si>
  <si>
    <t>First Year Bonus Depreciation</t>
  </si>
  <si>
    <t>Major Equipment Replacement 1</t>
  </si>
  <si>
    <t>Major Equipment Replacement 2</t>
  </si>
  <si>
    <t>Major Equipment Replacement 3</t>
  </si>
  <si>
    <t>http://www.irs.gov/pub/irs-pdf/p946.pdf</t>
  </si>
  <si>
    <t>State PTC</t>
  </si>
  <si>
    <t>SYSTEM COSTS</t>
  </si>
  <si>
    <t>SYSTEM DESIGN</t>
  </si>
  <si>
    <t>FINANCIAL PARAMETERS</t>
  </si>
  <si>
    <t>Analysis Parameters</t>
  </si>
  <si>
    <t>Tax and Insurance Rates</t>
  </si>
  <si>
    <t>Federal income tax rate (%/year)</t>
  </si>
  <si>
    <t>State income tax rate (%/year)</t>
  </si>
  <si>
    <t>Insurance rate (annual, % of installed cost)</t>
  </si>
  <si>
    <t>Analysis period (years, 40 max)</t>
  </si>
  <si>
    <t>Inflation rate (%/year)</t>
  </si>
  <si>
    <t>Nominal discount rate (%/year)</t>
  </si>
  <si>
    <t>Real discount rate (%/year)</t>
  </si>
  <si>
    <t>Assessed percentage (% of total installed cost)</t>
  </si>
  <si>
    <t>Annual decline (%/year)</t>
  </si>
  <si>
    <t>Assesed value ($)</t>
  </si>
  <si>
    <t>Property tax rate (%/year)</t>
  </si>
  <si>
    <t>Property tax net assessed value</t>
  </si>
  <si>
    <t>O&amp;M production-based expense</t>
  </si>
  <si>
    <t>O&amp;M capacity-based expense</t>
  </si>
  <si>
    <t>PROJECT TERM DEBT</t>
  </si>
  <si>
    <t>Tenor (years)</t>
  </si>
  <si>
    <t>Annual all-in interest rate (%)</t>
  </si>
  <si>
    <t>Debt closing costs ($)</t>
  </si>
  <si>
    <t>Up-front fee (% of total debt)</t>
  </si>
  <si>
    <t>COST OF ACQUIRING FINANCING</t>
  </si>
  <si>
    <t>Loan 1</t>
  </si>
  <si>
    <t>Loan 2</t>
  </si>
  <si>
    <t>Loan 3</t>
  </si>
  <si>
    <t>Loan 4</t>
  </si>
  <si>
    <t>Loan 5</t>
  </si>
  <si>
    <t>Percent of installed cost</t>
  </si>
  <si>
    <t>Up-front fee (% of principal)</t>
  </si>
  <si>
    <t>Months prior to operation</t>
  </si>
  <si>
    <t>Annual interest rate (%)</t>
  </si>
  <si>
    <t>Total construction financing cost</t>
  </si>
  <si>
    <t>Totals:</t>
  </si>
  <si>
    <t>CONSTRUCTION FINANCING</t>
  </si>
  <si>
    <t>RESERVE ACCOUNTS</t>
  </si>
  <si>
    <t>Interest on reserves (%/year)</t>
  </si>
  <si>
    <t>Debt service reserve account (months of P&amp;I payments)</t>
  </si>
  <si>
    <t>Major equipment replacement reserve accounts</t>
  </si>
  <si>
    <t>Replacement  reserve 1</t>
  </si>
  <si>
    <t>Replacement  reserve 3</t>
  </si>
  <si>
    <t>Replacement  reserve 2</t>
  </si>
  <si>
    <t>Year 1 dollars</t>
  </si>
  <si>
    <t>Replacement frequency (years)</t>
  </si>
  <si>
    <t>Depreciation treatment for replacement reserves</t>
  </si>
  <si>
    <t>Working capital reserve (months of operating costs)</t>
  </si>
  <si>
    <t>TAX CREDITS</t>
  </si>
  <si>
    <t>DIRECT CASH INCENTIVES</t>
  </si>
  <si>
    <t>As fixed amount</t>
  </si>
  <si>
    <t>Federal ($)</t>
  </si>
  <si>
    <t>State ($)</t>
  </si>
  <si>
    <t>Federal (% of total installed cost)</t>
  </si>
  <si>
    <t>State (% of total installed cost)</t>
  </si>
  <si>
    <t>As percentage</t>
  </si>
  <si>
    <t>Sales tax (% of total direct cost)</t>
  </si>
  <si>
    <t>Total installed cost ($)</t>
  </si>
  <si>
    <t>OPERATION AND MAINTENANCE COSTS</t>
  </si>
  <si>
    <t>Fixed annual cost ($/yr)</t>
  </si>
  <si>
    <t>Variable cost by generation ($/MWh)</t>
  </si>
  <si>
    <t>Utility ($)</t>
  </si>
  <si>
    <t>Other ($)</t>
  </si>
  <si>
    <t>Utility (% of total installed cost)</t>
  </si>
  <si>
    <t>Other (% of total installed cost)</t>
  </si>
  <si>
    <t>Federal ($/W)</t>
  </si>
  <si>
    <t>State ($/W)</t>
  </si>
  <si>
    <t>Utility ($/W)</t>
  </si>
  <si>
    <t>Other ($/W)</t>
  </si>
  <si>
    <t>Amount ($/W)</t>
  </si>
  <si>
    <t>Federal ($/kWh)</t>
  </si>
  <si>
    <t>State ($/kWh)</t>
  </si>
  <si>
    <t>Utility ($/kWh)</t>
  </si>
  <si>
    <t>Other ($/kWh)</t>
  </si>
  <si>
    <t>Maximum ($)</t>
  </si>
  <si>
    <t>Classes</t>
  </si>
  <si>
    <t>DEPRECIATION</t>
  </si>
  <si>
    <t>Calculated</t>
  </si>
  <si>
    <t>Input from SAM</t>
  </si>
  <si>
    <t>End of analysis period value ($)</t>
  </si>
  <si>
    <t>Net salvage value (% of total installed cost)</t>
  </si>
  <si>
    <t>Total construction financing cost ($)</t>
  </si>
  <si>
    <t>Escalation (% above inflation)</t>
  </si>
  <si>
    <t>Utility</t>
  </si>
  <si>
    <t>Other</t>
  </si>
  <si>
    <t>Taxable Income before Incentives</t>
  </si>
  <si>
    <t>Taxable Income after Incentives</t>
  </si>
  <si>
    <t>For additional information on depreciation schedules, see IRS publication 946.</t>
  </si>
  <si>
    <t>Depreciation Percent (%)</t>
  </si>
  <si>
    <t>Plus: PBI (if not included above)</t>
  </si>
  <si>
    <t>Principal payment</t>
  </si>
  <si>
    <t>Interest payment</t>
  </si>
  <si>
    <t>Replacement cost ($/W)</t>
  </si>
  <si>
    <t>Nameplate capacity (kW)</t>
  </si>
  <si>
    <t>Non-depreciable</t>
  </si>
  <si>
    <t>Capital Costs</t>
  </si>
  <si>
    <t>Total installed cost</t>
  </si>
  <si>
    <t>Construction financing</t>
  </si>
  <si>
    <t xml:space="preserve">Reserve Accounts (Increase)/Decrease </t>
  </si>
  <si>
    <t>METRICS</t>
  </si>
  <si>
    <t>IRR Year</t>
  </si>
  <si>
    <t>NPV ($)</t>
  </si>
  <si>
    <t>Equity ($)</t>
  </si>
  <si>
    <t>NPV of annual generation (kWh)</t>
  </si>
  <si>
    <t>NPV of annual costs ($)</t>
  </si>
  <si>
    <t>Annual costs ($)</t>
  </si>
  <si>
    <t>Annual generation (kWh)</t>
  </si>
  <si>
    <t>Total purchase of property</t>
  </si>
  <si>
    <t>Cumulative after-tax IRR (%)</t>
  </si>
  <si>
    <t>Year target IRR reached</t>
  </si>
  <si>
    <t>Incentive Amounts</t>
  </si>
  <si>
    <t>NPV of after-tax returns</t>
  </si>
  <si>
    <t>Levelized COE and PPA Price</t>
  </si>
  <si>
    <t>Escalation (%/year)</t>
  </si>
  <si>
    <t>Amount ($)</t>
  </si>
  <si>
    <t>Term (years)</t>
  </si>
  <si>
    <t>Allocations (%)</t>
  </si>
  <si>
    <t>CONSTRUCTION FINANCING CALCULATION (provided here for reference, only total financing cost above is input to cash flow)</t>
  </si>
  <si>
    <t>Debt principal payment</t>
  </si>
  <si>
    <t>Issuance of equity</t>
  </si>
  <si>
    <t>Incentives and size of debt</t>
  </si>
  <si>
    <t>Size of debt</t>
  </si>
  <si>
    <t>NPV and IRR</t>
  </si>
  <si>
    <t>FUEL COSTS (CSP, GENERIC, AND BIOPOWER SYSTEMS ONLY)</t>
  </si>
  <si>
    <t>Annual usage (kWh)</t>
  </si>
  <si>
    <t>Cost ($/MMBtu)</t>
  </si>
  <si>
    <t>Escalation (%/year above inflation)</t>
  </si>
  <si>
    <t>Fuel (CSP and generic system only)</t>
  </si>
  <si>
    <t>Depreciation Schedules (Half Year)</t>
  </si>
  <si>
    <t>Operation and maintenance (O&amp;M)</t>
  </si>
  <si>
    <t>Fixed</t>
  </si>
  <si>
    <t>Capacity</t>
  </si>
  <si>
    <t>Variable</t>
  </si>
  <si>
    <t>Biomass feedstock (Biopower only)</t>
  </si>
  <si>
    <t>Coal feedstock (Biopower only)</t>
  </si>
  <si>
    <t>IRR at end of project (%)</t>
  </si>
  <si>
    <t>IRR (%)</t>
  </si>
  <si>
    <t>Avail. for debt svc.</t>
  </si>
  <si>
    <t>Federal taxable</t>
  </si>
  <si>
    <t>State taxable</t>
  </si>
  <si>
    <t>Red. fed. depr. &amp; ITC</t>
  </si>
  <si>
    <t>Red. st. depr. &amp; ITC</t>
  </si>
  <si>
    <t>Qual. for fed. ITC</t>
  </si>
  <si>
    <t>Qual. for state ITC</t>
  </si>
  <si>
    <t>Federal bonus</t>
  </si>
  <si>
    <t>State bonus</t>
  </si>
  <si>
    <t>Reduces depreciation basis</t>
  </si>
  <si>
    <t>Heat rate (MMBtu/MWh)</t>
  </si>
  <si>
    <t>Operating Expenses</t>
  </si>
  <si>
    <t>Cash Flows from Operating Activities</t>
  </si>
  <si>
    <t>Reserve Capital Spending</t>
  </si>
  <si>
    <r>
      <t>Levelized PPA price (</t>
    </r>
    <r>
      <rPr>
        <sz val="10"/>
        <color theme="1"/>
        <rFont val="Calibri"/>
        <family val="2"/>
      </rPr>
      <t>¢</t>
    </r>
    <r>
      <rPr>
        <sz val="10"/>
        <color theme="1"/>
        <rFont val="Calibri"/>
        <family val="2"/>
        <scheme val="minor"/>
      </rPr>
      <t>/kWh)</t>
    </r>
  </si>
  <si>
    <t>Debt Parameters</t>
  </si>
  <si>
    <t>Value depends on option in SAM</t>
  </si>
  <si>
    <t>Debt service coverage ratio</t>
  </si>
  <si>
    <t>Ending balance</t>
  </si>
  <si>
    <t>Size of debt calculation</t>
  </si>
  <si>
    <t>Debt percent (mortgage stye with constant payments)</t>
  </si>
  <si>
    <t>Debt service coverage ratio (sculpted payments with constant DSCR)</t>
  </si>
  <si>
    <t>Up-front fee amount ($, from SAM results)</t>
  </si>
  <si>
    <t>Debt closing costs</t>
  </si>
  <si>
    <t>Debt up-front fee</t>
  </si>
  <si>
    <t>Financing cost</t>
  </si>
  <si>
    <t>Cash available for debt service (CAFDS)</t>
  </si>
  <si>
    <t>Present value of CAFDS</t>
  </si>
  <si>
    <t>CAFDS</t>
  </si>
  <si>
    <t>Present value debt interest factor</t>
  </si>
  <si>
    <t>Total IBI</t>
  </si>
  <si>
    <t>Total CBI</t>
  </si>
  <si>
    <t>Plus: Interest earned on reserve accounts</t>
  </si>
  <si>
    <t>Less: Debt interest payment</t>
  </si>
  <si>
    <t>Project Returns</t>
  </si>
  <si>
    <t>Project Returns: Pre-Tax</t>
  </si>
  <si>
    <t>Project Returns: After-Tax</t>
  </si>
  <si>
    <t>Total capital cost ($)</t>
  </si>
  <si>
    <t>Size of debt ($)</t>
  </si>
  <si>
    <t>Size of debt for mortgage style</t>
  </si>
  <si>
    <t>Operation and maintenance costs specified as annual values</t>
  </si>
  <si>
    <t>N/A</t>
  </si>
  <si>
    <t>Production Based Incentive (PBI) specified as annual values</t>
  </si>
  <si>
    <t>Production Tax Credit (PTC) specified as annual values</t>
  </si>
  <si>
    <t>Unadjusted PTC ($/kWh)</t>
  </si>
  <si>
    <t>Adjusted PTC ($/MWh)</t>
  </si>
  <si>
    <t>Income tax rates specified as annual values</t>
  </si>
  <si>
    <t>State Tax Rate (%/year)</t>
  </si>
  <si>
    <t>Federal Tax Rate (%/year)</t>
  </si>
  <si>
    <t>Debt sizing and payment schedule</t>
  </si>
  <si>
    <t>Moratorium (years)</t>
  </si>
  <si>
    <t>Equal payments</t>
  </si>
  <si>
    <t>Annual payment schedule</t>
  </si>
  <si>
    <t>Constant DSCR (sculpted payments)</t>
  </si>
  <si>
    <t>Payment calculation</t>
  </si>
  <si>
    <t>P&amp;I for constant DSCR equal payments</t>
  </si>
  <si>
    <t>P&amp;I for mortgage style equal payments</t>
  </si>
  <si>
    <t>Principal for mortgage style fixed principal</t>
  </si>
  <si>
    <t>Working capital reserve</t>
  </si>
  <si>
    <t>Debt service reserve</t>
  </si>
  <si>
    <t>Beginning balance</t>
  </si>
  <si>
    <t>Release of funds</t>
  </si>
  <si>
    <t>Major equipment replacement reserve 1</t>
  </si>
  <si>
    <t>Timing of funding</t>
  </si>
  <si>
    <t>Cost of each occurrence</t>
  </si>
  <si>
    <t>Funding of each occurence</t>
  </si>
  <si>
    <t>Interest on reserves</t>
  </si>
  <si>
    <t>Total reserves</t>
  </si>
  <si>
    <t>Major equipment replacement reserve 2</t>
  </si>
  <si>
    <t>Major equipment replacement reserve 3</t>
  </si>
  <si>
    <t>Receivables reserve</t>
  </si>
  <si>
    <t>Major equipment reserve 1</t>
  </si>
  <si>
    <t>Major equipment reserve 2</t>
  </si>
  <si>
    <t>Major equipment reserve 3</t>
  </si>
  <si>
    <t>Major equipment spending 1</t>
  </si>
  <si>
    <t>Major equipment spending 2</t>
  </si>
  <si>
    <t>Major equipment spending 3</t>
  </si>
  <si>
    <t>Less: Receivables and replacement reserve funding</t>
  </si>
  <si>
    <t>Battery replacement</t>
  </si>
  <si>
    <t>Funding ($)</t>
  </si>
  <si>
    <t>Disbursement ($)</t>
  </si>
  <si>
    <t>Balance ($)</t>
  </si>
  <si>
    <t>Annual values from SAM</t>
  </si>
  <si>
    <t>Purchase of electricity for battery charging and inverter nighttime consumption</t>
  </si>
  <si>
    <t>Electricity purchase</t>
  </si>
  <si>
    <t>Custom</t>
  </si>
  <si>
    <t>Depreciation</t>
  </si>
  <si>
    <t>Custom allocation (%/year)</t>
  </si>
  <si>
    <t>* Note custom schedule is defined on Inputs sheet around Row 180</t>
  </si>
  <si>
    <t>Salvage value</t>
  </si>
  <si>
    <t>Federal income tax rate in Year 1 (%/year)</t>
  </si>
  <si>
    <t>State income tax rate in Year 1 (%/year)</t>
  </si>
  <si>
    <t>Pre-tax cash flow</t>
  </si>
  <si>
    <t>Energy</t>
  </si>
  <si>
    <t>Revenue</t>
  </si>
  <si>
    <t>Curtailment payments</t>
  </si>
  <si>
    <t>Capacity payments</t>
  </si>
  <si>
    <t>Variable Cost in $/MWh</t>
  </si>
  <si>
    <t>ANNUAL VALUES IMPORTED FROM SAM</t>
  </si>
  <si>
    <t>Fixed in $/year</t>
  </si>
  <si>
    <t>Fixed Cost in $/kW-year</t>
  </si>
  <si>
    <t>Fuel cell fixed</t>
  </si>
  <si>
    <t>Fuel cell capacity-based</t>
  </si>
  <si>
    <t>Battery fixed</t>
  </si>
  <si>
    <t>Battery capacity-based</t>
  </si>
  <si>
    <t>Fuel cell replacement</t>
  </si>
  <si>
    <t>Expenses Specific to Fuel Cell Systems</t>
  </si>
  <si>
    <t>Operating expenses specific to fuel cell systems</t>
  </si>
  <si>
    <t>Fuel (CSP, generic only)</t>
  </si>
  <si>
    <t>Fuel cell fuel</t>
  </si>
  <si>
    <t>Fuel</t>
  </si>
  <si>
    <t>Merchant Plant Inputs</t>
  </si>
  <si>
    <t>Merchant Plant Cash Flow</t>
  </si>
  <si>
    <t>Energy market</t>
  </si>
  <si>
    <t>Ancillary service 1</t>
  </si>
  <si>
    <t>Ancillary service 2</t>
  </si>
  <si>
    <t>Ancillary service 3</t>
  </si>
  <si>
    <t>Ancillary service 4</t>
  </si>
  <si>
    <t>Capacity payment</t>
  </si>
  <si>
    <t>Energy and Capacity Revenue</t>
  </si>
  <si>
    <t>Subtotal PBI</t>
  </si>
  <si>
    <t>Subtotal revenue</t>
  </si>
  <si>
    <t>Revenue Sources</t>
  </si>
  <si>
    <t>Electricity to grid (kWh/year)</t>
  </si>
  <si>
    <t>Electricity from grid (kWh/year)</t>
  </si>
  <si>
    <t>Electricity to grid net (kWh/year)</t>
  </si>
  <si>
    <t>Electricity generated without storage (kWh/year)</t>
  </si>
  <si>
    <t>Battery annual energy discharged (kWh/year)</t>
  </si>
  <si>
    <t>Fuel cell annual energy discharged (kWh/year)</t>
  </si>
  <si>
    <t>Electricity to grid (AC kWh)</t>
  </si>
  <si>
    <t>Electricity from grid (AC kWh)</t>
  </si>
  <si>
    <t>Electricity to grid net (AC kWh)</t>
  </si>
  <si>
    <t>Electricity generated without storage (AC kWh)</t>
  </si>
  <si>
    <t>Battery annual energy discharged (AC kWh)</t>
  </si>
  <si>
    <t>Fuel cell annual energy discharged (AC kWh)</t>
  </si>
  <si>
    <t>Annual revenues ($)</t>
  </si>
  <si>
    <t>LCOE, nominal  (¢/kWh)</t>
  </si>
  <si>
    <t>Limit debt fraction (for sculpted payments only)</t>
  </si>
  <si>
    <t>Maximum debt percent (%) (for sculpted payments only)</t>
  </si>
  <si>
    <t>Adjusted for size of debt limit</t>
  </si>
  <si>
    <t>Debt fraction (%)</t>
  </si>
  <si>
    <t>Operating expenses specific to battery systems</t>
  </si>
  <si>
    <t>Battery variable</t>
  </si>
  <si>
    <t>Fuel cell variable</t>
  </si>
  <si>
    <t>Fuel costs</t>
  </si>
  <si>
    <t>Biomass feedstock</t>
  </si>
  <si>
    <t>Biomass coal feedstock</t>
  </si>
  <si>
    <t>Geothermal recapitalization</t>
  </si>
  <si>
    <t>Recapitalization</t>
  </si>
  <si>
    <t>Land Lease</t>
  </si>
  <si>
    <t>Expenses Specific to Battery Systems</t>
  </si>
  <si>
    <t>Estimates for levelized cost of storage (LCOS) calculations</t>
  </si>
  <si>
    <t>Storage costs ($)</t>
  </si>
  <si>
    <t>Storage discharge (kWh/year)</t>
  </si>
  <si>
    <t>Land lease</t>
  </si>
  <si>
    <t>Land lease payments ($)</t>
  </si>
  <si>
    <r>
      <t>LCOE (</t>
    </r>
    <r>
      <rPr>
        <sz val="10"/>
        <color theme="1"/>
        <rFont val="Calibri"/>
        <family val="2"/>
      </rPr>
      <t>¢</t>
    </r>
    <r>
      <rPr>
        <sz val="10"/>
        <color theme="1"/>
        <rFont val="Calibri"/>
        <family val="2"/>
        <scheme val="minor"/>
      </rPr>
      <t>/kWh)</t>
    </r>
  </si>
  <si>
    <t>Levelized Cost of Storage (Nominal)</t>
  </si>
  <si>
    <t>Annual storage costs ($)</t>
  </si>
  <si>
    <t>Annual storage energy discharge (kWh)</t>
  </si>
  <si>
    <t>NPV of annual storage costs ($)</t>
  </si>
  <si>
    <t>NPV of annual storage energy discharge (kWh)</t>
  </si>
  <si>
    <t>LCOS (¢/kWh)</t>
  </si>
  <si>
    <t>LAND LEASE</t>
  </si>
  <si>
    <t>Land area estimate (acres)</t>
  </si>
  <si>
    <t>Annual land lease cost ($/acre)</t>
  </si>
  <si>
    <t>Land lease escalation rate (% above inflation)</t>
  </si>
  <si>
    <t>NPV of annual revenues ($)</t>
  </si>
  <si>
    <t>Thermal revenue (fuel cell only)</t>
  </si>
  <si>
    <t>Minimum debt service coverage ratio</t>
  </si>
  <si>
    <t>Fixed cost by capacity ($/kW-yr)</t>
  </si>
  <si>
    <t>Investment Tax Credit (ITC) specified as annual values</t>
  </si>
  <si>
    <t>Federal ITC as fixed amount</t>
  </si>
  <si>
    <t>State ITC as fixed amount</t>
  </si>
  <si>
    <t>Federal ITC  percentage (%)</t>
  </si>
  <si>
    <t>Federal ITC as percentage maximum amount</t>
  </si>
  <si>
    <t>State ITC percentage (%)</t>
  </si>
  <si>
    <t>State ITC as percentage maximum amount</t>
  </si>
  <si>
    <t>Investment Tax Credit (ITC)</t>
  </si>
  <si>
    <t>ITC as fixed amount</t>
  </si>
  <si>
    <t>ITC  percentage (%)</t>
  </si>
  <si>
    <t>ITC as percentage maximum</t>
  </si>
  <si>
    <t>ITC as percentage amount</t>
  </si>
  <si>
    <t>ITC percentage (%)</t>
  </si>
  <si>
    <t>Other financing cost ($)</t>
  </si>
  <si>
    <t>Other financing cost</t>
  </si>
  <si>
    <t>Depreciation and ITC Basis Calculations</t>
  </si>
  <si>
    <t>ITC basis prior to qualification</t>
  </si>
  <si>
    <t>State Depreciation and ITC</t>
  </si>
  <si>
    <t>State Depreciable Basis</t>
  </si>
  <si>
    <t>Depreciation Allocation</t>
  </si>
  <si>
    <t>Basis Reduction for IBI and CBI</t>
  </si>
  <si>
    <t>Basis Reduction for ITC as % of Qualifying Costs</t>
  </si>
  <si>
    <t>Red. for ITC as Fixed Amt.</t>
  </si>
  <si>
    <t>Basis Reduction for ITC</t>
  </si>
  <si>
    <t>Bonus</t>
  </si>
  <si>
    <t>State depreciation allocations</t>
  </si>
  <si>
    <t>Gross Basis Allocations</t>
  </si>
  <si>
    <t>Basis Reduction for IBI</t>
  </si>
  <si>
    <t>Basis Reduction for CBI</t>
  </si>
  <si>
    <t>Basis After IBI and CBI Reductions</t>
  </si>
  <si>
    <t>ITC as Percentage Amount</t>
  </si>
  <si>
    <t>50% Basis Reduction for ITC as %</t>
  </si>
  <si>
    <t>50% Basis Reduction for ITC as Fixed Amount</t>
  </si>
  <si>
    <t>State ITC Reduction</t>
  </si>
  <si>
    <t>Federal ITC Reduction</t>
  </si>
  <si>
    <t>Basis After ITC Reduction</t>
  </si>
  <si>
    <t>Bonus Depreciation Reduction</t>
  </si>
  <si>
    <t>State ITC qualifying costs</t>
  </si>
  <si>
    <t>Depreciable Basis Reduction for Income from Incentives</t>
  </si>
  <si>
    <t>Total basis reduction for IBI as fixed amount</t>
  </si>
  <si>
    <t>Total basis reduction for IBI as percentage</t>
  </si>
  <si>
    <t>Total basis reduction for CBI</t>
  </si>
  <si>
    <t>Deprecation of property purchased for installation</t>
  </si>
  <si>
    <t>Depreciation of major equipment replacement</t>
  </si>
  <si>
    <t>Depreciation method</t>
  </si>
  <si>
    <t>Federal Depreciation and ITC</t>
  </si>
  <si>
    <t>Federal Depreciable Basis</t>
  </si>
  <si>
    <t>Federal depreciation allocations</t>
  </si>
  <si>
    <t>50 % Basis Reduction for ITC as %</t>
  </si>
  <si>
    <t>50% Basis Reduction for ITC as Fixed Amt.</t>
  </si>
  <si>
    <t>Federal ITC qualifying costs</t>
  </si>
  <si>
    <t>Basis for State and Federal Depreciation and ITC</t>
  </si>
  <si>
    <t>Depreciable basis prior to allocation</t>
  </si>
  <si>
    <t>% of Basis Prior to Allocation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</si>
</sst>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4" formatCode="_(&quot;$&quot;* #,##0.00_);_(&quot;$&quot;* \(#,##0.00\);_(&quot;$&quot;* &quot;-&quot;??_);_(@_)"/>
    <numFmt numFmtId="43" formatCode="_(* #,##0.00_);_(* \(#,##0.00\);_(* &quot;-&quot;??_);_(@_)"/>
    <numFmt numFmtId="164" formatCode="0_);[Red]\(0\)"/>
    <numFmt numFmtId="165" formatCode="_(* #,##0.000_);_(* \(#,##0.000\);_(* &quot;-&quot;??_);_(@_)"/>
    <numFmt numFmtId="166" formatCode="_(* #,##0.000_);_(* \(#,##0.000\);_(* &quot;-&quot;???_);_(@_)"/>
    <numFmt numFmtId="167" formatCode="0.0%"/>
    <numFmt numFmtId="168" formatCode="_(* #,##0.00_);_(* \(#,##0.00\);_(* &quot;-&quot;_);_(@_)"/>
    <numFmt numFmtId="169" formatCode="0.0"/>
    <numFmt numFmtId="170" formatCode="#,##0.0"/>
    <numFmt numFmtId="171" formatCode="0_);\(0\)"/>
    <numFmt numFmtId="172" formatCode="#,##0.000"/>
    <numFmt numFmtId="173" formatCode="&quot;Yes&quot;;;&quot;No&quot;;"/>
  </numFmts>
  <fonts count="14" x14ac:knownFonts="1">
    <font>
      <sz val="11"/>
      <color theme="1"/>
      <name val="Calibri"/>
      <family val="2"/>
      <scheme val="minor"/>
    </font>
    <font>
      <sz val="11"/>
      <color theme="1"/>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rgb="FF0000CC"/>
      <name val="Calibri"/>
      <family val="2"/>
      <scheme val="minor"/>
    </font>
    <font>
      <b/>
      <sz val="10"/>
      <color rgb="FFFF0000"/>
      <name val="Calibri"/>
      <family val="2"/>
      <scheme val="minor"/>
    </font>
    <font>
      <sz val="10"/>
      <color theme="1"/>
      <name val="Calibri"/>
      <family val="2"/>
    </font>
    <font>
      <sz val="11"/>
      <name val="Calibri"/>
      <family val="2"/>
      <scheme val="minor"/>
    </font>
    <font>
      <sz val="10"/>
      <name val="Arial"/>
      <family val="2"/>
    </font>
    <font>
      <b/>
      <sz val="14"/>
      <color theme="0"/>
      <name val="Segoe UI"/>
      <family val="2"/>
    </font>
    <font>
      <b/>
      <sz val="11"/>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theme="1"/>
        <bgColor indexed="64"/>
      </patternFill>
    </fill>
    <fill>
      <patternFill patternType="solid">
        <fgColor theme="9" tint="0.59999389629810485"/>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55"/>
      </top>
      <bottom style="thin">
        <color indexed="55"/>
      </bottom>
      <diagonal/>
    </border>
    <border>
      <left style="thin">
        <color indexed="64"/>
      </left>
      <right style="thin">
        <color indexed="64"/>
      </right>
      <top style="thin">
        <color indexed="55"/>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indexed="64"/>
      </right>
      <top style="thin">
        <color indexed="64"/>
      </top>
      <bottom style="medium">
        <color indexed="64"/>
      </bottom>
      <diagonal/>
    </border>
    <border>
      <left/>
      <right/>
      <top style="medium">
        <color indexed="64"/>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10" fillId="0" borderId="0"/>
    <xf numFmtId="9" fontId="10" fillId="0" borderId="0" applyFont="0" applyFill="0" applyBorder="0" applyAlignment="0" applyProtection="0"/>
    <xf numFmtId="0" fontId="13" fillId="0" borderId="0" applyNumberFormat="0" applyFill="0" applyBorder="0" applyAlignment="0" applyProtection="0"/>
  </cellStyleXfs>
  <cellXfs count="340">
    <xf numFmtId="0" fontId="0" fillId="0" borderId="0" xfId="0"/>
    <xf numFmtId="0" fontId="3" fillId="0" borderId="0" xfId="0" applyFont="1"/>
    <xf numFmtId="0" fontId="3" fillId="0" borderId="4" xfId="0" applyFont="1" applyBorder="1" applyAlignment="1">
      <alignment horizontal="center"/>
    </xf>
    <xf numFmtId="0" fontId="2" fillId="0" borderId="3" xfId="0" applyFont="1" applyBorder="1" applyAlignment="1">
      <alignment horizontal="center"/>
    </xf>
    <xf numFmtId="0" fontId="4" fillId="0" borderId="0" xfId="0" applyFont="1"/>
    <xf numFmtId="0" fontId="5" fillId="2" borderId="16" xfId="0" applyFont="1" applyFill="1" applyBorder="1"/>
    <xf numFmtId="0" fontId="4" fillId="2" borderId="17" xfId="0" applyFont="1" applyFill="1" applyBorder="1"/>
    <xf numFmtId="0" fontId="4" fillId="2" borderId="18" xfId="0" applyFont="1" applyFill="1" applyBorder="1"/>
    <xf numFmtId="0" fontId="4" fillId="0" borderId="7" xfId="0" applyFont="1" applyBorder="1" applyAlignment="1">
      <alignment horizontal="center"/>
    </xf>
    <xf numFmtId="0" fontId="4" fillId="0" borderId="22" xfId="0" applyFont="1" applyBorder="1"/>
    <xf numFmtId="0" fontId="3" fillId="0" borderId="15" xfId="0" applyFont="1" applyBorder="1" applyAlignment="1">
      <alignment horizontal="center"/>
    </xf>
    <xf numFmtId="166" fontId="3" fillId="0" borderId="0" xfId="0" applyNumberFormat="1" applyFont="1"/>
    <xf numFmtId="43" fontId="3" fillId="0" borderId="0" xfId="0" applyNumberFormat="1" applyFont="1"/>
    <xf numFmtId="0" fontId="3" fillId="0" borderId="7" xfId="0" applyFont="1" applyBorder="1" applyAlignment="1">
      <alignment horizontal="center"/>
    </xf>
    <xf numFmtId="41" fontId="4" fillId="0" borderId="0" xfId="0" applyNumberFormat="1" applyFont="1"/>
    <xf numFmtId="164" fontId="5" fillId="2" borderId="2" xfId="0" applyNumberFormat="1" applyFont="1" applyFill="1" applyBorder="1" applyAlignment="1">
      <alignment horizontal="center"/>
    </xf>
    <xf numFmtId="164" fontId="4" fillId="0" borderId="0" xfId="0" applyNumberFormat="1" applyFont="1" applyAlignment="1">
      <alignment horizontal="center"/>
    </xf>
    <xf numFmtId="0" fontId="4" fillId="0" borderId="0" xfId="0" applyFont="1" applyAlignment="1">
      <alignment horizontal="left"/>
    </xf>
    <xf numFmtId="10" fontId="4" fillId="0" borderId="0" xfId="1" applyNumberFormat="1" applyFont="1"/>
    <xf numFmtId="0" fontId="5" fillId="0" borderId="0" xfId="0" applyFont="1"/>
    <xf numFmtId="168" fontId="4" fillId="0" borderId="0" xfId="0" applyNumberFormat="1" applyFont="1"/>
    <xf numFmtId="0" fontId="4" fillId="0" borderId="0" xfId="0" applyFont="1" applyAlignment="1">
      <alignment horizontal="left" indent="2"/>
    </xf>
    <xf numFmtId="0" fontId="4" fillId="0" borderId="0" xfId="0" applyFont="1" applyAlignment="1">
      <alignment horizontal="left" indent="4"/>
    </xf>
    <xf numFmtId="167" fontId="4" fillId="0" borderId="0" xfId="1" applyNumberFormat="1" applyFont="1" applyBorder="1"/>
    <xf numFmtId="0" fontId="4" fillId="0" borderId="0" xfId="0" applyFont="1" applyAlignment="1">
      <alignment horizontal="right"/>
    </xf>
    <xf numFmtId="167" fontId="4" fillId="0" borderId="0" xfId="1" applyNumberFormat="1" applyFont="1"/>
    <xf numFmtId="0" fontId="5" fillId="0" borderId="16" xfId="0" applyFont="1" applyBorder="1"/>
    <xf numFmtId="0" fontId="4" fillId="0" borderId="18" xfId="0" applyFont="1" applyBorder="1"/>
    <xf numFmtId="0" fontId="4" fillId="0" borderId="17" xfId="0" applyFont="1" applyBorder="1"/>
    <xf numFmtId="41" fontId="3" fillId="0" borderId="0" xfId="0" applyNumberFormat="1" applyFont="1"/>
    <xf numFmtId="0" fontId="3" fillId="0" borderId="12" xfId="0" applyFont="1" applyBorder="1"/>
    <xf numFmtId="10" fontId="3" fillId="0" borderId="0" xfId="1" applyNumberFormat="1" applyFont="1" applyFill="1" applyBorder="1"/>
    <xf numFmtId="0" fontId="4" fillId="0" borderId="0" xfId="0" applyFont="1" applyAlignment="1">
      <alignment horizontal="center"/>
    </xf>
    <xf numFmtId="0" fontId="4" fillId="3" borderId="15" xfId="0" applyFont="1" applyFill="1" applyBorder="1"/>
    <xf numFmtId="0" fontId="4" fillId="0" borderId="15" xfId="0" applyFont="1" applyBorder="1"/>
    <xf numFmtId="0" fontId="4" fillId="0" borderId="15" xfId="0" applyFont="1" applyBorder="1" applyAlignment="1">
      <alignment horizontal="left" indent="1"/>
    </xf>
    <xf numFmtId="0" fontId="4" fillId="0" borderId="15" xfId="0" applyFont="1" applyBorder="1" applyAlignment="1">
      <alignment horizontal="left" indent="3"/>
    </xf>
    <xf numFmtId="0" fontId="4" fillId="0" borderId="16" xfId="0" applyFont="1" applyBorder="1" applyAlignment="1">
      <alignment horizontal="left" indent="1"/>
    </xf>
    <xf numFmtId="0" fontId="4" fillId="0" borderId="16" xfId="0" applyFont="1" applyBorder="1" applyAlignment="1">
      <alignment horizontal="right"/>
    </xf>
    <xf numFmtId="9" fontId="3" fillId="0" borderId="16" xfId="0" applyNumberFormat="1" applyFont="1" applyBorder="1"/>
    <xf numFmtId="9" fontId="4" fillId="0" borderId="17" xfId="1" applyFont="1" applyBorder="1"/>
    <xf numFmtId="43" fontId="4" fillId="3" borderId="17" xfId="3" applyFont="1" applyFill="1" applyBorder="1"/>
    <xf numFmtId="43" fontId="4" fillId="3" borderId="15" xfId="0" applyNumberFormat="1" applyFont="1" applyFill="1" applyBorder="1"/>
    <xf numFmtId="43" fontId="5" fillId="3" borderId="15" xfId="0" applyNumberFormat="1" applyFont="1" applyFill="1" applyBorder="1"/>
    <xf numFmtId="11" fontId="3" fillId="0" borderId="15" xfId="0" applyNumberFormat="1" applyFont="1" applyBorder="1"/>
    <xf numFmtId="0" fontId="4" fillId="0" borderId="15" xfId="0" applyFont="1" applyBorder="1" applyAlignment="1">
      <alignment horizontal="left" indent="2"/>
    </xf>
    <xf numFmtId="0" fontId="4" fillId="0" borderId="15" xfId="0" applyFont="1" applyBorder="1" applyAlignment="1">
      <alignment horizontal="left" indent="4"/>
    </xf>
    <xf numFmtId="0" fontId="4" fillId="0" borderId="13" xfId="0" applyFont="1" applyBorder="1" applyAlignment="1">
      <alignment horizontal="left" indent="1"/>
    </xf>
    <xf numFmtId="0" fontId="4" fillId="0" borderId="21" xfId="0" applyFont="1" applyBorder="1"/>
    <xf numFmtId="0" fontId="3" fillId="0" borderId="13" xfId="0" applyFont="1" applyBorder="1"/>
    <xf numFmtId="0" fontId="3" fillId="0" borderId="13" xfId="0" applyFont="1" applyBorder="1" applyAlignment="1">
      <alignment horizontal="center"/>
    </xf>
    <xf numFmtId="0" fontId="3" fillId="0" borderId="17" xfId="0" applyFont="1" applyBorder="1"/>
    <xf numFmtId="0" fontId="3" fillId="0" borderId="22" xfId="0" applyFont="1" applyBorder="1" applyAlignment="1">
      <alignment horizontal="center"/>
    </xf>
    <xf numFmtId="0" fontId="3" fillId="0" borderId="16" xfId="0" applyFont="1" applyBorder="1"/>
    <xf numFmtId="0" fontId="3" fillId="0" borderId="6" xfId="0" applyFont="1" applyBorder="1" applyAlignment="1">
      <alignment horizontal="center"/>
    </xf>
    <xf numFmtId="0" fontId="3" fillId="0" borderId="21" xfId="0" applyFont="1" applyBorder="1" applyAlignment="1">
      <alignment horizontal="center"/>
    </xf>
    <xf numFmtId="0" fontId="4" fillId="0" borderId="19" xfId="0" applyFont="1" applyBorder="1"/>
    <xf numFmtId="0" fontId="4" fillId="0" borderId="22" xfId="0" applyFont="1" applyBorder="1" applyAlignment="1">
      <alignment horizontal="left" indent="1"/>
    </xf>
    <xf numFmtId="0" fontId="3" fillId="0" borderId="0" xfId="0" applyFont="1" applyAlignment="1">
      <alignment horizontal="center"/>
    </xf>
    <xf numFmtId="165" fontId="3" fillId="0" borderId="0" xfId="0" applyNumberFormat="1" applyFont="1"/>
    <xf numFmtId="0" fontId="3" fillId="0" borderId="15" xfId="0" applyFont="1" applyBorder="1"/>
    <xf numFmtId="0" fontId="3" fillId="0" borderId="23" xfId="0" applyFont="1" applyBorder="1" applyAlignment="1">
      <alignment horizontal="center"/>
    </xf>
    <xf numFmtId="0" fontId="3" fillId="0" borderId="17" xfId="0" applyFont="1" applyBorder="1" applyAlignment="1">
      <alignment horizontal="center"/>
    </xf>
    <xf numFmtId="0" fontId="4" fillId="0" borderId="15" xfId="0" applyFont="1" applyBorder="1" applyAlignment="1">
      <alignment horizontal="center"/>
    </xf>
    <xf numFmtId="0" fontId="3" fillId="0" borderId="16" xfId="0" applyFont="1" applyBorder="1" applyAlignment="1">
      <alignment horizontal="center"/>
    </xf>
    <xf numFmtId="0" fontId="6" fillId="0" borderId="0" xfId="0" applyFont="1" applyAlignment="1">
      <alignment horizontal="center"/>
    </xf>
    <xf numFmtId="0" fontId="3" fillId="0" borderId="18" xfId="0" applyFont="1" applyBorder="1"/>
    <xf numFmtId="0" fontId="3" fillId="0" borderId="18" xfId="0" applyFont="1" applyBorder="1" applyAlignment="1">
      <alignment horizontal="center"/>
    </xf>
    <xf numFmtId="0" fontId="7" fillId="0" borderId="0" xfId="0" applyFont="1"/>
    <xf numFmtId="43" fontId="4" fillId="0" borderId="0" xfId="0" applyNumberFormat="1" applyFont="1"/>
    <xf numFmtId="0" fontId="4" fillId="0" borderId="13" xfId="0" applyFont="1" applyBorder="1" applyAlignment="1">
      <alignment horizontal="center"/>
    </xf>
    <xf numFmtId="0" fontId="4" fillId="0" borderId="13" xfId="0" applyFont="1" applyBorder="1" applyAlignment="1">
      <alignment horizontal="left" indent="2"/>
    </xf>
    <xf numFmtId="0" fontId="4" fillId="0" borderId="22" xfId="0" applyFont="1" applyBorder="1" applyAlignment="1">
      <alignment horizontal="left" indent="4"/>
    </xf>
    <xf numFmtId="0" fontId="5" fillId="0" borderId="4" xfId="0" applyFont="1" applyBorder="1"/>
    <xf numFmtId="0" fontId="4" fillId="0" borderId="23" xfId="0" applyFont="1" applyBorder="1" applyAlignment="1">
      <alignment horizontal="left" indent="4"/>
    </xf>
    <xf numFmtId="0" fontId="5" fillId="0" borderId="13" xfId="0" applyFont="1" applyBorder="1"/>
    <xf numFmtId="0" fontId="4" fillId="0" borderId="13" xfId="0" applyFont="1" applyBorder="1" applyAlignment="1">
      <alignment horizontal="center" wrapText="1"/>
    </xf>
    <xf numFmtId="0" fontId="4" fillId="0" borderId="23" xfId="0" applyFont="1" applyBorder="1" applyAlignment="1">
      <alignment horizontal="left" indent="2"/>
    </xf>
    <xf numFmtId="0" fontId="4" fillId="0" borderId="0" xfId="0" applyFont="1" applyAlignment="1">
      <alignment horizontal="left" indent="5"/>
    </xf>
    <xf numFmtId="0" fontId="2" fillId="0" borderId="0" xfId="0" applyFont="1"/>
    <xf numFmtId="0" fontId="5" fillId="2" borderId="15" xfId="0" applyFont="1" applyFill="1" applyBorder="1"/>
    <xf numFmtId="0" fontId="4" fillId="0" borderId="4" xfId="0" applyFont="1" applyBorder="1" applyAlignment="1">
      <alignment horizontal="right"/>
    </xf>
    <xf numFmtId="10" fontId="4" fillId="0" borderId="0" xfId="0" applyNumberFormat="1" applyFont="1"/>
    <xf numFmtId="10" fontId="4" fillId="0" borderId="0" xfId="0" applyNumberFormat="1" applyFont="1" applyAlignment="1">
      <alignment horizontal="right"/>
    </xf>
    <xf numFmtId="0" fontId="4" fillId="0" borderId="3" xfId="0" applyFont="1" applyBorder="1" applyAlignment="1">
      <alignment horizontal="left"/>
    </xf>
    <xf numFmtId="0" fontId="4" fillId="0" borderId="3" xfId="0" applyFont="1" applyBorder="1" applyAlignment="1">
      <alignment horizontal="left" indent="1"/>
    </xf>
    <xf numFmtId="0" fontId="4" fillId="0" borderId="0" xfId="0" applyFont="1" applyAlignment="1">
      <alignment horizontal="left" indent="1"/>
    </xf>
    <xf numFmtId="0" fontId="4" fillId="0" borderId="0" xfId="0" applyFont="1" applyAlignment="1">
      <alignment horizontal="left" indent="3"/>
    </xf>
    <xf numFmtId="0" fontId="5" fillId="0" borderId="0" xfId="0" applyFont="1" applyAlignment="1">
      <alignment horizontal="center"/>
    </xf>
    <xf numFmtId="10" fontId="4" fillId="0" borderId="0" xfId="1" applyNumberFormat="1" applyFont="1" applyFill="1" applyBorder="1"/>
    <xf numFmtId="10" fontId="4" fillId="0" borderId="0" xfId="1" applyNumberFormat="1" applyFont="1" applyBorder="1"/>
    <xf numFmtId="0" fontId="9" fillId="0" borderId="0" xfId="0" applyFont="1"/>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41" fontId="3" fillId="0" borderId="15" xfId="0" applyNumberFormat="1" applyFont="1" applyBorder="1" applyAlignment="1">
      <alignment horizontal="center"/>
    </xf>
    <xf numFmtId="2" fontId="3" fillId="0" borderId="15" xfId="1" applyNumberFormat="1" applyFont="1" applyFill="1" applyBorder="1"/>
    <xf numFmtId="2" fontId="4" fillId="0" borderId="0" xfId="0" applyNumberFormat="1" applyFont="1"/>
    <xf numFmtId="4" fontId="3" fillId="0" borderId="0" xfId="3" applyNumberFormat="1" applyFont="1" applyFill="1" applyBorder="1"/>
    <xf numFmtId="4" fontId="4" fillId="2" borderId="17" xfId="3" applyNumberFormat="1" applyFont="1" applyFill="1" applyBorder="1"/>
    <xf numFmtId="4" fontId="3" fillId="0" borderId="15" xfId="3" applyNumberFormat="1" applyFont="1" applyFill="1" applyBorder="1"/>
    <xf numFmtId="4" fontId="4" fillId="0" borderId="0" xfId="3" applyNumberFormat="1" applyFont="1"/>
    <xf numFmtId="4" fontId="3" fillId="0" borderId="3" xfId="0" applyNumberFormat="1" applyFont="1" applyBorder="1"/>
    <xf numFmtId="4" fontId="3" fillId="0" borderId="3" xfId="1" applyNumberFormat="1" applyFont="1" applyBorder="1"/>
    <xf numFmtId="4" fontId="2" fillId="2" borderId="17" xfId="0" applyNumberFormat="1" applyFont="1" applyFill="1" applyBorder="1"/>
    <xf numFmtId="4" fontId="3" fillId="0" borderId="15" xfId="0" applyNumberFormat="1" applyFont="1" applyBorder="1"/>
    <xf numFmtId="4" fontId="4" fillId="0" borderId="15" xfId="0" applyNumberFormat="1" applyFont="1" applyBorder="1"/>
    <xf numFmtId="4" fontId="4" fillId="2" borderId="17" xfId="0" applyNumberFormat="1" applyFont="1" applyFill="1" applyBorder="1"/>
    <xf numFmtId="4" fontId="4" fillId="0" borderId="0" xfId="0" applyNumberFormat="1" applyFont="1"/>
    <xf numFmtId="4" fontId="3" fillId="0" borderId="0" xfId="1" applyNumberFormat="1" applyFont="1" applyBorder="1"/>
    <xf numFmtId="4" fontId="3" fillId="0" borderId="15" xfId="1" applyNumberFormat="1" applyFont="1" applyBorder="1"/>
    <xf numFmtId="4" fontId="4" fillId="0" borderId="17" xfId="0" applyNumberFormat="1" applyFont="1" applyBorder="1"/>
    <xf numFmtId="4" fontId="3" fillId="0" borderId="17" xfId="0" applyNumberFormat="1" applyFont="1" applyBorder="1"/>
    <xf numFmtId="4" fontId="4" fillId="0" borderId="15" xfId="1" applyNumberFormat="1" applyFont="1" applyFill="1" applyBorder="1"/>
    <xf numFmtId="4" fontId="3" fillId="3" borderId="15" xfId="1" applyNumberFormat="1" applyFont="1" applyFill="1" applyBorder="1"/>
    <xf numFmtId="4" fontId="3" fillId="0" borderId="15" xfId="1" applyNumberFormat="1" applyFont="1" applyFill="1" applyBorder="1"/>
    <xf numFmtId="4" fontId="4" fillId="0" borderId="15" xfId="1" applyNumberFormat="1" applyFont="1" applyBorder="1"/>
    <xf numFmtId="4" fontId="3" fillId="0" borderId="0" xfId="0" applyNumberFormat="1" applyFont="1"/>
    <xf numFmtId="2" fontId="3" fillId="0" borderId="6" xfId="1" applyNumberFormat="1" applyFont="1" applyFill="1" applyBorder="1"/>
    <xf numFmtId="3" fontId="4" fillId="0" borderId="0" xfId="0" applyNumberFormat="1" applyFont="1"/>
    <xf numFmtId="3" fontId="4" fillId="0" borderId="1" xfId="0" applyNumberFormat="1" applyFont="1" applyBorder="1"/>
    <xf numFmtId="3" fontId="4" fillId="0" borderId="12" xfId="0" applyNumberFormat="1" applyFont="1" applyBorder="1"/>
    <xf numFmtId="3" fontId="4" fillId="0" borderId="4" xfId="0" applyNumberFormat="1" applyFont="1" applyBorder="1"/>
    <xf numFmtId="3" fontId="4" fillId="0" borderId="20" xfId="0" applyNumberFormat="1" applyFont="1" applyBorder="1"/>
    <xf numFmtId="3" fontId="4" fillId="0" borderId="5" xfId="0" applyNumberFormat="1" applyFont="1" applyBorder="1"/>
    <xf numFmtId="1" fontId="4" fillId="0" borderId="0" xfId="1" applyNumberFormat="1" applyFont="1" applyFill="1" applyBorder="1"/>
    <xf numFmtId="1" fontId="4" fillId="0" borderId="18" xfId="1" applyNumberFormat="1" applyFont="1" applyFill="1" applyBorder="1"/>
    <xf numFmtId="170" fontId="4" fillId="0" borderId="0" xfId="1" applyNumberFormat="1" applyFont="1" applyFill="1" applyBorder="1"/>
    <xf numFmtId="3" fontId="4" fillId="0" borderId="16" xfId="0" applyNumberFormat="1" applyFont="1" applyBorder="1"/>
    <xf numFmtId="170" fontId="4" fillId="0" borderId="18" xfId="1" applyNumberFormat="1" applyFont="1" applyFill="1" applyBorder="1"/>
    <xf numFmtId="3" fontId="4" fillId="0" borderId="18" xfId="0" applyNumberFormat="1" applyFont="1" applyBorder="1"/>
    <xf numFmtId="3" fontId="4" fillId="0" borderId="17" xfId="0" applyNumberFormat="1" applyFont="1" applyBorder="1"/>
    <xf numFmtId="4" fontId="3" fillId="0" borderId="16" xfId="0" applyNumberFormat="1" applyFont="1" applyBorder="1"/>
    <xf numFmtId="1" fontId="3" fillId="0" borderId="16" xfId="0" applyNumberFormat="1" applyFont="1" applyBorder="1"/>
    <xf numFmtId="37" fontId="3" fillId="0" borderId="16" xfId="0" applyNumberFormat="1" applyFont="1" applyBorder="1"/>
    <xf numFmtId="37" fontId="3" fillId="0" borderId="19" xfId="0" applyNumberFormat="1" applyFont="1" applyBorder="1"/>
    <xf numFmtId="2" fontId="3" fillId="0" borderId="23" xfId="1" applyNumberFormat="1" applyFont="1" applyFill="1" applyBorder="1"/>
    <xf numFmtId="4" fontId="3" fillId="0" borderId="23" xfId="0" applyNumberFormat="1" applyFont="1" applyBorder="1"/>
    <xf numFmtId="1" fontId="3" fillId="0" borderId="15" xfId="0" applyNumberFormat="1" applyFont="1" applyBorder="1"/>
    <xf numFmtId="3" fontId="4" fillId="0" borderId="2" xfId="0" applyNumberFormat="1" applyFont="1" applyBorder="1"/>
    <xf numFmtId="3" fontId="4" fillId="0" borderId="3" xfId="0" applyNumberFormat="1" applyFont="1" applyBorder="1"/>
    <xf numFmtId="2" fontId="3" fillId="3" borderId="16" xfId="1" applyNumberFormat="1" applyFont="1" applyFill="1" applyBorder="1"/>
    <xf numFmtId="2" fontId="4" fillId="0" borderId="1" xfId="0" applyNumberFormat="1" applyFont="1" applyBorder="1"/>
    <xf numFmtId="1" fontId="4" fillId="0" borderId="0" xfId="0" applyNumberFormat="1" applyFont="1"/>
    <xf numFmtId="170" fontId="4" fillId="0" borderId="0" xfId="0" applyNumberFormat="1" applyFont="1"/>
    <xf numFmtId="3" fontId="4" fillId="0" borderId="8" xfId="0" applyNumberFormat="1" applyFont="1" applyBorder="1"/>
    <xf numFmtId="1" fontId="4" fillId="0" borderId="3" xfId="0" applyNumberFormat="1" applyFont="1" applyBorder="1"/>
    <xf numFmtId="1" fontId="4" fillId="0" borderId="15" xfId="0" applyNumberFormat="1" applyFont="1" applyBorder="1"/>
    <xf numFmtId="3" fontId="3" fillId="0" borderId="0" xfId="0" applyNumberFormat="1" applyFont="1"/>
    <xf numFmtId="0" fontId="4" fillId="0" borderId="4" xfId="0" applyFont="1" applyBorder="1"/>
    <xf numFmtId="37" fontId="4" fillId="0" borderId="0" xfId="0" applyNumberFormat="1" applyFont="1"/>
    <xf numFmtId="37" fontId="4" fillId="0" borderId="1" xfId="0" applyNumberFormat="1" applyFont="1" applyBorder="1"/>
    <xf numFmtId="37" fontId="4" fillId="0" borderId="18" xfId="0" applyNumberFormat="1" applyFont="1" applyBorder="1"/>
    <xf numFmtId="37" fontId="4" fillId="0" borderId="2" xfId="0" applyNumberFormat="1" applyFont="1" applyBorder="1"/>
    <xf numFmtId="2" fontId="3" fillId="0" borderId="9" xfId="0" applyNumberFormat="1" applyFont="1" applyBorder="1"/>
    <xf numFmtId="2" fontId="3" fillId="0" borderId="10" xfId="0" applyNumberFormat="1" applyFont="1" applyBorder="1" applyAlignment="1">
      <alignment horizontal="right"/>
    </xf>
    <xf numFmtId="2" fontId="3" fillId="0" borderId="10" xfId="0" applyNumberFormat="1" applyFont="1" applyBorder="1"/>
    <xf numFmtId="2" fontId="3" fillId="0" borderId="11" xfId="0" applyNumberFormat="1" applyFont="1" applyBorder="1"/>
    <xf numFmtId="169" fontId="4" fillId="0" borderId="9" xfId="0" applyNumberFormat="1" applyFont="1" applyBorder="1"/>
    <xf numFmtId="169" fontId="4" fillId="0" borderId="0" xfId="1" applyNumberFormat="1" applyFont="1" applyBorder="1"/>
    <xf numFmtId="2" fontId="3" fillId="0" borderId="9" xfId="2" applyNumberFormat="1" applyFont="1" applyFill="1" applyBorder="1"/>
    <xf numFmtId="2" fontId="3" fillId="0" borderId="10" xfId="2" applyNumberFormat="1" applyFont="1" applyFill="1" applyBorder="1"/>
    <xf numFmtId="169" fontId="4" fillId="0" borderId="15" xfId="0" applyNumberFormat="1" applyFont="1" applyBorder="1"/>
    <xf numFmtId="3" fontId="4" fillId="0" borderId="9" xfId="3" applyNumberFormat="1" applyFont="1" applyBorder="1"/>
    <xf numFmtId="3" fontId="4" fillId="0" borderId="12" xfId="3" applyNumberFormat="1" applyFont="1" applyBorder="1"/>
    <xf numFmtId="3" fontId="4" fillId="0" borderId="20" xfId="3" applyNumberFormat="1" applyFont="1" applyBorder="1"/>
    <xf numFmtId="169" fontId="4" fillId="0" borderId="0" xfId="1" applyNumberFormat="1" applyFont="1"/>
    <xf numFmtId="171" fontId="4" fillId="0" borderId="0" xfId="0" applyNumberFormat="1" applyFont="1"/>
    <xf numFmtId="37" fontId="4" fillId="0" borderId="3" xfId="0" applyNumberFormat="1" applyFont="1" applyBorder="1"/>
    <xf numFmtId="37" fontId="4" fillId="0" borderId="7" xfId="0" applyNumberFormat="1" applyFont="1" applyBorder="1"/>
    <xf numFmtId="37" fontId="4" fillId="0" borderId="4" xfId="0" applyNumberFormat="1" applyFont="1" applyBorder="1"/>
    <xf numFmtId="3" fontId="4" fillId="0" borderId="9" xfId="0" applyNumberFormat="1" applyFont="1" applyBorder="1"/>
    <xf numFmtId="3" fontId="4" fillId="0" borderId="15" xfId="0" applyNumberFormat="1" applyFont="1" applyBorder="1"/>
    <xf numFmtId="37" fontId="4" fillId="0" borderId="15" xfId="0" applyNumberFormat="1" applyFont="1" applyBorder="1"/>
    <xf numFmtId="3" fontId="3" fillId="0" borderId="15" xfId="0" applyNumberFormat="1" applyFont="1" applyBorder="1"/>
    <xf numFmtId="43" fontId="4" fillId="0" borderId="4" xfId="0" applyNumberFormat="1" applyFont="1" applyBorder="1"/>
    <xf numFmtId="3" fontId="4" fillId="0" borderId="0" xfId="0" applyNumberFormat="1" applyFont="1" applyAlignment="1">
      <alignment horizontal="center"/>
    </xf>
    <xf numFmtId="170" fontId="3" fillId="0" borderId="0" xfId="0" applyNumberFormat="1" applyFont="1"/>
    <xf numFmtId="3" fontId="4" fillId="0" borderId="0" xfId="0" applyNumberFormat="1" applyFont="1" applyAlignment="1">
      <alignment horizontal="right"/>
    </xf>
    <xf numFmtId="170" fontId="4" fillId="0" borderId="0" xfId="0" applyNumberFormat="1" applyFont="1" applyAlignment="1">
      <alignment horizontal="right"/>
    </xf>
    <xf numFmtId="3" fontId="4" fillId="0" borderId="0" xfId="0" quotePrefix="1" applyNumberFormat="1" applyFont="1"/>
    <xf numFmtId="2" fontId="3" fillId="0" borderId="15" xfId="0" applyNumberFormat="1" applyFont="1" applyBorder="1"/>
    <xf numFmtId="2" fontId="3" fillId="0" borderId="22" xfId="0" applyNumberFormat="1" applyFont="1" applyBorder="1"/>
    <xf numFmtId="2" fontId="4" fillId="0" borderId="15" xfId="0" applyNumberFormat="1" applyFont="1" applyBorder="1"/>
    <xf numFmtId="2" fontId="4" fillId="0" borderId="22" xfId="0" applyNumberFormat="1" applyFont="1" applyBorder="1"/>
    <xf numFmtId="1" fontId="4" fillId="0" borderId="22" xfId="0" applyNumberFormat="1" applyFont="1" applyBorder="1"/>
    <xf numFmtId="2" fontId="4" fillId="0" borderId="15" xfId="1" applyNumberFormat="1" applyFont="1" applyBorder="1"/>
    <xf numFmtId="2" fontId="4" fillId="0" borderId="22" xfId="1" applyNumberFormat="1" applyFont="1" applyBorder="1"/>
    <xf numFmtId="0" fontId="4" fillId="0" borderId="20" xfId="0" applyFont="1" applyBorder="1"/>
    <xf numFmtId="2" fontId="4" fillId="0" borderId="15" xfId="1" applyNumberFormat="1" applyFont="1" applyFill="1" applyBorder="1" applyAlignment="1">
      <alignment horizontal="right"/>
    </xf>
    <xf numFmtId="3" fontId="4" fillId="0" borderId="0" xfId="0" applyNumberFormat="1" applyFont="1" applyAlignment="1">
      <alignment horizontal="left"/>
    </xf>
    <xf numFmtId="0" fontId="3" fillId="0" borderId="0" xfId="0" applyFont="1" applyAlignment="1">
      <alignment horizontal="right"/>
    </xf>
    <xf numFmtId="3" fontId="5" fillId="2" borderId="15" xfId="0" applyNumberFormat="1" applyFont="1" applyFill="1" applyBorder="1" applyAlignment="1">
      <alignment horizontal="left"/>
    </xf>
    <xf numFmtId="3" fontId="5" fillId="2" borderId="15" xfId="0" quotePrefix="1" applyNumberFormat="1" applyFont="1" applyFill="1" applyBorder="1" applyAlignment="1">
      <alignment horizontal="center"/>
    </xf>
    <xf numFmtId="3" fontId="4" fillId="0" borderId="15" xfId="0" applyNumberFormat="1" applyFont="1" applyBorder="1" applyAlignment="1">
      <alignment horizontal="left"/>
    </xf>
    <xf numFmtId="172" fontId="4" fillId="0" borderId="0" xfId="0" applyNumberFormat="1" applyFont="1"/>
    <xf numFmtId="3" fontId="4" fillId="5" borderId="15" xfId="0" applyNumberFormat="1" applyFont="1" applyFill="1" applyBorder="1"/>
    <xf numFmtId="4" fontId="3" fillId="5" borderId="15" xfId="0" applyNumberFormat="1" applyFont="1" applyFill="1" applyBorder="1"/>
    <xf numFmtId="0" fontId="4" fillId="0" borderId="18" xfId="0" applyFont="1" applyBorder="1" applyAlignment="1">
      <alignment horizontal="left"/>
    </xf>
    <xf numFmtId="0" fontId="4" fillId="0" borderId="20" xfId="0" applyFont="1" applyBorder="1" applyAlignment="1">
      <alignment horizontal="left"/>
    </xf>
    <xf numFmtId="0" fontId="4" fillId="0" borderId="14" xfId="0" applyFont="1" applyBorder="1"/>
    <xf numFmtId="0" fontId="5" fillId="0" borderId="18" xfId="0" applyFont="1" applyBorder="1"/>
    <xf numFmtId="0" fontId="4" fillId="0" borderId="18" xfId="0" applyFont="1" applyBorder="1" applyAlignment="1">
      <alignment horizontal="left" indent="1"/>
    </xf>
    <xf numFmtId="4" fontId="4" fillId="0" borderId="3" xfId="0" applyNumberFormat="1" applyFont="1" applyBorder="1"/>
    <xf numFmtId="2" fontId="4" fillId="0" borderId="4" xfId="1" applyNumberFormat="1" applyFont="1" applyFill="1" applyBorder="1"/>
    <xf numFmtId="4" fontId="4" fillId="0" borderId="4" xfId="1" applyNumberFormat="1" applyFont="1" applyFill="1" applyBorder="1"/>
    <xf numFmtId="10" fontId="4" fillId="2" borderId="18" xfId="1" applyNumberFormat="1" applyFont="1" applyFill="1" applyBorder="1"/>
    <xf numFmtId="41" fontId="4" fillId="2" borderId="18" xfId="0" applyNumberFormat="1" applyFont="1" applyFill="1" applyBorder="1"/>
    <xf numFmtId="0" fontId="4" fillId="0" borderId="15" xfId="0" applyFont="1" applyBorder="1" applyAlignment="1">
      <alignment horizontal="center" wrapText="1"/>
    </xf>
    <xf numFmtId="41" fontId="3" fillId="0" borderId="15" xfId="0" applyNumberFormat="1" applyFont="1" applyBorder="1" applyAlignment="1">
      <alignment horizontal="center" wrapText="1"/>
    </xf>
    <xf numFmtId="0" fontId="11" fillId="6" borderId="26" xfId="4" applyFont="1" applyFill="1" applyBorder="1" applyAlignment="1">
      <alignment horizontal="center"/>
    </xf>
    <xf numFmtId="0" fontId="5" fillId="2" borderId="19" xfId="0" applyFont="1" applyFill="1" applyBorder="1"/>
    <xf numFmtId="4" fontId="4" fillId="2" borderId="21" xfId="0" applyNumberFormat="1" applyFont="1" applyFill="1" applyBorder="1"/>
    <xf numFmtId="4" fontId="3" fillId="0" borderId="13" xfId="0" applyNumberFormat="1" applyFont="1" applyBorder="1"/>
    <xf numFmtId="0" fontId="4" fillId="0" borderId="16" xfId="0" applyFont="1" applyBorder="1" applyAlignment="1">
      <alignment horizontal="left"/>
    </xf>
    <xf numFmtId="0" fontId="3" fillId="4" borderId="22" xfId="0" applyFont="1" applyFill="1" applyBorder="1"/>
    <xf numFmtId="0" fontId="11" fillId="6" borderId="26" xfId="4" applyFont="1" applyFill="1" applyBorder="1" applyAlignment="1">
      <alignment horizontal="left"/>
    </xf>
    <xf numFmtId="0" fontId="3" fillId="6" borderId="2" xfId="0" applyFont="1" applyFill="1" applyBorder="1" applyAlignment="1">
      <alignment horizontal="left"/>
    </xf>
    <xf numFmtId="41" fontId="3" fillId="6" borderId="2" xfId="2" applyNumberFormat="1" applyFont="1" applyFill="1" applyBorder="1" applyAlignment="1">
      <alignment horizontal="left"/>
    </xf>
    <xf numFmtId="0" fontId="5" fillId="0" borderId="7" xfId="0" applyFont="1" applyBorder="1"/>
    <xf numFmtId="4" fontId="3" fillId="0" borderId="6" xfId="0" applyNumberFormat="1" applyFont="1" applyBorder="1"/>
    <xf numFmtId="0" fontId="3" fillId="0" borderId="16" xfId="0" applyFont="1" applyBorder="1" applyAlignment="1">
      <alignment horizontal="right"/>
    </xf>
    <xf numFmtId="0" fontId="4" fillId="0" borderId="16" xfId="0" applyFont="1" applyBorder="1" applyAlignment="1">
      <alignment horizontal="center" wrapText="1"/>
    </xf>
    <xf numFmtId="41" fontId="3" fillId="0" borderId="16" xfId="0" applyNumberFormat="1" applyFont="1" applyBorder="1"/>
    <xf numFmtId="0" fontId="4" fillId="0" borderId="7" xfId="0" applyFont="1" applyBorder="1"/>
    <xf numFmtId="0" fontId="4" fillId="0" borderId="6" xfId="0" applyFont="1" applyBorder="1"/>
    <xf numFmtId="0" fontId="4" fillId="0" borderId="12" xfId="0" applyFont="1" applyBorder="1" applyAlignment="1">
      <alignment horizontal="center"/>
    </xf>
    <xf numFmtId="0" fontId="4" fillId="0" borderId="12" xfId="0" applyFont="1" applyBorder="1"/>
    <xf numFmtId="0" fontId="4" fillId="2" borderId="20" xfId="0" applyFont="1" applyFill="1" applyBorder="1"/>
    <xf numFmtId="0" fontId="4" fillId="2" borderId="21" xfId="0" applyFont="1" applyFill="1" applyBorder="1"/>
    <xf numFmtId="0" fontId="3" fillId="0" borderId="7" xfId="0" applyFont="1" applyBorder="1"/>
    <xf numFmtId="0" fontId="3" fillId="0" borderId="1" xfId="0" applyFont="1" applyBorder="1"/>
    <xf numFmtId="0" fontId="3" fillId="0" borderId="6" xfId="0" applyFont="1" applyBorder="1"/>
    <xf numFmtId="0" fontId="3" fillId="0" borderId="29" xfId="0" applyFont="1" applyBorder="1" applyAlignment="1">
      <alignment horizontal="center"/>
    </xf>
    <xf numFmtId="11" fontId="3" fillId="0" borderId="23" xfId="0" applyNumberFormat="1" applyFont="1" applyBorder="1"/>
    <xf numFmtId="4" fontId="3" fillId="7" borderId="15" xfId="0" applyNumberFormat="1" applyFont="1" applyFill="1" applyBorder="1"/>
    <xf numFmtId="0" fontId="4" fillId="7" borderId="27" xfId="0" applyFont="1" applyFill="1" applyBorder="1" applyAlignment="1">
      <alignment horizontal="left" indent="1"/>
    </xf>
    <xf numFmtId="4" fontId="3" fillId="7" borderId="28" xfId="0" applyNumberFormat="1" applyFont="1" applyFill="1" applyBorder="1"/>
    <xf numFmtId="0" fontId="4" fillId="7" borderId="24" xfId="0" applyFont="1" applyFill="1" applyBorder="1" applyAlignment="1">
      <alignment horizontal="left" indent="1"/>
    </xf>
    <xf numFmtId="4" fontId="3" fillId="3" borderId="15" xfId="0" applyNumberFormat="1" applyFont="1" applyFill="1" applyBorder="1"/>
    <xf numFmtId="0" fontId="3" fillId="0" borderId="2" xfId="0" applyFont="1" applyBorder="1" applyAlignment="1">
      <alignment horizontal="left"/>
    </xf>
    <xf numFmtId="0" fontId="3" fillId="0" borderId="0" xfId="0" applyFont="1" applyAlignment="1">
      <alignment horizontal="left"/>
    </xf>
    <xf numFmtId="0" fontId="2" fillId="0" borderId="15" xfId="0" applyFont="1" applyBorder="1" applyAlignment="1">
      <alignment horizontal="center"/>
    </xf>
    <xf numFmtId="0" fontId="11" fillId="0" borderId="0" xfId="4" applyFont="1" applyAlignment="1">
      <alignment horizontal="center"/>
    </xf>
    <xf numFmtId="0" fontId="11" fillId="6" borderId="30" xfId="4" applyFont="1" applyFill="1" applyBorder="1" applyAlignment="1">
      <alignment horizontal="center"/>
    </xf>
    <xf numFmtId="0" fontId="5" fillId="2" borderId="18" xfId="0" applyFont="1" applyFill="1" applyBorder="1" applyAlignment="1">
      <alignment horizontal="center" vertical="center"/>
    </xf>
    <xf numFmtId="3" fontId="5" fillId="0" borderId="16" xfId="0" applyNumberFormat="1" applyFont="1" applyBorder="1"/>
    <xf numFmtId="3" fontId="4" fillId="5" borderId="22" xfId="0" applyNumberFormat="1" applyFont="1" applyFill="1" applyBorder="1"/>
    <xf numFmtId="2" fontId="3" fillId="0" borderId="16" xfId="1" applyNumberFormat="1" applyFont="1" applyFill="1" applyBorder="1"/>
    <xf numFmtId="0" fontId="3" fillId="0" borderId="13" xfId="0" applyFont="1" applyBorder="1" applyAlignment="1">
      <alignment horizontal="center" wrapText="1"/>
    </xf>
    <xf numFmtId="0" fontId="3" fillId="0" borderId="7" xfId="0" applyFont="1" applyBorder="1" applyAlignment="1">
      <alignment horizontal="center" wrapText="1"/>
    </xf>
    <xf numFmtId="2" fontId="3" fillId="0" borderId="23" xfId="1" applyNumberFormat="1" applyFont="1" applyBorder="1"/>
    <xf numFmtId="0" fontId="5" fillId="0" borderId="31" xfId="0" applyFont="1" applyBorder="1"/>
    <xf numFmtId="4" fontId="3" fillId="0" borderId="32" xfId="0" applyNumberFormat="1" applyFont="1" applyBorder="1"/>
    <xf numFmtId="0" fontId="2" fillId="0" borderId="16" xfId="0" applyFont="1" applyBorder="1" applyAlignment="1">
      <alignment horizontal="left"/>
    </xf>
    <xf numFmtId="0" fontId="3" fillId="0" borderId="15" xfId="0" applyFont="1" applyBorder="1" applyAlignment="1">
      <alignment horizontal="left" indent="1"/>
    </xf>
    <xf numFmtId="0" fontId="3" fillId="0" borderId="16" xfId="0" applyFont="1" applyBorder="1" applyAlignment="1">
      <alignment horizontal="left" indent="1"/>
    </xf>
    <xf numFmtId="2" fontId="4" fillId="0" borderId="0" xfId="1" applyNumberFormat="1" applyFont="1" applyFill="1" applyBorder="1"/>
    <xf numFmtId="3" fontId="4" fillId="0" borderId="6" xfId="0" applyNumberFormat="1" applyFont="1" applyBorder="1"/>
    <xf numFmtId="3" fontId="4" fillId="0" borderId="15" xfId="3" applyNumberFormat="1" applyFont="1" applyBorder="1"/>
    <xf numFmtId="0" fontId="12" fillId="0" borderId="0" xfId="0" applyFont="1"/>
    <xf numFmtId="4" fontId="3" fillId="5" borderId="15" xfId="1" applyNumberFormat="1" applyFont="1" applyFill="1" applyBorder="1"/>
    <xf numFmtId="0" fontId="4" fillId="7" borderId="15" xfId="0" applyFont="1" applyFill="1" applyBorder="1" applyAlignment="1">
      <alignment horizontal="left" indent="1"/>
    </xf>
    <xf numFmtId="3" fontId="4" fillId="0" borderId="22" xfId="0" applyNumberFormat="1" applyFont="1" applyBorder="1" applyAlignment="1">
      <alignment horizontal="left" indent="1"/>
    </xf>
    <xf numFmtId="3" fontId="4" fillId="0" borderId="19" xfId="0" applyNumberFormat="1" applyFont="1" applyBorder="1" applyAlignment="1">
      <alignment horizontal="left" indent="1"/>
    </xf>
    <xf numFmtId="3" fontId="5" fillId="0" borderId="22" xfId="0" applyNumberFormat="1" applyFont="1" applyBorder="1"/>
    <xf numFmtId="0" fontId="13" fillId="0" borderId="0" xfId="6" applyFill="1" applyBorder="1"/>
    <xf numFmtId="173" fontId="3" fillId="7" borderId="15" xfId="0" applyNumberFormat="1" applyFont="1" applyFill="1" applyBorder="1"/>
    <xf numFmtId="4" fontId="3" fillId="7" borderId="28" xfId="0" applyNumberFormat="1" applyFont="1" applyFill="1" applyBorder="1" applyAlignment="1">
      <alignment horizontal="right"/>
    </xf>
    <xf numFmtId="4" fontId="3" fillId="7" borderId="25" xfId="0" applyNumberFormat="1" applyFont="1" applyFill="1" applyBorder="1" applyAlignment="1">
      <alignment horizontal="right"/>
    </xf>
    <xf numFmtId="170" fontId="4" fillId="0" borderId="0" xfId="3" applyNumberFormat="1" applyFont="1"/>
    <xf numFmtId="170" fontId="4" fillId="0" borderId="20" xfId="3" applyNumberFormat="1" applyFont="1" applyBorder="1"/>
    <xf numFmtId="0" fontId="4" fillId="7" borderId="33" xfId="0" applyFont="1" applyFill="1" applyBorder="1" applyAlignment="1">
      <alignment horizontal="left" indent="1"/>
    </xf>
    <xf numFmtId="4" fontId="3" fillId="7" borderId="34" xfId="0" applyNumberFormat="1" applyFont="1" applyFill="1" applyBorder="1"/>
    <xf numFmtId="172" fontId="3" fillId="0" borderId="15" xfId="0" applyNumberFormat="1" applyFont="1" applyBorder="1"/>
    <xf numFmtId="0" fontId="2" fillId="4" borderId="16" xfId="0" applyFont="1" applyFill="1" applyBorder="1" applyAlignment="1">
      <alignment horizontal="left"/>
    </xf>
    <xf numFmtId="0" fontId="3" fillId="0" borderId="7" xfId="0" applyFont="1" applyBorder="1" applyAlignment="1">
      <alignment horizontal="left" indent="1"/>
    </xf>
    <xf numFmtId="0" fontId="3" fillId="0" borderId="19" xfId="0" applyFont="1" applyBorder="1" applyAlignment="1">
      <alignment horizontal="left" indent="1"/>
    </xf>
    <xf numFmtId="0" fontId="3" fillId="0" borderId="4" xfId="0" applyFont="1" applyBorder="1" applyAlignment="1">
      <alignment horizontal="left" indent="1"/>
    </xf>
    <xf numFmtId="0" fontId="4" fillId="0" borderId="19" xfId="0" applyFont="1" applyBorder="1" applyAlignment="1">
      <alignment horizontal="left" indent="1"/>
    </xf>
    <xf numFmtId="0" fontId="4" fillId="0" borderId="7" xfId="0" applyFont="1" applyBorder="1" applyAlignment="1">
      <alignment horizontal="left" indent="1"/>
    </xf>
    <xf numFmtId="3" fontId="4" fillId="4" borderId="18" xfId="0" applyNumberFormat="1" applyFont="1" applyFill="1" applyBorder="1"/>
    <xf numFmtId="3" fontId="4" fillId="4" borderId="17" xfId="0" applyNumberFormat="1" applyFont="1" applyFill="1" applyBorder="1"/>
    <xf numFmtId="3" fontId="4" fillId="4" borderId="13" xfId="0" applyNumberFormat="1" applyFont="1" applyFill="1" applyBorder="1"/>
    <xf numFmtId="3" fontId="4" fillId="5" borderId="13" xfId="0" applyNumberFormat="1" applyFont="1" applyFill="1" applyBorder="1"/>
    <xf numFmtId="3" fontId="4" fillId="4" borderId="15" xfId="0" applyNumberFormat="1" applyFont="1" applyFill="1" applyBorder="1"/>
    <xf numFmtId="3" fontId="4" fillId="4" borderId="22" xfId="0" applyNumberFormat="1" applyFont="1" applyFill="1" applyBorder="1"/>
    <xf numFmtId="3" fontId="3" fillId="4" borderId="18" xfId="4" applyNumberFormat="1" applyFont="1" applyFill="1" applyBorder="1" applyAlignment="1">
      <alignment horizontal="right"/>
    </xf>
    <xf numFmtId="3" fontId="3" fillId="4" borderId="18" xfId="0" applyNumberFormat="1" applyFont="1" applyFill="1" applyBorder="1"/>
    <xf numFmtId="3" fontId="3" fillId="4" borderId="17" xfId="0" applyNumberFormat="1" applyFont="1" applyFill="1" applyBorder="1"/>
    <xf numFmtId="3" fontId="3" fillId="5" borderId="12" xfId="0" applyNumberFormat="1" applyFont="1" applyFill="1" applyBorder="1"/>
    <xf numFmtId="3" fontId="3" fillId="5" borderId="13" xfId="0" applyNumberFormat="1" applyFont="1" applyFill="1" applyBorder="1"/>
    <xf numFmtId="3" fontId="3" fillId="5" borderId="15" xfId="0" applyNumberFormat="1" applyFont="1" applyFill="1" applyBorder="1"/>
    <xf numFmtId="3" fontId="3" fillId="5" borderId="22" xfId="0" applyNumberFormat="1" applyFont="1" applyFill="1" applyBorder="1"/>
    <xf numFmtId="3" fontId="3" fillId="0" borderId="18" xfId="0" applyNumberFormat="1" applyFont="1" applyBorder="1" applyAlignment="1">
      <alignment horizontal="right"/>
    </xf>
    <xf numFmtId="3" fontId="3" fillId="0" borderId="18" xfId="0" applyNumberFormat="1" applyFont="1" applyBorder="1"/>
    <xf numFmtId="3" fontId="3" fillId="0" borderId="17" xfId="0" applyNumberFormat="1" applyFont="1" applyBorder="1"/>
    <xf numFmtId="0" fontId="4" fillId="4" borderId="18" xfId="0" applyFont="1" applyFill="1" applyBorder="1"/>
    <xf numFmtId="0" fontId="4" fillId="4" borderId="17" xfId="0" applyFont="1" applyFill="1" applyBorder="1"/>
    <xf numFmtId="0" fontId="3" fillId="0" borderId="22" xfId="0" applyFont="1" applyBorder="1" applyAlignment="1">
      <alignment horizontal="left" indent="1"/>
    </xf>
    <xf numFmtId="0" fontId="3" fillId="0" borderId="13" xfId="0" applyFont="1" applyBorder="1" applyAlignment="1">
      <alignment horizontal="left" indent="1"/>
    </xf>
    <xf numFmtId="0" fontId="4" fillId="5" borderId="13" xfId="0" applyFont="1" applyFill="1" applyBorder="1"/>
    <xf numFmtId="0" fontId="5" fillId="4" borderId="16" xfId="0" applyFont="1" applyFill="1" applyBorder="1"/>
    <xf numFmtId="0" fontId="4" fillId="5" borderId="22" xfId="0" applyFont="1" applyFill="1" applyBorder="1"/>
    <xf numFmtId="4" fontId="4" fillId="2" borderId="18" xfId="0" applyNumberFormat="1" applyFont="1" applyFill="1" applyBorder="1"/>
    <xf numFmtId="0" fontId="3" fillId="0" borderId="0" xfId="4" applyFont="1" applyAlignment="1">
      <alignment horizontal="left"/>
    </xf>
    <xf numFmtId="0" fontId="3" fillId="0" borderId="0" xfId="5" applyNumberFormat="1" applyFont="1" applyFill="1" applyBorder="1" applyAlignment="1">
      <alignment horizontal="right"/>
    </xf>
    <xf numFmtId="0" fontId="4" fillId="0" borderId="13" xfId="0" applyFont="1" applyBorder="1"/>
    <xf numFmtId="0" fontId="4" fillId="0" borderId="15" xfId="0" applyFont="1" applyBorder="1" applyAlignment="1">
      <alignment horizontal="left"/>
    </xf>
    <xf numFmtId="4" fontId="3" fillId="0" borderId="15" xfId="5" applyNumberFormat="1" applyFont="1" applyFill="1" applyBorder="1" applyAlignment="1">
      <alignment horizontal="right"/>
    </xf>
    <xf numFmtId="3" fontId="4" fillId="0" borderId="0" xfId="0" applyNumberFormat="1" applyFont="1" applyAlignment="1">
      <alignment horizontal="left" indent="1"/>
    </xf>
    <xf numFmtId="11" fontId="4" fillId="4" borderId="13" xfId="0" applyNumberFormat="1" applyFont="1" applyFill="1" applyBorder="1"/>
    <xf numFmtId="11" fontId="4" fillId="5" borderId="22" xfId="0" applyNumberFormat="1" applyFont="1" applyFill="1" applyBorder="1"/>
    <xf numFmtId="11" fontId="4" fillId="0" borderId="0" xfId="0" applyNumberFormat="1" applyFont="1"/>
    <xf numFmtId="0" fontId="5" fillId="0" borderId="15" xfId="0" applyFont="1" applyBorder="1" applyAlignment="1">
      <alignment horizontal="center"/>
    </xf>
    <xf numFmtId="0" fontId="5" fillId="0" borderId="16" xfId="0" applyFont="1" applyBorder="1" applyAlignment="1">
      <alignment horizontal="left"/>
    </xf>
    <xf numFmtId="0" fontId="4" fillId="0" borderId="18" xfId="0" applyFont="1" applyBorder="1" applyAlignment="1">
      <alignment horizontal="center" wrapText="1"/>
    </xf>
    <xf numFmtId="0" fontId="5" fillId="0" borderId="22" xfId="0" applyFont="1" applyBorder="1" applyAlignment="1">
      <alignment horizontal="center"/>
    </xf>
    <xf numFmtId="0" fontId="4" fillId="0" borderId="18" xfId="0" applyFont="1" applyBorder="1" applyAlignment="1">
      <alignment horizontal="left" indent="2"/>
    </xf>
    <xf numFmtId="2" fontId="4" fillId="0" borderId="16" xfId="1" applyNumberFormat="1" applyFont="1" applyFill="1" applyBorder="1"/>
    <xf numFmtId="0" fontId="4" fillId="0" borderId="19" xfId="0" applyFont="1" applyBorder="1" applyAlignment="1">
      <alignment horizontal="center" wrapText="1"/>
    </xf>
    <xf numFmtId="0" fontId="4" fillId="0" borderId="20" xfId="0" applyFont="1" applyBorder="1" applyAlignment="1">
      <alignment horizontal="center" wrapText="1"/>
    </xf>
    <xf numFmtId="4" fontId="4" fillId="0" borderId="0" xfId="1" applyNumberFormat="1" applyFont="1" applyFill="1" applyBorder="1"/>
    <xf numFmtId="0" fontId="5" fillId="0" borderId="19" xfId="0" applyFont="1" applyBorder="1"/>
    <xf numFmtId="4" fontId="4" fillId="0" borderId="16" xfId="1" applyNumberFormat="1" applyFont="1" applyFill="1" applyBorder="1"/>
    <xf numFmtId="0" fontId="4" fillId="0" borderId="16" xfId="0" applyFont="1" applyBorder="1" applyAlignment="1">
      <alignment horizontal="center"/>
    </xf>
    <xf numFmtId="0" fontId="4" fillId="0" borderId="17" xfId="0" applyFont="1" applyBorder="1" applyAlignment="1">
      <alignment horizontal="center"/>
    </xf>
    <xf numFmtId="0" fontId="5" fillId="0" borderId="16" xfId="0" applyFont="1" applyBorder="1" applyAlignment="1">
      <alignment horizontal="center"/>
    </xf>
    <xf numFmtId="0" fontId="5" fillId="0" borderId="18" xfId="0" applyFont="1" applyBorder="1" applyAlignment="1">
      <alignment horizontal="center"/>
    </xf>
    <xf numFmtId="0" fontId="5" fillId="0" borderId="22" xfId="0" applyFont="1" applyBorder="1" applyAlignment="1">
      <alignment horizontal="center" wrapText="1"/>
    </xf>
    <xf numFmtId="0" fontId="5" fillId="0" borderId="12" xfId="0" applyFont="1" applyBorder="1" applyAlignment="1">
      <alignment horizontal="center"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21" xfId="0" applyFont="1" applyBorder="1" applyAlignment="1">
      <alignment horizontal="center" wrapText="1"/>
    </xf>
    <xf numFmtId="0" fontId="5" fillId="0" borderId="6" xfId="0" applyFont="1" applyBorder="1" applyAlignment="1">
      <alignment horizontal="center" wrapText="1"/>
    </xf>
    <xf numFmtId="41" fontId="5" fillId="0" borderId="16" xfId="0" applyNumberFormat="1" applyFont="1" applyBorder="1" applyAlignment="1">
      <alignment horizontal="center"/>
    </xf>
    <xf numFmtId="41" fontId="5" fillId="0" borderId="18" xfId="0" applyNumberFormat="1" applyFont="1" applyBorder="1" applyAlignment="1">
      <alignment horizontal="center"/>
    </xf>
    <xf numFmtId="41" fontId="5" fillId="0" borderId="19" xfId="0" applyNumberFormat="1" applyFont="1" applyBorder="1" applyAlignment="1">
      <alignment horizontal="center"/>
    </xf>
    <xf numFmtId="41" fontId="5" fillId="0" borderId="20" xfId="0" applyNumberFormat="1" applyFont="1" applyBorder="1" applyAlignment="1">
      <alignment horizontal="center"/>
    </xf>
    <xf numFmtId="0" fontId="5" fillId="0" borderId="17" xfId="0" applyFont="1" applyBorder="1" applyAlignment="1">
      <alignment horizontal="center"/>
    </xf>
  </cellXfs>
  <cellStyles count="7">
    <cellStyle name="Comma" xfId="3" builtinId="3"/>
    <cellStyle name="Currency" xfId="2" builtinId="4"/>
    <cellStyle name="Hyperlink" xfId="6" builtinId="8"/>
    <cellStyle name="Normal" xfId="0" builtinId="0"/>
    <cellStyle name="Normal 2" xfId="4" xr:uid="{00000000-0005-0000-0000-000003000000}"/>
    <cellStyle name="Percent" xfId="1" builtinId="5"/>
    <cellStyle name="Percent 2 2" xfId="5" xr:uid="{00000000-0005-0000-0000-000005000000}"/>
  </cellStyles>
  <dxfs count="0"/>
  <tableStyles count="0" defaultTableStyle="TableStyleMedium9" defaultPivotStyle="PivotStyleLight16"/>
  <colors>
    <mruColors>
      <color rgb="FFFF0000"/>
      <color rgb="FF0000CC"/>
      <color rgb="FF0000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63501</xdr:colOff>
      <xdr:row>57</xdr:row>
      <xdr:rowOff>0</xdr:rowOff>
    </xdr:from>
    <xdr:to>
      <xdr:col>5</xdr:col>
      <xdr:colOff>21168</xdr:colOff>
      <xdr:row>73</xdr:row>
      <xdr:rowOff>10583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799668" y="8741833"/>
          <a:ext cx="3429000" cy="25717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indent="0"/>
          <a:r>
            <a:rPr lang="en-US" sz="1100">
              <a:solidFill>
                <a:schemeClr val="dk1"/>
              </a:solidFill>
              <a:latin typeface="+mn-lt"/>
              <a:ea typeface="+mn-ea"/>
              <a:cs typeface="+mn-cs"/>
            </a:rPr>
            <a:t>Mortgage-style size of debt is the product of the debt fraction and total capital cost. The total capital cost includes debt service reserve funding and debt up-front costs, which are both calculated from the size of debt value. To calculate the value, SAM uses a two-step iteration that is not possible to replicate in this workbook using static formulas.</a:t>
          </a:r>
        </a:p>
        <a:p>
          <a:pPr marL="0" indent="0"/>
          <a:endParaRPr lang="en-US" sz="1100">
            <a:solidFill>
              <a:schemeClr val="dk1"/>
            </a:solidFill>
            <a:latin typeface="+mn-lt"/>
            <a:ea typeface="+mn-ea"/>
            <a:cs typeface="+mn-cs"/>
          </a:endParaRPr>
        </a:p>
        <a:p>
          <a:pPr marL="0" indent="0"/>
          <a:r>
            <a:rPr lang="en-US" sz="1100">
              <a:solidFill>
                <a:schemeClr val="dk1"/>
              </a:solidFill>
              <a:latin typeface="+mn-lt"/>
              <a:ea typeface="+mn-ea"/>
              <a:cs typeface="+mn-cs"/>
            </a:rPr>
            <a:t>"Equal payments" for the annual payment schedule indicates a standard amortization with constant total annual P&amp;I payments. "Fixed principal" indicates fixed principal with declining interest annual payments.</a:t>
          </a:r>
        </a:p>
      </xdr:txBody>
    </xdr:sp>
    <xdr:clientData/>
  </xdr:twoCellAnchor>
  <xdr:twoCellAnchor>
    <xdr:from>
      <xdr:col>1</xdr:col>
      <xdr:colOff>2582331</xdr:colOff>
      <xdr:row>8</xdr:row>
      <xdr:rowOff>63498</xdr:rowOff>
    </xdr:from>
    <xdr:to>
      <xdr:col>1</xdr:col>
      <xdr:colOff>4049181</xdr:colOff>
      <xdr:row>13</xdr:row>
      <xdr:rowOff>10583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815164" y="1439331"/>
          <a:ext cx="1466850" cy="740835"/>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indicates O&amp;M costs entered as annual values. </a:t>
          </a:r>
          <a:r>
            <a:rPr lang="en-US" sz="1100" baseline="0"/>
            <a:t>See "ANNUAL VALUES" below.</a:t>
          </a:r>
          <a:endParaRPr lang="en-US" sz="1100"/>
        </a:p>
      </xdr:txBody>
    </xdr:sp>
    <xdr:clientData/>
  </xdr:twoCellAnchor>
  <xdr:oneCellAnchor>
    <xdr:from>
      <xdr:col>3</xdr:col>
      <xdr:colOff>582083</xdr:colOff>
      <xdr:row>24</xdr:row>
      <xdr:rowOff>10584</xdr:rowOff>
    </xdr:from>
    <xdr:ext cx="184731" cy="264560"/>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318250" y="3132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31747</xdr:colOff>
      <xdr:row>107</xdr:row>
      <xdr:rowOff>42334</xdr:rowOff>
    </xdr:from>
    <xdr:to>
      <xdr:col>7</xdr:col>
      <xdr:colOff>444497</xdr:colOff>
      <xdr:row>110</xdr:row>
      <xdr:rowOff>43604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239247" y="16912167"/>
          <a:ext cx="3429000" cy="47752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'n/a' for a PBI or PTC amount indicates amounts entered as annual values. </a:t>
          </a:r>
          <a:r>
            <a:rPr lang="en-US" sz="1100" baseline="0"/>
            <a:t>See "ANNUAL VALUES" below.</a:t>
          </a:r>
          <a:endParaRPr lang="en-US" sz="1100"/>
        </a:p>
      </xdr:txBody>
    </xdr:sp>
    <xdr:clientData/>
  </xdr:twoCellAnchor>
  <xdr:twoCellAnchor>
    <xdr:from>
      <xdr:col>3</xdr:col>
      <xdr:colOff>57147</xdr:colOff>
      <xdr:row>42</xdr:row>
      <xdr:rowOff>4232</xdr:rowOff>
    </xdr:from>
    <xdr:to>
      <xdr:col>5</xdr:col>
      <xdr:colOff>10583</xdr:colOff>
      <xdr:row>52</xdr:row>
      <xdr:rowOff>21168</xdr:rowOff>
    </xdr:to>
    <xdr:sp macro="" textlink="">
      <xdr:nvSpPr>
        <xdr:cNvPr id="6" name="TextBox 5">
          <a:extLst>
            <a:ext uri="{FF2B5EF4-FFF2-40B4-BE49-F238E27FC236}">
              <a16:creationId xmlns:a16="http://schemas.microsoft.com/office/drawing/2014/main" id="{594AD579-CEBD-4CAE-ABEF-9FEFCE41B1F1}"/>
            </a:ext>
          </a:extLst>
        </xdr:cNvPr>
        <xdr:cNvSpPr txBox="1"/>
      </xdr:nvSpPr>
      <xdr:spPr>
        <a:xfrm>
          <a:off x="5793314" y="6364815"/>
          <a:ext cx="3424769" cy="1604436"/>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Cash flow reads the annual income tax rate from the table under </a:t>
          </a:r>
          <a:r>
            <a:rPr lang="en-US" sz="1100" baseline="0"/>
            <a:t>"ANNUAL VALUES" below. Year 1 rates </a:t>
          </a:r>
          <a:r>
            <a:rPr lang="en-US" sz="1100" baseline="0">
              <a:solidFill>
                <a:schemeClr val="dk1"/>
              </a:solidFill>
              <a:effectLst/>
              <a:latin typeface="+mn-lt"/>
              <a:ea typeface="+mn-ea"/>
              <a:cs typeface="+mn-cs"/>
            </a:rPr>
            <a:t>are shown here for reference.</a:t>
          </a:r>
          <a:endParaRPr lang="en-US">
            <a:effectLst/>
          </a:endParaRPr>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 sales tax rate is shown here for reference, but is not used in the workbook calculations. SAM passes the total installed cost value to the spreadsheet. That value includes the sales tax, which is calculated on SAM's System Costs input page.</a:t>
          </a:r>
          <a:endParaRPr lang="en-US">
            <a:effectLst/>
          </a:endParaRPr>
        </a:p>
        <a:p>
          <a:endParaRPr lang="en-US" sz="1100"/>
        </a:p>
      </xdr:txBody>
    </xdr:sp>
    <xdr:clientData/>
  </xdr:twoCellAnchor>
  <xdr:twoCellAnchor>
    <xdr:from>
      <xdr:col>1</xdr:col>
      <xdr:colOff>1227665</xdr:colOff>
      <xdr:row>204</xdr:row>
      <xdr:rowOff>10585</xdr:rowOff>
    </xdr:from>
    <xdr:to>
      <xdr:col>3</xdr:col>
      <xdr:colOff>105833</xdr:colOff>
      <xdr:row>208</xdr:row>
      <xdr:rowOff>105835</xdr:rowOff>
    </xdr:to>
    <xdr:sp macro="" textlink="">
      <xdr:nvSpPr>
        <xdr:cNvPr id="7" name="TextBox 6">
          <a:extLst>
            <a:ext uri="{FF2B5EF4-FFF2-40B4-BE49-F238E27FC236}">
              <a16:creationId xmlns:a16="http://schemas.microsoft.com/office/drawing/2014/main" id="{BE977134-0C2F-4D11-AE86-EEA1A68EB043}"/>
            </a:ext>
          </a:extLst>
        </xdr:cNvPr>
        <xdr:cNvSpPr txBox="1"/>
      </xdr:nvSpPr>
      <xdr:spPr>
        <a:xfrm>
          <a:off x="1460498" y="31083252"/>
          <a:ext cx="4381502" cy="730250"/>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the debt fraction</a:t>
          </a:r>
          <a:r>
            <a:rPr lang="en-US" sz="1100" baseline="0"/>
            <a:t> input option, debt service reserve calculations involve an iterative calculation that is not replicated in this workbook. The iteration is required because the capital cost on which the debt amount depends includes the initial debt service funding amount.</a:t>
          </a:r>
          <a:endParaRPr lang="en-US">
            <a:effectLst/>
          </a:endParaRPr>
        </a:p>
      </xdr:txBody>
    </xdr:sp>
    <xdr:clientData/>
  </xdr:twoCellAnchor>
  <xdr:twoCellAnchor>
    <xdr:from>
      <xdr:col>3</xdr:col>
      <xdr:colOff>46563</xdr:colOff>
      <xdr:row>27</xdr:row>
      <xdr:rowOff>4231</xdr:rowOff>
    </xdr:from>
    <xdr:to>
      <xdr:col>4</xdr:col>
      <xdr:colOff>2222499</xdr:colOff>
      <xdr:row>33</xdr:row>
      <xdr:rowOff>116416</xdr:rowOff>
    </xdr:to>
    <xdr:sp macro="" textlink="">
      <xdr:nvSpPr>
        <xdr:cNvPr id="9" name="TextBox 8">
          <a:extLst>
            <a:ext uri="{FF2B5EF4-FFF2-40B4-BE49-F238E27FC236}">
              <a16:creationId xmlns:a16="http://schemas.microsoft.com/office/drawing/2014/main" id="{F7EC00D1-7CFD-4CEA-814B-8058E1C844B4}"/>
            </a:ext>
          </a:extLst>
        </xdr:cNvPr>
        <xdr:cNvSpPr txBox="1"/>
      </xdr:nvSpPr>
      <xdr:spPr>
        <a:xfrm>
          <a:off x="5782730" y="3983564"/>
          <a:ext cx="3424769" cy="1064685"/>
        </a:xfrm>
        <a:prstGeom prst="rect">
          <a:avLst/>
        </a:prstGeom>
        <a:solidFill>
          <a:schemeClr val="accent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effectLst/>
            </a:rPr>
            <a:t>SAM calculates the total revenue</a:t>
          </a:r>
          <a:r>
            <a:rPr lang="en-US" sz="1100" baseline="0">
              <a:effectLst/>
            </a:rPr>
            <a:t> for each source marked "Yes" from the time series price data input and power generation profile. Those calculations are impractical to replicate in Excel, so only the resulting annual totals are shown. See the table under "ANNUAL VALUES" below for annual totals.</a:t>
          </a:r>
          <a:endParaRPr lang="en-US">
            <a:effectLst/>
          </a:endParaRPr>
        </a:p>
        <a:p>
          <a:endParaRPr lang="en-US" sz="1100"/>
        </a:p>
      </xdr:txBody>
    </xdr:sp>
    <xdr:clientData/>
  </xdr:twoCellAnchor>
  <xdr:twoCellAnchor>
    <xdr:from>
      <xdr:col>6</xdr:col>
      <xdr:colOff>42334</xdr:colOff>
      <xdr:row>100</xdr:row>
      <xdr:rowOff>52916</xdr:rowOff>
    </xdr:from>
    <xdr:to>
      <xdr:col>8</xdr:col>
      <xdr:colOff>973668</xdr:colOff>
      <xdr:row>103</xdr:row>
      <xdr:rowOff>116416</xdr:rowOff>
    </xdr:to>
    <xdr:sp macro="" textlink="">
      <xdr:nvSpPr>
        <xdr:cNvPr id="8" name="TextBox 7">
          <a:extLst>
            <a:ext uri="{FF2B5EF4-FFF2-40B4-BE49-F238E27FC236}">
              <a16:creationId xmlns:a16="http://schemas.microsoft.com/office/drawing/2014/main" id="{20877232-F7B3-4F4A-82D3-DFCD887CDF92}"/>
            </a:ext>
          </a:extLst>
        </xdr:cNvPr>
        <xdr:cNvSpPr txBox="1"/>
      </xdr:nvSpPr>
      <xdr:spPr>
        <a:xfrm>
          <a:off x="11017251" y="16382999"/>
          <a:ext cx="3429000" cy="539750"/>
        </a:xfrm>
        <a:prstGeom prst="rect">
          <a:avLst/>
        </a:prstGeom>
        <a:solidFill>
          <a:schemeClr val="accent2">
            <a:lumMod val="40000"/>
            <a:lumOff val="60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45720" tIns="0" rIns="45720" bIns="0" rtlCol="0" anchor="t"/>
        <a:lstStyle/>
        <a:p>
          <a:r>
            <a:rPr lang="en-US" sz="1100"/>
            <a:t>For ITC allocated to multiple years, see "ANNUAL VALUES" below: Values here are shown as sums of annual values for reference.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Y215"/>
  <sheetViews>
    <sheetView tabSelected="1" zoomScale="90" zoomScaleNormal="90" workbookViewId="0"/>
  </sheetViews>
  <sheetFormatPr defaultColWidth="9.140625" defaultRowHeight="12.75" x14ac:dyDescent="0.2"/>
  <cols>
    <col min="1" max="1" width="3.42578125" style="4" customWidth="1"/>
    <col min="2" max="2" width="60.7109375" style="4" customWidth="1"/>
    <col min="3" max="3" width="21.7109375" style="4" customWidth="1"/>
    <col min="4" max="4" width="18.7109375" style="4" customWidth="1"/>
    <col min="5" max="5" width="33.28515625" style="4" customWidth="1"/>
    <col min="6" max="6" width="26.42578125" style="4" customWidth="1"/>
    <col min="7" max="9" width="18.7109375" style="4" customWidth="1"/>
    <col min="10" max="12" width="25.85546875" style="4" customWidth="1"/>
    <col min="13" max="13" width="21" style="4" customWidth="1"/>
    <col min="14" max="14" width="17" style="4" customWidth="1"/>
    <col min="15" max="251" width="13.7109375" style="4" customWidth="1"/>
    <col min="252" max="16384" width="9.140625" style="4"/>
  </cols>
  <sheetData>
    <row r="1" spans="1:48" ht="21" customHeight="1" x14ac:dyDescent="0.35">
      <c r="A1" s="243"/>
      <c r="B1" s="244" t="s">
        <v>325</v>
      </c>
      <c r="C1" s="243"/>
      <c r="D1" s="243"/>
      <c r="E1" s="243"/>
      <c r="F1" s="243"/>
      <c r="G1" s="243"/>
      <c r="H1" s="243"/>
      <c r="I1" s="243"/>
      <c r="J1" s="79"/>
      <c r="K1" s="79"/>
      <c r="L1" s="79"/>
      <c r="M1" s="79"/>
      <c r="N1" s="79"/>
    </row>
    <row r="2" spans="1:48" ht="12.75" customHeight="1" x14ac:dyDescent="0.2">
      <c r="B2" s="5" t="s">
        <v>78</v>
      </c>
      <c r="C2" s="104"/>
      <c r="D2" s="79"/>
      <c r="E2" s="80" t="s">
        <v>70</v>
      </c>
      <c r="G2" s="79"/>
      <c r="H2" s="191"/>
      <c r="J2" s="79"/>
      <c r="K2" s="79"/>
      <c r="L2" s="79"/>
      <c r="M2" s="79"/>
      <c r="N2" s="79"/>
    </row>
    <row r="3" spans="1:48" ht="12.75" customHeight="1" x14ac:dyDescent="0.2">
      <c r="B3" s="60" t="s">
        <v>170</v>
      </c>
      <c r="C3" s="105">
        <v>0</v>
      </c>
      <c r="D3" s="79"/>
      <c r="E3" s="33" t="s">
        <v>154</v>
      </c>
      <c r="G3" s="79"/>
      <c r="H3" s="191"/>
      <c r="I3" s="119"/>
      <c r="J3" s="79"/>
      <c r="K3" s="79"/>
      <c r="L3" s="79"/>
      <c r="M3" s="79"/>
      <c r="N3" s="79"/>
    </row>
    <row r="4" spans="1:48" ht="12.75" customHeight="1" x14ac:dyDescent="0.2">
      <c r="B4" s="1"/>
      <c r="C4" s="108"/>
      <c r="D4" s="79"/>
      <c r="E4" s="215" t="s">
        <v>155</v>
      </c>
      <c r="G4" s="79"/>
      <c r="H4" s="24"/>
      <c r="I4" s="117"/>
      <c r="J4" s="79"/>
      <c r="K4" s="79"/>
      <c r="L4" s="79"/>
      <c r="M4" s="79"/>
      <c r="N4" s="79"/>
    </row>
    <row r="5" spans="1:48" ht="12.75" customHeight="1" x14ac:dyDescent="0.2">
      <c r="B5" s="5" t="s">
        <v>77</v>
      </c>
      <c r="C5" s="107"/>
      <c r="D5" s="79"/>
      <c r="E5" s="197" t="s">
        <v>296</v>
      </c>
      <c r="I5" s="119"/>
      <c r="K5" s="79"/>
      <c r="L5" s="79"/>
      <c r="M5" s="79"/>
      <c r="N5" s="79"/>
    </row>
    <row r="6" spans="1:48" x14ac:dyDescent="0.2">
      <c r="B6" s="34" t="s">
        <v>134</v>
      </c>
      <c r="C6" s="174">
        <v>0</v>
      </c>
      <c r="E6" s="235" t="s">
        <v>230</v>
      </c>
      <c r="G6" s="79"/>
      <c r="H6" s="79"/>
      <c r="I6" s="79"/>
      <c r="J6" s="79"/>
      <c r="K6" s="1"/>
      <c r="M6" s="19"/>
    </row>
    <row r="7" spans="1:48" x14ac:dyDescent="0.2">
      <c r="C7" s="108"/>
      <c r="G7" s="32"/>
      <c r="H7" s="32"/>
      <c r="I7" s="32"/>
      <c r="J7" s="32"/>
      <c r="M7" s="18"/>
    </row>
    <row r="8" spans="1:48" x14ac:dyDescent="0.2">
      <c r="B8" s="5" t="s">
        <v>135</v>
      </c>
      <c r="C8" s="107"/>
      <c r="E8" s="192" t="s">
        <v>176</v>
      </c>
      <c r="F8" s="193"/>
      <c r="G8" s="148"/>
      <c r="H8" s="119"/>
      <c r="I8" s="119"/>
      <c r="J8" s="119"/>
      <c r="M8" s="89"/>
      <c r="N8" s="24"/>
    </row>
    <row r="9" spans="1:48" x14ac:dyDescent="0.2">
      <c r="B9" s="84" t="s">
        <v>136</v>
      </c>
      <c r="C9" s="102">
        <v>0</v>
      </c>
      <c r="E9" s="194" t="s">
        <v>350</v>
      </c>
      <c r="F9" s="106">
        <f>'Cash Flow'!B150</f>
        <v>0</v>
      </c>
      <c r="G9" s="148"/>
      <c r="H9" s="148"/>
      <c r="I9" s="177"/>
      <c r="J9" s="148"/>
      <c r="K9" s="82"/>
      <c r="M9" s="90"/>
      <c r="O9" s="83"/>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row>
    <row r="10" spans="1:48" x14ac:dyDescent="0.2">
      <c r="B10" s="85" t="s">
        <v>159</v>
      </c>
      <c r="C10" s="103">
        <v>0</v>
      </c>
      <c r="E10" s="194" t="s">
        <v>178</v>
      </c>
      <c r="F10" s="172">
        <f>'Cash Flow'!B141</f>
        <v>0</v>
      </c>
      <c r="G10" s="119"/>
      <c r="H10" s="119"/>
      <c r="I10" s="144"/>
      <c r="J10" s="119"/>
      <c r="M10" s="89"/>
      <c r="N10" s="24"/>
    </row>
    <row r="11" spans="1:48" x14ac:dyDescent="0.2">
      <c r="B11" s="84" t="s">
        <v>384</v>
      </c>
      <c r="C11" s="102">
        <v>0</v>
      </c>
      <c r="E11" s="194" t="s">
        <v>213</v>
      </c>
      <c r="F11" s="106">
        <f>HLOOKUP(F12,'Cash Flow'!B2:AP138,137)</f>
        <v>0</v>
      </c>
      <c r="G11" s="119"/>
      <c r="H11" s="119"/>
      <c r="I11" s="144"/>
      <c r="J11" s="119"/>
      <c r="M11" s="89"/>
      <c r="N11" s="24"/>
    </row>
    <row r="12" spans="1:48" x14ac:dyDescent="0.2">
      <c r="B12" s="85" t="s">
        <v>159</v>
      </c>
      <c r="C12" s="103">
        <v>0</v>
      </c>
      <c r="E12" s="194" t="s">
        <v>177</v>
      </c>
      <c r="F12" s="172">
        <f>analysis_period</f>
        <v>0</v>
      </c>
      <c r="G12" s="119"/>
      <c r="H12" s="119"/>
      <c r="I12" s="144"/>
      <c r="J12" s="119"/>
      <c r="M12" s="89"/>
      <c r="N12" s="24"/>
    </row>
    <row r="13" spans="1:48" x14ac:dyDescent="0.2">
      <c r="B13" s="84" t="s">
        <v>137</v>
      </c>
      <c r="C13" s="102">
        <v>0</v>
      </c>
      <c r="E13" s="194" t="s">
        <v>212</v>
      </c>
      <c r="F13" s="106">
        <f>HLOOKUP(analysis_period,'Cash Flow'!B2:AP138,137)</f>
        <v>0</v>
      </c>
      <c r="G13" s="119"/>
      <c r="H13" s="119"/>
      <c r="I13" s="144"/>
      <c r="J13" s="119"/>
      <c r="M13" s="89"/>
      <c r="N13" s="24"/>
    </row>
    <row r="14" spans="1:48" x14ac:dyDescent="0.2">
      <c r="B14" s="35" t="s">
        <v>159</v>
      </c>
      <c r="C14" s="110">
        <v>0</v>
      </c>
      <c r="E14" s="194" t="s">
        <v>251</v>
      </c>
      <c r="F14" s="172">
        <f>-'Cash Flow'!B104</f>
        <v>0</v>
      </c>
      <c r="G14" s="119"/>
      <c r="H14" s="119"/>
      <c r="I14" s="144"/>
      <c r="J14" s="119"/>
      <c r="M14" s="89"/>
      <c r="N14" s="24"/>
    </row>
    <row r="15" spans="1:48" ht="15" x14ac:dyDescent="0.25">
      <c r="B15" s="305"/>
      <c r="C15" s="306"/>
      <c r="D15" s="266"/>
      <c r="E15" s="194" t="s">
        <v>179</v>
      </c>
      <c r="F15" s="172">
        <f>F14-F16</f>
        <v>0</v>
      </c>
      <c r="G15" s="119"/>
      <c r="H15" s="119"/>
      <c r="I15" s="144"/>
      <c r="J15" s="119"/>
      <c r="M15" s="89"/>
      <c r="N15" s="24"/>
    </row>
    <row r="16" spans="1:48" ht="15" x14ac:dyDescent="0.25">
      <c r="B16" s="5" t="s">
        <v>377</v>
      </c>
      <c r="C16" s="107"/>
      <c r="D16" s="266"/>
      <c r="E16" s="194" t="s">
        <v>252</v>
      </c>
      <c r="F16" s="172">
        <f>'Cash Flow'!B601</f>
        <v>0</v>
      </c>
      <c r="G16" s="119"/>
      <c r="H16" s="119"/>
      <c r="I16" s="144"/>
      <c r="J16" s="119"/>
      <c r="M16" s="89"/>
      <c r="N16" s="24"/>
    </row>
    <row r="17" spans="2:14" ht="15" x14ac:dyDescent="0.25">
      <c r="B17" s="308" t="s">
        <v>378</v>
      </c>
      <c r="C17" s="309">
        <v>0</v>
      </c>
      <c r="D17" s="266"/>
      <c r="E17" s="34" t="s">
        <v>383</v>
      </c>
      <c r="F17" s="106">
        <f>'Cash Flow'!B621</f>
        <v>0</v>
      </c>
      <c r="G17" s="119"/>
      <c r="H17" s="119"/>
      <c r="I17" s="144"/>
      <c r="J17" s="119"/>
      <c r="M17" s="89"/>
      <c r="N17" s="24"/>
    </row>
    <row r="18" spans="2:14" ht="15" x14ac:dyDescent="0.25">
      <c r="B18" s="308" t="s">
        <v>379</v>
      </c>
      <c r="C18" s="309">
        <v>0</v>
      </c>
      <c r="D18" s="266"/>
      <c r="E18" s="34" t="s">
        <v>354</v>
      </c>
      <c r="F18" s="106" t="e">
        <f>F16/F14*100</f>
        <v>#DIV/0!</v>
      </c>
      <c r="G18" s="119"/>
      <c r="H18" s="119"/>
      <c r="I18" s="144"/>
      <c r="J18" s="119"/>
      <c r="M18" s="89"/>
      <c r="N18" s="24"/>
    </row>
    <row r="19" spans="2:14" ht="15" x14ac:dyDescent="0.25">
      <c r="B19" s="308" t="s">
        <v>380</v>
      </c>
      <c r="C19" s="309">
        <v>0</v>
      </c>
      <c r="D19" s="266"/>
      <c r="E19" s="119"/>
      <c r="F19" s="119"/>
      <c r="G19" s="119"/>
      <c r="H19" s="119"/>
      <c r="I19" s="144"/>
      <c r="J19" s="119"/>
      <c r="M19" s="89"/>
      <c r="N19" s="24"/>
    </row>
    <row r="20" spans="2:14" x14ac:dyDescent="0.2">
      <c r="G20" s="119"/>
      <c r="H20" s="119"/>
      <c r="I20" s="144"/>
      <c r="J20" s="119"/>
      <c r="M20" s="89"/>
      <c r="N20" s="24"/>
    </row>
    <row r="21" spans="2:14" x14ac:dyDescent="0.2">
      <c r="B21" s="211" t="s">
        <v>200</v>
      </c>
      <c r="C21" s="212"/>
      <c r="G21" s="119"/>
      <c r="H21" s="119"/>
      <c r="I21" s="144"/>
      <c r="J21" s="119"/>
      <c r="M21" s="89"/>
      <c r="N21" s="24"/>
    </row>
    <row r="22" spans="2:14" x14ac:dyDescent="0.2">
      <c r="B22" s="214" t="s">
        <v>204</v>
      </c>
      <c r="C22" s="112"/>
      <c r="G22" s="119"/>
      <c r="H22" s="119"/>
      <c r="I22" s="144"/>
      <c r="J22" s="119"/>
      <c r="M22" s="89"/>
      <c r="N22" s="24"/>
    </row>
    <row r="23" spans="2:14" x14ac:dyDescent="0.2">
      <c r="B23" s="47" t="s">
        <v>201</v>
      </c>
      <c r="C23" s="213">
        <v>0</v>
      </c>
      <c r="G23" s="119"/>
      <c r="H23" s="119"/>
      <c r="I23" s="144"/>
      <c r="J23" s="119"/>
      <c r="M23" s="89"/>
      <c r="N23" s="24"/>
    </row>
    <row r="24" spans="2:14" x14ac:dyDescent="0.2">
      <c r="B24" s="35" t="s">
        <v>224</v>
      </c>
      <c r="C24" s="106">
        <v>0</v>
      </c>
      <c r="G24" s="119"/>
      <c r="H24" s="119"/>
      <c r="I24" s="144"/>
      <c r="J24" s="119"/>
      <c r="M24" s="89"/>
      <c r="N24" s="24"/>
    </row>
    <row r="25" spans="2:14" x14ac:dyDescent="0.2">
      <c r="B25" s="85" t="s">
        <v>202</v>
      </c>
      <c r="C25" s="102">
        <v>0</v>
      </c>
      <c r="G25" s="178"/>
      <c r="H25" s="178"/>
      <c r="I25" s="179"/>
      <c r="J25" s="178"/>
      <c r="M25" s="89"/>
      <c r="N25" s="24"/>
    </row>
    <row r="26" spans="2:14" x14ac:dyDescent="0.2">
      <c r="B26" s="35" t="s">
        <v>203</v>
      </c>
      <c r="C26" s="115">
        <v>0</v>
      </c>
      <c r="I26" s="144"/>
      <c r="J26" s="119"/>
      <c r="M26" s="89"/>
      <c r="N26" s="24"/>
    </row>
    <row r="27" spans="2:14" x14ac:dyDescent="0.2">
      <c r="B27" s="86"/>
      <c r="C27" s="109"/>
      <c r="I27" s="144"/>
      <c r="J27" s="119"/>
      <c r="M27" s="89"/>
    </row>
    <row r="28" spans="2:14" x14ac:dyDescent="0.2">
      <c r="B28" s="211" t="s">
        <v>336</v>
      </c>
      <c r="C28" s="212"/>
      <c r="I28" s="144"/>
      <c r="J28" s="119"/>
      <c r="M28" s="89"/>
      <c r="N28" s="88"/>
    </row>
    <row r="29" spans="2:14" x14ac:dyDescent="0.2">
      <c r="B29" s="262" t="s">
        <v>327</v>
      </c>
      <c r="C29" s="267">
        <v>1</v>
      </c>
      <c r="I29" s="144"/>
      <c r="J29" s="119"/>
      <c r="M29" s="89"/>
      <c r="N29" s="1"/>
    </row>
    <row r="30" spans="2:14" x14ac:dyDescent="0.2">
      <c r="B30" s="262" t="s">
        <v>328</v>
      </c>
      <c r="C30" s="267">
        <v>0</v>
      </c>
      <c r="I30" s="144"/>
      <c r="J30" s="119"/>
      <c r="M30" s="89"/>
      <c r="N30" s="1"/>
    </row>
    <row r="31" spans="2:14" x14ac:dyDescent="0.2">
      <c r="B31" s="262" t="s">
        <v>329</v>
      </c>
      <c r="C31" s="267">
        <v>0</v>
      </c>
      <c r="G31" s="119"/>
      <c r="H31" s="119"/>
      <c r="I31" s="144"/>
      <c r="J31" s="119"/>
      <c r="M31" s="89"/>
      <c r="N31" s="1"/>
    </row>
    <row r="32" spans="2:14" x14ac:dyDescent="0.2">
      <c r="B32" s="262" t="s">
        <v>330</v>
      </c>
      <c r="C32" s="267">
        <v>0</v>
      </c>
      <c r="G32" s="119"/>
      <c r="H32" s="119"/>
      <c r="I32" s="144"/>
      <c r="J32" s="119"/>
      <c r="M32" s="89"/>
      <c r="N32" s="1"/>
    </row>
    <row r="33" spans="2:14" x14ac:dyDescent="0.2">
      <c r="B33" s="262" t="s">
        <v>331</v>
      </c>
      <c r="C33" s="267">
        <v>0</v>
      </c>
      <c r="G33" s="119"/>
      <c r="H33" s="119"/>
      <c r="I33" s="144"/>
      <c r="J33" s="119"/>
      <c r="M33" s="89"/>
      <c r="N33" s="1"/>
    </row>
    <row r="34" spans="2:14" x14ac:dyDescent="0.2">
      <c r="B34" s="262" t="s">
        <v>332</v>
      </c>
      <c r="C34" s="267">
        <v>0</v>
      </c>
      <c r="G34" s="119"/>
      <c r="H34" s="119"/>
      <c r="I34" s="144"/>
      <c r="J34" s="119"/>
      <c r="M34" s="89"/>
      <c r="N34" s="1"/>
    </row>
    <row r="35" spans="2:14" x14ac:dyDescent="0.2">
      <c r="B35" s="86"/>
      <c r="C35" s="17"/>
      <c r="G35" s="119"/>
      <c r="H35" s="119"/>
      <c r="I35" s="144"/>
      <c r="J35" s="119"/>
      <c r="M35" s="89"/>
      <c r="N35" s="1"/>
    </row>
    <row r="36" spans="2:14" x14ac:dyDescent="0.2">
      <c r="B36" s="211" t="s">
        <v>79</v>
      </c>
      <c r="C36" s="212"/>
      <c r="G36" s="119"/>
      <c r="H36" s="119"/>
      <c r="I36" s="144"/>
      <c r="J36" s="119"/>
      <c r="M36" s="89"/>
      <c r="N36" s="1"/>
    </row>
    <row r="37" spans="2:14" x14ac:dyDescent="0.2">
      <c r="B37" s="219" t="s">
        <v>80</v>
      </c>
      <c r="C37" s="220"/>
      <c r="G37" s="119"/>
      <c r="H37" s="119"/>
      <c r="I37" s="144"/>
      <c r="J37" s="119"/>
      <c r="M37" s="89"/>
      <c r="N37" s="1"/>
    </row>
    <row r="38" spans="2:14" x14ac:dyDescent="0.2">
      <c r="B38" s="35" t="s">
        <v>85</v>
      </c>
      <c r="C38" s="174">
        <v>0</v>
      </c>
      <c r="G38" s="119"/>
      <c r="H38" s="119"/>
      <c r="I38" s="144"/>
      <c r="J38" s="119"/>
      <c r="M38" s="89"/>
      <c r="N38" s="1"/>
    </row>
    <row r="39" spans="2:14" x14ac:dyDescent="0.2">
      <c r="B39" s="35" t="s">
        <v>86</v>
      </c>
      <c r="C39" s="110">
        <v>0</v>
      </c>
      <c r="G39" s="119"/>
      <c r="H39" s="119"/>
      <c r="I39" s="144"/>
      <c r="J39" s="119"/>
      <c r="K39" s="12"/>
      <c r="M39" s="89"/>
      <c r="N39" s="1"/>
    </row>
    <row r="40" spans="2:14" x14ac:dyDescent="0.2">
      <c r="B40" s="35" t="s">
        <v>88</v>
      </c>
      <c r="C40" s="113">
        <v>0</v>
      </c>
      <c r="G40" s="180"/>
      <c r="H40" s="119"/>
      <c r="I40" s="144"/>
      <c r="J40" s="119"/>
      <c r="K40" s="29"/>
      <c r="M40" s="89"/>
      <c r="N40" s="1"/>
    </row>
    <row r="41" spans="2:14" x14ac:dyDescent="0.2">
      <c r="B41" s="35" t="s">
        <v>87</v>
      </c>
      <c r="C41" s="114">
        <f>((inflation_rate/100+1)*(real_discount_rate/100+1)-1)*100</f>
        <v>0</v>
      </c>
      <c r="G41" s="119"/>
      <c r="H41" s="119"/>
      <c r="I41" s="144"/>
      <c r="J41" s="119"/>
      <c r="K41" s="29"/>
      <c r="M41" s="89"/>
      <c r="N41" s="1"/>
    </row>
    <row r="42" spans="2:14" x14ac:dyDescent="0.2">
      <c r="B42" s="26" t="s">
        <v>81</v>
      </c>
      <c r="C42" s="112"/>
      <c r="G42" s="119"/>
      <c r="H42" s="119"/>
      <c r="I42" s="144"/>
      <c r="J42" s="119"/>
      <c r="M42" s="89"/>
      <c r="N42" s="1"/>
    </row>
    <row r="43" spans="2:14" x14ac:dyDescent="0.2">
      <c r="B43" s="35" t="s">
        <v>304</v>
      </c>
      <c r="C43" s="261">
        <f>AnnualTaxFederal</f>
        <v>0</v>
      </c>
      <c r="E43" s="190"/>
      <c r="F43" s="144"/>
      <c r="G43" s="119"/>
      <c r="H43" s="119"/>
      <c r="I43" s="144"/>
      <c r="J43" s="119"/>
      <c r="K43" s="12"/>
      <c r="M43" s="89"/>
      <c r="N43" s="1"/>
    </row>
    <row r="44" spans="2:14" x14ac:dyDescent="0.2">
      <c r="B44" s="35" t="s">
        <v>305</v>
      </c>
      <c r="C44" s="261">
        <f>AnnualTaxState</f>
        <v>0</v>
      </c>
      <c r="E44" s="190"/>
      <c r="F44" s="144"/>
      <c r="G44" s="119"/>
      <c r="H44" s="119"/>
      <c r="I44" s="144"/>
      <c r="J44" s="119"/>
      <c r="K44" s="29"/>
      <c r="M44" s="89"/>
      <c r="N44" s="1"/>
    </row>
    <row r="45" spans="2:14" x14ac:dyDescent="0.2">
      <c r="B45" s="35" t="s">
        <v>133</v>
      </c>
      <c r="C45" s="115">
        <v>0</v>
      </c>
      <c r="E45" s="190"/>
      <c r="F45" s="144"/>
      <c r="G45" s="119"/>
      <c r="H45" s="119"/>
      <c r="I45" s="144"/>
      <c r="J45" s="119"/>
      <c r="K45" s="29"/>
      <c r="M45" s="89"/>
      <c r="N45" s="1"/>
    </row>
    <row r="46" spans="2:14" x14ac:dyDescent="0.2">
      <c r="B46" s="35" t="s">
        <v>84</v>
      </c>
      <c r="C46" s="115">
        <v>0</v>
      </c>
      <c r="E46" s="176"/>
      <c r="F46" s="144"/>
      <c r="G46" s="119"/>
      <c r="H46" s="119"/>
      <c r="I46" s="144"/>
      <c r="J46" s="119"/>
      <c r="M46" s="89"/>
      <c r="N46" s="1"/>
    </row>
    <row r="47" spans="2:14" x14ac:dyDescent="0.2">
      <c r="B47" s="37" t="s">
        <v>0</v>
      </c>
      <c r="C47" s="111"/>
      <c r="E47" s="176"/>
      <c r="F47" s="144"/>
      <c r="G47" s="119"/>
      <c r="H47" s="119"/>
      <c r="I47" s="144"/>
      <c r="J47" s="119"/>
      <c r="K47" s="12"/>
      <c r="M47" s="89"/>
      <c r="N47" s="1"/>
    </row>
    <row r="48" spans="2:14" x14ac:dyDescent="0.2">
      <c r="B48" s="36" t="s">
        <v>89</v>
      </c>
      <c r="C48" s="116">
        <v>0</v>
      </c>
      <c r="E48" s="176"/>
      <c r="F48" s="144"/>
      <c r="G48" s="119"/>
      <c r="H48" s="119"/>
      <c r="I48" s="144"/>
      <c r="J48" s="119"/>
      <c r="K48" s="29"/>
      <c r="M48" s="89"/>
      <c r="N48" s="1"/>
    </row>
    <row r="49" spans="2:14" x14ac:dyDescent="0.2">
      <c r="B49" s="36" t="s">
        <v>91</v>
      </c>
      <c r="C49" s="239">
        <f>total_installed_cost*prop_tax_cost_assessed_percent/100</f>
        <v>0</v>
      </c>
      <c r="E49" s="176"/>
      <c r="F49" s="144"/>
      <c r="G49" s="119"/>
      <c r="H49" s="119"/>
      <c r="I49" s="144"/>
      <c r="J49" s="119"/>
      <c r="M49" s="89"/>
      <c r="N49" s="1"/>
    </row>
    <row r="50" spans="2:14" x14ac:dyDescent="0.2">
      <c r="B50" s="36" t="s">
        <v>90</v>
      </c>
      <c r="C50" s="115">
        <v>0</v>
      </c>
      <c r="E50" s="176"/>
      <c r="F50" s="144"/>
      <c r="G50" s="119"/>
      <c r="H50" s="119"/>
      <c r="I50" s="144"/>
      <c r="J50" s="119"/>
      <c r="K50" s="1"/>
      <c r="M50" s="89"/>
      <c r="N50" s="1"/>
    </row>
    <row r="51" spans="2:14" x14ac:dyDescent="0.2">
      <c r="B51" s="36" t="s">
        <v>92</v>
      </c>
      <c r="C51" s="115">
        <v>0</v>
      </c>
      <c r="E51" s="176"/>
      <c r="F51" s="144"/>
      <c r="G51" s="119"/>
      <c r="H51" s="119"/>
      <c r="I51" s="144"/>
      <c r="J51" s="119"/>
      <c r="M51" s="89"/>
      <c r="N51" s="1"/>
    </row>
    <row r="52" spans="2:14" x14ac:dyDescent="0.2">
      <c r="B52" s="26" t="s">
        <v>48</v>
      </c>
      <c r="C52" s="111"/>
      <c r="E52" s="176"/>
      <c r="F52" s="144"/>
      <c r="G52" s="119"/>
      <c r="H52" s="119"/>
      <c r="I52" s="144"/>
      <c r="J52" s="119"/>
      <c r="M52" s="89"/>
      <c r="N52" s="1"/>
    </row>
    <row r="53" spans="2:14" x14ac:dyDescent="0.2">
      <c r="B53" s="34" t="s">
        <v>157</v>
      </c>
      <c r="C53" s="110">
        <v>0</v>
      </c>
      <c r="E53" s="176"/>
      <c r="F53" s="144"/>
      <c r="G53" s="119"/>
      <c r="H53" s="119"/>
      <c r="I53" s="144"/>
      <c r="J53" s="119"/>
      <c r="M53" s="89"/>
      <c r="N53" s="1"/>
    </row>
    <row r="54" spans="2:14" x14ac:dyDescent="0.2">
      <c r="B54" s="34" t="s">
        <v>156</v>
      </c>
      <c r="C54" s="239">
        <f>total_installed_cost*salvage_percentage/100</f>
        <v>0</v>
      </c>
      <c r="G54" s="119"/>
      <c r="H54" s="119"/>
      <c r="I54" s="144"/>
      <c r="J54" s="119"/>
      <c r="M54" s="89"/>
      <c r="N54" s="1"/>
    </row>
    <row r="55" spans="2:14" x14ac:dyDescent="0.2">
      <c r="C55" s="117"/>
      <c r="I55" s="19"/>
      <c r="M55" s="89"/>
      <c r="N55" s="1"/>
    </row>
    <row r="56" spans="2:14" ht="13.5" thickBot="1" x14ac:dyDescent="0.25">
      <c r="B56" s="211" t="s">
        <v>96</v>
      </c>
      <c r="C56" s="212"/>
      <c r="I56" s="19"/>
      <c r="M56" s="89"/>
      <c r="N56" s="1"/>
    </row>
    <row r="57" spans="2:14" x14ac:dyDescent="0.2">
      <c r="B57" s="252" t="s">
        <v>263</v>
      </c>
      <c r="C57" s="253"/>
      <c r="I57" s="19"/>
      <c r="M57" s="89"/>
      <c r="N57" s="1"/>
    </row>
    <row r="58" spans="2:14" x14ac:dyDescent="0.2">
      <c r="B58" s="236" t="s">
        <v>234</v>
      </c>
      <c r="C58" s="268" t="s">
        <v>154</v>
      </c>
      <c r="I58" s="19"/>
      <c r="M58" s="89"/>
      <c r="N58" s="1"/>
    </row>
    <row r="59" spans="2:14" x14ac:dyDescent="0.2">
      <c r="B59" s="236" t="s">
        <v>253</v>
      </c>
      <c r="C59" s="268" t="s">
        <v>255</v>
      </c>
      <c r="I59" s="19"/>
      <c r="M59" s="89"/>
      <c r="N59" s="1"/>
    </row>
    <row r="60" spans="2:14" x14ac:dyDescent="0.2">
      <c r="B60" s="236" t="s">
        <v>235</v>
      </c>
      <c r="C60" s="237">
        <v>0</v>
      </c>
      <c r="I60" s="19"/>
      <c r="M60" s="89"/>
      <c r="N60" s="1"/>
    </row>
    <row r="61" spans="2:14" x14ac:dyDescent="0.2">
      <c r="B61" s="272" t="s">
        <v>351</v>
      </c>
      <c r="C61" s="273" t="s">
        <v>17</v>
      </c>
      <c r="I61" s="19"/>
      <c r="M61" s="89"/>
      <c r="N61" s="1"/>
    </row>
    <row r="62" spans="2:14" x14ac:dyDescent="0.2">
      <c r="B62" s="272" t="s">
        <v>352</v>
      </c>
      <c r="C62" s="273">
        <v>100</v>
      </c>
      <c r="I62" s="19"/>
      <c r="M62" s="89"/>
      <c r="N62" s="1"/>
    </row>
    <row r="63" spans="2:14" ht="13.5" thickBot="1" x14ac:dyDescent="0.25">
      <c r="B63" s="238" t="s">
        <v>266</v>
      </c>
      <c r="C63" s="269" t="s">
        <v>265</v>
      </c>
      <c r="I63" s="19"/>
      <c r="M63" s="89"/>
      <c r="N63" s="1"/>
    </row>
    <row r="64" spans="2:14" x14ac:dyDescent="0.2">
      <c r="B64" s="219" t="s">
        <v>229</v>
      </c>
      <c r="C64" s="213"/>
      <c r="E64" s="117"/>
      <c r="I64" s="19"/>
      <c r="M64" s="89"/>
      <c r="N64" s="1"/>
    </row>
    <row r="65" spans="2:14" x14ac:dyDescent="0.2">
      <c r="B65" s="35" t="s">
        <v>97</v>
      </c>
      <c r="C65" s="174">
        <v>0</v>
      </c>
      <c r="D65" s="81"/>
      <c r="E65" s="117"/>
      <c r="I65" s="19"/>
      <c r="M65" s="89"/>
      <c r="N65" s="1"/>
    </row>
    <row r="66" spans="2:14" x14ac:dyDescent="0.2">
      <c r="B66" s="35" t="s">
        <v>264</v>
      </c>
      <c r="C66" s="174">
        <v>0</v>
      </c>
      <c r="D66" s="81"/>
      <c r="E66" s="117"/>
      <c r="I66" s="19"/>
      <c r="M66" s="89"/>
      <c r="N66" s="1"/>
    </row>
    <row r="67" spans="2:14" x14ac:dyDescent="0.2">
      <c r="B67" s="35" t="s">
        <v>98</v>
      </c>
      <c r="C67" s="115">
        <v>0</v>
      </c>
      <c r="D67" s="81"/>
      <c r="E67" s="117"/>
      <c r="I67" s="19"/>
      <c r="M67" s="89"/>
      <c r="N67" s="1"/>
    </row>
    <row r="68" spans="2:14" x14ac:dyDescent="0.2">
      <c r="B68" s="35" t="s">
        <v>99</v>
      </c>
      <c r="C68" s="105">
        <v>0</v>
      </c>
      <c r="D68" s="81"/>
      <c r="E68" s="148"/>
      <c r="I68" s="19"/>
      <c r="M68" s="89"/>
      <c r="N68" s="1"/>
    </row>
    <row r="69" spans="2:14" x14ac:dyDescent="0.2">
      <c r="B69" s="35" t="s">
        <v>100</v>
      </c>
      <c r="C69" s="115">
        <v>0</v>
      </c>
      <c r="D69" s="81"/>
      <c r="E69" s="148"/>
      <c r="I69" s="19"/>
      <c r="M69" s="89"/>
      <c r="N69" s="1"/>
    </row>
    <row r="70" spans="2:14" x14ac:dyDescent="0.2">
      <c r="B70" s="35" t="s">
        <v>236</v>
      </c>
      <c r="C70" s="197">
        <v>0</v>
      </c>
      <c r="D70" s="24"/>
      <c r="I70" s="19"/>
      <c r="M70" s="89"/>
      <c r="N70" s="1"/>
    </row>
    <row r="71" spans="2:14" x14ac:dyDescent="0.2">
      <c r="C71" s="98"/>
      <c r="I71" s="19"/>
      <c r="M71" s="89"/>
      <c r="N71" s="1"/>
    </row>
    <row r="72" spans="2:14" x14ac:dyDescent="0.2">
      <c r="B72" s="5" t="s">
        <v>101</v>
      </c>
      <c r="C72" s="99"/>
      <c r="I72" s="19"/>
      <c r="M72" s="89"/>
      <c r="N72" s="1"/>
    </row>
    <row r="73" spans="2:14" x14ac:dyDescent="0.2">
      <c r="B73" s="34" t="s">
        <v>398</v>
      </c>
      <c r="C73" s="100">
        <v>0</v>
      </c>
      <c r="I73" s="19"/>
      <c r="M73" s="89"/>
      <c r="N73" s="1"/>
    </row>
    <row r="74" spans="2:14" x14ac:dyDescent="0.2">
      <c r="C74" s="98"/>
      <c r="I74" s="19"/>
      <c r="M74" s="89"/>
      <c r="N74" s="1"/>
    </row>
    <row r="75" spans="2:14" x14ac:dyDescent="0.2">
      <c r="B75" s="5" t="s">
        <v>113</v>
      </c>
      <c r="C75" s="99"/>
      <c r="M75" s="89"/>
      <c r="N75" s="1"/>
    </row>
    <row r="76" spans="2:14" x14ac:dyDescent="0.2">
      <c r="B76" s="34" t="s">
        <v>158</v>
      </c>
      <c r="C76" s="100">
        <v>0</v>
      </c>
      <c r="M76" s="89"/>
      <c r="N76" s="1"/>
    </row>
    <row r="77" spans="2:14" x14ac:dyDescent="0.2">
      <c r="C77" s="101"/>
      <c r="M77" s="89"/>
      <c r="N77" s="1"/>
    </row>
    <row r="78" spans="2:14" x14ac:dyDescent="0.2">
      <c r="B78" s="5" t="s">
        <v>194</v>
      </c>
      <c r="C78" s="7"/>
      <c r="D78" s="7"/>
      <c r="E78" s="7"/>
      <c r="F78" s="7"/>
      <c r="G78" s="7"/>
      <c r="H78" s="7"/>
      <c r="I78" s="6"/>
      <c r="M78" s="89"/>
      <c r="N78" s="1"/>
    </row>
    <row r="79" spans="2:14" ht="25.5" x14ac:dyDescent="0.2">
      <c r="B79" s="34"/>
      <c r="C79" s="209" t="s">
        <v>107</v>
      </c>
      <c r="D79" s="208" t="s">
        <v>108</v>
      </c>
      <c r="E79" s="208" t="s">
        <v>109</v>
      </c>
      <c r="F79" s="208" t="s">
        <v>110</v>
      </c>
      <c r="G79" s="208" t="s">
        <v>23</v>
      </c>
      <c r="H79" s="208" t="s">
        <v>24</v>
      </c>
      <c r="I79" s="208" t="s">
        <v>111</v>
      </c>
      <c r="M79" s="89"/>
      <c r="N79" s="1"/>
    </row>
    <row r="80" spans="2:14" x14ac:dyDescent="0.2">
      <c r="B80" s="34" t="s">
        <v>102</v>
      </c>
      <c r="C80" s="181">
        <v>0</v>
      </c>
      <c r="D80" s="183">
        <v>0</v>
      </c>
      <c r="E80" s="147">
        <v>0</v>
      </c>
      <c r="F80" s="186">
        <v>0</v>
      </c>
      <c r="G80" s="181">
        <f>C80/100*total_installed_cost</f>
        <v>0</v>
      </c>
      <c r="H80" s="181">
        <f>G80*F80/100*E80/12*0.5</f>
        <v>0</v>
      </c>
      <c r="I80" s="181">
        <f>H80+D80/100*G80</f>
        <v>0</v>
      </c>
      <c r="M80" s="89"/>
      <c r="N80" s="1"/>
    </row>
    <row r="81" spans="2:14" x14ac:dyDescent="0.2">
      <c r="B81" s="34" t="s">
        <v>103</v>
      </c>
      <c r="C81" s="181">
        <v>0</v>
      </c>
      <c r="D81" s="183">
        <v>0</v>
      </c>
      <c r="E81" s="147">
        <v>0</v>
      </c>
      <c r="F81" s="186">
        <v>0</v>
      </c>
      <c r="G81" s="181">
        <f>C81/100*total_installed_cost</f>
        <v>0</v>
      </c>
      <c r="H81" s="181">
        <f>G81*F81/100*E81/12*0.5</f>
        <v>0</v>
      </c>
      <c r="I81" s="181">
        <f t="shared" ref="I81:I84" si="0">H81+D81/100*G81</f>
        <v>0</v>
      </c>
      <c r="M81" s="89"/>
      <c r="N81" s="1"/>
    </row>
    <row r="82" spans="2:14" x14ac:dyDescent="0.2">
      <c r="B82" s="34" t="s">
        <v>104</v>
      </c>
      <c r="C82" s="181">
        <v>0</v>
      </c>
      <c r="D82" s="183">
        <v>0</v>
      </c>
      <c r="E82" s="147">
        <v>0</v>
      </c>
      <c r="F82" s="186">
        <v>0</v>
      </c>
      <c r="G82" s="181">
        <f>C82/100*total_installed_cost</f>
        <v>0</v>
      </c>
      <c r="H82" s="181">
        <f>G82*F82/100*E82/12*0.5</f>
        <v>0</v>
      </c>
      <c r="I82" s="181">
        <f t="shared" si="0"/>
        <v>0</v>
      </c>
      <c r="M82" s="89"/>
      <c r="N82" s="1"/>
    </row>
    <row r="83" spans="2:14" x14ac:dyDescent="0.2">
      <c r="B83" s="34" t="s">
        <v>105</v>
      </c>
      <c r="C83" s="181">
        <v>0</v>
      </c>
      <c r="D83" s="183">
        <v>0</v>
      </c>
      <c r="E83" s="147">
        <v>0</v>
      </c>
      <c r="F83" s="186">
        <v>0</v>
      </c>
      <c r="G83" s="181">
        <f>C83/100*total_installed_cost</f>
        <v>0</v>
      </c>
      <c r="H83" s="181">
        <f>G83*F83/100*E83/12*0.5</f>
        <v>0</v>
      </c>
      <c r="I83" s="181">
        <f t="shared" si="0"/>
        <v>0</v>
      </c>
      <c r="M83" s="89"/>
      <c r="N83" s="1"/>
    </row>
    <row r="84" spans="2:14" x14ac:dyDescent="0.2">
      <c r="B84" s="34" t="s">
        <v>106</v>
      </c>
      <c r="C84" s="182">
        <v>0</v>
      </c>
      <c r="D84" s="184">
        <v>0</v>
      </c>
      <c r="E84" s="185">
        <v>0</v>
      </c>
      <c r="F84" s="187">
        <v>0</v>
      </c>
      <c r="G84" s="181">
        <f>C84/100*total_installed_cost</f>
        <v>0</v>
      </c>
      <c r="H84" s="181">
        <f>G84*F84/100*E84/12*0.5</f>
        <v>0</v>
      </c>
      <c r="I84" s="181">
        <f t="shared" si="0"/>
        <v>0</v>
      </c>
      <c r="M84" s="89"/>
      <c r="N84" s="1"/>
    </row>
    <row r="85" spans="2:14" x14ac:dyDescent="0.2">
      <c r="B85" s="38" t="s">
        <v>112</v>
      </c>
      <c r="C85" s="39"/>
      <c r="D85" s="27"/>
      <c r="E85" s="27"/>
      <c r="F85" s="40"/>
      <c r="G85" s="41">
        <f>SUM(G80:G84)</f>
        <v>0</v>
      </c>
      <c r="H85" s="42">
        <f>SUM(H80:H84)</f>
        <v>0</v>
      </c>
      <c r="I85" s="43">
        <f>SUM(I80:I84)</f>
        <v>0</v>
      </c>
      <c r="M85" s="89"/>
      <c r="N85" s="1"/>
    </row>
    <row r="86" spans="2:14" x14ac:dyDescent="0.2">
      <c r="C86" s="101"/>
      <c r="M86" s="89"/>
      <c r="N86" s="1"/>
    </row>
    <row r="87" spans="2:14" x14ac:dyDescent="0.2">
      <c r="B87" s="5" t="s">
        <v>114</v>
      </c>
      <c r="C87" s="7"/>
      <c r="D87" s="7"/>
      <c r="E87" s="7"/>
      <c r="F87" s="149"/>
      <c r="M87" s="89"/>
      <c r="N87" s="1"/>
    </row>
    <row r="88" spans="2:14" x14ac:dyDescent="0.2">
      <c r="B88" s="34" t="s">
        <v>115</v>
      </c>
      <c r="C88" s="118">
        <v>0</v>
      </c>
      <c r="F88" s="149"/>
      <c r="M88" s="89"/>
      <c r="N88" s="1"/>
    </row>
    <row r="89" spans="2:14" x14ac:dyDescent="0.2">
      <c r="B89" s="34" t="s">
        <v>124</v>
      </c>
      <c r="C89" s="118">
        <v>0</v>
      </c>
      <c r="F89" s="149"/>
      <c r="M89" s="89"/>
      <c r="N89" s="1"/>
    </row>
    <row r="90" spans="2:14" x14ac:dyDescent="0.2">
      <c r="B90" s="9" t="s">
        <v>116</v>
      </c>
      <c r="C90" s="118">
        <v>0</v>
      </c>
      <c r="F90" s="149"/>
      <c r="M90" s="89"/>
      <c r="N90" s="1"/>
    </row>
    <row r="91" spans="2:14" x14ac:dyDescent="0.2">
      <c r="B91" s="9" t="s">
        <v>284</v>
      </c>
      <c r="C91" s="118">
        <v>0</v>
      </c>
      <c r="F91" s="149"/>
      <c r="M91" s="89"/>
      <c r="N91" s="1"/>
    </row>
    <row r="92" spans="2:14" x14ac:dyDescent="0.2">
      <c r="B92" s="34" t="s">
        <v>117</v>
      </c>
      <c r="C92" s="96" t="s">
        <v>169</v>
      </c>
      <c r="D92" s="208" t="s">
        <v>121</v>
      </c>
      <c r="E92" s="222" t="s">
        <v>122</v>
      </c>
      <c r="F92" s="149"/>
      <c r="M92" s="89"/>
      <c r="N92" s="1"/>
    </row>
    <row r="93" spans="2:14" x14ac:dyDescent="0.2">
      <c r="B93" s="47" t="s">
        <v>118</v>
      </c>
      <c r="C93" s="118">
        <v>0</v>
      </c>
      <c r="D93" s="239">
        <f>C93*system_capacity*1000</f>
        <v>0</v>
      </c>
      <c r="E93" s="223">
        <v>0</v>
      </c>
      <c r="F93" s="149"/>
      <c r="M93" s="89"/>
      <c r="N93" s="1"/>
    </row>
    <row r="94" spans="2:14" x14ac:dyDescent="0.2">
      <c r="B94" s="35" t="s">
        <v>120</v>
      </c>
      <c r="C94" s="118">
        <v>0</v>
      </c>
      <c r="D94" s="239">
        <f>C94*system_capacity*1000</f>
        <v>0</v>
      </c>
      <c r="E94" s="223">
        <v>0</v>
      </c>
      <c r="F94" s="149"/>
      <c r="M94" s="89"/>
      <c r="N94" s="1"/>
    </row>
    <row r="95" spans="2:14" x14ac:dyDescent="0.2">
      <c r="B95" s="57" t="s">
        <v>119</v>
      </c>
      <c r="C95" s="118">
        <v>0</v>
      </c>
      <c r="D95" s="239">
        <f>C95*system_capacity*1000</f>
        <v>0</v>
      </c>
      <c r="E95" s="223">
        <v>0</v>
      </c>
      <c r="F95" s="149"/>
      <c r="M95" s="89"/>
      <c r="N95" s="1"/>
    </row>
    <row r="96" spans="2:14" x14ac:dyDescent="0.2">
      <c r="B96" s="37" t="s">
        <v>123</v>
      </c>
      <c r="C96" s="28"/>
      <c r="D96" s="188"/>
      <c r="E96" s="188"/>
      <c r="F96" s="149"/>
      <c r="M96" s="89"/>
      <c r="N96" s="1"/>
    </row>
    <row r="97" spans="2:14" x14ac:dyDescent="0.2">
      <c r="B97" s="45" t="s">
        <v>4</v>
      </c>
      <c r="C97" s="221" t="s">
        <v>42</v>
      </c>
      <c r="D97" s="149"/>
      <c r="F97" s="149"/>
      <c r="M97" s="89"/>
      <c r="N97" s="1"/>
    </row>
    <row r="98" spans="2:14" x14ac:dyDescent="0.2">
      <c r="B98" s="45" t="s">
        <v>5</v>
      </c>
      <c r="C98" s="221" t="s">
        <v>42</v>
      </c>
      <c r="D98" s="224"/>
      <c r="E98" s="225"/>
      <c r="F98" s="149"/>
      <c r="M98" s="89"/>
      <c r="N98" s="1"/>
    </row>
    <row r="99" spans="2:14" x14ac:dyDescent="0.2">
      <c r="M99" s="89"/>
      <c r="N99" s="1"/>
    </row>
    <row r="100" spans="2:14" x14ac:dyDescent="0.2">
      <c r="B100" s="5" t="s">
        <v>125</v>
      </c>
      <c r="C100" s="7"/>
      <c r="D100" s="7"/>
      <c r="E100" s="7"/>
      <c r="F100" s="6"/>
      <c r="M100" s="89"/>
      <c r="N100" s="1"/>
    </row>
    <row r="101" spans="2:14" x14ac:dyDescent="0.2">
      <c r="B101" s="26" t="s">
        <v>2</v>
      </c>
      <c r="C101" s="27"/>
      <c r="D101" s="48"/>
      <c r="E101" s="325" t="s">
        <v>223</v>
      </c>
      <c r="F101" s="326"/>
      <c r="M101" s="89"/>
      <c r="N101" s="1"/>
    </row>
    <row r="102" spans="2:14" x14ac:dyDescent="0.2">
      <c r="B102" s="47" t="s">
        <v>127</v>
      </c>
      <c r="C102" s="8" t="s">
        <v>191</v>
      </c>
      <c r="D102" s="56"/>
      <c r="E102" s="208" t="s">
        <v>4</v>
      </c>
      <c r="F102" s="208" t="s">
        <v>5</v>
      </c>
      <c r="M102" s="89"/>
      <c r="N102" s="1"/>
    </row>
    <row r="103" spans="2:14" x14ac:dyDescent="0.2">
      <c r="B103" s="46" t="s">
        <v>128</v>
      </c>
      <c r="C103" s="132">
        <f>SUM($D$172:$AQ$172)</f>
        <v>0</v>
      </c>
      <c r="D103" s="30"/>
      <c r="E103" s="10" t="s">
        <v>16</v>
      </c>
      <c r="F103" s="10" t="s">
        <v>16</v>
      </c>
      <c r="M103" s="89"/>
      <c r="N103" s="1"/>
    </row>
    <row r="104" spans="2:14" x14ac:dyDescent="0.2">
      <c r="B104" s="46" t="s">
        <v>129</v>
      </c>
      <c r="C104" s="132">
        <f>SUM($D$173:$AQ$173)</f>
        <v>0</v>
      </c>
      <c r="D104" s="49"/>
      <c r="E104" s="55" t="s">
        <v>17</v>
      </c>
      <c r="F104" s="52" t="s">
        <v>17</v>
      </c>
      <c r="M104" s="89"/>
      <c r="N104" s="1"/>
    </row>
    <row r="105" spans="2:14" x14ac:dyDescent="0.2">
      <c r="B105" s="45" t="s">
        <v>132</v>
      </c>
      <c r="C105" s="10" t="s">
        <v>7</v>
      </c>
      <c r="D105" s="13" t="s">
        <v>151</v>
      </c>
      <c r="E105" s="53"/>
      <c r="F105" s="51"/>
      <c r="M105" s="89"/>
      <c r="N105" s="1"/>
    </row>
    <row r="106" spans="2:14" x14ac:dyDescent="0.2">
      <c r="B106" s="46" t="s">
        <v>130</v>
      </c>
      <c r="C106" s="96">
        <f>SUM($D$174:$AQ$174)</f>
        <v>0</v>
      </c>
      <c r="D106" s="44">
        <f>SUM($D$175:$AQ$175)</f>
        <v>0</v>
      </c>
      <c r="E106" s="50" t="s">
        <v>16</v>
      </c>
      <c r="F106" s="50" t="s">
        <v>16</v>
      </c>
      <c r="M106" s="89"/>
      <c r="N106" s="1"/>
    </row>
    <row r="107" spans="2:14" ht="13.5" thickBot="1" x14ac:dyDescent="0.25">
      <c r="B107" s="74" t="s">
        <v>131</v>
      </c>
      <c r="C107" s="251">
        <f>SUM($D$176:$AQ$176)</f>
        <v>0</v>
      </c>
      <c r="D107" s="234">
        <f>SUM($D$177:$AQ$177)</f>
        <v>0</v>
      </c>
      <c r="E107" s="61" t="s">
        <v>17</v>
      </c>
      <c r="F107" s="61" t="s">
        <v>17</v>
      </c>
      <c r="M107" s="89"/>
      <c r="N107" s="1"/>
    </row>
    <row r="108" spans="2:14" x14ac:dyDescent="0.2">
      <c r="B108" s="75" t="s">
        <v>6</v>
      </c>
      <c r="C108" s="249" t="s">
        <v>9</v>
      </c>
      <c r="D108" s="250" t="s">
        <v>192</v>
      </c>
      <c r="E108" s="13" t="s">
        <v>190</v>
      </c>
      <c r="F108" s="149"/>
      <c r="M108" s="89"/>
      <c r="N108" s="1"/>
    </row>
    <row r="109" spans="2:14" x14ac:dyDescent="0.2">
      <c r="B109" s="45" t="s">
        <v>4</v>
      </c>
      <c r="C109" s="274">
        <v>0</v>
      </c>
      <c r="D109" s="133">
        <v>0</v>
      </c>
      <c r="E109" s="248">
        <v>0</v>
      </c>
      <c r="F109" s="149"/>
      <c r="M109" s="89"/>
      <c r="N109" s="1"/>
    </row>
    <row r="110" spans="2:14" x14ac:dyDescent="0.2">
      <c r="B110" s="45" t="s">
        <v>5</v>
      </c>
      <c r="C110" s="274">
        <v>0</v>
      </c>
      <c r="D110" s="133">
        <v>0</v>
      </c>
      <c r="E110" s="248">
        <v>0</v>
      </c>
      <c r="F110" s="149"/>
      <c r="M110" s="89"/>
      <c r="N110" s="1"/>
    </row>
    <row r="111" spans="2:14" x14ac:dyDescent="0.2">
      <c r="B111" s="21"/>
      <c r="C111" s="11"/>
      <c r="D111" s="12"/>
      <c r="M111" s="89"/>
      <c r="N111" s="1"/>
    </row>
    <row r="112" spans="2:14" x14ac:dyDescent="0.2">
      <c r="B112" s="211" t="s">
        <v>126</v>
      </c>
      <c r="C112" s="228"/>
      <c r="D112" s="228"/>
      <c r="E112" s="228"/>
      <c r="F112" s="228"/>
      <c r="G112" s="228"/>
      <c r="H112" s="229"/>
      <c r="I112" s="32"/>
      <c r="M112" s="89"/>
    </row>
    <row r="113" spans="2:14" x14ac:dyDescent="0.2">
      <c r="B113" s="26" t="s">
        <v>15</v>
      </c>
      <c r="C113" s="27"/>
      <c r="D113" s="27"/>
      <c r="E113" s="66"/>
      <c r="F113" s="66"/>
      <c r="G113" s="66"/>
      <c r="H113" s="51"/>
      <c r="M113" s="89"/>
    </row>
    <row r="114" spans="2:14" x14ac:dyDescent="0.2">
      <c r="B114" s="71" t="s">
        <v>127</v>
      </c>
      <c r="C114" s="8" t="s">
        <v>191</v>
      </c>
      <c r="D114" s="226"/>
      <c r="E114" s="54" t="s">
        <v>215</v>
      </c>
      <c r="F114" s="50" t="s">
        <v>216</v>
      </c>
      <c r="G114" s="50" t="s">
        <v>217</v>
      </c>
      <c r="H114" s="50" t="s">
        <v>218</v>
      </c>
      <c r="K114" s="65"/>
      <c r="M114" s="89"/>
      <c r="N114" s="65"/>
    </row>
    <row r="115" spans="2:14" x14ac:dyDescent="0.2">
      <c r="B115" s="46" t="s">
        <v>128</v>
      </c>
      <c r="C115" s="134">
        <v>0</v>
      </c>
      <c r="D115" s="227"/>
      <c r="E115" s="62" t="s">
        <v>16</v>
      </c>
      <c r="F115" s="62" t="s">
        <v>16</v>
      </c>
      <c r="G115" s="10" t="s">
        <v>17</v>
      </c>
      <c r="H115" s="10" t="s">
        <v>17</v>
      </c>
      <c r="M115" s="89"/>
    </row>
    <row r="116" spans="2:14" x14ac:dyDescent="0.2">
      <c r="B116" s="46" t="s">
        <v>129</v>
      </c>
      <c r="C116" s="134">
        <v>0</v>
      </c>
      <c r="D116" s="227"/>
      <c r="E116" s="62" t="s">
        <v>16</v>
      </c>
      <c r="F116" s="62" t="s">
        <v>16</v>
      </c>
      <c r="G116" s="10" t="s">
        <v>17</v>
      </c>
      <c r="H116" s="10" t="s">
        <v>17</v>
      </c>
      <c r="M116" s="89"/>
    </row>
    <row r="117" spans="2:14" x14ac:dyDescent="0.2">
      <c r="B117" s="46" t="s">
        <v>138</v>
      </c>
      <c r="C117" s="134">
        <v>0</v>
      </c>
      <c r="D117" s="227"/>
      <c r="E117" s="62" t="s">
        <v>16</v>
      </c>
      <c r="F117" s="62" t="s">
        <v>16</v>
      </c>
      <c r="G117" s="62" t="s">
        <v>17</v>
      </c>
      <c r="H117" s="10" t="s">
        <v>17</v>
      </c>
      <c r="M117" s="89"/>
    </row>
    <row r="118" spans="2:14" x14ac:dyDescent="0.2">
      <c r="B118" s="72" t="s">
        <v>139</v>
      </c>
      <c r="C118" s="135">
        <v>0</v>
      </c>
      <c r="D118" s="227"/>
      <c r="E118" s="62" t="s">
        <v>16</v>
      </c>
      <c r="F118" s="62" t="s">
        <v>16</v>
      </c>
      <c r="G118" s="52" t="s">
        <v>17</v>
      </c>
      <c r="H118" s="52" t="s">
        <v>17</v>
      </c>
      <c r="M118" s="89"/>
    </row>
    <row r="119" spans="2:14" x14ac:dyDescent="0.2">
      <c r="B119" s="45" t="s">
        <v>132</v>
      </c>
      <c r="C119" s="63" t="s">
        <v>7</v>
      </c>
      <c r="D119" s="10" t="s">
        <v>151</v>
      </c>
      <c r="E119" s="64"/>
      <c r="F119" s="67"/>
      <c r="G119" s="67"/>
      <c r="H119" s="62"/>
      <c r="I119" s="32"/>
      <c r="K119" s="1"/>
      <c r="M119" s="89"/>
      <c r="N119" s="1"/>
    </row>
    <row r="120" spans="2:14" x14ac:dyDescent="0.2">
      <c r="B120" s="46" t="s">
        <v>130</v>
      </c>
      <c r="C120" s="96">
        <v>0</v>
      </c>
      <c r="D120" s="44">
        <v>9.9999999999999998E+37</v>
      </c>
      <c r="E120" s="62" t="s">
        <v>16</v>
      </c>
      <c r="F120" s="62" t="s">
        <v>16</v>
      </c>
      <c r="G120" s="10" t="s">
        <v>17</v>
      </c>
      <c r="H120" s="62" t="s">
        <v>17</v>
      </c>
      <c r="M120" s="1"/>
    </row>
    <row r="121" spans="2:14" x14ac:dyDescent="0.2">
      <c r="B121" s="46" t="s">
        <v>131</v>
      </c>
      <c r="C121" s="96">
        <v>0</v>
      </c>
      <c r="D121" s="44">
        <v>9.9999999999999998E+37</v>
      </c>
      <c r="E121" s="62" t="s">
        <v>16</v>
      </c>
      <c r="F121" s="62" t="s">
        <v>16</v>
      </c>
      <c r="G121" s="10" t="s">
        <v>17</v>
      </c>
      <c r="H121" s="10" t="s">
        <v>17</v>
      </c>
      <c r="M121" s="1"/>
    </row>
    <row r="122" spans="2:14" x14ac:dyDescent="0.2">
      <c r="B122" s="46" t="s">
        <v>140</v>
      </c>
      <c r="C122" s="96">
        <v>0</v>
      </c>
      <c r="D122" s="44">
        <v>9.9999999999999998E+37</v>
      </c>
      <c r="E122" s="62" t="s">
        <v>16</v>
      </c>
      <c r="F122" s="62" t="s">
        <v>16</v>
      </c>
      <c r="G122" s="10" t="s">
        <v>17</v>
      </c>
      <c r="H122" s="10" t="s">
        <v>17</v>
      </c>
      <c r="M122" s="1"/>
    </row>
    <row r="123" spans="2:14" ht="13.5" thickBot="1" x14ac:dyDescent="0.25">
      <c r="B123" s="74" t="s">
        <v>141</v>
      </c>
      <c r="C123" s="136">
        <v>0</v>
      </c>
      <c r="D123" s="234">
        <v>9.9999999999999998E+37</v>
      </c>
      <c r="E123" s="61" t="s">
        <v>16</v>
      </c>
      <c r="F123" s="233" t="s">
        <v>16</v>
      </c>
      <c r="G123" s="61" t="s">
        <v>17</v>
      </c>
      <c r="H123" s="61" t="s">
        <v>17</v>
      </c>
      <c r="M123" s="1"/>
    </row>
    <row r="124" spans="2:14" x14ac:dyDescent="0.2">
      <c r="B124" s="73" t="s">
        <v>35</v>
      </c>
      <c r="C124" s="70" t="s">
        <v>146</v>
      </c>
      <c r="D124" s="50" t="s">
        <v>151</v>
      </c>
      <c r="E124" s="230"/>
      <c r="F124" s="231"/>
      <c r="G124" s="231"/>
      <c r="H124" s="232"/>
      <c r="K124" s="58"/>
      <c r="L124" s="58"/>
      <c r="M124" s="1"/>
      <c r="N124" s="58"/>
    </row>
    <row r="125" spans="2:14" x14ac:dyDescent="0.2">
      <c r="B125" s="45" t="s">
        <v>142</v>
      </c>
      <c r="C125" s="105">
        <v>0</v>
      </c>
      <c r="D125" s="44">
        <v>9.9999999999999998E+37</v>
      </c>
      <c r="E125" s="62" t="s">
        <v>16</v>
      </c>
      <c r="F125" s="62" t="s">
        <v>16</v>
      </c>
      <c r="G125" s="10" t="s">
        <v>17</v>
      </c>
      <c r="H125" s="64" t="s">
        <v>17</v>
      </c>
      <c r="I125" s="149"/>
      <c r="M125" s="1"/>
    </row>
    <row r="126" spans="2:14" x14ac:dyDescent="0.2">
      <c r="B126" s="45" t="s">
        <v>143</v>
      </c>
      <c r="C126" s="105">
        <v>0</v>
      </c>
      <c r="D126" s="44">
        <v>9.9999999999999998E+37</v>
      </c>
      <c r="E126" s="62" t="s">
        <v>16</v>
      </c>
      <c r="F126" s="62" t="s">
        <v>16</v>
      </c>
      <c r="G126" s="62" t="s">
        <v>17</v>
      </c>
      <c r="H126" s="62" t="s">
        <v>17</v>
      </c>
      <c r="M126" s="1"/>
    </row>
    <row r="127" spans="2:14" x14ac:dyDescent="0.2">
      <c r="B127" s="45" t="s">
        <v>144</v>
      </c>
      <c r="C127" s="105">
        <v>0</v>
      </c>
      <c r="D127" s="44">
        <v>9.9999999999999998E+37</v>
      </c>
      <c r="E127" s="62" t="s">
        <v>16</v>
      </c>
      <c r="F127" s="62" t="s">
        <v>16</v>
      </c>
      <c r="G127" s="10" t="s">
        <v>17</v>
      </c>
      <c r="H127" s="10" t="s">
        <v>17</v>
      </c>
      <c r="M127" s="1"/>
    </row>
    <row r="128" spans="2:14" ht="13.5" thickBot="1" x14ac:dyDescent="0.25">
      <c r="B128" s="77" t="s">
        <v>145</v>
      </c>
      <c r="C128" s="137">
        <v>0</v>
      </c>
      <c r="D128" s="234">
        <v>9.9999999999999998E+37</v>
      </c>
      <c r="E128" s="61" t="s">
        <v>16</v>
      </c>
      <c r="F128" s="233" t="s">
        <v>16</v>
      </c>
      <c r="G128" s="61" t="s">
        <v>17</v>
      </c>
      <c r="H128" s="61" t="s">
        <v>17</v>
      </c>
      <c r="M128" s="1"/>
    </row>
    <row r="129" spans="2:14" x14ac:dyDescent="0.2">
      <c r="B129" s="75" t="s">
        <v>32</v>
      </c>
      <c r="C129" s="70" t="s">
        <v>9</v>
      </c>
      <c r="D129" s="50" t="s">
        <v>192</v>
      </c>
      <c r="E129" s="50" t="s">
        <v>190</v>
      </c>
      <c r="F129" s="50" t="s">
        <v>215</v>
      </c>
      <c r="G129" s="50" t="s">
        <v>216</v>
      </c>
      <c r="H129" s="76" t="s">
        <v>214</v>
      </c>
      <c r="I129" s="1"/>
      <c r="J129" s="1"/>
      <c r="K129" s="1"/>
      <c r="L129" s="58"/>
      <c r="M129" s="1"/>
      <c r="N129" s="1"/>
    </row>
    <row r="130" spans="2:14" x14ac:dyDescent="0.2">
      <c r="B130" s="45" t="s">
        <v>147</v>
      </c>
      <c r="C130" s="105">
        <v>0</v>
      </c>
      <c r="D130" s="138">
        <v>0</v>
      </c>
      <c r="E130" s="96">
        <v>0</v>
      </c>
      <c r="F130" s="62" t="s">
        <v>16</v>
      </c>
      <c r="G130" s="62" t="s">
        <v>16</v>
      </c>
      <c r="H130" s="95" t="s">
        <v>17</v>
      </c>
      <c r="I130" s="1"/>
      <c r="J130" s="1"/>
      <c r="K130" s="1"/>
      <c r="M130" s="1"/>
      <c r="N130" s="1"/>
    </row>
    <row r="131" spans="2:14" x14ac:dyDescent="0.2">
      <c r="B131" s="45" t="s">
        <v>148</v>
      </c>
      <c r="C131" s="105">
        <v>0</v>
      </c>
      <c r="D131" s="138">
        <v>0</v>
      </c>
      <c r="E131" s="96">
        <v>0</v>
      </c>
      <c r="F131" s="10" t="s">
        <v>16</v>
      </c>
      <c r="G131" s="62" t="s">
        <v>16</v>
      </c>
      <c r="H131" s="95" t="s">
        <v>17</v>
      </c>
      <c r="I131" s="1"/>
      <c r="J131" s="1"/>
      <c r="K131" s="1"/>
      <c r="M131" s="1"/>
      <c r="N131" s="1"/>
    </row>
    <row r="132" spans="2:14" x14ac:dyDescent="0.2">
      <c r="B132" s="45" t="s">
        <v>149</v>
      </c>
      <c r="C132" s="105">
        <v>0</v>
      </c>
      <c r="D132" s="138">
        <v>0</v>
      </c>
      <c r="E132" s="96">
        <v>0</v>
      </c>
      <c r="F132" s="62" t="s">
        <v>16</v>
      </c>
      <c r="G132" s="62" t="s">
        <v>16</v>
      </c>
      <c r="H132" s="95" t="s">
        <v>17</v>
      </c>
      <c r="I132" s="1"/>
      <c r="J132" s="1"/>
      <c r="K132" s="1"/>
      <c r="L132" s="1"/>
      <c r="M132" s="1"/>
      <c r="N132" s="1"/>
    </row>
    <row r="133" spans="2:14" x14ac:dyDescent="0.2">
      <c r="B133" s="45" t="s">
        <v>150</v>
      </c>
      <c r="C133" s="105">
        <v>0</v>
      </c>
      <c r="D133" s="138">
        <v>0</v>
      </c>
      <c r="E133" s="96">
        <v>0</v>
      </c>
      <c r="F133" s="62" t="s">
        <v>16</v>
      </c>
      <c r="G133" s="62" t="s">
        <v>16</v>
      </c>
      <c r="H133" s="62" t="s">
        <v>17</v>
      </c>
      <c r="L133" s="1"/>
    </row>
    <row r="134" spans="2:14" x14ac:dyDescent="0.2">
      <c r="B134" s="21"/>
      <c r="C134" s="59"/>
      <c r="D134" s="29"/>
      <c r="E134" s="31"/>
      <c r="F134" s="58"/>
      <c r="G134" s="58"/>
      <c r="H134" s="58"/>
      <c r="L134" s="1"/>
    </row>
    <row r="135" spans="2:14" x14ac:dyDescent="0.2">
      <c r="B135" s="5" t="s">
        <v>153</v>
      </c>
      <c r="C135" s="7"/>
      <c r="D135" s="7"/>
      <c r="E135" s="7"/>
      <c r="F135" s="7"/>
      <c r="G135" s="6"/>
      <c r="H135" s="32"/>
    </row>
    <row r="136" spans="2:14" ht="12.75" customHeight="1" x14ac:dyDescent="0.2">
      <c r="B136" s="34" t="s">
        <v>152</v>
      </c>
      <c r="C136" s="63" t="s">
        <v>193</v>
      </c>
      <c r="D136" s="63" t="s">
        <v>221</v>
      </c>
      <c r="E136" s="63" t="s">
        <v>222</v>
      </c>
      <c r="F136" s="63" t="s">
        <v>219</v>
      </c>
      <c r="G136" s="63" t="s">
        <v>220</v>
      </c>
      <c r="H136" s="32"/>
      <c r="I136" s="68"/>
    </row>
    <row r="137" spans="2:14" x14ac:dyDescent="0.2">
      <c r="B137" s="45" t="s">
        <v>42</v>
      </c>
      <c r="C137" s="96">
        <v>0</v>
      </c>
      <c r="D137" s="62" t="s">
        <v>17</v>
      </c>
      <c r="E137" s="62" t="s">
        <v>17</v>
      </c>
      <c r="F137" s="62" t="s">
        <v>17</v>
      </c>
      <c r="G137" s="62" t="s">
        <v>17</v>
      </c>
      <c r="H137" s="1"/>
    </row>
    <row r="138" spans="2:14" ht="12.75" customHeight="1" x14ac:dyDescent="0.2">
      <c r="B138" s="45" t="s">
        <v>43</v>
      </c>
      <c r="C138" s="96">
        <v>0</v>
      </c>
      <c r="D138" s="62" t="s">
        <v>17</v>
      </c>
      <c r="E138" s="10" t="s">
        <v>17</v>
      </c>
      <c r="F138" s="10" t="s">
        <v>17</v>
      </c>
      <c r="G138" s="10" t="s">
        <v>17</v>
      </c>
      <c r="H138" s="1"/>
    </row>
    <row r="139" spans="2:14" x14ac:dyDescent="0.2">
      <c r="B139" s="45" t="s">
        <v>44</v>
      </c>
      <c r="C139" s="96">
        <v>0</v>
      </c>
      <c r="D139" s="62" t="s">
        <v>17</v>
      </c>
      <c r="E139" s="10" t="s">
        <v>17</v>
      </c>
      <c r="F139" s="10" t="s">
        <v>17</v>
      </c>
      <c r="G139" s="10" t="s">
        <v>17</v>
      </c>
      <c r="H139" s="1"/>
    </row>
    <row r="140" spans="2:14" x14ac:dyDescent="0.2">
      <c r="B140" s="45" t="s">
        <v>45</v>
      </c>
      <c r="C140" s="96">
        <v>0</v>
      </c>
      <c r="D140" s="10" t="s">
        <v>17</v>
      </c>
      <c r="E140" s="10" t="s">
        <v>17</v>
      </c>
      <c r="F140" s="10" t="s">
        <v>17</v>
      </c>
      <c r="G140" s="10" t="s">
        <v>17</v>
      </c>
      <c r="H140" s="1"/>
    </row>
    <row r="141" spans="2:14" x14ac:dyDescent="0.2">
      <c r="B141" s="45" t="s">
        <v>46</v>
      </c>
      <c r="C141" s="96">
        <v>0</v>
      </c>
      <c r="D141" s="10" t="s">
        <v>17</v>
      </c>
      <c r="E141" s="10" t="s">
        <v>17</v>
      </c>
      <c r="F141" s="10" t="s">
        <v>17</v>
      </c>
      <c r="G141" s="10" t="s">
        <v>17</v>
      </c>
      <c r="H141" s="1"/>
    </row>
    <row r="142" spans="2:14" x14ac:dyDescent="0.2">
      <c r="B142" s="45" t="s">
        <v>47</v>
      </c>
      <c r="C142" s="96">
        <v>0</v>
      </c>
      <c r="D142" s="52" t="s">
        <v>17</v>
      </c>
      <c r="E142" s="52" t="s">
        <v>17</v>
      </c>
      <c r="F142" s="52" t="s">
        <v>17</v>
      </c>
      <c r="G142" s="52" t="s">
        <v>17</v>
      </c>
      <c r="H142" s="1"/>
    </row>
    <row r="143" spans="2:14" x14ac:dyDescent="0.2">
      <c r="B143" s="45" t="s">
        <v>299</v>
      </c>
      <c r="C143" s="248">
        <v>0</v>
      </c>
      <c r="D143" s="52" t="s">
        <v>17</v>
      </c>
      <c r="E143" s="52" t="s">
        <v>17</v>
      </c>
      <c r="F143" s="10" t="s">
        <v>17</v>
      </c>
      <c r="G143" s="10" t="s">
        <v>17</v>
      </c>
      <c r="H143" s="1"/>
    </row>
    <row r="144" spans="2:14" ht="12" customHeight="1" x14ac:dyDescent="0.2">
      <c r="B144" s="45" t="s">
        <v>171</v>
      </c>
      <c r="C144" s="141">
        <f>100-C145</f>
        <v>100</v>
      </c>
      <c r="D144" s="189">
        <v>0</v>
      </c>
      <c r="E144" s="189">
        <v>0</v>
      </c>
      <c r="F144" s="188"/>
      <c r="G144" s="188"/>
      <c r="H144" s="1"/>
    </row>
    <row r="145" spans="2:43" x14ac:dyDescent="0.2">
      <c r="B145" s="45" t="s">
        <v>12</v>
      </c>
      <c r="C145" s="141">
        <f>SUM(C137:C143)</f>
        <v>0</v>
      </c>
      <c r="D145" s="149"/>
      <c r="G145" s="24"/>
      <c r="H145" s="1"/>
    </row>
    <row r="146" spans="2:43" x14ac:dyDescent="0.2">
      <c r="E146" s="69"/>
    </row>
    <row r="147" spans="2:43" x14ac:dyDescent="0.2">
      <c r="B147" s="5" t="s">
        <v>312</v>
      </c>
      <c r="C147" s="245">
        <v>0</v>
      </c>
      <c r="D147" s="245">
        <f>C147+1</f>
        <v>1</v>
      </c>
      <c r="E147" s="245">
        <f>D147+1</f>
        <v>2</v>
      </c>
      <c r="F147" s="245">
        <f t="shared" ref="F147:AQ147" si="1">E147+1</f>
        <v>3</v>
      </c>
      <c r="G147" s="245">
        <f>F147+1</f>
        <v>4</v>
      </c>
      <c r="H147" s="245">
        <f t="shared" si="1"/>
        <v>5</v>
      </c>
      <c r="I147" s="245">
        <f t="shared" si="1"/>
        <v>6</v>
      </c>
      <c r="J147" s="245">
        <f t="shared" si="1"/>
        <v>7</v>
      </c>
      <c r="K147" s="245">
        <f t="shared" si="1"/>
        <v>8</v>
      </c>
      <c r="L147" s="245">
        <f t="shared" si="1"/>
        <v>9</v>
      </c>
      <c r="M147" s="245">
        <f t="shared" si="1"/>
        <v>10</v>
      </c>
      <c r="N147" s="245">
        <f t="shared" si="1"/>
        <v>11</v>
      </c>
      <c r="O147" s="245">
        <f t="shared" si="1"/>
        <v>12</v>
      </c>
      <c r="P147" s="245">
        <f t="shared" si="1"/>
        <v>13</v>
      </c>
      <c r="Q147" s="245">
        <f t="shared" si="1"/>
        <v>14</v>
      </c>
      <c r="R147" s="245">
        <f t="shared" si="1"/>
        <v>15</v>
      </c>
      <c r="S147" s="245">
        <f t="shared" si="1"/>
        <v>16</v>
      </c>
      <c r="T147" s="245">
        <f t="shared" si="1"/>
        <v>17</v>
      </c>
      <c r="U147" s="245">
        <f t="shared" si="1"/>
        <v>18</v>
      </c>
      <c r="V147" s="245">
        <f t="shared" si="1"/>
        <v>19</v>
      </c>
      <c r="W147" s="245">
        <f t="shared" si="1"/>
        <v>20</v>
      </c>
      <c r="X147" s="245">
        <f t="shared" si="1"/>
        <v>21</v>
      </c>
      <c r="Y147" s="245">
        <f t="shared" si="1"/>
        <v>22</v>
      </c>
      <c r="Z147" s="245">
        <f t="shared" si="1"/>
        <v>23</v>
      </c>
      <c r="AA147" s="245">
        <f t="shared" si="1"/>
        <v>24</v>
      </c>
      <c r="AB147" s="245">
        <f t="shared" si="1"/>
        <v>25</v>
      </c>
      <c r="AC147" s="245">
        <f t="shared" si="1"/>
        <v>26</v>
      </c>
      <c r="AD147" s="245">
        <f t="shared" si="1"/>
        <v>27</v>
      </c>
      <c r="AE147" s="245">
        <f t="shared" si="1"/>
        <v>28</v>
      </c>
      <c r="AF147" s="245">
        <f t="shared" si="1"/>
        <v>29</v>
      </c>
      <c r="AG147" s="245">
        <f t="shared" si="1"/>
        <v>30</v>
      </c>
      <c r="AH147" s="245">
        <f t="shared" si="1"/>
        <v>31</v>
      </c>
      <c r="AI147" s="245">
        <f t="shared" si="1"/>
        <v>32</v>
      </c>
      <c r="AJ147" s="245">
        <f t="shared" si="1"/>
        <v>33</v>
      </c>
      <c r="AK147" s="245">
        <f t="shared" si="1"/>
        <v>34</v>
      </c>
      <c r="AL147" s="245">
        <f t="shared" si="1"/>
        <v>35</v>
      </c>
      <c r="AM147" s="245">
        <f t="shared" si="1"/>
        <v>36</v>
      </c>
      <c r="AN147" s="245">
        <f t="shared" si="1"/>
        <v>37</v>
      </c>
      <c r="AO147" s="245">
        <f t="shared" si="1"/>
        <v>38</v>
      </c>
      <c r="AP147" s="245">
        <f t="shared" si="1"/>
        <v>39</v>
      </c>
      <c r="AQ147" s="245">
        <f t="shared" si="1"/>
        <v>40</v>
      </c>
    </row>
    <row r="148" spans="2:43" x14ac:dyDescent="0.2">
      <c r="B148" s="265" t="s">
        <v>307</v>
      </c>
      <c r="C148" s="196"/>
      <c r="D148" s="196"/>
      <c r="E148" s="196"/>
      <c r="F148" s="196"/>
      <c r="G148" s="196"/>
      <c r="H148" s="196"/>
      <c r="I148" s="196"/>
      <c r="J148" s="196"/>
      <c r="K148" s="196"/>
      <c r="L148" s="196"/>
      <c r="M148" s="196"/>
      <c r="N148" s="196"/>
      <c r="O148" s="196"/>
      <c r="P148" s="196"/>
      <c r="Q148" s="196"/>
      <c r="R148" s="196"/>
      <c r="S148" s="196"/>
      <c r="T148" s="196"/>
      <c r="U148" s="196"/>
      <c r="V148" s="196"/>
      <c r="W148" s="196"/>
      <c r="X148" s="196"/>
      <c r="Y148" s="196"/>
      <c r="Z148" s="196"/>
      <c r="AA148" s="196"/>
      <c r="AB148" s="196"/>
      <c r="AC148" s="196"/>
      <c r="AD148" s="196"/>
      <c r="AE148" s="196"/>
      <c r="AF148" s="196"/>
      <c r="AG148" s="196"/>
      <c r="AH148" s="196"/>
      <c r="AI148" s="196"/>
      <c r="AJ148" s="196"/>
      <c r="AK148" s="196"/>
      <c r="AL148" s="196"/>
      <c r="AM148" s="196"/>
      <c r="AN148" s="196"/>
      <c r="AO148" s="196"/>
      <c r="AP148" s="196"/>
      <c r="AQ148" s="196"/>
    </row>
    <row r="149" spans="2:43" x14ac:dyDescent="0.2">
      <c r="B149" s="263" t="s">
        <v>337</v>
      </c>
      <c r="C149" s="196"/>
      <c r="D149" s="196"/>
      <c r="E149" s="196"/>
      <c r="F149" s="196"/>
      <c r="G149" s="196"/>
      <c r="H149" s="196"/>
      <c r="I149" s="196"/>
      <c r="J149" s="196"/>
      <c r="K149" s="196"/>
      <c r="L149" s="196"/>
      <c r="M149" s="196"/>
      <c r="N149" s="196"/>
      <c r="O149" s="196"/>
      <c r="P149" s="196"/>
      <c r="Q149" s="196"/>
      <c r="R149" s="196"/>
      <c r="S149" s="196"/>
      <c r="T149" s="196"/>
      <c r="U149" s="196"/>
      <c r="V149" s="196"/>
      <c r="W149" s="196"/>
      <c r="X149" s="196"/>
      <c r="Y149" s="196"/>
      <c r="Z149" s="196"/>
      <c r="AA149" s="196"/>
      <c r="AB149" s="196"/>
      <c r="AC149" s="196"/>
      <c r="AD149" s="196"/>
      <c r="AE149" s="196"/>
      <c r="AF149" s="196"/>
      <c r="AG149" s="196"/>
      <c r="AH149" s="196"/>
      <c r="AI149" s="196"/>
      <c r="AJ149" s="196"/>
      <c r="AK149" s="196"/>
      <c r="AL149" s="196"/>
      <c r="AM149" s="196"/>
      <c r="AN149" s="196"/>
      <c r="AO149" s="196"/>
      <c r="AP149" s="196"/>
      <c r="AQ149" s="196"/>
    </row>
    <row r="150" spans="2:43" x14ac:dyDescent="0.2">
      <c r="B150" s="263" t="s">
        <v>338</v>
      </c>
      <c r="C150" s="196"/>
      <c r="D150" s="196"/>
      <c r="E150" s="196"/>
      <c r="F150" s="196"/>
      <c r="G150" s="196"/>
      <c r="H150" s="196"/>
      <c r="I150" s="196"/>
      <c r="J150" s="196"/>
      <c r="K150" s="196"/>
      <c r="L150" s="196"/>
      <c r="M150" s="196"/>
      <c r="N150" s="196"/>
      <c r="O150" s="196"/>
      <c r="P150" s="196"/>
      <c r="Q150" s="196"/>
      <c r="R150" s="196"/>
      <c r="S150" s="196"/>
      <c r="T150" s="196"/>
      <c r="U150" s="196"/>
      <c r="V150" s="196"/>
      <c r="W150" s="196"/>
      <c r="X150" s="196"/>
      <c r="Y150" s="196"/>
      <c r="Z150" s="196"/>
      <c r="AA150" s="196"/>
      <c r="AB150" s="196"/>
      <c r="AC150" s="196"/>
      <c r="AD150" s="196"/>
      <c r="AE150" s="196"/>
      <c r="AF150" s="196"/>
      <c r="AG150" s="196"/>
      <c r="AH150" s="196"/>
      <c r="AI150" s="196"/>
      <c r="AJ150" s="196"/>
      <c r="AK150" s="196"/>
      <c r="AL150" s="196"/>
      <c r="AM150" s="196"/>
      <c r="AN150" s="196"/>
      <c r="AO150" s="196"/>
      <c r="AP150" s="196"/>
      <c r="AQ150" s="196"/>
    </row>
    <row r="151" spans="2:43" x14ac:dyDescent="0.2">
      <c r="B151" s="263" t="s">
        <v>339</v>
      </c>
      <c r="C151" s="196"/>
      <c r="D151" s="196"/>
      <c r="E151" s="196"/>
      <c r="F151" s="196"/>
      <c r="G151" s="196"/>
      <c r="H151" s="196"/>
      <c r="I151" s="196"/>
      <c r="J151" s="196"/>
      <c r="K151" s="196"/>
      <c r="L151" s="196"/>
      <c r="M151" s="196"/>
      <c r="N151" s="196"/>
      <c r="O151" s="196"/>
      <c r="P151" s="196"/>
      <c r="Q151" s="196"/>
      <c r="R151" s="196"/>
      <c r="S151" s="196"/>
      <c r="T151" s="196"/>
      <c r="U151" s="196"/>
      <c r="V151" s="196"/>
      <c r="W151" s="196"/>
      <c r="X151" s="196"/>
      <c r="Y151" s="196"/>
      <c r="Z151" s="196"/>
      <c r="AA151" s="196"/>
      <c r="AB151" s="196"/>
      <c r="AC151" s="196"/>
      <c r="AD151" s="196"/>
      <c r="AE151" s="196"/>
      <c r="AF151" s="196"/>
      <c r="AG151" s="196"/>
      <c r="AH151" s="196"/>
      <c r="AI151" s="196"/>
      <c r="AJ151" s="196"/>
      <c r="AK151" s="196"/>
      <c r="AL151" s="196"/>
      <c r="AM151" s="196"/>
      <c r="AN151" s="196"/>
      <c r="AO151" s="196"/>
      <c r="AP151" s="196"/>
      <c r="AQ151" s="196"/>
    </row>
    <row r="152" spans="2:43" x14ac:dyDescent="0.2">
      <c r="B152" s="263" t="s">
        <v>340</v>
      </c>
      <c r="C152" s="196"/>
      <c r="D152" s="196"/>
      <c r="E152" s="196"/>
      <c r="F152" s="196"/>
      <c r="G152" s="196"/>
      <c r="H152" s="196"/>
      <c r="I152" s="196"/>
      <c r="J152" s="196"/>
      <c r="K152" s="196"/>
      <c r="L152" s="196"/>
      <c r="M152" s="196"/>
      <c r="N152" s="196"/>
      <c r="O152" s="196"/>
      <c r="P152" s="196"/>
      <c r="Q152" s="196"/>
      <c r="R152" s="196"/>
      <c r="S152" s="196"/>
      <c r="T152" s="196"/>
      <c r="U152" s="196"/>
      <c r="V152" s="196"/>
      <c r="W152" s="196"/>
      <c r="X152" s="196"/>
      <c r="Y152" s="196"/>
      <c r="Z152" s="196"/>
      <c r="AA152" s="196"/>
      <c r="AB152" s="196"/>
      <c r="AC152" s="196"/>
      <c r="AD152" s="196"/>
      <c r="AE152" s="196"/>
      <c r="AF152" s="196"/>
      <c r="AG152" s="196"/>
      <c r="AH152" s="196"/>
      <c r="AI152" s="196"/>
      <c r="AJ152" s="196"/>
      <c r="AK152" s="196"/>
      <c r="AL152" s="196"/>
      <c r="AM152" s="196"/>
      <c r="AN152" s="196"/>
      <c r="AO152" s="196"/>
      <c r="AP152" s="196"/>
      <c r="AQ152" s="196"/>
    </row>
    <row r="153" spans="2:43" x14ac:dyDescent="0.2">
      <c r="B153" s="263" t="s">
        <v>341</v>
      </c>
      <c r="C153" s="196"/>
      <c r="D153" s="196"/>
      <c r="E153" s="196"/>
      <c r="F153" s="196"/>
      <c r="G153" s="196"/>
      <c r="H153" s="196"/>
      <c r="I153" s="196"/>
      <c r="J153" s="196"/>
      <c r="K153" s="196"/>
      <c r="L153" s="196"/>
      <c r="M153" s="196"/>
      <c r="N153" s="196"/>
      <c r="O153" s="196"/>
      <c r="P153" s="196"/>
      <c r="Q153" s="196"/>
      <c r="R153" s="196"/>
      <c r="S153" s="196"/>
      <c r="T153" s="196"/>
      <c r="U153" s="196"/>
      <c r="V153" s="196"/>
      <c r="W153" s="196"/>
      <c r="X153" s="196"/>
      <c r="Y153" s="196"/>
      <c r="Z153" s="196"/>
      <c r="AA153" s="196"/>
      <c r="AB153" s="196"/>
      <c r="AC153" s="196"/>
      <c r="AD153" s="196"/>
      <c r="AE153" s="196"/>
      <c r="AF153" s="196"/>
      <c r="AG153" s="196"/>
      <c r="AH153" s="196"/>
      <c r="AI153" s="196"/>
      <c r="AJ153" s="196"/>
      <c r="AK153" s="196"/>
      <c r="AL153" s="196"/>
      <c r="AM153" s="196"/>
      <c r="AN153" s="196"/>
      <c r="AO153" s="196"/>
      <c r="AP153" s="196"/>
      <c r="AQ153" s="196"/>
    </row>
    <row r="154" spans="2:43" x14ac:dyDescent="0.2">
      <c r="B154" s="263" t="s">
        <v>342</v>
      </c>
      <c r="C154" s="196"/>
      <c r="D154" s="196"/>
      <c r="E154" s="196"/>
      <c r="F154" s="196"/>
      <c r="G154" s="196"/>
      <c r="H154" s="196"/>
      <c r="I154" s="196"/>
      <c r="J154" s="196"/>
      <c r="K154" s="196"/>
      <c r="L154" s="196"/>
      <c r="M154" s="196"/>
      <c r="N154" s="196"/>
      <c r="O154" s="196"/>
      <c r="P154" s="196"/>
      <c r="Q154" s="196"/>
      <c r="R154" s="196"/>
      <c r="S154" s="196"/>
      <c r="T154" s="196"/>
      <c r="U154" s="196"/>
      <c r="V154" s="196"/>
      <c r="W154" s="196"/>
      <c r="X154" s="196"/>
      <c r="Y154" s="196"/>
      <c r="Z154" s="196"/>
      <c r="AA154" s="196"/>
      <c r="AB154" s="196"/>
      <c r="AC154" s="196"/>
      <c r="AD154" s="196"/>
      <c r="AE154" s="196"/>
      <c r="AF154" s="196"/>
      <c r="AG154" s="196"/>
      <c r="AH154" s="196"/>
      <c r="AI154" s="196"/>
      <c r="AJ154" s="196"/>
      <c r="AK154" s="196"/>
      <c r="AL154" s="196"/>
      <c r="AM154" s="196"/>
      <c r="AN154" s="196"/>
      <c r="AO154" s="196"/>
      <c r="AP154" s="196"/>
      <c r="AQ154" s="196"/>
    </row>
    <row r="155" spans="2:43" x14ac:dyDescent="0.2">
      <c r="B155" s="265" t="s">
        <v>308</v>
      </c>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c r="AB155" s="247"/>
      <c r="AC155" s="247"/>
      <c r="AD155" s="247"/>
      <c r="AE155" s="247"/>
      <c r="AF155" s="247"/>
      <c r="AG155" s="247"/>
      <c r="AH155" s="247"/>
      <c r="AI155" s="247"/>
      <c r="AJ155" s="247"/>
      <c r="AK155" s="247"/>
      <c r="AL155" s="247"/>
      <c r="AM155" s="247"/>
      <c r="AN155" s="247"/>
      <c r="AO155" s="247"/>
      <c r="AP155" s="247"/>
      <c r="AQ155" s="247"/>
    </row>
    <row r="156" spans="2:43" ht="13.5" customHeight="1" x14ac:dyDescent="0.2">
      <c r="B156" s="263" t="s">
        <v>327</v>
      </c>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c r="AB156" s="247"/>
      <c r="AC156" s="247"/>
      <c r="AD156" s="247"/>
      <c r="AE156" s="247"/>
      <c r="AF156" s="247"/>
      <c r="AG156" s="247"/>
      <c r="AH156" s="247"/>
      <c r="AI156" s="247"/>
      <c r="AJ156" s="247"/>
      <c r="AK156" s="247"/>
      <c r="AL156" s="247"/>
      <c r="AM156" s="247"/>
      <c r="AN156" s="247"/>
      <c r="AO156" s="247"/>
      <c r="AP156" s="247"/>
      <c r="AQ156" s="247"/>
    </row>
    <row r="157" spans="2:43" ht="13.5" customHeight="1" x14ac:dyDescent="0.2">
      <c r="B157" s="264" t="s">
        <v>328</v>
      </c>
      <c r="C157" s="247"/>
      <c r="D157" s="196"/>
      <c r="E157" s="196"/>
      <c r="F157" s="196"/>
      <c r="G157" s="196"/>
      <c r="H157" s="196"/>
      <c r="I157" s="196"/>
      <c r="J157" s="196"/>
      <c r="K157" s="196"/>
      <c r="L157" s="196"/>
      <c r="M157" s="196"/>
      <c r="N157" s="196"/>
      <c r="O157" s="196"/>
      <c r="P157" s="196"/>
      <c r="Q157" s="196"/>
      <c r="R157" s="196"/>
      <c r="S157" s="196"/>
      <c r="T157" s="196"/>
      <c r="U157" s="196"/>
      <c r="V157" s="196"/>
      <c r="W157" s="196"/>
      <c r="X157" s="196"/>
      <c r="Y157" s="196"/>
      <c r="Z157" s="196"/>
      <c r="AA157" s="196"/>
      <c r="AB157" s="196"/>
      <c r="AC157" s="196"/>
      <c r="AD157" s="196"/>
      <c r="AE157" s="196"/>
      <c r="AF157" s="196"/>
      <c r="AG157" s="196"/>
      <c r="AH157" s="196"/>
      <c r="AI157" s="196"/>
      <c r="AJ157" s="196"/>
      <c r="AK157" s="196"/>
      <c r="AL157" s="196"/>
      <c r="AM157" s="196"/>
      <c r="AN157" s="196"/>
      <c r="AO157" s="196"/>
      <c r="AP157" s="196"/>
      <c r="AQ157" s="196"/>
    </row>
    <row r="158" spans="2:43" ht="13.5" customHeight="1" x14ac:dyDescent="0.2">
      <c r="B158" s="264" t="s">
        <v>329</v>
      </c>
      <c r="C158" s="247"/>
      <c r="D158" s="196"/>
      <c r="E158" s="196"/>
      <c r="F158" s="196"/>
      <c r="G158" s="196"/>
      <c r="H158" s="196"/>
      <c r="I158" s="196"/>
      <c r="J158" s="196"/>
      <c r="K158" s="196"/>
      <c r="L158" s="196"/>
      <c r="M158" s="196"/>
      <c r="N158" s="196"/>
      <c r="O158" s="196"/>
      <c r="P158" s="196"/>
      <c r="Q158" s="196"/>
      <c r="R158" s="196"/>
      <c r="S158" s="196"/>
      <c r="T158" s="196"/>
      <c r="U158" s="196"/>
      <c r="V158" s="196"/>
      <c r="W158" s="196"/>
      <c r="X158" s="196"/>
      <c r="Y158" s="196"/>
      <c r="Z158" s="196"/>
      <c r="AA158" s="196"/>
      <c r="AB158" s="196"/>
      <c r="AC158" s="196"/>
      <c r="AD158" s="196"/>
      <c r="AE158" s="196"/>
      <c r="AF158" s="196"/>
      <c r="AG158" s="196"/>
      <c r="AH158" s="196"/>
      <c r="AI158" s="196"/>
      <c r="AJ158" s="196"/>
      <c r="AK158" s="196"/>
      <c r="AL158" s="196"/>
      <c r="AM158" s="196"/>
      <c r="AN158" s="196"/>
      <c r="AO158" s="196"/>
      <c r="AP158" s="196"/>
      <c r="AQ158" s="196"/>
    </row>
    <row r="159" spans="2:43" ht="13.5" customHeight="1" x14ac:dyDescent="0.2">
      <c r="B159" s="264" t="s">
        <v>330</v>
      </c>
      <c r="C159" s="247"/>
      <c r="D159" s="196"/>
      <c r="E159" s="196"/>
      <c r="F159" s="196"/>
      <c r="G159" s="196"/>
      <c r="H159" s="196"/>
      <c r="I159" s="196"/>
      <c r="J159" s="196"/>
      <c r="K159" s="196"/>
      <c r="L159" s="196"/>
      <c r="M159" s="196"/>
      <c r="N159" s="196"/>
      <c r="O159" s="196"/>
      <c r="P159" s="196"/>
      <c r="Q159" s="196"/>
      <c r="R159" s="196"/>
      <c r="S159" s="196"/>
      <c r="T159" s="196"/>
      <c r="U159" s="196"/>
      <c r="V159" s="196"/>
      <c r="W159" s="196"/>
      <c r="X159" s="196"/>
      <c r="Y159" s="196"/>
      <c r="Z159" s="196"/>
      <c r="AA159" s="196"/>
      <c r="AB159" s="196"/>
      <c r="AC159" s="196"/>
      <c r="AD159" s="196"/>
      <c r="AE159" s="196"/>
      <c r="AF159" s="196"/>
      <c r="AG159" s="196"/>
      <c r="AH159" s="196"/>
      <c r="AI159" s="196"/>
      <c r="AJ159" s="196"/>
      <c r="AK159" s="196"/>
      <c r="AL159" s="196"/>
      <c r="AM159" s="196"/>
      <c r="AN159" s="196"/>
      <c r="AO159" s="196"/>
      <c r="AP159" s="196"/>
      <c r="AQ159" s="196"/>
    </row>
    <row r="160" spans="2:43" ht="13.5" customHeight="1" x14ac:dyDescent="0.2">
      <c r="B160" s="264" t="s">
        <v>331</v>
      </c>
      <c r="C160" s="196"/>
      <c r="D160" s="196"/>
      <c r="E160" s="196"/>
      <c r="F160" s="196"/>
      <c r="G160" s="196"/>
      <c r="H160" s="196"/>
      <c r="I160" s="196"/>
      <c r="J160" s="196"/>
      <c r="K160" s="196"/>
      <c r="L160" s="196"/>
      <c r="M160" s="196"/>
      <c r="N160" s="196"/>
      <c r="O160" s="196"/>
      <c r="P160" s="196"/>
      <c r="Q160" s="196"/>
      <c r="R160" s="196"/>
      <c r="S160" s="196"/>
      <c r="T160" s="196"/>
      <c r="U160" s="196"/>
      <c r="V160" s="196"/>
      <c r="W160" s="196"/>
      <c r="X160" s="196"/>
      <c r="Y160" s="196"/>
      <c r="Z160" s="196"/>
      <c r="AA160" s="196"/>
      <c r="AB160" s="196"/>
      <c r="AC160" s="196"/>
      <c r="AD160" s="196"/>
      <c r="AE160" s="196"/>
      <c r="AF160" s="196"/>
      <c r="AG160" s="196"/>
      <c r="AH160" s="196"/>
      <c r="AI160" s="196"/>
      <c r="AJ160" s="196"/>
      <c r="AK160" s="196"/>
      <c r="AL160" s="196"/>
      <c r="AM160" s="196"/>
      <c r="AN160" s="196"/>
      <c r="AO160" s="196"/>
      <c r="AP160" s="196"/>
      <c r="AQ160" s="196"/>
    </row>
    <row r="161" spans="2:43" ht="13.5" customHeight="1" x14ac:dyDescent="0.2">
      <c r="B161" s="264" t="s">
        <v>309</v>
      </c>
      <c r="C161" s="196"/>
      <c r="D161" s="196"/>
      <c r="E161" s="196"/>
      <c r="F161" s="196"/>
      <c r="G161" s="196"/>
      <c r="H161" s="196"/>
      <c r="I161" s="196"/>
      <c r="J161" s="196"/>
      <c r="K161" s="196"/>
      <c r="L161" s="196"/>
      <c r="M161" s="196"/>
      <c r="N161" s="196"/>
      <c r="O161" s="196"/>
      <c r="P161" s="196"/>
      <c r="Q161" s="196"/>
      <c r="R161" s="196"/>
      <c r="S161" s="196"/>
      <c r="T161" s="196"/>
      <c r="U161" s="196"/>
      <c r="V161" s="196"/>
      <c r="W161" s="196"/>
      <c r="X161" s="196"/>
      <c r="Y161" s="196"/>
      <c r="Z161" s="196"/>
      <c r="AA161" s="196"/>
      <c r="AB161" s="196"/>
      <c r="AC161" s="196"/>
      <c r="AD161" s="196"/>
      <c r="AE161" s="196"/>
      <c r="AF161" s="196"/>
      <c r="AG161" s="196"/>
      <c r="AH161" s="196"/>
      <c r="AI161" s="196"/>
      <c r="AJ161" s="196"/>
      <c r="AK161" s="196"/>
      <c r="AL161" s="196"/>
      <c r="AM161" s="196"/>
      <c r="AN161" s="196"/>
      <c r="AO161" s="196"/>
      <c r="AP161" s="196"/>
      <c r="AQ161" s="196"/>
    </row>
    <row r="162" spans="2:43" ht="13.5" customHeight="1" x14ac:dyDescent="0.2">
      <c r="B162" s="264" t="s">
        <v>310</v>
      </c>
      <c r="C162" s="196"/>
      <c r="D162" s="196"/>
      <c r="E162" s="196"/>
      <c r="F162" s="196"/>
      <c r="G162" s="196"/>
      <c r="H162" s="196"/>
      <c r="I162" s="196"/>
      <c r="J162" s="196"/>
      <c r="K162" s="196"/>
      <c r="L162" s="196"/>
      <c r="M162" s="196"/>
      <c r="N162" s="196"/>
      <c r="O162" s="196"/>
      <c r="P162" s="196"/>
      <c r="Q162" s="196"/>
      <c r="R162" s="196"/>
      <c r="S162" s="196"/>
      <c r="T162" s="196"/>
      <c r="U162" s="196"/>
      <c r="V162" s="196"/>
      <c r="W162" s="196"/>
      <c r="X162" s="196"/>
      <c r="Y162" s="196"/>
      <c r="Z162" s="196"/>
      <c r="AA162" s="196"/>
      <c r="AB162" s="196"/>
      <c r="AC162" s="196"/>
      <c r="AD162" s="196"/>
      <c r="AE162" s="196"/>
      <c r="AF162" s="196"/>
      <c r="AG162" s="196"/>
      <c r="AH162" s="196"/>
      <c r="AI162" s="196"/>
      <c r="AJ162" s="196"/>
      <c r="AK162" s="196"/>
      <c r="AL162" s="196"/>
      <c r="AM162" s="196"/>
      <c r="AN162" s="196"/>
      <c r="AO162" s="196"/>
      <c r="AP162" s="196"/>
      <c r="AQ162" s="196"/>
    </row>
    <row r="163" spans="2:43" ht="13.5" customHeight="1" x14ac:dyDescent="0.2">
      <c r="B163" s="264" t="s">
        <v>382</v>
      </c>
      <c r="C163" s="196"/>
      <c r="D163" s="196"/>
      <c r="E163" s="196"/>
      <c r="F163" s="196"/>
      <c r="G163" s="196"/>
      <c r="H163" s="196"/>
      <c r="I163" s="196"/>
      <c r="J163" s="196"/>
      <c r="K163" s="196"/>
      <c r="L163" s="196"/>
      <c r="M163" s="196"/>
      <c r="N163" s="196"/>
      <c r="O163" s="196"/>
      <c r="P163" s="196"/>
      <c r="Q163" s="196"/>
      <c r="R163" s="196"/>
      <c r="S163" s="196"/>
      <c r="T163" s="196"/>
      <c r="U163" s="196"/>
      <c r="V163" s="196"/>
      <c r="W163" s="196"/>
      <c r="X163" s="196"/>
      <c r="Y163" s="196"/>
      <c r="Z163" s="196"/>
      <c r="AA163" s="196"/>
      <c r="AB163" s="196"/>
      <c r="AC163" s="196"/>
      <c r="AD163" s="196"/>
      <c r="AE163" s="196"/>
      <c r="AF163" s="196"/>
      <c r="AG163" s="196"/>
      <c r="AH163" s="196"/>
      <c r="AI163" s="196"/>
      <c r="AJ163" s="196"/>
      <c r="AK163" s="196"/>
      <c r="AL163" s="196"/>
      <c r="AM163" s="196"/>
      <c r="AN163" s="196"/>
      <c r="AO163" s="196"/>
      <c r="AP163" s="196"/>
      <c r="AQ163" s="196"/>
    </row>
    <row r="164" spans="2:43" ht="13.5" customHeight="1" x14ac:dyDescent="0.2">
      <c r="B164" s="246" t="s">
        <v>254</v>
      </c>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2"/>
    </row>
    <row r="165" spans="2:43" ht="13.5" customHeight="1" x14ac:dyDescent="0.2">
      <c r="B165" s="47" t="s">
        <v>313</v>
      </c>
      <c r="C165" s="283"/>
      <c r="D165" s="284"/>
      <c r="E165" s="284"/>
      <c r="F165" s="284"/>
      <c r="G165" s="284"/>
      <c r="H165" s="284"/>
      <c r="I165" s="284"/>
      <c r="J165" s="284"/>
      <c r="K165" s="284"/>
      <c r="L165" s="284"/>
      <c r="M165" s="284"/>
      <c r="N165" s="284"/>
      <c r="O165" s="284"/>
      <c r="P165" s="284"/>
      <c r="Q165" s="284"/>
      <c r="R165" s="284"/>
      <c r="S165" s="284"/>
      <c r="T165" s="284"/>
      <c r="U165" s="284"/>
      <c r="V165" s="284"/>
      <c r="W165" s="284"/>
      <c r="X165" s="284"/>
      <c r="Y165" s="284"/>
      <c r="Z165" s="284"/>
      <c r="AA165" s="284"/>
      <c r="AB165" s="284"/>
      <c r="AC165" s="284"/>
      <c r="AD165" s="284"/>
      <c r="AE165" s="284"/>
      <c r="AF165" s="284"/>
      <c r="AG165" s="284"/>
      <c r="AH165" s="284"/>
      <c r="AI165" s="284"/>
      <c r="AJ165" s="284"/>
      <c r="AK165" s="284"/>
      <c r="AL165" s="284"/>
      <c r="AM165" s="284"/>
      <c r="AN165" s="284"/>
      <c r="AO165" s="284"/>
      <c r="AP165" s="284"/>
      <c r="AQ165" s="284"/>
    </row>
    <row r="166" spans="2:43" x14ac:dyDescent="0.2">
      <c r="B166" s="35" t="s">
        <v>314</v>
      </c>
      <c r="C166" s="285"/>
      <c r="D166" s="196"/>
      <c r="E166" s="196"/>
      <c r="F166" s="196"/>
      <c r="G166" s="196"/>
      <c r="H166" s="196"/>
      <c r="I166" s="196"/>
      <c r="J166" s="196"/>
      <c r="K166" s="196"/>
      <c r="L166" s="196"/>
      <c r="M166" s="196"/>
      <c r="N166" s="196"/>
      <c r="O166" s="196"/>
      <c r="P166" s="196"/>
      <c r="Q166" s="196"/>
      <c r="R166" s="196"/>
      <c r="S166" s="196"/>
      <c r="T166" s="196"/>
      <c r="U166" s="196"/>
      <c r="V166" s="196"/>
      <c r="W166" s="196"/>
      <c r="X166" s="196"/>
      <c r="Y166" s="196"/>
      <c r="Z166" s="196"/>
      <c r="AA166" s="196"/>
      <c r="AB166" s="196"/>
      <c r="AC166" s="196"/>
      <c r="AD166" s="196"/>
      <c r="AE166" s="196"/>
      <c r="AF166" s="196"/>
      <c r="AG166" s="196"/>
      <c r="AH166" s="196"/>
      <c r="AI166" s="196"/>
      <c r="AJ166" s="196"/>
      <c r="AK166" s="196"/>
      <c r="AL166" s="196"/>
      <c r="AM166" s="196"/>
      <c r="AN166" s="196"/>
      <c r="AO166" s="196"/>
      <c r="AP166" s="196"/>
      <c r="AQ166" s="196"/>
    </row>
    <row r="167" spans="2:43" ht="12" customHeight="1" x14ac:dyDescent="0.2">
      <c r="B167" s="57" t="s">
        <v>311</v>
      </c>
      <c r="C167" s="286"/>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c r="AC167" s="247"/>
      <c r="AD167" s="247"/>
      <c r="AE167" s="247"/>
      <c r="AF167" s="247"/>
      <c r="AG167" s="247"/>
      <c r="AH167" s="247"/>
      <c r="AI167" s="247"/>
      <c r="AJ167" s="247"/>
      <c r="AK167" s="247"/>
      <c r="AL167" s="247"/>
      <c r="AM167" s="247"/>
      <c r="AN167" s="247"/>
      <c r="AO167" s="247"/>
      <c r="AP167" s="247"/>
      <c r="AQ167" s="247"/>
    </row>
    <row r="168" spans="2:43" ht="12" customHeight="1" x14ac:dyDescent="0.2">
      <c r="B168" s="246" t="s">
        <v>260</v>
      </c>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2"/>
    </row>
    <row r="169" spans="2:43" ht="12" customHeight="1" x14ac:dyDescent="0.2">
      <c r="B169" s="47" t="s">
        <v>83</v>
      </c>
      <c r="C169" s="247"/>
      <c r="D169" s="284"/>
      <c r="E169" s="284"/>
      <c r="F169" s="284"/>
      <c r="G169" s="284"/>
      <c r="H169" s="284"/>
      <c r="I169" s="284"/>
      <c r="J169" s="284"/>
      <c r="K169" s="284"/>
      <c r="L169" s="284"/>
      <c r="M169" s="284"/>
      <c r="N169" s="284"/>
      <c r="O169" s="284"/>
      <c r="P169" s="284"/>
      <c r="Q169" s="284"/>
      <c r="R169" s="284"/>
      <c r="S169" s="284"/>
      <c r="T169" s="284"/>
      <c r="U169" s="284"/>
      <c r="V169" s="284"/>
      <c r="W169" s="284"/>
      <c r="X169" s="284"/>
      <c r="Y169" s="284"/>
      <c r="Z169" s="284"/>
      <c r="AA169" s="284"/>
      <c r="AB169" s="284"/>
      <c r="AC169" s="284"/>
      <c r="AD169" s="284"/>
      <c r="AE169" s="284"/>
      <c r="AF169" s="284"/>
      <c r="AG169" s="284"/>
      <c r="AH169" s="284"/>
      <c r="AI169" s="284"/>
      <c r="AJ169" s="284"/>
      <c r="AK169" s="284"/>
      <c r="AL169" s="284"/>
      <c r="AM169" s="284"/>
      <c r="AN169" s="284"/>
      <c r="AO169" s="284"/>
      <c r="AP169" s="284"/>
      <c r="AQ169" s="284"/>
    </row>
    <row r="170" spans="2:43" ht="12" customHeight="1" x14ac:dyDescent="0.2">
      <c r="B170" s="57" t="s">
        <v>82</v>
      </c>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c r="AC170" s="247"/>
      <c r="AD170" s="247"/>
      <c r="AE170" s="247"/>
      <c r="AF170" s="247"/>
      <c r="AG170" s="247"/>
      <c r="AH170" s="247"/>
      <c r="AI170" s="247"/>
      <c r="AJ170" s="247"/>
      <c r="AK170" s="247"/>
      <c r="AL170" s="247"/>
      <c r="AM170" s="247"/>
      <c r="AN170" s="247"/>
      <c r="AO170" s="247"/>
      <c r="AP170" s="247"/>
      <c r="AQ170" s="247"/>
    </row>
    <row r="171" spans="2:43" ht="12" customHeight="1" x14ac:dyDescent="0.2">
      <c r="B171" s="246" t="s">
        <v>385</v>
      </c>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1"/>
    </row>
    <row r="172" spans="2:43" ht="12" customHeight="1" x14ac:dyDescent="0.2">
      <c r="B172" s="279" t="s">
        <v>386</v>
      </c>
      <c r="C172" s="283"/>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c r="AC172" s="247"/>
      <c r="AD172" s="247"/>
      <c r="AE172" s="247"/>
      <c r="AF172" s="247"/>
      <c r="AG172" s="247"/>
      <c r="AH172" s="247"/>
      <c r="AI172" s="247"/>
      <c r="AJ172" s="247"/>
      <c r="AK172" s="247"/>
      <c r="AL172" s="247"/>
      <c r="AM172" s="247"/>
      <c r="AN172" s="247"/>
      <c r="AO172" s="247"/>
      <c r="AP172" s="247"/>
      <c r="AQ172" s="247"/>
    </row>
    <row r="173" spans="2:43" ht="12" customHeight="1" x14ac:dyDescent="0.2">
      <c r="B173" s="279" t="s">
        <v>387</v>
      </c>
      <c r="C173" s="283"/>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c r="AC173" s="247"/>
      <c r="AD173" s="247"/>
      <c r="AE173" s="247"/>
      <c r="AF173" s="247"/>
      <c r="AG173" s="247"/>
      <c r="AH173" s="247"/>
      <c r="AI173" s="247"/>
      <c r="AJ173" s="247"/>
      <c r="AK173" s="247"/>
      <c r="AL173" s="247"/>
      <c r="AM173" s="247"/>
      <c r="AN173" s="247"/>
      <c r="AO173" s="247"/>
      <c r="AP173" s="247"/>
      <c r="AQ173" s="247"/>
    </row>
    <row r="174" spans="2:43" ht="12" customHeight="1" x14ac:dyDescent="0.2">
      <c r="B174" s="279" t="s">
        <v>388</v>
      </c>
      <c r="C174" s="283"/>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c r="AC174" s="247"/>
      <c r="AD174" s="247"/>
      <c r="AE174" s="247"/>
      <c r="AF174" s="247"/>
      <c r="AG174" s="247"/>
      <c r="AH174" s="247"/>
      <c r="AI174" s="247"/>
      <c r="AJ174" s="247"/>
      <c r="AK174" s="247"/>
      <c r="AL174" s="247"/>
      <c r="AM174" s="247"/>
      <c r="AN174" s="247"/>
      <c r="AO174" s="247"/>
      <c r="AP174" s="247"/>
      <c r="AQ174" s="247"/>
    </row>
    <row r="175" spans="2:43" ht="12" customHeight="1" x14ac:dyDescent="0.2">
      <c r="B175" s="279" t="s">
        <v>389</v>
      </c>
      <c r="C175" s="311"/>
      <c r="D175" s="312"/>
      <c r="E175" s="312"/>
      <c r="F175" s="312"/>
      <c r="G175" s="312"/>
      <c r="H175" s="312"/>
      <c r="I175" s="312"/>
      <c r="J175" s="312"/>
      <c r="K175" s="312"/>
      <c r="L175" s="312"/>
      <c r="M175" s="312"/>
      <c r="N175" s="312"/>
      <c r="O175" s="312"/>
      <c r="P175" s="312"/>
      <c r="Q175" s="312"/>
      <c r="R175" s="312"/>
      <c r="S175" s="312"/>
      <c r="T175" s="312"/>
      <c r="U175" s="312"/>
      <c r="V175" s="312"/>
      <c r="W175" s="312"/>
      <c r="X175" s="312"/>
      <c r="Y175" s="312"/>
      <c r="Z175" s="312"/>
      <c r="AA175" s="312"/>
      <c r="AB175" s="312"/>
      <c r="AC175" s="312"/>
      <c r="AD175" s="312"/>
      <c r="AE175" s="312"/>
      <c r="AF175" s="312"/>
      <c r="AG175" s="312"/>
      <c r="AH175" s="312"/>
      <c r="AI175" s="312"/>
      <c r="AJ175" s="312"/>
      <c r="AK175" s="312"/>
      <c r="AL175" s="312"/>
      <c r="AM175" s="312"/>
      <c r="AN175" s="312"/>
      <c r="AO175" s="312"/>
      <c r="AP175" s="312"/>
      <c r="AQ175" s="312"/>
    </row>
    <row r="176" spans="2:43" ht="12" customHeight="1" x14ac:dyDescent="0.2">
      <c r="B176" s="279" t="s">
        <v>390</v>
      </c>
      <c r="C176" s="283"/>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c r="AC176" s="247"/>
      <c r="AD176" s="247"/>
      <c r="AE176" s="247"/>
      <c r="AF176" s="247"/>
      <c r="AG176" s="247"/>
      <c r="AH176" s="247"/>
      <c r="AI176" s="247"/>
      <c r="AJ176" s="247"/>
      <c r="AK176" s="247"/>
      <c r="AL176" s="247"/>
      <c r="AM176" s="247"/>
      <c r="AN176" s="247"/>
      <c r="AO176" s="247"/>
      <c r="AP176" s="247"/>
      <c r="AQ176" s="247"/>
    </row>
    <row r="177" spans="2:103" ht="12" customHeight="1" x14ac:dyDescent="0.2">
      <c r="B177" s="279" t="s">
        <v>391</v>
      </c>
      <c r="C177" s="311"/>
      <c r="D177" s="312"/>
      <c r="E177" s="312"/>
      <c r="F177" s="312"/>
      <c r="G177" s="312"/>
      <c r="H177" s="312"/>
      <c r="I177" s="312"/>
      <c r="J177" s="312"/>
      <c r="K177" s="312"/>
      <c r="L177" s="312"/>
      <c r="M177" s="312"/>
      <c r="N177" s="312"/>
      <c r="O177" s="312"/>
      <c r="P177" s="312"/>
      <c r="Q177" s="312"/>
      <c r="R177" s="312"/>
      <c r="S177" s="312"/>
      <c r="T177" s="312"/>
      <c r="U177" s="312"/>
      <c r="V177" s="312"/>
      <c r="W177" s="312"/>
      <c r="X177" s="312"/>
      <c r="Y177" s="312"/>
      <c r="Z177" s="312"/>
      <c r="AA177" s="312"/>
      <c r="AB177" s="312"/>
      <c r="AC177" s="312"/>
      <c r="AD177" s="312"/>
      <c r="AE177" s="312"/>
      <c r="AF177" s="312"/>
      <c r="AG177" s="312"/>
      <c r="AH177" s="312"/>
      <c r="AI177" s="312"/>
      <c r="AJ177" s="312"/>
      <c r="AK177" s="312"/>
      <c r="AL177" s="312"/>
      <c r="AM177" s="312"/>
      <c r="AN177" s="312"/>
      <c r="AO177" s="312"/>
      <c r="AP177" s="312"/>
      <c r="AQ177" s="312"/>
    </row>
    <row r="178" spans="2:103" x14ac:dyDescent="0.2">
      <c r="B178" s="246" t="s">
        <v>256</v>
      </c>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2"/>
    </row>
    <row r="179" spans="2:103" x14ac:dyDescent="0.2">
      <c r="B179" s="47" t="s">
        <v>4</v>
      </c>
      <c r="C179" s="283"/>
      <c r="D179" s="284"/>
      <c r="E179" s="284"/>
      <c r="F179" s="284"/>
      <c r="G179" s="284"/>
      <c r="H179" s="284"/>
      <c r="I179" s="284"/>
      <c r="J179" s="284"/>
      <c r="K179" s="284"/>
      <c r="L179" s="284"/>
      <c r="M179" s="284"/>
      <c r="N179" s="284"/>
      <c r="O179" s="284"/>
      <c r="P179" s="284"/>
      <c r="Q179" s="284"/>
      <c r="R179" s="284"/>
      <c r="S179" s="284"/>
      <c r="T179" s="284"/>
      <c r="U179" s="284"/>
      <c r="V179" s="284"/>
      <c r="W179" s="284"/>
      <c r="X179" s="284"/>
      <c r="Y179" s="284"/>
      <c r="Z179" s="284"/>
      <c r="AA179" s="284"/>
      <c r="AB179" s="284"/>
      <c r="AC179" s="284"/>
      <c r="AD179" s="284"/>
      <c r="AE179" s="284"/>
      <c r="AF179" s="284"/>
      <c r="AG179" s="284"/>
      <c r="AH179" s="284"/>
      <c r="AI179" s="284"/>
      <c r="AJ179" s="284"/>
      <c r="AK179" s="284"/>
      <c r="AL179" s="284"/>
      <c r="AM179" s="284"/>
      <c r="AN179" s="284"/>
      <c r="AO179" s="284"/>
      <c r="AP179" s="284"/>
      <c r="AQ179" s="284"/>
    </row>
    <row r="180" spans="2:103" x14ac:dyDescent="0.2">
      <c r="B180" s="35" t="s">
        <v>5</v>
      </c>
      <c r="C180" s="285"/>
      <c r="D180" s="196"/>
      <c r="E180" s="196"/>
      <c r="F180" s="196"/>
      <c r="G180" s="196"/>
      <c r="H180" s="196"/>
      <c r="I180" s="196"/>
      <c r="J180" s="196"/>
      <c r="K180" s="196"/>
      <c r="L180" s="196"/>
      <c r="M180" s="196"/>
      <c r="N180" s="196"/>
      <c r="O180" s="196"/>
      <c r="P180" s="196"/>
      <c r="Q180" s="196"/>
      <c r="R180" s="196"/>
      <c r="S180" s="196"/>
      <c r="T180" s="196"/>
      <c r="U180" s="196"/>
      <c r="V180" s="196"/>
      <c r="W180" s="196"/>
      <c r="X180" s="196"/>
      <c r="Y180" s="196"/>
      <c r="Z180" s="196"/>
      <c r="AA180" s="196"/>
      <c r="AB180" s="196"/>
      <c r="AC180" s="196"/>
      <c r="AD180" s="196"/>
      <c r="AE180" s="196"/>
      <c r="AF180" s="196"/>
      <c r="AG180" s="196"/>
      <c r="AH180" s="196"/>
      <c r="AI180" s="196"/>
      <c r="AJ180" s="196"/>
      <c r="AK180" s="196"/>
      <c r="AL180" s="196"/>
      <c r="AM180" s="196"/>
      <c r="AN180" s="196"/>
      <c r="AO180" s="196"/>
      <c r="AP180" s="196"/>
      <c r="AQ180" s="196"/>
    </row>
    <row r="181" spans="2:103" x14ac:dyDescent="0.2">
      <c r="B181" s="35" t="s">
        <v>160</v>
      </c>
      <c r="C181" s="285"/>
      <c r="D181" s="196"/>
      <c r="E181" s="196"/>
      <c r="F181" s="196"/>
      <c r="G181" s="196"/>
      <c r="H181" s="196"/>
      <c r="I181" s="196"/>
      <c r="J181" s="196"/>
      <c r="K181" s="196"/>
      <c r="L181" s="196"/>
      <c r="M181" s="196"/>
      <c r="N181" s="196"/>
      <c r="O181" s="196"/>
      <c r="P181" s="196"/>
      <c r="Q181" s="196"/>
      <c r="R181" s="196"/>
      <c r="S181" s="196"/>
      <c r="T181" s="196"/>
      <c r="U181" s="196"/>
      <c r="V181" s="196"/>
      <c r="W181" s="196"/>
      <c r="X181" s="196"/>
      <c r="Y181" s="196"/>
      <c r="Z181" s="196"/>
      <c r="AA181" s="196"/>
      <c r="AB181" s="196"/>
      <c r="AC181" s="196"/>
      <c r="AD181" s="196"/>
      <c r="AE181" s="196"/>
      <c r="AF181" s="196"/>
      <c r="AG181" s="196"/>
      <c r="AH181" s="196"/>
      <c r="AI181" s="196"/>
      <c r="AJ181" s="196"/>
      <c r="AK181" s="196"/>
      <c r="AL181" s="196"/>
      <c r="AM181" s="196"/>
      <c r="AN181" s="196"/>
      <c r="AO181" s="196"/>
      <c r="AP181" s="196"/>
      <c r="AQ181" s="196"/>
    </row>
    <row r="182" spans="2:103" x14ac:dyDescent="0.2">
      <c r="B182" s="57" t="s">
        <v>161</v>
      </c>
      <c r="C182" s="286"/>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c r="AC182" s="247"/>
      <c r="AD182" s="247"/>
      <c r="AE182" s="247"/>
      <c r="AF182" s="247"/>
      <c r="AG182" s="247"/>
      <c r="AH182" s="247"/>
      <c r="AI182" s="247"/>
      <c r="AJ182" s="247"/>
      <c r="AK182" s="247"/>
      <c r="AL182" s="247"/>
      <c r="AM182" s="247"/>
      <c r="AN182" s="247"/>
      <c r="AO182" s="247"/>
      <c r="AP182" s="247"/>
      <c r="AQ182" s="247"/>
    </row>
    <row r="183" spans="2:103" x14ac:dyDescent="0.2">
      <c r="B183" s="246" t="s">
        <v>257</v>
      </c>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2"/>
    </row>
    <row r="184" spans="2:103" x14ac:dyDescent="0.2">
      <c r="B184" s="47" t="s">
        <v>4</v>
      </c>
      <c r="C184" s="283"/>
      <c r="D184" s="284"/>
      <c r="E184" s="284"/>
      <c r="F184" s="284"/>
      <c r="G184" s="284"/>
      <c r="H184" s="284"/>
      <c r="I184" s="284"/>
      <c r="J184" s="284"/>
      <c r="K184" s="284"/>
      <c r="L184" s="284"/>
      <c r="M184" s="284"/>
      <c r="N184" s="284"/>
      <c r="O184" s="284"/>
      <c r="P184" s="284"/>
      <c r="Q184" s="284"/>
      <c r="R184" s="284"/>
      <c r="S184" s="284"/>
      <c r="T184" s="284"/>
      <c r="U184" s="284"/>
      <c r="V184" s="284"/>
      <c r="W184" s="284"/>
      <c r="X184" s="284"/>
      <c r="Y184" s="284"/>
      <c r="Z184" s="284"/>
      <c r="AA184" s="284"/>
      <c r="AB184" s="284"/>
      <c r="AC184" s="284"/>
      <c r="AD184" s="284"/>
      <c r="AE184" s="284"/>
      <c r="AF184" s="284"/>
      <c r="AG184" s="284"/>
      <c r="AH184" s="284"/>
      <c r="AI184" s="284"/>
      <c r="AJ184" s="284"/>
      <c r="AK184" s="284"/>
      <c r="AL184" s="284"/>
      <c r="AM184" s="284"/>
      <c r="AN184" s="284"/>
      <c r="AO184" s="284"/>
      <c r="AP184" s="284"/>
      <c r="AQ184" s="284"/>
    </row>
    <row r="185" spans="2:103" x14ac:dyDescent="0.2">
      <c r="B185" s="57" t="s">
        <v>5</v>
      </c>
      <c r="C185" s="286"/>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c r="AC185" s="247"/>
      <c r="AD185" s="247"/>
      <c r="AE185" s="247"/>
      <c r="AF185" s="247"/>
      <c r="AG185" s="247"/>
      <c r="AH185" s="247"/>
      <c r="AI185" s="247"/>
      <c r="AJ185" s="247"/>
      <c r="AK185" s="247"/>
      <c r="AL185" s="247"/>
      <c r="AM185" s="247"/>
      <c r="AN185" s="247"/>
      <c r="AO185" s="247"/>
      <c r="AP185" s="247"/>
      <c r="AQ185" s="247"/>
    </row>
    <row r="186" spans="2:103" x14ac:dyDescent="0.2">
      <c r="B186" s="275" t="s">
        <v>297</v>
      </c>
      <c r="C186" s="287"/>
      <c r="D186" s="288"/>
      <c r="E186" s="288"/>
      <c r="F186" s="288"/>
      <c r="G186" s="288"/>
      <c r="H186" s="288"/>
      <c r="I186" s="288"/>
      <c r="J186" s="288"/>
      <c r="K186" s="288"/>
      <c r="L186" s="288"/>
      <c r="M186" s="288"/>
      <c r="N186" s="288"/>
      <c r="O186" s="288"/>
      <c r="P186" s="288"/>
      <c r="Q186" s="288"/>
      <c r="R186" s="288"/>
      <c r="S186" s="288"/>
      <c r="T186" s="288"/>
      <c r="U186" s="288"/>
      <c r="V186" s="288"/>
      <c r="W186" s="288"/>
      <c r="X186" s="288"/>
      <c r="Y186" s="288"/>
      <c r="Z186" s="288"/>
      <c r="AA186" s="288"/>
      <c r="AB186" s="288"/>
      <c r="AC186" s="288"/>
      <c r="AD186" s="288"/>
      <c r="AE186" s="288"/>
      <c r="AF186" s="288"/>
      <c r="AG186" s="288"/>
      <c r="AH186" s="288"/>
      <c r="AI186" s="288"/>
      <c r="AJ186" s="288"/>
      <c r="AK186" s="288"/>
      <c r="AL186" s="288"/>
      <c r="AM186" s="288"/>
      <c r="AN186" s="288"/>
      <c r="AO186" s="288"/>
      <c r="AP186" s="288"/>
      <c r="AQ186" s="289"/>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row>
    <row r="187" spans="2:103" x14ac:dyDescent="0.2">
      <c r="B187" s="278" t="s">
        <v>298</v>
      </c>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c r="AA187" s="290"/>
      <c r="AB187" s="290"/>
      <c r="AC187" s="290"/>
      <c r="AD187" s="290"/>
      <c r="AE187" s="290"/>
      <c r="AF187" s="290"/>
      <c r="AG187" s="290"/>
      <c r="AH187" s="290"/>
      <c r="AI187" s="290"/>
      <c r="AJ187" s="290"/>
      <c r="AK187" s="290"/>
      <c r="AL187" s="290"/>
      <c r="AM187" s="290"/>
      <c r="AN187" s="290"/>
      <c r="AO187" s="290"/>
      <c r="AP187" s="290"/>
      <c r="AQ187" s="290"/>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row>
    <row r="188" spans="2:103" x14ac:dyDescent="0.2">
      <c r="B188" s="275" t="s">
        <v>355</v>
      </c>
      <c r="C188" s="288"/>
      <c r="D188" s="288"/>
      <c r="E188" s="288"/>
      <c r="F188" s="288"/>
      <c r="G188" s="288"/>
      <c r="H188" s="288"/>
      <c r="I188" s="288"/>
      <c r="J188" s="288"/>
      <c r="K188" s="288"/>
      <c r="L188" s="288"/>
      <c r="M188" s="288"/>
      <c r="N188" s="288"/>
      <c r="O188" s="288"/>
      <c r="P188" s="288"/>
      <c r="Q188" s="288"/>
      <c r="R188" s="288"/>
      <c r="S188" s="288"/>
      <c r="T188" s="288"/>
      <c r="U188" s="288"/>
      <c r="V188" s="288"/>
      <c r="W188" s="288"/>
      <c r="X188" s="288"/>
      <c r="Y188" s="288"/>
      <c r="Z188" s="288"/>
      <c r="AA188" s="288"/>
      <c r="AB188" s="288"/>
      <c r="AC188" s="288"/>
      <c r="AD188" s="288"/>
      <c r="AE188" s="288"/>
      <c r="AF188" s="288"/>
      <c r="AG188" s="288"/>
      <c r="AH188" s="288"/>
      <c r="AI188" s="288"/>
      <c r="AJ188" s="288"/>
      <c r="AK188" s="288"/>
      <c r="AL188" s="288"/>
      <c r="AM188" s="288"/>
      <c r="AN188" s="288"/>
      <c r="AO188" s="288"/>
      <c r="AP188" s="288"/>
      <c r="AQ188" s="289"/>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row>
    <row r="189" spans="2:103" x14ac:dyDescent="0.2">
      <c r="B189" s="276" t="s">
        <v>317</v>
      </c>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c r="AA189" s="291"/>
      <c r="AB189" s="291"/>
      <c r="AC189" s="291"/>
      <c r="AD189" s="291"/>
      <c r="AE189" s="291"/>
      <c r="AF189" s="291"/>
      <c r="AG189" s="291"/>
      <c r="AH189" s="291"/>
      <c r="AI189" s="291"/>
      <c r="AJ189" s="291"/>
      <c r="AK189" s="291"/>
      <c r="AL189" s="291"/>
      <c r="AM189" s="291"/>
      <c r="AN189" s="291"/>
      <c r="AO189" s="291"/>
      <c r="AP189" s="291"/>
      <c r="AQ189" s="29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row>
    <row r="190" spans="2:103" x14ac:dyDescent="0.2">
      <c r="B190" s="256" t="s">
        <v>318</v>
      </c>
      <c r="C190" s="292"/>
      <c r="D190" s="292"/>
      <c r="E190" s="292"/>
      <c r="F190" s="292"/>
      <c r="G190" s="292"/>
      <c r="H190" s="292"/>
      <c r="I190" s="292"/>
      <c r="J190" s="292"/>
      <c r="K190" s="292"/>
      <c r="L190" s="292"/>
      <c r="M190" s="292"/>
      <c r="N190" s="292"/>
      <c r="O190" s="292"/>
      <c r="P190" s="292"/>
      <c r="Q190" s="292"/>
      <c r="R190" s="292"/>
      <c r="S190" s="292"/>
      <c r="T190" s="292"/>
      <c r="U190" s="292"/>
      <c r="V190" s="292"/>
      <c r="W190" s="292"/>
      <c r="X190" s="292"/>
      <c r="Y190" s="292"/>
      <c r="Z190" s="292"/>
      <c r="AA190" s="292"/>
      <c r="AB190" s="292"/>
      <c r="AC190" s="292"/>
      <c r="AD190" s="292"/>
      <c r="AE190" s="292"/>
      <c r="AF190" s="292"/>
      <c r="AG190" s="292"/>
      <c r="AH190" s="292"/>
      <c r="AI190" s="292"/>
      <c r="AJ190" s="292"/>
      <c r="AK190" s="292"/>
      <c r="AL190" s="292"/>
      <c r="AM190" s="292"/>
      <c r="AN190" s="292"/>
      <c r="AO190" s="292"/>
      <c r="AP190" s="292"/>
      <c r="AQ190" s="292"/>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row>
    <row r="191" spans="2:103" x14ac:dyDescent="0.2">
      <c r="B191" s="256" t="s">
        <v>356</v>
      </c>
      <c r="C191" s="292"/>
      <c r="D191" s="292"/>
      <c r="E191" s="292"/>
      <c r="F191" s="292"/>
      <c r="G191" s="292"/>
      <c r="H191" s="292"/>
      <c r="I191" s="292"/>
      <c r="J191" s="292"/>
      <c r="K191" s="292"/>
      <c r="L191" s="292"/>
      <c r="M191" s="292"/>
      <c r="N191" s="292"/>
      <c r="O191" s="292"/>
      <c r="P191" s="292"/>
      <c r="Q191" s="292"/>
      <c r="R191" s="292"/>
      <c r="S191" s="292"/>
      <c r="T191" s="292"/>
      <c r="U191" s="292"/>
      <c r="V191" s="292"/>
      <c r="W191" s="292"/>
      <c r="X191" s="292"/>
      <c r="Y191" s="292"/>
      <c r="Z191" s="292"/>
      <c r="AA191" s="292"/>
      <c r="AB191" s="292"/>
      <c r="AC191" s="292"/>
      <c r="AD191" s="292"/>
      <c r="AE191" s="292"/>
      <c r="AF191" s="292"/>
      <c r="AG191" s="292"/>
      <c r="AH191" s="292"/>
      <c r="AI191" s="292"/>
      <c r="AJ191" s="292"/>
      <c r="AK191" s="292"/>
      <c r="AL191" s="292"/>
      <c r="AM191" s="292"/>
      <c r="AN191" s="292"/>
      <c r="AO191" s="292"/>
      <c r="AP191" s="292"/>
      <c r="AQ191" s="292"/>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row>
    <row r="192" spans="2:103" x14ac:dyDescent="0.2">
      <c r="B192" s="277" t="s">
        <v>292</v>
      </c>
      <c r="C192" s="293"/>
      <c r="D192" s="293"/>
      <c r="E192" s="293"/>
      <c r="F192" s="293"/>
      <c r="G192" s="293"/>
      <c r="H192" s="293"/>
      <c r="I192" s="293"/>
      <c r="J192" s="293"/>
      <c r="K192" s="293"/>
      <c r="L192" s="293"/>
      <c r="M192" s="293"/>
      <c r="N192" s="293"/>
      <c r="O192" s="293"/>
      <c r="P192" s="293"/>
      <c r="Q192" s="293"/>
      <c r="R192" s="293"/>
      <c r="S192" s="293"/>
      <c r="T192" s="293"/>
      <c r="U192" s="293"/>
      <c r="V192" s="293"/>
      <c r="W192" s="293"/>
      <c r="X192" s="293"/>
      <c r="Y192" s="293"/>
      <c r="Z192" s="293"/>
      <c r="AA192" s="293"/>
      <c r="AB192" s="293"/>
      <c r="AC192" s="293"/>
      <c r="AD192" s="293"/>
      <c r="AE192" s="293"/>
      <c r="AF192" s="293"/>
      <c r="AG192" s="293"/>
      <c r="AH192" s="293"/>
      <c r="AI192" s="293"/>
      <c r="AJ192" s="293"/>
      <c r="AK192" s="293"/>
      <c r="AL192" s="293"/>
      <c r="AM192" s="293"/>
      <c r="AN192" s="293"/>
      <c r="AO192" s="293"/>
      <c r="AP192" s="293"/>
      <c r="AQ192" s="293"/>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row>
    <row r="193" spans="2:103" x14ac:dyDescent="0.2">
      <c r="B193" s="254" t="s">
        <v>321</v>
      </c>
      <c r="C193" s="294"/>
      <c r="D193" s="295"/>
      <c r="E193" s="295"/>
      <c r="F193" s="295"/>
      <c r="G193" s="295"/>
      <c r="H193" s="295"/>
      <c r="I193" s="295"/>
      <c r="J193" s="295"/>
      <c r="K193" s="295"/>
      <c r="L193" s="295"/>
      <c r="M193" s="295"/>
      <c r="N193" s="295"/>
      <c r="O193" s="295"/>
      <c r="P193" s="295"/>
      <c r="Q193" s="295"/>
      <c r="R193" s="295"/>
      <c r="S193" s="295"/>
      <c r="T193" s="295"/>
      <c r="U193" s="295"/>
      <c r="V193" s="295"/>
      <c r="W193" s="295"/>
      <c r="X193" s="295"/>
      <c r="Y193" s="295"/>
      <c r="Z193" s="295"/>
      <c r="AA193" s="295"/>
      <c r="AB193" s="295"/>
      <c r="AC193" s="295"/>
      <c r="AD193" s="295"/>
      <c r="AE193" s="295"/>
      <c r="AF193" s="295"/>
      <c r="AG193" s="295"/>
      <c r="AH193" s="295"/>
      <c r="AI193" s="295"/>
      <c r="AJ193" s="295"/>
      <c r="AK193" s="295"/>
      <c r="AL193" s="295"/>
      <c r="AM193" s="295"/>
      <c r="AN193" s="295"/>
      <c r="AO193" s="295"/>
      <c r="AP193" s="295"/>
      <c r="AQ193" s="296"/>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row>
    <row r="194" spans="2:103" x14ac:dyDescent="0.2">
      <c r="B194" s="276" t="s">
        <v>315</v>
      </c>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c r="AA194" s="291"/>
      <c r="AB194" s="291"/>
      <c r="AC194" s="291"/>
      <c r="AD194" s="291"/>
      <c r="AE194" s="291"/>
      <c r="AF194" s="291"/>
      <c r="AG194" s="291"/>
      <c r="AH194" s="291"/>
      <c r="AI194" s="291"/>
      <c r="AJ194" s="291"/>
      <c r="AK194" s="291"/>
      <c r="AL194" s="291"/>
      <c r="AM194" s="291"/>
      <c r="AN194" s="291"/>
      <c r="AO194" s="291"/>
      <c r="AP194" s="291"/>
      <c r="AQ194" s="29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row>
    <row r="195" spans="2:103" x14ac:dyDescent="0.2">
      <c r="B195" s="256" t="s">
        <v>316</v>
      </c>
      <c r="C195" s="292"/>
      <c r="D195" s="292"/>
      <c r="E195" s="292"/>
      <c r="F195" s="292"/>
      <c r="G195" s="292"/>
      <c r="H195" s="292"/>
      <c r="I195" s="292"/>
      <c r="J195" s="292"/>
      <c r="K195" s="292"/>
      <c r="L195" s="292"/>
      <c r="M195" s="292"/>
      <c r="N195" s="292"/>
      <c r="O195" s="292"/>
      <c r="P195" s="292"/>
      <c r="Q195" s="292"/>
      <c r="R195" s="292"/>
      <c r="S195" s="292"/>
      <c r="T195" s="292"/>
      <c r="U195" s="292"/>
      <c r="V195" s="292"/>
      <c r="W195" s="292"/>
      <c r="X195" s="292"/>
      <c r="Y195" s="292"/>
      <c r="Z195" s="292"/>
      <c r="AA195" s="292"/>
      <c r="AB195" s="292"/>
      <c r="AC195" s="292"/>
      <c r="AD195" s="292"/>
      <c r="AE195" s="292"/>
      <c r="AF195" s="292"/>
      <c r="AG195" s="292"/>
      <c r="AH195" s="292"/>
      <c r="AI195" s="292"/>
      <c r="AJ195" s="292"/>
      <c r="AK195" s="292"/>
      <c r="AL195" s="292"/>
      <c r="AM195" s="292"/>
      <c r="AN195" s="292"/>
      <c r="AO195" s="292"/>
      <c r="AP195" s="292"/>
      <c r="AQ195" s="292"/>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row>
    <row r="196" spans="2:103" x14ac:dyDescent="0.2">
      <c r="B196" s="256" t="s">
        <v>357</v>
      </c>
      <c r="C196" s="292"/>
      <c r="D196" s="292"/>
      <c r="E196" s="292"/>
      <c r="F196" s="292"/>
      <c r="G196" s="292"/>
      <c r="H196" s="292"/>
      <c r="I196" s="292"/>
      <c r="J196" s="292"/>
      <c r="K196" s="292"/>
      <c r="L196" s="292"/>
      <c r="M196" s="292"/>
      <c r="N196" s="292"/>
      <c r="O196" s="292"/>
      <c r="P196" s="292"/>
      <c r="Q196" s="292"/>
      <c r="R196" s="292"/>
      <c r="S196" s="292"/>
      <c r="T196" s="292"/>
      <c r="U196" s="292"/>
      <c r="V196" s="292"/>
      <c r="W196" s="292"/>
      <c r="X196" s="292"/>
      <c r="Y196" s="292"/>
      <c r="Z196" s="292"/>
      <c r="AA196" s="292"/>
      <c r="AB196" s="292"/>
      <c r="AC196" s="292"/>
      <c r="AD196" s="292"/>
      <c r="AE196" s="292"/>
      <c r="AF196" s="292"/>
      <c r="AG196" s="292"/>
      <c r="AH196" s="292"/>
      <c r="AI196" s="292"/>
      <c r="AJ196" s="292"/>
      <c r="AK196" s="292"/>
      <c r="AL196" s="292"/>
      <c r="AM196" s="292"/>
      <c r="AN196" s="292"/>
      <c r="AO196" s="292"/>
      <c r="AP196" s="292"/>
      <c r="AQ196" s="292"/>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row>
    <row r="197" spans="2:103" x14ac:dyDescent="0.2">
      <c r="B197" s="256" t="s">
        <v>319</v>
      </c>
      <c r="C197" s="292"/>
      <c r="D197" s="292"/>
      <c r="E197" s="292"/>
      <c r="F197" s="292"/>
      <c r="G197" s="292"/>
      <c r="H197" s="292"/>
      <c r="I197" s="292"/>
      <c r="J197" s="292"/>
      <c r="K197" s="292"/>
      <c r="L197" s="292"/>
      <c r="M197" s="292"/>
      <c r="N197" s="292"/>
      <c r="O197" s="292"/>
      <c r="P197" s="292"/>
      <c r="Q197" s="292"/>
      <c r="R197" s="292"/>
      <c r="S197" s="292"/>
      <c r="T197" s="292"/>
      <c r="U197" s="292"/>
      <c r="V197" s="292"/>
      <c r="W197" s="292"/>
      <c r="X197" s="292"/>
      <c r="Y197" s="292"/>
      <c r="Z197" s="292"/>
      <c r="AA197" s="292"/>
      <c r="AB197" s="292"/>
      <c r="AC197" s="292"/>
      <c r="AD197" s="292"/>
      <c r="AE197" s="292"/>
      <c r="AF197" s="292"/>
      <c r="AG197" s="292"/>
      <c r="AH197" s="292"/>
      <c r="AI197" s="292"/>
      <c r="AJ197" s="292"/>
      <c r="AK197" s="292"/>
      <c r="AL197" s="292"/>
      <c r="AM197" s="292"/>
      <c r="AN197" s="292"/>
      <c r="AO197" s="292"/>
      <c r="AP197" s="292"/>
      <c r="AQ197" s="292"/>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row>
    <row r="198" spans="2:103" x14ac:dyDescent="0.2">
      <c r="B198" s="277" t="s">
        <v>323</v>
      </c>
      <c r="C198" s="196"/>
      <c r="D198" s="293"/>
      <c r="E198" s="293"/>
      <c r="F198" s="293"/>
      <c r="G198" s="293"/>
      <c r="H198" s="293"/>
      <c r="I198" s="293"/>
      <c r="J198" s="293"/>
      <c r="K198" s="293"/>
      <c r="L198" s="293"/>
      <c r="M198" s="293"/>
      <c r="N198" s="293"/>
      <c r="O198" s="293"/>
      <c r="P198" s="293"/>
      <c r="Q198" s="293"/>
      <c r="R198" s="293"/>
      <c r="S198" s="293"/>
      <c r="T198" s="293"/>
      <c r="U198" s="293"/>
      <c r="V198" s="293"/>
      <c r="W198" s="293"/>
      <c r="X198" s="293"/>
      <c r="Y198" s="293"/>
      <c r="Z198" s="293"/>
      <c r="AA198" s="293"/>
      <c r="AB198" s="293"/>
      <c r="AC198" s="293"/>
      <c r="AD198" s="293"/>
      <c r="AE198" s="293"/>
      <c r="AF198" s="293"/>
      <c r="AG198" s="293"/>
      <c r="AH198" s="293"/>
      <c r="AI198" s="293"/>
      <c r="AJ198" s="293"/>
      <c r="AK198" s="293"/>
      <c r="AL198" s="293"/>
      <c r="AM198" s="293"/>
      <c r="AN198" s="293"/>
      <c r="AO198" s="293"/>
      <c r="AP198" s="293"/>
      <c r="AQ198" s="293"/>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row>
    <row r="199" spans="2:103" x14ac:dyDescent="0.2">
      <c r="B199" s="275" t="s">
        <v>358</v>
      </c>
      <c r="C199" s="288"/>
      <c r="D199" s="288"/>
      <c r="E199" s="288"/>
      <c r="F199" s="288"/>
      <c r="G199" s="288"/>
      <c r="H199" s="288"/>
      <c r="I199" s="288"/>
      <c r="J199" s="288"/>
      <c r="K199" s="288"/>
      <c r="L199" s="288"/>
      <c r="M199" s="288"/>
      <c r="N199" s="288"/>
      <c r="O199" s="288"/>
      <c r="P199" s="288"/>
      <c r="Q199" s="288"/>
      <c r="R199" s="288"/>
      <c r="S199" s="288"/>
      <c r="T199" s="288"/>
      <c r="U199" s="288"/>
      <c r="V199" s="288"/>
      <c r="W199" s="288"/>
      <c r="X199" s="288"/>
      <c r="Y199" s="288"/>
      <c r="Z199" s="288"/>
      <c r="AA199" s="288"/>
      <c r="AB199" s="288"/>
      <c r="AC199" s="288"/>
      <c r="AD199" s="288"/>
      <c r="AE199" s="288"/>
      <c r="AF199" s="288"/>
      <c r="AG199" s="288"/>
      <c r="AH199" s="288"/>
      <c r="AI199" s="288"/>
      <c r="AJ199" s="288"/>
      <c r="AK199" s="288"/>
      <c r="AL199" s="288"/>
      <c r="AM199" s="288"/>
      <c r="AN199" s="288"/>
      <c r="AO199" s="288"/>
      <c r="AP199" s="288"/>
      <c r="AQ199" s="289"/>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row>
    <row r="200" spans="2:103" x14ac:dyDescent="0.2">
      <c r="B200" s="280" t="s">
        <v>324</v>
      </c>
      <c r="C200" s="293"/>
      <c r="D200" s="292"/>
      <c r="E200" s="292"/>
      <c r="F200" s="292"/>
      <c r="G200" s="292"/>
      <c r="H200" s="292"/>
      <c r="I200" s="292"/>
      <c r="J200" s="292"/>
      <c r="K200" s="292"/>
      <c r="L200" s="292"/>
      <c r="M200" s="292"/>
      <c r="N200" s="292"/>
      <c r="O200" s="292"/>
      <c r="P200" s="292"/>
      <c r="Q200" s="292"/>
      <c r="R200" s="292"/>
      <c r="S200" s="292"/>
      <c r="T200" s="292"/>
      <c r="U200" s="292"/>
      <c r="V200" s="292"/>
      <c r="W200" s="292"/>
      <c r="X200" s="292"/>
      <c r="Y200" s="292"/>
      <c r="Z200" s="292"/>
      <c r="AA200" s="292"/>
      <c r="AB200" s="292"/>
      <c r="AC200" s="292"/>
      <c r="AD200" s="292"/>
      <c r="AE200" s="292"/>
      <c r="AF200" s="292"/>
      <c r="AG200" s="292"/>
      <c r="AH200" s="292"/>
      <c r="AI200" s="292"/>
      <c r="AJ200" s="292"/>
      <c r="AK200" s="292"/>
      <c r="AL200" s="292"/>
      <c r="AM200" s="292"/>
      <c r="AN200" s="292"/>
      <c r="AO200" s="292"/>
      <c r="AP200" s="292"/>
      <c r="AQ200" s="292"/>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row>
    <row r="201" spans="2:103" x14ac:dyDescent="0.2">
      <c r="B201" s="37" t="s">
        <v>359</v>
      </c>
      <c r="C201" s="292"/>
      <c r="D201" s="292"/>
      <c r="E201" s="292"/>
      <c r="F201" s="292"/>
      <c r="G201" s="292"/>
      <c r="H201" s="292"/>
      <c r="I201" s="292"/>
      <c r="J201" s="292"/>
      <c r="K201" s="292"/>
      <c r="L201" s="292"/>
      <c r="M201" s="292"/>
      <c r="N201" s="292"/>
      <c r="O201" s="292"/>
      <c r="P201" s="292"/>
      <c r="Q201" s="292"/>
      <c r="R201" s="292"/>
      <c r="S201" s="292"/>
      <c r="T201" s="292"/>
      <c r="U201" s="292"/>
      <c r="V201" s="292"/>
      <c r="W201" s="292"/>
      <c r="X201" s="292"/>
      <c r="Y201" s="292"/>
      <c r="Z201" s="292"/>
      <c r="AA201" s="292"/>
      <c r="AB201" s="292"/>
      <c r="AC201" s="292"/>
      <c r="AD201" s="292"/>
      <c r="AE201" s="292"/>
      <c r="AF201" s="292"/>
      <c r="AG201" s="292"/>
      <c r="AH201" s="292"/>
      <c r="AI201" s="292"/>
      <c r="AJ201" s="292"/>
      <c r="AK201" s="292"/>
      <c r="AL201" s="292"/>
      <c r="AM201" s="292"/>
      <c r="AN201" s="292"/>
      <c r="AO201" s="292"/>
      <c r="AP201" s="292"/>
      <c r="AQ201" s="292"/>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row>
    <row r="202" spans="2:103" x14ac:dyDescent="0.2">
      <c r="B202" s="279" t="s">
        <v>360</v>
      </c>
      <c r="C202" s="292"/>
      <c r="D202" s="292"/>
      <c r="E202" s="292"/>
      <c r="F202" s="292"/>
      <c r="G202" s="292"/>
      <c r="H202" s="292"/>
      <c r="I202" s="292"/>
      <c r="J202" s="292"/>
      <c r="K202" s="292"/>
      <c r="L202" s="292"/>
      <c r="M202" s="292"/>
      <c r="N202" s="292"/>
      <c r="O202" s="292"/>
      <c r="P202" s="292"/>
      <c r="Q202" s="292"/>
      <c r="R202" s="292"/>
      <c r="S202" s="292"/>
      <c r="T202" s="292"/>
      <c r="U202" s="292"/>
      <c r="V202" s="292"/>
      <c r="W202" s="292"/>
      <c r="X202" s="292"/>
      <c r="Y202" s="292"/>
      <c r="Z202" s="292"/>
      <c r="AA202" s="292"/>
      <c r="AB202" s="292"/>
      <c r="AC202" s="292"/>
      <c r="AD202" s="292"/>
      <c r="AE202" s="292"/>
      <c r="AF202" s="292"/>
      <c r="AG202" s="292"/>
      <c r="AH202" s="292"/>
      <c r="AI202" s="292"/>
      <c r="AJ202" s="292"/>
      <c r="AK202" s="292"/>
      <c r="AL202" s="292"/>
      <c r="AM202" s="292"/>
      <c r="AN202" s="292"/>
      <c r="AO202" s="292"/>
      <c r="AP202" s="292"/>
      <c r="AQ202" s="292"/>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row>
    <row r="203" spans="2:103" x14ac:dyDescent="0.2">
      <c r="B203" s="275" t="s">
        <v>361</v>
      </c>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c r="AA203" s="288"/>
      <c r="AB203" s="288"/>
      <c r="AC203" s="288"/>
      <c r="AD203" s="288"/>
      <c r="AE203" s="288"/>
      <c r="AF203" s="288"/>
      <c r="AG203" s="288"/>
      <c r="AH203" s="288"/>
      <c r="AI203" s="288"/>
      <c r="AJ203" s="288"/>
      <c r="AK203" s="288"/>
      <c r="AL203" s="288"/>
      <c r="AM203" s="288"/>
      <c r="AN203" s="288"/>
      <c r="AO203" s="288"/>
      <c r="AP203" s="288"/>
      <c r="AQ203" s="289"/>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row>
    <row r="204" spans="2:103" x14ac:dyDescent="0.2">
      <c r="B204" s="280" t="s">
        <v>362</v>
      </c>
      <c r="C204" s="292"/>
      <c r="D204" s="292"/>
      <c r="E204" s="292"/>
      <c r="F204" s="292"/>
      <c r="G204" s="292"/>
      <c r="H204" s="292"/>
      <c r="I204" s="292"/>
      <c r="J204" s="292"/>
      <c r="K204" s="292"/>
      <c r="L204" s="292"/>
      <c r="M204" s="292"/>
      <c r="N204" s="292"/>
      <c r="O204" s="292"/>
      <c r="P204" s="292"/>
      <c r="Q204" s="292"/>
      <c r="R204" s="292"/>
      <c r="S204" s="292"/>
      <c r="T204" s="292"/>
      <c r="U204" s="292"/>
      <c r="V204" s="292"/>
      <c r="W204" s="292"/>
      <c r="X204" s="292"/>
      <c r="Y204" s="292"/>
      <c r="Z204" s="292"/>
      <c r="AA204" s="292"/>
      <c r="AB204" s="292"/>
      <c r="AC204" s="292"/>
      <c r="AD204" s="292"/>
      <c r="AE204" s="292"/>
      <c r="AF204" s="292"/>
      <c r="AG204" s="292"/>
      <c r="AH204" s="292"/>
      <c r="AI204" s="292"/>
      <c r="AJ204" s="292"/>
      <c r="AK204" s="292"/>
      <c r="AL204" s="292"/>
      <c r="AM204" s="292"/>
      <c r="AN204" s="292"/>
      <c r="AO204" s="292"/>
      <c r="AP204" s="292"/>
      <c r="AQ204" s="292"/>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row>
    <row r="205" spans="2:103" x14ac:dyDescent="0.2">
      <c r="B205" s="254" t="s">
        <v>273</v>
      </c>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258"/>
    </row>
    <row r="206" spans="2:103" x14ac:dyDescent="0.2">
      <c r="B206" s="255" t="s">
        <v>293</v>
      </c>
      <c r="C206" s="196"/>
      <c r="D206" s="196"/>
      <c r="E206" s="196"/>
      <c r="F206" s="196"/>
      <c r="G206" s="196"/>
      <c r="H206" s="196"/>
      <c r="I206" s="196"/>
      <c r="J206" s="196"/>
      <c r="K206" s="196"/>
      <c r="L206" s="196"/>
      <c r="M206" s="196"/>
      <c r="N206" s="196"/>
      <c r="O206" s="196"/>
      <c r="P206" s="196"/>
      <c r="Q206" s="196"/>
      <c r="R206" s="196"/>
      <c r="S206" s="196"/>
      <c r="T206" s="196"/>
      <c r="U206" s="196"/>
      <c r="V206" s="196"/>
      <c r="W206" s="196"/>
      <c r="X206" s="196"/>
      <c r="Y206" s="196"/>
      <c r="Z206" s="196"/>
      <c r="AA206" s="196"/>
      <c r="AB206" s="196"/>
      <c r="AC206" s="196"/>
      <c r="AD206" s="196"/>
      <c r="AE206" s="196"/>
      <c r="AF206" s="196"/>
      <c r="AG206" s="196"/>
      <c r="AH206" s="196"/>
      <c r="AI206" s="196"/>
      <c r="AJ206" s="196"/>
      <c r="AK206" s="196"/>
      <c r="AL206" s="196"/>
      <c r="AM206" s="196"/>
      <c r="AN206" s="196"/>
      <c r="AO206" s="196"/>
      <c r="AP206" s="196"/>
      <c r="AQ206" s="196"/>
    </row>
    <row r="207" spans="2:103" x14ac:dyDescent="0.2">
      <c r="B207" s="255" t="s">
        <v>294</v>
      </c>
      <c r="C207" s="284"/>
      <c r="D207" s="284"/>
      <c r="E207" s="284"/>
      <c r="F207" s="284"/>
      <c r="G207" s="284"/>
      <c r="H207" s="284"/>
      <c r="I207" s="284"/>
      <c r="J207" s="284"/>
      <c r="K207" s="284"/>
      <c r="L207" s="284"/>
      <c r="M207" s="284"/>
      <c r="N207" s="284"/>
      <c r="O207" s="284"/>
      <c r="P207" s="284"/>
      <c r="Q207" s="284"/>
      <c r="R207" s="284"/>
      <c r="S207" s="284"/>
      <c r="T207" s="284"/>
      <c r="U207" s="284"/>
      <c r="V207" s="284"/>
      <c r="W207" s="284"/>
      <c r="X207" s="284"/>
      <c r="Y207" s="284"/>
      <c r="Z207" s="284"/>
      <c r="AA207" s="284"/>
      <c r="AB207" s="284"/>
      <c r="AC207" s="284"/>
      <c r="AD207" s="284"/>
      <c r="AE207" s="284"/>
      <c r="AF207" s="284"/>
      <c r="AG207" s="284"/>
      <c r="AH207" s="284"/>
      <c r="AI207" s="284"/>
      <c r="AJ207" s="284"/>
      <c r="AK207" s="284"/>
      <c r="AL207" s="284"/>
      <c r="AM207" s="284"/>
      <c r="AN207" s="284"/>
      <c r="AO207" s="284"/>
      <c r="AP207" s="284"/>
      <c r="AQ207" s="284"/>
    </row>
    <row r="208" spans="2:103" x14ac:dyDescent="0.2">
      <c r="B208" s="255" t="s">
        <v>295</v>
      </c>
      <c r="C208" s="284"/>
      <c r="D208" s="284"/>
      <c r="E208" s="284"/>
      <c r="F208" s="284"/>
      <c r="G208" s="284"/>
      <c r="H208" s="284"/>
      <c r="I208" s="284"/>
      <c r="J208" s="284"/>
      <c r="K208" s="284"/>
      <c r="L208" s="284"/>
      <c r="M208" s="284"/>
      <c r="N208" s="284"/>
      <c r="O208" s="284"/>
      <c r="P208" s="284"/>
      <c r="Q208" s="284"/>
      <c r="R208" s="284"/>
      <c r="S208" s="284"/>
      <c r="T208" s="284"/>
      <c r="U208" s="284"/>
      <c r="V208" s="284"/>
      <c r="W208" s="284"/>
      <c r="X208" s="284"/>
      <c r="Y208" s="284"/>
      <c r="Z208" s="284"/>
      <c r="AA208" s="284"/>
      <c r="AB208" s="284"/>
      <c r="AC208" s="284"/>
      <c r="AD208" s="284"/>
      <c r="AE208" s="284"/>
      <c r="AF208" s="284"/>
      <c r="AG208" s="284"/>
      <c r="AH208" s="284"/>
      <c r="AI208" s="284"/>
      <c r="AJ208" s="284"/>
      <c r="AK208" s="284"/>
      <c r="AL208" s="284"/>
      <c r="AM208" s="284"/>
      <c r="AN208" s="284"/>
      <c r="AO208" s="284"/>
      <c r="AP208" s="284"/>
      <c r="AQ208" s="284"/>
    </row>
    <row r="209" spans="2:43" x14ac:dyDescent="0.2">
      <c r="B209" s="254" t="s">
        <v>300</v>
      </c>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31"/>
    </row>
    <row r="210" spans="2:43" x14ac:dyDescent="0.2">
      <c r="B210" s="299" t="s">
        <v>301</v>
      </c>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c r="AC210" s="247"/>
      <c r="AD210" s="247"/>
      <c r="AE210" s="247"/>
      <c r="AF210" s="247"/>
      <c r="AG210" s="247"/>
      <c r="AH210" s="247"/>
      <c r="AI210" s="247"/>
      <c r="AJ210" s="247"/>
      <c r="AK210" s="247"/>
      <c r="AL210" s="247"/>
      <c r="AM210" s="247"/>
      <c r="AN210" s="247"/>
      <c r="AO210" s="247"/>
      <c r="AP210" s="247"/>
      <c r="AQ210" s="247"/>
    </row>
    <row r="211" spans="2:43" x14ac:dyDescent="0.2">
      <c r="B211" s="302" t="s">
        <v>365</v>
      </c>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c r="AB211" s="297"/>
      <c r="AC211" s="297"/>
      <c r="AD211" s="297"/>
      <c r="AE211" s="297"/>
      <c r="AF211" s="297"/>
      <c r="AG211" s="297"/>
      <c r="AH211" s="297"/>
      <c r="AI211" s="297"/>
      <c r="AJ211" s="297"/>
      <c r="AK211" s="297"/>
      <c r="AL211" s="297"/>
      <c r="AM211" s="297"/>
      <c r="AN211" s="297"/>
      <c r="AO211" s="297"/>
      <c r="AP211" s="297"/>
      <c r="AQ211" s="298"/>
    </row>
    <row r="212" spans="2:43" x14ac:dyDescent="0.2">
      <c r="B212" s="300" t="s">
        <v>366</v>
      </c>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c r="AA212" s="301"/>
      <c r="AB212" s="301"/>
      <c r="AC212" s="301"/>
      <c r="AD212" s="301"/>
      <c r="AE212" s="301"/>
      <c r="AF212" s="301"/>
      <c r="AG212" s="301"/>
      <c r="AH212" s="301"/>
      <c r="AI212" s="301"/>
      <c r="AJ212" s="301"/>
      <c r="AK212" s="301"/>
      <c r="AL212" s="301"/>
      <c r="AM212" s="301"/>
      <c r="AN212" s="301"/>
      <c r="AO212" s="301"/>
      <c r="AP212" s="301"/>
      <c r="AQ212" s="301"/>
    </row>
    <row r="213" spans="2:43" x14ac:dyDescent="0.2">
      <c r="B213" s="299" t="s">
        <v>367</v>
      </c>
      <c r="C213" s="303"/>
      <c r="D213" s="303"/>
      <c r="E213" s="303"/>
      <c r="F213" s="303"/>
      <c r="G213" s="303"/>
      <c r="H213" s="303"/>
      <c r="I213" s="303"/>
      <c r="J213" s="303"/>
      <c r="K213" s="303"/>
      <c r="L213" s="303"/>
      <c r="M213" s="303"/>
      <c r="N213" s="303"/>
      <c r="O213" s="303"/>
      <c r="P213" s="303"/>
      <c r="Q213" s="303"/>
      <c r="R213" s="303"/>
      <c r="S213" s="303"/>
      <c r="T213" s="303"/>
      <c r="U213" s="303"/>
      <c r="V213" s="303"/>
      <c r="W213" s="303"/>
      <c r="X213" s="303"/>
      <c r="Y213" s="303"/>
      <c r="Z213" s="303"/>
      <c r="AA213" s="303"/>
      <c r="AB213" s="303"/>
      <c r="AC213" s="303"/>
      <c r="AD213" s="303"/>
      <c r="AE213" s="303"/>
      <c r="AF213" s="303"/>
      <c r="AG213" s="303"/>
      <c r="AH213" s="303"/>
      <c r="AI213" s="303"/>
      <c r="AJ213" s="303"/>
      <c r="AK213" s="303"/>
      <c r="AL213" s="303"/>
      <c r="AM213" s="303"/>
      <c r="AN213" s="303"/>
      <c r="AO213" s="303"/>
      <c r="AP213" s="303"/>
      <c r="AQ213" s="303"/>
    </row>
    <row r="214" spans="2:43" x14ac:dyDescent="0.2">
      <c r="B214" s="302" t="s">
        <v>368</v>
      </c>
      <c r="C214" s="297"/>
      <c r="D214" s="297"/>
      <c r="E214" s="297"/>
      <c r="F214" s="297"/>
      <c r="G214" s="297"/>
      <c r="H214" s="297"/>
      <c r="I214" s="297"/>
      <c r="J214" s="297"/>
      <c r="K214" s="297"/>
      <c r="L214" s="297"/>
      <c r="M214" s="297"/>
      <c r="N214" s="297"/>
      <c r="O214" s="297"/>
      <c r="P214" s="297"/>
      <c r="Q214" s="297"/>
      <c r="R214" s="297"/>
      <c r="S214" s="297"/>
      <c r="T214" s="297"/>
      <c r="U214" s="297"/>
      <c r="V214" s="297"/>
      <c r="W214" s="297"/>
      <c r="X214" s="297"/>
      <c r="Y214" s="297"/>
      <c r="Z214" s="297"/>
      <c r="AA214" s="297"/>
      <c r="AB214" s="297"/>
      <c r="AC214" s="297"/>
      <c r="AD214" s="297"/>
      <c r="AE214" s="297"/>
      <c r="AF214" s="297"/>
      <c r="AG214" s="297"/>
      <c r="AH214" s="297"/>
      <c r="AI214" s="297"/>
      <c r="AJ214" s="297"/>
      <c r="AK214" s="297"/>
      <c r="AL214" s="297"/>
      <c r="AM214" s="297"/>
      <c r="AN214" s="297"/>
      <c r="AO214" s="297"/>
      <c r="AP214" s="297"/>
      <c r="AQ214" s="298"/>
    </row>
    <row r="215" spans="2:43" x14ac:dyDescent="0.2">
      <c r="B215" s="300" t="s">
        <v>369</v>
      </c>
      <c r="C215" s="307"/>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c r="AA215" s="301"/>
      <c r="AB215" s="301"/>
      <c r="AC215" s="301"/>
      <c r="AD215" s="301"/>
      <c r="AE215" s="301"/>
      <c r="AF215" s="301"/>
      <c r="AG215" s="301"/>
      <c r="AH215" s="301"/>
      <c r="AI215" s="301"/>
      <c r="AJ215" s="301"/>
      <c r="AK215" s="301"/>
      <c r="AL215" s="301"/>
      <c r="AM215" s="301"/>
      <c r="AN215" s="301"/>
      <c r="AO215" s="301"/>
      <c r="AP215" s="301"/>
      <c r="AQ215" s="301"/>
    </row>
  </sheetData>
  <mergeCells count="1">
    <mergeCell ref="E101:F101"/>
  </mergeCells>
  <dataValidations xWindow="485" yWindow="427" count="8">
    <dataValidation type="list" allowBlank="1" showInputMessage="1" showErrorMessage="1" sqref="H133:H134 E103:F104 E106:F107 E125:H128 F130:G134 E120:H123 E115:H118 D137:G143" xr:uid="{00000000-0002-0000-0000-000000000000}">
      <formula1>"Yes,No"</formula1>
    </dataValidation>
    <dataValidation type="list" allowBlank="1" showInputMessage="1" showErrorMessage="1" sqref="N8 N10:N26" xr:uid="{00000000-0002-0000-0000-000001000000}">
      <formula1>"Initial Year Input, Annual Inputs"</formula1>
    </dataValidation>
    <dataValidation type="list" allowBlank="1" showInputMessage="1" errorTitle="State Depreciation Treatment" error="The single owner workbook does not handle custom depreciation schedules." sqref="C98" xr:uid="{00000000-0002-0000-0000-000002000000}">
      <formula1>$B$137:$B$143</formula1>
    </dataValidation>
    <dataValidation allowBlank="1" showInputMessage="1" showErrorMessage="1" sqref="W9 AH9 G40:J40" xr:uid="{00000000-0002-0000-0000-000003000000}"/>
    <dataValidation allowBlank="1" sqref="C45" xr:uid="{00000000-0002-0000-0000-000004000000}"/>
    <dataValidation errorTitle="Salvage Value" error="This is a calculated value shown for reference -- it should match the value in SAM. It is not used in the single owner workbook calculations." sqref="C54" xr:uid="{00000000-0002-0000-0000-000005000000}"/>
    <dataValidation errorTitle="Target Year Error" error="Please enter a target year less than or equal to the analysis period." sqref="C30" xr:uid="{00000000-0002-0000-0000-000006000000}"/>
    <dataValidation type="list" allowBlank="1" showInputMessage="1" errorTitle="Federal Depreciation Treatment" sqref="C97" xr:uid="{00000000-0002-0000-0000-000007000000}">
      <formula1>$B$137:$B$143</formula1>
    </dataValidation>
  </dataValidations>
  <pageMargins left="0.5" right="0.5" top="0.5" bottom="0.75" header="0.3" footer="0.3"/>
  <pageSetup scale="73" pageOrder="overThenDown" orientation="landscape" horizontalDpi="4294967294" r:id="rId1"/>
  <rowBreaks count="1" manualBreakCount="1">
    <brk id="111" min="1"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dimension ref="A1:AP740"/>
  <sheetViews>
    <sheetView zoomScale="90" zoomScaleNormal="90" workbookViewId="0">
      <pane xSplit="1" ySplit="2" topLeftCell="B3" activePane="bottomRight" state="frozen"/>
      <selection pane="topRight" activeCell="B1" sqref="B1"/>
      <selection pane="bottomLeft" activeCell="A3" sqref="A3"/>
      <selection pane="bottomRight"/>
    </sheetView>
  </sheetViews>
  <sheetFormatPr defaultColWidth="9.140625" defaultRowHeight="12.75" x14ac:dyDescent="0.2"/>
  <cols>
    <col min="1" max="1" width="50.85546875" style="4" customWidth="1"/>
    <col min="2" max="42" width="14.85546875" style="4" customWidth="1"/>
    <col min="43" max="16384" width="9.140625" style="4"/>
  </cols>
  <sheetData>
    <row r="1" spans="1:42" ht="21" thickBot="1" x14ac:dyDescent="0.4">
      <c r="A1" s="210" t="s">
        <v>326</v>
      </c>
    </row>
    <row r="2" spans="1:42" x14ac:dyDescent="0.2">
      <c r="A2" s="80" t="s">
        <v>1</v>
      </c>
      <c r="B2" s="15">
        <v>0</v>
      </c>
      <c r="C2" s="15" t="str">
        <f t="shared" ref="C2:AP2" si="0">IF(B2&lt;analysis_period,B2+1,"")</f>
        <v/>
      </c>
      <c r="D2" s="15" t="str">
        <f t="shared" si="0"/>
        <v/>
      </c>
      <c r="E2" s="15" t="str">
        <f t="shared" si="0"/>
        <v/>
      </c>
      <c r="F2" s="15" t="str">
        <f t="shared" si="0"/>
        <v/>
      </c>
      <c r="G2" s="15" t="str">
        <f t="shared" si="0"/>
        <v/>
      </c>
      <c r="H2" s="15" t="str">
        <f t="shared" si="0"/>
        <v/>
      </c>
      <c r="I2" s="15" t="str">
        <f t="shared" si="0"/>
        <v/>
      </c>
      <c r="J2" s="15" t="str">
        <f t="shared" si="0"/>
        <v/>
      </c>
      <c r="K2" s="15" t="str">
        <f t="shared" si="0"/>
        <v/>
      </c>
      <c r="L2" s="15" t="str">
        <f t="shared" si="0"/>
        <v/>
      </c>
      <c r="M2" s="15" t="str">
        <f t="shared" si="0"/>
        <v/>
      </c>
      <c r="N2" s="15" t="str">
        <f t="shared" si="0"/>
        <v/>
      </c>
      <c r="O2" s="15" t="str">
        <f t="shared" si="0"/>
        <v/>
      </c>
      <c r="P2" s="15" t="str">
        <f t="shared" si="0"/>
        <v/>
      </c>
      <c r="Q2" s="15" t="str">
        <f t="shared" si="0"/>
        <v/>
      </c>
      <c r="R2" s="15" t="str">
        <f t="shared" si="0"/>
        <v/>
      </c>
      <c r="S2" s="15" t="str">
        <f t="shared" si="0"/>
        <v/>
      </c>
      <c r="T2" s="15" t="str">
        <f t="shared" si="0"/>
        <v/>
      </c>
      <c r="U2" s="15" t="str">
        <f t="shared" si="0"/>
        <v/>
      </c>
      <c r="V2" s="15" t="str">
        <f t="shared" si="0"/>
        <v/>
      </c>
      <c r="W2" s="15" t="str">
        <f t="shared" si="0"/>
        <v/>
      </c>
      <c r="X2" s="15" t="str">
        <f t="shared" si="0"/>
        <v/>
      </c>
      <c r="Y2" s="15" t="str">
        <f t="shared" si="0"/>
        <v/>
      </c>
      <c r="Z2" s="15" t="str">
        <f t="shared" si="0"/>
        <v/>
      </c>
      <c r="AA2" s="15" t="str">
        <f t="shared" si="0"/>
        <v/>
      </c>
      <c r="AB2" s="15" t="str">
        <f t="shared" si="0"/>
        <v/>
      </c>
      <c r="AC2" s="15" t="str">
        <f t="shared" si="0"/>
        <v/>
      </c>
      <c r="AD2" s="15" t="str">
        <f t="shared" si="0"/>
        <v/>
      </c>
      <c r="AE2" s="15" t="str">
        <f t="shared" si="0"/>
        <v/>
      </c>
      <c r="AF2" s="15" t="str">
        <f t="shared" si="0"/>
        <v/>
      </c>
      <c r="AG2" s="15" t="str">
        <f t="shared" si="0"/>
        <v/>
      </c>
      <c r="AH2" s="15" t="str">
        <f t="shared" si="0"/>
        <v/>
      </c>
      <c r="AI2" s="15" t="str">
        <f t="shared" si="0"/>
        <v/>
      </c>
      <c r="AJ2" s="15" t="str">
        <f t="shared" si="0"/>
        <v/>
      </c>
      <c r="AK2" s="15" t="str">
        <f t="shared" si="0"/>
        <v/>
      </c>
      <c r="AL2" s="15" t="str">
        <f t="shared" si="0"/>
        <v/>
      </c>
      <c r="AM2" s="15" t="str">
        <f t="shared" si="0"/>
        <v/>
      </c>
      <c r="AN2" s="15" t="str">
        <f t="shared" si="0"/>
        <v/>
      </c>
      <c r="AO2" s="15" t="str">
        <f t="shared" si="0"/>
        <v/>
      </c>
      <c r="AP2" s="15" t="str">
        <f t="shared" si="0"/>
        <v/>
      </c>
    </row>
    <row r="3" spans="1:42" x14ac:dyDescent="0.2">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spans="1:42" x14ac:dyDescent="0.2">
      <c r="A4" s="80" t="s">
        <v>307</v>
      </c>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spans="1:42" x14ac:dyDescent="0.2">
      <c r="A5" s="4" t="s">
        <v>343</v>
      </c>
      <c r="B5" s="270">
        <f t="array" ref="B5:AP6">Inputs!C149:AQ150</f>
        <v>0</v>
      </c>
      <c r="C5" s="270">
        <v>0</v>
      </c>
      <c r="D5" s="270">
        <v>0</v>
      </c>
      <c r="E5" s="270">
        <v>0</v>
      </c>
      <c r="F5" s="270">
        <v>0</v>
      </c>
      <c r="G5" s="270">
        <v>0</v>
      </c>
      <c r="H5" s="270">
        <v>0</v>
      </c>
      <c r="I5" s="270">
        <v>0</v>
      </c>
      <c r="J5" s="270">
        <v>0</v>
      </c>
      <c r="K5" s="270">
        <v>0</v>
      </c>
      <c r="L5" s="270">
        <v>0</v>
      </c>
      <c r="M5" s="270">
        <v>0</v>
      </c>
      <c r="N5" s="270">
        <v>0</v>
      </c>
      <c r="O5" s="270">
        <v>0</v>
      </c>
      <c r="P5" s="270">
        <v>0</v>
      </c>
      <c r="Q5" s="270">
        <v>0</v>
      </c>
      <c r="R5" s="270">
        <v>0</v>
      </c>
      <c r="S5" s="270">
        <v>0</v>
      </c>
      <c r="T5" s="270">
        <v>0</v>
      </c>
      <c r="U5" s="270">
        <v>0</v>
      </c>
      <c r="V5" s="270">
        <v>0</v>
      </c>
      <c r="W5" s="270">
        <v>0</v>
      </c>
      <c r="X5" s="270">
        <v>0</v>
      </c>
      <c r="Y5" s="270">
        <v>0</v>
      </c>
      <c r="Z5" s="270">
        <v>0</v>
      </c>
      <c r="AA5" s="270">
        <v>0</v>
      </c>
      <c r="AB5" s="270">
        <v>0</v>
      </c>
      <c r="AC5" s="270">
        <v>0</v>
      </c>
      <c r="AD5" s="270">
        <v>0</v>
      </c>
      <c r="AE5" s="270">
        <v>0</v>
      </c>
      <c r="AF5" s="270">
        <v>0</v>
      </c>
      <c r="AG5" s="270">
        <v>0</v>
      </c>
      <c r="AH5" s="270">
        <v>0</v>
      </c>
      <c r="AI5" s="270">
        <v>0</v>
      </c>
      <c r="AJ5" s="270">
        <v>0</v>
      </c>
      <c r="AK5" s="270">
        <v>0</v>
      </c>
      <c r="AL5" s="270">
        <v>0</v>
      </c>
      <c r="AM5" s="270">
        <v>0</v>
      </c>
      <c r="AN5" s="270">
        <v>0</v>
      </c>
      <c r="AO5" s="270">
        <v>0</v>
      </c>
      <c r="AP5" s="270">
        <v>0</v>
      </c>
    </row>
    <row r="6" spans="1:42" x14ac:dyDescent="0.2">
      <c r="A6" s="4" t="s">
        <v>344</v>
      </c>
      <c r="B6" s="270">
        <v>0</v>
      </c>
      <c r="C6" s="270">
        <v>0</v>
      </c>
      <c r="D6" s="270">
        <v>0</v>
      </c>
      <c r="E6" s="270">
        <v>0</v>
      </c>
      <c r="F6" s="270">
        <v>0</v>
      </c>
      <c r="G6" s="270">
        <v>0</v>
      </c>
      <c r="H6" s="270">
        <v>0</v>
      </c>
      <c r="I6" s="270">
        <v>0</v>
      </c>
      <c r="J6" s="270">
        <v>0</v>
      </c>
      <c r="K6" s="270">
        <v>0</v>
      </c>
      <c r="L6" s="270">
        <v>0</v>
      </c>
      <c r="M6" s="270">
        <v>0</v>
      </c>
      <c r="N6" s="270">
        <v>0</v>
      </c>
      <c r="O6" s="270">
        <v>0</v>
      </c>
      <c r="P6" s="270">
        <v>0</v>
      </c>
      <c r="Q6" s="270">
        <v>0</v>
      </c>
      <c r="R6" s="270">
        <v>0</v>
      </c>
      <c r="S6" s="270">
        <v>0</v>
      </c>
      <c r="T6" s="270">
        <v>0</v>
      </c>
      <c r="U6" s="270">
        <v>0</v>
      </c>
      <c r="V6" s="270">
        <v>0</v>
      </c>
      <c r="W6" s="270">
        <v>0</v>
      </c>
      <c r="X6" s="270">
        <v>0</v>
      </c>
      <c r="Y6" s="270">
        <v>0</v>
      </c>
      <c r="Z6" s="270">
        <v>0</v>
      </c>
      <c r="AA6" s="270">
        <v>0</v>
      </c>
      <c r="AB6" s="270">
        <v>0</v>
      </c>
      <c r="AC6" s="270">
        <v>0</v>
      </c>
      <c r="AD6" s="270">
        <v>0</v>
      </c>
      <c r="AE6" s="270">
        <v>0</v>
      </c>
      <c r="AF6" s="270">
        <v>0</v>
      </c>
      <c r="AG6" s="270">
        <v>0</v>
      </c>
      <c r="AH6" s="270">
        <v>0</v>
      </c>
      <c r="AI6" s="270">
        <v>0</v>
      </c>
      <c r="AJ6" s="270">
        <v>0</v>
      </c>
      <c r="AK6" s="270">
        <v>0</v>
      </c>
      <c r="AL6" s="270">
        <v>0</v>
      </c>
      <c r="AM6" s="270">
        <v>0</v>
      </c>
      <c r="AN6" s="270">
        <v>0</v>
      </c>
      <c r="AO6" s="270">
        <v>0</v>
      </c>
      <c r="AP6" s="270">
        <v>0</v>
      </c>
    </row>
    <row r="7" spans="1:42" x14ac:dyDescent="0.2">
      <c r="A7" s="17" t="s">
        <v>345</v>
      </c>
      <c r="B7" s="271">
        <f>SUM(B$5:B$6)</f>
        <v>0</v>
      </c>
      <c r="C7" s="271">
        <f>SUM(C5:C6)</f>
        <v>0</v>
      </c>
      <c r="D7" s="271">
        <f t="shared" ref="D7:AP7" si="1">SUM(D5:D6)</f>
        <v>0</v>
      </c>
      <c r="E7" s="271">
        <f t="shared" si="1"/>
        <v>0</v>
      </c>
      <c r="F7" s="271">
        <f t="shared" si="1"/>
        <v>0</v>
      </c>
      <c r="G7" s="271">
        <f t="shared" si="1"/>
        <v>0</v>
      </c>
      <c r="H7" s="271">
        <f t="shared" si="1"/>
        <v>0</v>
      </c>
      <c r="I7" s="271">
        <f t="shared" si="1"/>
        <v>0</v>
      </c>
      <c r="J7" s="271">
        <f t="shared" si="1"/>
        <v>0</v>
      </c>
      <c r="K7" s="271">
        <f t="shared" si="1"/>
        <v>0</v>
      </c>
      <c r="L7" s="271">
        <f t="shared" si="1"/>
        <v>0</v>
      </c>
      <c r="M7" s="271">
        <f t="shared" si="1"/>
        <v>0</v>
      </c>
      <c r="N7" s="271">
        <f t="shared" si="1"/>
        <v>0</v>
      </c>
      <c r="O7" s="271">
        <f t="shared" si="1"/>
        <v>0</v>
      </c>
      <c r="P7" s="271">
        <f t="shared" si="1"/>
        <v>0</v>
      </c>
      <c r="Q7" s="271">
        <f t="shared" si="1"/>
        <v>0</v>
      </c>
      <c r="R7" s="271">
        <f t="shared" si="1"/>
        <v>0</v>
      </c>
      <c r="S7" s="271">
        <f t="shared" si="1"/>
        <v>0</v>
      </c>
      <c r="T7" s="271">
        <f t="shared" si="1"/>
        <v>0</v>
      </c>
      <c r="U7" s="271">
        <f t="shared" si="1"/>
        <v>0</v>
      </c>
      <c r="V7" s="271">
        <f t="shared" si="1"/>
        <v>0</v>
      </c>
      <c r="W7" s="271">
        <f t="shared" si="1"/>
        <v>0</v>
      </c>
      <c r="X7" s="271">
        <f t="shared" si="1"/>
        <v>0</v>
      </c>
      <c r="Y7" s="271">
        <f t="shared" si="1"/>
        <v>0</v>
      </c>
      <c r="Z7" s="271">
        <f t="shared" si="1"/>
        <v>0</v>
      </c>
      <c r="AA7" s="271">
        <f t="shared" si="1"/>
        <v>0</v>
      </c>
      <c r="AB7" s="271">
        <f t="shared" si="1"/>
        <v>0</v>
      </c>
      <c r="AC7" s="271">
        <f t="shared" si="1"/>
        <v>0</v>
      </c>
      <c r="AD7" s="271">
        <f t="shared" si="1"/>
        <v>0</v>
      </c>
      <c r="AE7" s="271">
        <f t="shared" si="1"/>
        <v>0</v>
      </c>
      <c r="AF7" s="271">
        <f t="shared" si="1"/>
        <v>0</v>
      </c>
      <c r="AG7" s="271">
        <f t="shared" si="1"/>
        <v>0</v>
      </c>
      <c r="AH7" s="271">
        <f t="shared" si="1"/>
        <v>0</v>
      </c>
      <c r="AI7" s="271">
        <f t="shared" si="1"/>
        <v>0</v>
      </c>
      <c r="AJ7" s="271">
        <f t="shared" si="1"/>
        <v>0</v>
      </c>
      <c r="AK7" s="271">
        <f t="shared" si="1"/>
        <v>0</v>
      </c>
      <c r="AL7" s="271">
        <f t="shared" si="1"/>
        <v>0</v>
      </c>
      <c r="AM7" s="271">
        <f t="shared" si="1"/>
        <v>0</v>
      </c>
      <c r="AN7" s="271">
        <f t="shared" si="1"/>
        <v>0</v>
      </c>
      <c r="AO7" s="271">
        <f t="shared" si="1"/>
        <v>0</v>
      </c>
      <c r="AP7" s="271">
        <f t="shared" si="1"/>
        <v>0</v>
      </c>
    </row>
    <row r="8" spans="1:42" x14ac:dyDescent="0.2">
      <c r="A8" s="17" t="s">
        <v>346</v>
      </c>
      <c r="B8" s="270">
        <f t="array" ref="B8:AP10">Inputs!C152:AQ154</f>
        <v>0</v>
      </c>
      <c r="C8" s="270">
        <v>0</v>
      </c>
      <c r="D8" s="270">
        <v>0</v>
      </c>
      <c r="E8" s="270">
        <v>0</v>
      </c>
      <c r="F8" s="270">
        <v>0</v>
      </c>
      <c r="G8" s="270">
        <v>0</v>
      </c>
      <c r="H8" s="270">
        <v>0</v>
      </c>
      <c r="I8" s="270">
        <v>0</v>
      </c>
      <c r="J8" s="270">
        <v>0</v>
      </c>
      <c r="K8" s="270">
        <v>0</v>
      </c>
      <c r="L8" s="270">
        <v>0</v>
      </c>
      <c r="M8" s="270">
        <v>0</v>
      </c>
      <c r="N8" s="270">
        <v>0</v>
      </c>
      <c r="O8" s="270">
        <v>0</v>
      </c>
      <c r="P8" s="270">
        <v>0</v>
      </c>
      <c r="Q8" s="270">
        <v>0</v>
      </c>
      <c r="R8" s="270">
        <v>0</v>
      </c>
      <c r="S8" s="270">
        <v>0</v>
      </c>
      <c r="T8" s="270">
        <v>0</v>
      </c>
      <c r="U8" s="270">
        <v>0</v>
      </c>
      <c r="V8" s="270">
        <v>0</v>
      </c>
      <c r="W8" s="270">
        <v>0</v>
      </c>
      <c r="X8" s="270">
        <v>0</v>
      </c>
      <c r="Y8" s="270">
        <v>0</v>
      </c>
      <c r="Z8" s="270">
        <v>0</v>
      </c>
      <c r="AA8" s="270">
        <v>0</v>
      </c>
      <c r="AB8" s="270">
        <v>0</v>
      </c>
      <c r="AC8" s="270">
        <v>0</v>
      </c>
      <c r="AD8" s="270">
        <v>0</v>
      </c>
      <c r="AE8" s="270">
        <v>0</v>
      </c>
      <c r="AF8" s="270">
        <v>0</v>
      </c>
      <c r="AG8" s="270">
        <v>0</v>
      </c>
      <c r="AH8" s="270">
        <v>0</v>
      </c>
      <c r="AI8" s="270">
        <v>0</v>
      </c>
      <c r="AJ8" s="270">
        <v>0</v>
      </c>
      <c r="AK8" s="270">
        <v>0</v>
      </c>
      <c r="AL8" s="270">
        <v>0</v>
      </c>
      <c r="AM8" s="270">
        <v>0</v>
      </c>
      <c r="AN8" s="270">
        <v>0</v>
      </c>
      <c r="AO8" s="270">
        <v>0</v>
      </c>
      <c r="AP8" s="270">
        <v>0</v>
      </c>
    </row>
    <row r="9" spans="1:42" x14ac:dyDescent="0.2">
      <c r="A9" s="17" t="s">
        <v>347</v>
      </c>
      <c r="B9" s="270">
        <v>0</v>
      </c>
      <c r="C9" s="270">
        <v>0</v>
      </c>
      <c r="D9" s="270">
        <v>0</v>
      </c>
      <c r="E9" s="270">
        <v>0</v>
      </c>
      <c r="F9" s="270">
        <v>0</v>
      </c>
      <c r="G9" s="270">
        <v>0</v>
      </c>
      <c r="H9" s="270">
        <v>0</v>
      </c>
      <c r="I9" s="270">
        <v>0</v>
      </c>
      <c r="J9" s="270">
        <v>0</v>
      </c>
      <c r="K9" s="270">
        <v>0</v>
      </c>
      <c r="L9" s="270">
        <v>0</v>
      </c>
      <c r="M9" s="270">
        <v>0</v>
      </c>
      <c r="N9" s="270">
        <v>0</v>
      </c>
      <c r="O9" s="270">
        <v>0</v>
      </c>
      <c r="P9" s="270">
        <v>0</v>
      </c>
      <c r="Q9" s="270">
        <v>0</v>
      </c>
      <c r="R9" s="270">
        <v>0</v>
      </c>
      <c r="S9" s="270">
        <v>0</v>
      </c>
      <c r="T9" s="270">
        <v>0</v>
      </c>
      <c r="U9" s="270">
        <v>0</v>
      </c>
      <c r="V9" s="270">
        <v>0</v>
      </c>
      <c r="W9" s="270">
        <v>0</v>
      </c>
      <c r="X9" s="270">
        <v>0</v>
      </c>
      <c r="Y9" s="270">
        <v>0</v>
      </c>
      <c r="Z9" s="270">
        <v>0</v>
      </c>
      <c r="AA9" s="270">
        <v>0</v>
      </c>
      <c r="AB9" s="270">
        <v>0</v>
      </c>
      <c r="AC9" s="270">
        <v>0</v>
      </c>
      <c r="AD9" s="270">
        <v>0</v>
      </c>
      <c r="AE9" s="270">
        <v>0</v>
      </c>
      <c r="AF9" s="270">
        <v>0</v>
      </c>
      <c r="AG9" s="270">
        <v>0</v>
      </c>
      <c r="AH9" s="270">
        <v>0</v>
      </c>
      <c r="AI9" s="270">
        <v>0</v>
      </c>
      <c r="AJ9" s="270">
        <v>0</v>
      </c>
      <c r="AK9" s="270">
        <v>0</v>
      </c>
      <c r="AL9" s="270">
        <v>0</v>
      </c>
      <c r="AM9" s="270">
        <v>0</v>
      </c>
      <c r="AN9" s="270">
        <v>0</v>
      </c>
      <c r="AO9" s="270">
        <v>0</v>
      </c>
      <c r="AP9" s="270">
        <v>0</v>
      </c>
    </row>
    <row r="10" spans="1:42" x14ac:dyDescent="0.2">
      <c r="A10" s="17" t="s">
        <v>348</v>
      </c>
      <c r="B10" s="270">
        <v>0</v>
      </c>
      <c r="C10" s="270">
        <v>0</v>
      </c>
      <c r="D10" s="270">
        <v>0</v>
      </c>
      <c r="E10" s="270">
        <v>0</v>
      </c>
      <c r="F10" s="270">
        <v>0</v>
      </c>
      <c r="G10" s="270">
        <v>0</v>
      </c>
      <c r="H10" s="270">
        <v>0</v>
      </c>
      <c r="I10" s="270">
        <v>0</v>
      </c>
      <c r="J10" s="270">
        <v>0</v>
      </c>
      <c r="K10" s="270">
        <v>0</v>
      </c>
      <c r="L10" s="270">
        <v>0</v>
      </c>
      <c r="M10" s="270">
        <v>0</v>
      </c>
      <c r="N10" s="270">
        <v>0</v>
      </c>
      <c r="O10" s="270">
        <v>0</v>
      </c>
      <c r="P10" s="270">
        <v>0</v>
      </c>
      <c r="Q10" s="270">
        <v>0</v>
      </c>
      <c r="R10" s="270">
        <v>0</v>
      </c>
      <c r="S10" s="270">
        <v>0</v>
      </c>
      <c r="T10" s="270">
        <v>0</v>
      </c>
      <c r="U10" s="270">
        <v>0</v>
      </c>
      <c r="V10" s="270">
        <v>0</v>
      </c>
      <c r="W10" s="270">
        <v>0</v>
      </c>
      <c r="X10" s="270">
        <v>0</v>
      </c>
      <c r="Y10" s="270">
        <v>0</v>
      </c>
      <c r="Z10" s="270">
        <v>0</v>
      </c>
      <c r="AA10" s="270">
        <v>0</v>
      </c>
      <c r="AB10" s="270">
        <v>0</v>
      </c>
      <c r="AC10" s="270">
        <v>0</v>
      </c>
      <c r="AD10" s="270">
        <v>0</v>
      </c>
      <c r="AE10" s="270">
        <v>0</v>
      </c>
      <c r="AF10" s="270">
        <v>0</v>
      </c>
      <c r="AG10" s="270">
        <v>0</v>
      </c>
      <c r="AH10" s="270">
        <v>0</v>
      </c>
      <c r="AI10" s="270">
        <v>0</v>
      </c>
      <c r="AJ10" s="270">
        <v>0</v>
      </c>
      <c r="AK10" s="270">
        <v>0</v>
      </c>
      <c r="AL10" s="270">
        <v>0</v>
      </c>
      <c r="AM10" s="270">
        <v>0</v>
      </c>
      <c r="AN10" s="270">
        <v>0</v>
      </c>
      <c r="AO10" s="270">
        <v>0</v>
      </c>
      <c r="AP10" s="270">
        <v>0</v>
      </c>
    </row>
    <row r="11" spans="1:42" x14ac:dyDescent="0.2">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row>
    <row r="12" spans="1:42" x14ac:dyDescent="0.2">
      <c r="A12" s="80" t="s">
        <v>308</v>
      </c>
      <c r="B12" s="7"/>
      <c r="C12" s="206"/>
      <c r="D12" s="206"/>
      <c r="E12" s="206"/>
      <c r="F12" s="206"/>
      <c r="G12" s="206"/>
      <c r="H12" s="206"/>
      <c r="I12" s="206"/>
      <c r="J12" s="207"/>
      <c r="K12" s="207"/>
      <c r="L12" s="207"/>
      <c r="M12" s="207"/>
      <c r="N12" s="207"/>
      <c r="O12" s="207"/>
      <c r="P12" s="207"/>
      <c r="Q12" s="207"/>
      <c r="R12" s="207"/>
      <c r="S12" s="207"/>
      <c r="T12" s="207"/>
      <c r="U12" s="207"/>
      <c r="V12" s="207"/>
      <c r="W12" s="207"/>
      <c r="X12" s="207"/>
      <c r="Y12" s="207"/>
      <c r="Z12" s="207"/>
      <c r="AA12" s="207"/>
      <c r="AB12" s="207"/>
      <c r="AC12" s="207"/>
      <c r="AD12" s="207"/>
      <c r="AE12" s="207"/>
      <c r="AF12" s="207"/>
      <c r="AG12" s="207"/>
      <c r="AH12" s="207"/>
      <c r="AI12" s="207"/>
      <c r="AJ12" s="207"/>
      <c r="AK12" s="207"/>
      <c r="AL12" s="207"/>
      <c r="AM12" s="207"/>
      <c r="AN12" s="207"/>
      <c r="AO12" s="207"/>
      <c r="AP12" s="207"/>
    </row>
    <row r="13" spans="1:42" x14ac:dyDescent="0.2">
      <c r="A13" s="4" t="s">
        <v>333</v>
      </c>
      <c r="C13" s="14"/>
      <c r="D13" s="20"/>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row>
    <row r="14" spans="1:42" x14ac:dyDescent="0.2">
      <c r="A14" s="86" t="s">
        <v>327</v>
      </c>
      <c r="B14" s="4">
        <f t="array" ref="B14:AP14">Inputs!C156:AQ156</f>
        <v>0</v>
      </c>
      <c r="C14" s="119">
        <v>0</v>
      </c>
      <c r="D14" s="119">
        <v>0</v>
      </c>
      <c r="E14" s="119">
        <v>0</v>
      </c>
      <c r="F14" s="119">
        <v>0</v>
      </c>
      <c r="G14" s="119">
        <v>0</v>
      </c>
      <c r="H14" s="119">
        <v>0</v>
      </c>
      <c r="I14" s="119">
        <v>0</v>
      </c>
      <c r="J14" s="119">
        <v>0</v>
      </c>
      <c r="K14" s="119">
        <v>0</v>
      </c>
      <c r="L14" s="119">
        <v>0</v>
      </c>
      <c r="M14" s="119">
        <v>0</v>
      </c>
      <c r="N14" s="119">
        <v>0</v>
      </c>
      <c r="O14" s="119">
        <v>0</v>
      </c>
      <c r="P14" s="119">
        <v>0</v>
      </c>
      <c r="Q14" s="119">
        <v>0</v>
      </c>
      <c r="R14" s="119">
        <v>0</v>
      </c>
      <c r="S14" s="119">
        <v>0</v>
      </c>
      <c r="T14" s="119">
        <v>0</v>
      </c>
      <c r="U14" s="119">
        <v>0</v>
      </c>
      <c r="V14" s="119">
        <v>0</v>
      </c>
      <c r="W14" s="119">
        <v>0</v>
      </c>
      <c r="X14" s="119">
        <v>0</v>
      </c>
      <c r="Y14" s="119">
        <v>0</v>
      </c>
      <c r="Z14" s="119">
        <v>0</v>
      </c>
      <c r="AA14" s="119">
        <v>0</v>
      </c>
      <c r="AB14" s="119">
        <v>0</v>
      </c>
      <c r="AC14" s="119">
        <v>0</v>
      </c>
      <c r="AD14" s="119">
        <v>0</v>
      </c>
      <c r="AE14" s="119">
        <v>0</v>
      </c>
      <c r="AF14" s="119">
        <v>0</v>
      </c>
      <c r="AG14" s="119">
        <v>0</v>
      </c>
      <c r="AH14" s="119">
        <v>0</v>
      </c>
      <c r="AI14" s="119">
        <v>0</v>
      </c>
      <c r="AJ14" s="119">
        <v>0</v>
      </c>
      <c r="AK14" s="119">
        <v>0</v>
      </c>
      <c r="AL14" s="119">
        <v>0</v>
      </c>
      <c r="AM14" s="119">
        <v>0</v>
      </c>
      <c r="AN14" s="119">
        <v>0</v>
      </c>
      <c r="AO14" s="119">
        <v>0</v>
      </c>
      <c r="AP14" s="119">
        <v>0</v>
      </c>
    </row>
    <row r="15" spans="1:42" x14ac:dyDescent="0.2">
      <c r="A15" s="86" t="s">
        <v>328</v>
      </c>
      <c r="B15" s="119">
        <f t="array" ref="B15:AP15">Inputs!C157:AQ157</f>
        <v>0</v>
      </c>
      <c r="C15" s="119">
        <v>0</v>
      </c>
      <c r="D15" s="119">
        <v>0</v>
      </c>
      <c r="E15" s="119">
        <v>0</v>
      </c>
      <c r="F15" s="119">
        <v>0</v>
      </c>
      <c r="G15" s="119">
        <v>0</v>
      </c>
      <c r="H15" s="119">
        <v>0</v>
      </c>
      <c r="I15" s="119">
        <v>0</v>
      </c>
      <c r="J15" s="119">
        <v>0</v>
      </c>
      <c r="K15" s="119">
        <v>0</v>
      </c>
      <c r="L15" s="119">
        <v>0</v>
      </c>
      <c r="M15" s="119">
        <v>0</v>
      </c>
      <c r="N15" s="119">
        <v>0</v>
      </c>
      <c r="O15" s="119">
        <v>0</v>
      </c>
      <c r="P15" s="119">
        <v>0</v>
      </c>
      <c r="Q15" s="119">
        <v>0</v>
      </c>
      <c r="R15" s="119">
        <v>0</v>
      </c>
      <c r="S15" s="119">
        <v>0</v>
      </c>
      <c r="T15" s="119">
        <v>0</v>
      </c>
      <c r="U15" s="119">
        <v>0</v>
      </c>
      <c r="V15" s="119">
        <v>0</v>
      </c>
      <c r="W15" s="119">
        <v>0</v>
      </c>
      <c r="X15" s="119">
        <v>0</v>
      </c>
      <c r="Y15" s="119">
        <v>0</v>
      </c>
      <c r="Z15" s="119">
        <v>0</v>
      </c>
      <c r="AA15" s="119">
        <v>0</v>
      </c>
      <c r="AB15" s="119">
        <v>0</v>
      </c>
      <c r="AC15" s="119">
        <v>0</v>
      </c>
      <c r="AD15" s="119">
        <v>0</v>
      </c>
      <c r="AE15" s="119">
        <v>0</v>
      </c>
      <c r="AF15" s="119">
        <v>0</v>
      </c>
      <c r="AG15" s="119">
        <v>0</v>
      </c>
      <c r="AH15" s="119">
        <v>0</v>
      </c>
      <c r="AI15" s="119">
        <v>0</v>
      </c>
      <c r="AJ15" s="119">
        <v>0</v>
      </c>
      <c r="AK15" s="119">
        <v>0</v>
      </c>
      <c r="AL15" s="119">
        <v>0</v>
      </c>
      <c r="AM15" s="119">
        <v>0</v>
      </c>
      <c r="AN15" s="119">
        <v>0</v>
      </c>
      <c r="AO15" s="119">
        <v>0</v>
      </c>
      <c r="AP15" s="119">
        <v>0</v>
      </c>
    </row>
    <row r="16" spans="1:42" x14ac:dyDescent="0.2">
      <c r="A16" s="86" t="s">
        <v>329</v>
      </c>
      <c r="B16" s="119">
        <f t="array" ref="B16:AP16">Inputs!C158:AQ158</f>
        <v>0</v>
      </c>
      <c r="C16" s="119">
        <v>0</v>
      </c>
      <c r="D16" s="119">
        <v>0</v>
      </c>
      <c r="E16" s="119">
        <v>0</v>
      </c>
      <c r="F16" s="119">
        <v>0</v>
      </c>
      <c r="G16" s="119">
        <v>0</v>
      </c>
      <c r="H16" s="119">
        <v>0</v>
      </c>
      <c r="I16" s="119">
        <v>0</v>
      </c>
      <c r="J16" s="119">
        <v>0</v>
      </c>
      <c r="K16" s="119">
        <v>0</v>
      </c>
      <c r="L16" s="119">
        <v>0</v>
      </c>
      <c r="M16" s="119">
        <v>0</v>
      </c>
      <c r="N16" s="119">
        <v>0</v>
      </c>
      <c r="O16" s="119">
        <v>0</v>
      </c>
      <c r="P16" s="119">
        <v>0</v>
      </c>
      <c r="Q16" s="119">
        <v>0</v>
      </c>
      <c r="R16" s="119">
        <v>0</v>
      </c>
      <c r="S16" s="119">
        <v>0</v>
      </c>
      <c r="T16" s="119">
        <v>0</v>
      </c>
      <c r="U16" s="119">
        <v>0</v>
      </c>
      <c r="V16" s="119">
        <v>0</v>
      </c>
      <c r="W16" s="119">
        <v>0</v>
      </c>
      <c r="X16" s="119">
        <v>0</v>
      </c>
      <c r="Y16" s="119">
        <v>0</v>
      </c>
      <c r="Z16" s="119">
        <v>0</v>
      </c>
      <c r="AA16" s="119">
        <v>0</v>
      </c>
      <c r="AB16" s="119">
        <v>0</v>
      </c>
      <c r="AC16" s="119">
        <v>0</v>
      </c>
      <c r="AD16" s="119">
        <v>0</v>
      </c>
      <c r="AE16" s="119">
        <v>0</v>
      </c>
      <c r="AF16" s="119">
        <v>0</v>
      </c>
      <c r="AG16" s="119">
        <v>0</v>
      </c>
      <c r="AH16" s="119">
        <v>0</v>
      </c>
      <c r="AI16" s="119">
        <v>0</v>
      </c>
      <c r="AJ16" s="119">
        <v>0</v>
      </c>
      <c r="AK16" s="119">
        <v>0</v>
      </c>
      <c r="AL16" s="119">
        <v>0</v>
      </c>
      <c r="AM16" s="119">
        <v>0</v>
      </c>
      <c r="AN16" s="119">
        <v>0</v>
      </c>
      <c r="AO16" s="119">
        <v>0</v>
      </c>
      <c r="AP16" s="119">
        <v>0</v>
      </c>
    </row>
    <row r="17" spans="1:42" x14ac:dyDescent="0.2">
      <c r="A17" s="86" t="s">
        <v>330</v>
      </c>
      <c r="B17" s="119">
        <f t="array" ref="B17:AP17">Inputs!C159:AQ159</f>
        <v>0</v>
      </c>
      <c r="C17" s="119">
        <v>0</v>
      </c>
      <c r="D17" s="119">
        <v>0</v>
      </c>
      <c r="E17" s="119">
        <v>0</v>
      </c>
      <c r="F17" s="119">
        <v>0</v>
      </c>
      <c r="G17" s="119">
        <v>0</v>
      </c>
      <c r="H17" s="119">
        <v>0</v>
      </c>
      <c r="I17" s="119">
        <v>0</v>
      </c>
      <c r="J17" s="119">
        <v>0</v>
      </c>
      <c r="K17" s="119">
        <v>0</v>
      </c>
      <c r="L17" s="119">
        <v>0</v>
      </c>
      <c r="M17" s="119">
        <v>0</v>
      </c>
      <c r="N17" s="119">
        <v>0</v>
      </c>
      <c r="O17" s="119">
        <v>0</v>
      </c>
      <c r="P17" s="119">
        <v>0</v>
      </c>
      <c r="Q17" s="119">
        <v>0</v>
      </c>
      <c r="R17" s="119">
        <v>0</v>
      </c>
      <c r="S17" s="119">
        <v>0</v>
      </c>
      <c r="T17" s="119">
        <v>0</v>
      </c>
      <c r="U17" s="119">
        <v>0</v>
      </c>
      <c r="V17" s="119">
        <v>0</v>
      </c>
      <c r="W17" s="119">
        <v>0</v>
      </c>
      <c r="X17" s="119">
        <v>0</v>
      </c>
      <c r="Y17" s="119">
        <v>0</v>
      </c>
      <c r="Z17" s="119">
        <v>0</v>
      </c>
      <c r="AA17" s="119">
        <v>0</v>
      </c>
      <c r="AB17" s="119">
        <v>0</v>
      </c>
      <c r="AC17" s="119">
        <v>0</v>
      </c>
      <c r="AD17" s="119">
        <v>0</v>
      </c>
      <c r="AE17" s="119">
        <v>0</v>
      </c>
      <c r="AF17" s="119">
        <v>0</v>
      </c>
      <c r="AG17" s="119">
        <v>0</v>
      </c>
      <c r="AH17" s="119">
        <v>0</v>
      </c>
      <c r="AI17" s="119">
        <v>0</v>
      </c>
      <c r="AJ17" s="119">
        <v>0</v>
      </c>
      <c r="AK17" s="119">
        <v>0</v>
      </c>
      <c r="AL17" s="119">
        <v>0</v>
      </c>
      <c r="AM17" s="119">
        <v>0</v>
      </c>
      <c r="AN17" s="119">
        <v>0</v>
      </c>
      <c r="AO17" s="119">
        <v>0</v>
      </c>
      <c r="AP17" s="119">
        <v>0</v>
      </c>
    </row>
    <row r="18" spans="1:42" x14ac:dyDescent="0.2">
      <c r="A18" s="86" t="s">
        <v>331</v>
      </c>
      <c r="B18" s="119">
        <f t="array" ref="B18:AP18">Inputs!C160:AQ160</f>
        <v>0</v>
      </c>
      <c r="C18" s="119">
        <v>0</v>
      </c>
      <c r="D18" s="119">
        <v>0</v>
      </c>
      <c r="E18" s="119">
        <v>0</v>
      </c>
      <c r="F18" s="119">
        <v>0</v>
      </c>
      <c r="G18" s="119">
        <v>0</v>
      </c>
      <c r="H18" s="119">
        <v>0</v>
      </c>
      <c r="I18" s="119">
        <v>0</v>
      </c>
      <c r="J18" s="119">
        <v>0</v>
      </c>
      <c r="K18" s="119">
        <v>0</v>
      </c>
      <c r="L18" s="119">
        <v>0</v>
      </c>
      <c r="M18" s="119">
        <v>0</v>
      </c>
      <c r="N18" s="119">
        <v>0</v>
      </c>
      <c r="O18" s="119">
        <v>0</v>
      </c>
      <c r="P18" s="119">
        <v>0</v>
      </c>
      <c r="Q18" s="119">
        <v>0</v>
      </c>
      <c r="R18" s="119">
        <v>0</v>
      </c>
      <c r="S18" s="119">
        <v>0</v>
      </c>
      <c r="T18" s="119">
        <v>0</v>
      </c>
      <c r="U18" s="119">
        <v>0</v>
      </c>
      <c r="V18" s="119">
        <v>0</v>
      </c>
      <c r="W18" s="119">
        <v>0</v>
      </c>
      <c r="X18" s="119">
        <v>0</v>
      </c>
      <c r="Y18" s="119">
        <v>0</v>
      </c>
      <c r="Z18" s="119">
        <v>0</v>
      </c>
      <c r="AA18" s="119">
        <v>0</v>
      </c>
      <c r="AB18" s="119">
        <v>0</v>
      </c>
      <c r="AC18" s="119">
        <v>0</v>
      </c>
      <c r="AD18" s="119">
        <v>0</v>
      </c>
      <c r="AE18" s="119">
        <v>0</v>
      </c>
      <c r="AF18" s="119">
        <v>0</v>
      </c>
      <c r="AG18" s="119">
        <v>0</v>
      </c>
      <c r="AH18" s="119">
        <v>0</v>
      </c>
      <c r="AI18" s="119">
        <v>0</v>
      </c>
      <c r="AJ18" s="119">
        <v>0</v>
      </c>
      <c r="AK18" s="119">
        <v>0</v>
      </c>
      <c r="AL18" s="119">
        <v>0</v>
      </c>
      <c r="AM18" s="119">
        <v>0</v>
      </c>
      <c r="AN18" s="119">
        <v>0</v>
      </c>
      <c r="AO18" s="119">
        <v>0</v>
      </c>
      <c r="AP18" s="119">
        <v>0</v>
      </c>
    </row>
    <row r="19" spans="1:42" x14ac:dyDescent="0.2">
      <c r="A19" s="86" t="s">
        <v>309</v>
      </c>
      <c r="B19" s="119">
        <f t="array" ref="B19:AP21">Inputs!C161:AQ163</f>
        <v>0</v>
      </c>
      <c r="C19" s="119">
        <v>0</v>
      </c>
      <c r="D19" s="119">
        <v>0</v>
      </c>
      <c r="E19" s="119">
        <v>0</v>
      </c>
      <c r="F19" s="119">
        <v>0</v>
      </c>
      <c r="G19" s="119">
        <v>0</v>
      </c>
      <c r="H19" s="119">
        <v>0</v>
      </c>
      <c r="I19" s="119">
        <v>0</v>
      </c>
      <c r="J19" s="119">
        <v>0</v>
      </c>
      <c r="K19" s="119">
        <v>0</v>
      </c>
      <c r="L19" s="119">
        <v>0</v>
      </c>
      <c r="M19" s="119">
        <v>0</v>
      </c>
      <c r="N19" s="119">
        <v>0</v>
      </c>
      <c r="O19" s="119">
        <v>0</v>
      </c>
      <c r="P19" s="119">
        <v>0</v>
      </c>
      <c r="Q19" s="119">
        <v>0</v>
      </c>
      <c r="R19" s="119">
        <v>0</v>
      </c>
      <c r="S19" s="119">
        <v>0</v>
      </c>
      <c r="T19" s="119">
        <v>0</v>
      </c>
      <c r="U19" s="119">
        <v>0</v>
      </c>
      <c r="V19" s="119">
        <v>0</v>
      </c>
      <c r="W19" s="119">
        <v>0</v>
      </c>
      <c r="X19" s="119">
        <v>0</v>
      </c>
      <c r="Y19" s="119">
        <v>0</v>
      </c>
      <c r="Z19" s="119">
        <v>0</v>
      </c>
      <c r="AA19" s="119">
        <v>0</v>
      </c>
      <c r="AB19" s="119">
        <v>0</v>
      </c>
      <c r="AC19" s="119">
        <v>0</v>
      </c>
      <c r="AD19" s="119">
        <v>0</v>
      </c>
      <c r="AE19" s="119">
        <v>0</v>
      </c>
      <c r="AF19" s="119">
        <v>0</v>
      </c>
      <c r="AG19" s="119">
        <v>0</v>
      </c>
      <c r="AH19" s="119">
        <v>0</v>
      </c>
      <c r="AI19" s="119">
        <v>0</v>
      </c>
      <c r="AJ19" s="119">
        <v>0</v>
      </c>
      <c r="AK19" s="119">
        <v>0</v>
      </c>
      <c r="AL19" s="119">
        <v>0</v>
      </c>
      <c r="AM19" s="119">
        <v>0</v>
      </c>
      <c r="AN19" s="119">
        <v>0</v>
      </c>
      <c r="AO19" s="119">
        <v>0</v>
      </c>
      <c r="AP19" s="119">
        <v>0</v>
      </c>
    </row>
    <row r="20" spans="1:42" x14ac:dyDescent="0.2">
      <c r="A20" s="86" t="s">
        <v>310</v>
      </c>
      <c r="B20" s="119">
        <v>0</v>
      </c>
      <c r="C20" s="119">
        <v>0</v>
      </c>
      <c r="D20" s="119">
        <v>0</v>
      </c>
      <c r="E20" s="119">
        <v>0</v>
      </c>
      <c r="F20" s="119">
        <v>0</v>
      </c>
      <c r="G20" s="119">
        <v>0</v>
      </c>
      <c r="H20" s="119">
        <v>0</v>
      </c>
      <c r="I20" s="119">
        <v>0</v>
      </c>
      <c r="J20" s="119">
        <v>0</v>
      </c>
      <c r="K20" s="119">
        <v>0</v>
      </c>
      <c r="L20" s="119">
        <v>0</v>
      </c>
      <c r="M20" s="119">
        <v>0</v>
      </c>
      <c r="N20" s="119">
        <v>0</v>
      </c>
      <c r="O20" s="119">
        <v>0</v>
      </c>
      <c r="P20" s="119">
        <v>0</v>
      </c>
      <c r="Q20" s="119">
        <v>0</v>
      </c>
      <c r="R20" s="119">
        <v>0</v>
      </c>
      <c r="S20" s="119">
        <v>0</v>
      </c>
      <c r="T20" s="119">
        <v>0</v>
      </c>
      <c r="U20" s="119">
        <v>0</v>
      </c>
      <c r="V20" s="119">
        <v>0</v>
      </c>
      <c r="W20" s="119">
        <v>0</v>
      </c>
      <c r="X20" s="119">
        <v>0</v>
      </c>
      <c r="Y20" s="119">
        <v>0</v>
      </c>
      <c r="Z20" s="119">
        <v>0</v>
      </c>
      <c r="AA20" s="119">
        <v>0</v>
      </c>
      <c r="AB20" s="119">
        <v>0</v>
      </c>
      <c r="AC20" s="119">
        <v>0</v>
      </c>
      <c r="AD20" s="119">
        <v>0</v>
      </c>
      <c r="AE20" s="119">
        <v>0</v>
      </c>
      <c r="AF20" s="119">
        <v>0</v>
      </c>
      <c r="AG20" s="119">
        <v>0</v>
      </c>
      <c r="AH20" s="119">
        <v>0</v>
      </c>
      <c r="AI20" s="119">
        <v>0</v>
      </c>
      <c r="AJ20" s="119">
        <v>0</v>
      </c>
      <c r="AK20" s="119">
        <v>0</v>
      </c>
      <c r="AL20" s="119">
        <v>0</v>
      </c>
      <c r="AM20" s="119">
        <v>0</v>
      </c>
      <c r="AN20" s="119">
        <v>0</v>
      </c>
      <c r="AO20" s="119">
        <v>0</v>
      </c>
      <c r="AP20" s="119">
        <v>0</v>
      </c>
    </row>
    <row r="21" spans="1:42" x14ac:dyDescent="0.2">
      <c r="A21" s="310" t="s">
        <v>382</v>
      </c>
      <c r="B21" s="119">
        <v>0</v>
      </c>
      <c r="C21" s="119">
        <v>0</v>
      </c>
      <c r="D21" s="119">
        <v>0</v>
      </c>
      <c r="E21" s="119">
        <v>0</v>
      </c>
      <c r="F21" s="119">
        <v>0</v>
      </c>
      <c r="G21" s="119">
        <v>0</v>
      </c>
      <c r="H21" s="119">
        <v>0</v>
      </c>
      <c r="I21" s="119">
        <v>0</v>
      </c>
      <c r="J21" s="119">
        <v>0</v>
      </c>
      <c r="K21" s="119">
        <v>0</v>
      </c>
      <c r="L21" s="119">
        <v>0</v>
      </c>
      <c r="M21" s="119">
        <v>0</v>
      </c>
      <c r="N21" s="119">
        <v>0</v>
      </c>
      <c r="O21" s="119">
        <v>0</v>
      </c>
      <c r="P21" s="119">
        <v>0</v>
      </c>
      <c r="Q21" s="119">
        <v>0</v>
      </c>
      <c r="R21" s="119">
        <v>0</v>
      </c>
      <c r="S21" s="119">
        <v>0</v>
      </c>
      <c r="T21" s="119">
        <v>0</v>
      </c>
      <c r="U21" s="119">
        <v>0</v>
      </c>
      <c r="V21" s="119">
        <v>0</v>
      </c>
      <c r="W21" s="119">
        <v>0</v>
      </c>
      <c r="X21" s="119">
        <v>0</v>
      </c>
      <c r="Y21" s="119">
        <v>0</v>
      </c>
      <c r="Z21" s="119">
        <v>0</v>
      </c>
      <c r="AA21" s="119">
        <v>0</v>
      </c>
      <c r="AB21" s="119">
        <v>0</v>
      </c>
      <c r="AC21" s="119">
        <v>0</v>
      </c>
      <c r="AD21" s="119">
        <v>0</v>
      </c>
      <c r="AE21" s="119">
        <v>0</v>
      </c>
      <c r="AF21" s="119">
        <v>0</v>
      </c>
      <c r="AG21" s="119">
        <v>0</v>
      </c>
      <c r="AH21" s="119">
        <v>0</v>
      </c>
      <c r="AI21" s="119">
        <v>0</v>
      </c>
      <c r="AJ21" s="119">
        <v>0</v>
      </c>
      <c r="AK21" s="119">
        <v>0</v>
      </c>
      <c r="AL21" s="119">
        <v>0</v>
      </c>
      <c r="AM21" s="119">
        <v>0</v>
      </c>
      <c r="AN21" s="119">
        <v>0</v>
      </c>
      <c r="AO21" s="119">
        <v>0</v>
      </c>
      <c r="AP21" s="119">
        <v>0</v>
      </c>
    </row>
    <row r="22" spans="1:42" x14ac:dyDescent="0.2">
      <c r="A22" s="86" t="s">
        <v>335</v>
      </c>
      <c r="B22" s="119"/>
      <c r="C22" s="123">
        <f>SUM(C14:C21)</f>
        <v>0</v>
      </c>
      <c r="D22" s="123">
        <f t="shared" ref="D22:AP22" si="2">SUM(D14:D21)</f>
        <v>0</v>
      </c>
      <c r="E22" s="123">
        <f t="shared" si="2"/>
        <v>0</v>
      </c>
      <c r="F22" s="123">
        <f t="shared" si="2"/>
        <v>0</v>
      </c>
      <c r="G22" s="123">
        <f t="shared" si="2"/>
        <v>0</v>
      </c>
      <c r="H22" s="123">
        <f t="shared" si="2"/>
        <v>0</v>
      </c>
      <c r="I22" s="123">
        <f t="shared" si="2"/>
        <v>0</v>
      </c>
      <c r="J22" s="123">
        <f t="shared" si="2"/>
        <v>0</v>
      </c>
      <c r="K22" s="123">
        <f t="shared" si="2"/>
        <v>0</v>
      </c>
      <c r="L22" s="123">
        <f t="shared" si="2"/>
        <v>0</v>
      </c>
      <c r="M22" s="123">
        <f t="shared" si="2"/>
        <v>0</v>
      </c>
      <c r="N22" s="123">
        <f t="shared" si="2"/>
        <v>0</v>
      </c>
      <c r="O22" s="123">
        <f t="shared" si="2"/>
        <v>0</v>
      </c>
      <c r="P22" s="123">
        <f t="shared" si="2"/>
        <v>0</v>
      </c>
      <c r="Q22" s="123">
        <f t="shared" si="2"/>
        <v>0</v>
      </c>
      <c r="R22" s="123">
        <f t="shared" si="2"/>
        <v>0</v>
      </c>
      <c r="S22" s="123">
        <f t="shared" si="2"/>
        <v>0</v>
      </c>
      <c r="T22" s="123">
        <f t="shared" si="2"/>
        <v>0</v>
      </c>
      <c r="U22" s="123">
        <f t="shared" si="2"/>
        <v>0</v>
      </c>
      <c r="V22" s="123">
        <f t="shared" si="2"/>
        <v>0</v>
      </c>
      <c r="W22" s="123">
        <f t="shared" si="2"/>
        <v>0</v>
      </c>
      <c r="X22" s="123">
        <f t="shared" si="2"/>
        <v>0</v>
      </c>
      <c r="Y22" s="123">
        <f t="shared" si="2"/>
        <v>0</v>
      </c>
      <c r="Z22" s="123">
        <f t="shared" si="2"/>
        <v>0</v>
      </c>
      <c r="AA22" s="123">
        <f t="shared" si="2"/>
        <v>0</v>
      </c>
      <c r="AB22" s="123">
        <f t="shared" si="2"/>
        <v>0</v>
      </c>
      <c r="AC22" s="123">
        <f t="shared" si="2"/>
        <v>0</v>
      </c>
      <c r="AD22" s="123">
        <f t="shared" si="2"/>
        <v>0</v>
      </c>
      <c r="AE22" s="123">
        <f t="shared" si="2"/>
        <v>0</v>
      </c>
      <c r="AF22" s="123">
        <f t="shared" si="2"/>
        <v>0</v>
      </c>
      <c r="AG22" s="123">
        <f t="shared" si="2"/>
        <v>0</v>
      </c>
      <c r="AH22" s="123">
        <f t="shared" si="2"/>
        <v>0</v>
      </c>
      <c r="AI22" s="123">
        <f t="shared" si="2"/>
        <v>0</v>
      </c>
      <c r="AJ22" s="123">
        <f t="shared" si="2"/>
        <v>0</v>
      </c>
      <c r="AK22" s="123">
        <f t="shared" si="2"/>
        <v>0</v>
      </c>
      <c r="AL22" s="123">
        <f t="shared" si="2"/>
        <v>0</v>
      </c>
      <c r="AM22" s="123">
        <f t="shared" si="2"/>
        <v>0</v>
      </c>
      <c r="AN22" s="123">
        <f t="shared" si="2"/>
        <v>0</v>
      </c>
      <c r="AO22" s="123">
        <f t="shared" si="2"/>
        <v>0</v>
      </c>
      <c r="AP22" s="123">
        <f t="shared" si="2"/>
        <v>0</v>
      </c>
    </row>
    <row r="23" spans="1:42" x14ac:dyDescent="0.2">
      <c r="A23" s="4" t="s">
        <v>19</v>
      </c>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row>
    <row r="24" spans="1:42" x14ac:dyDescent="0.2">
      <c r="A24" s="86" t="s">
        <v>4</v>
      </c>
      <c r="C24" s="119">
        <f t="shared" ref="C24:AP24" si="3">IF(pbi_fed_for_ds="Yes",C580,0)</f>
        <v>0</v>
      </c>
      <c r="D24" s="119">
        <f t="shared" si="3"/>
        <v>0</v>
      </c>
      <c r="E24" s="119">
        <f t="shared" si="3"/>
        <v>0</v>
      </c>
      <c r="F24" s="119">
        <f t="shared" si="3"/>
        <v>0</v>
      </c>
      <c r="G24" s="119">
        <f t="shared" si="3"/>
        <v>0</v>
      </c>
      <c r="H24" s="119">
        <f t="shared" si="3"/>
        <v>0</v>
      </c>
      <c r="I24" s="119">
        <f t="shared" si="3"/>
        <v>0</v>
      </c>
      <c r="J24" s="119">
        <f t="shared" si="3"/>
        <v>0</v>
      </c>
      <c r="K24" s="119">
        <f t="shared" si="3"/>
        <v>0</v>
      </c>
      <c r="L24" s="119">
        <f t="shared" si="3"/>
        <v>0</v>
      </c>
      <c r="M24" s="119">
        <f t="shared" si="3"/>
        <v>0</v>
      </c>
      <c r="N24" s="119">
        <f t="shared" si="3"/>
        <v>0</v>
      </c>
      <c r="O24" s="119">
        <f t="shared" si="3"/>
        <v>0</v>
      </c>
      <c r="P24" s="119">
        <f t="shared" si="3"/>
        <v>0</v>
      </c>
      <c r="Q24" s="119">
        <f t="shared" si="3"/>
        <v>0</v>
      </c>
      <c r="R24" s="119">
        <f t="shared" si="3"/>
        <v>0</v>
      </c>
      <c r="S24" s="119">
        <f t="shared" si="3"/>
        <v>0</v>
      </c>
      <c r="T24" s="119">
        <f t="shared" si="3"/>
        <v>0</v>
      </c>
      <c r="U24" s="119">
        <f t="shared" si="3"/>
        <v>0</v>
      </c>
      <c r="V24" s="119">
        <f t="shared" si="3"/>
        <v>0</v>
      </c>
      <c r="W24" s="119">
        <f t="shared" si="3"/>
        <v>0</v>
      </c>
      <c r="X24" s="119">
        <f t="shared" si="3"/>
        <v>0</v>
      </c>
      <c r="Y24" s="119">
        <f t="shared" si="3"/>
        <v>0</v>
      </c>
      <c r="Z24" s="119">
        <f t="shared" si="3"/>
        <v>0</v>
      </c>
      <c r="AA24" s="119">
        <f t="shared" si="3"/>
        <v>0</v>
      </c>
      <c r="AB24" s="119">
        <f t="shared" si="3"/>
        <v>0</v>
      </c>
      <c r="AC24" s="119">
        <f t="shared" si="3"/>
        <v>0</v>
      </c>
      <c r="AD24" s="119">
        <f t="shared" si="3"/>
        <v>0</v>
      </c>
      <c r="AE24" s="119">
        <f t="shared" si="3"/>
        <v>0</v>
      </c>
      <c r="AF24" s="119">
        <f t="shared" si="3"/>
        <v>0</v>
      </c>
      <c r="AG24" s="119">
        <f t="shared" si="3"/>
        <v>0</v>
      </c>
      <c r="AH24" s="119">
        <f t="shared" si="3"/>
        <v>0</v>
      </c>
      <c r="AI24" s="119">
        <f t="shared" si="3"/>
        <v>0</v>
      </c>
      <c r="AJ24" s="119">
        <f t="shared" si="3"/>
        <v>0</v>
      </c>
      <c r="AK24" s="119">
        <f t="shared" si="3"/>
        <v>0</v>
      </c>
      <c r="AL24" s="119">
        <f t="shared" si="3"/>
        <v>0</v>
      </c>
      <c r="AM24" s="119">
        <f t="shared" si="3"/>
        <v>0</v>
      </c>
      <c r="AN24" s="119">
        <f t="shared" si="3"/>
        <v>0</v>
      </c>
      <c r="AO24" s="119">
        <f t="shared" si="3"/>
        <v>0</v>
      </c>
      <c r="AP24" s="119">
        <f t="shared" si="3"/>
        <v>0</v>
      </c>
    </row>
    <row r="25" spans="1:42" x14ac:dyDescent="0.2">
      <c r="A25" s="86" t="s">
        <v>5</v>
      </c>
      <c r="C25" s="119">
        <f t="shared" ref="C25:AP25" si="4">IF(pbi_sta_for_ds="Yes",C584,0)</f>
        <v>0</v>
      </c>
      <c r="D25" s="119">
        <f t="shared" si="4"/>
        <v>0</v>
      </c>
      <c r="E25" s="119">
        <f t="shared" si="4"/>
        <v>0</v>
      </c>
      <c r="F25" s="119">
        <f t="shared" si="4"/>
        <v>0</v>
      </c>
      <c r="G25" s="119">
        <f t="shared" si="4"/>
        <v>0</v>
      </c>
      <c r="H25" s="119">
        <f t="shared" si="4"/>
        <v>0</v>
      </c>
      <c r="I25" s="119">
        <f t="shared" si="4"/>
        <v>0</v>
      </c>
      <c r="J25" s="119">
        <f t="shared" si="4"/>
        <v>0</v>
      </c>
      <c r="K25" s="119">
        <f t="shared" si="4"/>
        <v>0</v>
      </c>
      <c r="L25" s="119">
        <f t="shared" si="4"/>
        <v>0</v>
      </c>
      <c r="M25" s="119">
        <f t="shared" si="4"/>
        <v>0</v>
      </c>
      <c r="N25" s="119">
        <f t="shared" si="4"/>
        <v>0</v>
      </c>
      <c r="O25" s="119">
        <f t="shared" si="4"/>
        <v>0</v>
      </c>
      <c r="P25" s="119">
        <f t="shared" si="4"/>
        <v>0</v>
      </c>
      <c r="Q25" s="119">
        <f t="shared" si="4"/>
        <v>0</v>
      </c>
      <c r="R25" s="119">
        <f t="shared" si="4"/>
        <v>0</v>
      </c>
      <c r="S25" s="119">
        <f t="shared" si="4"/>
        <v>0</v>
      </c>
      <c r="T25" s="119">
        <f t="shared" si="4"/>
        <v>0</v>
      </c>
      <c r="U25" s="119">
        <f t="shared" si="4"/>
        <v>0</v>
      </c>
      <c r="V25" s="119">
        <f t="shared" si="4"/>
        <v>0</v>
      </c>
      <c r="W25" s="119">
        <f t="shared" si="4"/>
        <v>0</v>
      </c>
      <c r="X25" s="119">
        <f t="shared" si="4"/>
        <v>0</v>
      </c>
      <c r="Y25" s="119">
        <f t="shared" si="4"/>
        <v>0</v>
      </c>
      <c r="Z25" s="119">
        <f t="shared" si="4"/>
        <v>0</v>
      </c>
      <c r="AA25" s="119">
        <f t="shared" si="4"/>
        <v>0</v>
      </c>
      <c r="AB25" s="119">
        <f t="shared" si="4"/>
        <v>0</v>
      </c>
      <c r="AC25" s="119">
        <f t="shared" si="4"/>
        <v>0</v>
      </c>
      <c r="AD25" s="119">
        <f t="shared" si="4"/>
        <v>0</v>
      </c>
      <c r="AE25" s="119">
        <f t="shared" si="4"/>
        <v>0</v>
      </c>
      <c r="AF25" s="119">
        <f t="shared" si="4"/>
        <v>0</v>
      </c>
      <c r="AG25" s="119">
        <f t="shared" si="4"/>
        <v>0</v>
      </c>
      <c r="AH25" s="119">
        <f t="shared" si="4"/>
        <v>0</v>
      </c>
      <c r="AI25" s="119">
        <f t="shared" si="4"/>
        <v>0</v>
      </c>
      <c r="AJ25" s="119">
        <f t="shared" si="4"/>
        <v>0</v>
      </c>
      <c r="AK25" s="119">
        <f t="shared" si="4"/>
        <v>0</v>
      </c>
      <c r="AL25" s="119">
        <f t="shared" si="4"/>
        <v>0</v>
      </c>
      <c r="AM25" s="119">
        <f t="shared" si="4"/>
        <v>0</v>
      </c>
      <c r="AN25" s="119">
        <f t="shared" si="4"/>
        <v>0</v>
      </c>
      <c r="AO25" s="119">
        <f t="shared" si="4"/>
        <v>0</v>
      </c>
      <c r="AP25" s="119">
        <f t="shared" si="4"/>
        <v>0</v>
      </c>
    </row>
    <row r="26" spans="1:42" x14ac:dyDescent="0.2">
      <c r="A26" s="86" t="s">
        <v>160</v>
      </c>
      <c r="C26" s="119">
        <f t="shared" ref="C26:AP26" si="5">IF(pbi_uti_for_ds="Yes",C588,0)</f>
        <v>0</v>
      </c>
      <c r="D26" s="119">
        <f t="shared" si="5"/>
        <v>0</v>
      </c>
      <c r="E26" s="119">
        <f t="shared" si="5"/>
        <v>0</v>
      </c>
      <c r="F26" s="119">
        <f t="shared" si="5"/>
        <v>0</v>
      </c>
      <c r="G26" s="119">
        <f t="shared" si="5"/>
        <v>0</v>
      </c>
      <c r="H26" s="119">
        <f t="shared" si="5"/>
        <v>0</v>
      </c>
      <c r="I26" s="119">
        <f t="shared" si="5"/>
        <v>0</v>
      </c>
      <c r="J26" s="119">
        <f t="shared" si="5"/>
        <v>0</v>
      </c>
      <c r="K26" s="119">
        <f t="shared" si="5"/>
        <v>0</v>
      </c>
      <c r="L26" s="119">
        <f t="shared" si="5"/>
        <v>0</v>
      </c>
      <c r="M26" s="119">
        <f t="shared" si="5"/>
        <v>0</v>
      </c>
      <c r="N26" s="119">
        <f t="shared" si="5"/>
        <v>0</v>
      </c>
      <c r="O26" s="119">
        <f t="shared" si="5"/>
        <v>0</v>
      </c>
      <c r="P26" s="119">
        <f t="shared" si="5"/>
        <v>0</v>
      </c>
      <c r="Q26" s="119">
        <f t="shared" si="5"/>
        <v>0</v>
      </c>
      <c r="R26" s="119">
        <f t="shared" si="5"/>
        <v>0</v>
      </c>
      <c r="S26" s="119">
        <f t="shared" si="5"/>
        <v>0</v>
      </c>
      <c r="T26" s="119">
        <f t="shared" si="5"/>
        <v>0</v>
      </c>
      <c r="U26" s="119">
        <f t="shared" si="5"/>
        <v>0</v>
      </c>
      <c r="V26" s="119">
        <f t="shared" si="5"/>
        <v>0</v>
      </c>
      <c r="W26" s="119">
        <f t="shared" si="5"/>
        <v>0</v>
      </c>
      <c r="X26" s="119">
        <f t="shared" si="5"/>
        <v>0</v>
      </c>
      <c r="Y26" s="119">
        <f t="shared" si="5"/>
        <v>0</v>
      </c>
      <c r="Z26" s="119">
        <f t="shared" si="5"/>
        <v>0</v>
      </c>
      <c r="AA26" s="119">
        <f t="shared" si="5"/>
        <v>0</v>
      </c>
      <c r="AB26" s="119">
        <f t="shared" si="5"/>
        <v>0</v>
      </c>
      <c r="AC26" s="119">
        <f t="shared" si="5"/>
        <v>0</v>
      </c>
      <c r="AD26" s="119">
        <f t="shared" si="5"/>
        <v>0</v>
      </c>
      <c r="AE26" s="119">
        <f t="shared" si="5"/>
        <v>0</v>
      </c>
      <c r="AF26" s="119">
        <f t="shared" si="5"/>
        <v>0</v>
      </c>
      <c r="AG26" s="119">
        <f t="shared" si="5"/>
        <v>0</v>
      </c>
      <c r="AH26" s="119">
        <f t="shared" si="5"/>
        <v>0</v>
      </c>
      <c r="AI26" s="119">
        <f t="shared" si="5"/>
        <v>0</v>
      </c>
      <c r="AJ26" s="119">
        <f t="shared" si="5"/>
        <v>0</v>
      </c>
      <c r="AK26" s="119">
        <f t="shared" si="5"/>
        <v>0</v>
      </c>
      <c r="AL26" s="119">
        <f t="shared" si="5"/>
        <v>0</v>
      </c>
      <c r="AM26" s="119">
        <f t="shared" si="5"/>
        <v>0</v>
      </c>
      <c r="AN26" s="119">
        <f t="shared" si="5"/>
        <v>0</v>
      </c>
      <c r="AO26" s="119">
        <f t="shared" si="5"/>
        <v>0</v>
      </c>
      <c r="AP26" s="119">
        <f t="shared" si="5"/>
        <v>0</v>
      </c>
    </row>
    <row r="27" spans="1:42" x14ac:dyDescent="0.2">
      <c r="A27" s="86" t="s">
        <v>161</v>
      </c>
      <c r="C27" s="120">
        <f t="shared" ref="C27:AP27" si="6">IF(pbi_oth_for_ds="Yes",C592,0)</f>
        <v>0</v>
      </c>
      <c r="D27" s="120">
        <f t="shared" si="6"/>
        <v>0</v>
      </c>
      <c r="E27" s="120">
        <f t="shared" si="6"/>
        <v>0</v>
      </c>
      <c r="F27" s="120">
        <f t="shared" si="6"/>
        <v>0</v>
      </c>
      <c r="G27" s="120">
        <f t="shared" si="6"/>
        <v>0</v>
      </c>
      <c r="H27" s="120">
        <f t="shared" si="6"/>
        <v>0</v>
      </c>
      <c r="I27" s="120">
        <f t="shared" si="6"/>
        <v>0</v>
      </c>
      <c r="J27" s="120">
        <f t="shared" si="6"/>
        <v>0</v>
      </c>
      <c r="K27" s="120">
        <f t="shared" si="6"/>
        <v>0</v>
      </c>
      <c r="L27" s="120">
        <f t="shared" si="6"/>
        <v>0</v>
      </c>
      <c r="M27" s="120">
        <f t="shared" si="6"/>
        <v>0</v>
      </c>
      <c r="N27" s="120">
        <f t="shared" si="6"/>
        <v>0</v>
      </c>
      <c r="O27" s="120">
        <f t="shared" si="6"/>
        <v>0</v>
      </c>
      <c r="P27" s="120">
        <f t="shared" si="6"/>
        <v>0</v>
      </c>
      <c r="Q27" s="120">
        <f t="shared" si="6"/>
        <v>0</v>
      </c>
      <c r="R27" s="120">
        <f t="shared" si="6"/>
        <v>0</v>
      </c>
      <c r="S27" s="120">
        <f t="shared" si="6"/>
        <v>0</v>
      </c>
      <c r="T27" s="120">
        <f t="shared" si="6"/>
        <v>0</v>
      </c>
      <c r="U27" s="120">
        <f t="shared" si="6"/>
        <v>0</v>
      </c>
      <c r="V27" s="120">
        <f t="shared" si="6"/>
        <v>0</v>
      </c>
      <c r="W27" s="120">
        <f t="shared" si="6"/>
        <v>0</v>
      </c>
      <c r="X27" s="120">
        <f t="shared" si="6"/>
        <v>0</v>
      </c>
      <c r="Y27" s="120">
        <f t="shared" si="6"/>
        <v>0</v>
      </c>
      <c r="Z27" s="120">
        <f t="shared" si="6"/>
        <v>0</v>
      </c>
      <c r="AA27" s="120">
        <f t="shared" si="6"/>
        <v>0</v>
      </c>
      <c r="AB27" s="120">
        <f t="shared" si="6"/>
        <v>0</v>
      </c>
      <c r="AC27" s="120">
        <f t="shared" si="6"/>
        <v>0</v>
      </c>
      <c r="AD27" s="120">
        <f t="shared" si="6"/>
        <v>0</v>
      </c>
      <c r="AE27" s="120">
        <f t="shared" si="6"/>
        <v>0</v>
      </c>
      <c r="AF27" s="120">
        <f t="shared" si="6"/>
        <v>0</v>
      </c>
      <c r="AG27" s="120">
        <f t="shared" si="6"/>
        <v>0</v>
      </c>
      <c r="AH27" s="120">
        <f t="shared" si="6"/>
        <v>0</v>
      </c>
      <c r="AI27" s="120">
        <f t="shared" si="6"/>
        <v>0</v>
      </c>
      <c r="AJ27" s="120">
        <f t="shared" si="6"/>
        <v>0</v>
      </c>
      <c r="AK27" s="120">
        <f t="shared" si="6"/>
        <v>0</v>
      </c>
      <c r="AL27" s="120">
        <f t="shared" si="6"/>
        <v>0</v>
      </c>
      <c r="AM27" s="120">
        <f t="shared" si="6"/>
        <v>0</v>
      </c>
      <c r="AN27" s="120">
        <f t="shared" si="6"/>
        <v>0</v>
      </c>
      <c r="AO27" s="120">
        <f t="shared" si="6"/>
        <v>0</v>
      </c>
      <c r="AP27" s="120">
        <f t="shared" si="6"/>
        <v>0</v>
      </c>
    </row>
    <row r="28" spans="1:42" x14ac:dyDescent="0.2">
      <c r="A28" s="86" t="s">
        <v>334</v>
      </c>
      <c r="C28" s="119">
        <f>SUM(C24:C27)</f>
        <v>0</v>
      </c>
      <c r="D28" s="119">
        <f t="shared" ref="D28:AP28" si="7">SUM(D24:D27)</f>
        <v>0</v>
      </c>
      <c r="E28" s="119">
        <f t="shared" si="7"/>
        <v>0</v>
      </c>
      <c r="F28" s="119">
        <f t="shared" si="7"/>
        <v>0</v>
      </c>
      <c r="G28" s="119">
        <f t="shared" si="7"/>
        <v>0</v>
      </c>
      <c r="H28" s="119">
        <f t="shared" si="7"/>
        <v>0</v>
      </c>
      <c r="I28" s="119">
        <f t="shared" si="7"/>
        <v>0</v>
      </c>
      <c r="J28" s="119">
        <f t="shared" si="7"/>
        <v>0</v>
      </c>
      <c r="K28" s="119">
        <f t="shared" si="7"/>
        <v>0</v>
      </c>
      <c r="L28" s="119">
        <f t="shared" si="7"/>
        <v>0</v>
      </c>
      <c r="M28" s="119">
        <f t="shared" si="7"/>
        <v>0</v>
      </c>
      <c r="N28" s="119">
        <f t="shared" si="7"/>
        <v>0</v>
      </c>
      <c r="O28" s="119">
        <f t="shared" si="7"/>
        <v>0</v>
      </c>
      <c r="P28" s="119">
        <f t="shared" si="7"/>
        <v>0</v>
      </c>
      <c r="Q28" s="119">
        <f t="shared" si="7"/>
        <v>0</v>
      </c>
      <c r="R28" s="119">
        <f t="shared" si="7"/>
        <v>0</v>
      </c>
      <c r="S28" s="119">
        <f t="shared" si="7"/>
        <v>0</v>
      </c>
      <c r="T28" s="119">
        <f t="shared" si="7"/>
        <v>0</v>
      </c>
      <c r="U28" s="119">
        <f t="shared" si="7"/>
        <v>0</v>
      </c>
      <c r="V28" s="119">
        <f t="shared" si="7"/>
        <v>0</v>
      </c>
      <c r="W28" s="119">
        <f t="shared" si="7"/>
        <v>0</v>
      </c>
      <c r="X28" s="119">
        <f t="shared" si="7"/>
        <v>0</v>
      </c>
      <c r="Y28" s="119">
        <f t="shared" si="7"/>
        <v>0</v>
      </c>
      <c r="Z28" s="119">
        <f t="shared" si="7"/>
        <v>0</v>
      </c>
      <c r="AA28" s="119">
        <f t="shared" si="7"/>
        <v>0</v>
      </c>
      <c r="AB28" s="119">
        <f t="shared" si="7"/>
        <v>0</v>
      </c>
      <c r="AC28" s="119">
        <f t="shared" si="7"/>
        <v>0</v>
      </c>
      <c r="AD28" s="119">
        <f t="shared" si="7"/>
        <v>0</v>
      </c>
      <c r="AE28" s="119">
        <f t="shared" si="7"/>
        <v>0</v>
      </c>
      <c r="AF28" s="119">
        <f t="shared" si="7"/>
        <v>0</v>
      </c>
      <c r="AG28" s="119">
        <f t="shared" si="7"/>
        <v>0</v>
      </c>
      <c r="AH28" s="119">
        <f t="shared" si="7"/>
        <v>0</v>
      </c>
      <c r="AI28" s="119">
        <f t="shared" si="7"/>
        <v>0</v>
      </c>
      <c r="AJ28" s="119">
        <f t="shared" si="7"/>
        <v>0</v>
      </c>
      <c r="AK28" s="119">
        <f t="shared" si="7"/>
        <v>0</v>
      </c>
      <c r="AL28" s="119">
        <f t="shared" si="7"/>
        <v>0</v>
      </c>
      <c r="AM28" s="119">
        <f t="shared" si="7"/>
        <v>0</v>
      </c>
      <c r="AN28" s="119">
        <f t="shared" si="7"/>
        <v>0</v>
      </c>
      <c r="AO28" s="119">
        <f t="shared" si="7"/>
        <v>0</v>
      </c>
      <c r="AP28" s="119">
        <f t="shared" si="7"/>
        <v>0</v>
      </c>
    </row>
    <row r="29" spans="1:42" x14ac:dyDescent="0.2">
      <c r="A29" s="17" t="s">
        <v>303</v>
      </c>
      <c r="C29" s="119">
        <f t="shared" ref="C29:AP29" si="8">IF(C2=analysis_period,total_installed_cost*salvage_percentage/100,0)</f>
        <v>0</v>
      </c>
      <c r="D29" s="119">
        <f t="shared" si="8"/>
        <v>0</v>
      </c>
      <c r="E29" s="119">
        <f t="shared" si="8"/>
        <v>0</v>
      </c>
      <c r="F29" s="119">
        <f t="shared" si="8"/>
        <v>0</v>
      </c>
      <c r="G29" s="119">
        <f t="shared" si="8"/>
        <v>0</v>
      </c>
      <c r="H29" s="119">
        <f t="shared" si="8"/>
        <v>0</v>
      </c>
      <c r="I29" s="119">
        <f t="shared" si="8"/>
        <v>0</v>
      </c>
      <c r="J29" s="119">
        <f t="shared" si="8"/>
        <v>0</v>
      </c>
      <c r="K29" s="119">
        <f t="shared" si="8"/>
        <v>0</v>
      </c>
      <c r="L29" s="119">
        <f t="shared" si="8"/>
        <v>0</v>
      </c>
      <c r="M29" s="119">
        <f t="shared" si="8"/>
        <v>0</v>
      </c>
      <c r="N29" s="119">
        <f t="shared" si="8"/>
        <v>0</v>
      </c>
      <c r="O29" s="119">
        <f t="shared" si="8"/>
        <v>0</v>
      </c>
      <c r="P29" s="119">
        <f t="shared" si="8"/>
        <v>0</v>
      </c>
      <c r="Q29" s="119">
        <f t="shared" si="8"/>
        <v>0</v>
      </c>
      <c r="R29" s="119">
        <f t="shared" si="8"/>
        <v>0</v>
      </c>
      <c r="S29" s="119">
        <f t="shared" si="8"/>
        <v>0</v>
      </c>
      <c r="T29" s="119">
        <f t="shared" si="8"/>
        <v>0</v>
      </c>
      <c r="U29" s="119">
        <f t="shared" si="8"/>
        <v>0</v>
      </c>
      <c r="V29" s="119">
        <f t="shared" si="8"/>
        <v>0</v>
      </c>
      <c r="W29" s="119">
        <f t="shared" si="8"/>
        <v>0</v>
      </c>
      <c r="X29" s="119">
        <f t="shared" si="8"/>
        <v>0</v>
      </c>
      <c r="Y29" s="119">
        <f t="shared" si="8"/>
        <v>0</v>
      </c>
      <c r="Z29" s="119">
        <f t="shared" si="8"/>
        <v>0</v>
      </c>
      <c r="AA29" s="119">
        <f t="shared" si="8"/>
        <v>0</v>
      </c>
      <c r="AB29" s="119">
        <f t="shared" si="8"/>
        <v>0</v>
      </c>
      <c r="AC29" s="119">
        <f t="shared" si="8"/>
        <v>0</v>
      </c>
      <c r="AD29" s="119">
        <f t="shared" si="8"/>
        <v>0</v>
      </c>
      <c r="AE29" s="119">
        <f t="shared" si="8"/>
        <v>0</v>
      </c>
      <c r="AF29" s="119">
        <f t="shared" si="8"/>
        <v>0</v>
      </c>
      <c r="AG29" s="119">
        <f t="shared" si="8"/>
        <v>0</v>
      </c>
      <c r="AH29" s="119">
        <f t="shared" si="8"/>
        <v>0</v>
      </c>
      <c r="AI29" s="119">
        <f t="shared" si="8"/>
        <v>0</v>
      </c>
      <c r="AJ29" s="119">
        <f t="shared" si="8"/>
        <v>0</v>
      </c>
      <c r="AK29" s="119">
        <f t="shared" si="8"/>
        <v>0</v>
      </c>
      <c r="AL29" s="119">
        <f t="shared" si="8"/>
        <v>0</v>
      </c>
      <c r="AM29" s="119">
        <f t="shared" si="8"/>
        <v>0</v>
      </c>
      <c r="AN29" s="119">
        <f t="shared" si="8"/>
        <v>0</v>
      </c>
      <c r="AO29" s="119">
        <f t="shared" si="8"/>
        <v>0</v>
      </c>
      <c r="AP29" s="119">
        <f t="shared" si="8"/>
        <v>0</v>
      </c>
    </row>
    <row r="30" spans="1:42" x14ac:dyDescent="0.2">
      <c r="A30" s="198" t="s">
        <v>68</v>
      </c>
      <c r="B30" s="27"/>
      <c r="C30" s="130">
        <f>IF(C2&lt;=analysis_period,C22+C28+C29,0)</f>
        <v>0</v>
      </c>
      <c r="D30" s="130">
        <f t="shared" ref="D30:AP30" si="9">IF(D2&lt;=analysis_period,D22+D28+D29,0)</f>
        <v>0</v>
      </c>
      <c r="E30" s="130">
        <f t="shared" si="9"/>
        <v>0</v>
      </c>
      <c r="F30" s="130">
        <f t="shared" si="9"/>
        <v>0</v>
      </c>
      <c r="G30" s="130">
        <f t="shared" si="9"/>
        <v>0</v>
      </c>
      <c r="H30" s="130">
        <f t="shared" si="9"/>
        <v>0</v>
      </c>
      <c r="I30" s="130">
        <f t="shared" si="9"/>
        <v>0</v>
      </c>
      <c r="J30" s="130">
        <f t="shared" si="9"/>
        <v>0</v>
      </c>
      <c r="K30" s="130">
        <f t="shared" si="9"/>
        <v>0</v>
      </c>
      <c r="L30" s="130">
        <f t="shared" si="9"/>
        <v>0</v>
      </c>
      <c r="M30" s="130">
        <f t="shared" si="9"/>
        <v>0</v>
      </c>
      <c r="N30" s="130">
        <f t="shared" si="9"/>
        <v>0</v>
      </c>
      <c r="O30" s="130">
        <f t="shared" si="9"/>
        <v>0</v>
      </c>
      <c r="P30" s="130">
        <f t="shared" si="9"/>
        <v>0</v>
      </c>
      <c r="Q30" s="130">
        <f t="shared" si="9"/>
        <v>0</v>
      </c>
      <c r="R30" s="130">
        <f t="shared" si="9"/>
        <v>0</v>
      </c>
      <c r="S30" s="130">
        <f t="shared" si="9"/>
        <v>0</v>
      </c>
      <c r="T30" s="130">
        <f t="shared" si="9"/>
        <v>0</v>
      </c>
      <c r="U30" s="130">
        <f t="shared" si="9"/>
        <v>0</v>
      </c>
      <c r="V30" s="130">
        <f t="shared" si="9"/>
        <v>0</v>
      </c>
      <c r="W30" s="130">
        <f t="shared" si="9"/>
        <v>0</v>
      </c>
      <c r="X30" s="130">
        <f t="shared" si="9"/>
        <v>0</v>
      </c>
      <c r="Y30" s="130">
        <f t="shared" si="9"/>
        <v>0</v>
      </c>
      <c r="Z30" s="130">
        <f t="shared" si="9"/>
        <v>0</v>
      </c>
      <c r="AA30" s="130">
        <f t="shared" si="9"/>
        <v>0</v>
      </c>
      <c r="AB30" s="130">
        <f t="shared" si="9"/>
        <v>0</v>
      </c>
      <c r="AC30" s="130">
        <f t="shared" si="9"/>
        <v>0</v>
      </c>
      <c r="AD30" s="130">
        <f t="shared" si="9"/>
        <v>0</v>
      </c>
      <c r="AE30" s="130">
        <f t="shared" si="9"/>
        <v>0</v>
      </c>
      <c r="AF30" s="130">
        <f t="shared" si="9"/>
        <v>0</v>
      </c>
      <c r="AG30" s="130">
        <f t="shared" si="9"/>
        <v>0</v>
      </c>
      <c r="AH30" s="130">
        <f t="shared" si="9"/>
        <v>0</v>
      </c>
      <c r="AI30" s="130">
        <f t="shared" si="9"/>
        <v>0</v>
      </c>
      <c r="AJ30" s="130">
        <f t="shared" si="9"/>
        <v>0</v>
      </c>
      <c r="AK30" s="130">
        <f t="shared" si="9"/>
        <v>0</v>
      </c>
      <c r="AL30" s="130">
        <f t="shared" si="9"/>
        <v>0</v>
      </c>
      <c r="AM30" s="130">
        <f t="shared" si="9"/>
        <v>0</v>
      </c>
      <c r="AN30" s="130">
        <f t="shared" si="9"/>
        <v>0</v>
      </c>
      <c r="AO30" s="130">
        <f t="shared" si="9"/>
        <v>0</v>
      </c>
      <c r="AP30" s="130">
        <f t="shared" si="9"/>
        <v>0</v>
      </c>
    </row>
    <row r="31" spans="1:42" x14ac:dyDescent="0.2">
      <c r="A31" s="17"/>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row>
    <row r="32" spans="1:42" x14ac:dyDescent="0.2">
      <c r="A32" s="17" t="s">
        <v>93</v>
      </c>
      <c r="C32" s="119">
        <f>PropertyTaxAssessedValue</f>
        <v>0</v>
      </c>
      <c r="D32" s="119">
        <f t="shared" ref="D32:AP32" si="10">IF(D2&lt;=analysis_period,PropertyTaxAssessedValue*(100-(D$2-1)*prop_tax_assessed_decline)/100,0)</f>
        <v>0</v>
      </c>
      <c r="E32" s="119">
        <f t="shared" si="10"/>
        <v>0</v>
      </c>
      <c r="F32" s="119">
        <f t="shared" si="10"/>
        <v>0</v>
      </c>
      <c r="G32" s="119">
        <f t="shared" si="10"/>
        <v>0</v>
      </c>
      <c r="H32" s="119">
        <f t="shared" si="10"/>
        <v>0</v>
      </c>
      <c r="I32" s="119">
        <f t="shared" si="10"/>
        <v>0</v>
      </c>
      <c r="J32" s="119">
        <f t="shared" si="10"/>
        <v>0</v>
      </c>
      <c r="K32" s="119">
        <f t="shared" si="10"/>
        <v>0</v>
      </c>
      <c r="L32" s="119">
        <f t="shared" si="10"/>
        <v>0</v>
      </c>
      <c r="M32" s="119">
        <f t="shared" si="10"/>
        <v>0</v>
      </c>
      <c r="N32" s="119">
        <f t="shared" si="10"/>
        <v>0</v>
      </c>
      <c r="O32" s="119">
        <f t="shared" si="10"/>
        <v>0</v>
      </c>
      <c r="P32" s="119">
        <f t="shared" si="10"/>
        <v>0</v>
      </c>
      <c r="Q32" s="119">
        <f t="shared" si="10"/>
        <v>0</v>
      </c>
      <c r="R32" s="119">
        <f t="shared" si="10"/>
        <v>0</v>
      </c>
      <c r="S32" s="119">
        <f t="shared" si="10"/>
        <v>0</v>
      </c>
      <c r="T32" s="119">
        <f t="shared" si="10"/>
        <v>0</v>
      </c>
      <c r="U32" s="119">
        <f t="shared" si="10"/>
        <v>0</v>
      </c>
      <c r="V32" s="119">
        <f t="shared" si="10"/>
        <v>0</v>
      </c>
      <c r="W32" s="119">
        <f t="shared" si="10"/>
        <v>0</v>
      </c>
      <c r="X32" s="119">
        <f t="shared" si="10"/>
        <v>0</v>
      </c>
      <c r="Y32" s="119">
        <f t="shared" si="10"/>
        <v>0</v>
      </c>
      <c r="Z32" s="119">
        <f t="shared" si="10"/>
        <v>0</v>
      </c>
      <c r="AA32" s="119">
        <f t="shared" si="10"/>
        <v>0</v>
      </c>
      <c r="AB32" s="119">
        <f t="shared" si="10"/>
        <v>0</v>
      </c>
      <c r="AC32" s="119">
        <f t="shared" si="10"/>
        <v>0</v>
      </c>
      <c r="AD32" s="119">
        <f t="shared" si="10"/>
        <v>0</v>
      </c>
      <c r="AE32" s="119">
        <f t="shared" si="10"/>
        <v>0</v>
      </c>
      <c r="AF32" s="119">
        <f t="shared" si="10"/>
        <v>0</v>
      </c>
      <c r="AG32" s="119">
        <f t="shared" si="10"/>
        <v>0</v>
      </c>
      <c r="AH32" s="119">
        <f t="shared" si="10"/>
        <v>0</v>
      </c>
      <c r="AI32" s="119">
        <f t="shared" si="10"/>
        <v>0</v>
      </c>
      <c r="AJ32" s="119">
        <f t="shared" si="10"/>
        <v>0</v>
      </c>
      <c r="AK32" s="119">
        <f t="shared" si="10"/>
        <v>0</v>
      </c>
      <c r="AL32" s="119">
        <f t="shared" si="10"/>
        <v>0</v>
      </c>
      <c r="AM32" s="119">
        <f t="shared" si="10"/>
        <v>0</v>
      </c>
      <c r="AN32" s="119">
        <f t="shared" si="10"/>
        <v>0</v>
      </c>
      <c r="AO32" s="119">
        <f t="shared" si="10"/>
        <v>0</v>
      </c>
      <c r="AP32" s="119">
        <f t="shared" si="10"/>
        <v>0</v>
      </c>
    </row>
    <row r="33" spans="1:42" x14ac:dyDescent="0.2">
      <c r="A33" s="21"/>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row>
    <row r="34" spans="1:42" x14ac:dyDescent="0.2">
      <c r="A34" s="80" t="s">
        <v>225</v>
      </c>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row>
    <row r="35" spans="1:42" x14ac:dyDescent="0.2">
      <c r="A35" s="4" t="s">
        <v>206</v>
      </c>
      <c r="C35" s="14"/>
      <c r="D35" s="14"/>
      <c r="E35" s="14"/>
      <c r="F35" s="14"/>
      <c r="G35" s="14"/>
      <c r="H35" s="14"/>
      <c r="I35" s="14"/>
      <c r="J35" s="14"/>
      <c r="K35" s="14"/>
      <c r="L35" s="14"/>
      <c r="M35" s="14"/>
      <c r="N35" s="14"/>
      <c r="O35" s="14"/>
      <c r="P35" s="14"/>
      <c r="Q35" s="14"/>
      <c r="R35" s="14"/>
      <c r="S35" s="14"/>
    </row>
    <row r="36" spans="1:42" x14ac:dyDescent="0.2">
      <c r="A36" s="86" t="s">
        <v>207</v>
      </c>
      <c r="C36" s="119">
        <f>IF(C$2&lt;=analysis_period,IF(om_fixed="n/a",Inputs!D165,om_fixed*(1+inflation_rate/100+om_fixed_escal/100)^B$2),0)</f>
        <v>0</v>
      </c>
      <c r="D36" s="119">
        <f>IF(D$2&lt;=analysis_period,IF(om_fixed="n/a",Inputs!E165,om_fixed*(1+inflation_rate/100+om_fixed_escal/100)^C$2),0)</f>
        <v>0</v>
      </c>
      <c r="E36" s="119">
        <f>IF(E$2&lt;=analysis_period,IF(om_fixed="n/a",Inputs!F165,om_fixed*(1+inflation_rate/100+om_fixed_escal/100)^D$2),0)</f>
        <v>0</v>
      </c>
      <c r="F36" s="119">
        <f>IF(F$2&lt;=analysis_period,IF(om_fixed="n/a",Inputs!G165,om_fixed*(1+inflation_rate/100+om_fixed_escal/100)^E$2),0)</f>
        <v>0</v>
      </c>
      <c r="G36" s="119">
        <f>IF(G$2&lt;=analysis_period,IF(om_fixed="n/a",Inputs!H165,om_fixed*(1+inflation_rate/100+om_fixed_escal/100)^F$2),0)</f>
        <v>0</v>
      </c>
      <c r="H36" s="119">
        <f>IF(H$2&lt;=analysis_period,IF(om_fixed="n/a",Inputs!I165,om_fixed*(1+inflation_rate/100+om_fixed_escal/100)^G$2),0)</f>
        <v>0</v>
      </c>
      <c r="I36" s="119">
        <f>IF(I$2&lt;=analysis_period,IF(om_fixed="n/a",Inputs!J165,om_fixed*(1+inflation_rate/100+om_fixed_escal/100)^H$2),0)</f>
        <v>0</v>
      </c>
      <c r="J36" s="119">
        <f>IF(J$2&lt;=analysis_period,IF(om_fixed="n/a",Inputs!K165,om_fixed*(1+inflation_rate/100+om_fixed_escal/100)^I$2),0)</f>
        <v>0</v>
      </c>
      <c r="K36" s="119">
        <f>IF(K$2&lt;=analysis_period,IF(om_fixed="n/a",Inputs!L165,om_fixed*(1+inflation_rate/100+om_fixed_escal/100)^J$2),0)</f>
        <v>0</v>
      </c>
      <c r="L36" s="119">
        <f>IF(L$2&lt;=analysis_period,IF(om_fixed="n/a",Inputs!M165,om_fixed*(1+inflation_rate/100+om_fixed_escal/100)^K$2),0)</f>
        <v>0</v>
      </c>
      <c r="M36" s="119">
        <f>IF(M$2&lt;=analysis_period,IF(om_fixed="n/a",Inputs!N165,om_fixed*(1+inflation_rate/100+om_fixed_escal/100)^L$2),0)</f>
        <v>0</v>
      </c>
      <c r="N36" s="119">
        <f>IF(N$2&lt;=analysis_period,IF(om_fixed="n/a",Inputs!O165,om_fixed*(1+inflation_rate/100+om_fixed_escal/100)^M$2),0)</f>
        <v>0</v>
      </c>
      <c r="O36" s="119">
        <f>IF(O$2&lt;=analysis_period,IF(om_fixed="n/a",Inputs!P165,om_fixed*(1+inflation_rate/100+om_fixed_escal/100)^N$2),0)</f>
        <v>0</v>
      </c>
      <c r="P36" s="119">
        <f>IF(P$2&lt;=analysis_period,IF(om_fixed="n/a",Inputs!Q165,om_fixed*(1+inflation_rate/100+om_fixed_escal/100)^O$2),0)</f>
        <v>0</v>
      </c>
      <c r="Q36" s="119">
        <f>IF(Q$2&lt;=analysis_period,IF(om_fixed="n/a",Inputs!R165,om_fixed*(1+inflation_rate/100+om_fixed_escal/100)^P$2),0)</f>
        <v>0</v>
      </c>
      <c r="R36" s="119">
        <f>IF(R$2&lt;=analysis_period,IF(om_fixed="n/a",Inputs!S165,om_fixed*(1+inflation_rate/100+om_fixed_escal/100)^Q$2),0)</f>
        <v>0</v>
      </c>
      <c r="S36" s="119">
        <f>IF(S$2&lt;=analysis_period,IF(om_fixed="n/a",Inputs!T165,om_fixed*(1+inflation_rate/100+om_fixed_escal/100)^R$2),0)</f>
        <v>0</v>
      </c>
      <c r="T36" s="119">
        <f>IF(T$2&lt;=analysis_period,IF(om_fixed="n/a",Inputs!U165,om_fixed*(1+inflation_rate/100+om_fixed_escal/100)^S$2),0)</f>
        <v>0</v>
      </c>
      <c r="U36" s="119">
        <f>IF(U$2&lt;=analysis_period,IF(om_fixed="n/a",Inputs!V165,om_fixed*(1+inflation_rate/100+om_fixed_escal/100)^T$2),0)</f>
        <v>0</v>
      </c>
      <c r="V36" s="119">
        <f>IF(V$2&lt;=analysis_period,IF(om_fixed="n/a",Inputs!W165,om_fixed*(1+inflation_rate/100+om_fixed_escal/100)^U$2),0)</f>
        <v>0</v>
      </c>
      <c r="W36" s="119">
        <f>IF(W$2&lt;=analysis_period,IF(om_fixed="n/a",Inputs!X165,om_fixed*(1+inflation_rate/100+om_fixed_escal/100)^V$2),0)</f>
        <v>0</v>
      </c>
      <c r="X36" s="119">
        <f>IF(X$2&lt;=analysis_period,IF(om_fixed="n/a",Inputs!Y165,om_fixed*(1+inflation_rate/100+om_fixed_escal/100)^W$2),0)</f>
        <v>0</v>
      </c>
      <c r="Y36" s="119">
        <f>IF(Y$2&lt;=analysis_period,IF(om_fixed="n/a",Inputs!Z165,om_fixed*(1+inflation_rate/100+om_fixed_escal/100)^X$2),0)</f>
        <v>0</v>
      </c>
      <c r="Z36" s="119">
        <f>IF(Z$2&lt;=analysis_period,IF(om_fixed="n/a",Inputs!AA165,om_fixed*(1+inflation_rate/100+om_fixed_escal/100)^Y$2),0)</f>
        <v>0</v>
      </c>
      <c r="AA36" s="119">
        <f>IF(AA$2&lt;=analysis_period,IF(om_fixed="n/a",Inputs!AB165,om_fixed*(1+inflation_rate/100+om_fixed_escal/100)^Z$2),0)</f>
        <v>0</v>
      </c>
      <c r="AB36" s="119">
        <f>IF(AB$2&lt;=analysis_period,IF(om_fixed="n/a",Inputs!AC165,om_fixed*(1+inflation_rate/100+om_fixed_escal/100)^AA$2),0)</f>
        <v>0</v>
      </c>
      <c r="AC36" s="119">
        <f>IF(AC$2&lt;=analysis_period,IF(om_fixed="n/a",Inputs!AD165,om_fixed*(1+inflation_rate/100+om_fixed_escal/100)^AB$2),0)</f>
        <v>0</v>
      </c>
      <c r="AD36" s="119">
        <f>IF(AD$2&lt;=analysis_period,IF(om_fixed="n/a",Inputs!AE165,om_fixed*(1+inflation_rate/100+om_fixed_escal/100)^AC$2),0)</f>
        <v>0</v>
      </c>
      <c r="AE36" s="119">
        <f>IF(AE$2&lt;=analysis_period,IF(om_fixed="n/a",Inputs!AF165,om_fixed*(1+inflation_rate/100+om_fixed_escal/100)^AD$2),0)</f>
        <v>0</v>
      </c>
      <c r="AF36" s="119">
        <f>IF(AF$2&lt;=analysis_period,IF(om_fixed="n/a",Inputs!AG165,om_fixed*(1+inflation_rate/100+om_fixed_escal/100)^AE$2),0)</f>
        <v>0</v>
      </c>
      <c r="AG36" s="119">
        <f>IF(AG$2&lt;=analysis_period,IF(om_fixed="n/a",Inputs!AH165,om_fixed*(1+inflation_rate/100+om_fixed_escal/100)^AF$2),0)</f>
        <v>0</v>
      </c>
      <c r="AH36" s="119">
        <f>IF(AH$2&lt;=analysis_period,IF(om_fixed="n/a",Inputs!AI165,om_fixed*(1+inflation_rate/100+om_fixed_escal/100)^AG$2),0)</f>
        <v>0</v>
      </c>
      <c r="AI36" s="119">
        <f>IF(AI$2&lt;=analysis_period,IF(om_fixed="n/a",Inputs!AJ165,om_fixed*(1+inflation_rate/100+om_fixed_escal/100)^AH$2),0)</f>
        <v>0</v>
      </c>
      <c r="AJ36" s="119">
        <f>IF(AJ$2&lt;=analysis_period,IF(om_fixed="n/a",Inputs!AK165,om_fixed*(1+inflation_rate/100+om_fixed_escal/100)^AI$2),0)</f>
        <v>0</v>
      </c>
      <c r="AK36" s="119">
        <f>IF(AK$2&lt;=analysis_period,IF(om_fixed="n/a",Inputs!AL165,om_fixed*(1+inflation_rate/100+om_fixed_escal/100)^AJ$2),0)</f>
        <v>0</v>
      </c>
      <c r="AL36" s="119">
        <f>IF(AL$2&lt;=analysis_period,IF(om_fixed="n/a",Inputs!AM165,om_fixed*(1+inflation_rate/100+om_fixed_escal/100)^AK$2),0)</f>
        <v>0</v>
      </c>
      <c r="AM36" s="119">
        <f>IF(AM$2&lt;=analysis_period,IF(om_fixed="n/a",Inputs!AN165,om_fixed*(1+inflation_rate/100+om_fixed_escal/100)^AL$2),0)</f>
        <v>0</v>
      </c>
      <c r="AN36" s="119">
        <f>IF(AN$2&lt;=analysis_period,IF(om_fixed="n/a",Inputs!AO165,om_fixed*(1+inflation_rate/100+om_fixed_escal/100)^AM$2),0)</f>
        <v>0</v>
      </c>
      <c r="AO36" s="119">
        <f>IF(AO$2&lt;=analysis_period,IF(om_fixed="n/a",Inputs!AP165,om_fixed*(1+inflation_rate/100+om_fixed_escal/100)^AN$2),0)</f>
        <v>0</v>
      </c>
      <c r="AP36" s="119">
        <f>IF(AP$2&lt;=analysis_period,IF(om_fixed="n/a",Inputs!AQ165,om_fixed*(1+inflation_rate/100+om_fixed_escal/100)^AO$2),0)</f>
        <v>0</v>
      </c>
    </row>
    <row r="37" spans="1:42" x14ac:dyDescent="0.2">
      <c r="A37" s="86" t="s">
        <v>208</v>
      </c>
    </row>
    <row r="38" spans="1:42" x14ac:dyDescent="0.2">
      <c r="A38" s="87" t="s">
        <v>10</v>
      </c>
      <c r="C38" s="144">
        <f t="shared" ref="C38:AP38" si="11">IF(C$2&lt;=analysis_period,system_capacity,0)</f>
        <v>0</v>
      </c>
      <c r="D38" s="144">
        <f t="shared" si="11"/>
        <v>0</v>
      </c>
      <c r="E38" s="144">
        <f t="shared" si="11"/>
        <v>0</v>
      </c>
      <c r="F38" s="144">
        <f t="shared" si="11"/>
        <v>0</v>
      </c>
      <c r="G38" s="144">
        <f t="shared" si="11"/>
        <v>0</v>
      </c>
      <c r="H38" s="144">
        <f t="shared" si="11"/>
        <v>0</v>
      </c>
      <c r="I38" s="144">
        <f t="shared" si="11"/>
        <v>0</v>
      </c>
      <c r="J38" s="144">
        <f t="shared" si="11"/>
        <v>0</v>
      </c>
      <c r="K38" s="144">
        <f t="shared" si="11"/>
        <v>0</v>
      </c>
      <c r="L38" s="144">
        <f t="shared" si="11"/>
        <v>0</v>
      </c>
      <c r="M38" s="144">
        <f t="shared" si="11"/>
        <v>0</v>
      </c>
      <c r="N38" s="144">
        <f t="shared" si="11"/>
        <v>0</v>
      </c>
      <c r="O38" s="144">
        <f t="shared" si="11"/>
        <v>0</v>
      </c>
      <c r="P38" s="144">
        <f t="shared" si="11"/>
        <v>0</v>
      </c>
      <c r="Q38" s="144">
        <f t="shared" si="11"/>
        <v>0</v>
      </c>
      <c r="R38" s="144">
        <f t="shared" si="11"/>
        <v>0</v>
      </c>
      <c r="S38" s="144">
        <f t="shared" si="11"/>
        <v>0</v>
      </c>
      <c r="T38" s="144">
        <f t="shared" si="11"/>
        <v>0</v>
      </c>
      <c r="U38" s="144">
        <f t="shared" si="11"/>
        <v>0</v>
      </c>
      <c r="V38" s="144">
        <f t="shared" si="11"/>
        <v>0</v>
      </c>
      <c r="W38" s="144">
        <f t="shared" si="11"/>
        <v>0</v>
      </c>
      <c r="X38" s="144">
        <f t="shared" si="11"/>
        <v>0</v>
      </c>
      <c r="Y38" s="144">
        <f t="shared" si="11"/>
        <v>0</v>
      </c>
      <c r="Z38" s="144">
        <f t="shared" si="11"/>
        <v>0</v>
      </c>
      <c r="AA38" s="144">
        <f t="shared" si="11"/>
        <v>0</v>
      </c>
      <c r="AB38" s="144">
        <f t="shared" si="11"/>
        <v>0</v>
      </c>
      <c r="AC38" s="144">
        <f t="shared" si="11"/>
        <v>0</v>
      </c>
      <c r="AD38" s="144">
        <f t="shared" si="11"/>
        <v>0</v>
      </c>
      <c r="AE38" s="144">
        <f t="shared" si="11"/>
        <v>0</v>
      </c>
      <c r="AF38" s="144">
        <f t="shared" si="11"/>
        <v>0</v>
      </c>
      <c r="AG38" s="144">
        <f t="shared" si="11"/>
        <v>0</v>
      </c>
      <c r="AH38" s="144">
        <f t="shared" si="11"/>
        <v>0</v>
      </c>
      <c r="AI38" s="144">
        <f t="shared" si="11"/>
        <v>0</v>
      </c>
      <c r="AJ38" s="144">
        <f t="shared" si="11"/>
        <v>0</v>
      </c>
      <c r="AK38" s="144">
        <f t="shared" si="11"/>
        <v>0</v>
      </c>
      <c r="AL38" s="144">
        <f t="shared" si="11"/>
        <v>0</v>
      </c>
      <c r="AM38" s="144">
        <f t="shared" si="11"/>
        <v>0</v>
      </c>
      <c r="AN38" s="144">
        <f t="shared" si="11"/>
        <v>0</v>
      </c>
      <c r="AO38" s="144">
        <f t="shared" si="11"/>
        <v>0</v>
      </c>
      <c r="AP38" s="144">
        <f t="shared" si="11"/>
        <v>0</v>
      </c>
    </row>
    <row r="39" spans="1:42" x14ac:dyDescent="0.2">
      <c r="A39" s="87" t="s">
        <v>11</v>
      </c>
      <c r="C39" s="142">
        <f>IF(C$2&lt;=analysis_period,IF(om_capacity="n/a",Inputs!D166,om_capacity*(1+inflation_rate/100+om_capacity_escal/100)^B$2),0)</f>
        <v>0</v>
      </c>
      <c r="D39" s="142">
        <f>IF(D$2&lt;=analysis_period,IF(om_capacity="n/a",Inputs!E166,om_capacity*(1+inflation_rate/100+om_capacity_escal/100)^C$2),0)</f>
        <v>0</v>
      </c>
      <c r="E39" s="142">
        <f>IF(E$2&lt;=analysis_period,IF(om_capacity="n/a",Inputs!F166,om_capacity*(1+inflation_rate/100+om_capacity_escal/100)^D$2),0)</f>
        <v>0</v>
      </c>
      <c r="F39" s="142">
        <f>IF(F$2&lt;=analysis_period,IF(om_capacity="n/a",Inputs!G166,om_capacity*(1+inflation_rate/100+om_capacity_escal/100)^E$2),0)</f>
        <v>0</v>
      </c>
      <c r="G39" s="142">
        <f>IF(G$2&lt;=analysis_period,IF(om_capacity="n/a",Inputs!H166,om_capacity*(1+inflation_rate/100+om_capacity_escal/100)^F$2),0)</f>
        <v>0</v>
      </c>
      <c r="H39" s="142">
        <f>IF(H$2&lt;=analysis_period,IF(om_capacity="n/a",Inputs!I166,om_capacity*(1+inflation_rate/100+om_capacity_escal/100)^G$2),0)</f>
        <v>0</v>
      </c>
      <c r="I39" s="142">
        <f>IF(I$2&lt;=analysis_period,IF(om_capacity="n/a",Inputs!J166,om_capacity*(1+inflation_rate/100+om_capacity_escal/100)^H$2),0)</f>
        <v>0</v>
      </c>
      <c r="J39" s="142">
        <f>IF(J$2&lt;=analysis_period,IF(om_capacity="n/a",Inputs!K166,om_capacity*(1+inflation_rate/100+om_capacity_escal/100)^I$2),0)</f>
        <v>0</v>
      </c>
      <c r="K39" s="142">
        <f>IF(K$2&lt;=analysis_period,IF(om_capacity="n/a",Inputs!L166,om_capacity*(1+inflation_rate/100+om_capacity_escal/100)^J$2),0)</f>
        <v>0</v>
      </c>
      <c r="L39" s="142">
        <f>IF(L$2&lt;=analysis_period,IF(om_capacity="n/a",Inputs!M166,om_capacity*(1+inflation_rate/100+om_capacity_escal/100)^K$2),0)</f>
        <v>0</v>
      </c>
      <c r="M39" s="142">
        <f>IF(M$2&lt;=analysis_period,IF(om_capacity="n/a",Inputs!N166,om_capacity*(1+inflation_rate/100+om_capacity_escal/100)^L$2),0)</f>
        <v>0</v>
      </c>
      <c r="N39" s="142">
        <f>IF(N$2&lt;=analysis_period,IF(om_capacity="n/a",Inputs!O166,om_capacity*(1+inflation_rate/100+om_capacity_escal/100)^M$2),0)</f>
        <v>0</v>
      </c>
      <c r="O39" s="142">
        <f>IF(O$2&lt;=analysis_period,IF(om_capacity="n/a",Inputs!P166,om_capacity*(1+inflation_rate/100+om_capacity_escal/100)^N$2),0)</f>
        <v>0</v>
      </c>
      <c r="P39" s="142">
        <f>IF(P$2&lt;=analysis_period,IF(om_capacity="n/a",Inputs!Q166,om_capacity*(1+inflation_rate/100+om_capacity_escal/100)^O$2),0)</f>
        <v>0</v>
      </c>
      <c r="Q39" s="142">
        <f>IF(Q$2&lt;=analysis_period,IF(om_capacity="n/a",Inputs!R166,om_capacity*(1+inflation_rate/100+om_capacity_escal/100)^P$2),0)</f>
        <v>0</v>
      </c>
      <c r="R39" s="142">
        <f>IF(R$2&lt;=analysis_period,IF(om_capacity="n/a",Inputs!S166,om_capacity*(1+inflation_rate/100+om_capacity_escal/100)^Q$2),0)</f>
        <v>0</v>
      </c>
      <c r="S39" s="142">
        <f>IF(S$2&lt;=analysis_period,IF(om_capacity="n/a",Inputs!T166,om_capacity*(1+inflation_rate/100+om_capacity_escal/100)^R$2),0)</f>
        <v>0</v>
      </c>
      <c r="T39" s="142">
        <f>IF(T$2&lt;=analysis_period,IF(om_capacity="n/a",Inputs!U166,om_capacity*(1+inflation_rate/100+om_capacity_escal/100)^S$2),0)</f>
        <v>0</v>
      </c>
      <c r="U39" s="142">
        <f>IF(U$2&lt;=analysis_period,IF(om_capacity="n/a",Inputs!V166,om_capacity*(1+inflation_rate/100+om_capacity_escal/100)^T$2),0)</f>
        <v>0</v>
      </c>
      <c r="V39" s="142">
        <f>IF(V$2&lt;=analysis_period,IF(om_capacity="n/a",Inputs!W166,om_capacity*(1+inflation_rate/100+om_capacity_escal/100)^U$2),0)</f>
        <v>0</v>
      </c>
      <c r="W39" s="142">
        <f>IF(W$2&lt;=analysis_period,IF(om_capacity="n/a",Inputs!X166,om_capacity*(1+inflation_rate/100+om_capacity_escal/100)^V$2),0)</f>
        <v>0</v>
      </c>
      <c r="X39" s="142">
        <f>IF(X$2&lt;=analysis_period,IF(om_capacity="n/a",Inputs!Y166,om_capacity*(1+inflation_rate/100+om_capacity_escal/100)^W$2),0)</f>
        <v>0</v>
      </c>
      <c r="Y39" s="142">
        <f>IF(Y$2&lt;=analysis_period,IF(om_capacity="n/a",Inputs!Z166,om_capacity*(1+inflation_rate/100+om_capacity_escal/100)^X$2),0)</f>
        <v>0</v>
      </c>
      <c r="Z39" s="142">
        <f>IF(Z$2&lt;=analysis_period,IF(om_capacity="n/a",Inputs!AA166,om_capacity*(1+inflation_rate/100+om_capacity_escal/100)^Y$2),0)</f>
        <v>0</v>
      </c>
      <c r="AA39" s="142">
        <f>IF(AA$2&lt;=analysis_period,IF(om_capacity="n/a",Inputs!AB166,om_capacity*(1+inflation_rate/100+om_capacity_escal/100)^Z$2),0)</f>
        <v>0</v>
      </c>
      <c r="AB39" s="142">
        <f>IF(AB$2&lt;=analysis_period,IF(om_capacity="n/a",Inputs!AC166,om_capacity*(1+inflation_rate/100+om_capacity_escal/100)^AA$2),0)</f>
        <v>0</v>
      </c>
      <c r="AC39" s="142">
        <f>IF(AC$2&lt;=analysis_period,IF(om_capacity="n/a",Inputs!AD166,om_capacity*(1+inflation_rate/100+om_capacity_escal/100)^AB$2),0)</f>
        <v>0</v>
      </c>
      <c r="AD39" s="142">
        <f>IF(AD$2&lt;=analysis_period,IF(om_capacity="n/a",Inputs!AE166,om_capacity*(1+inflation_rate/100+om_capacity_escal/100)^AC$2),0)</f>
        <v>0</v>
      </c>
      <c r="AE39" s="142">
        <f>IF(AE$2&lt;=analysis_period,IF(om_capacity="n/a",Inputs!AF166,om_capacity*(1+inflation_rate/100+om_capacity_escal/100)^AD$2),0)</f>
        <v>0</v>
      </c>
      <c r="AF39" s="142">
        <f>IF(AF$2&lt;=analysis_period,IF(om_capacity="n/a",Inputs!AG166,om_capacity*(1+inflation_rate/100+om_capacity_escal/100)^AE$2),0)</f>
        <v>0</v>
      </c>
      <c r="AG39" s="142">
        <f>IF(AG$2&lt;=analysis_period,IF(om_capacity="n/a",Inputs!AH166,om_capacity*(1+inflation_rate/100+om_capacity_escal/100)^AF$2),0)</f>
        <v>0</v>
      </c>
      <c r="AH39" s="142">
        <f>IF(AH$2&lt;=analysis_period,IF(om_capacity="n/a",Inputs!AI166,om_capacity*(1+inflation_rate/100+om_capacity_escal/100)^AG$2),0)</f>
        <v>0</v>
      </c>
      <c r="AI39" s="142">
        <f>IF(AI$2&lt;=analysis_period,IF(om_capacity="n/a",Inputs!AJ166,om_capacity*(1+inflation_rate/100+om_capacity_escal/100)^AH$2),0)</f>
        <v>0</v>
      </c>
      <c r="AJ39" s="142">
        <f>IF(AJ$2&lt;=analysis_period,IF(om_capacity="n/a",Inputs!AK166,om_capacity*(1+inflation_rate/100+om_capacity_escal/100)^AI$2),0)</f>
        <v>0</v>
      </c>
      <c r="AK39" s="142">
        <f>IF(AK$2&lt;=analysis_period,IF(om_capacity="n/a",Inputs!AL166,om_capacity*(1+inflation_rate/100+om_capacity_escal/100)^AJ$2),0)</f>
        <v>0</v>
      </c>
      <c r="AL39" s="142">
        <f>IF(AL$2&lt;=analysis_period,IF(om_capacity="n/a",Inputs!AM166,om_capacity*(1+inflation_rate/100+om_capacity_escal/100)^AK$2),0)</f>
        <v>0</v>
      </c>
      <c r="AM39" s="142">
        <f>IF(AM$2&lt;=analysis_period,IF(om_capacity="n/a",Inputs!AN166,om_capacity*(1+inflation_rate/100+om_capacity_escal/100)^AL$2),0)</f>
        <v>0</v>
      </c>
      <c r="AN39" s="142">
        <f>IF(AN$2&lt;=analysis_period,IF(om_capacity="n/a",Inputs!AO166,om_capacity*(1+inflation_rate/100+om_capacity_escal/100)^AM$2),0)</f>
        <v>0</v>
      </c>
      <c r="AO39" s="142">
        <f>IF(AO$2&lt;=analysis_period,IF(om_capacity="n/a",Inputs!AP166,om_capacity*(1+inflation_rate/100+om_capacity_escal/100)^AN$2),0)</f>
        <v>0</v>
      </c>
      <c r="AP39" s="142">
        <f>IF(AP$2&lt;=analysis_period,IF(om_capacity="n/a",Inputs!AQ166,om_capacity*(1+inflation_rate/100+om_capacity_escal/100)^AO$2),0)</f>
        <v>0</v>
      </c>
    </row>
    <row r="40" spans="1:42" x14ac:dyDescent="0.2">
      <c r="A40" s="87" t="s">
        <v>95</v>
      </c>
      <c r="C40" s="119">
        <f>C38*C39</f>
        <v>0</v>
      </c>
      <c r="D40" s="119">
        <f t="shared" ref="D40:AP40" si="12">D38*D39</f>
        <v>0</v>
      </c>
      <c r="E40" s="119">
        <f t="shared" si="12"/>
        <v>0</v>
      </c>
      <c r="F40" s="119">
        <f t="shared" si="12"/>
        <v>0</v>
      </c>
      <c r="G40" s="119">
        <f t="shared" si="12"/>
        <v>0</v>
      </c>
      <c r="H40" s="119">
        <f t="shared" si="12"/>
        <v>0</v>
      </c>
      <c r="I40" s="119">
        <f t="shared" si="12"/>
        <v>0</v>
      </c>
      <c r="J40" s="119">
        <f t="shared" si="12"/>
        <v>0</v>
      </c>
      <c r="K40" s="119">
        <f t="shared" si="12"/>
        <v>0</v>
      </c>
      <c r="L40" s="119">
        <f t="shared" si="12"/>
        <v>0</v>
      </c>
      <c r="M40" s="119">
        <f t="shared" si="12"/>
        <v>0</v>
      </c>
      <c r="N40" s="119">
        <f t="shared" si="12"/>
        <v>0</v>
      </c>
      <c r="O40" s="119">
        <f t="shared" si="12"/>
        <v>0</v>
      </c>
      <c r="P40" s="119">
        <f t="shared" si="12"/>
        <v>0</v>
      </c>
      <c r="Q40" s="119">
        <f t="shared" si="12"/>
        <v>0</v>
      </c>
      <c r="R40" s="119">
        <f t="shared" si="12"/>
        <v>0</v>
      </c>
      <c r="S40" s="119">
        <f t="shared" si="12"/>
        <v>0</v>
      </c>
      <c r="T40" s="119">
        <f t="shared" si="12"/>
        <v>0</v>
      </c>
      <c r="U40" s="119">
        <f t="shared" si="12"/>
        <v>0</v>
      </c>
      <c r="V40" s="119">
        <f t="shared" si="12"/>
        <v>0</v>
      </c>
      <c r="W40" s="119">
        <f t="shared" si="12"/>
        <v>0</v>
      </c>
      <c r="X40" s="119">
        <f t="shared" si="12"/>
        <v>0</v>
      </c>
      <c r="Y40" s="119">
        <f t="shared" si="12"/>
        <v>0</v>
      </c>
      <c r="Z40" s="119">
        <f t="shared" si="12"/>
        <v>0</v>
      </c>
      <c r="AA40" s="119">
        <f t="shared" si="12"/>
        <v>0</v>
      </c>
      <c r="AB40" s="119">
        <f t="shared" si="12"/>
        <v>0</v>
      </c>
      <c r="AC40" s="119">
        <f t="shared" si="12"/>
        <v>0</v>
      </c>
      <c r="AD40" s="119">
        <f t="shared" si="12"/>
        <v>0</v>
      </c>
      <c r="AE40" s="119">
        <f t="shared" si="12"/>
        <v>0</v>
      </c>
      <c r="AF40" s="119">
        <f t="shared" si="12"/>
        <v>0</v>
      </c>
      <c r="AG40" s="119">
        <f t="shared" si="12"/>
        <v>0</v>
      </c>
      <c r="AH40" s="119">
        <f t="shared" si="12"/>
        <v>0</v>
      </c>
      <c r="AI40" s="119">
        <f t="shared" si="12"/>
        <v>0</v>
      </c>
      <c r="AJ40" s="119">
        <f t="shared" si="12"/>
        <v>0</v>
      </c>
      <c r="AK40" s="119">
        <f t="shared" si="12"/>
        <v>0</v>
      </c>
      <c r="AL40" s="119">
        <f t="shared" si="12"/>
        <v>0</v>
      </c>
      <c r="AM40" s="119">
        <f t="shared" si="12"/>
        <v>0</v>
      </c>
      <c r="AN40" s="119">
        <f t="shared" si="12"/>
        <v>0</v>
      </c>
      <c r="AO40" s="119">
        <f t="shared" si="12"/>
        <v>0</v>
      </c>
      <c r="AP40" s="119">
        <f t="shared" si="12"/>
        <v>0</v>
      </c>
    </row>
    <row r="41" spans="1:42" x14ac:dyDescent="0.2">
      <c r="A41" s="86" t="s">
        <v>209</v>
      </c>
    </row>
    <row r="42" spans="1:42" x14ac:dyDescent="0.2">
      <c r="A42" s="87" t="s">
        <v>13</v>
      </c>
      <c r="C42" s="119">
        <f>IF(C$8=0,C$5,C$8)/1000</f>
        <v>0</v>
      </c>
      <c r="D42" s="119">
        <f t="shared" ref="D42:AP42" si="13">IF(D$8=0,D$5,D$8)/1000</f>
        <v>0</v>
      </c>
      <c r="E42" s="119">
        <f t="shared" si="13"/>
        <v>0</v>
      </c>
      <c r="F42" s="119">
        <f t="shared" si="13"/>
        <v>0</v>
      </c>
      <c r="G42" s="119">
        <f t="shared" si="13"/>
        <v>0</v>
      </c>
      <c r="H42" s="119">
        <f t="shared" si="13"/>
        <v>0</v>
      </c>
      <c r="I42" s="119">
        <f t="shared" si="13"/>
        <v>0</v>
      </c>
      <c r="J42" s="119">
        <f t="shared" si="13"/>
        <v>0</v>
      </c>
      <c r="K42" s="119">
        <f t="shared" si="13"/>
        <v>0</v>
      </c>
      <c r="L42" s="119">
        <f t="shared" si="13"/>
        <v>0</v>
      </c>
      <c r="M42" s="119">
        <f t="shared" si="13"/>
        <v>0</v>
      </c>
      <c r="N42" s="119">
        <f t="shared" si="13"/>
        <v>0</v>
      </c>
      <c r="O42" s="119">
        <f t="shared" si="13"/>
        <v>0</v>
      </c>
      <c r="P42" s="119">
        <f t="shared" si="13"/>
        <v>0</v>
      </c>
      <c r="Q42" s="119">
        <f t="shared" si="13"/>
        <v>0</v>
      </c>
      <c r="R42" s="119">
        <f t="shared" si="13"/>
        <v>0</v>
      </c>
      <c r="S42" s="119">
        <f t="shared" si="13"/>
        <v>0</v>
      </c>
      <c r="T42" s="119">
        <f t="shared" si="13"/>
        <v>0</v>
      </c>
      <c r="U42" s="119">
        <f t="shared" si="13"/>
        <v>0</v>
      </c>
      <c r="V42" s="119">
        <f t="shared" si="13"/>
        <v>0</v>
      </c>
      <c r="W42" s="119">
        <f t="shared" si="13"/>
        <v>0</v>
      </c>
      <c r="X42" s="119">
        <f t="shared" si="13"/>
        <v>0</v>
      </c>
      <c r="Y42" s="119">
        <f t="shared" si="13"/>
        <v>0</v>
      </c>
      <c r="Z42" s="119">
        <f t="shared" si="13"/>
        <v>0</v>
      </c>
      <c r="AA42" s="119">
        <f t="shared" si="13"/>
        <v>0</v>
      </c>
      <c r="AB42" s="119">
        <f t="shared" si="13"/>
        <v>0</v>
      </c>
      <c r="AC42" s="119">
        <f t="shared" si="13"/>
        <v>0</v>
      </c>
      <c r="AD42" s="119">
        <f t="shared" si="13"/>
        <v>0</v>
      </c>
      <c r="AE42" s="119">
        <f t="shared" si="13"/>
        <v>0</v>
      </c>
      <c r="AF42" s="119">
        <f t="shared" si="13"/>
        <v>0</v>
      </c>
      <c r="AG42" s="119">
        <f t="shared" si="13"/>
        <v>0</v>
      </c>
      <c r="AH42" s="119">
        <f t="shared" si="13"/>
        <v>0</v>
      </c>
      <c r="AI42" s="119">
        <f t="shared" si="13"/>
        <v>0</v>
      </c>
      <c r="AJ42" s="119">
        <f t="shared" si="13"/>
        <v>0</v>
      </c>
      <c r="AK42" s="119">
        <f t="shared" si="13"/>
        <v>0</v>
      </c>
      <c r="AL42" s="119">
        <f t="shared" si="13"/>
        <v>0</v>
      </c>
      <c r="AM42" s="119">
        <f t="shared" si="13"/>
        <v>0</v>
      </c>
      <c r="AN42" s="119">
        <f t="shared" si="13"/>
        <v>0</v>
      </c>
      <c r="AO42" s="119">
        <f t="shared" si="13"/>
        <v>0</v>
      </c>
      <c r="AP42" s="119">
        <f t="shared" si="13"/>
        <v>0</v>
      </c>
    </row>
    <row r="43" spans="1:42" x14ac:dyDescent="0.2">
      <c r="A43" s="87" t="s">
        <v>14</v>
      </c>
      <c r="C43" s="142">
        <f>IF(C$2&lt;=analysis_period,IF(om_production="n/a",Inputs!D167,om_production*(1+inflation_rate/100+om_production_escal/100)^B$2),0)</f>
        <v>0</v>
      </c>
      <c r="D43" s="142">
        <f>IF(D$2&lt;=analysis_period,IF(om_production="n/a",Inputs!E167,om_production*(1+inflation_rate/100+om_production_escal/100)^C$2),0)</f>
        <v>0</v>
      </c>
      <c r="E43" s="142">
        <f>IF(E$2&lt;=analysis_period,IF(om_production="n/a",Inputs!F167,om_production*(1+inflation_rate/100+om_production_escal/100)^D$2),0)</f>
        <v>0</v>
      </c>
      <c r="F43" s="142">
        <f>IF(F$2&lt;=analysis_period,IF(om_production="n/a",Inputs!G167,om_production*(1+inflation_rate/100+om_production_escal/100)^E$2),0)</f>
        <v>0</v>
      </c>
      <c r="G43" s="142">
        <f>IF(G$2&lt;=analysis_period,IF(om_production="n/a",Inputs!H167,om_production*(1+inflation_rate/100+om_production_escal/100)^F$2),0)</f>
        <v>0</v>
      </c>
      <c r="H43" s="142">
        <f>IF(H$2&lt;=analysis_period,IF(om_production="n/a",Inputs!I167,om_production*(1+inflation_rate/100+om_production_escal/100)^G$2),0)</f>
        <v>0</v>
      </c>
      <c r="I43" s="142">
        <f>IF(I$2&lt;=analysis_period,IF(om_production="n/a",Inputs!J167,om_production*(1+inflation_rate/100+om_production_escal/100)^H$2),0)</f>
        <v>0</v>
      </c>
      <c r="J43" s="142">
        <f>IF(J$2&lt;=analysis_period,IF(om_production="n/a",Inputs!K167,om_production*(1+inflation_rate/100+om_production_escal/100)^I$2),0)</f>
        <v>0</v>
      </c>
      <c r="K43" s="142">
        <f>IF(K$2&lt;=analysis_period,IF(om_production="n/a",Inputs!L167,om_production*(1+inflation_rate/100+om_production_escal/100)^J$2),0)</f>
        <v>0</v>
      </c>
      <c r="L43" s="142">
        <f>IF(L$2&lt;=analysis_period,IF(om_production="n/a",Inputs!M167,om_production*(1+inflation_rate/100+om_production_escal/100)^K$2),0)</f>
        <v>0</v>
      </c>
      <c r="M43" s="142">
        <f>IF(M$2&lt;=analysis_period,IF(om_production="n/a",Inputs!N167,om_production*(1+inflation_rate/100+om_production_escal/100)^L$2),0)</f>
        <v>0</v>
      </c>
      <c r="N43" s="142">
        <f>IF(N$2&lt;=analysis_period,IF(om_production="n/a",Inputs!O167,om_production*(1+inflation_rate/100+om_production_escal/100)^M$2),0)</f>
        <v>0</v>
      </c>
      <c r="O43" s="142">
        <f>IF(O$2&lt;=analysis_period,IF(om_production="n/a",Inputs!P167,om_production*(1+inflation_rate/100+om_production_escal/100)^N$2),0)</f>
        <v>0</v>
      </c>
      <c r="P43" s="142">
        <f>IF(P$2&lt;=analysis_period,IF(om_production="n/a",Inputs!Q167,om_production*(1+inflation_rate/100+om_production_escal/100)^O$2),0)</f>
        <v>0</v>
      </c>
      <c r="Q43" s="142">
        <f>IF(Q$2&lt;=analysis_period,IF(om_production="n/a",Inputs!R167,om_production*(1+inflation_rate/100+om_production_escal/100)^P$2),0)</f>
        <v>0</v>
      </c>
      <c r="R43" s="142">
        <f>IF(R$2&lt;=analysis_period,IF(om_production="n/a",Inputs!S167,om_production*(1+inflation_rate/100+om_production_escal/100)^Q$2),0)</f>
        <v>0</v>
      </c>
      <c r="S43" s="142">
        <f>IF(S$2&lt;=analysis_period,IF(om_production="n/a",Inputs!T167,om_production*(1+inflation_rate/100+om_production_escal/100)^R$2),0)</f>
        <v>0</v>
      </c>
      <c r="T43" s="142">
        <f>IF(T$2&lt;=analysis_period,IF(om_production="n/a",Inputs!U167,om_production*(1+inflation_rate/100+om_production_escal/100)^S$2),0)</f>
        <v>0</v>
      </c>
      <c r="U43" s="142">
        <f>IF(U$2&lt;=analysis_period,IF(om_production="n/a",Inputs!V167,om_production*(1+inflation_rate/100+om_production_escal/100)^T$2),0)</f>
        <v>0</v>
      </c>
      <c r="V43" s="142">
        <f>IF(V$2&lt;=analysis_period,IF(om_production="n/a",Inputs!W167,om_production*(1+inflation_rate/100+om_production_escal/100)^U$2),0)</f>
        <v>0</v>
      </c>
      <c r="W43" s="142">
        <f>IF(W$2&lt;=analysis_period,IF(om_production="n/a",Inputs!X167,om_production*(1+inflation_rate/100+om_production_escal/100)^V$2),0)</f>
        <v>0</v>
      </c>
      <c r="X43" s="142">
        <f>IF(X$2&lt;=analysis_period,IF(om_production="n/a",Inputs!Y167,om_production*(1+inflation_rate/100+om_production_escal/100)^W$2),0)</f>
        <v>0</v>
      </c>
      <c r="Y43" s="142">
        <f>IF(Y$2&lt;=analysis_period,IF(om_production="n/a",Inputs!Z167,om_production*(1+inflation_rate/100+om_production_escal/100)^X$2),0)</f>
        <v>0</v>
      </c>
      <c r="Z43" s="142">
        <f>IF(Z$2&lt;=analysis_period,IF(om_production="n/a",Inputs!AA167,om_production*(1+inflation_rate/100+om_production_escal/100)^Y$2),0)</f>
        <v>0</v>
      </c>
      <c r="AA43" s="142">
        <f>IF(AA$2&lt;=analysis_period,IF(om_production="n/a",Inputs!AB167,om_production*(1+inflation_rate/100+om_production_escal/100)^Z$2),0)</f>
        <v>0</v>
      </c>
      <c r="AB43" s="142">
        <f>IF(AB$2&lt;=analysis_period,IF(om_production="n/a",Inputs!AC167,om_production*(1+inflation_rate/100+om_production_escal/100)^AA$2),0)</f>
        <v>0</v>
      </c>
      <c r="AC43" s="142">
        <f>IF(AC$2&lt;=analysis_period,IF(om_production="n/a",Inputs!AD167,om_production*(1+inflation_rate/100+om_production_escal/100)^AB$2),0)</f>
        <v>0</v>
      </c>
      <c r="AD43" s="142">
        <f>IF(AD$2&lt;=analysis_period,IF(om_production="n/a",Inputs!AE167,om_production*(1+inflation_rate/100+om_production_escal/100)^AC$2),0)</f>
        <v>0</v>
      </c>
      <c r="AE43" s="142">
        <f>IF(AE$2&lt;=analysis_period,IF(om_production="n/a",Inputs!AF167,om_production*(1+inflation_rate/100+om_production_escal/100)^AD$2),0)</f>
        <v>0</v>
      </c>
      <c r="AF43" s="142">
        <f>IF(AF$2&lt;=analysis_period,IF(om_production="n/a",Inputs!AG167,om_production*(1+inflation_rate/100+om_production_escal/100)^AE$2),0)</f>
        <v>0</v>
      </c>
      <c r="AG43" s="142">
        <f>IF(AG$2&lt;=analysis_period,IF(om_production="n/a",Inputs!AH167,om_production*(1+inflation_rate/100+om_production_escal/100)^AF$2),0)</f>
        <v>0</v>
      </c>
      <c r="AH43" s="142">
        <f>IF(AH$2&lt;=analysis_period,IF(om_production="n/a",Inputs!AI167,om_production*(1+inflation_rate/100+om_production_escal/100)^AG$2),0)</f>
        <v>0</v>
      </c>
      <c r="AI43" s="142">
        <f>IF(AI$2&lt;=analysis_period,IF(om_production="n/a",Inputs!AJ167,om_production*(1+inflation_rate/100+om_production_escal/100)^AH$2),0)</f>
        <v>0</v>
      </c>
      <c r="AJ43" s="142">
        <f>IF(AJ$2&lt;=analysis_period,IF(om_production="n/a",Inputs!AK167,om_production*(1+inflation_rate/100+om_production_escal/100)^AI$2),0)</f>
        <v>0</v>
      </c>
      <c r="AK43" s="142">
        <f>IF(AK$2&lt;=analysis_period,IF(om_production="n/a",Inputs!AL167,om_production*(1+inflation_rate/100+om_production_escal/100)^AJ$2),0)</f>
        <v>0</v>
      </c>
      <c r="AL43" s="142">
        <f>IF(AL$2&lt;=analysis_period,IF(om_production="n/a",Inputs!AM167,om_production*(1+inflation_rate/100+om_production_escal/100)^AK$2),0)</f>
        <v>0</v>
      </c>
      <c r="AM43" s="142">
        <f>IF(AM$2&lt;=analysis_period,IF(om_production="n/a",Inputs!AN167,om_production*(1+inflation_rate/100+om_production_escal/100)^AL$2),0)</f>
        <v>0</v>
      </c>
      <c r="AN43" s="142">
        <f>IF(AN$2&lt;=analysis_period,IF(om_production="n/a",Inputs!AO167,om_production*(1+inflation_rate/100+om_production_escal/100)^AM$2),0)</f>
        <v>0</v>
      </c>
      <c r="AO43" s="142">
        <f>IF(AO$2&lt;=analysis_period,IF(om_production="n/a",Inputs!AP167,om_production*(1+inflation_rate/100+om_production_escal/100)^AN$2),0)</f>
        <v>0</v>
      </c>
      <c r="AP43" s="142">
        <f>IF(AP$2&lt;=analysis_period,IF(om_production="n/a",Inputs!AQ167,om_production*(1+inflation_rate/100+om_production_escal/100)^AO$2),0)</f>
        <v>0</v>
      </c>
    </row>
    <row r="44" spans="1:42" x14ac:dyDescent="0.2">
      <c r="A44" s="87" t="s">
        <v>94</v>
      </c>
      <c r="C44" s="145">
        <f>C42*C43</f>
        <v>0</v>
      </c>
      <c r="D44" s="145">
        <f t="shared" ref="D44:AP44" si="14">D42*D43</f>
        <v>0</v>
      </c>
      <c r="E44" s="145">
        <f t="shared" si="14"/>
        <v>0</v>
      </c>
      <c r="F44" s="145">
        <f t="shared" si="14"/>
        <v>0</v>
      </c>
      <c r="G44" s="145">
        <f t="shared" si="14"/>
        <v>0</v>
      </c>
      <c r="H44" s="145">
        <f t="shared" si="14"/>
        <v>0</v>
      </c>
      <c r="I44" s="145">
        <f t="shared" si="14"/>
        <v>0</v>
      </c>
      <c r="J44" s="145">
        <f t="shared" si="14"/>
        <v>0</v>
      </c>
      <c r="K44" s="145">
        <f t="shared" si="14"/>
        <v>0</v>
      </c>
      <c r="L44" s="145">
        <f t="shared" si="14"/>
        <v>0</v>
      </c>
      <c r="M44" s="145">
        <f t="shared" si="14"/>
        <v>0</v>
      </c>
      <c r="N44" s="145">
        <f t="shared" si="14"/>
        <v>0</v>
      </c>
      <c r="O44" s="145">
        <f t="shared" si="14"/>
        <v>0</v>
      </c>
      <c r="P44" s="145">
        <f t="shared" si="14"/>
        <v>0</v>
      </c>
      <c r="Q44" s="145">
        <f t="shared" si="14"/>
        <v>0</v>
      </c>
      <c r="R44" s="145">
        <f t="shared" si="14"/>
        <v>0</v>
      </c>
      <c r="S44" s="145">
        <f t="shared" si="14"/>
        <v>0</v>
      </c>
      <c r="T44" s="145">
        <f t="shared" si="14"/>
        <v>0</v>
      </c>
      <c r="U44" s="145">
        <f t="shared" si="14"/>
        <v>0</v>
      </c>
      <c r="V44" s="145">
        <f t="shared" si="14"/>
        <v>0</v>
      </c>
      <c r="W44" s="145">
        <f t="shared" si="14"/>
        <v>0</v>
      </c>
      <c r="X44" s="145">
        <f t="shared" si="14"/>
        <v>0</v>
      </c>
      <c r="Y44" s="145">
        <f t="shared" si="14"/>
        <v>0</v>
      </c>
      <c r="Z44" s="145">
        <f t="shared" si="14"/>
        <v>0</v>
      </c>
      <c r="AA44" s="145">
        <f t="shared" si="14"/>
        <v>0</v>
      </c>
      <c r="AB44" s="145">
        <f t="shared" si="14"/>
        <v>0</v>
      </c>
      <c r="AC44" s="145">
        <f t="shared" si="14"/>
        <v>0</v>
      </c>
      <c r="AD44" s="145">
        <f t="shared" si="14"/>
        <v>0</v>
      </c>
      <c r="AE44" s="145">
        <f t="shared" si="14"/>
        <v>0</v>
      </c>
      <c r="AF44" s="145">
        <f t="shared" si="14"/>
        <v>0</v>
      </c>
      <c r="AG44" s="145">
        <f t="shared" si="14"/>
        <v>0</v>
      </c>
      <c r="AH44" s="145">
        <f t="shared" si="14"/>
        <v>0</v>
      </c>
      <c r="AI44" s="145">
        <f t="shared" si="14"/>
        <v>0</v>
      </c>
      <c r="AJ44" s="145">
        <f t="shared" si="14"/>
        <v>0</v>
      </c>
      <c r="AK44" s="145">
        <f t="shared" si="14"/>
        <v>0</v>
      </c>
      <c r="AL44" s="145">
        <f t="shared" si="14"/>
        <v>0</v>
      </c>
      <c r="AM44" s="145">
        <f t="shared" si="14"/>
        <v>0</v>
      </c>
      <c r="AN44" s="145">
        <f t="shared" si="14"/>
        <v>0</v>
      </c>
      <c r="AO44" s="145">
        <f t="shared" si="14"/>
        <v>0</v>
      </c>
      <c r="AP44" s="145">
        <f t="shared" si="14"/>
        <v>0</v>
      </c>
    </row>
    <row r="45" spans="1:42" x14ac:dyDescent="0.2">
      <c r="A45" s="86" t="s">
        <v>298</v>
      </c>
      <c r="B45" s="4">
        <f t="array" ref="B45:AP45">Inputs!C187:AQ187</f>
        <v>0</v>
      </c>
      <c r="C45" s="119">
        <v>0</v>
      </c>
      <c r="D45" s="119">
        <v>0</v>
      </c>
      <c r="E45" s="119">
        <v>0</v>
      </c>
      <c r="F45" s="119">
        <v>0</v>
      </c>
      <c r="G45" s="119">
        <v>0</v>
      </c>
      <c r="H45" s="119">
        <v>0</v>
      </c>
      <c r="I45" s="119">
        <v>0</v>
      </c>
      <c r="J45" s="119">
        <v>0</v>
      </c>
      <c r="K45" s="119">
        <v>0</v>
      </c>
      <c r="L45" s="119">
        <v>0</v>
      </c>
      <c r="M45" s="119">
        <v>0</v>
      </c>
      <c r="N45" s="119">
        <v>0</v>
      </c>
      <c r="O45" s="119">
        <v>0</v>
      </c>
      <c r="P45" s="119">
        <v>0</v>
      </c>
      <c r="Q45" s="119">
        <v>0</v>
      </c>
      <c r="R45" s="119">
        <v>0</v>
      </c>
      <c r="S45" s="119">
        <v>0</v>
      </c>
      <c r="T45" s="119">
        <v>0</v>
      </c>
      <c r="U45" s="119">
        <v>0</v>
      </c>
      <c r="V45" s="119">
        <v>0</v>
      </c>
      <c r="W45" s="119">
        <v>0</v>
      </c>
      <c r="X45" s="119">
        <v>0</v>
      </c>
      <c r="Y45" s="119">
        <v>0</v>
      </c>
      <c r="Z45" s="119">
        <v>0</v>
      </c>
      <c r="AA45" s="119">
        <v>0</v>
      </c>
      <c r="AB45" s="119">
        <v>0</v>
      </c>
      <c r="AC45" s="119">
        <v>0</v>
      </c>
      <c r="AD45" s="119">
        <v>0</v>
      </c>
      <c r="AE45" s="119">
        <v>0</v>
      </c>
      <c r="AF45" s="119">
        <v>0</v>
      </c>
      <c r="AG45" s="119">
        <v>0</v>
      </c>
      <c r="AH45" s="119">
        <v>0</v>
      </c>
      <c r="AI45" s="119">
        <v>0</v>
      </c>
      <c r="AJ45" s="119">
        <v>0</v>
      </c>
      <c r="AK45" s="119">
        <v>0</v>
      </c>
      <c r="AL45" s="119">
        <v>0</v>
      </c>
      <c r="AM45" s="119">
        <v>0</v>
      </c>
      <c r="AN45" s="119">
        <v>0</v>
      </c>
      <c r="AO45" s="119">
        <v>0</v>
      </c>
      <c r="AP45" s="119">
        <v>0</v>
      </c>
    </row>
    <row r="46" spans="1:42" x14ac:dyDescent="0.2">
      <c r="A46" s="86" t="s">
        <v>364</v>
      </c>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row>
    <row r="47" spans="1:42" x14ac:dyDescent="0.2">
      <c r="A47" s="21" t="s">
        <v>317</v>
      </c>
      <c r="B47" s="4">
        <f t="array" ref="B47:AP50">Inputs!C189:AQ192</f>
        <v>0</v>
      </c>
      <c r="C47" s="119">
        <v>0</v>
      </c>
      <c r="D47" s="119">
        <v>0</v>
      </c>
      <c r="E47" s="119">
        <v>0</v>
      </c>
      <c r="F47" s="119">
        <v>0</v>
      </c>
      <c r="G47" s="119">
        <v>0</v>
      </c>
      <c r="H47" s="119">
        <v>0</v>
      </c>
      <c r="I47" s="119">
        <v>0</v>
      </c>
      <c r="J47" s="119">
        <v>0</v>
      </c>
      <c r="K47" s="119">
        <v>0</v>
      </c>
      <c r="L47" s="119">
        <v>0</v>
      </c>
      <c r="M47" s="119">
        <v>0</v>
      </c>
      <c r="N47" s="119">
        <v>0</v>
      </c>
      <c r="O47" s="119">
        <v>0</v>
      </c>
      <c r="P47" s="119">
        <v>0</v>
      </c>
      <c r="Q47" s="119">
        <v>0</v>
      </c>
      <c r="R47" s="119">
        <v>0</v>
      </c>
      <c r="S47" s="119">
        <v>0</v>
      </c>
      <c r="T47" s="119">
        <v>0</v>
      </c>
      <c r="U47" s="119">
        <v>0</v>
      </c>
      <c r="V47" s="119">
        <v>0</v>
      </c>
      <c r="W47" s="119">
        <v>0</v>
      </c>
      <c r="X47" s="119">
        <v>0</v>
      </c>
      <c r="Y47" s="119">
        <v>0</v>
      </c>
      <c r="Z47" s="119">
        <v>0</v>
      </c>
      <c r="AA47" s="119">
        <v>0</v>
      </c>
      <c r="AB47" s="119">
        <v>0</v>
      </c>
      <c r="AC47" s="119">
        <v>0</v>
      </c>
      <c r="AD47" s="119">
        <v>0</v>
      </c>
      <c r="AE47" s="119">
        <v>0</v>
      </c>
      <c r="AF47" s="119">
        <v>0</v>
      </c>
      <c r="AG47" s="119">
        <v>0</v>
      </c>
      <c r="AH47" s="119">
        <v>0</v>
      </c>
      <c r="AI47" s="119">
        <v>0</v>
      </c>
      <c r="AJ47" s="119">
        <v>0</v>
      </c>
      <c r="AK47" s="119">
        <v>0</v>
      </c>
      <c r="AL47" s="119">
        <v>0</v>
      </c>
      <c r="AM47" s="119">
        <v>0</v>
      </c>
      <c r="AN47" s="119">
        <v>0</v>
      </c>
      <c r="AO47" s="119">
        <v>0</v>
      </c>
      <c r="AP47" s="119">
        <v>0</v>
      </c>
    </row>
    <row r="48" spans="1:42" x14ac:dyDescent="0.2">
      <c r="A48" s="21" t="s">
        <v>318</v>
      </c>
      <c r="B48" s="4">
        <v>0</v>
      </c>
      <c r="C48" s="119">
        <v>0</v>
      </c>
      <c r="D48" s="119">
        <v>0</v>
      </c>
      <c r="E48" s="119">
        <v>0</v>
      </c>
      <c r="F48" s="119">
        <v>0</v>
      </c>
      <c r="G48" s="119">
        <v>0</v>
      </c>
      <c r="H48" s="119">
        <v>0</v>
      </c>
      <c r="I48" s="119">
        <v>0</v>
      </c>
      <c r="J48" s="119">
        <v>0</v>
      </c>
      <c r="K48" s="119">
        <v>0</v>
      </c>
      <c r="L48" s="119">
        <v>0</v>
      </c>
      <c r="M48" s="119">
        <v>0</v>
      </c>
      <c r="N48" s="119">
        <v>0</v>
      </c>
      <c r="O48" s="119">
        <v>0</v>
      </c>
      <c r="P48" s="119">
        <v>0</v>
      </c>
      <c r="Q48" s="119">
        <v>0</v>
      </c>
      <c r="R48" s="119">
        <v>0</v>
      </c>
      <c r="S48" s="119">
        <v>0</v>
      </c>
      <c r="T48" s="119">
        <v>0</v>
      </c>
      <c r="U48" s="119">
        <v>0</v>
      </c>
      <c r="V48" s="119">
        <v>0</v>
      </c>
      <c r="W48" s="119">
        <v>0</v>
      </c>
      <c r="X48" s="119">
        <v>0</v>
      </c>
      <c r="Y48" s="119">
        <v>0</v>
      </c>
      <c r="Z48" s="119">
        <v>0</v>
      </c>
      <c r="AA48" s="119">
        <v>0</v>
      </c>
      <c r="AB48" s="119">
        <v>0</v>
      </c>
      <c r="AC48" s="119">
        <v>0</v>
      </c>
      <c r="AD48" s="119">
        <v>0</v>
      </c>
      <c r="AE48" s="119">
        <v>0</v>
      </c>
      <c r="AF48" s="119">
        <v>0</v>
      </c>
      <c r="AG48" s="119">
        <v>0</v>
      </c>
      <c r="AH48" s="119">
        <v>0</v>
      </c>
      <c r="AI48" s="119">
        <v>0</v>
      </c>
      <c r="AJ48" s="119">
        <v>0</v>
      </c>
      <c r="AK48" s="119">
        <v>0</v>
      </c>
      <c r="AL48" s="119">
        <v>0</v>
      </c>
      <c r="AM48" s="119">
        <v>0</v>
      </c>
      <c r="AN48" s="119">
        <v>0</v>
      </c>
      <c r="AO48" s="119">
        <v>0</v>
      </c>
      <c r="AP48" s="119">
        <v>0</v>
      </c>
    </row>
    <row r="49" spans="1:42" x14ac:dyDescent="0.2">
      <c r="A49" s="21" t="s">
        <v>356</v>
      </c>
      <c r="B49" s="4">
        <v>0</v>
      </c>
      <c r="C49" s="119">
        <v>0</v>
      </c>
      <c r="D49" s="119">
        <v>0</v>
      </c>
      <c r="E49" s="119">
        <v>0</v>
      </c>
      <c r="F49" s="119">
        <v>0</v>
      </c>
      <c r="G49" s="119">
        <v>0</v>
      </c>
      <c r="H49" s="119">
        <v>0</v>
      </c>
      <c r="I49" s="119">
        <v>0</v>
      </c>
      <c r="J49" s="119">
        <v>0</v>
      </c>
      <c r="K49" s="119">
        <v>0</v>
      </c>
      <c r="L49" s="119">
        <v>0</v>
      </c>
      <c r="M49" s="119">
        <v>0</v>
      </c>
      <c r="N49" s="119">
        <v>0</v>
      </c>
      <c r="O49" s="119">
        <v>0</v>
      </c>
      <c r="P49" s="119">
        <v>0</v>
      </c>
      <c r="Q49" s="119">
        <v>0</v>
      </c>
      <c r="R49" s="119">
        <v>0</v>
      </c>
      <c r="S49" s="119">
        <v>0</v>
      </c>
      <c r="T49" s="119">
        <v>0</v>
      </c>
      <c r="U49" s="119">
        <v>0</v>
      </c>
      <c r="V49" s="119">
        <v>0</v>
      </c>
      <c r="W49" s="119">
        <v>0</v>
      </c>
      <c r="X49" s="119">
        <v>0</v>
      </c>
      <c r="Y49" s="119">
        <v>0</v>
      </c>
      <c r="Z49" s="119">
        <v>0</v>
      </c>
      <c r="AA49" s="119">
        <v>0</v>
      </c>
      <c r="AB49" s="119">
        <v>0</v>
      </c>
      <c r="AC49" s="119">
        <v>0</v>
      </c>
      <c r="AD49" s="119">
        <v>0</v>
      </c>
      <c r="AE49" s="119">
        <v>0</v>
      </c>
      <c r="AF49" s="119">
        <v>0</v>
      </c>
      <c r="AG49" s="119">
        <v>0</v>
      </c>
      <c r="AH49" s="119">
        <v>0</v>
      </c>
      <c r="AI49" s="119">
        <v>0</v>
      </c>
      <c r="AJ49" s="119">
        <v>0</v>
      </c>
      <c r="AK49" s="119">
        <v>0</v>
      </c>
      <c r="AL49" s="119">
        <v>0</v>
      </c>
      <c r="AM49" s="119">
        <v>0</v>
      </c>
      <c r="AN49" s="119">
        <v>0</v>
      </c>
      <c r="AO49" s="119">
        <v>0</v>
      </c>
      <c r="AP49" s="119">
        <v>0</v>
      </c>
    </row>
    <row r="50" spans="1:42" x14ac:dyDescent="0.2">
      <c r="A50" s="21" t="s">
        <v>292</v>
      </c>
      <c r="B50" s="4">
        <v>0</v>
      </c>
      <c r="C50" s="119">
        <v>0</v>
      </c>
      <c r="D50" s="119">
        <v>0</v>
      </c>
      <c r="E50" s="119">
        <v>0</v>
      </c>
      <c r="F50" s="119">
        <v>0</v>
      </c>
      <c r="G50" s="119">
        <v>0</v>
      </c>
      <c r="H50" s="119">
        <v>0</v>
      </c>
      <c r="I50" s="119">
        <v>0</v>
      </c>
      <c r="J50" s="119">
        <v>0</v>
      </c>
      <c r="K50" s="119">
        <v>0</v>
      </c>
      <c r="L50" s="119">
        <v>0</v>
      </c>
      <c r="M50" s="119">
        <v>0</v>
      </c>
      <c r="N50" s="119">
        <v>0</v>
      </c>
      <c r="O50" s="119">
        <v>0</v>
      </c>
      <c r="P50" s="119">
        <v>0</v>
      </c>
      <c r="Q50" s="119">
        <v>0</v>
      </c>
      <c r="R50" s="119">
        <v>0</v>
      </c>
      <c r="S50" s="119">
        <v>0</v>
      </c>
      <c r="T50" s="119">
        <v>0</v>
      </c>
      <c r="U50" s="119">
        <v>0</v>
      </c>
      <c r="V50" s="119">
        <v>0</v>
      </c>
      <c r="W50" s="119">
        <v>0</v>
      </c>
      <c r="X50" s="119">
        <v>0</v>
      </c>
      <c r="Y50" s="119">
        <v>0</v>
      </c>
      <c r="Z50" s="119">
        <v>0</v>
      </c>
      <c r="AA50" s="119">
        <v>0</v>
      </c>
      <c r="AB50" s="119">
        <v>0</v>
      </c>
      <c r="AC50" s="119">
        <v>0</v>
      </c>
      <c r="AD50" s="119">
        <v>0</v>
      </c>
      <c r="AE50" s="119">
        <v>0</v>
      </c>
      <c r="AF50" s="119">
        <v>0</v>
      </c>
      <c r="AG50" s="119">
        <v>0</v>
      </c>
      <c r="AH50" s="119">
        <v>0</v>
      </c>
      <c r="AI50" s="119">
        <v>0</v>
      </c>
      <c r="AJ50" s="119">
        <v>0</v>
      </c>
      <c r="AK50" s="119">
        <v>0</v>
      </c>
      <c r="AL50" s="119">
        <v>0</v>
      </c>
      <c r="AM50" s="119">
        <v>0</v>
      </c>
      <c r="AN50" s="119">
        <v>0</v>
      </c>
      <c r="AO50" s="119">
        <v>0</v>
      </c>
      <c r="AP50" s="119">
        <v>0</v>
      </c>
    </row>
    <row r="51" spans="1:42" x14ac:dyDescent="0.2">
      <c r="A51" s="86" t="s">
        <v>320</v>
      </c>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row>
    <row r="52" spans="1:42" x14ac:dyDescent="0.2">
      <c r="A52" s="21" t="s">
        <v>315</v>
      </c>
      <c r="B52" s="4">
        <f t="array" ref="B52:AP56">Inputs!C194:AQ198</f>
        <v>0</v>
      </c>
      <c r="C52" s="119">
        <v>0</v>
      </c>
      <c r="D52" s="119">
        <v>0</v>
      </c>
      <c r="E52" s="119">
        <v>0</v>
      </c>
      <c r="F52" s="119">
        <v>0</v>
      </c>
      <c r="G52" s="119">
        <v>0</v>
      </c>
      <c r="H52" s="119">
        <v>0</v>
      </c>
      <c r="I52" s="119">
        <v>0</v>
      </c>
      <c r="J52" s="119">
        <v>0</v>
      </c>
      <c r="K52" s="119">
        <v>0</v>
      </c>
      <c r="L52" s="119">
        <v>0</v>
      </c>
      <c r="M52" s="119">
        <v>0</v>
      </c>
      <c r="N52" s="119">
        <v>0</v>
      </c>
      <c r="O52" s="119">
        <v>0</v>
      </c>
      <c r="P52" s="119">
        <v>0</v>
      </c>
      <c r="Q52" s="119">
        <v>0</v>
      </c>
      <c r="R52" s="119">
        <v>0</v>
      </c>
      <c r="S52" s="119">
        <v>0</v>
      </c>
      <c r="T52" s="119">
        <v>0</v>
      </c>
      <c r="U52" s="119">
        <v>0</v>
      </c>
      <c r="V52" s="119">
        <v>0</v>
      </c>
      <c r="W52" s="119">
        <v>0</v>
      </c>
      <c r="X52" s="119">
        <v>0</v>
      </c>
      <c r="Y52" s="119">
        <v>0</v>
      </c>
      <c r="Z52" s="119">
        <v>0</v>
      </c>
      <c r="AA52" s="119">
        <v>0</v>
      </c>
      <c r="AB52" s="119">
        <v>0</v>
      </c>
      <c r="AC52" s="119">
        <v>0</v>
      </c>
      <c r="AD52" s="119">
        <v>0</v>
      </c>
      <c r="AE52" s="119">
        <v>0</v>
      </c>
      <c r="AF52" s="119">
        <v>0</v>
      </c>
      <c r="AG52" s="119">
        <v>0</v>
      </c>
      <c r="AH52" s="119">
        <v>0</v>
      </c>
      <c r="AI52" s="119">
        <v>0</v>
      </c>
      <c r="AJ52" s="119">
        <v>0</v>
      </c>
      <c r="AK52" s="119">
        <v>0</v>
      </c>
      <c r="AL52" s="119">
        <v>0</v>
      </c>
      <c r="AM52" s="119">
        <v>0</v>
      </c>
      <c r="AN52" s="119">
        <v>0</v>
      </c>
      <c r="AO52" s="119">
        <v>0</v>
      </c>
      <c r="AP52" s="119">
        <v>0</v>
      </c>
    </row>
    <row r="53" spans="1:42" x14ac:dyDescent="0.2">
      <c r="A53" s="21" t="s">
        <v>316</v>
      </c>
      <c r="B53" s="4">
        <v>0</v>
      </c>
      <c r="C53" s="119">
        <v>0</v>
      </c>
      <c r="D53" s="119">
        <v>0</v>
      </c>
      <c r="E53" s="119">
        <v>0</v>
      </c>
      <c r="F53" s="119">
        <v>0</v>
      </c>
      <c r="G53" s="119">
        <v>0</v>
      </c>
      <c r="H53" s="119">
        <v>0</v>
      </c>
      <c r="I53" s="119">
        <v>0</v>
      </c>
      <c r="J53" s="119">
        <v>0</v>
      </c>
      <c r="K53" s="119">
        <v>0</v>
      </c>
      <c r="L53" s="119">
        <v>0</v>
      </c>
      <c r="M53" s="119">
        <v>0</v>
      </c>
      <c r="N53" s="119">
        <v>0</v>
      </c>
      <c r="O53" s="119">
        <v>0</v>
      </c>
      <c r="P53" s="119">
        <v>0</v>
      </c>
      <c r="Q53" s="119">
        <v>0</v>
      </c>
      <c r="R53" s="119">
        <v>0</v>
      </c>
      <c r="S53" s="119">
        <v>0</v>
      </c>
      <c r="T53" s="119">
        <v>0</v>
      </c>
      <c r="U53" s="119">
        <v>0</v>
      </c>
      <c r="V53" s="119">
        <v>0</v>
      </c>
      <c r="W53" s="119">
        <v>0</v>
      </c>
      <c r="X53" s="119">
        <v>0</v>
      </c>
      <c r="Y53" s="119">
        <v>0</v>
      </c>
      <c r="Z53" s="119">
        <v>0</v>
      </c>
      <c r="AA53" s="119">
        <v>0</v>
      </c>
      <c r="AB53" s="119">
        <v>0</v>
      </c>
      <c r="AC53" s="119">
        <v>0</v>
      </c>
      <c r="AD53" s="119">
        <v>0</v>
      </c>
      <c r="AE53" s="119">
        <v>0</v>
      </c>
      <c r="AF53" s="119">
        <v>0</v>
      </c>
      <c r="AG53" s="119">
        <v>0</v>
      </c>
      <c r="AH53" s="119">
        <v>0</v>
      </c>
      <c r="AI53" s="119">
        <v>0</v>
      </c>
      <c r="AJ53" s="119">
        <v>0</v>
      </c>
      <c r="AK53" s="119">
        <v>0</v>
      </c>
      <c r="AL53" s="119">
        <v>0</v>
      </c>
      <c r="AM53" s="119">
        <v>0</v>
      </c>
      <c r="AN53" s="119">
        <v>0</v>
      </c>
      <c r="AO53" s="119">
        <v>0</v>
      </c>
      <c r="AP53" s="119">
        <v>0</v>
      </c>
    </row>
    <row r="54" spans="1:42" x14ac:dyDescent="0.2">
      <c r="A54" s="21" t="s">
        <v>357</v>
      </c>
      <c r="B54" s="4">
        <v>0</v>
      </c>
      <c r="C54" s="119">
        <v>0</v>
      </c>
      <c r="D54" s="119">
        <v>0</v>
      </c>
      <c r="E54" s="119">
        <v>0</v>
      </c>
      <c r="F54" s="119">
        <v>0</v>
      </c>
      <c r="G54" s="119">
        <v>0</v>
      </c>
      <c r="H54" s="119">
        <v>0</v>
      </c>
      <c r="I54" s="119">
        <v>0</v>
      </c>
      <c r="J54" s="119">
        <v>0</v>
      </c>
      <c r="K54" s="119">
        <v>0</v>
      </c>
      <c r="L54" s="119">
        <v>0</v>
      </c>
      <c r="M54" s="119">
        <v>0</v>
      </c>
      <c r="N54" s="119">
        <v>0</v>
      </c>
      <c r="O54" s="119">
        <v>0</v>
      </c>
      <c r="P54" s="119">
        <v>0</v>
      </c>
      <c r="Q54" s="119">
        <v>0</v>
      </c>
      <c r="R54" s="119">
        <v>0</v>
      </c>
      <c r="S54" s="119">
        <v>0</v>
      </c>
      <c r="T54" s="119">
        <v>0</v>
      </c>
      <c r="U54" s="119">
        <v>0</v>
      </c>
      <c r="V54" s="119">
        <v>0</v>
      </c>
      <c r="W54" s="119">
        <v>0</v>
      </c>
      <c r="X54" s="119">
        <v>0</v>
      </c>
      <c r="Y54" s="119">
        <v>0</v>
      </c>
      <c r="Z54" s="119">
        <v>0</v>
      </c>
      <c r="AA54" s="119">
        <v>0</v>
      </c>
      <c r="AB54" s="119">
        <v>0</v>
      </c>
      <c r="AC54" s="119">
        <v>0</v>
      </c>
      <c r="AD54" s="119">
        <v>0</v>
      </c>
      <c r="AE54" s="119">
        <v>0</v>
      </c>
      <c r="AF54" s="119">
        <v>0</v>
      </c>
      <c r="AG54" s="119">
        <v>0</v>
      </c>
      <c r="AH54" s="119">
        <v>0</v>
      </c>
      <c r="AI54" s="119">
        <v>0</v>
      </c>
      <c r="AJ54" s="119">
        <v>0</v>
      </c>
      <c r="AK54" s="119">
        <v>0</v>
      </c>
      <c r="AL54" s="119">
        <v>0</v>
      </c>
      <c r="AM54" s="119">
        <v>0</v>
      </c>
      <c r="AN54" s="119">
        <v>0</v>
      </c>
      <c r="AO54" s="119">
        <v>0</v>
      </c>
      <c r="AP54" s="119">
        <v>0</v>
      </c>
    </row>
    <row r="55" spans="1:42" x14ac:dyDescent="0.2">
      <c r="A55" s="21" t="s">
        <v>319</v>
      </c>
      <c r="B55" s="4">
        <v>0</v>
      </c>
      <c r="C55" s="119">
        <v>0</v>
      </c>
      <c r="D55" s="119">
        <v>0</v>
      </c>
      <c r="E55" s="119">
        <v>0</v>
      </c>
      <c r="F55" s="119">
        <v>0</v>
      </c>
      <c r="G55" s="119">
        <v>0</v>
      </c>
      <c r="H55" s="119">
        <v>0</v>
      </c>
      <c r="I55" s="119">
        <v>0</v>
      </c>
      <c r="J55" s="119">
        <v>0</v>
      </c>
      <c r="K55" s="119">
        <v>0</v>
      </c>
      <c r="L55" s="119">
        <v>0</v>
      </c>
      <c r="M55" s="119">
        <v>0</v>
      </c>
      <c r="N55" s="119">
        <v>0</v>
      </c>
      <c r="O55" s="119">
        <v>0</v>
      </c>
      <c r="P55" s="119">
        <v>0</v>
      </c>
      <c r="Q55" s="119">
        <v>0</v>
      </c>
      <c r="R55" s="119">
        <v>0</v>
      </c>
      <c r="S55" s="119">
        <v>0</v>
      </c>
      <c r="T55" s="119">
        <v>0</v>
      </c>
      <c r="U55" s="119">
        <v>0</v>
      </c>
      <c r="V55" s="119">
        <v>0</v>
      </c>
      <c r="W55" s="119">
        <v>0</v>
      </c>
      <c r="X55" s="119">
        <v>0</v>
      </c>
      <c r="Y55" s="119">
        <v>0</v>
      </c>
      <c r="Z55" s="119">
        <v>0</v>
      </c>
      <c r="AA55" s="119">
        <v>0</v>
      </c>
      <c r="AB55" s="119">
        <v>0</v>
      </c>
      <c r="AC55" s="119">
        <v>0</v>
      </c>
      <c r="AD55" s="119">
        <v>0</v>
      </c>
      <c r="AE55" s="119">
        <v>0</v>
      </c>
      <c r="AF55" s="119">
        <v>0</v>
      </c>
      <c r="AG55" s="119">
        <v>0</v>
      </c>
      <c r="AH55" s="119">
        <v>0</v>
      </c>
      <c r="AI55" s="119">
        <v>0</v>
      </c>
      <c r="AJ55" s="119">
        <v>0</v>
      </c>
      <c r="AK55" s="119">
        <v>0</v>
      </c>
      <c r="AL55" s="119">
        <v>0</v>
      </c>
      <c r="AM55" s="119">
        <v>0</v>
      </c>
      <c r="AN55" s="119">
        <v>0</v>
      </c>
      <c r="AO55" s="119">
        <v>0</v>
      </c>
      <c r="AP55" s="119">
        <v>0</v>
      </c>
    </row>
    <row r="56" spans="1:42" x14ac:dyDescent="0.2">
      <c r="A56" s="21" t="s">
        <v>323</v>
      </c>
      <c r="B56" s="4">
        <v>0</v>
      </c>
      <c r="C56" s="119">
        <v>0</v>
      </c>
      <c r="D56" s="119">
        <v>0</v>
      </c>
      <c r="E56" s="119">
        <v>0</v>
      </c>
      <c r="F56" s="119">
        <v>0</v>
      </c>
      <c r="G56" s="119">
        <v>0</v>
      </c>
      <c r="H56" s="119">
        <v>0</v>
      </c>
      <c r="I56" s="119">
        <v>0</v>
      </c>
      <c r="J56" s="119">
        <v>0</v>
      </c>
      <c r="K56" s="119">
        <v>0</v>
      </c>
      <c r="L56" s="119">
        <v>0</v>
      </c>
      <c r="M56" s="119">
        <v>0</v>
      </c>
      <c r="N56" s="119">
        <v>0</v>
      </c>
      <c r="O56" s="119">
        <v>0</v>
      </c>
      <c r="P56" s="119">
        <v>0</v>
      </c>
      <c r="Q56" s="119">
        <v>0</v>
      </c>
      <c r="R56" s="119">
        <v>0</v>
      </c>
      <c r="S56" s="119">
        <v>0</v>
      </c>
      <c r="T56" s="119">
        <v>0</v>
      </c>
      <c r="U56" s="119">
        <v>0</v>
      </c>
      <c r="V56" s="119">
        <v>0</v>
      </c>
      <c r="W56" s="119">
        <v>0</v>
      </c>
      <c r="X56" s="119">
        <v>0</v>
      </c>
      <c r="Y56" s="119">
        <v>0</v>
      </c>
      <c r="Z56" s="119">
        <v>0</v>
      </c>
      <c r="AA56" s="119">
        <v>0</v>
      </c>
      <c r="AB56" s="119">
        <v>0</v>
      </c>
      <c r="AC56" s="119">
        <v>0</v>
      </c>
      <c r="AD56" s="119">
        <v>0</v>
      </c>
      <c r="AE56" s="119">
        <v>0</v>
      </c>
      <c r="AF56" s="119">
        <v>0</v>
      </c>
      <c r="AG56" s="119">
        <v>0</v>
      </c>
      <c r="AH56" s="119">
        <v>0</v>
      </c>
      <c r="AI56" s="119">
        <v>0</v>
      </c>
      <c r="AJ56" s="119">
        <v>0</v>
      </c>
      <c r="AK56" s="119">
        <v>0</v>
      </c>
      <c r="AL56" s="119">
        <v>0</v>
      </c>
      <c r="AM56" s="119">
        <v>0</v>
      </c>
      <c r="AN56" s="119">
        <v>0</v>
      </c>
      <c r="AO56" s="119">
        <v>0</v>
      </c>
      <c r="AP56" s="119">
        <v>0</v>
      </c>
    </row>
    <row r="57" spans="1:42" x14ac:dyDescent="0.2">
      <c r="A57" s="86" t="s">
        <v>322</v>
      </c>
      <c r="B57" s="4">
        <f t="array" ref="B57:AP59">Inputs!C200:AQ202</f>
        <v>0</v>
      </c>
      <c r="C57" s="119">
        <v>0</v>
      </c>
      <c r="D57" s="119">
        <v>0</v>
      </c>
      <c r="E57" s="119">
        <v>0</v>
      </c>
      <c r="F57" s="119">
        <v>0</v>
      </c>
      <c r="G57" s="119">
        <v>0</v>
      </c>
      <c r="H57" s="119">
        <v>0</v>
      </c>
      <c r="I57" s="119">
        <v>0</v>
      </c>
      <c r="J57" s="119">
        <v>0</v>
      </c>
      <c r="K57" s="119">
        <v>0</v>
      </c>
      <c r="L57" s="119">
        <v>0</v>
      </c>
      <c r="M57" s="119">
        <v>0</v>
      </c>
      <c r="N57" s="119">
        <v>0</v>
      </c>
      <c r="O57" s="119">
        <v>0</v>
      </c>
      <c r="P57" s="119">
        <v>0</v>
      </c>
      <c r="Q57" s="119">
        <v>0</v>
      </c>
      <c r="R57" s="119">
        <v>0</v>
      </c>
      <c r="S57" s="119">
        <v>0</v>
      </c>
      <c r="T57" s="119">
        <v>0</v>
      </c>
      <c r="U57" s="119">
        <v>0</v>
      </c>
      <c r="V57" s="119">
        <v>0</v>
      </c>
      <c r="W57" s="119">
        <v>0</v>
      </c>
      <c r="X57" s="119">
        <v>0</v>
      </c>
      <c r="Y57" s="119">
        <v>0</v>
      </c>
      <c r="Z57" s="119">
        <v>0</v>
      </c>
      <c r="AA57" s="119">
        <v>0</v>
      </c>
      <c r="AB57" s="119">
        <v>0</v>
      </c>
      <c r="AC57" s="119">
        <v>0</v>
      </c>
      <c r="AD57" s="119">
        <v>0</v>
      </c>
      <c r="AE57" s="119">
        <v>0</v>
      </c>
      <c r="AF57" s="119">
        <v>0</v>
      </c>
      <c r="AG57" s="119">
        <v>0</v>
      </c>
      <c r="AH57" s="119">
        <v>0</v>
      </c>
      <c r="AI57" s="119">
        <v>0</v>
      </c>
      <c r="AJ57" s="119">
        <v>0</v>
      </c>
      <c r="AK57" s="119">
        <v>0</v>
      </c>
      <c r="AL57" s="119">
        <v>0</v>
      </c>
      <c r="AM57" s="119">
        <v>0</v>
      </c>
      <c r="AN57" s="119">
        <v>0</v>
      </c>
      <c r="AO57" s="119">
        <v>0</v>
      </c>
      <c r="AP57" s="119">
        <v>0</v>
      </c>
    </row>
    <row r="58" spans="1:42" x14ac:dyDescent="0.2">
      <c r="A58" s="86" t="s">
        <v>210</v>
      </c>
      <c r="B58" s="4">
        <v>0</v>
      </c>
      <c r="C58" s="119">
        <v>0</v>
      </c>
      <c r="D58" s="119">
        <v>0</v>
      </c>
      <c r="E58" s="119">
        <v>0</v>
      </c>
      <c r="F58" s="119">
        <v>0</v>
      </c>
      <c r="G58" s="119">
        <v>0</v>
      </c>
      <c r="H58" s="119">
        <v>0</v>
      </c>
      <c r="I58" s="119">
        <v>0</v>
      </c>
      <c r="J58" s="119">
        <v>0</v>
      </c>
      <c r="K58" s="119">
        <v>0</v>
      </c>
      <c r="L58" s="119">
        <v>0</v>
      </c>
      <c r="M58" s="119">
        <v>0</v>
      </c>
      <c r="N58" s="119">
        <v>0</v>
      </c>
      <c r="O58" s="119">
        <v>0</v>
      </c>
      <c r="P58" s="119">
        <v>0</v>
      </c>
      <c r="Q58" s="119">
        <v>0</v>
      </c>
      <c r="R58" s="119">
        <v>0</v>
      </c>
      <c r="S58" s="119">
        <v>0</v>
      </c>
      <c r="T58" s="119">
        <v>0</v>
      </c>
      <c r="U58" s="119">
        <v>0</v>
      </c>
      <c r="V58" s="119">
        <v>0</v>
      </c>
      <c r="W58" s="119">
        <v>0</v>
      </c>
      <c r="X58" s="119">
        <v>0</v>
      </c>
      <c r="Y58" s="119">
        <v>0</v>
      </c>
      <c r="Z58" s="119">
        <v>0</v>
      </c>
      <c r="AA58" s="119">
        <v>0</v>
      </c>
      <c r="AB58" s="119">
        <v>0</v>
      </c>
      <c r="AC58" s="119">
        <v>0</v>
      </c>
      <c r="AD58" s="119">
        <v>0</v>
      </c>
      <c r="AE58" s="119">
        <v>0</v>
      </c>
      <c r="AF58" s="119">
        <v>0</v>
      </c>
      <c r="AG58" s="119">
        <v>0</v>
      </c>
      <c r="AH58" s="119">
        <v>0</v>
      </c>
      <c r="AI58" s="119">
        <v>0</v>
      </c>
      <c r="AJ58" s="119">
        <v>0</v>
      </c>
      <c r="AK58" s="119">
        <v>0</v>
      </c>
      <c r="AL58" s="119">
        <v>0</v>
      </c>
      <c r="AM58" s="119">
        <v>0</v>
      </c>
      <c r="AN58" s="119">
        <v>0</v>
      </c>
      <c r="AO58" s="119">
        <v>0</v>
      </c>
      <c r="AP58" s="119">
        <v>0</v>
      </c>
    </row>
    <row r="59" spans="1:42" x14ac:dyDescent="0.2">
      <c r="A59" s="86" t="s">
        <v>211</v>
      </c>
      <c r="B59" s="4">
        <v>0</v>
      </c>
      <c r="C59" s="119">
        <v>0</v>
      </c>
      <c r="D59" s="119">
        <v>0</v>
      </c>
      <c r="E59" s="119">
        <v>0</v>
      </c>
      <c r="F59" s="119">
        <v>0</v>
      </c>
      <c r="G59" s="119">
        <v>0</v>
      </c>
      <c r="H59" s="119">
        <v>0</v>
      </c>
      <c r="I59" s="119">
        <v>0</v>
      </c>
      <c r="J59" s="119">
        <v>0</v>
      </c>
      <c r="K59" s="119">
        <v>0</v>
      </c>
      <c r="L59" s="119">
        <v>0</v>
      </c>
      <c r="M59" s="119">
        <v>0</v>
      </c>
      <c r="N59" s="119">
        <v>0</v>
      </c>
      <c r="O59" s="119">
        <v>0</v>
      </c>
      <c r="P59" s="119">
        <v>0</v>
      </c>
      <c r="Q59" s="119">
        <v>0</v>
      </c>
      <c r="R59" s="119">
        <v>0</v>
      </c>
      <c r="S59" s="119">
        <v>0</v>
      </c>
      <c r="T59" s="119">
        <v>0</v>
      </c>
      <c r="U59" s="119">
        <v>0</v>
      </c>
      <c r="V59" s="119">
        <v>0</v>
      </c>
      <c r="W59" s="119">
        <v>0</v>
      </c>
      <c r="X59" s="119">
        <v>0</v>
      </c>
      <c r="Y59" s="119">
        <v>0</v>
      </c>
      <c r="Z59" s="119">
        <v>0</v>
      </c>
      <c r="AA59" s="119">
        <v>0</v>
      </c>
      <c r="AB59" s="119">
        <v>0</v>
      </c>
      <c r="AC59" s="119">
        <v>0</v>
      </c>
      <c r="AD59" s="119">
        <v>0</v>
      </c>
      <c r="AE59" s="119">
        <v>0</v>
      </c>
      <c r="AF59" s="119">
        <v>0</v>
      </c>
      <c r="AG59" s="119">
        <v>0</v>
      </c>
      <c r="AH59" s="119">
        <v>0</v>
      </c>
      <c r="AI59" s="119">
        <v>0</v>
      </c>
      <c r="AJ59" s="119">
        <v>0</v>
      </c>
      <c r="AK59" s="119">
        <v>0</v>
      </c>
      <c r="AL59" s="119">
        <v>0</v>
      </c>
      <c r="AM59" s="119">
        <v>0</v>
      </c>
      <c r="AN59" s="119">
        <v>0</v>
      </c>
      <c r="AO59" s="119">
        <v>0</v>
      </c>
      <c r="AP59" s="119">
        <v>0</v>
      </c>
    </row>
    <row r="60" spans="1:42" x14ac:dyDescent="0.2">
      <c r="A60" s="86" t="s">
        <v>361</v>
      </c>
      <c r="B60" s="4">
        <f t="array" ref="B60:AP60">Inputs!C204:AQ204</f>
        <v>0</v>
      </c>
      <c r="C60" s="119">
        <v>0</v>
      </c>
      <c r="D60" s="119">
        <v>0</v>
      </c>
      <c r="E60" s="119">
        <v>0</v>
      </c>
      <c r="F60" s="119">
        <v>0</v>
      </c>
      <c r="G60" s="119">
        <v>0</v>
      </c>
      <c r="H60" s="119">
        <v>0</v>
      </c>
      <c r="I60" s="119">
        <v>0</v>
      </c>
      <c r="J60" s="119">
        <v>0</v>
      </c>
      <c r="K60" s="119">
        <v>0</v>
      </c>
      <c r="L60" s="119">
        <v>0</v>
      </c>
      <c r="M60" s="119">
        <v>0</v>
      </c>
      <c r="N60" s="119">
        <v>0</v>
      </c>
      <c r="O60" s="119">
        <v>0</v>
      </c>
      <c r="P60" s="119">
        <v>0</v>
      </c>
      <c r="Q60" s="119">
        <v>0</v>
      </c>
      <c r="R60" s="119">
        <v>0</v>
      </c>
      <c r="S60" s="119">
        <v>0</v>
      </c>
      <c r="T60" s="119">
        <v>0</v>
      </c>
      <c r="U60" s="119">
        <v>0</v>
      </c>
      <c r="V60" s="119">
        <v>0</v>
      </c>
      <c r="W60" s="119">
        <v>0</v>
      </c>
      <c r="X60" s="119">
        <v>0</v>
      </c>
      <c r="Y60" s="119">
        <v>0</v>
      </c>
      <c r="Z60" s="119">
        <v>0</v>
      </c>
      <c r="AA60" s="119">
        <v>0</v>
      </c>
      <c r="AB60" s="119">
        <v>0</v>
      </c>
      <c r="AC60" s="119">
        <v>0</v>
      </c>
      <c r="AD60" s="119">
        <v>0</v>
      </c>
      <c r="AE60" s="119">
        <v>0</v>
      </c>
      <c r="AF60" s="119">
        <v>0</v>
      </c>
      <c r="AG60" s="119">
        <v>0</v>
      </c>
      <c r="AH60" s="119">
        <v>0</v>
      </c>
      <c r="AI60" s="119">
        <v>0</v>
      </c>
      <c r="AJ60" s="119">
        <v>0</v>
      </c>
      <c r="AK60" s="119">
        <v>0</v>
      </c>
      <c r="AL60" s="119">
        <v>0</v>
      </c>
      <c r="AM60" s="119">
        <v>0</v>
      </c>
      <c r="AN60" s="119">
        <v>0</v>
      </c>
      <c r="AO60" s="119">
        <v>0</v>
      </c>
      <c r="AP60" s="119">
        <v>0</v>
      </c>
    </row>
    <row r="61" spans="1:42" x14ac:dyDescent="0.2">
      <c r="A61" s="17" t="s">
        <v>363</v>
      </c>
      <c r="C61" s="119" cm="1">
        <f t="array" ref="C61">IF(C$2&lt;=analysis_period,IF(om_land_lease="n/a",total_land_area*Inputs!D$215,total_land_area*om_land_lease*(1+inflation_rate/100+om_land_lease_escal/100)^B$2),0)</f>
        <v>0</v>
      </c>
      <c r="D61" s="119" cm="1">
        <f t="array" ref="D61">IF(D$2&lt;=analysis_period,IF(om_land_lease="n/a",total_land_area*Inputs!E$215,total_land_area*om_land_lease*(1+inflation_rate/100+om_land_lease_escal/100)^C$2),0)</f>
        <v>0</v>
      </c>
      <c r="E61" s="119" cm="1">
        <f t="array" ref="E61">IF(E$2&lt;=analysis_period,IF(om_land_lease="n/a",total_land_area*Inputs!F$215,total_land_area*om_land_lease*(1+inflation_rate/100+om_land_lease_escal/100)^D$2),0)</f>
        <v>0</v>
      </c>
      <c r="F61" s="119" cm="1">
        <f t="array" ref="F61">IF(F$2&lt;=analysis_period,IF(om_land_lease="n/a",total_land_area*Inputs!G$215,total_land_area*om_land_lease*(1+inflation_rate/100+om_land_lease_escal/100)^E$2),0)</f>
        <v>0</v>
      </c>
      <c r="G61" s="119" cm="1">
        <f t="array" ref="G61">IF(G$2&lt;=analysis_period,IF(om_land_lease="n/a",total_land_area*Inputs!H$215,total_land_area*om_land_lease*(1+inflation_rate/100+om_land_lease_escal/100)^F$2),0)</f>
        <v>0</v>
      </c>
      <c r="H61" s="119" cm="1">
        <f t="array" ref="H61">IF(H$2&lt;=analysis_period,IF(om_land_lease="n/a",total_land_area*Inputs!I$215,total_land_area*om_land_lease*(1+inflation_rate/100+om_land_lease_escal/100)^G$2),0)</f>
        <v>0</v>
      </c>
      <c r="I61" s="119" cm="1">
        <f t="array" ref="I61">IF(I$2&lt;=analysis_period,IF(om_land_lease="n/a",total_land_area*Inputs!J$215,total_land_area*om_land_lease*(1+inflation_rate/100+om_land_lease_escal/100)^H$2),0)</f>
        <v>0</v>
      </c>
      <c r="J61" s="119" cm="1">
        <f t="array" ref="J61">IF(J$2&lt;=analysis_period,IF(om_land_lease="n/a",total_land_area*Inputs!K$215,total_land_area*om_land_lease*(1+inflation_rate/100+om_land_lease_escal/100)^I$2),0)</f>
        <v>0</v>
      </c>
      <c r="K61" s="119" cm="1">
        <f t="array" ref="K61">IF(K$2&lt;=analysis_period,IF(om_land_lease="n/a",total_land_area*Inputs!L$215,total_land_area*om_land_lease*(1+inflation_rate/100+om_land_lease_escal/100)^J$2),0)</f>
        <v>0</v>
      </c>
      <c r="L61" s="119" cm="1">
        <f t="array" ref="L61">IF(L$2&lt;=analysis_period,IF(om_land_lease="n/a",total_land_area*Inputs!M$215,total_land_area*om_land_lease*(1+inflation_rate/100+om_land_lease_escal/100)^K$2),0)</f>
        <v>0</v>
      </c>
      <c r="M61" s="119" cm="1">
        <f t="array" ref="M61">IF(M$2&lt;=analysis_period,IF(om_land_lease="n/a",total_land_area*Inputs!N$215,total_land_area*om_land_lease*(1+inflation_rate/100+om_land_lease_escal/100)^L$2),0)</f>
        <v>0</v>
      </c>
      <c r="N61" s="119" cm="1">
        <f t="array" ref="N61">IF(N$2&lt;=analysis_period,IF(om_land_lease="n/a",total_land_area*Inputs!O$215,total_land_area*om_land_lease*(1+inflation_rate/100+om_land_lease_escal/100)^M$2),0)</f>
        <v>0</v>
      </c>
      <c r="O61" s="119" cm="1">
        <f t="array" ref="O61">IF(O$2&lt;=analysis_period,IF(om_land_lease="n/a",total_land_area*Inputs!P$215,total_land_area*om_land_lease*(1+inflation_rate/100+om_land_lease_escal/100)^N$2),0)</f>
        <v>0</v>
      </c>
      <c r="P61" s="119" cm="1">
        <f t="array" ref="P61">IF(P$2&lt;=analysis_period,IF(om_land_lease="n/a",total_land_area*Inputs!Q$215,total_land_area*om_land_lease*(1+inflation_rate/100+om_land_lease_escal/100)^O$2),0)</f>
        <v>0</v>
      </c>
      <c r="Q61" s="119" cm="1">
        <f t="array" ref="Q61">IF(Q$2&lt;=analysis_period,IF(om_land_lease="n/a",total_land_area*Inputs!R$215,total_land_area*om_land_lease*(1+inflation_rate/100+om_land_lease_escal/100)^P$2),0)</f>
        <v>0</v>
      </c>
      <c r="R61" s="119" cm="1">
        <f t="array" ref="R61">IF(R$2&lt;=analysis_period,IF(om_land_lease="n/a",total_land_area*Inputs!S$215,total_land_area*om_land_lease*(1+inflation_rate/100+om_land_lease_escal/100)^Q$2),0)</f>
        <v>0</v>
      </c>
      <c r="S61" s="119" cm="1">
        <f t="array" ref="S61">IF(S$2&lt;=analysis_period,IF(om_land_lease="n/a",total_land_area*Inputs!T$215,total_land_area*om_land_lease*(1+inflation_rate/100+om_land_lease_escal/100)^R$2),0)</f>
        <v>0</v>
      </c>
      <c r="T61" s="119" cm="1">
        <f t="array" ref="T61">IF(T$2&lt;=analysis_period,IF(om_land_lease="n/a",total_land_area*Inputs!U$215,total_land_area*om_land_lease*(1+inflation_rate/100+om_land_lease_escal/100)^S$2),0)</f>
        <v>0</v>
      </c>
      <c r="U61" s="119" cm="1">
        <f t="array" ref="U61">IF(U$2&lt;=analysis_period,IF(om_land_lease="n/a",total_land_area*Inputs!V$215,total_land_area*om_land_lease*(1+inflation_rate/100+om_land_lease_escal/100)^T$2),0)</f>
        <v>0</v>
      </c>
      <c r="V61" s="119" cm="1">
        <f t="array" ref="V61">IF(V$2&lt;=analysis_period,IF(om_land_lease="n/a",total_land_area*Inputs!W$215,total_land_area*om_land_lease*(1+inflation_rate/100+om_land_lease_escal/100)^U$2),0)</f>
        <v>0</v>
      </c>
      <c r="W61" s="119" cm="1">
        <f t="array" ref="W61">IF(W$2&lt;=analysis_period,IF(om_land_lease="n/a",total_land_area*Inputs!X$215,total_land_area*om_land_lease*(1+inflation_rate/100+om_land_lease_escal/100)^V$2),0)</f>
        <v>0</v>
      </c>
      <c r="X61" s="119" cm="1">
        <f t="array" ref="X61">IF(X$2&lt;=analysis_period,IF(om_land_lease="n/a",total_land_area*Inputs!Y$215,total_land_area*om_land_lease*(1+inflation_rate/100+om_land_lease_escal/100)^W$2),0)</f>
        <v>0</v>
      </c>
      <c r="Y61" s="119" cm="1">
        <f t="array" ref="Y61">IF(Y$2&lt;=analysis_period,IF(om_land_lease="n/a",total_land_area*Inputs!Z$215,total_land_area*om_land_lease*(1+inflation_rate/100+om_land_lease_escal/100)^X$2),0)</f>
        <v>0</v>
      </c>
      <c r="Z61" s="119" cm="1">
        <f t="array" ref="Z61">IF(Z$2&lt;=analysis_period,IF(om_land_lease="n/a",total_land_area*Inputs!AA$215,total_land_area*om_land_lease*(1+inflation_rate/100+om_land_lease_escal/100)^Y$2),0)</f>
        <v>0</v>
      </c>
      <c r="AA61" s="119" cm="1">
        <f t="array" ref="AA61">IF(AA$2&lt;=analysis_period,IF(om_land_lease="n/a",total_land_area*Inputs!AB$215,total_land_area*om_land_lease*(1+inflation_rate/100+om_land_lease_escal/100)^Z$2),0)</f>
        <v>0</v>
      </c>
      <c r="AB61" s="119" cm="1">
        <f t="array" ref="AB61">IF(AB$2&lt;=analysis_period,IF(om_land_lease="n/a",total_land_area*Inputs!AC$215,total_land_area*om_land_lease*(1+inflation_rate/100+om_land_lease_escal/100)^AA$2),0)</f>
        <v>0</v>
      </c>
      <c r="AC61" s="119" cm="1">
        <f t="array" ref="AC61">IF(AC$2&lt;=analysis_period,IF(om_land_lease="n/a",total_land_area*Inputs!AD$215,total_land_area*om_land_lease*(1+inflation_rate/100+om_land_lease_escal/100)^AB$2),0)</f>
        <v>0</v>
      </c>
      <c r="AD61" s="119" cm="1">
        <f t="array" ref="AD61">IF(AD$2&lt;=analysis_period,IF(om_land_lease="n/a",total_land_area*Inputs!AE$215,total_land_area*om_land_lease*(1+inflation_rate/100+om_land_lease_escal/100)^AC$2),0)</f>
        <v>0</v>
      </c>
      <c r="AE61" s="119" cm="1">
        <f t="array" ref="AE61">IF(AE$2&lt;=analysis_period,IF(om_land_lease="n/a",total_land_area*Inputs!AF$215,total_land_area*om_land_lease*(1+inflation_rate/100+om_land_lease_escal/100)^AD$2),0)</f>
        <v>0</v>
      </c>
      <c r="AF61" s="119" cm="1">
        <f t="array" ref="AF61">IF(AF$2&lt;=analysis_period,IF(om_land_lease="n/a",total_land_area*Inputs!AG$215,total_land_area*om_land_lease*(1+inflation_rate/100+om_land_lease_escal/100)^AE$2),0)</f>
        <v>0</v>
      </c>
      <c r="AG61" s="119" cm="1">
        <f t="array" ref="AG61">IF(AG$2&lt;=analysis_period,IF(om_land_lease="n/a",total_land_area*Inputs!AH$215,total_land_area*om_land_lease*(1+inflation_rate/100+om_land_lease_escal/100)^AF$2),0)</f>
        <v>0</v>
      </c>
      <c r="AH61" s="119" cm="1">
        <f t="array" ref="AH61">IF(AH$2&lt;=analysis_period,IF(om_land_lease="n/a",total_land_area*Inputs!AI$215,total_land_area*om_land_lease*(1+inflation_rate/100+om_land_lease_escal/100)^AG$2),0)</f>
        <v>0</v>
      </c>
      <c r="AI61" s="119" cm="1">
        <f t="array" ref="AI61">IF(AI$2&lt;=analysis_period,IF(om_land_lease="n/a",total_land_area*Inputs!AJ$215,total_land_area*om_land_lease*(1+inflation_rate/100+om_land_lease_escal/100)^AH$2),0)</f>
        <v>0</v>
      </c>
      <c r="AJ61" s="119" cm="1">
        <f t="array" ref="AJ61">IF(AJ$2&lt;=analysis_period,IF(om_land_lease="n/a",total_land_area*Inputs!AK$215,total_land_area*om_land_lease*(1+inflation_rate/100+om_land_lease_escal/100)^AI$2),0)</f>
        <v>0</v>
      </c>
      <c r="AK61" s="119" cm="1">
        <f t="array" ref="AK61">IF(AK$2&lt;=analysis_period,IF(om_land_lease="n/a",total_land_area*Inputs!AL$215,total_land_area*om_land_lease*(1+inflation_rate/100+om_land_lease_escal/100)^AJ$2),0)</f>
        <v>0</v>
      </c>
      <c r="AL61" s="119" cm="1">
        <f t="array" ref="AL61">IF(AL$2&lt;=analysis_period,IF(om_land_lease="n/a",total_land_area*Inputs!AM$215,total_land_area*om_land_lease*(1+inflation_rate/100+om_land_lease_escal/100)^AK$2),0)</f>
        <v>0</v>
      </c>
      <c r="AM61" s="119" cm="1">
        <f t="array" ref="AM61">IF(AM$2&lt;=analysis_period,IF(om_land_lease="n/a",total_land_area*Inputs!AN$215,total_land_area*om_land_lease*(1+inflation_rate/100+om_land_lease_escal/100)^AL$2),0)</f>
        <v>0</v>
      </c>
      <c r="AN61" s="119" cm="1">
        <f t="array" ref="AN61">IF(AN$2&lt;=analysis_period,IF(om_land_lease="n/a",total_land_area*Inputs!AO$215,total_land_area*om_land_lease*(1+inflation_rate/100+om_land_lease_escal/100)^AM$2),0)</f>
        <v>0</v>
      </c>
      <c r="AO61" s="119" cm="1">
        <f t="array" ref="AO61">IF(AO$2&lt;=analysis_period,IF(om_land_lease="n/a",total_land_area*Inputs!AP$215,total_land_area*om_land_lease*(1+inflation_rate/100+om_land_lease_escal/100)^AN$2),0)</f>
        <v>0</v>
      </c>
      <c r="AP61" s="119" cm="1">
        <f t="array" ref="AP61">IF(AP$2&lt;=analysis_period,IF(om_land_lease="n/a",total_land_area*Inputs!AQ$215,total_land_area*om_land_lease*(1+inflation_rate/100+om_land_lease_escal/100)^AO$2),0)</f>
        <v>0</v>
      </c>
    </row>
    <row r="62" spans="1:42" x14ac:dyDescent="0.2">
      <c r="A62" s="17" t="s">
        <v>0</v>
      </c>
      <c r="C62" s="119">
        <f t="shared" ref="C62:AP62" si="15">C32*property_tax_rate/100</f>
        <v>0</v>
      </c>
      <c r="D62" s="119">
        <f t="shared" si="15"/>
        <v>0</v>
      </c>
      <c r="E62" s="119">
        <f t="shared" si="15"/>
        <v>0</v>
      </c>
      <c r="F62" s="119">
        <f t="shared" si="15"/>
        <v>0</v>
      </c>
      <c r="G62" s="119">
        <f t="shared" si="15"/>
        <v>0</v>
      </c>
      <c r="H62" s="119">
        <f t="shared" si="15"/>
        <v>0</v>
      </c>
      <c r="I62" s="119">
        <f t="shared" si="15"/>
        <v>0</v>
      </c>
      <c r="J62" s="119">
        <f t="shared" si="15"/>
        <v>0</v>
      </c>
      <c r="K62" s="119">
        <f t="shared" si="15"/>
        <v>0</v>
      </c>
      <c r="L62" s="119">
        <f t="shared" si="15"/>
        <v>0</v>
      </c>
      <c r="M62" s="119">
        <f t="shared" si="15"/>
        <v>0</v>
      </c>
      <c r="N62" s="119">
        <f t="shared" si="15"/>
        <v>0</v>
      </c>
      <c r="O62" s="119">
        <f t="shared" si="15"/>
        <v>0</v>
      </c>
      <c r="P62" s="119">
        <f t="shared" si="15"/>
        <v>0</v>
      </c>
      <c r="Q62" s="119">
        <f t="shared" si="15"/>
        <v>0</v>
      </c>
      <c r="R62" s="119">
        <f t="shared" si="15"/>
        <v>0</v>
      </c>
      <c r="S62" s="119">
        <f t="shared" si="15"/>
        <v>0</v>
      </c>
      <c r="T62" s="119">
        <f t="shared" si="15"/>
        <v>0</v>
      </c>
      <c r="U62" s="119">
        <f t="shared" si="15"/>
        <v>0</v>
      </c>
      <c r="V62" s="119">
        <f t="shared" si="15"/>
        <v>0</v>
      </c>
      <c r="W62" s="119">
        <f t="shared" si="15"/>
        <v>0</v>
      </c>
      <c r="X62" s="119">
        <f t="shared" si="15"/>
        <v>0</v>
      </c>
      <c r="Y62" s="119">
        <f t="shared" si="15"/>
        <v>0</v>
      </c>
      <c r="Z62" s="119">
        <f t="shared" si="15"/>
        <v>0</v>
      </c>
      <c r="AA62" s="119">
        <f t="shared" si="15"/>
        <v>0</v>
      </c>
      <c r="AB62" s="119">
        <f t="shared" si="15"/>
        <v>0</v>
      </c>
      <c r="AC62" s="119">
        <f t="shared" si="15"/>
        <v>0</v>
      </c>
      <c r="AD62" s="119">
        <f t="shared" si="15"/>
        <v>0</v>
      </c>
      <c r="AE62" s="119">
        <f t="shared" si="15"/>
        <v>0</v>
      </c>
      <c r="AF62" s="119">
        <f t="shared" si="15"/>
        <v>0</v>
      </c>
      <c r="AG62" s="119">
        <f t="shared" si="15"/>
        <v>0</v>
      </c>
      <c r="AH62" s="119">
        <f t="shared" si="15"/>
        <v>0</v>
      </c>
      <c r="AI62" s="119">
        <f t="shared" si="15"/>
        <v>0</v>
      </c>
      <c r="AJ62" s="119">
        <f t="shared" si="15"/>
        <v>0</v>
      </c>
      <c r="AK62" s="119">
        <f t="shared" si="15"/>
        <v>0</v>
      </c>
      <c r="AL62" s="119">
        <f t="shared" si="15"/>
        <v>0</v>
      </c>
      <c r="AM62" s="119">
        <f t="shared" si="15"/>
        <v>0</v>
      </c>
      <c r="AN62" s="119">
        <f t="shared" si="15"/>
        <v>0</v>
      </c>
      <c r="AO62" s="119">
        <f t="shared" si="15"/>
        <v>0</v>
      </c>
      <c r="AP62" s="119">
        <f t="shared" si="15"/>
        <v>0</v>
      </c>
    </row>
    <row r="63" spans="1:42" x14ac:dyDescent="0.2">
      <c r="A63" s="17" t="s">
        <v>41</v>
      </c>
      <c r="C63" s="119">
        <f t="shared" ref="C63:AP63" si="16">IF(C$2&lt;=analysis_period,total_installed_cost*insurance_rate/100*(1+inflation_rate/100)^B$2,0)</f>
        <v>0</v>
      </c>
      <c r="D63" s="119">
        <f t="shared" si="16"/>
        <v>0</v>
      </c>
      <c r="E63" s="119">
        <f t="shared" si="16"/>
        <v>0</v>
      </c>
      <c r="F63" s="119">
        <f t="shared" si="16"/>
        <v>0</v>
      </c>
      <c r="G63" s="119">
        <f t="shared" si="16"/>
        <v>0</v>
      </c>
      <c r="H63" s="119">
        <f t="shared" si="16"/>
        <v>0</v>
      </c>
      <c r="I63" s="119">
        <f t="shared" si="16"/>
        <v>0</v>
      </c>
      <c r="J63" s="119">
        <f t="shared" si="16"/>
        <v>0</v>
      </c>
      <c r="K63" s="119">
        <f t="shared" si="16"/>
        <v>0</v>
      </c>
      <c r="L63" s="119">
        <f t="shared" si="16"/>
        <v>0</v>
      </c>
      <c r="M63" s="119">
        <f t="shared" si="16"/>
        <v>0</v>
      </c>
      <c r="N63" s="119">
        <f t="shared" si="16"/>
        <v>0</v>
      </c>
      <c r="O63" s="119">
        <f t="shared" si="16"/>
        <v>0</v>
      </c>
      <c r="P63" s="119">
        <f t="shared" si="16"/>
        <v>0</v>
      </c>
      <c r="Q63" s="119">
        <f t="shared" si="16"/>
        <v>0</v>
      </c>
      <c r="R63" s="119">
        <f t="shared" si="16"/>
        <v>0</v>
      </c>
      <c r="S63" s="119">
        <f t="shared" si="16"/>
        <v>0</v>
      </c>
      <c r="T63" s="119">
        <f t="shared" si="16"/>
        <v>0</v>
      </c>
      <c r="U63" s="119">
        <f t="shared" si="16"/>
        <v>0</v>
      </c>
      <c r="V63" s="119">
        <f t="shared" si="16"/>
        <v>0</v>
      </c>
      <c r="W63" s="119">
        <f t="shared" si="16"/>
        <v>0</v>
      </c>
      <c r="X63" s="119">
        <f t="shared" si="16"/>
        <v>0</v>
      </c>
      <c r="Y63" s="119">
        <f t="shared" si="16"/>
        <v>0</v>
      </c>
      <c r="Z63" s="119">
        <f t="shared" si="16"/>
        <v>0</v>
      </c>
      <c r="AA63" s="119">
        <f t="shared" si="16"/>
        <v>0</v>
      </c>
      <c r="AB63" s="119">
        <f t="shared" si="16"/>
        <v>0</v>
      </c>
      <c r="AC63" s="119">
        <f t="shared" si="16"/>
        <v>0</v>
      </c>
      <c r="AD63" s="119">
        <f t="shared" si="16"/>
        <v>0</v>
      </c>
      <c r="AE63" s="119">
        <f t="shared" si="16"/>
        <v>0</v>
      </c>
      <c r="AF63" s="119">
        <f t="shared" si="16"/>
        <v>0</v>
      </c>
      <c r="AG63" s="119">
        <f t="shared" si="16"/>
        <v>0</v>
      </c>
      <c r="AH63" s="119">
        <f t="shared" si="16"/>
        <v>0</v>
      </c>
      <c r="AI63" s="119">
        <f t="shared" si="16"/>
        <v>0</v>
      </c>
      <c r="AJ63" s="119">
        <f t="shared" si="16"/>
        <v>0</v>
      </c>
      <c r="AK63" s="119">
        <f t="shared" si="16"/>
        <v>0</v>
      </c>
      <c r="AL63" s="119">
        <f t="shared" si="16"/>
        <v>0</v>
      </c>
      <c r="AM63" s="119">
        <f t="shared" si="16"/>
        <v>0</v>
      </c>
      <c r="AN63" s="119">
        <f t="shared" si="16"/>
        <v>0</v>
      </c>
      <c r="AO63" s="119">
        <f t="shared" si="16"/>
        <v>0</v>
      </c>
      <c r="AP63" s="119">
        <f t="shared" si="16"/>
        <v>0</v>
      </c>
    </row>
    <row r="64" spans="1:42" x14ac:dyDescent="0.2">
      <c r="A64" s="27" t="s">
        <v>18</v>
      </c>
      <c r="B64" s="27"/>
      <c r="C64" s="130">
        <f>C$36+C$40+C$44+C$45+SUM(C47:C50)+SUM(C52:C63)</f>
        <v>0</v>
      </c>
      <c r="D64" s="130">
        <f t="shared" ref="D64:AP64" si="17">D$36+D$40+D$44+D$45+SUM(D47:D50)+SUM(D52:D63)</f>
        <v>0</v>
      </c>
      <c r="E64" s="130">
        <f t="shared" si="17"/>
        <v>0</v>
      </c>
      <c r="F64" s="130">
        <f t="shared" si="17"/>
        <v>0</v>
      </c>
      <c r="G64" s="130">
        <f t="shared" si="17"/>
        <v>0</v>
      </c>
      <c r="H64" s="130">
        <f t="shared" si="17"/>
        <v>0</v>
      </c>
      <c r="I64" s="130">
        <f t="shared" si="17"/>
        <v>0</v>
      </c>
      <c r="J64" s="130">
        <f t="shared" si="17"/>
        <v>0</v>
      </c>
      <c r="K64" s="130">
        <f t="shared" si="17"/>
        <v>0</v>
      </c>
      <c r="L64" s="130">
        <f t="shared" si="17"/>
        <v>0</v>
      </c>
      <c r="M64" s="130">
        <f t="shared" si="17"/>
        <v>0</v>
      </c>
      <c r="N64" s="130">
        <f t="shared" si="17"/>
        <v>0</v>
      </c>
      <c r="O64" s="130">
        <f t="shared" si="17"/>
        <v>0</v>
      </c>
      <c r="P64" s="130">
        <f t="shared" si="17"/>
        <v>0</v>
      </c>
      <c r="Q64" s="130">
        <f t="shared" si="17"/>
        <v>0</v>
      </c>
      <c r="R64" s="130">
        <f t="shared" si="17"/>
        <v>0</v>
      </c>
      <c r="S64" s="130">
        <f t="shared" si="17"/>
        <v>0</v>
      </c>
      <c r="T64" s="130">
        <f t="shared" si="17"/>
        <v>0</v>
      </c>
      <c r="U64" s="130">
        <f t="shared" si="17"/>
        <v>0</v>
      </c>
      <c r="V64" s="130">
        <f t="shared" si="17"/>
        <v>0</v>
      </c>
      <c r="W64" s="130">
        <f t="shared" si="17"/>
        <v>0</v>
      </c>
      <c r="X64" s="130">
        <f t="shared" si="17"/>
        <v>0</v>
      </c>
      <c r="Y64" s="130">
        <f t="shared" si="17"/>
        <v>0</v>
      </c>
      <c r="Z64" s="130">
        <f t="shared" si="17"/>
        <v>0</v>
      </c>
      <c r="AA64" s="130">
        <f t="shared" si="17"/>
        <v>0</v>
      </c>
      <c r="AB64" s="130">
        <f t="shared" si="17"/>
        <v>0</v>
      </c>
      <c r="AC64" s="130">
        <f t="shared" si="17"/>
        <v>0</v>
      </c>
      <c r="AD64" s="130">
        <f t="shared" si="17"/>
        <v>0</v>
      </c>
      <c r="AE64" s="130">
        <f t="shared" si="17"/>
        <v>0</v>
      </c>
      <c r="AF64" s="130">
        <f t="shared" si="17"/>
        <v>0</v>
      </c>
      <c r="AG64" s="130">
        <f t="shared" si="17"/>
        <v>0</v>
      </c>
      <c r="AH64" s="130">
        <f t="shared" si="17"/>
        <v>0</v>
      </c>
      <c r="AI64" s="130">
        <f t="shared" si="17"/>
        <v>0</v>
      </c>
      <c r="AJ64" s="130">
        <f t="shared" si="17"/>
        <v>0</v>
      </c>
      <c r="AK64" s="130">
        <f t="shared" si="17"/>
        <v>0</v>
      </c>
      <c r="AL64" s="130">
        <f t="shared" si="17"/>
        <v>0</v>
      </c>
      <c r="AM64" s="130">
        <f t="shared" si="17"/>
        <v>0</v>
      </c>
      <c r="AN64" s="130">
        <f t="shared" si="17"/>
        <v>0</v>
      </c>
      <c r="AO64" s="130">
        <f t="shared" si="17"/>
        <v>0</v>
      </c>
      <c r="AP64" s="130">
        <f t="shared" si="17"/>
        <v>0</v>
      </c>
    </row>
    <row r="66" spans="1:42" x14ac:dyDescent="0.2">
      <c r="A66" s="201" t="s">
        <v>27</v>
      </c>
      <c r="B66" s="27"/>
      <c r="C66" s="130">
        <f>C$30-C$64</f>
        <v>0</v>
      </c>
      <c r="D66" s="130">
        <f t="shared" ref="D66:AP66" si="18">D$30-D$64</f>
        <v>0</v>
      </c>
      <c r="E66" s="130">
        <f t="shared" si="18"/>
        <v>0</v>
      </c>
      <c r="F66" s="130">
        <f t="shared" si="18"/>
        <v>0</v>
      </c>
      <c r="G66" s="130">
        <f t="shared" si="18"/>
        <v>0</v>
      </c>
      <c r="H66" s="130">
        <f t="shared" si="18"/>
        <v>0</v>
      </c>
      <c r="I66" s="130">
        <f t="shared" si="18"/>
        <v>0</v>
      </c>
      <c r="J66" s="130">
        <f t="shared" si="18"/>
        <v>0</v>
      </c>
      <c r="K66" s="130">
        <f t="shared" si="18"/>
        <v>0</v>
      </c>
      <c r="L66" s="130">
        <f t="shared" si="18"/>
        <v>0</v>
      </c>
      <c r="M66" s="130">
        <f t="shared" si="18"/>
        <v>0</v>
      </c>
      <c r="N66" s="130">
        <f t="shared" si="18"/>
        <v>0</v>
      </c>
      <c r="O66" s="130">
        <f t="shared" si="18"/>
        <v>0</v>
      </c>
      <c r="P66" s="130">
        <f t="shared" si="18"/>
        <v>0</v>
      </c>
      <c r="Q66" s="130">
        <f t="shared" si="18"/>
        <v>0</v>
      </c>
      <c r="R66" s="130">
        <f t="shared" si="18"/>
        <v>0</v>
      </c>
      <c r="S66" s="130">
        <f t="shared" si="18"/>
        <v>0</v>
      </c>
      <c r="T66" s="130">
        <f t="shared" si="18"/>
        <v>0</v>
      </c>
      <c r="U66" s="130">
        <f t="shared" si="18"/>
        <v>0</v>
      </c>
      <c r="V66" s="130">
        <f t="shared" si="18"/>
        <v>0</v>
      </c>
      <c r="W66" s="130">
        <f t="shared" si="18"/>
        <v>0</v>
      </c>
      <c r="X66" s="130">
        <f t="shared" si="18"/>
        <v>0</v>
      </c>
      <c r="Y66" s="130">
        <f t="shared" si="18"/>
        <v>0</v>
      </c>
      <c r="Z66" s="130">
        <f t="shared" si="18"/>
        <v>0</v>
      </c>
      <c r="AA66" s="130">
        <f t="shared" si="18"/>
        <v>0</v>
      </c>
      <c r="AB66" s="130">
        <f t="shared" si="18"/>
        <v>0</v>
      </c>
      <c r="AC66" s="130">
        <f t="shared" si="18"/>
        <v>0</v>
      </c>
      <c r="AD66" s="130">
        <f t="shared" si="18"/>
        <v>0</v>
      </c>
      <c r="AE66" s="130">
        <f t="shared" si="18"/>
        <v>0</v>
      </c>
      <c r="AF66" s="130">
        <f t="shared" si="18"/>
        <v>0</v>
      </c>
      <c r="AG66" s="130">
        <f t="shared" si="18"/>
        <v>0</v>
      </c>
      <c r="AH66" s="130">
        <f t="shared" si="18"/>
        <v>0</v>
      </c>
      <c r="AI66" s="130">
        <f t="shared" si="18"/>
        <v>0</v>
      </c>
      <c r="AJ66" s="130">
        <f t="shared" si="18"/>
        <v>0</v>
      </c>
      <c r="AK66" s="130">
        <f t="shared" si="18"/>
        <v>0</v>
      </c>
      <c r="AL66" s="130">
        <f t="shared" si="18"/>
        <v>0</v>
      </c>
      <c r="AM66" s="130">
        <f t="shared" si="18"/>
        <v>0</v>
      </c>
      <c r="AN66" s="130">
        <f t="shared" si="18"/>
        <v>0</v>
      </c>
      <c r="AO66" s="130">
        <f t="shared" si="18"/>
        <v>0</v>
      </c>
      <c r="AP66" s="130">
        <f t="shared" si="18"/>
        <v>0</v>
      </c>
    </row>
    <row r="67" spans="1:42" x14ac:dyDescent="0.2">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row>
    <row r="68" spans="1:42" x14ac:dyDescent="0.2">
      <c r="A68" s="80" t="s">
        <v>69</v>
      </c>
      <c r="B68" s="7"/>
      <c r="C68" s="207"/>
      <c r="D68" s="207"/>
      <c r="E68" s="207"/>
      <c r="F68" s="207"/>
      <c r="G68" s="207"/>
      <c r="H68" s="207"/>
      <c r="I68" s="207"/>
      <c r="J68" s="207"/>
      <c r="K68" s="207"/>
      <c r="L68" s="207"/>
      <c r="M68" s="207"/>
      <c r="N68" s="207"/>
      <c r="O68" s="207"/>
      <c r="P68" s="207"/>
      <c r="Q68" s="207"/>
      <c r="R68" s="207"/>
      <c r="S68" s="207"/>
      <c r="T68" s="207"/>
      <c r="U68" s="207"/>
      <c r="V68" s="207"/>
      <c r="W68" s="207"/>
      <c r="X68" s="207"/>
      <c r="Y68" s="207"/>
      <c r="Z68" s="207"/>
      <c r="AA68" s="207"/>
      <c r="AB68" s="207"/>
      <c r="AC68" s="207"/>
      <c r="AD68" s="207"/>
      <c r="AE68" s="207"/>
      <c r="AF68" s="207"/>
      <c r="AG68" s="207"/>
      <c r="AH68" s="207"/>
      <c r="AI68" s="207"/>
      <c r="AJ68" s="207"/>
      <c r="AK68" s="207"/>
      <c r="AL68" s="207"/>
      <c r="AM68" s="207"/>
      <c r="AN68" s="207"/>
      <c r="AO68" s="207"/>
      <c r="AP68" s="207"/>
    </row>
    <row r="69" spans="1:42" x14ac:dyDescent="0.2">
      <c r="A69" s="19" t="s">
        <v>226</v>
      </c>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row>
    <row r="70" spans="1:42" x14ac:dyDescent="0.2">
      <c r="A70" s="17" t="s">
        <v>27</v>
      </c>
      <c r="B70" s="119"/>
      <c r="C70" s="119">
        <f>C66</f>
        <v>0</v>
      </c>
      <c r="D70" s="119">
        <f t="shared" ref="D70:AP70" si="19">D66</f>
        <v>0</v>
      </c>
      <c r="E70" s="119">
        <f t="shared" si="19"/>
        <v>0</v>
      </c>
      <c r="F70" s="119">
        <f t="shared" si="19"/>
        <v>0</v>
      </c>
      <c r="G70" s="119">
        <f t="shared" si="19"/>
        <v>0</v>
      </c>
      <c r="H70" s="119">
        <f t="shared" si="19"/>
        <v>0</v>
      </c>
      <c r="I70" s="119">
        <f t="shared" si="19"/>
        <v>0</v>
      </c>
      <c r="J70" s="119">
        <f t="shared" si="19"/>
        <v>0</v>
      </c>
      <c r="K70" s="119">
        <f t="shared" si="19"/>
        <v>0</v>
      </c>
      <c r="L70" s="119">
        <f t="shared" si="19"/>
        <v>0</v>
      </c>
      <c r="M70" s="119">
        <f t="shared" si="19"/>
        <v>0</v>
      </c>
      <c r="N70" s="119">
        <f t="shared" si="19"/>
        <v>0</v>
      </c>
      <c r="O70" s="119">
        <f t="shared" si="19"/>
        <v>0</v>
      </c>
      <c r="P70" s="119">
        <f t="shared" si="19"/>
        <v>0</v>
      </c>
      <c r="Q70" s="119">
        <f t="shared" si="19"/>
        <v>0</v>
      </c>
      <c r="R70" s="119">
        <f t="shared" si="19"/>
        <v>0</v>
      </c>
      <c r="S70" s="119">
        <f t="shared" si="19"/>
        <v>0</v>
      </c>
      <c r="T70" s="119">
        <f t="shared" si="19"/>
        <v>0</v>
      </c>
      <c r="U70" s="119">
        <f t="shared" si="19"/>
        <v>0</v>
      </c>
      <c r="V70" s="119">
        <f t="shared" si="19"/>
        <v>0</v>
      </c>
      <c r="W70" s="119">
        <f t="shared" si="19"/>
        <v>0</v>
      </c>
      <c r="X70" s="119">
        <f t="shared" si="19"/>
        <v>0</v>
      </c>
      <c r="Y70" s="119">
        <f t="shared" si="19"/>
        <v>0</v>
      </c>
      <c r="Z70" s="119">
        <f t="shared" si="19"/>
        <v>0</v>
      </c>
      <c r="AA70" s="119">
        <f t="shared" si="19"/>
        <v>0</v>
      </c>
      <c r="AB70" s="119">
        <f t="shared" si="19"/>
        <v>0</v>
      </c>
      <c r="AC70" s="119">
        <f t="shared" si="19"/>
        <v>0</v>
      </c>
      <c r="AD70" s="119">
        <f t="shared" si="19"/>
        <v>0</v>
      </c>
      <c r="AE70" s="119">
        <f t="shared" si="19"/>
        <v>0</v>
      </c>
      <c r="AF70" s="119">
        <f t="shared" si="19"/>
        <v>0</v>
      </c>
      <c r="AG70" s="119">
        <f t="shared" si="19"/>
        <v>0</v>
      </c>
      <c r="AH70" s="119">
        <f t="shared" si="19"/>
        <v>0</v>
      </c>
      <c r="AI70" s="119">
        <f t="shared" si="19"/>
        <v>0</v>
      </c>
      <c r="AJ70" s="119">
        <f t="shared" si="19"/>
        <v>0</v>
      </c>
      <c r="AK70" s="119">
        <f t="shared" si="19"/>
        <v>0</v>
      </c>
      <c r="AL70" s="119">
        <f t="shared" si="19"/>
        <v>0</v>
      </c>
      <c r="AM70" s="119">
        <f t="shared" si="19"/>
        <v>0</v>
      </c>
      <c r="AN70" s="119">
        <f t="shared" si="19"/>
        <v>0</v>
      </c>
      <c r="AO70" s="119">
        <f t="shared" si="19"/>
        <v>0</v>
      </c>
      <c r="AP70" s="119">
        <f t="shared" si="19"/>
        <v>0</v>
      </c>
    </row>
    <row r="71" spans="1:42" x14ac:dyDescent="0.2">
      <c r="A71" s="17" t="s">
        <v>166</v>
      </c>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row>
    <row r="72" spans="1:42" x14ac:dyDescent="0.2">
      <c r="A72" s="21" t="str">
        <f>A24</f>
        <v>Federal</v>
      </c>
      <c r="B72" s="97"/>
      <c r="C72" s="119">
        <f t="shared" ref="C72:AP72" si="20">IF(pbi_fed_for_ds="Yes",0,C580)</f>
        <v>0</v>
      </c>
      <c r="D72" s="119">
        <f t="shared" si="20"/>
        <v>0</v>
      </c>
      <c r="E72" s="119">
        <f t="shared" si="20"/>
        <v>0</v>
      </c>
      <c r="F72" s="119">
        <f t="shared" si="20"/>
        <v>0</v>
      </c>
      <c r="G72" s="119">
        <f t="shared" si="20"/>
        <v>0</v>
      </c>
      <c r="H72" s="119">
        <f t="shared" si="20"/>
        <v>0</v>
      </c>
      <c r="I72" s="119">
        <f t="shared" si="20"/>
        <v>0</v>
      </c>
      <c r="J72" s="119">
        <f t="shared" si="20"/>
        <v>0</v>
      </c>
      <c r="K72" s="119">
        <f t="shared" si="20"/>
        <v>0</v>
      </c>
      <c r="L72" s="119">
        <f t="shared" si="20"/>
        <v>0</v>
      </c>
      <c r="M72" s="119">
        <f t="shared" si="20"/>
        <v>0</v>
      </c>
      <c r="N72" s="119">
        <f t="shared" si="20"/>
        <v>0</v>
      </c>
      <c r="O72" s="119">
        <f t="shared" si="20"/>
        <v>0</v>
      </c>
      <c r="P72" s="119">
        <f t="shared" si="20"/>
        <v>0</v>
      </c>
      <c r="Q72" s="119">
        <f t="shared" si="20"/>
        <v>0</v>
      </c>
      <c r="R72" s="119">
        <f t="shared" si="20"/>
        <v>0</v>
      </c>
      <c r="S72" s="119">
        <f t="shared" si="20"/>
        <v>0</v>
      </c>
      <c r="T72" s="119">
        <f t="shared" si="20"/>
        <v>0</v>
      </c>
      <c r="U72" s="119">
        <f t="shared" si="20"/>
        <v>0</v>
      </c>
      <c r="V72" s="119">
        <f t="shared" si="20"/>
        <v>0</v>
      </c>
      <c r="W72" s="119">
        <f t="shared" si="20"/>
        <v>0</v>
      </c>
      <c r="X72" s="119">
        <f t="shared" si="20"/>
        <v>0</v>
      </c>
      <c r="Y72" s="119">
        <f t="shared" si="20"/>
        <v>0</v>
      </c>
      <c r="Z72" s="119">
        <f t="shared" si="20"/>
        <v>0</v>
      </c>
      <c r="AA72" s="119">
        <f t="shared" si="20"/>
        <v>0</v>
      </c>
      <c r="AB72" s="119">
        <f t="shared" si="20"/>
        <v>0</v>
      </c>
      <c r="AC72" s="119">
        <f t="shared" si="20"/>
        <v>0</v>
      </c>
      <c r="AD72" s="119">
        <f t="shared" si="20"/>
        <v>0</v>
      </c>
      <c r="AE72" s="119">
        <f t="shared" si="20"/>
        <v>0</v>
      </c>
      <c r="AF72" s="119">
        <f t="shared" si="20"/>
        <v>0</v>
      </c>
      <c r="AG72" s="119">
        <f t="shared" si="20"/>
        <v>0</v>
      </c>
      <c r="AH72" s="119">
        <f t="shared" si="20"/>
        <v>0</v>
      </c>
      <c r="AI72" s="119">
        <f t="shared" si="20"/>
        <v>0</v>
      </c>
      <c r="AJ72" s="119">
        <f t="shared" si="20"/>
        <v>0</v>
      </c>
      <c r="AK72" s="119">
        <f t="shared" si="20"/>
        <v>0</v>
      </c>
      <c r="AL72" s="119">
        <f t="shared" si="20"/>
        <v>0</v>
      </c>
      <c r="AM72" s="119">
        <f t="shared" si="20"/>
        <v>0</v>
      </c>
      <c r="AN72" s="119">
        <f t="shared" si="20"/>
        <v>0</v>
      </c>
      <c r="AO72" s="119">
        <f t="shared" si="20"/>
        <v>0</v>
      </c>
      <c r="AP72" s="119">
        <f t="shared" si="20"/>
        <v>0</v>
      </c>
    </row>
    <row r="73" spans="1:42" x14ac:dyDescent="0.2">
      <c r="A73" s="21" t="str">
        <f>A25</f>
        <v>State</v>
      </c>
      <c r="B73" s="97"/>
      <c r="C73" s="119">
        <f t="shared" ref="C73:AP73" si="21">IF(pbi_sta_for_ds="Yes",0,C584)</f>
        <v>0</v>
      </c>
      <c r="D73" s="119">
        <f t="shared" si="21"/>
        <v>0</v>
      </c>
      <c r="E73" s="119">
        <f t="shared" si="21"/>
        <v>0</v>
      </c>
      <c r="F73" s="119">
        <f t="shared" si="21"/>
        <v>0</v>
      </c>
      <c r="G73" s="119">
        <f t="shared" si="21"/>
        <v>0</v>
      </c>
      <c r="H73" s="119">
        <f t="shared" si="21"/>
        <v>0</v>
      </c>
      <c r="I73" s="119">
        <f t="shared" si="21"/>
        <v>0</v>
      </c>
      <c r="J73" s="119">
        <f t="shared" si="21"/>
        <v>0</v>
      </c>
      <c r="K73" s="119">
        <f t="shared" si="21"/>
        <v>0</v>
      </c>
      <c r="L73" s="119">
        <f t="shared" si="21"/>
        <v>0</v>
      </c>
      <c r="M73" s="119">
        <f t="shared" si="21"/>
        <v>0</v>
      </c>
      <c r="N73" s="119">
        <f t="shared" si="21"/>
        <v>0</v>
      </c>
      <c r="O73" s="119">
        <f t="shared" si="21"/>
        <v>0</v>
      </c>
      <c r="P73" s="119">
        <f t="shared" si="21"/>
        <v>0</v>
      </c>
      <c r="Q73" s="119">
        <f t="shared" si="21"/>
        <v>0</v>
      </c>
      <c r="R73" s="119">
        <f t="shared" si="21"/>
        <v>0</v>
      </c>
      <c r="S73" s="119">
        <f t="shared" si="21"/>
        <v>0</v>
      </c>
      <c r="T73" s="119">
        <f t="shared" si="21"/>
        <v>0</v>
      </c>
      <c r="U73" s="119">
        <f t="shared" si="21"/>
        <v>0</v>
      </c>
      <c r="V73" s="119">
        <f t="shared" si="21"/>
        <v>0</v>
      </c>
      <c r="W73" s="119">
        <f t="shared" si="21"/>
        <v>0</v>
      </c>
      <c r="X73" s="119">
        <f t="shared" si="21"/>
        <v>0</v>
      </c>
      <c r="Y73" s="119">
        <f t="shared" si="21"/>
        <v>0</v>
      </c>
      <c r="Z73" s="119">
        <f t="shared" si="21"/>
        <v>0</v>
      </c>
      <c r="AA73" s="119">
        <f t="shared" si="21"/>
        <v>0</v>
      </c>
      <c r="AB73" s="119">
        <f t="shared" si="21"/>
        <v>0</v>
      </c>
      <c r="AC73" s="119">
        <f t="shared" si="21"/>
        <v>0</v>
      </c>
      <c r="AD73" s="119">
        <f t="shared" si="21"/>
        <v>0</v>
      </c>
      <c r="AE73" s="119">
        <f t="shared" si="21"/>
        <v>0</v>
      </c>
      <c r="AF73" s="119">
        <f t="shared" si="21"/>
        <v>0</v>
      </c>
      <c r="AG73" s="119">
        <f t="shared" si="21"/>
        <v>0</v>
      </c>
      <c r="AH73" s="119">
        <f t="shared" si="21"/>
        <v>0</v>
      </c>
      <c r="AI73" s="119">
        <f t="shared" si="21"/>
        <v>0</v>
      </c>
      <c r="AJ73" s="119">
        <f t="shared" si="21"/>
        <v>0</v>
      </c>
      <c r="AK73" s="119">
        <f t="shared" si="21"/>
        <v>0</v>
      </c>
      <c r="AL73" s="119">
        <f t="shared" si="21"/>
        <v>0</v>
      </c>
      <c r="AM73" s="119">
        <f t="shared" si="21"/>
        <v>0</v>
      </c>
      <c r="AN73" s="119">
        <f t="shared" si="21"/>
        <v>0</v>
      </c>
      <c r="AO73" s="119">
        <f t="shared" si="21"/>
        <v>0</v>
      </c>
      <c r="AP73" s="119">
        <f t="shared" si="21"/>
        <v>0</v>
      </c>
    </row>
    <row r="74" spans="1:42" x14ac:dyDescent="0.2">
      <c r="A74" s="21" t="str">
        <f>A26</f>
        <v>Utility</v>
      </c>
      <c r="B74" s="97"/>
      <c r="C74" s="119">
        <f t="shared" ref="C74:AP74" si="22">IF(pbi_uti_for_ds="Yes",0,C588)</f>
        <v>0</v>
      </c>
      <c r="D74" s="119">
        <f t="shared" si="22"/>
        <v>0</v>
      </c>
      <c r="E74" s="119">
        <f t="shared" si="22"/>
        <v>0</v>
      </c>
      <c r="F74" s="119">
        <f t="shared" si="22"/>
        <v>0</v>
      </c>
      <c r="G74" s="119">
        <f t="shared" si="22"/>
        <v>0</v>
      </c>
      <c r="H74" s="119">
        <f t="shared" si="22"/>
        <v>0</v>
      </c>
      <c r="I74" s="119">
        <f t="shared" si="22"/>
        <v>0</v>
      </c>
      <c r="J74" s="119">
        <f t="shared" si="22"/>
        <v>0</v>
      </c>
      <c r="K74" s="119">
        <f t="shared" si="22"/>
        <v>0</v>
      </c>
      <c r="L74" s="119">
        <f t="shared" si="22"/>
        <v>0</v>
      </c>
      <c r="M74" s="119">
        <f t="shared" si="22"/>
        <v>0</v>
      </c>
      <c r="N74" s="119">
        <f t="shared" si="22"/>
        <v>0</v>
      </c>
      <c r="O74" s="119">
        <f t="shared" si="22"/>
        <v>0</v>
      </c>
      <c r="P74" s="119">
        <f t="shared" si="22"/>
        <v>0</v>
      </c>
      <c r="Q74" s="119">
        <f t="shared" si="22"/>
        <v>0</v>
      </c>
      <c r="R74" s="119">
        <f t="shared" si="22"/>
        <v>0</v>
      </c>
      <c r="S74" s="119">
        <f t="shared" si="22"/>
        <v>0</v>
      </c>
      <c r="T74" s="119">
        <f t="shared" si="22"/>
        <v>0</v>
      </c>
      <c r="U74" s="119">
        <f t="shared" si="22"/>
        <v>0</v>
      </c>
      <c r="V74" s="119">
        <f t="shared" si="22"/>
        <v>0</v>
      </c>
      <c r="W74" s="119">
        <f t="shared" si="22"/>
        <v>0</v>
      </c>
      <c r="X74" s="119">
        <f t="shared" si="22"/>
        <v>0</v>
      </c>
      <c r="Y74" s="119">
        <f t="shared" si="22"/>
        <v>0</v>
      </c>
      <c r="Z74" s="119">
        <f t="shared" si="22"/>
        <v>0</v>
      </c>
      <c r="AA74" s="119">
        <f t="shared" si="22"/>
        <v>0</v>
      </c>
      <c r="AB74" s="119">
        <f t="shared" si="22"/>
        <v>0</v>
      </c>
      <c r="AC74" s="119">
        <f t="shared" si="22"/>
        <v>0</v>
      </c>
      <c r="AD74" s="119">
        <f t="shared" si="22"/>
        <v>0</v>
      </c>
      <c r="AE74" s="119">
        <f t="shared" si="22"/>
        <v>0</v>
      </c>
      <c r="AF74" s="119">
        <f t="shared" si="22"/>
        <v>0</v>
      </c>
      <c r="AG74" s="119">
        <f t="shared" si="22"/>
        <v>0</v>
      </c>
      <c r="AH74" s="119">
        <f t="shared" si="22"/>
        <v>0</v>
      </c>
      <c r="AI74" s="119">
        <f t="shared" si="22"/>
        <v>0</v>
      </c>
      <c r="AJ74" s="119">
        <f t="shared" si="22"/>
        <v>0</v>
      </c>
      <c r="AK74" s="119">
        <f t="shared" si="22"/>
        <v>0</v>
      </c>
      <c r="AL74" s="119">
        <f t="shared" si="22"/>
        <v>0</v>
      </c>
      <c r="AM74" s="119">
        <f t="shared" si="22"/>
        <v>0</v>
      </c>
      <c r="AN74" s="119">
        <f t="shared" si="22"/>
        <v>0</v>
      </c>
      <c r="AO74" s="119">
        <f t="shared" si="22"/>
        <v>0</v>
      </c>
      <c r="AP74" s="119">
        <f t="shared" si="22"/>
        <v>0</v>
      </c>
    </row>
    <row r="75" spans="1:42" x14ac:dyDescent="0.2">
      <c r="A75" s="21" t="str">
        <f>A27</f>
        <v>Other</v>
      </c>
      <c r="B75" s="97"/>
      <c r="C75" s="120">
        <f t="shared" ref="C75:AP75" si="23">IF(pbi_oth_for_ds="Yes",0,C592)</f>
        <v>0</v>
      </c>
      <c r="D75" s="120">
        <f t="shared" si="23"/>
        <v>0</v>
      </c>
      <c r="E75" s="120">
        <f t="shared" si="23"/>
        <v>0</v>
      </c>
      <c r="F75" s="120">
        <f t="shared" si="23"/>
        <v>0</v>
      </c>
      <c r="G75" s="120">
        <f t="shared" si="23"/>
        <v>0</v>
      </c>
      <c r="H75" s="120">
        <f t="shared" si="23"/>
        <v>0</v>
      </c>
      <c r="I75" s="120">
        <f t="shared" si="23"/>
        <v>0</v>
      </c>
      <c r="J75" s="120">
        <f t="shared" si="23"/>
        <v>0</v>
      </c>
      <c r="K75" s="120">
        <f t="shared" si="23"/>
        <v>0</v>
      </c>
      <c r="L75" s="120">
        <f t="shared" si="23"/>
        <v>0</v>
      </c>
      <c r="M75" s="120">
        <f t="shared" si="23"/>
        <v>0</v>
      </c>
      <c r="N75" s="120">
        <f t="shared" si="23"/>
        <v>0</v>
      </c>
      <c r="O75" s="120">
        <f t="shared" si="23"/>
        <v>0</v>
      </c>
      <c r="P75" s="120">
        <f t="shared" si="23"/>
        <v>0</v>
      </c>
      <c r="Q75" s="120">
        <f t="shared" si="23"/>
        <v>0</v>
      </c>
      <c r="R75" s="120">
        <f t="shared" si="23"/>
        <v>0</v>
      </c>
      <c r="S75" s="120">
        <f t="shared" si="23"/>
        <v>0</v>
      </c>
      <c r="T75" s="120">
        <f t="shared" si="23"/>
        <v>0</v>
      </c>
      <c r="U75" s="120">
        <f t="shared" si="23"/>
        <v>0</v>
      </c>
      <c r="V75" s="120">
        <f t="shared" si="23"/>
        <v>0</v>
      </c>
      <c r="W75" s="120">
        <f t="shared" si="23"/>
        <v>0</v>
      </c>
      <c r="X75" s="120">
        <f t="shared" si="23"/>
        <v>0</v>
      </c>
      <c r="Y75" s="120">
        <f t="shared" si="23"/>
        <v>0</v>
      </c>
      <c r="Z75" s="120">
        <f t="shared" si="23"/>
        <v>0</v>
      </c>
      <c r="AA75" s="120">
        <f t="shared" si="23"/>
        <v>0</v>
      </c>
      <c r="AB75" s="120">
        <f t="shared" si="23"/>
        <v>0</v>
      </c>
      <c r="AC75" s="120">
        <f t="shared" si="23"/>
        <v>0</v>
      </c>
      <c r="AD75" s="120">
        <f t="shared" si="23"/>
        <v>0</v>
      </c>
      <c r="AE75" s="120">
        <f t="shared" si="23"/>
        <v>0</v>
      </c>
      <c r="AF75" s="120">
        <f t="shared" si="23"/>
        <v>0</v>
      </c>
      <c r="AG75" s="120">
        <f t="shared" si="23"/>
        <v>0</v>
      </c>
      <c r="AH75" s="120">
        <f t="shared" si="23"/>
        <v>0</v>
      </c>
      <c r="AI75" s="120">
        <f t="shared" si="23"/>
        <v>0</v>
      </c>
      <c r="AJ75" s="120">
        <f t="shared" si="23"/>
        <v>0</v>
      </c>
      <c r="AK75" s="120">
        <f t="shared" si="23"/>
        <v>0</v>
      </c>
      <c r="AL75" s="120">
        <f t="shared" si="23"/>
        <v>0</v>
      </c>
      <c r="AM75" s="120">
        <f t="shared" si="23"/>
        <v>0</v>
      </c>
      <c r="AN75" s="120">
        <f t="shared" si="23"/>
        <v>0</v>
      </c>
      <c r="AO75" s="120">
        <f t="shared" si="23"/>
        <v>0</v>
      </c>
      <c r="AP75" s="120">
        <f t="shared" si="23"/>
        <v>0</v>
      </c>
    </row>
    <row r="76" spans="1:42" x14ac:dyDescent="0.2">
      <c r="A76" s="21" t="s">
        <v>12</v>
      </c>
      <c r="B76" s="97"/>
      <c r="C76" s="119">
        <f>SUM(C72:C75)</f>
        <v>0</v>
      </c>
      <c r="D76" s="119">
        <f t="shared" ref="D76:AP76" si="24">SUM(D72:D75)</f>
        <v>0</v>
      </c>
      <c r="E76" s="119">
        <f t="shared" si="24"/>
        <v>0</v>
      </c>
      <c r="F76" s="119">
        <f t="shared" si="24"/>
        <v>0</v>
      </c>
      <c r="G76" s="119">
        <f t="shared" si="24"/>
        <v>0</v>
      </c>
      <c r="H76" s="119">
        <f t="shared" si="24"/>
        <v>0</v>
      </c>
      <c r="I76" s="119">
        <f t="shared" si="24"/>
        <v>0</v>
      </c>
      <c r="J76" s="119">
        <f t="shared" si="24"/>
        <v>0</v>
      </c>
      <c r="K76" s="119">
        <f t="shared" si="24"/>
        <v>0</v>
      </c>
      <c r="L76" s="119">
        <f t="shared" si="24"/>
        <v>0</v>
      </c>
      <c r="M76" s="119">
        <f t="shared" si="24"/>
        <v>0</v>
      </c>
      <c r="N76" s="119">
        <f t="shared" si="24"/>
        <v>0</v>
      </c>
      <c r="O76" s="119">
        <f t="shared" si="24"/>
        <v>0</v>
      </c>
      <c r="P76" s="119">
        <f t="shared" si="24"/>
        <v>0</v>
      </c>
      <c r="Q76" s="119">
        <f t="shared" si="24"/>
        <v>0</v>
      </c>
      <c r="R76" s="119">
        <f t="shared" si="24"/>
        <v>0</v>
      </c>
      <c r="S76" s="119">
        <f t="shared" si="24"/>
        <v>0</v>
      </c>
      <c r="T76" s="119">
        <f t="shared" si="24"/>
        <v>0</v>
      </c>
      <c r="U76" s="119">
        <f t="shared" si="24"/>
        <v>0</v>
      </c>
      <c r="V76" s="119">
        <f t="shared" si="24"/>
        <v>0</v>
      </c>
      <c r="W76" s="119">
        <f t="shared" si="24"/>
        <v>0</v>
      </c>
      <c r="X76" s="119">
        <f t="shared" si="24"/>
        <v>0</v>
      </c>
      <c r="Y76" s="119">
        <f t="shared" si="24"/>
        <v>0</v>
      </c>
      <c r="Z76" s="119">
        <f t="shared" si="24"/>
        <v>0</v>
      </c>
      <c r="AA76" s="119">
        <f t="shared" si="24"/>
        <v>0</v>
      </c>
      <c r="AB76" s="119">
        <f t="shared" si="24"/>
        <v>0</v>
      </c>
      <c r="AC76" s="119">
        <f t="shared" si="24"/>
        <v>0</v>
      </c>
      <c r="AD76" s="119">
        <f t="shared" si="24"/>
        <v>0</v>
      </c>
      <c r="AE76" s="119">
        <f t="shared" si="24"/>
        <v>0</v>
      </c>
      <c r="AF76" s="119">
        <f t="shared" si="24"/>
        <v>0</v>
      </c>
      <c r="AG76" s="119">
        <f t="shared" si="24"/>
        <v>0</v>
      </c>
      <c r="AH76" s="119">
        <f t="shared" si="24"/>
        <v>0</v>
      </c>
      <c r="AI76" s="119">
        <f t="shared" si="24"/>
        <v>0</v>
      </c>
      <c r="AJ76" s="119">
        <f t="shared" si="24"/>
        <v>0</v>
      </c>
      <c r="AK76" s="119">
        <f t="shared" si="24"/>
        <v>0</v>
      </c>
      <c r="AL76" s="119">
        <f t="shared" si="24"/>
        <v>0</v>
      </c>
      <c r="AM76" s="119">
        <f t="shared" si="24"/>
        <v>0</v>
      </c>
      <c r="AN76" s="119">
        <f t="shared" si="24"/>
        <v>0</v>
      </c>
      <c r="AO76" s="119">
        <f t="shared" si="24"/>
        <v>0</v>
      </c>
      <c r="AP76" s="119">
        <f t="shared" si="24"/>
        <v>0</v>
      </c>
    </row>
    <row r="77" spans="1:42" x14ac:dyDescent="0.2">
      <c r="A77" s="17" t="s">
        <v>246</v>
      </c>
      <c r="B77" s="119">
        <v>0</v>
      </c>
      <c r="C77" s="119">
        <f t="shared" ref="C77:AP77" si="25">C740</f>
        <v>0</v>
      </c>
      <c r="D77" s="119">
        <f t="shared" si="25"/>
        <v>0</v>
      </c>
      <c r="E77" s="119">
        <f t="shared" si="25"/>
        <v>0</v>
      </c>
      <c r="F77" s="119">
        <f t="shared" si="25"/>
        <v>0</v>
      </c>
      <c r="G77" s="119">
        <f t="shared" si="25"/>
        <v>0</v>
      </c>
      <c r="H77" s="119">
        <f t="shared" si="25"/>
        <v>0</v>
      </c>
      <c r="I77" s="119">
        <f t="shared" si="25"/>
        <v>0</v>
      </c>
      <c r="J77" s="119">
        <f t="shared" si="25"/>
        <v>0</v>
      </c>
      <c r="K77" s="119">
        <f t="shared" si="25"/>
        <v>0</v>
      </c>
      <c r="L77" s="119">
        <f t="shared" si="25"/>
        <v>0</v>
      </c>
      <c r="M77" s="119">
        <f t="shared" si="25"/>
        <v>0</v>
      </c>
      <c r="N77" s="119">
        <f t="shared" si="25"/>
        <v>0</v>
      </c>
      <c r="O77" s="119">
        <f t="shared" si="25"/>
        <v>0</v>
      </c>
      <c r="P77" s="119">
        <f t="shared" si="25"/>
        <v>0</v>
      </c>
      <c r="Q77" s="119">
        <f t="shared" si="25"/>
        <v>0</v>
      </c>
      <c r="R77" s="119">
        <f t="shared" si="25"/>
        <v>0</v>
      </c>
      <c r="S77" s="119">
        <f t="shared" si="25"/>
        <v>0</v>
      </c>
      <c r="T77" s="119">
        <f t="shared" si="25"/>
        <v>0</v>
      </c>
      <c r="U77" s="119">
        <f t="shared" si="25"/>
        <v>0</v>
      </c>
      <c r="V77" s="119">
        <f t="shared" si="25"/>
        <v>0</v>
      </c>
      <c r="W77" s="119">
        <f t="shared" si="25"/>
        <v>0</v>
      </c>
      <c r="X77" s="119">
        <f t="shared" si="25"/>
        <v>0</v>
      </c>
      <c r="Y77" s="119">
        <f t="shared" si="25"/>
        <v>0</v>
      </c>
      <c r="Z77" s="119">
        <f t="shared" si="25"/>
        <v>0</v>
      </c>
      <c r="AA77" s="119">
        <f t="shared" si="25"/>
        <v>0</v>
      </c>
      <c r="AB77" s="119">
        <f t="shared" si="25"/>
        <v>0</v>
      </c>
      <c r="AC77" s="119">
        <f t="shared" si="25"/>
        <v>0</v>
      </c>
      <c r="AD77" s="119">
        <f t="shared" si="25"/>
        <v>0</v>
      </c>
      <c r="AE77" s="119">
        <f t="shared" si="25"/>
        <v>0</v>
      </c>
      <c r="AF77" s="119">
        <f t="shared" si="25"/>
        <v>0</v>
      </c>
      <c r="AG77" s="119">
        <f t="shared" si="25"/>
        <v>0</v>
      </c>
      <c r="AH77" s="119">
        <f t="shared" si="25"/>
        <v>0</v>
      </c>
      <c r="AI77" s="119">
        <f t="shared" si="25"/>
        <v>0</v>
      </c>
      <c r="AJ77" s="119">
        <f t="shared" si="25"/>
        <v>0</v>
      </c>
      <c r="AK77" s="119">
        <f t="shared" si="25"/>
        <v>0</v>
      </c>
      <c r="AL77" s="119">
        <f t="shared" si="25"/>
        <v>0</v>
      </c>
      <c r="AM77" s="119">
        <f t="shared" si="25"/>
        <v>0</v>
      </c>
      <c r="AN77" s="119">
        <f t="shared" si="25"/>
        <v>0</v>
      </c>
      <c r="AO77" s="119">
        <f t="shared" si="25"/>
        <v>0</v>
      </c>
      <c r="AP77" s="119">
        <f t="shared" si="25"/>
        <v>0</v>
      </c>
    </row>
    <row r="78" spans="1:42" x14ac:dyDescent="0.2">
      <c r="A78" s="17" t="s">
        <v>247</v>
      </c>
      <c r="B78" s="120">
        <v>0</v>
      </c>
      <c r="C78" s="120">
        <f t="shared" ref="C78:AP78" si="26">-C599</f>
        <v>0</v>
      </c>
      <c r="D78" s="120">
        <f t="shared" si="26"/>
        <v>0</v>
      </c>
      <c r="E78" s="120">
        <f t="shared" si="26"/>
        <v>0</v>
      </c>
      <c r="F78" s="120">
        <f t="shared" si="26"/>
        <v>0</v>
      </c>
      <c r="G78" s="120">
        <f t="shared" si="26"/>
        <v>0</v>
      </c>
      <c r="H78" s="120">
        <f t="shared" si="26"/>
        <v>0</v>
      </c>
      <c r="I78" s="120">
        <f t="shared" si="26"/>
        <v>0</v>
      </c>
      <c r="J78" s="120">
        <f t="shared" si="26"/>
        <v>0</v>
      </c>
      <c r="K78" s="120">
        <f t="shared" si="26"/>
        <v>0</v>
      </c>
      <c r="L78" s="120">
        <f t="shared" si="26"/>
        <v>0</v>
      </c>
      <c r="M78" s="120">
        <f t="shared" si="26"/>
        <v>0</v>
      </c>
      <c r="N78" s="120">
        <f t="shared" si="26"/>
        <v>0</v>
      </c>
      <c r="O78" s="120">
        <f t="shared" si="26"/>
        <v>0</v>
      </c>
      <c r="P78" s="120">
        <f t="shared" si="26"/>
        <v>0</v>
      </c>
      <c r="Q78" s="120">
        <f t="shared" si="26"/>
        <v>0</v>
      </c>
      <c r="R78" s="120">
        <f t="shared" si="26"/>
        <v>0</v>
      </c>
      <c r="S78" s="120">
        <f t="shared" si="26"/>
        <v>0</v>
      </c>
      <c r="T78" s="120">
        <f t="shared" si="26"/>
        <v>0</v>
      </c>
      <c r="U78" s="120">
        <f t="shared" si="26"/>
        <v>0</v>
      </c>
      <c r="V78" s="120">
        <f t="shared" si="26"/>
        <v>0</v>
      </c>
      <c r="W78" s="120">
        <f t="shared" si="26"/>
        <v>0</v>
      </c>
      <c r="X78" s="120">
        <f t="shared" si="26"/>
        <v>0</v>
      </c>
      <c r="Y78" s="120">
        <f t="shared" si="26"/>
        <v>0</v>
      </c>
      <c r="Z78" s="120">
        <f t="shared" si="26"/>
        <v>0</v>
      </c>
      <c r="AA78" s="120">
        <f t="shared" si="26"/>
        <v>0</v>
      </c>
      <c r="AB78" s="120">
        <f t="shared" si="26"/>
        <v>0</v>
      </c>
      <c r="AC78" s="120">
        <f t="shared" si="26"/>
        <v>0</v>
      </c>
      <c r="AD78" s="120">
        <f t="shared" si="26"/>
        <v>0</v>
      </c>
      <c r="AE78" s="120">
        <f t="shared" si="26"/>
        <v>0</v>
      </c>
      <c r="AF78" s="120">
        <f t="shared" si="26"/>
        <v>0</v>
      </c>
      <c r="AG78" s="120">
        <f t="shared" si="26"/>
        <v>0</v>
      </c>
      <c r="AH78" s="120">
        <f t="shared" si="26"/>
        <v>0</v>
      </c>
      <c r="AI78" s="120">
        <f t="shared" si="26"/>
        <v>0</v>
      </c>
      <c r="AJ78" s="120">
        <f t="shared" si="26"/>
        <v>0</v>
      </c>
      <c r="AK78" s="120">
        <f t="shared" si="26"/>
        <v>0</v>
      </c>
      <c r="AL78" s="120">
        <f t="shared" si="26"/>
        <v>0</v>
      </c>
      <c r="AM78" s="120">
        <f t="shared" si="26"/>
        <v>0</v>
      </c>
      <c r="AN78" s="120">
        <f t="shared" si="26"/>
        <v>0</v>
      </c>
      <c r="AO78" s="120">
        <f t="shared" si="26"/>
        <v>0</v>
      </c>
      <c r="AP78" s="120">
        <f t="shared" si="26"/>
        <v>0</v>
      </c>
    </row>
    <row r="79" spans="1:42" x14ac:dyDescent="0.2">
      <c r="A79" s="198" t="s">
        <v>12</v>
      </c>
      <c r="B79" s="130">
        <f>B70+B76+B77+B78</f>
        <v>0</v>
      </c>
      <c r="C79" s="130">
        <f>C70+C76+C77+C78</f>
        <v>0</v>
      </c>
      <c r="D79" s="130">
        <f t="shared" ref="D79:AP79" si="27">D70+D76+D77+D78</f>
        <v>0</v>
      </c>
      <c r="E79" s="130">
        <f t="shared" si="27"/>
        <v>0</v>
      </c>
      <c r="F79" s="130">
        <f t="shared" si="27"/>
        <v>0</v>
      </c>
      <c r="G79" s="130">
        <f t="shared" si="27"/>
        <v>0</v>
      </c>
      <c r="H79" s="130">
        <f t="shared" si="27"/>
        <v>0</v>
      </c>
      <c r="I79" s="130">
        <f t="shared" si="27"/>
        <v>0</v>
      </c>
      <c r="J79" s="130">
        <f t="shared" si="27"/>
        <v>0</v>
      </c>
      <c r="K79" s="130">
        <f t="shared" si="27"/>
        <v>0</v>
      </c>
      <c r="L79" s="130">
        <f t="shared" si="27"/>
        <v>0</v>
      </c>
      <c r="M79" s="130">
        <f t="shared" si="27"/>
        <v>0</v>
      </c>
      <c r="N79" s="130">
        <f t="shared" si="27"/>
        <v>0</v>
      </c>
      <c r="O79" s="130">
        <f t="shared" si="27"/>
        <v>0</v>
      </c>
      <c r="P79" s="130">
        <f t="shared" si="27"/>
        <v>0</v>
      </c>
      <c r="Q79" s="130">
        <f t="shared" si="27"/>
        <v>0</v>
      </c>
      <c r="R79" s="130">
        <f t="shared" si="27"/>
        <v>0</v>
      </c>
      <c r="S79" s="130">
        <f t="shared" si="27"/>
        <v>0</v>
      </c>
      <c r="T79" s="130">
        <f t="shared" si="27"/>
        <v>0</v>
      </c>
      <c r="U79" s="130">
        <f t="shared" si="27"/>
        <v>0</v>
      </c>
      <c r="V79" s="130">
        <f t="shared" si="27"/>
        <v>0</v>
      </c>
      <c r="W79" s="130">
        <f t="shared" si="27"/>
        <v>0</v>
      </c>
      <c r="X79" s="130">
        <f t="shared" si="27"/>
        <v>0</v>
      </c>
      <c r="Y79" s="130">
        <f t="shared" si="27"/>
        <v>0</v>
      </c>
      <c r="Z79" s="130">
        <f t="shared" si="27"/>
        <v>0</v>
      </c>
      <c r="AA79" s="130">
        <f t="shared" si="27"/>
        <v>0</v>
      </c>
      <c r="AB79" s="130">
        <f t="shared" si="27"/>
        <v>0</v>
      </c>
      <c r="AC79" s="130">
        <f t="shared" si="27"/>
        <v>0</v>
      </c>
      <c r="AD79" s="130">
        <f t="shared" si="27"/>
        <v>0</v>
      </c>
      <c r="AE79" s="130">
        <f t="shared" si="27"/>
        <v>0</v>
      </c>
      <c r="AF79" s="130">
        <f t="shared" si="27"/>
        <v>0</v>
      </c>
      <c r="AG79" s="130">
        <f t="shared" si="27"/>
        <v>0</v>
      </c>
      <c r="AH79" s="130">
        <f t="shared" si="27"/>
        <v>0</v>
      </c>
      <c r="AI79" s="130">
        <f t="shared" si="27"/>
        <v>0</v>
      </c>
      <c r="AJ79" s="130">
        <f t="shared" si="27"/>
        <v>0</v>
      </c>
      <c r="AK79" s="130">
        <f t="shared" si="27"/>
        <v>0</v>
      </c>
      <c r="AL79" s="130">
        <f t="shared" si="27"/>
        <v>0</v>
      </c>
      <c r="AM79" s="130">
        <f t="shared" si="27"/>
        <v>0</v>
      </c>
      <c r="AN79" s="130">
        <f t="shared" si="27"/>
        <v>0</v>
      </c>
      <c r="AO79" s="130">
        <f t="shared" si="27"/>
        <v>0</v>
      </c>
      <c r="AP79" s="130">
        <f t="shared" si="27"/>
        <v>0</v>
      </c>
    </row>
    <row r="80" spans="1:42" x14ac:dyDescent="0.2">
      <c r="A80" s="17"/>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row>
    <row r="81" spans="1:42" x14ac:dyDescent="0.2">
      <c r="A81" s="19" t="s">
        <v>56</v>
      </c>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spans="1:42" x14ac:dyDescent="0.2">
      <c r="A82" s="4" t="s">
        <v>172</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row>
    <row r="83" spans="1:42" x14ac:dyDescent="0.2">
      <c r="A83" s="21" t="s">
        <v>173</v>
      </c>
      <c r="B83" s="119">
        <f>-total_installed_cost</f>
        <v>0</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row>
    <row r="84" spans="1:42" x14ac:dyDescent="0.2">
      <c r="A84" s="21" t="s">
        <v>237</v>
      </c>
      <c r="B84" s="119">
        <f>-(cost_debt_closing)</f>
        <v>0</v>
      </c>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row>
    <row r="85" spans="1:42" x14ac:dyDescent="0.2">
      <c r="A85" s="21" t="s">
        <v>238</v>
      </c>
      <c r="B85" s="119">
        <f>-CostDebtUpfront</f>
        <v>0</v>
      </c>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row>
    <row r="86" spans="1:42" x14ac:dyDescent="0.2">
      <c r="A86" s="21" t="s">
        <v>239</v>
      </c>
      <c r="B86" s="119">
        <f>-cost_other_financing</f>
        <v>0</v>
      </c>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row>
    <row r="87" spans="1:42" x14ac:dyDescent="0.2">
      <c r="A87" s="21" t="s">
        <v>174</v>
      </c>
      <c r="B87" s="119">
        <f>-Inputs!I85</f>
        <v>0</v>
      </c>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row>
    <row r="88" spans="1:42" x14ac:dyDescent="0.2">
      <c r="A88" s="21" t="s">
        <v>244</v>
      </c>
      <c r="B88" s="119">
        <f>C561+C567</f>
        <v>0</v>
      </c>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row>
    <row r="89" spans="1:42" x14ac:dyDescent="0.2">
      <c r="A89" s="21" t="s">
        <v>245</v>
      </c>
      <c r="B89" s="120">
        <f>C574</f>
        <v>0</v>
      </c>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spans="1:42" x14ac:dyDescent="0.2">
      <c r="A90" s="21" t="s">
        <v>184</v>
      </c>
      <c r="B90" s="119">
        <f>SUM(B83:B89)</f>
        <v>0</v>
      </c>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row>
    <row r="91" spans="1:42" x14ac:dyDescent="0.2">
      <c r="A91" s="17" t="s">
        <v>175</v>
      </c>
      <c r="B91" s="119"/>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row>
    <row r="92" spans="1:42" x14ac:dyDescent="0.2">
      <c r="A92" s="21" t="s">
        <v>273</v>
      </c>
      <c r="B92" s="119">
        <f>-B626-B627</f>
        <v>0</v>
      </c>
      <c r="C92" s="119">
        <f t="shared" ref="C92:AP92" si="28">-C626-C627</f>
        <v>0</v>
      </c>
      <c r="D92" s="119">
        <f t="shared" si="28"/>
        <v>0</v>
      </c>
      <c r="E92" s="119">
        <f t="shared" si="28"/>
        <v>0</v>
      </c>
      <c r="F92" s="119">
        <f t="shared" si="28"/>
        <v>0</v>
      </c>
      <c r="G92" s="119">
        <f t="shared" si="28"/>
        <v>0</v>
      </c>
      <c r="H92" s="119">
        <f t="shared" si="28"/>
        <v>0</v>
      </c>
      <c r="I92" s="119">
        <f t="shared" si="28"/>
        <v>0</v>
      </c>
      <c r="J92" s="119">
        <f t="shared" si="28"/>
        <v>0</v>
      </c>
      <c r="K92" s="119">
        <f t="shared" si="28"/>
        <v>0</v>
      </c>
      <c r="L92" s="119">
        <f t="shared" si="28"/>
        <v>0</v>
      </c>
      <c r="M92" s="119">
        <f t="shared" si="28"/>
        <v>0</v>
      </c>
      <c r="N92" s="119">
        <f t="shared" si="28"/>
        <v>0</v>
      </c>
      <c r="O92" s="119">
        <f t="shared" si="28"/>
        <v>0</v>
      </c>
      <c r="P92" s="119">
        <f t="shared" si="28"/>
        <v>0</v>
      </c>
      <c r="Q92" s="119">
        <f t="shared" si="28"/>
        <v>0</v>
      </c>
      <c r="R92" s="119">
        <f t="shared" si="28"/>
        <v>0</v>
      </c>
      <c r="S92" s="119">
        <f t="shared" si="28"/>
        <v>0</v>
      </c>
      <c r="T92" s="119">
        <f t="shared" si="28"/>
        <v>0</v>
      </c>
      <c r="U92" s="119">
        <f t="shared" si="28"/>
        <v>0</v>
      </c>
      <c r="V92" s="119">
        <f t="shared" si="28"/>
        <v>0</v>
      </c>
      <c r="W92" s="119">
        <f t="shared" si="28"/>
        <v>0</v>
      </c>
      <c r="X92" s="119">
        <f t="shared" si="28"/>
        <v>0</v>
      </c>
      <c r="Y92" s="119">
        <f t="shared" si="28"/>
        <v>0</v>
      </c>
      <c r="Z92" s="119">
        <f t="shared" si="28"/>
        <v>0</v>
      </c>
      <c r="AA92" s="119">
        <f t="shared" si="28"/>
        <v>0</v>
      </c>
      <c r="AB92" s="119">
        <f t="shared" si="28"/>
        <v>0</v>
      </c>
      <c r="AC92" s="119">
        <f t="shared" si="28"/>
        <v>0</v>
      </c>
      <c r="AD92" s="119">
        <f t="shared" si="28"/>
        <v>0</v>
      </c>
      <c r="AE92" s="119">
        <f t="shared" si="28"/>
        <v>0</v>
      </c>
      <c r="AF92" s="119">
        <f t="shared" si="28"/>
        <v>0</v>
      </c>
      <c r="AG92" s="119">
        <f t="shared" si="28"/>
        <v>0</v>
      </c>
      <c r="AH92" s="119">
        <f t="shared" si="28"/>
        <v>0</v>
      </c>
      <c r="AI92" s="119">
        <f t="shared" si="28"/>
        <v>0</v>
      </c>
      <c r="AJ92" s="119">
        <f t="shared" si="28"/>
        <v>0</v>
      </c>
      <c r="AK92" s="119">
        <f t="shared" si="28"/>
        <v>0</v>
      </c>
      <c r="AL92" s="119">
        <f t="shared" si="28"/>
        <v>0</v>
      </c>
      <c r="AM92" s="119">
        <f t="shared" si="28"/>
        <v>0</v>
      </c>
      <c r="AN92" s="119">
        <f t="shared" si="28"/>
        <v>0</v>
      </c>
      <c r="AO92" s="119">
        <f t="shared" si="28"/>
        <v>0</v>
      </c>
      <c r="AP92" s="119">
        <f t="shared" si="28"/>
        <v>0</v>
      </c>
    </row>
    <row r="93" spans="1:42" x14ac:dyDescent="0.2">
      <c r="A93" s="21" t="s">
        <v>272</v>
      </c>
      <c r="B93" s="119">
        <f t="shared" ref="B93:AP93" si="29">-B632-B633</f>
        <v>0</v>
      </c>
      <c r="C93" s="119">
        <f t="shared" si="29"/>
        <v>0</v>
      </c>
      <c r="D93" s="119">
        <f t="shared" si="29"/>
        <v>0</v>
      </c>
      <c r="E93" s="119">
        <f t="shared" si="29"/>
        <v>0</v>
      </c>
      <c r="F93" s="119">
        <f t="shared" si="29"/>
        <v>0</v>
      </c>
      <c r="G93" s="119">
        <f t="shared" si="29"/>
        <v>0</v>
      </c>
      <c r="H93" s="119">
        <f t="shared" si="29"/>
        <v>0</v>
      </c>
      <c r="I93" s="119">
        <f t="shared" si="29"/>
        <v>0</v>
      </c>
      <c r="J93" s="119">
        <f t="shared" si="29"/>
        <v>0</v>
      </c>
      <c r="K93" s="119">
        <f t="shared" si="29"/>
        <v>0</v>
      </c>
      <c r="L93" s="119">
        <f t="shared" si="29"/>
        <v>0</v>
      </c>
      <c r="M93" s="119">
        <f t="shared" si="29"/>
        <v>0</v>
      </c>
      <c r="N93" s="119">
        <f t="shared" si="29"/>
        <v>0</v>
      </c>
      <c r="O93" s="119">
        <f t="shared" si="29"/>
        <v>0</v>
      </c>
      <c r="P93" s="119">
        <f t="shared" si="29"/>
        <v>0</v>
      </c>
      <c r="Q93" s="119">
        <f t="shared" si="29"/>
        <v>0</v>
      </c>
      <c r="R93" s="119">
        <f t="shared" si="29"/>
        <v>0</v>
      </c>
      <c r="S93" s="119">
        <f t="shared" si="29"/>
        <v>0</v>
      </c>
      <c r="T93" s="119">
        <f t="shared" si="29"/>
        <v>0</v>
      </c>
      <c r="U93" s="119">
        <f t="shared" si="29"/>
        <v>0</v>
      </c>
      <c r="V93" s="119">
        <f t="shared" si="29"/>
        <v>0</v>
      </c>
      <c r="W93" s="119">
        <f t="shared" si="29"/>
        <v>0</v>
      </c>
      <c r="X93" s="119">
        <f t="shared" si="29"/>
        <v>0</v>
      </c>
      <c r="Y93" s="119">
        <f t="shared" si="29"/>
        <v>0</v>
      </c>
      <c r="Z93" s="119">
        <f t="shared" si="29"/>
        <v>0</v>
      </c>
      <c r="AA93" s="119">
        <f t="shared" si="29"/>
        <v>0</v>
      </c>
      <c r="AB93" s="119">
        <f t="shared" si="29"/>
        <v>0</v>
      </c>
      <c r="AC93" s="119">
        <f t="shared" si="29"/>
        <v>0</v>
      </c>
      <c r="AD93" s="119">
        <f t="shared" si="29"/>
        <v>0</v>
      </c>
      <c r="AE93" s="119">
        <f t="shared" si="29"/>
        <v>0</v>
      </c>
      <c r="AF93" s="119">
        <f t="shared" si="29"/>
        <v>0</v>
      </c>
      <c r="AG93" s="119">
        <f t="shared" si="29"/>
        <v>0</v>
      </c>
      <c r="AH93" s="119">
        <f t="shared" si="29"/>
        <v>0</v>
      </c>
      <c r="AI93" s="119">
        <f t="shared" si="29"/>
        <v>0</v>
      </c>
      <c r="AJ93" s="119">
        <f t="shared" si="29"/>
        <v>0</v>
      </c>
      <c r="AK93" s="119">
        <f t="shared" si="29"/>
        <v>0</v>
      </c>
      <c r="AL93" s="119">
        <f t="shared" si="29"/>
        <v>0</v>
      </c>
      <c r="AM93" s="119">
        <f t="shared" si="29"/>
        <v>0</v>
      </c>
      <c r="AN93" s="119">
        <f t="shared" si="29"/>
        <v>0</v>
      </c>
      <c r="AO93" s="119">
        <f t="shared" si="29"/>
        <v>0</v>
      </c>
      <c r="AP93" s="119">
        <f t="shared" si="29"/>
        <v>0</v>
      </c>
    </row>
    <row r="94" spans="1:42" x14ac:dyDescent="0.2">
      <c r="A94" s="21" t="s">
        <v>284</v>
      </c>
      <c r="B94" s="119">
        <f>-B638-B639</f>
        <v>0</v>
      </c>
      <c r="C94" s="119">
        <f t="shared" ref="C94:AP94" si="30">-C638-C639</f>
        <v>0</v>
      </c>
      <c r="D94" s="119">
        <f t="shared" si="30"/>
        <v>0</v>
      </c>
      <c r="E94" s="119">
        <f t="shared" si="30"/>
        <v>0</v>
      </c>
      <c r="F94" s="119">
        <f t="shared" si="30"/>
        <v>0</v>
      </c>
      <c r="G94" s="119">
        <f t="shared" si="30"/>
        <v>0</v>
      </c>
      <c r="H94" s="119">
        <f t="shared" si="30"/>
        <v>0</v>
      </c>
      <c r="I94" s="119">
        <f t="shared" si="30"/>
        <v>0</v>
      </c>
      <c r="J94" s="119">
        <f t="shared" si="30"/>
        <v>0</v>
      </c>
      <c r="K94" s="119">
        <f t="shared" si="30"/>
        <v>0</v>
      </c>
      <c r="L94" s="119">
        <f t="shared" si="30"/>
        <v>0</v>
      </c>
      <c r="M94" s="119">
        <f t="shared" si="30"/>
        <v>0</v>
      </c>
      <c r="N94" s="119">
        <f t="shared" si="30"/>
        <v>0</v>
      </c>
      <c r="O94" s="119">
        <f t="shared" si="30"/>
        <v>0</v>
      </c>
      <c r="P94" s="119">
        <f t="shared" si="30"/>
        <v>0</v>
      </c>
      <c r="Q94" s="119">
        <f t="shared" si="30"/>
        <v>0</v>
      </c>
      <c r="R94" s="119">
        <f t="shared" si="30"/>
        <v>0</v>
      </c>
      <c r="S94" s="119">
        <f t="shared" si="30"/>
        <v>0</v>
      </c>
      <c r="T94" s="119">
        <f t="shared" si="30"/>
        <v>0</v>
      </c>
      <c r="U94" s="119">
        <f t="shared" si="30"/>
        <v>0</v>
      </c>
      <c r="V94" s="119">
        <f t="shared" si="30"/>
        <v>0</v>
      </c>
      <c r="W94" s="119">
        <f t="shared" si="30"/>
        <v>0</v>
      </c>
      <c r="X94" s="119">
        <f t="shared" si="30"/>
        <v>0</v>
      </c>
      <c r="Y94" s="119">
        <f t="shared" si="30"/>
        <v>0</v>
      </c>
      <c r="Z94" s="119">
        <f t="shared" si="30"/>
        <v>0</v>
      </c>
      <c r="AA94" s="119">
        <f t="shared" si="30"/>
        <v>0</v>
      </c>
      <c r="AB94" s="119">
        <f t="shared" si="30"/>
        <v>0</v>
      </c>
      <c r="AC94" s="119">
        <f t="shared" si="30"/>
        <v>0</v>
      </c>
      <c r="AD94" s="119">
        <f t="shared" si="30"/>
        <v>0</v>
      </c>
      <c r="AE94" s="119">
        <f t="shared" si="30"/>
        <v>0</v>
      </c>
      <c r="AF94" s="119">
        <f t="shared" si="30"/>
        <v>0</v>
      </c>
      <c r="AG94" s="119">
        <f t="shared" si="30"/>
        <v>0</v>
      </c>
      <c r="AH94" s="119">
        <f t="shared" si="30"/>
        <v>0</v>
      </c>
      <c r="AI94" s="119">
        <f t="shared" si="30"/>
        <v>0</v>
      </c>
      <c r="AJ94" s="119">
        <f t="shared" si="30"/>
        <v>0</v>
      </c>
      <c r="AK94" s="119">
        <f t="shared" si="30"/>
        <v>0</v>
      </c>
      <c r="AL94" s="119">
        <f t="shared" si="30"/>
        <v>0</v>
      </c>
      <c r="AM94" s="119">
        <f t="shared" si="30"/>
        <v>0</v>
      </c>
      <c r="AN94" s="119">
        <f t="shared" si="30"/>
        <v>0</v>
      </c>
      <c r="AO94" s="119">
        <f t="shared" si="30"/>
        <v>0</v>
      </c>
      <c r="AP94" s="119">
        <f t="shared" si="30"/>
        <v>0</v>
      </c>
    </row>
    <row r="95" spans="1:42" x14ac:dyDescent="0.2">
      <c r="A95" s="21" t="s">
        <v>285</v>
      </c>
      <c r="B95" s="119">
        <f>-B644-B645</f>
        <v>0</v>
      </c>
      <c r="C95" s="119">
        <f t="shared" ref="C95:AP95" si="31">-C644-C645</f>
        <v>0</v>
      </c>
      <c r="D95" s="119">
        <f t="shared" si="31"/>
        <v>0</v>
      </c>
      <c r="E95" s="119">
        <f t="shared" si="31"/>
        <v>0</v>
      </c>
      <c r="F95" s="119">
        <f t="shared" si="31"/>
        <v>0</v>
      </c>
      <c r="G95" s="119">
        <f t="shared" si="31"/>
        <v>0</v>
      </c>
      <c r="H95" s="119">
        <f t="shared" si="31"/>
        <v>0</v>
      </c>
      <c r="I95" s="119">
        <f t="shared" si="31"/>
        <v>0</v>
      </c>
      <c r="J95" s="119">
        <f t="shared" si="31"/>
        <v>0</v>
      </c>
      <c r="K95" s="119">
        <f t="shared" si="31"/>
        <v>0</v>
      </c>
      <c r="L95" s="119">
        <f t="shared" si="31"/>
        <v>0</v>
      </c>
      <c r="M95" s="119">
        <f t="shared" si="31"/>
        <v>0</v>
      </c>
      <c r="N95" s="119">
        <f t="shared" si="31"/>
        <v>0</v>
      </c>
      <c r="O95" s="119">
        <f t="shared" si="31"/>
        <v>0</v>
      </c>
      <c r="P95" s="119">
        <f t="shared" si="31"/>
        <v>0</v>
      </c>
      <c r="Q95" s="119">
        <f t="shared" si="31"/>
        <v>0</v>
      </c>
      <c r="R95" s="119">
        <f t="shared" si="31"/>
        <v>0</v>
      </c>
      <c r="S95" s="119">
        <f t="shared" si="31"/>
        <v>0</v>
      </c>
      <c r="T95" s="119">
        <f t="shared" si="31"/>
        <v>0</v>
      </c>
      <c r="U95" s="119">
        <f t="shared" si="31"/>
        <v>0</v>
      </c>
      <c r="V95" s="119">
        <f t="shared" si="31"/>
        <v>0</v>
      </c>
      <c r="W95" s="119">
        <f t="shared" si="31"/>
        <v>0</v>
      </c>
      <c r="X95" s="119">
        <f t="shared" si="31"/>
        <v>0</v>
      </c>
      <c r="Y95" s="119">
        <f t="shared" si="31"/>
        <v>0</v>
      </c>
      <c r="Z95" s="119">
        <f t="shared" si="31"/>
        <v>0</v>
      </c>
      <c r="AA95" s="119">
        <f t="shared" si="31"/>
        <v>0</v>
      </c>
      <c r="AB95" s="119">
        <f t="shared" si="31"/>
        <v>0</v>
      </c>
      <c r="AC95" s="119">
        <f t="shared" si="31"/>
        <v>0</v>
      </c>
      <c r="AD95" s="119">
        <f t="shared" si="31"/>
        <v>0</v>
      </c>
      <c r="AE95" s="119">
        <f t="shared" si="31"/>
        <v>0</v>
      </c>
      <c r="AF95" s="119">
        <f t="shared" si="31"/>
        <v>0</v>
      </c>
      <c r="AG95" s="119">
        <f t="shared" si="31"/>
        <v>0</v>
      </c>
      <c r="AH95" s="119">
        <f t="shared" si="31"/>
        <v>0</v>
      </c>
      <c r="AI95" s="119">
        <f t="shared" si="31"/>
        <v>0</v>
      </c>
      <c r="AJ95" s="119">
        <f t="shared" si="31"/>
        <v>0</v>
      </c>
      <c r="AK95" s="119">
        <f t="shared" si="31"/>
        <v>0</v>
      </c>
      <c r="AL95" s="119">
        <f t="shared" si="31"/>
        <v>0</v>
      </c>
      <c r="AM95" s="119">
        <f t="shared" si="31"/>
        <v>0</v>
      </c>
      <c r="AN95" s="119">
        <f t="shared" si="31"/>
        <v>0</v>
      </c>
      <c r="AO95" s="119">
        <f t="shared" si="31"/>
        <v>0</v>
      </c>
      <c r="AP95" s="119">
        <f t="shared" si="31"/>
        <v>0</v>
      </c>
    </row>
    <row r="96" spans="1:42" x14ac:dyDescent="0.2">
      <c r="A96" s="21" t="s">
        <v>286</v>
      </c>
      <c r="B96" s="119">
        <f>-B676-B677</f>
        <v>0</v>
      </c>
      <c r="C96" s="119">
        <f t="shared" ref="C96:AP96" si="32">-C676-C677</f>
        <v>0</v>
      </c>
      <c r="D96" s="119">
        <f t="shared" si="32"/>
        <v>0</v>
      </c>
      <c r="E96" s="119">
        <f t="shared" si="32"/>
        <v>0</v>
      </c>
      <c r="F96" s="119">
        <f t="shared" si="32"/>
        <v>0</v>
      </c>
      <c r="G96" s="119">
        <f t="shared" si="32"/>
        <v>0</v>
      </c>
      <c r="H96" s="119">
        <f t="shared" si="32"/>
        <v>0</v>
      </c>
      <c r="I96" s="119">
        <f t="shared" si="32"/>
        <v>0</v>
      </c>
      <c r="J96" s="119">
        <f t="shared" si="32"/>
        <v>0</v>
      </c>
      <c r="K96" s="119">
        <f t="shared" si="32"/>
        <v>0</v>
      </c>
      <c r="L96" s="119">
        <f t="shared" si="32"/>
        <v>0</v>
      </c>
      <c r="M96" s="119">
        <f t="shared" si="32"/>
        <v>0</v>
      </c>
      <c r="N96" s="119">
        <f t="shared" si="32"/>
        <v>0</v>
      </c>
      <c r="O96" s="119">
        <f t="shared" si="32"/>
        <v>0</v>
      </c>
      <c r="P96" s="119">
        <f t="shared" si="32"/>
        <v>0</v>
      </c>
      <c r="Q96" s="119">
        <f t="shared" si="32"/>
        <v>0</v>
      </c>
      <c r="R96" s="119">
        <f t="shared" si="32"/>
        <v>0</v>
      </c>
      <c r="S96" s="119">
        <f t="shared" si="32"/>
        <v>0</v>
      </c>
      <c r="T96" s="119">
        <f t="shared" si="32"/>
        <v>0</v>
      </c>
      <c r="U96" s="119">
        <f t="shared" si="32"/>
        <v>0</v>
      </c>
      <c r="V96" s="119">
        <f t="shared" si="32"/>
        <v>0</v>
      </c>
      <c r="W96" s="119">
        <f t="shared" si="32"/>
        <v>0</v>
      </c>
      <c r="X96" s="119">
        <f t="shared" si="32"/>
        <v>0</v>
      </c>
      <c r="Y96" s="119">
        <f t="shared" si="32"/>
        <v>0</v>
      </c>
      <c r="Z96" s="119">
        <f t="shared" si="32"/>
        <v>0</v>
      </c>
      <c r="AA96" s="119">
        <f t="shared" si="32"/>
        <v>0</v>
      </c>
      <c r="AB96" s="119">
        <f t="shared" si="32"/>
        <v>0</v>
      </c>
      <c r="AC96" s="119">
        <f t="shared" si="32"/>
        <v>0</v>
      </c>
      <c r="AD96" s="119">
        <f t="shared" si="32"/>
        <v>0</v>
      </c>
      <c r="AE96" s="119">
        <f t="shared" si="32"/>
        <v>0</v>
      </c>
      <c r="AF96" s="119">
        <f t="shared" si="32"/>
        <v>0</v>
      </c>
      <c r="AG96" s="119">
        <f t="shared" si="32"/>
        <v>0</v>
      </c>
      <c r="AH96" s="119">
        <f t="shared" si="32"/>
        <v>0</v>
      </c>
      <c r="AI96" s="119">
        <f t="shared" si="32"/>
        <v>0</v>
      </c>
      <c r="AJ96" s="119">
        <f t="shared" si="32"/>
        <v>0</v>
      </c>
      <c r="AK96" s="119">
        <f t="shared" si="32"/>
        <v>0</v>
      </c>
      <c r="AL96" s="119">
        <f t="shared" si="32"/>
        <v>0</v>
      </c>
      <c r="AM96" s="119">
        <f t="shared" si="32"/>
        <v>0</v>
      </c>
      <c r="AN96" s="119">
        <f t="shared" si="32"/>
        <v>0</v>
      </c>
      <c r="AO96" s="119">
        <f t="shared" si="32"/>
        <v>0</v>
      </c>
      <c r="AP96" s="119">
        <f t="shared" si="32"/>
        <v>0</v>
      </c>
    </row>
    <row r="97" spans="1:42" x14ac:dyDescent="0.2">
      <c r="A97" s="21" t="s">
        <v>287</v>
      </c>
      <c r="B97" s="120">
        <f>-B708-B709</f>
        <v>0</v>
      </c>
      <c r="C97" s="120">
        <f t="shared" ref="C97:AP97" si="33">-C708-C709</f>
        <v>0</v>
      </c>
      <c r="D97" s="120">
        <f t="shared" si="33"/>
        <v>0</v>
      </c>
      <c r="E97" s="120">
        <f t="shared" si="33"/>
        <v>0</v>
      </c>
      <c r="F97" s="120">
        <f t="shared" si="33"/>
        <v>0</v>
      </c>
      <c r="G97" s="120">
        <f t="shared" si="33"/>
        <v>0</v>
      </c>
      <c r="H97" s="120">
        <f t="shared" si="33"/>
        <v>0</v>
      </c>
      <c r="I97" s="120">
        <f t="shared" si="33"/>
        <v>0</v>
      </c>
      <c r="J97" s="120">
        <f t="shared" si="33"/>
        <v>0</v>
      </c>
      <c r="K97" s="120">
        <f t="shared" si="33"/>
        <v>0</v>
      </c>
      <c r="L97" s="120">
        <f t="shared" si="33"/>
        <v>0</v>
      </c>
      <c r="M97" s="120">
        <f t="shared" si="33"/>
        <v>0</v>
      </c>
      <c r="N97" s="120">
        <f t="shared" si="33"/>
        <v>0</v>
      </c>
      <c r="O97" s="120">
        <f t="shared" si="33"/>
        <v>0</v>
      </c>
      <c r="P97" s="120">
        <f t="shared" si="33"/>
        <v>0</v>
      </c>
      <c r="Q97" s="120">
        <f t="shared" si="33"/>
        <v>0</v>
      </c>
      <c r="R97" s="120">
        <f t="shared" si="33"/>
        <v>0</v>
      </c>
      <c r="S97" s="120">
        <f t="shared" si="33"/>
        <v>0</v>
      </c>
      <c r="T97" s="120">
        <f t="shared" si="33"/>
        <v>0</v>
      </c>
      <c r="U97" s="120">
        <f t="shared" si="33"/>
        <v>0</v>
      </c>
      <c r="V97" s="120">
        <f t="shared" si="33"/>
        <v>0</v>
      </c>
      <c r="W97" s="120">
        <f t="shared" si="33"/>
        <v>0</v>
      </c>
      <c r="X97" s="120">
        <f t="shared" si="33"/>
        <v>0</v>
      </c>
      <c r="Y97" s="120">
        <f t="shared" si="33"/>
        <v>0</v>
      </c>
      <c r="Z97" s="120">
        <f t="shared" si="33"/>
        <v>0</v>
      </c>
      <c r="AA97" s="120">
        <f t="shared" si="33"/>
        <v>0</v>
      </c>
      <c r="AB97" s="120">
        <f t="shared" si="33"/>
        <v>0</v>
      </c>
      <c r="AC97" s="120">
        <f t="shared" si="33"/>
        <v>0</v>
      </c>
      <c r="AD97" s="120">
        <f t="shared" si="33"/>
        <v>0</v>
      </c>
      <c r="AE97" s="120">
        <f t="shared" si="33"/>
        <v>0</v>
      </c>
      <c r="AF97" s="120">
        <f t="shared" si="33"/>
        <v>0</v>
      </c>
      <c r="AG97" s="120">
        <f t="shared" si="33"/>
        <v>0</v>
      </c>
      <c r="AH97" s="120">
        <f t="shared" si="33"/>
        <v>0</v>
      </c>
      <c r="AI97" s="120">
        <f t="shared" si="33"/>
        <v>0</v>
      </c>
      <c r="AJ97" s="120">
        <f t="shared" si="33"/>
        <v>0</v>
      </c>
      <c r="AK97" s="120">
        <f t="shared" si="33"/>
        <v>0</v>
      </c>
      <c r="AL97" s="120">
        <f t="shared" si="33"/>
        <v>0</v>
      </c>
      <c r="AM97" s="120">
        <f t="shared" si="33"/>
        <v>0</v>
      </c>
      <c r="AN97" s="120">
        <f t="shared" si="33"/>
        <v>0</v>
      </c>
      <c r="AO97" s="120">
        <f t="shared" si="33"/>
        <v>0</v>
      </c>
      <c r="AP97" s="120">
        <f t="shared" si="33"/>
        <v>0</v>
      </c>
    </row>
    <row r="98" spans="1:42" x14ac:dyDescent="0.2">
      <c r="A98" s="21" t="s">
        <v>12</v>
      </c>
      <c r="B98" s="119">
        <f>SUM(B92:B97)</f>
        <v>0</v>
      </c>
      <c r="C98" s="119">
        <f t="shared" ref="C98:AP98" si="34">SUM(C92:C97)</f>
        <v>0</v>
      </c>
      <c r="D98" s="119">
        <f t="shared" si="34"/>
        <v>0</v>
      </c>
      <c r="E98" s="119">
        <f t="shared" si="34"/>
        <v>0</v>
      </c>
      <c r="F98" s="119">
        <f t="shared" si="34"/>
        <v>0</v>
      </c>
      <c r="G98" s="119">
        <f t="shared" si="34"/>
        <v>0</v>
      </c>
      <c r="H98" s="119">
        <f t="shared" si="34"/>
        <v>0</v>
      </c>
      <c r="I98" s="119">
        <f t="shared" si="34"/>
        <v>0</v>
      </c>
      <c r="J98" s="119">
        <f t="shared" si="34"/>
        <v>0</v>
      </c>
      <c r="K98" s="119">
        <f t="shared" si="34"/>
        <v>0</v>
      </c>
      <c r="L98" s="119">
        <f t="shared" si="34"/>
        <v>0</v>
      </c>
      <c r="M98" s="119">
        <f t="shared" si="34"/>
        <v>0</v>
      </c>
      <c r="N98" s="119">
        <f t="shared" si="34"/>
        <v>0</v>
      </c>
      <c r="O98" s="119">
        <f t="shared" si="34"/>
        <v>0</v>
      </c>
      <c r="P98" s="119">
        <f t="shared" si="34"/>
        <v>0</v>
      </c>
      <c r="Q98" s="119">
        <f t="shared" si="34"/>
        <v>0</v>
      </c>
      <c r="R98" s="119">
        <f t="shared" si="34"/>
        <v>0</v>
      </c>
      <c r="S98" s="119">
        <f t="shared" si="34"/>
        <v>0</v>
      </c>
      <c r="T98" s="119">
        <f t="shared" si="34"/>
        <v>0</v>
      </c>
      <c r="U98" s="119">
        <f t="shared" si="34"/>
        <v>0</v>
      </c>
      <c r="V98" s="119">
        <f t="shared" si="34"/>
        <v>0</v>
      </c>
      <c r="W98" s="119">
        <f t="shared" si="34"/>
        <v>0</v>
      </c>
      <c r="X98" s="119">
        <f t="shared" si="34"/>
        <v>0</v>
      </c>
      <c r="Y98" s="119">
        <f t="shared" si="34"/>
        <v>0</v>
      </c>
      <c r="Z98" s="119">
        <f t="shared" si="34"/>
        <v>0</v>
      </c>
      <c r="AA98" s="119">
        <f t="shared" si="34"/>
        <v>0</v>
      </c>
      <c r="AB98" s="119">
        <f t="shared" si="34"/>
        <v>0</v>
      </c>
      <c r="AC98" s="119">
        <f t="shared" si="34"/>
        <v>0</v>
      </c>
      <c r="AD98" s="119">
        <f t="shared" si="34"/>
        <v>0</v>
      </c>
      <c r="AE98" s="119">
        <f t="shared" si="34"/>
        <v>0</v>
      </c>
      <c r="AF98" s="119">
        <f t="shared" si="34"/>
        <v>0</v>
      </c>
      <c r="AG98" s="119">
        <f t="shared" si="34"/>
        <v>0</v>
      </c>
      <c r="AH98" s="119">
        <f t="shared" si="34"/>
        <v>0</v>
      </c>
      <c r="AI98" s="119">
        <f t="shared" si="34"/>
        <v>0</v>
      </c>
      <c r="AJ98" s="119">
        <f t="shared" si="34"/>
        <v>0</v>
      </c>
      <c r="AK98" s="119">
        <f t="shared" si="34"/>
        <v>0</v>
      </c>
      <c r="AL98" s="119">
        <f t="shared" si="34"/>
        <v>0</v>
      </c>
      <c r="AM98" s="119">
        <f t="shared" si="34"/>
        <v>0</v>
      </c>
      <c r="AN98" s="119">
        <f t="shared" si="34"/>
        <v>0</v>
      </c>
      <c r="AO98" s="119">
        <f t="shared" si="34"/>
        <v>0</v>
      </c>
      <c r="AP98" s="119">
        <f t="shared" si="34"/>
        <v>0</v>
      </c>
    </row>
    <row r="99" spans="1:42" x14ac:dyDescent="0.2">
      <c r="A99" s="17" t="s">
        <v>227</v>
      </c>
    </row>
    <row r="100" spans="1:42" x14ac:dyDescent="0.2">
      <c r="A100" s="21" t="s">
        <v>288</v>
      </c>
      <c r="B100" s="119">
        <f>B645</f>
        <v>0</v>
      </c>
      <c r="C100" s="119">
        <f t="shared" ref="C100:AP100" si="35">C645</f>
        <v>0</v>
      </c>
      <c r="D100" s="119">
        <f t="shared" si="35"/>
        <v>0</v>
      </c>
      <c r="E100" s="119">
        <f t="shared" si="35"/>
        <v>0</v>
      </c>
      <c r="F100" s="119">
        <f t="shared" si="35"/>
        <v>0</v>
      </c>
      <c r="G100" s="119">
        <f t="shared" si="35"/>
        <v>0</v>
      </c>
      <c r="H100" s="119">
        <f t="shared" si="35"/>
        <v>0</v>
      </c>
      <c r="I100" s="119">
        <f t="shared" si="35"/>
        <v>0</v>
      </c>
      <c r="J100" s="119">
        <f t="shared" si="35"/>
        <v>0</v>
      </c>
      <c r="K100" s="119">
        <f t="shared" si="35"/>
        <v>0</v>
      </c>
      <c r="L100" s="119">
        <f t="shared" si="35"/>
        <v>0</v>
      </c>
      <c r="M100" s="119">
        <f t="shared" si="35"/>
        <v>0</v>
      </c>
      <c r="N100" s="119">
        <f t="shared" si="35"/>
        <v>0</v>
      </c>
      <c r="O100" s="119">
        <f t="shared" si="35"/>
        <v>0</v>
      </c>
      <c r="P100" s="119">
        <f t="shared" si="35"/>
        <v>0</v>
      </c>
      <c r="Q100" s="119">
        <f t="shared" si="35"/>
        <v>0</v>
      </c>
      <c r="R100" s="119">
        <f t="shared" si="35"/>
        <v>0</v>
      </c>
      <c r="S100" s="119">
        <f t="shared" si="35"/>
        <v>0</v>
      </c>
      <c r="T100" s="119">
        <f t="shared" si="35"/>
        <v>0</v>
      </c>
      <c r="U100" s="119">
        <f t="shared" si="35"/>
        <v>0</v>
      </c>
      <c r="V100" s="119">
        <f t="shared" si="35"/>
        <v>0</v>
      </c>
      <c r="W100" s="119">
        <f t="shared" si="35"/>
        <v>0</v>
      </c>
      <c r="X100" s="119">
        <f t="shared" si="35"/>
        <v>0</v>
      </c>
      <c r="Y100" s="119">
        <f t="shared" si="35"/>
        <v>0</v>
      </c>
      <c r="Z100" s="119">
        <f t="shared" si="35"/>
        <v>0</v>
      </c>
      <c r="AA100" s="119">
        <f t="shared" si="35"/>
        <v>0</v>
      </c>
      <c r="AB100" s="119">
        <f t="shared" si="35"/>
        <v>0</v>
      </c>
      <c r="AC100" s="119">
        <f t="shared" si="35"/>
        <v>0</v>
      </c>
      <c r="AD100" s="119">
        <f t="shared" si="35"/>
        <v>0</v>
      </c>
      <c r="AE100" s="119">
        <f t="shared" si="35"/>
        <v>0</v>
      </c>
      <c r="AF100" s="119">
        <f t="shared" si="35"/>
        <v>0</v>
      </c>
      <c r="AG100" s="119">
        <f t="shared" si="35"/>
        <v>0</v>
      </c>
      <c r="AH100" s="119">
        <f t="shared" si="35"/>
        <v>0</v>
      </c>
      <c r="AI100" s="119">
        <f t="shared" si="35"/>
        <v>0</v>
      </c>
      <c r="AJ100" s="119">
        <f t="shared" si="35"/>
        <v>0</v>
      </c>
      <c r="AK100" s="119">
        <f t="shared" si="35"/>
        <v>0</v>
      </c>
      <c r="AL100" s="119">
        <f t="shared" si="35"/>
        <v>0</v>
      </c>
      <c r="AM100" s="119">
        <f t="shared" si="35"/>
        <v>0</v>
      </c>
      <c r="AN100" s="119">
        <f t="shared" si="35"/>
        <v>0</v>
      </c>
      <c r="AO100" s="119">
        <f t="shared" si="35"/>
        <v>0</v>
      </c>
      <c r="AP100" s="119">
        <f t="shared" si="35"/>
        <v>0</v>
      </c>
    </row>
    <row r="101" spans="1:42" x14ac:dyDescent="0.2">
      <c r="A101" s="21" t="s">
        <v>289</v>
      </c>
      <c r="B101" s="119">
        <f>B677</f>
        <v>0</v>
      </c>
      <c r="C101" s="119">
        <f t="shared" ref="C101:AP101" si="36">C677</f>
        <v>0</v>
      </c>
      <c r="D101" s="119">
        <f t="shared" si="36"/>
        <v>0</v>
      </c>
      <c r="E101" s="119">
        <f t="shared" si="36"/>
        <v>0</v>
      </c>
      <c r="F101" s="119">
        <f t="shared" si="36"/>
        <v>0</v>
      </c>
      <c r="G101" s="119">
        <f t="shared" si="36"/>
        <v>0</v>
      </c>
      <c r="H101" s="119">
        <f t="shared" si="36"/>
        <v>0</v>
      </c>
      <c r="I101" s="119">
        <f t="shared" si="36"/>
        <v>0</v>
      </c>
      <c r="J101" s="119">
        <f t="shared" si="36"/>
        <v>0</v>
      </c>
      <c r="K101" s="119">
        <f t="shared" si="36"/>
        <v>0</v>
      </c>
      <c r="L101" s="119">
        <f t="shared" si="36"/>
        <v>0</v>
      </c>
      <c r="M101" s="119">
        <f t="shared" si="36"/>
        <v>0</v>
      </c>
      <c r="N101" s="119">
        <f t="shared" si="36"/>
        <v>0</v>
      </c>
      <c r="O101" s="119">
        <f t="shared" si="36"/>
        <v>0</v>
      </c>
      <c r="P101" s="119">
        <f t="shared" si="36"/>
        <v>0</v>
      </c>
      <c r="Q101" s="119">
        <f t="shared" si="36"/>
        <v>0</v>
      </c>
      <c r="R101" s="119">
        <f t="shared" si="36"/>
        <v>0</v>
      </c>
      <c r="S101" s="119">
        <f t="shared" si="36"/>
        <v>0</v>
      </c>
      <c r="T101" s="119">
        <f t="shared" si="36"/>
        <v>0</v>
      </c>
      <c r="U101" s="119">
        <f t="shared" si="36"/>
        <v>0</v>
      </c>
      <c r="V101" s="119">
        <f t="shared" si="36"/>
        <v>0</v>
      </c>
      <c r="W101" s="119">
        <f t="shared" si="36"/>
        <v>0</v>
      </c>
      <c r="X101" s="119">
        <f t="shared" si="36"/>
        <v>0</v>
      </c>
      <c r="Y101" s="119">
        <f t="shared" si="36"/>
        <v>0</v>
      </c>
      <c r="Z101" s="119">
        <f t="shared" si="36"/>
        <v>0</v>
      </c>
      <c r="AA101" s="119">
        <f t="shared" si="36"/>
        <v>0</v>
      </c>
      <c r="AB101" s="119">
        <f t="shared" si="36"/>
        <v>0</v>
      </c>
      <c r="AC101" s="119">
        <f t="shared" si="36"/>
        <v>0</v>
      </c>
      <c r="AD101" s="119">
        <f t="shared" si="36"/>
        <v>0</v>
      </c>
      <c r="AE101" s="119">
        <f t="shared" si="36"/>
        <v>0</v>
      </c>
      <c r="AF101" s="119">
        <f t="shared" si="36"/>
        <v>0</v>
      </c>
      <c r="AG101" s="119">
        <f t="shared" si="36"/>
        <v>0</v>
      </c>
      <c r="AH101" s="119">
        <f t="shared" si="36"/>
        <v>0</v>
      </c>
      <c r="AI101" s="119">
        <f t="shared" si="36"/>
        <v>0</v>
      </c>
      <c r="AJ101" s="119">
        <f t="shared" si="36"/>
        <v>0</v>
      </c>
      <c r="AK101" s="119">
        <f t="shared" si="36"/>
        <v>0</v>
      </c>
      <c r="AL101" s="119">
        <f t="shared" si="36"/>
        <v>0</v>
      </c>
      <c r="AM101" s="119">
        <f t="shared" si="36"/>
        <v>0</v>
      </c>
      <c r="AN101" s="119">
        <f t="shared" si="36"/>
        <v>0</v>
      </c>
      <c r="AO101" s="119">
        <f t="shared" si="36"/>
        <v>0</v>
      </c>
      <c r="AP101" s="119">
        <f t="shared" si="36"/>
        <v>0</v>
      </c>
    </row>
    <row r="102" spans="1:42" x14ac:dyDescent="0.2">
      <c r="A102" s="21" t="s">
        <v>290</v>
      </c>
      <c r="B102" s="120">
        <f>B709</f>
        <v>0</v>
      </c>
      <c r="C102" s="120">
        <f t="shared" ref="C102:AP102" si="37">C709</f>
        <v>0</v>
      </c>
      <c r="D102" s="120">
        <f t="shared" si="37"/>
        <v>0</v>
      </c>
      <c r="E102" s="120">
        <f t="shared" si="37"/>
        <v>0</v>
      </c>
      <c r="F102" s="120">
        <f t="shared" si="37"/>
        <v>0</v>
      </c>
      <c r="G102" s="120">
        <f t="shared" si="37"/>
        <v>0</v>
      </c>
      <c r="H102" s="120">
        <f t="shared" si="37"/>
        <v>0</v>
      </c>
      <c r="I102" s="120">
        <f t="shared" si="37"/>
        <v>0</v>
      </c>
      <c r="J102" s="120">
        <f t="shared" si="37"/>
        <v>0</v>
      </c>
      <c r="K102" s="120">
        <f t="shared" si="37"/>
        <v>0</v>
      </c>
      <c r="L102" s="120">
        <f t="shared" si="37"/>
        <v>0</v>
      </c>
      <c r="M102" s="120">
        <f t="shared" si="37"/>
        <v>0</v>
      </c>
      <c r="N102" s="120">
        <f t="shared" si="37"/>
        <v>0</v>
      </c>
      <c r="O102" s="120">
        <f t="shared" si="37"/>
        <v>0</v>
      </c>
      <c r="P102" s="120">
        <f t="shared" si="37"/>
        <v>0</v>
      </c>
      <c r="Q102" s="120">
        <f t="shared" si="37"/>
        <v>0</v>
      </c>
      <c r="R102" s="120">
        <f t="shared" si="37"/>
        <v>0</v>
      </c>
      <c r="S102" s="120">
        <f t="shared" si="37"/>
        <v>0</v>
      </c>
      <c r="T102" s="120">
        <f t="shared" si="37"/>
        <v>0</v>
      </c>
      <c r="U102" s="120">
        <f t="shared" si="37"/>
        <v>0</v>
      </c>
      <c r="V102" s="120">
        <f t="shared" si="37"/>
        <v>0</v>
      </c>
      <c r="W102" s="120">
        <f t="shared" si="37"/>
        <v>0</v>
      </c>
      <c r="X102" s="120">
        <f t="shared" si="37"/>
        <v>0</v>
      </c>
      <c r="Y102" s="120">
        <f t="shared" si="37"/>
        <v>0</v>
      </c>
      <c r="Z102" s="120">
        <f t="shared" si="37"/>
        <v>0</v>
      </c>
      <c r="AA102" s="120">
        <f t="shared" si="37"/>
        <v>0</v>
      </c>
      <c r="AB102" s="120">
        <f t="shared" si="37"/>
        <v>0</v>
      </c>
      <c r="AC102" s="120">
        <f t="shared" si="37"/>
        <v>0</v>
      </c>
      <c r="AD102" s="120">
        <f t="shared" si="37"/>
        <v>0</v>
      </c>
      <c r="AE102" s="120">
        <f t="shared" si="37"/>
        <v>0</v>
      </c>
      <c r="AF102" s="120">
        <f t="shared" si="37"/>
        <v>0</v>
      </c>
      <c r="AG102" s="120">
        <f t="shared" si="37"/>
        <v>0</v>
      </c>
      <c r="AH102" s="120">
        <f t="shared" si="37"/>
        <v>0</v>
      </c>
      <c r="AI102" s="120">
        <f t="shared" si="37"/>
        <v>0</v>
      </c>
      <c r="AJ102" s="120">
        <f t="shared" si="37"/>
        <v>0</v>
      </c>
      <c r="AK102" s="120">
        <f t="shared" si="37"/>
        <v>0</v>
      </c>
      <c r="AL102" s="120">
        <f t="shared" si="37"/>
        <v>0</v>
      </c>
      <c r="AM102" s="120">
        <f t="shared" si="37"/>
        <v>0</v>
      </c>
      <c r="AN102" s="120">
        <f t="shared" si="37"/>
        <v>0</v>
      </c>
      <c r="AO102" s="120">
        <f t="shared" si="37"/>
        <v>0</v>
      </c>
      <c r="AP102" s="120">
        <f t="shared" si="37"/>
        <v>0</v>
      </c>
    </row>
    <row r="103" spans="1:42" x14ac:dyDescent="0.2">
      <c r="A103" s="21" t="s">
        <v>12</v>
      </c>
      <c r="B103" s="123">
        <f>SUM(B100:B102)</f>
        <v>0</v>
      </c>
      <c r="C103" s="123">
        <f t="shared" ref="C103:AP103" si="38">SUM(C100:C102)</f>
        <v>0</v>
      </c>
      <c r="D103" s="123">
        <f t="shared" si="38"/>
        <v>0</v>
      </c>
      <c r="E103" s="123">
        <f t="shared" si="38"/>
        <v>0</v>
      </c>
      <c r="F103" s="123">
        <f t="shared" si="38"/>
        <v>0</v>
      </c>
      <c r="G103" s="123">
        <f t="shared" si="38"/>
        <v>0</v>
      </c>
      <c r="H103" s="123">
        <f t="shared" si="38"/>
        <v>0</v>
      </c>
      <c r="I103" s="123">
        <f t="shared" si="38"/>
        <v>0</v>
      </c>
      <c r="J103" s="123">
        <f t="shared" si="38"/>
        <v>0</v>
      </c>
      <c r="K103" s="123">
        <f t="shared" si="38"/>
        <v>0</v>
      </c>
      <c r="L103" s="123">
        <f t="shared" si="38"/>
        <v>0</v>
      </c>
      <c r="M103" s="123">
        <f t="shared" si="38"/>
        <v>0</v>
      </c>
      <c r="N103" s="123">
        <f t="shared" si="38"/>
        <v>0</v>
      </c>
      <c r="O103" s="123">
        <f t="shared" si="38"/>
        <v>0</v>
      </c>
      <c r="P103" s="123">
        <f t="shared" si="38"/>
        <v>0</v>
      </c>
      <c r="Q103" s="123">
        <f t="shared" si="38"/>
        <v>0</v>
      </c>
      <c r="R103" s="123">
        <f t="shared" si="38"/>
        <v>0</v>
      </c>
      <c r="S103" s="123">
        <f t="shared" si="38"/>
        <v>0</v>
      </c>
      <c r="T103" s="123">
        <f t="shared" si="38"/>
        <v>0</v>
      </c>
      <c r="U103" s="123">
        <f t="shared" si="38"/>
        <v>0</v>
      </c>
      <c r="V103" s="123">
        <f t="shared" si="38"/>
        <v>0</v>
      </c>
      <c r="W103" s="123">
        <f t="shared" si="38"/>
        <v>0</v>
      </c>
      <c r="X103" s="123">
        <f t="shared" si="38"/>
        <v>0</v>
      </c>
      <c r="Y103" s="123">
        <f t="shared" si="38"/>
        <v>0</v>
      </c>
      <c r="Z103" s="123">
        <f t="shared" si="38"/>
        <v>0</v>
      </c>
      <c r="AA103" s="123">
        <f t="shared" si="38"/>
        <v>0</v>
      </c>
      <c r="AB103" s="123">
        <f t="shared" si="38"/>
        <v>0</v>
      </c>
      <c r="AC103" s="123">
        <f t="shared" si="38"/>
        <v>0</v>
      </c>
      <c r="AD103" s="123">
        <f t="shared" si="38"/>
        <v>0</v>
      </c>
      <c r="AE103" s="123">
        <f t="shared" si="38"/>
        <v>0</v>
      </c>
      <c r="AF103" s="123">
        <f t="shared" si="38"/>
        <v>0</v>
      </c>
      <c r="AG103" s="123">
        <f t="shared" si="38"/>
        <v>0</v>
      </c>
      <c r="AH103" s="123">
        <f t="shared" si="38"/>
        <v>0</v>
      </c>
      <c r="AI103" s="123">
        <f t="shared" si="38"/>
        <v>0</v>
      </c>
      <c r="AJ103" s="123">
        <f t="shared" si="38"/>
        <v>0</v>
      </c>
      <c r="AK103" s="123">
        <f t="shared" si="38"/>
        <v>0</v>
      </c>
      <c r="AL103" s="123">
        <f t="shared" si="38"/>
        <v>0</v>
      </c>
      <c r="AM103" s="123">
        <f t="shared" si="38"/>
        <v>0</v>
      </c>
      <c r="AN103" s="123">
        <f t="shared" si="38"/>
        <v>0</v>
      </c>
      <c r="AO103" s="123">
        <f t="shared" si="38"/>
        <v>0</v>
      </c>
      <c r="AP103" s="123">
        <f t="shared" si="38"/>
        <v>0</v>
      </c>
    </row>
    <row r="104" spans="1:42" x14ac:dyDescent="0.2">
      <c r="A104" s="198" t="s">
        <v>12</v>
      </c>
      <c r="B104" s="130">
        <f>B$90+B$98+B$103</f>
        <v>0</v>
      </c>
      <c r="C104" s="130">
        <f>C$98+C$103</f>
        <v>0</v>
      </c>
      <c r="D104" s="130">
        <f t="shared" ref="D104:AP104" si="39">D$98+D$103</f>
        <v>0</v>
      </c>
      <c r="E104" s="130">
        <f t="shared" si="39"/>
        <v>0</v>
      </c>
      <c r="F104" s="130">
        <f t="shared" si="39"/>
        <v>0</v>
      </c>
      <c r="G104" s="130">
        <f t="shared" si="39"/>
        <v>0</v>
      </c>
      <c r="H104" s="130">
        <f t="shared" si="39"/>
        <v>0</v>
      </c>
      <c r="I104" s="130">
        <f t="shared" si="39"/>
        <v>0</v>
      </c>
      <c r="J104" s="130">
        <f t="shared" si="39"/>
        <v>0</v>
      </c>
      <c r="K104" s="130">
        <f t="shared" si="39"/>
        <v>0</v>
      </c>
      <c r="L104" s="130">
        <f t="shared" si="39"/>
        <v>0</v>
      </c>
      <c r="M104" s="130">
        <f t="shared" si="39"/>
        <v>0</v>
      </c>
      <c r="N104" s="130">
        <f t="shared" si="39"/>
        <v>0</v>
      </c>
      <c r="O104" s="130">
        <f t="shared" si="39"/>
        <v>0</v>
      </c>
      <c r="P104" s="130">
        <f t="shared" si="39"/>
        <v>0</v>
      </c>
      <c r="Q104" s="130">
        <f t="shared" si="39"/>
        <v>0</v>
      </c>
      <c r="R104" s="130">
        <f t="shared" si="39"/>
        <v>0</v>
      </c>
      <c r="S104" s="130">
        <f t="shared" si="39"/>
        <v>0</v>
      </c>
      <c r="T104" s="130">
        <f t="shared" si="39"/>
        <v>0</v>
      </c>
      <c r="U104" s="130">
        <f t="shared" si="39"/>
        <v>0</v>
      </c>
      <c r="V104" s="130">
        <f t="shared" si="39"/>
        <v>0</v>
      </c>
      <c r="W104" s="130">
        <f t="shared" si="39"/>
        <v>0</v>
      </c>
      <c r="X104" s="130">
        <f t="shared" si="39"/>
        <v>0</v>
      </c>
      <c r="Y104" s="130">
        <f t="shared" si="39"/>
        <v>0</v>
      </c>
      <c r="Z104" s="130">
        <f t="shared" si="39"/>
        <v>0</v>
      </c>
      <c r="AA104" s="130">
        <f t="shared" si="39"/>
        <v>0</v>
      </c>
      <c r="AB104" s="130">
        <f t="shared" si="39"/>
        <v>0</v>
      </c>
      <c r="AC104" s="130">
        <f t="shared" si="39"/>
        <v>0</v>
      </c>
      <c r="AD104" s="130">
        <f t="shared" si="39"/>
        <v>0</v>
      </c>
      <c r="AE104" s="130">
        <f t="shared" si="39"/>
        <v>0</v>
      </c>
      <c r="AF104" s="130">
        <f t="shared" si="39"/>
        <v>0</v>
      </c>
      <c r="AG104" s="130">
        <f t="shared" si="39"/>
        <v>0</v>
      </c>
      <c r="AH104" s="130">
        <f t="shared" si="39"/>
        <v>0</v>
      </c>
      <c r="AI104" s="130">
        <f t="shared" si="39"/>
        <v>0</v>
      </c>
      <c r="AJ104" s="130">
        <f t="shared" si="39"/>
        <v>0</v>
      </c>
      <c r="AK104" s="130">
        <f t="shared" si="39"/>
        <v>0</v>
      </c>
      <c r="AL104" s="130">
        <f t="shared" si="39"/>
        <v>0</v>
      </c>
      <c r="AM104" s="130">
        <f t="shared" si="39"/>
        <v>0</v>
      </c>
      <c r="AN104" s="130">
        <f t="shared" si="39"/>
        <v>0</v>
      </c>
      <c r="AO104" s="130">
        <f t="shared" si="39"/>
        <v>0</v>
      </c>
      <c r="AP104" s="130">
        <f t="shared" si="39"/>
        <v>0</v>
      </c>
    </row>
    <row r="105" spans="1:42" x14ac:dyDescent="0.2">
      <c r="A105" s="17"/>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row>
    <row r="106" spans="1:42" x14ac:dyDescent="0.2">
      <c r="A106" s="19" t="s">
        <v>57</v>
      </c>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row>
    <row r="107" spans="1:42" x14ac:dyDescent="0.2">
      <c r="A107" s="17" t="s">
        <v>197</v>
      </c>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row>
    <row r="108" spans="1:42" x14ac:dyDescent="0.2">
      <c r="A108" s="86" t="s">
        <v>198</v>
      </c>
      <c r="B108" s="120">
        <f>$B$613</f>
        <v>0</v>
      </c>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row>
    <row r="109" spans="1:42" x14ac:dyDescent="0.2">
      <c r="A109" s="86" t="s">
        <v>12</v>
      </c>
      <c r="B109" s="119">
        <f>SUM(B108:B108)</f>
        <v>0</v>
      </c>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row>
    <row r="110" spans="1:42" x14ac:dyDescent="0.2">
      <c r="A110" s="17" t="s">
        <v>196</v>
      </c>
      <c r="B110" s="119">
        <f>-B104-B108</f>
        <v>0</v>
      </c>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row>
    <row r="111" spans="1:42" x14ac:dyDescent="0.2">
      <c r="A111" s="17" t="s">
        <v>195</v>
      </c>
      <c r="B111" s="120">
        <v>0</v>
      </c>
      <c r="C111" s="120">
        <f>-C600</f>
        <v>0</v>
      </c>
      <c r="D111" s="120">
        <f t="shared" ref="D111:AP111" si="40">-D600</f>
        <v>0</v>
      </c>
      <c r="E111" s="120">
        <f t="shared" si="40"/>
        <v>0</v>
      </c>
      <c r="F111" s="120">
        <f t="shared" si="40"/>
        <v>0</v>
      </c>
      <c r="G111" s="120">
        <f t="shared" si="40"/>
        <v>0</v>
      </c>
      <c r="H111" s="120">
        <f t="shared" si="40"/>
        <v>0</v>
      </c>
      <c r="I111" s="120">
        <f t="shared" si="40"/>
        <v>0</v>
      </c>
      <c r="J111" s="120">
        <f t="shared" si="40"/>
        <v>0</v>
      </c>
      <c r="K111" s="120">
        <f t="shared" si="40"/>
        <v>0</v>
      </c>
      <c r="L111" s="120">
        <f t="shared" si="40"/>
        <v>0</v>
      </c>
      <c r="M111" s="120">
        <f t="shared" si="40"/>
        <v>0</v>
      </c>
      <c r="N111" s="120">
        <f t="shared" si="40"/>
        <v>0</v>
      </c>
      <c r="O111" s="120">
        <f t="shared" si="40"/>
        <v>0</v>
      </c>
      <c r="P111" s="120">
        <f t="shared" si="40"/>
        <v>0</v>
      </c>
      <c r="Q111" s="120">
        <f t="shared" si="40"/>
        <v>0</v>
      </c>
      <c r="R111" s="120">
        <f t="shared" si="40"/>
        <v>0</v>
      </c>
      <c r="S111" s="120">
        <f t="shared" si="40"/>
        <v>0</v>
      </c>
      <c r="T111" s="120">
        <f t="shared" si="40"/>
        <v>0</v>
      </c>
      <c r="U111" s="120">
        <f t="shared" si="40"/>
        <v>0</v>
      </c>
      <c r="V111" s="120">
        <f t="shared" si="40"/>
        <v>0</v>
      </c>
      <c r="W111" s="120">
        <f t="shared" si="40"/>
        <v>0</v>
      </c>
      <c r="X111" s="120">
        <f t="shared" si="40"/>
        <v>0</v>
      </c>
      <c r="Y111" s="120">
        <f t="shared" si="40"/>
        <v>0</v>
      </c>
      <c r="Z111" s="120">
        <f t="shared" si="40"/>
        <v>0</v>
      </c>
      <c r="AA111" s="120">
        <f t="shared" si="40"/>
        <v>0</v>
      </c>
      <c r="AB111" s="120">
        <f t="shared" si="40"/>
        <v>0</v>
      </c>
      <c r="AC111" s="120">
        <f t="shared" si="40"/>
        <v>0</v>
      </c>
      <c r="AD111" s="120">
        <f t="shared" si="40"/>
        <v>0</v>
      </c>
      <c r="AE111" s="120">
        <f t="shared" si="40"/>
        <v>0</v>
      </c>
      <c r="AF111" s="120">
        <f t="shared" si="40"/>
        <v>0</v>
      </c>
      <c r="AG111" s="120">
        <f t="shared" si="40"/>
        <v>0</v>
      </c>
      <c r="AH111" s="120">
        <f t="shared" si="40"/>
        <v>0</v>
      </c>
      <c r="AI111" s="120">
        <f t="shared" si="40"/>
        <v>0</v>
      </c>
      <c r="AJ111" s="120">
        <f t="shared" si="40"/>
        <v>0</v>
      </c>
      <c r="AK111" s="120">
        <f t="shared" si="40"/>
        <v>0</v>
      </c>
      <c r="AL111" s="120">
        <f t="shared" si="40"/>
        <v>0</v>
      </c>
      <c r="AM111" s="120">
        <f t="shared" si="40"/>
        <v>0</v>
      </c>
      <c r="AN111" s="120">
        <f t="shared" si="40"/>
        <v>0</v>
      </c>
      <c r="AO111" s="120">
        <f t="shared" si="40"/>
        <v>0</v>
      </c>
      <c r="AP111" s="120">
        <f t="shared" si="40"/>
        <v>0</v>
      </c>
    </row>
    <row r="112" spans="1:42" x14ac:dyDescent="0.2">
      <c r="A112" s="199" t="s">
        <v>12</v>
      </c>
      <c r="B112" s="119">
        <f>SUM(B109:B111)</f>
        <v>0</v>
      </c>
      <c r="C112" s="123">
        <f>SUM(C109:C111)</f>
        <v>0</v>
      </c>
      <c r="D112" s="123">
        <f t="shared" ref="D112:AP112" si="41">SUM(D109:D111)</f>
        <v>0</v>
      </c>
      <c r="E112" s="123">
        <f t="shared" si="41"/>
        <v>0</v>
      </c>
      <c r="F112" s="123">
        <f t="shared" si="41"/>
        <v>0</v>
      </c>
      <c r="G112" s="123">
        <f t="shared" si="41"/>
        <v>0</v>
      </c>
      <c r="H112" s="123">
        <f t="shared" si="41"/>
        <v>0</v>
      </c>
      <c r="I112" s="123">
        <f t="shared" si="41"/>
        <v>0</v>
      </c>
      <c r="J112" s="123">
        <f t="shared" si="41"/>
        <v>0</v>
      </c>
      <c r="K112" s="123">
        <f t="shared" si="41"/>
        <v>0</v>
      </c>
      <c r="L112" s="123">
        <f t="shared" si="41"/>
        <v>0</v>
      </c>
      <c r="M112" s="123">
        <f t="shared" si="41"/>
        <v>0</v>
      </c>
      <c r="N112" s="123">
        <f t="shared" si="41"/>
        <v>0</v>
      </c>
      <c r="O112" s="123">
        <f t="shared" si="41"/>
        <v>0</v>
      </c>
      <c r="P112" s="123">
        <f t="shared" si="41"/>
        <v>0</v>
      </c>
      <c r="Q112" s="123">
        <f t="shared" si="41"/>
        <v>0</v>
      </c>
      <c r="R112" s="123">
        <f t="shared" si="41"/>
        <v>0</v>
      </c>
      <c r="S112" s="123">
        <f t="shared" si="41"/>
        <v>0</v>
      </c>
      <c r="T112" s="123">
        <f t="shared" si="41"/>
        <v>0</v>
      </c>
      <c r="U112" s="123">
        <f t="shared" si="41"/>
        <v>0</v>
      </c>
      <c r="V112" s="123">
        <f t="shared" si="41"/>
        <v>0</v>
      </c>
      <c r="W112" s="123">
        <f t="shared" si="41"/>
        <v>0</v>
      </c>
      <c r="X112" s="123">
        <f t="shared" si="41"/>
        <v>0</v>
      </c>
      <c r="Y112" s="123">
        <f t="shared" si="41"/>
        <v>0</v>
      </c>
      <c r="Z112" s="123">
        <f t="shared" si="41"/>
        <v>0</v>
      </c>
      <c r="AA112" s="123">
        <f t="shared" si="41"/>
        <v>0</v>
      </c>
      <c r="AB112" s="123">
        <f t="shared" si="41"/>
        <v>0</v>
      </c>
      <c r="AC112" s="123">
        <f t="shared" si="41"/>
        <v>0</v>
      </c>
      <c r="AD112" s="123">
        <f t="shared" si="41"/>
        <v>0</v>
      </c>
      <c r="AE112" s="123">
        <f t="shared" si="41"/>
        <v>0</v>
      </c>
      <c r="AF112" s="123">
        <f t="shared" si="41"/>
        <v>0</v>
      </c>
      <c r="AG112" s="123">
        <f t="shared" si="41"/>
        <v>0</v>
      </c>
      <c r="AH112" s="123">
        <f t="shared" si="41"/>
        <v>0</v>
      </c>
      <c r="AI112" s="123">
        <f t="shared" si="41"/>
        <v>0</v>
      </c>
      <c r="AJ112" s="123">
        <f t="shared" si="41"/>
        <v>0</v>
      </c>
      <c r="AK112" s="123">
        <f t="shared" si="41"/>
        <v>0</v>
      </c>
      <c r="AL112" s="123">
        <f t="shared" si="41"/>
        <v>0</v>
      </c>
      <c r="AM112" s="123">
        <f t="shared" si="41"/>
        <v>0</v>
      </c>
      <c r="AN112" s="123">
        <f t="shared" si="41"/>
        <v>0</v>
      </c>
      <c r="AO112" s="123">
        <f t="shared" si="41"/>
        <v>0</v>
      </c>
      <c r="AP112" s="123">
        <f t="shared" si="41"/>
        <v>0</v>
      </c>
    </row>
    <row r="113" spans="1:42" s="200" customFormat="1" ht="13.5" thickBot="1" x14ac:dyDescent="0.25">
      <c r="A113" s="199"/>
      <c r="B113" s="123"/>
      <c r="C113" s="123"/>
      <c r="D113" s="123"/>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c r="AA113" s="123"/>
      <c r="AB113" s="123"/>
      <c r="AC113" s="123"/>
      <c r="AD113" s="123"/>
      <c r="AE113" s="123"/>
      <c r="AF113" s="123"/>
      <c r="AG113" s="123"/>
      <c r="AH113" s="123"/>
      <c r="AI113" s="123"/>
      <c r="AJ113" s="123"/>
      <c r="AK113" s="123"/>
      <c r="AL113" s="123"/>
      <c r="AM113" s="123"/>
      <c r="AN113" s="123"/>
      <c r="AO113" s="123"/>
      <c r="AP113" s="123"/>
    </row>
    <row r="114" spans="1:42" ht="13.5" thickTop="1" x14ac:dyDescent="0.2">
      <c r="A114" s="80" t="s">
        <v>248</v>
      </c>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row>
    <row r="115" spans="1:42" x14ac:dyDescent="0.2">
      <c r="A115" s="19" t="s">
        <v>249</v>
      </c>
    </row>
    <row r="116" spans="1:42" x14ac:dyDescent="0.2">
      <c r="A116" s="86" t="s">
        <v>196</v>
      </c>
      <c r="B116" s="119">
        <f t="shared" ref="B116:AP116" si="42">-B110</f>
        <v>0</v>
      </c>
      <c r="C116" s="119">
        <f t="shared" si="42"/>
        <v>0</v>
      </c>
      <c r="D116" s="119">
        <f t="shared" si="42"/>
        <v>0</v>
      </c>
      <c r="E116" s="119">
        <f t="shared" si="42"/>
        <v>0</v>
      </c>
      <c r="F116" s="119">
        <f t="shared" si="42"/>
        <v>0</v>
      </c>
      <c r="G116" s="119">
        <f t="shared" si="42"/>
        <v>0</v>
      </c>
      <c r="H116" s="119">
        <f t="shared" si="42"/>
        <v>0</v>
      </c>
      <c r="I116" s="119">
        <f t="shared" si="42"/>
        <v>0</v>
      </c>
      <c r="J116" s="119">
        <f t="shared" si="42"/>
        <v>0</v>
      </c>
      <c r="K116" s="119">
        <f t="shared" si="42"/>
        <v>0</v>
      </c>
      <c r="L116" s="119">
        <f t="shared" si="42"/>
        <v>0</v>
      </c>
      <c r="M116" s="119">
        <f t="shared" si="42"/>
        <v>0</v>
      </c>
      <c r="N116" s="119">
        <f t="shared" si="42"/>
        <v>0</v>
      </c>
      <c r="O116" s="119">
        <f t="shared" si="42"/>
        <v>0</v>
      </c>
      <c r="P116" s="119">
        <f t="shared" si="42"/>
        <v>0</v>
      </c>
      <c r="Q116" s="119">
        <f t="shared" si="42"/>
        <v>0</v>
      </c>
      <c r="R116" s="119">
        <f t="shared" si="42"/>
        <v>0</v>
      </c>
      <c r="S116" s="119">
        <f t="shared" si="42"/>
        <v>0</v>
      </c>
      <c r="T116" s="119">
        <f t="shared" si="42"/>
        <v>0</v>
      </c>
      <c r="U116" s="119">
        <f t="shared" si="42"/>
        <v>0</v>
      </c>
      <c r="V116" s="119">
        <f t="shared" si="42"/>
        <v>0</v>
      </c>
      <c r="W116" s="119">
        <f t="shared" si="42"/>
        <v>0</v>
      </c>
      <c r="X116" s="119">
        <f t="shared" si="42"/>
        <v>0</v>
      </c>
      <c r="Y116" s="119">
        <f t="shared" si="42"/>
        <v>0</v>
      </c>
      <c r="Z116" s="119">
        <f t="shared" si="42"/>
        <v>0</v>
      </c>
      <c r="AA116" s="119">
        <f t="shared" si="42"/>
        <v>0</v>
      </c>
      <c r="AB116" s="119">
        <f t="shared" si="42"/>
        <v>0</v>
      </c>
      <c r="AC116" s="119">
        <f t="shared" si="42"/>
        <v>0</v>
      </c>
      <c r="AD116" s="119">
        <f t="shared" si="42"/>
        <v>0</v>
      </c>
      <c r="AE116" s="119">
        <f t="shared" si="42"/>
        <v>0</v>
      </c>
      <c r="AF116" s="119">
        <f t="shared" si="42"/>
        <v>0</v>
      </c>
      <c r="AG116" s="119">
        <f t="shared" si="42"/>
        <v>0</v>
      </c>
      <c r="AH116" s="119">
        <f t="shared" si="42"/>
        <v>0</v>
      </c>
      <c r="AI116" s="119">
        <f t="shared" si="42"/>
        <v>0</v>
      </c>
      <c r="AJ116" s="119">
        <f t="shared" si="42"/>
        <v>0</v>
      </c>
      <c r="AK116" s="119">
        <f t="shared" si="42"/>
        <v>0</v>
      </c>
      <c r="AL116" s="119">
        <f t="shared" si="42"/>
        <v>0</v>
      </c>
      <c r="AM116" s="119">
        <f t="shared" si="42"/>
        <v>0</v>
      </c>
      <c r="AN116" s="119">
        <f t="shared" si="42"/>
        <v>0</v>
      </c>
      <c r="AO116" s="119">
        <f t="shared" si="42"/>
        <v>0</v>
      </c>
      <c r="AP116" s="119">
        <f t="shared" si="42"/>
        <v>0</v>
      </c>
    </row>
    <row r="117" spans="1:42" x14ac:dyDescent="0.2">
      <c r="A117" s="86" t="s">
        <v>306</v>
      </c>
      <c r="B117" s="120">
        <f t="shared" ref="B117:AP117" si="43">B79+B104+B112</f>
        <v>0</v>
      </c>
      <c r="C117" s="120">
        <f t="shared" si="43"/>
        <v>0</v>
      </c>
      <c r="D117" s="120">
        <f t="shared" si="43"/>
        <v>0</v>
      </c>
      <c r="E117" s="120">
        <f t="shared" si="43"/>
        <v>0</v>
      </c>
      <c r="F117" s="120">
        <f t="shared" si="43"/>
        <v>0</v>
      </c>
      <c r="G117" s="120">
        <f t="shared" si="43"/>
        <v>0</v>
      </c>
      <c r="H117" s="120">
        <f t="shared" si="43"/>
        <v>0</v>
      </c>
      <c r="I117" s="120">
        <f t="shared" si="43"/>
        <v>0</v>
      </c>
      <c r="J117" s="120">
        <f t="shared" si="43"/>
        <v>0</v>
      </c>
      <c r="K117" s="120">
        <f t="shared" si="43"/>
        <v>0</v>
      </c>
      <c r="L117" s="120">
        <f t="shared" si="43"/>
        <v>0</v>
      </c>
      <c r="M117" s="120">
        <f t="shared" si="43"/>
        <v>0</v>
      </c>
      <c r="N117" s="120">
        <f t="shared" si="43"/>
        <v>0</v>
      </c>
      <c r="O117" s="120">
        <f t="shared" si="43"/>
        <v>0</v>
      </c>
      <c r="P117" s="120">
        <f t="shared" si="43"/>
        <v>0</v>
      </c>
      <c r="Q117" s="120">
        <f t="shared" si="43"/>
        <v>0</v>
      </c>
      <c r="R117" s="120">
        <f t="shared" si="43"/>
        <v>0</v>
      </c>
      <c r="S117" s="120">
        <f t="shared" si="43"/>
        <v>0</v>
      </c>
      <c r="T117" s="120">
        <f t="shared" si="43"/>
        <v>0</v>
      </c>
      <c r="U117" s="120">
        <f t="shared" si="43"/>
        <v>0</v>
      </c>
      <c r="V117" s="120">
        <f t="shared" si="43"/>
        <v>0</v>
      </c>
      <c r="W117" s="120">
        <f t="shared" si="43"/>
        <v>0</v>
      </c>
      <c r="X117" s="120">
        <f t="shared" si="43"/>
        <v>0</v>
      </c>
      <c r="Y117" s="120">
        <f t="shared" si="43"/>
        <v>0</v>
      </c>
      <c r="Z117" s="120">
        <f t="shared" si="43"/>
        <v>0</v>
      </c>
      <c r="AA117" s="120">
        <f t="shared" si="43"/>
        <v>0</v>
      </c>
      <c r="AB117" s="120">
        <f t="shared" si="43"/>
        <v>0</v>
      </c>
      <c r="AC117" s="120">
        <f t="shared" si="43"/>
        <v>0</v>
      </c>
      <c r="AD117" s="120">
        <f t="shared" si="43"/>
        <v>0</v>
      </c>
      <c r="AE117" s="120">
        <f t="shared" si="43"/>
        <v>0</v>
      </c>
      <c r="AF117" s="120">
        <f t="shared" si="43"/>
        <v>0</v>
      </c>
      <c r="AG117" s="120">
        <f t="shared" si="43"/>
        <v>0</v>
      </c>
      <c r="AH117" s="120">
        <f t="shared" si="43"/>
        <v>0</v>
      </c>
      <c r="AI117" s="120">
        <f t="shared" si="43"/>
        <v>0</v>
      </c>
      <c r="AJ117" s="120">
        <f t="shared" si="43"/>
        <v>0</v>
      </c>
      <c r="AK117" s="120">
        <f t="shared" si="43"/>
        <v>0</v>
      </c>
      <c r="AL117" s="120">
        <f t="shared" si="43"/>
        <v>0</v>
      </c>
      <c r="AM117" s="120">
        <f t="shared" si="43"/>
        <v>0</v>
      </c>
      <c r="AN117" s="120">
        <f t="shared" si="43"/>
        <v>0</v>
      </c>
      <c r="AO117" s="120">
        <f t="shared" si="43"/>
        <v>0</v>
      </c>
      <c r="AP117" s="120">
        <f t="shared" si="43"/>
        <v>0</v>
      </c>
    </row>
    <row r="118" spans="1:42" x14ac:dyDescent="0.2">
      <c r="A118" s="202" t="s">
        <v>12</v>
      </c>
      <c r="B118" s="130">
        <f>SUM(B116:B117)</f>
        <v>0</v>
      </c>
      <c r="C118" s="130">
        <f t="shared" ref="C118:AP118" si="44">SUM(C116:C117)</f>
        <v>0</v>
      </c>
      <c r="D118" s="130">
        <f t="shared" si="44"/>
        <v>0</v>
      </c>
      <c r="E118" s="130">
        <f t="shared" si="44"/>
        <v>0</v>
      </c>
      <c r="F118" s="130">
        <f t="shared" si="44"/>
        <v>0</v>
      </c>
      <c r="G118" s="130">
        <f t="shared" si="44"/>
        <v>0</v>
      </c>
      <c r="H118" s="130">
        <f t="shared" si="44"/>
        <v>0</v>
      </c>
      <c r="I118" s="130">
        <f t="shared" si="44"/>
        <v>0</v>
      </c>
      <c r="J118" s="130">
        <f t="shared" si="44"/>
        <v>0</v>
      </c>
      <c r="K118" s="130">
        <f t="shared" si="44"/>
        <v>0</v>
      </c>
      <c r="L118" s="130">
        <f t="shared" si="44"/>
        <v>0</v>
      </c>
      <c r="M118" s="130">
        <f t="shared" si="44"/>
        <v>0</v>
      </c>
      <c r="N118" s="130">
        <f t="shared" si="44"/>
        <v>0</v>
      </c>
      <c r="O118" s="130">
        <f t="shared" si="44"/>
        <v>0</v>
      </c>
      <c r="P118" s="130">
        <f t="shared" si="44"/>
        <v>0</v>
      </c>
      <c r="Q118" s="130">
        <f t="shared" si="44"/>
        <v>0</v>
      </c>
      <c r="R118" s="130">
        <f t="shared" si="44"/>
        <v>0</v>
      </c>
      <c r="S118" s="130">
        <f t="shared" si="44"/>
        <v>0</v>
      </c>
      <c r="T118" s="130">
        <f t="shared" si="44"/>
        <v>0</v>
      </c>
      <c r="U118" s="130">
        <f t="shared" si="44"/>
        <v>0</v>
      </c>
      <c r="V118" s="130">
        <f t="shared" si="44"/>
        <v>0</v>
      </c>
      <c r="W118" s="130">
        <f t="shared" si="44"/>
        <v>0</v>
      </c>
      <c r="X118" s="130">
        <f t="shared" si="44"/>
        <v>0</v>
      </c>
      <c r="Y118" s="130">
        <f t="shared" si="44"/>
        <v>0</v>
      </c>
      <c r="Z118" s="130">
        <f t="shared" si="44"/>
        <v>0</v>
      </c>
      <c r="AA118" s="130">
        <f t="shared" si="44"/>
        <v>0</v>
      </c>
      <c r="AB118" s="130">
        <f t="shared" si="44"/>
        <v>0</v>
      </c>
      <c r="AC118" s="130">
        <f t="shared" si="44"/>
        <v>0</v>
      </c>
      <c r="AD118" s="130">
        <f t="shared" si="44"/>
        <v>0</v>
      </c>
      <c r="AE118" s="130">
        <f t="shared" si="44"/>
        <v>0</v>
      </c>
      <c r="AF118" s="130">
        <f t="shared" si="44"/>
        <v>0</v>
      </c>
      <c r="AG118" s="130">
        <f t="shared" si="44"/>
        <v>0</v>
      </c>
      <c r="AH118" s="130">
        <f t="shared" si="44"/>
        <v>0</v>
      </c>
      <c r="AI118" s="130">
        <f t="shared" si="44"/>
        <v>0</v>
      </c>
      <c r="AJ118" s="130">
        <f t="shared" si="44"/>
        <v>0</v>
      </c>
      <c r="AK118" s="130">
        <f t="shared" si="44"/>
        <v>0</v>
      </c>
      <c r="AL118" s="130">
        <f t="shared" si="44"/>
        <v>0</v>
      </c>
      <c r="AM118" s="130">
        <f t="shared" si="44"/>
        <v>0</v>
      </c>
      <c r="AN118" s="130">
        <f t="shared" si="44"/>
        <v>0</v>
      </c>
      <c r="AO118" s="130">
        <f t="shared" si="44"/>
        <v>0</v>
      </c>
      <c r="AP118" s="130">
        <f t="shared" si="44"/>
        <v>0</v>
      </c>
    </row>
    <row r="119" spans="1:42" x14ac:dyDescent="0.2">
      <c r="A119" s="17"/>
    </row>
    <row r="120" spans="1:42" x14ac:dyDescent="0.2">
      <c r="A120" s="19" t="s">
        <v>250</v>
      </c>
    </row>
    <row r="121" spans="1:42" x14ac:dyDescent="0.2">
      <c r="A121" s="86" t="s">
        <v>2</v>
      </c>
    </row>
    <row r="122" spans="1:42" x14ac:dyDescent="0.2">
      <c r="A122" s="87" t="s">
        <v>5</v>
      </c>
      <c r="B122" s="119"/>
      <c r="C122" s="119">
        <f>C$534</f>
        <v>0</v>
      </c>
      <c r="D122" s="119">
        <f t="shared" ref="D122:AP122" si="45">D$534</f>
        <v>0</v>
      </c>
      <c r="E122" s="119">
        <f t="shared" si="45"/>
        <v>0</v>
      </c>
      <c r="F122" s="119">
        <f t="shared" si="45"/>
        <v>0</v>
      </c>
      <c r="G122" s="119">
        <f t="shared" si="45"/>
        <v>0</v>
      </c>
      <c r="H122" s="119">
        <f t="shared" si="45"/>
        <v>0</v>
      </c>
      <c r="I122" s="119">
        <f t="shared" si="45"/>
        <v>0</v>
      </c>
      <c r="J122" s="119">
        <f t="shared" si="45"/>
        <v>0</v>
      </c>
      <c r="K122" s="119">
        <f t="shared" si="45"/>
        <v>0</v>
      </c>
      <c r="L122" s="119">
        <f t="shared" si="45"/>
        <v>0</v>
      </c>
      <c r="M122" s="119">
        <f t="shared" si="45"/>
        <v>0</v>
      </c>
      <c r="N122" s="119">
        <f t="shared" si="45"/>
        <v>0</v>
      </c>
      <c r="O122" s="119">
        <f t="shared" si="45"/>
        <v>0</v>
      </c>
      <c r="P122" s="119">
        <f t="shared" si="45"/>
        <v>0</v>
      </c>
      <c r="Q122" s="119">
        <f t="shared" si="45"/>
        <v>0</v>
      </c>
      <c r="R122" s="119">
        <f t="shared" si="45"/>
        <v>0</v>
      </c>
      <c r="S122" s="119">
        <f t="shared" si="45"/>
        <v>0</v>
      </c>
      <c r="T122" s="119">
        <f t="shared" si="45"/>
        <v>0</v>
      </c>
      <c r="U122" s="119">
        <f t="shared" si="45"/>
        <v>0</v>
      </c>
      <c r="V122" s="119">
        <f t="shared" si="45"/>
        <v>0</v>
      </c>
      <c r="W122" s="119">
        <f t="shared" si="45"/>
        <v>0</v>
      </c>
      <c r="X122" s="119">
        <f t="shared" si="45"/>
        <v>0</v>
      </c>
      <c r="Y122" s="119">
        <f t="shared" si="45"/>
        <v>0</v>
      </c>
      <c r="Z122" s="119">
        <f t="shared" si="45"/>
        <v>0</v>
      </c>
      <c r="AA122" s="119">
        <f t="shared" si="45"/>
        <v>0</v>
      </c>
      <c r="AB122" s="119">
        <f t="shared" si="45"/>
        <v>0</v>
      </c>
      <c r="AC122" s="119">
        <f t="shared" si="45"/>
        <v>0</v>
      </c>
      <c r="AD122" s="119">
        <f t="shared" si="45"/>
        <v>0</v>
      </c>
      <c r="AE122" s="119">
        <f t="shared" si="45"/>
        <v>0</v>
      </c>
      <c r="AF122" s="119">
        <f t="shared" si="45"/>
        <v>0</v>
      </c>
      <c r="AG122" s="119">
        <f t="shared" si="45"/>
        <v>0</v>
      </c>
      <c r="AH122" s="119">
        <f t="shared" si="45"/>
        <v>0</v>
      </c>
      <c r="AI122" s="119">
        <f t="shared" si="45"/>
        <v>0</v>
      </c>
      <c r="AJ122" s="119">
        <f t="shared" si="45"/>
        <v>0</v>
      </c>
      <c r="AK122" s="119">
        <f t="shared" si="45"/>
        <v>0</v>
      </c>
      <c r="AL122" s="119">
        <f t="shared" si="45"/>
        <v>0</v>
      </c>
      <c r="AM122" s="119">
        <f t="shared" si="45"/>
        <v>0</v>
      </c>
      <c r="AN122" s="119">
        <f t="shared" si="45"/>
        <v>0</v>
      </c>
      <c r="AO122" s="119">
        <f t="shared" si="45"/>
        <v>0</v>
      </c>
      <c r="AP122" s="119">
        <f t="shared" si="45"/>
        <v>0</v>
      </c>
    </row>
    <row r="123" spans="1:42" x14ac:dyDescent="0.2">
      <c r="A123" s="87" t="s">
        <v>4</v>
      </c>
      <c r="B123" s="120"/>
      <c r="C123" s="120">
        <f>C$540</f>
        <v>0</v>
      </c>
      <c r="D123" s="120">
        <f t="shared" ref="D123:AP123" si="46">D$540</f>
        <v>0</v>
      </c>
      <c r="E123" s="120">
        <f t="shared" si="46"/>
        <v>0</v>
      </c>
      <c r="F123" s="120">
        <f t="shared" si="46"/>
        <v>0</v>
      </c>
      <c r="G123" s="120">
        <f t="shared" si="46"/>
        <v>0</v>
      </c>
      <c r="H123" s="120">
        <f t="shared" si="46"/>
        <v>0</v>
      </c>
      <c r="I123" s="120">
        <f t="shared" si="46"/>
        <v>0</v>
      </c>
      <c r="J123" s="120">
        <f t="shared" si="46"/>
        <v>0</v>
      </c>
      <c r="K123" s="120">
        <f t="shared" si="46"/>
        <v>0</v>
      </c>
      <c r="L123" s="120">
        <f t="shared" si="46"/>
        <v>0</v>
      </c>
      <c r="M123" s="120">
        <f t="shared" si="46"/>
        <v>0</v>
      </c>
      <c r="N123" s="120">
        <f t="shared" si="46"/>
        <v>0</v>
      </c>
      <c r="O123" s="120">
        <f t="shared" si="46"/>
        <v>0</v>
      </c>
      <c r="P123" s="120">
        <f t="shared" si="46"/>
        <v>0</v>
      </c>
      <c r="Q123" s="120">
        <f t="shared" si="46"/>
        <v>0</v>
      </c>
      <c r="R123" s="120">
        <f t="shared" si="46"/>
        <v>0</v>
      </c>
      <c r="S123" s="120">
        <f t="shared" si="46"/>
        <v>0</v>
      </c>
      <c r="T123" s="120">
        <f t="shared" si="46"/>
        <v>0</v>
      </c>
      <c r="U123" s="120">
        <f t="shared" si="46"/>
        <v>0</v>
      </c>
      <c r="V123" s="120">
        <f t="shared" si="46"/>
        <v>0</v>
      </c>
      <c r="W123" s="120">
        <f t="shared" si="46"/>
        <v>0</v>
      </c>
      <c r="X123" s="120">
        <f t="shared" si="46"/>
        <v>0</v>
      </c>
      <c r="Y123" s="120">
        <f t="shared" si="46"/>
        <v>0</v>
      </c>
      <c r="Z123" s="120">
        <f t="shared" si="46"/>
        <v>0</v>
      </c>
      <c r="AA123" s="120">
        <f t="shared" si="46"/>
        <v>0</v>
      </c>
      <c r="AB123" s="120">
        <f t="shared" si="46"/>
        <v>0</v>
      </c>
      <c r="AC123" s="120">
        <f t="shared" si="46"/>
        <v>0</v>
      </c>
      <c r="AD123" s="120">
        <f t="shared" si="46"/>
        <v>0</v>
      </c>
      <c r="AE123" s="120">
        <f t="shared" si="46"/>
        <v>0</v>
      </c>
      <c r="AF123" s="120">
        <f t="shared" si="46"/>
        <v>0</v>
      </c>
      <c r="AG123" s="120">
        <f t="shared" si="46"/>
        <v>0</v>
      </c>
      <c r="AH123" s="120">
        <f t="shared" si="46"/>
        <v>0</v>
      </c>
      <c r="AI123" s="120">
        <f t="shared" si="46"/>
        <v>0</v>
      </c>
      <c r="AJ123" s="120">
        <f t="shared" si="46"/>
        <v>0</v>
      </c>
      <c r="AK123" s="120">
        <f t="shared" si="46"/>
        <v>0</v>
      </c>
      <c r="AL123" s="120">
        <f t="shared" si="46"/>
        <v>0</v>
      </c>
      <c r="AM123" s="120">
        <f t="shared" si="46"/>
        <v>0</v>
      </c>
      <c r="AN123" s="120">
        <f t="shared" si="46"/>
        <v>0</v>
      </c>
      <c r="AO123" s="120">
        <f t="shared" si="46"/>
        <v>0</v>
      </c>
      <c r="AP123" s="120">
        <f t="shared" si="46"/>
        <v>0</v>
      </c>
    </row>
    <row r="124" spans="1:42" x14ac:dyDescent="0.2">
      <c r="A124" s="87" t="s">
        <v>12</v>
      </c>
      <c r="B124" s="119"/>
      <c r="C124" s="119">
        <f>SUM(C$122:C$123)</f>
        <v>0</v>
      </c>
      <c r="D124" s="119">
        <f t="shared" ref="D124:AP124" si="47">SUM(D$122:D$123)</f>
        <v>0</v>
      </c>
      <c r="E124" s="119">
        <f t="shared" si="47"/>
        <v>0</v>
      </c>
      <c r="F124" s="119">
        <f t="shared" si="47"/>
        <v>0</v>
      </c>
      <c r="G124" s="119">
        <f t="shared" si="47"/>
        <v>0</v>
      </c>
      <c r="H124" s="119">
        <f t="shared" si="47"/>
        <v>0</v>
      </c>
      <c r="I124" s="119">
        <f t="shared" si="47"/>
        <v>0</v>
      </c>
      <c r="J124" s="119">
        <f t="shared" si="47"/>
        <v>0</v>
      </c>
      <c r="K124" s="119">
        <f t="shared" si="47"/>
        <v>0</v>
      </c>
      <c r="L124" s="119">
        <f t="shared" si="47"/>
        <v>0</v>
      </c>
      <c r="M124" s="119">
        <f t="shared" si="47"/>
        <v>0</v>
      </c>
      <c r="N124" s="119">
        <f t="shared" si="47"/>
        <v>0</v>
      </c>
      <c r="O124" s="119">
        <f t="shared" si="47"/>
        <v>0</v>
      </c>
      <c r="P124" s="119">
        <f t="shared" si="47"/>
        <v>0</v>
      </c>
      <c r="Q124" s="119">
        <f t="shared" si="47"/>
        <v>0</v>
      </c>
      <c r="R124" s="119">
        <f t="shared" si="47"/>
        <v>0</v>
      </c>
      <c r="S124" s="119">
        <f t="shared" si="47"/>
        <v>0</v>
      </c>
      <c r="T124" s="119">
        <f t="shared" si="47"/>
        <v>0</v>
      </c>
      <c r="U124" s="119">
        <f t="shared" si="47"/>
        <v>0</v>
      </c>
      <c r="V124" s="119">
        <f t="shared" si="47"/>
        <v>0</v>
      </c>
      <c r="W124" s="119">
        <f t="shared" si="47"/>
        <v>0</v>
      </c>
      <c r="X124" s="119">
        <f t="shared" si="47"/>
        <v>0</v>
      </c>
      <c r="Y124" s="119">
        <f t="shared" si="47"/>
        <v>0</v>
      </c>
      <c r="Z124" s="119">
        <f t="shared" si="47"/>
        <v>0</v>
      </c>
      <c r="AA124" s="119">
        <f t="shared" si="47"/>
        <v>0</v>
      </c>
      <c r="AB124" s="119">
        <f t="shared" si="47"/>
        <v>0</v>
      </c>
      <c r="AC124" s="119">
        <f t="shared" si="47"/>
        <v>0</v>
      </c>
      <c r="AD124" s="119">
        <f t="shared" si="47"/>
        <v>0</v>
      </c>
      <c r="AE124" s="119">
        <f t="shared" si="47"/>
        <v>0</v>
      </c>
      <c r="AF124" s="119">
        <f t="shared" si="47"/>
        <v>0</v>
      </c>
      <c r="AG124" s="119">
        <f t="shared" si="47"/>
        <v>0</v>
      </c>
      <c r="AH124" s="119">
        <f t="shared" si="47"/>
        <v>0</v>
      </c>
      <c r="AI124" s="119">
        <f t="shared" si="47"/>
        <v>0</v>
      </c>
      <c r="AJ124" s="119">
        <f t="shared" si="47"/>
        <v>0</v>
      </c>
      <c r="AK124" s="119">
        <f t="shared" si="47"/>
        <v>0</v>
      </c>
      <c r="AL124" s="119">
        <f t="shared" si="47"/>
        <v>0</v>
      </c>
      <c r="AM124" s="119">
        <f t="shared" si="47"/>
        <v>0</v>
      </c>
      <c r="AN124" s="119">
        <f t="shared" si="47"/>
        <v>0</v>
      </c>
      <c r="AO124" s="119">
        <f t="shared" si="47"/>
        <v>0</v>
      </c>
      <c r="AP124" s="119">
        <f t="shared" si="47"/>
        <v>0</v>
      </c>
    </row>
    <row r="125" spans="1:42" x14ac:dyDescent="0.2">
      <c r="A125" s="86" t="s">
        <v>6</v>
      </c>
    </row>
    <row r="126" spans="1:42" x14ac:dyDescent="0.2">
      <c r="A126" s="87" t="s">
        <v>5</v>
      </c>
      <c r="B126" s="119">
        <f>B547</f>
        <v>0</v>
      </c>
      <c r="C126" s="119">
        <f t="shared" ref="C126:AO126" si="48">C547</f>
        <v>0</v>
      </c>
      <c r="D126" s="119">
        <f t="shared" si="48"/>
        <v>0</v>
      </c>
      <c r="E126" s="119">
        <f t="shared" si="48"/>
        <v>0</v>
      </c>
      <c r="F126" s="119">
        <f t="shared" si="48"/>
        <v>0</v>
      </c>
      <c r="G126" s="119">
        <f t="shared" si="48"/>
        <v>0</v>
      </c>
      <c r="H126" s="119">
        <f t="shared" si="48"/>
        <v>0</v>
      </c>
      <c r="I126" s="119">
        <f t="shared" si="48"/>
        <v>0</v>
      </c>
      <c r="J126" s="119">
        <f t="shared" si="48"/>
        <v>0</v>
      </c>
      <c r="K126" s="119">
        <f t="shared" si="48"/>
        <v>0</v>
      </c>
      <c r="L126" s="119">
        <f t="shared" si="48"/>
        <v>0</v>
      </c>
      <c r="M126" s="119">
        <f t="shared" si="48"/>
        <v>0</v>
      </c>
      <c r="N126" s="119">
        <f t="shared" si="48"/>
        <v>0</v>
      </c>
      <c r="O126" s="119">
        <f t="shared" si="48"/>
        <v>0</v>
      </c>
      <c r="P126" s="119">
        <f t="shared" si="48"/>
        <v>0</v>
      </c>
      <c r="Q126" s="119">
        <f t="shared" si="48"/>
        <v>0</v>
      </c>
      <c r="R126" s="119">
        <f t="shared" si="48"/>
        <v>0</v>
      </c>
      <c r="S126" s="119">
        <f t="shared" si="48"/>
        <v>0</v>
      </c>
      <c r="T126" s="119">
        <f t="shared" si="48"/>
        <v>0</v>
      </c>
      <c r="U126" s="119">
        <f t="shared" si="48"/>
        <v>0</v>
      </c>
      <c r="V126" s="119">
        <f t="shared" si="48"/>
        <v>0</v>
      </c>
      <c r="W126" s="119">
        <f t="shared" si="48"/>
        <v>0</v>
      </c>
      <c r="X126" s="119">
        <f t="shared" si="48"/>
        <v>0</v>
      </c>
      <c r="Y126" s="119">
        <f t="shared" si="48"/>
        <v>0</v>
      </c>
      <c r="Z126" s="119">
        <f t="shared" si="48"/>
        <v>0</v>
      </c>
      <c r="AA126" s="119">
        <f t="shared" si="48"/>
        <v>0</v>
      </c>
      <c r="AB126" s="119">
        <f t="shared" si="48"/>
        <v>0</v>
      </c>
      <c r="AC126" s="119">
        <f t="shared" si="48"/>
        <v>0</v>
      </c>
      <c r="AD126" s="119">
        <f t="shared" si="48"/>
        <v>0</v>
      </c>
      <c r="AE126" s="119">
        <f t="shared" si="48"/>
        <v>0</v>
      </c>
      <c r="AF126" s="119">
        <f t="shared" si="48"/>
        <v>0</v>
      </c>
      <c r="AG126" s="119">
        <f t="shared" si="48"/>
        <v>0</v>
      </c>
      <c r="AH126" s="119">
        <f t="shared" si="48"/>
        <v>0</v>
      </c>
      <c r="AI126" s="119">
        <f t="shared" si="48"/>
        <v>0</v>
      </c>
      <c r="AJ126" s="119">
        <f t="shared" si="48"/>
        <v>0</v>
      </c>
      <c r="AK126" s="119">
        <f t="shared" si="48"/>
        <v>0</v>
      </c>
      <c r="AL126" s="119">
        <f t="shared" si="48"/>
        <v>0</v>
      </c>
      <c r="AM126" s="119">
        <f t="shared" si="48"/>
        <v>0</v>
      </c>
      <c r="AN126" s="119">
        <f t="shared" si="48"/>
        <v>0</v>
      </c>
      <c r="AO126" s="119">
        <f t="shared" si="48"/>
        <v>0</v>
      </c>
      <c r="AP126" s="119">
        <f>AP547</f>
        <v>0</v>
      </c>
    </row>
    <row r="127" spans="1:42" x14ac:dyDescent="0.2">
      <c r="A127" s="87" t="s">
        <v>4</v>
      </c>
      <c r="B127" s="120">
        <f>B553</f>
        <v>0</v>
      </c>
      <c r="C127" s="120">
        <f t="shared" ref="C127:AO127" si="49">C553</f>
        <v>0</v>
      </c>
      <c r="D127" s="120">
        <f t="shared" si="49"/>
        <v>0</v>
      </c>
      <c r="E127" s="120">
        <f t="shared" si="49"/>
        <v>0</v>
      </c>
      <c r="F127" s="120">
        <f t="shared" si="49"/>
        <v>0</v>
      </c>
      <c r="G127" s="120">
        <f t="shared" si="49"/>
        <v>0</v>
      </c>
      <c r="H127" s="120">
        <f t="shared" si="49"/>
        <v>0</v>
      </c>
      <c r="I127" s="120">
        <f t="shared" si="49"/>
        <v>0</v>
      </c>
      <c r="J127" s="120">
        <f t="shared" si="49"/>
        <v>0</v>
      </c>
      <c r="K127" s="120">
        <f t="shared" si="49"/>
        <v>0</v>
      </c>
      <c r="L127" s="120">
        <f t="shared" si="49"/>
        <v>0</v>
      </c>
      <c r="M127" s="120">
        <f t="shared" si="49"/>
        <v>0</v>
      </c>
      <c r="N127" s="120">
        <f t="shared" si="49"/>
        <v>0</v>
      </c>
      <c r="O127" s="120">
        <f t="shared" si="49"/>
        <v>0</v>
      </c>
      <c r="P127" s="120">
        <f t="shared" si="49"/>
        <v>0</v>
      </c>
      <c r="Q127" s="120">
        <f t="shared" si="49"/>
        <v>0</v>
      </c>
      <c r="R127" s="120">
        <f t="shared" si="49"/>
        <v>0</v>
      </c>
      <c r="S127" s="120">
        <f t="shared" si="49"/>
        <v>0</v>
      </c>
      <c r="T127" s="120">
        <f t="shared" si="49"/>
        <v>0</v>
      </c>
      <c r="U127" s="120">
        <f t="shared" si="49"/>
        <v>0</v>
      </c>
      <c r="V127" s="120">
        <f t="shared" si="49"/>
        <v>0</v>
      </c>
      <c r="W127" s="120">
        <f t="shared" si="49"/>
        <v>0</v>
      </c>
      <c r="X127" s="120">
        <f t="shared" si="49"/>
        <v>0</v>
      </c>
      <c r="Y127" s="120">
        <f t="shared" si="49"/>
        <v>0</v>
      </c>
      <c r="Z127" s="120">
        <f t="shared" si="49"/>
        <v>0</v>
      </c>
      <c r="AA127" s="120">
        <f t="shared" si="49"/>
        <v>0</v>
      </c>
      <c r="AB127" s="120">
        <f t="shared" si="49"/>
        <v>0</v>
      </c>
      <c r="AC127" s="120">
        <f t="shared" si="49"/>
        <v>0</v>
      </c>
      <c r="AD127" s="120">
        <f t="shared" si="49"/>
        <v>0</v>
      </c>
      <c r="AE127" s="120">
        <f t="shared" si="49"/>
        <v>0</v>
      </c>
      <c r="AF127" s="120">
        <f t="shared" si="49"/>
        <v>0</v>
      </c>
      <c r="AG127" s="120">
        <f t="shared" si="49"/>
        <v>0</v>
      </c>
      <c r="AH127" s="120">
        <f t="shared" si="49"/>
        <v>0</v>
      </c>
      <c r="AI127" s="120">
        <f t="shared" si="49"/>
        <v>0</v>
      </c>
      <c r="AJ127" s="120">
        <f t="shared" si="49"/>
        <v>0</v>
      </c>
      <c r="AK127" s="120">
        <f t="shared" si="49"/>
        <v>0</v>
      </c>
      <c r="AL127" s="120">
        <f t="shared" si="49"/>
        <v>0</v>
      </c>
      <c r="AM127" s="120">
        <f t="shared" si="49"/>
        <v>0</v>
      </c>
      <c r="AN127" s="120">
        <f t="shared" si="49"/>
        <v>0</v>
      </c>
      <c r="AO127" s="120">
        <f t="shared" si="49"/>
        <v>0</v>
      </c>
      <c r="AP127" s="120">
        <f>AP553</f>
        <v>0</v>
      </c>
    </row>
    <row r="128" spans="1:42" x14ac:dyDescent="0.2">
      <c r="A128" s="87" t="s">
        <v>12</v>
      </c>
      <c r="B128" s="119">
        <f>SUM(B126:B127)</f>
        <v>0</v>
      </c>
      <c r="C128" s="119">
        <f>SUM(C126:C127)</f>
        <v>0</v>
      </c>
      <c r="D128" s="119">
        <f>SUM(D126:D127)</f>
        <v>0</v>
      </c>
      <c r="E128" s="119">
        <f t="shared" ref="E128:AP128" si="50">SUM(E126:E127)</f>
        <v>0</v>
      </c>
      <c r="F128" s="119">
        <f t="shared" si="50"/>
        <v>0</v>
      </c>
      <c r="G128" s="119">
        <f t="shared" si="50"/>
        <v>0</v>
      </c>
      <c r="H128" s="119">
        <f t="shared" si="50"/>
        <v>0</v>
      </c>
      <c r="I128" s="119">
        <f t="shared" si="50"/>
        <v>0</v>
      </c>
      <c r="J128" s="119">
        <f t="shared" si="50"/>
        <v>0</v>
      </c>
      <c r="K128" s="119">
        <f t="shared" si="50"/>
        <v>0</v>
      </c>
      <c r="L128" s="119">
        <f t="shared" si="50"/>
        <v>0</v>
      </c>
      <c r="M128" s="119">
        <f t="shared" si="50"/>
        <v>0</v>
      </c>
      <c r="N128" s="119">
        <f t="shared" si="50"/>
        <v>0</v>
      </c>
      <c r="O128" s="119">
        <f t="shared" si="50"/>
        <v>0</v>
      </c>
      <c r="P128" s="119">
        <f t="shared" si="50"/>
        <v>0</v>
      </c>
      <c r="Q128" s="119">
        <f t="shared" si="50"/>
        <v>0</v>
      </c>
      <c r="R128" s="119">
        <f t="shared" si="50"/>
        <v>0</v>
      </c>
      <c r="S128" s="119">
        <f t="shared" si="50"/>
        <v>0</v>
      </c>
      <c r="T128" s="119">
        <f t="shared" si="50"/>
        <v>0</v>
      </c>
      <c r="U128" s="119">
        <f t="shared" si="50"/>
        <v>0</v>
      </c>
      <c r="V128" s="119">
        <f t="shared" si="50"/>
        <v>0</v>
      </c>
      <c r="W128" s="119">
        <f t="shared" si="50"/>
        <v>0</v>
      </c>
      <c r="X128" s="119">
        <f t="shared" si="50"/>
        <v>0</v>
      </c>
      <c r="Y128" s="119">
        <f t="shared" si="50"/>
        <v>0</v>
      </c>
      <c r="Z128" s="119">
        <f t="shared" si="50"/>
        <v>0</v>
      </c>
      <c r="AA128" s="119">
        <f t="shared" si="50"/>
        <v>0</v>
      </c>
      <c r="AB128" s="119">
        <f t="shared" si="50"/>
        <v>0</v>
      </c>
      <c r="AC128" s="119">
        <f t="shared" si="50"/>
        <v>0</v>
      </c>
      <c r="AD128" s="119">
        <f t="shared" si="50"/>
        <v>0</v>
      </c>
      <c r="AE128" s="119">
        <f t="shared" si="50"/>
        <v>0</v>
      </c>
      <c r="AF128" s="119">
        <f t="shared" si="50"/>
        <v>0</v>
      </c>
      <c r="AG128" s="119">
        <f t="shared" si="50"/>
        <v>0</v>
      </c>
      <c r="AH128" s="119">
        <f t="shared" si="50"/>
        <v>0</v>
      </c>
      <c r="AI128" s="119">
        <f t="shared" si="50"/>
        <v>0</v>
      </c>
      <c r="AJ128" s="119">
        <f t="shared" si="50"/>
        <v>0</v>
      </c>
      <c r="AK128" s="119">
        <f t="shared" si="50"/>
        <v>0</v>
      </c>
      <c r="AL128" s="119">
        <f t="shared" si="50"/>
        <v>0</v>
      </c>
      <c r="AM128" s="119">
        <f t="shared" si="50"/>
        <v>0</v>
      </c>
      <c r="AN128" s="119">
        <f t="shared" si="50"/>
        <v>0</v>
      </c>
      <c r="AO128" s="119">
        <f t="shared" si="50"/>
        <v>0</v>
      </c>
      <c r="AP128" s="119">
        <f t="shared" si="50"/>
        <v>0</v>
      </c>
    </row>
    <row r="129" spans="1:42" x14ac:dyDescent="0.2">
      <c r="A129" s="86" t="s">
        <v>64</v>
      </c>
    </row>
    <row r="130" spans="1:42" x14ac:dyDescent="0.2">
      <c r="A130" s="87" t="s">
        <v>5</v>
      </c>
      <c r="B130" s="119">
        <f>B200</f>
        <v>0</v>
      </c>
      <c r="C130" s="119">
        <f>C200</f>
        <v>0</v>
      </c>
      <c r="D130" s="119">
        <f t="shared" ref="D130:AP130" si="51">D200</f>
        <v>0</v>
      </c>
      <c r="E130" s="119">
        <f t="shared" si="51"/>
        <v>0</v>
      </c>
      <c r="F130" s="119">
        <f t="shared" si="51"/>
        <v>0</v>
      </c>
      <c r="G130" s="119">
        <f t="shared" si="51"/>
        <v>0</v>
      </c>
      <c r="H130" s="119">
        <f t="shared" si="51"/>
        <v>0</v>
      </c>
      <c r="I130" s="119">
        <f t="shared" si="51"/>
        <v>0</v>
      </c>
      <c r="J130" s="119">
        <f t="shared" si="51"/>
        <v>0</v>
      </c>
      <c r="K130" s="119">
        <f t="shared" si="51"/>
        <v>0</v>
      </c>
      <c r="L130" s="119">
        <f t="shared" si="51"/>
        <v>0</v>
      </c>
      <c r="M130" s="119">
        <f t="shared" si="51"/>
        <v>0</v>
      </c>
      <c r="N130" s="119">
        <f t="shared" si="51"/>
        <v>0</v>
      </c>
      <c r="O130" s="119">
        <f t="shared" si="51"/>
        <v>0</v>
      </c>
      <c r="P130" s="119">
        <f t="shared" si="51"/>
        <v>0</v>
      </c>
      <c r="Q130" s="119">
        <f t="shared" si="51"/>
        <v>0</v>
      </c>
      <c r="R130" s="119">
        <f t="shared" si="51"/>
        <v>0</v>
      </c>
      <c r="S130" s="119">
        <f t="shared" si="51"/>
        <v>0</v>
      </c>
      <c r="T130" s="119">
        <f t="shared" si="51"/>
        <v>0</v>
      </c>
      <c r="U130" s="119">
        <f t="shared" si="51"/>
        <v>0</v>
      </c>
      <c r="V130" s="119">
        <f t="shared" si="51"/>
        <v>0</v>
      </c>
      <c r="W130" s="119">
        <f t="shared" si="51"/>
        <v>0</v>
      </c>
      <c r="X130" s="119">
        <f t="shared" si="51"/>
        <v>0</v>
      </c>
      <c r="Y130" s="119">
        <f t="shared" si="51"/>
        <v>0</v>
      </c>
      <c r="Z130" s="119">
        <f t="shared" si="51"/>
        <v>0</v>
      </c>
      <c r="AA130" s="119">
        <f t="shared" si="51"/>
        <v>0</v>
      </c>
      <c r="AB130" s="119">
        <f t="shared" si="51"/>
        <v>0</v>
      </c>
      <c r="AC130" s="119">
        <f t="shared" si="51"/>
        <v>0</v>
      </c>
      <c r="AD130" s="119">
        <f t="shared" si="51"/>
        <v>0</v>
      </c>
      <c r="AE130" s="119">
        <f t="shared" si="51"/>
        <v>0</v>
      </c>
      <c r="AF130" s="119">
        <f t="shared" si="51"/>
        <v>0</v>
      </c>
      <c r="AG130" s="119">
        <f t="shared" si="51"/>
        <v>0</v>
      </c>
      <c r="AH130" s="119">
        <f t="shared" si="51"/>
        <v>0</v>
      </c>
      <c r="AI130" s="119">
        <f t="shared" si="51"/>
        <v>0</v>
      </c>
      <c r="AJ130" s="119">
        <f t="shared" si="51"/>
        <v>0</v>
      </c>
      <c r="AK130" s="119">
        <f t="shared" si="51"/>
        <v>0</v>
      </c>
      <c r="AL130" s="119">
        <f t="shared" si="51"/>
        <v>0</v>
      </c>
      <c r="AM130" s="119">
        <f t="shared" si="51"/>
        <v>0</v>
      </c>
      <c r="AN130" s="119">
        <f t="shared" si="51"/>
        <v>0</v>
      </c>
      <c r="AO130" s="119">
        <f t="shared" si="51"/>
        <v>0</v>
      </c>
      <c r="AP130" s="119">
        <f t="shared" si="51"/>
        <v>0</v>
      </c>
    </row>
    <row r="131" spans="1:42" x14ac:dyDescent="0.2">
      <c r="A131" s="87" t="s">
        <v>4</v>
      </c>
      <c r="B131" s="119">
        <f>B240</f>
        <v>0</v>
      </c>
      <c r="C131" s="119">
        <f>C240</f>
        <v>0</v>
      </c>
      <c r="D131" s="119">
        <f t="shared" ref="D131:AP131" si="52">D240</f>
        <v>0</v>
      </c>
      <c r="E131" s="119">
        <f t="shared" si="52"/>
        <v>0</v>
      </c>
      <c r="F131" s="119">
        <f t="shared" si="52"/>
        <v>0</v>
      </c>
      <c r="G131" s="119">
        <f t="shared" si="52"/>
        <v>0</v>
      </c>
      <c r="H131" s="119">
        <f t="shared" si="52"/>
        <v>0</v>
      </c>
      <c r="I131" s="119">
        <f t="shared" si="52"/>
        <v>0</v>
      </c>
      <c r="J131" s="119">
        <f t="shared" si="52"/>
        <v>0</v>
      </c>
      <c r="K131" s="119">
        <f t="shared" si="52"/>
        <v>0</v>
      </c>
      <c r="L131" s="119">
        <f t="shared" si="52"/>
        <v>0</v>
      </c>
      <c r="M131" s="119">
        <f t="shared" si="52"/>
        <v>0</v>
      </c>
      <c r="N131" s="119">
        <f t="shared" si="52"/>
        <v>0</v>
      </c>
      <c r="O131" s="119">
        <f t="shared" si="52"/>
        <v>0</v>
      </c>
      <c r="P131" s="119">
        <f t="shared" si="52"/>
        <v>0</v>
      </c>
      <c r="Q131" s="119">
        <f t="shared" si="52"/>
        <v>0</v>
      </c>
      <c r="R131" s="119">
        <f t="shared" si="52"/>
        <v>0</v>
      </c>
      <c r="S131" s="119">
        <f t="shared" si="52"/>
        <v>0</v>
      </c>
      <c r="T131" s="119">
        <f t="shared" si="52"/>
        <v>0</v>
      </c>
      <c r="U131" s="119">
        <f t="shared" si="52"/>
        <v>0</v>
      </c>
      <c r="V131" s="119">
        <f t="shared" si="52"/>
        <v>0</v>
      </c>
      <c r="W131" s="119">
        <f t="shared" si="52"/>
        <v>0</v>
      </c>
      <c r="X131" s="119">
        <f t="shared" si="52"/>
        <v>0</v>
      </c>
      <c r="Y131" s="119">
        <f t="shared" si="52"/>
        <v>0</v>
      </c>
      <c r="Z131" s="119">
        <f t="shared" si="52"/>
        <v>0</v>
      </c>
      <c r="AA131" s="119">
        <f t="shared" si="52"/>
        <v>0</v>
      </c>
      <c r="AB131" s="119">
        <f t="shared" si="52"/>
        <v>0</v>
      </c>
      <c r="AC131" s="119">
        <f t="shared" si="52"/>
        <v>0</v>
      </c>
      <c r="AD131" s="119">
        <f t="shared" si="52"/>
        <v>0</v>
      </c>
      <c r="AE131" s="119">
        <f t="shared" si="52"/>
        <v>0</v>
      </c>
      <c r="AF131" s="119">
        <f t="shared" si="52"/>
        <v>0</v>
      </c>
      <c r="AG131" s="119">
        <f t="shared" si="52"/>
        <v>0</v>
      </c>
      <c r="AH131" s="119">
        <f t="shared" si="52"/>
        <v>0</v>
      </c>
      <c r="AI131" s="119">
        <f t="shared" si="52"/>
        <v>0</v>
      </c>
      <c r="AJ131" s="119">
        <f t="shared" si="52"/>
        <v>0</v>
      </c>
      <c r="AK131" s="119">
        <f t="shared" si="52"/>
        <v>0</v>
      </c>
      <c r="AL131" s="119">
        <f t="shared" si="52"/>
        <v>0</v>
      </c>
      <c r="AM131" s="119">
        <f t="shared" si="52"/>
        <v>0</v>
      </c>
      <c r="AN131" s="119">
        <f t="shared" si="52"/>
        <v>0</v>
      </c>
      <c r="AO131" s="119">
        <f t="shared" si="52"/>
        <v>0</v>
      </c>
      <c r="AP131" s="119">
        <f t="shared" si="52"/>
        <v>0</v>
      </c>
    </row>
    <row r="132" spans="1:42" x14ac:dyDescent="0.2">
      <c r="A132" s="87" t="s">
        <v>12</v>
      </c>
      <c r="B132" s="130">
        <f>SUM(B130:B131)</f>
        <v>0</v>
      </c>
      <c r="C132" s="130">
        <f>SUM(C130:C131)</f>
        <v>0</v>
      </c>
      <c r="D132" s="130">
        <f>SUM(D130:D131)</f>
        <v>0</v>
      </c>
      <c r="E132" s="130">
        <f t="shared" ref="E132:AP132" si="53">SUM(E130:E131)</f>
        <v>0</v>
      </c>
      <c r="F132" s="130">
        <f t="shared" si="53"/>
        <v>0</v>
      </c>
      <c r="G132" s="130">
        <f t="shared" si="53"/>
        <v>0</v>
      </c>
      <c r="H132" s="130">
        <f t="shared" si="53"/>
        <v>0</v>
      </c>
      <c r="I132" s="130">
        <f t="shared" si="53"/>
        <v>0</v>
      </c>
      <c r="J132" s="130">
        <f t="shared" si="53"/>
        <v>0</v>
      </c>
      <c r="K132" s="130">
        <f t="shared" si="53"/>
        <v>0</v>
      </c>
      <c r="L132" s="130">
        <f t="shared" si="53"/>
        <v>0</v>
      </c>
      <c r="M132" s="130">
        <f t="shared" si="53"/>
        <v>0</v>
      </c>
      <c r="N132" s="130">
        <f t="shared" si="53"/>
        <v>0</v>
      </c>
      <c r="O132" s="130">
        <f t="shared" si="53"/>
        <v>0</v>
      </c>
      <c r="P132" s="130">
        <f t="shared" si="53"/>
        <v>0</v>
      </c>
      <c r="Q132" s="130">
        <f t="shared" si="53"/>
        <v>0</v>
      </c>
      <c r="R132" s="130">
        <f t="shared" si="53"/>
        <v>0</v>
      </c>
      <c r="S132" s="130">
        <f t="shared" si="53"/>
        <v>0</v>
      </c>
      <c r="T132" s="130">
        <f t="shared" si="53"/>
        <v>0</v>
      </c>
      <c r="U132" s="130">
        <f t="shared" si="53"/>
        <v>0</v>
      </c>
      <c r="V132" s="130">
        <f t="shared" si="53"/>
        <v>0</v>
      </c>
      <c r="W132" s="130">
        <f t="shared" si="53"/>
        <v>0</v>
      </c>
      <c r="X132" s="130">
        <f t="shared" si="53"/>
        <v>0</v>
      </c>
      <c r="Y132" s="130">
        <f t="shared" si="53"/>
        <v>0</v>
      </c>
      <c r="Z132" s="130">
        <f t="shared" si="53"/>
        <v>0</v>
      </c>
      <c r="AA132" s="130">
        <f t="shared" si="53"/>
        <v>0</v>
      </c>
      <c r="AB132" s="130">
        <f t="shared" si="53"/>
        <v>0</v>
      </c>
      <c r="AC132" s="130">
        <f t="shared" si="53"/>
        <v>0</v>
      </c>
      <c r="AD132" s="130">
        <f t="shared" si="53"/>
        <v>0</v>
      </c>
      <c r="AE132" s="130">
        <f t="shared" si="53"/>
        <v>0</v>
      </c>
      <c r="AF132" s="130">
        <f t="shared" si="53"/>
        <v>0</v>
      </c>
      <c r="AG132" s="130">
        <f t="shared" si="53"/>
        <v>0</v>
      </c>
      <c r="AH132" s="130">
        <f t="shared" si="53"/>
        <v>0</v>
      </c>
      <c r="AI132" s="130">
        <f t="shared" si="53"/>
        <v>0</v>
      </c>
      <c r="AJ132" s="130">
        <f t="shared" si="53"/>
        <v>0</v>
      </c>
      <c r="AK132" s="130">
        <f t="shared" si="53"/>
        <v>0</v>
      </c>
      <c r="AL132" s="130">
        <f t="shared" si="53"/>
        <v>0</v>
      </c>
      <c r="AM132" s="130">
        <f t="shared" si="53"/>
        <v>0</v>
      </c>
      <c r="AN132" s="130">
        <f t="shared" si="53"/>
        <v>0</v>
      </c>
      <c r="AO132" s="130">
        <f t="shared" si="53"/>
        <v>0</v>
      </c>
      <c r="AP132" s="130">
        <f t="shared" si="53"/>
        <v>0</v>
      </c>
    </row>
    <row r="133" spans="1:42" x14ac:dyDescent="0.2">
      <c r="A133" s="202" t="s">
        <v>12</v>
      </c>
      <c r="B133" s="130">
        <f t="shared" ref="B133:AP133" si="54">B118+B124+B128+B132</f>
        <v>0</v>
      </c>
      <c r="C133" s="130">
        <f t="shared" si="54"/>
        <v>0</v>
      </c>
      <c r="D133" s="130">
        <f t="shared" si="54"/>
        <v>0</v>
      </c>
      <c r="E133" s="130">
        <f t="shared" si="54"/>
        <v>0</v>
      </c>
      <c r="F133" s="130">
        <f t="shared" si="54"/>
        <v>0</v>
      </c>
      <c r="G133" s="130">
        <f t="shared" si="54"/>
        <v>0</v>
      </c>
      <c r="H133" s="130">
        <f t="shared" si="54"/>
        <v>0</v>
      </c>
      <c r="I133" s="130">
        <f t="shared" si="54"/>
        <v>0</v>
      </c>
      <c r="J133" s="130">
        <f t="shared" si="54"/>
        <v>0</v>
      </c>
      <c r="K133" s="130">
        <f t="shared" si="54"/>
        <v>0</v>
      </c>
      <c r="L133" s="130">
        <f t="shared" si="54"/>
        <v>0</v>
      </c>
      <c r="M133" s="130">
        <f t="shared" si="54"/>
        <v>0</v>
      </c>
      <c r="N133" s="130">
        <f t="shared" si="54"/>
        <v>0</v>
      </c>
      <c r="O133" s="130">
        <f t="shared" si="54"/>
        <v>0</v>
      </c>
      <c r="P133" s="130">
        <f t="shared" si="54"/>
        <v>0</v>
      </c>
      <c r="Q133" s="130">
        <f t="shared" si="54"/>
        <v>0</v>
      </c>
      <c r="R133" s="130">
        <f t="shared" si="54"/>
        <v>0</v>
      </c>
      <c r="S133" s="130">
        <f t="shared" si="54"/>
        <v>0</v>
      </c>
      <c r="T133" s="130">
        <f t="shared" si="54"/>
        <v>0</v>
      </c>
      <c r="U133" s="130">
        <f t="shared" si="54"/>
        <v>0</v>
      </c>
      <c r="V133" s="130">
        <f t="shared" si="54"/>
        <v>0</v>
      </c>
      <c r="W133" s="130">
        <f t="shared" si="54"/>
        <v>0</v>
      </c>
      <c r="X133" s="130">
        <f t="shared" si="54"/>
        <v>0</v>
      </c>
      <c r="Y133" s="130">
        <f t="shared" si="54"/>
        <v>0</v>
      </c>
      <c r="Z133" s="130">
        <f t="shared" si="54"/>
        <v>0</v>
      </c>
      <c r="AA133" s="130">
        <f t="shared" si="54"/>
        <v>0</v>
      </c>
      <c r="AB133" s="130">
        <f t="shared" si="54"/>
        <v>0</v>
      </c>
      <c r="AC133" s="130">
        <f t="shared" si="54"/>
        <v>0</v>
      </c>
      <c r="AD133" s="130">
        <f t="shared" si="54"/>
        <v>0</v>
      </c>
      <c r="AE133" s="130">
        <f t="shared" si="54"/>
        <v>0</v>
      </c>
      <c r="AF133" s="130">
        <f t="shared" si="54"/>
        <v>0</v>
      </c>
      <c r="AG133" s="130">
        <f t="shared" si="54"/>
        <v>0</v>
      </c>
      <c r="AH133" s="130">
        <f t="shared" si="54"/>
        <v>0</v>
      </c>
      <c r="AI133" s="130">
        <f t="shared" si="54"/>
        <v>0</v>
      </c>
      <c r="AJ133" s="130">
        <f t="shared" si="54"/>
        <v>0</v>
      </c>
      <c r="AK133" s="130">
        <f t="shared" si="54"/>
        <v>0</v>
      </c>
      <c r="AL133" s="130">
        <f t="shared" si="54"/>
        <v>0</v>
      </c>
      <c r="AM133" s="130">
        <f t="shared" si="54"/>
        <v>0</v>
      </c>
      <c r="AN133" s="130">
        <f t="shared" si="54"/>
        <v>0</v>
      </c>
      <c r="AO133" s="130">
        <f t="shared" si="54"/>
        <v>0</v>
      </c>
      <c r="AP133" s="130">
        <f t="shared" si="54"/>
        <v>0</v>
      </c>
    </row>
    <row r="134" spans="1:42" x14ac:dyDescent="0.2">
      <c r="A134" s="86"/>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row>
    <row r="135" spans="1:42" x14ac:dyDescent="0.2">
      <c r="A135" s="80" t="s">
        <v>199</v>
      </c>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row>
    <row r="136" spans="1:42" x14ac:dyDescent="0.2">
      <c r="A136" s="87"/>
    </row>
    <row r="137" spans="1:42" x14ac:dyDescent="0.2">
      <c r="A137" s="86" t="s">
        <v>185</v>
      </c>
      <c r="B137" s="97"/>
      <c r="C137" s="97" t="str">
        <f>IF(ISERROR(IRR($B133:C133)),"NaN",ROUND(IRR($B133:C133)*100,4))</f>
        <v>NaN</v>
      </c>
      <c r="D137" s="97" t="str">
        <f>IF(ISERROR(IRR($B133:D133)),"NaN",ROUND(IRR($B133:D133)*100,4))</f>
        <v>NaN</v>
      </c>
      <c r="E137" s="97" t="str">
        <f>IF(ISERROR(IRR($B133:E133)),"NaN",ROUND(IRR($B133:E133)*100,4))</f>
        <v>NaN</v>
      </c>
      <c r="F137" s="97" t="str">
        <f>IF(ISERROR(IRR($B133:F133)),"NaN",ROUND(IRR($B133:F133)*100,4))</f>
        <v>NaN</v>
      </c>
      <c r="G137" s="97" t="str">
        <f>IF(ISERROR(IRR($B133:G133)),"NaN",ROUND(IRR($B133:G133)*100,4))</f>
        <v>NaN</v>
      </c>
      <c r="H137" s="97" t="str">
        <f>IF(ISERROR(IRR($B133:H133)),"NaN",ROUND(IRR($B133:H133)*100,4))</f>
        <v>NaN</v>
      </c>
      <c r="I137" s="97" t="str">
        <f>IF(ISERROR(IRR($B133:I133)),"NaN",ROUND(IRR($B133:I133)*100,4))</f>
        <v>NaN</v>
      </c>
      <c r="J137" s="97" t="str">
        <f>IF(ISERROR(IRR($B133:J133)),"NaN",ROUND(IRR($B133:J133)*100,4))</f>
        <v>NaN</v>
      </c>
      <c r="K137" s="97" t="str">
        <f>IF(ISERROR(IRR($B133:K133)),"NaN",ROUND(IRR($B133:K133)*100,4))</f>
        <v>NaN</v>
      </c>
      <c r="L137" s="97" t="str">
        <f>IF(ISERROR(IRR($B133:L133)),"NaN",ROUND(IRR($B133:L133)*100,4))</f>
        <v>NaN</v>
      </c>
      <c r="M137" s="97" t="str">
        <f>IF(ISERROR(IRR($B133:M133)),"NaN",ROUND(IRR($B133:M133)*100,4))</f>
        <v>NaN</v>
      </c>
      <c r="N137" s="97" t="str">
        <f>IF(ISERROR(IRR($B133:N133)),"NaN",ROUND(IRR($B133:N133)*100,4))</f>
        <v>NaN</v>
      </c>
      <c r="O137" s="97" t="str">
        <f>IF(ISERROR(IRR($B133:O133)),"NaN",ROUND(IRR($B133:O133)*100,4))</f>
        <v>NaN</v>
      </c>
      <c r="P137" s="97" t="str">
        <f>IF(ISERROR(IRR($B133:P133)),"NaN",ROUND(IRR($B133:P133)*100,4))</f>
        <v>NaN</v>
      </c>
      <c r="Q137" s="97" t="str">
        <f>IF(ISERROR(IRR($B133:Q133)),"NaN",ROUND(IRR($B133:Q133)*100,4))</f>
        <v>NaN</v>
      </c>
      <c r="R137" s="97" t="str">
        <f>IF(ISERROR(IRR($B133:R133)),"NaN",ROUND(IRR($B133:R133)*100,4))</f>
        <v>NaN</v>
      </c>
      <c r="S137" s="97" t="str">
        <f>IF(ISERROR(IRR($B133:S133)),"NaN",ROUND(IRR($B133:S133)*100,4))</f>
        <v>NaN</v>
      </c>
      <c r="T137" s="97" t="str">
        <f>IF(ISERROR(IRR($B133:T133)),"NaN",ROUND(IRR($B133:T133)*100,4))</f>
        <v>NaN</v>
      </c>
      <c r="U137" s="97" t="str">
        <f>IF(ISERROR(IRR($B133:U133)),"NaN",ROUND(IRR($B133:U133)*100,4))</f>
        <v>NaN</v>
      </c>
      <c r="V137" s="97" t="str">
        <f>IF(ISERROR(IRR($B133:V133)),"NaN",ROUND(IRR($B133:V133)*100,4))</f>
        <v>NaN</v>
      </c>
      <c r="W137" s="97" t="str">
        <f>IF(ISERROR(IRR($B133:W133)),"NaN",ROUND(IRR($B133:W133)*100,4))</f>
        <v>NaN</v>
      </c>
      <c r="X137" s="97" t="str">
        <f>IF(ISERROR(IRR($B133:X133)),"NaN",ROUND(IRR($B133:X133)*100,4))</f>
        <v>NaN</v>
      </c>
      <c r="Y137" s="97" t="str">
        <f>IF(ISERROR(IRR($B133:Y133)),"NaN",ROUND(IRR($B133:Y133)*100,4))</f>
        <v>NaN</v>
      </c>
      <c r="Z137" s="97" t="str">
        <f>IF(ISERROR(IRR($B133:Z133)),"NaN",ROUND(IRR($B133:Z133)*100,4))</f>
        <v>NaN</v>
      </c>
      <c r="AA137" s="97" t="str">
        <f>IF(ISERROR(IRR($B133:AA133)),"NaN",ROUND(IRR($B133:AA133)*100,4))</f>
        <v>NaN</v>
      </c>
      <c r="AB137" s="97" t="str">
        <f>IF(ISERROR(IRR($B133:AB133)),"NaN",ROUND(IRR($B133:AB133)*100,4))</f>
        <v>NaN</v>
      </c>
      <c r="AC137" s="97" t="str">
        <f>IF(ISERROR(IRR($B133:AC133)),"NaN",ROUND(IRR($B133:AC133)*100,4))</f>
        <v>NaN</v>
      </c>
      <c r="AD137" s="97" t="str">
        <f>IF(ISERROR(IRR($B133:AD133)),"NaN",ROUND(IRR($B133:AD133)*100,4))</f>
        <v>NaN</v>
      </c>
      <c r="AE137" s="97" t="str">
        <f>IF(ISERROR(IRR($B133:AE133)),"NaN",ROUND(IRR($B133:AE133)*100,4))</f>
        <v>NaN</v>
      </c>
      <c r="AF137" s="97" t="str">
        <f>IF(ISERROR(IRR($B133:AF133)),"NaN",ROUND(IRR($B133:AF133)*100,4))</f>
        <v>NaN</v>
      </c>
      <c r="AG137" s="97" t="str">
        <f>IF(ISERROR(IRR($B133:AG133)),"NaN",ROUND(IRR($B133:AG133)*100,4))</f>
        <v>NaN</v>
      </c>
      <c r="AH137" s="97" t="str">
        <f>IF(ISERROR(IRR($B133:AH133)),"NaN",ROUND(IRR($B133:AH133)*100,4))</f>
        <v>NaN</v>
      </c>
      <c r="AI137" s="97" t="str">
        <f>IF(ISERROR(IRR($B133:AI133)),"NaN",ROUND(IRR($B133:AI133)*100,4))</f>
        <v>NaN</v>
      </c>
      <c r="AJ137" s="97" t="str">
        <f>IF(ISERROR(IRR($B133:AJ133)),"NaN",ROUND(IRR($B133:AJ133)*100,4))</f>
        <v>NaN</v>
      </c>
      <c r="AK137" s="97" t="str">
        <f>IF(ISERROR(IRR($B133:AK133)),"NaN",ROUND(IRR($B133:AK133)*100,4))</f>
        <v>NaN</v>
      </c>
      <c r="AL137" s="97" t="str">
        <f>IF(ISERROR(IRR($B133:AL133)),"NaN",ROUND(IRR($B133:AL133)*100,4))</f>
        <v>NaN</v>
      </c>
      <c r="AM137" s="97" t="str">
        <f>IF(ISERROR(IRR($B133:AM133)),"NaN",ROUND(IRR($B133:AM133)*100,4))</f>
        <v>NaN</v>
      </c>
      <c r="AN137" s="97" t="str">
        <f>IF(ISERROR(IRR($B133:AN133)),"NaN",ROUND(IRR($B133:AN133)*100,4))</f>
        <v>NaN</v>
      </c>
      <c r="AO137" s="97" t="str">
        <f>IF(ISERROR(IRR($B133:AO133)),"NaN",ROUND(IRR($B133:AO133)*100,4))</f>
        <v>NaN</v>
      </c>
      <c r="AP137" s="97" t="str">
        <f>IF(ISERROR(IRR($B133:AP133)),"NaN",ROUND(IRR($B133:AP133)*100,4))</f>
        <v>NaN</v>
      </c>
    </row>
    <row r="138" spans="1:42" x14ac:dyDescent="0.2">
      <c r="A138" s="21" t="s">
        <v>8</v>
      </c>
      <c r="B138" s="97"/>
      <c r="C138" s="97">
        <f>MAX($B$137:C137)</f>
        <v>0</v>
      </c>
      <c r="D138" s="97">
        <f>MAX($B$137:D137)</f>
        <v>0</v>
      </c>
      <c r="E138" s="97">
        <f>MAX($B$137:E137)</f>
        <v>0</v>
      </c>
      <c r="F138" s="97">
        <f>MAX($B$137:F137)</f>
        <v>0</v>
      </c>
      <c r="G138" s="97">
        <f>MAX($B$137:G137)</f>
        <v>0</v>
      </c>
      <c r="H138" s="97">
        <f>MAX($B$137:H137)</f>
        <v>0</v>
      </c>
      <c r="I138" s="97">
        <f>MAX($B$137:I137)</f>
        <v>0</v>
      </c>
      <c r="J138" s="97">
        <f>MAX($B$137:J137)</f>
        <v>0</v>
      </c>
      <c r="K138" s="97">
        <f>MAX($B$137:K137)</f>
        <v>0</v>
      </c>
      <c r="L138" s="97">
        <f>MAX($B$137:L137)</f>
        <v>0</v>
      </c>
      <c r="M138" s="97">
        <f>MAX($B$137:M137)</f>
        <v>0</v>
      </c>
      <c r="N138" s="97">
        <f>MAX($B$137:N137)</f>
        <v>0</v>
      </c>
      <c r="O138" s="97">
        <f>MAX($B$137:O137)</f>
        <v>0</v>
      </c>
      <c r="P138" s="97">
        <f>MAX($B$137:P137)</f>
        <v>0</v>
      </c>
      <c r="Q138" s="97">
        <f>MAX($B$137:Q137)</f>
        <v>0</v>
      </c>
      <c r="R138" s="97">
        <f>MAX($B$137:R137)</f>
        <v>0</v>
      </c>
      <c r="S138" s="97">
        <f>MAX($B$137:S137)</f>
        <v>0</v>
      </c>
      <c r="T138" s="97">
        <f>MAX($B$137:T137)</f>
        <v>0</v>
      </c>
      <c r="U138" s="97">
        <f>MAX($B$137:U137)</f>
        <v>0</v>
      </c>
      <c r="V138" s="97">
        <f>MAX($B$137:V137)</f>
        <v>0</v>
      </c>
      <c r="W138" s="97">
        <f>MAX($B$137:W137)</f>
        <v>0</v>
      </c>
      <c r="X138" s="97">
        <f>MAX($B$137:X137)</f>
        <v>0</v>
      </c>
      <c r="Y138" s="97">
        <f>MAX($B$137:Y137)</f>
        <v>0</v>
      </c>
      <c r="Z138" s="97">
        <f>MAX($B$137:Z137)</f>
        <v>0</v>
      </c>
      <c r="AA138" s="97">
        <f>MAX($B$137:AA137)</f>
        <v>0</v>
      </c>
      <c r="AB138" s="97">
        <f>MAX($B$137:AB137)</f>
        <v>0</v>
      </c>
      <c r="AC138" s="97">
        <f>MAX($B$137:AC137)</f>
        <v>0</v>
      </c>
      <c r="AD138" s="97">
        <f>MAX($B$137:AD137)</f>
        <v>0</v>
      </c>
      <c r="AE138" s="97">
        <f>MAX($B$137:AE137)</f>
        <v>0</v>
      </c>
      <c r="AF138" s="97">
        <f>MAX($B$137:AF137)</f>
        <v>0</v>
      </c>
      <c r="AG138" s="97">
        <f>MAX($B$137:AG137)</f>
        <v>0</v>
      </c>
      <c r="AH138" s="97">
        <f>MAX($B$137:AH137)</f>
        <v>0</v>
      </c>
      <c r="AI138" s="97">
        <f>MAX($B$137:AI137)</f>
        <v>0</v>
      </c>
      <c r="AJ138" s="97">
        <f>MAX($B$137:AJ137)</f>
        <v>0</v>
      </c>
      <c r="AK138" s="97">
        <f>MAX($B$137:AK137)</f>
        <v>0</v>
      </c>
      <c r="AL138" s="97">
        <f>MAX($B$137:AL137)</f>
        <v>0</v>
      </c>
      <c r="AM138" s="97">
        <f>MAX($B$137:AM137)</f>
        <v>0</v>
      </c>
      <c r="AN138" s="97">
        <f>MAX($B$137:AN137)</f>
        <v>0</v>
      </c>
      <c r="AO138" s="97">
        <f>MAX($B$137:AO137)</f>
        <v>0</v>
      </c>
      <c r="AP138" s="97">
        <f>MAX($B$137:AP137)</f>
        <v>0</v>
      </c>
    </row>
    <row r="139" spans="1:42" x14ac:dyDescent="0.2">
      <c r="A139" s="86" t="s">
        <v>186</v>
      </c>
      <c r="B139" s="146">
        <f>SUM(C139:AP139)</f>
        <v>0</v>
      </c>
      <c r="C139" s="143">
        <f t="shared" ref="C139:AP139" si="55">IF(mp_enable_energy_market_revenue="N/A",IF(C$2=mp_enable_ancserv1,C$2,0),IF(AND(B138&lt;mp_enable_energy_market_revenue,C138&gt;=mp_enable_energy_market_revenue),C$2,0))</f>
        <v>0</v>
      </c>
      <c r="D139" s="143">
        <f t="shared" si="55"/>
        <v>0</v>
      </c>
      <c r="E139" s="143">
        <f t="shared" si="55"/>
        <v>0</v>
      </c>
      <c r="F139" s="143">
        <f t="shared" si="55"/>
        <v>0</v>
      </c>
      <c r="G139" s="143">
        <f t="shared" si="55"/>
        <v>0</v>
      </c>
      <c r="H139" s="143">
        <f t="shared" si="55"/>
        <v>0</v>
      </c>
      <c r="I139" s="143">
        <f t="shared" si="55"/>
        <v>0</v>
      </c>
      <c r="J139" s="143">
        <f t="shared" si="55"/>
        <v>0</v>
      </c>
      <c r="K139" s="143">
        <f t="shared" si="55"/>
        <v>0</v>
      </c>
      <c r="L139" s="143">
        <f t="shared" si="55"/>
        <v>0</v>
      </c>
      <c r="M139" s="143">
        <f t="shared" si="55"/>
        <v>0</v>
      </c>
      <c r="N139" s="143">
        <f t="shared" si="55"/>
        <v>0</v>
      </c>
      <c r="O139" s="143">
        <f t="shared" si="55"/>
        <v>0</v>
      </c>
      <c r="P139" s="143">
        <f t="shared" si="55"/>
        <v>0</v>
      </c>
      <c r="Q139" s="143">
        <f t="shared" si="55"/>
        <v>0</v>
      </c>
      <c r="R139" s="143">
        <f t="shared" si="55"/>
        <v>0</v>
      </c>
      <c r="S139" s="143">
        <f t="shared" si="55"/>
        <v>0</v>
      </c>
      <c r="T139" s="143">
        <f t="shared" si="55"/>
        <v>0</v>
      </c>
      <c r="U139" s="143">
        <f t="shared" si="55"/>
        <v>0</v>
      </c>
      <c r="V139" s="143">
        <f t="shared" si="55"/>
        <v>0</v>
      </c>
      <c r="W139" s="143">
        <f t="shared" si="55"/>
        <v>0</v>
      </c>
      <c r="X139" s="143">
        <f t="shared" si="55"/>
        <v>0</v>
      </c>
      <c r="Y139" s="143">
        <f t="shared" si="55"/>
        <v>0</v>
      </c>
      <c r="Z139" s="143">
        <f t="shared" si="55"/>
        <v>0</v>
      </c>
      <c r="AA139" s="143">
        <f t="shared" si="55"/>
        <v>0</v>
      </c>
      <c r="AB139" s="143">
        <f t="shared" si="55"/>
        <v>0</v>
      </c>
      <c r="AC139" s="143">
        <f t="shared" si="55"/>
        <v>0</v>
      </c>
      <c r="AD139" s="143">
        <f t="shared" si="55"/>
        <v>0</v>
      </c>
      <c r="AE139" s="143">
        <f t="shared" si="55"/>
        <v>0</v>
      </c>
      <c r="AF139" s="143">
        <f t="shared" si="55"/>
        <v>0</v>
      </c>
      <c r="AG139" s="143">
        <f t="shared" si="55"/>
        <v>0</v>
      </c>
      <c r="AH139" s="143">
        <f t="shared" si="55"/>
        <v>0</v>
      </c>
      <c r="AI139" s="143">
        <f t="shared" si="55"/>
        <v>0</v>
      </c>
      <c r="AJ139" s="143">
        <f t="shared" si="55"/>
        <v>0</v>
      </c>
      <c r="AK139" s="143">
        <f t="shared" si="55"/>
        <v>0</v>
      </c>
      <c r="AL139" s="143">
        <f t="shared" si="55"/>
        <v>0</v>
      </c>
      <c r="AM139" s="143">
        <f t="shared" si="55"/>
        <v>0</v>
      </c>
      <c r="AN139" s="143">
        <f t="shared" si="55"/>
        <v>0</v>
      </c>
      <c r="AO139" s="143">
        <f t="shared" si="55"/>
        <v>0</v>
      </c>
      <c r="AP139" s="143">
        <f t="shared" si="55"/>
        <v>0</v>
      </c>
    </row>
    <row r="140" spans="1:42" x14ac:dyDescent="0.2">
      <c r="A140" s="86"/>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row>
    <row r="141" spans="1:42" x14ac:dyDescent="0.2">
      <c r="A141" s="86" t="s">
        <v>188</v>
      </c>
      <c r="B141" s="172">
        <f>B133+NPV(NominalDiscountRate/100,C133:AP133)</f>
        <v>0</v>
      </c>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row>
    <row r="143" spans="1:42" x14ac:dyDescent="0.2">
      <c r="A143" s="80" t="s">
        <v>189</v>
      </c>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row>
    <row r="144" spans="1:42" x14ac:dyDescent="0.2">
      <c r="A144" s="17" t="s">
        <v>182</v>
      </c>
      <c r="B144" s="122">
        <f>B116</f>
        <v>0</v>
      </c>
      <c r="C144" s="119">
        <f t="shared" ref="C144:AP144" si="56">C594+C200+C240-C64-C599-C600+C124+C128-C632-C626-C627-C638-C644-C676-C708+C740-C633+C29</f>
        <v>0</v>
      </c>
      <c r="D144" s="119">
        <f t="shared" si="56"/>
        <v>0</v>
      </c>
      <c r="E144" s="119">
        <f t="shared" si="56"/>
        <v>0</v>
      </c>
      <c r="F144" s="119">
        <f t="shared" si="56"/>
        <v>0</v>
      </c>
      <c r="G144" s="119">
        <f t="shared" si="56"/>
        <v>0</v>
      </c>
      <c r="H144" s="119">
        <f t="shared" si="56"/>
        <v>0</v>
      </c>
      <c r="I144" s="119">
        <f t="shared" si="56"/>
        <v>0</v>
      </c>
      <c r="J144" s="119">
        <f t="shared" si="56"/>
        <v>0</v>
      </c>
      <c r="K144" s="119">
        <f t="shared" si="56"/>
        <v>0</v>
      </c>
      <c r="L144" s="119">
        <f t="shared" si="56"/>
        <v>0</v>
      </c>
      <c r="M144" s="119">
        <f t="shared" si="56"/>
        <v>0</v>
      </c>
      <c r="N144" s="119">
        <f t="shared" si="56"/>
        <v>0</v>
      </c>
      <c r="O144" s="119">
        <f t="shared" si="56"/>
        <v>0</v>
      </c>
      <c r="P144" s="119">
        <f t="shared" si="56"/>
        <v>0</v>
      </c>
      <c r="Q144" s="119">
        <f t="shared" si="56"/>
        <v>0</v>
      </c>
      <c r="R144" s="119">
        <f t="shared" si="56"/>
        <v>0</v>
      </c>
      <c r="S144" s="119">
        <f t="shared" si="56"/>
        <v>0</v>
      </c>
      <c r="T144" s="119">
        <f t="shared" si="56"/>
        <v>0</v>
      </c>
      <c r="U144" s="119">
        <f t="shared" si="56"/>
        <v>0</v>
      </c>
      <c r="V144" s="119">
        <f t="shared" si="56"/>
        <v>0</v>
      </c>
      <c r="W144" s="119">
        <f t="shared" si="56"/>
        <v>0</v>
      </c>
      <c r="X144" s="119">
        <f t="shared" si="56"/>
        <v>0</v>
      </c>
      <c r="Y144" s="119">
        <f t="shared" si="56"/>
        <v>0</v>
      </c>
      <c r="Z144" s="119">
        <f t="shared" si="56"/>
        <v>0</v>
      </c>
      <c r="AA144" s="119">
        <f t="shared" si="56"/>
        <v>0</v>
      </c>
      <c r="AB144" s="119">
        <f t="shared" si="56"/>
        <v>0</v>
      </c>
      <c r="AC144" s="119">
        <f t="shared" si="56"/>
        <v>0</v>
      </c>
      <c r="AD144" s="119">
        <f t="shared" si="56"/>
        <v>0</v>
      </c>
      <c r="AE144" s="119">
        <f t="shared" si="56"/>
        <v>0</v>
      </c>
      <c r="AF144" s="119">
        <f t="shared" si="56"/>
        <v>0</v>
      </c>
      <c r="AG144" s="119">
        <f t="shared" si="56"/>
        <v>0</v>
      </c>
      <c r="AH144" s="119">
        <f t="shared" si="56"/>
        <v>0</v>
      </c>
      <c r="AI144" s="119">
        <f t="shared" si="56"/>
        <v>0</v>
      </c>
      <c r="AJ144" s="119">
        <f t="shared" si="56"/>
        <v>0</v>
      </c>
      <c r="AK144" s="119">
        <f t="shared" si="56"/>
        <v>0</v>
      </c>
      <c r="AL144" s="119">
        <f t="shared" si="56"/>
        <v>0</v>
      </c>
      <c r="AM144" s="119">
        <f t="shared" si="56"/>
        <v>0</v>
      </c>
      <c r="AN144" s="119">
        <f t="shared" si="56"/>
        <v>0</v>
      </c>
      <c r="AO144" s="119">
        <f t="shared" si="56"/>
        <v>0</v>
      </c>
      <c r="AP144" s="119">
        <f t="shared" si="56"/>
        <v>0</v>
      </c>
    </row>
    <row r="145" spans="1:42" x14ac:dyDescent="0.2">
      <c r="A145" s="17" t="s">
        <v>349</v>
      </c>
      <c r="B145" s="122"/>
      <c r="C145" s="119">
        <f>C$22</f>
        <v>0</v>
      </c>
      <c r="D145" s="119">
        <f t="shared" ref="D145:AP145" si="57">D$22</f>
        <v>0</v>
      </c>
      <c r="E145" s="119">
        <f t="shared" si="57"/>
        <v>0</v>
      </c>
      <c r="F145" s="119">
        <f t="shared" si="57"/>
        <v>0</v>
      </c>
      <c r="G145" s="119">
        <f t="shared" si="57"/>
        <v>0</v>
      </c>
      <c r="H145" s="119">
        <f t="shared" si="57"/>
        <v>0</v>
      </c>
      <c r="I145" s="119">
        <f t="shared" si="57"/>
        <v>0</v>
      </c>
      <c r="J145" s="119">
        <f t="shared" si="57"/>
        <v>0</v>
      </c>
      <c r="K145" s="119">
        <f t="shared" si="57"/>
        <v>0</v>
      </c>
      <c r="L145" s="119">
        <f t="shared" si="57"/>
        <v>0</v>
      </c>
      <c r="M145" s="119">
        <f t="shared" si="57"/>
        <v>0</v>
      </c>
      <c r="N145" s="119">
        <f t="shared" si="57"/>
        <v>0</v>
      </c>
      <c r="O145" s="119">
        <f t="shared" si="57"/>
        <v>0</v>
      </c>
      <c r="P145" s="119">
        <f t="shared" si="57"/>
        <v>0</v>
      </c>
      <c r="Q145" s="119">
        <f t="shared" si="57"/>
        <v>0</v>
      </c>
      <c r="R145" s="119">
        <f t="shared" si="57"/>
        <v>0</v>
      </c>
      <c r="S145" s="119">
        <f t="shared" si="57"/>
        <v>0</v>
      </c>
      <c r="T145" s="119">
        <f t="shared" si="57"/>
        <v>0</v>
      </c>
      <c r="U145" s="119">
        <f t="shared" si="57"/>
        <v>0</v>
      </c>
      <c r="V145" s="119">
        <f t="shared" si="57"/>
        <v>0</v>
      </c>
      <c r="W145" s="119">
        <f t="shared" si="57"/>
        <v>0</v>
      </c>
      <c r="X145" s="119">
        <f t="shared" si="57"/>
        <v>0</v>
      </c>
      <c r="Y145" s="119">
        <f t="shared" si="57"/>
        <v>0</v>
      </c>
      <c r="Z145" s="119">
        <f t="shared" si="57"/>
        <v>0</v>
      </c>
      <c r="AA145" s="119">
        <f t="shared" si="57"/>
        <v>0</v>
      </c>
      <c r="AB145" s="119">
        <f t="shared" si="57"/>
        <v>0</v>
      </c>
      <c r="AC145" s="119">
        <f t="shared" si="57"/>
        <v>0</v>
      </c>
      <c r="AD145" s="119">
        <f t="shared" si="57"/>
        <v>0</v>
      </c>
      <c r="AE145" s="119">
        <f t="shared" si="57"/>
        <v>0</v>
      </c>
      <c r="AF145" s="119">
        <f t="shared" si="57"/>
        <v>0</v>
      </c>
      <c r="AG145" s="119">
        <f t="shared" si="57"/>
        <v>0</v>
      </c>
      <c r="AH145" s="119">
        <f t="shared" si="57"/>
        <v>0</v>
      </c>
      <c r="AI145" s="119">
        <f t="shared" si="57"/>
        <v>0</v>
      </c>
      <c r="AJ145" s="119">
        <f t="shared" si="57"/>
        <v>0</v>
      </c>
      <c r="AK145" s="119">
        <f t="shared" si="57"/>
        <v>0</v>
      </c>
      <c r="AL145" s="119">
        <f t="shared" si="57"/>
        <v>0</v>
      </c>
      <c r="AM145" s="119">
        <f t="shared" si="57"/>
        <v>0</v>
      </c>
      <c r="AN145" s="119">
        <f t="shared" si="57"/>
        <v>0</v>
      </c>
      <c r="AO145" s="119">
        <f t="shared" si="57"/>
        <v>0</v>
      </c>
      <c r="AP145" s="119">
        <f t="shared" si="57"/>
        <v>0</v>
      </c>
    </row>
    <row r="146" spans="1:42" x14ac:dyDescent="0.2">
      <c r="A146" s="17" t="s">
        <v>183</v>
      </c>
      <c r="B146" s="122"/>
      <c r="C146" s="119">
        <f>C$5</f>
        <v>0</v>
      </c>
      <c r="D146" s="119">
        <f t="shared" ref="D146:AP146" si="58">D$5</f>
        <v>0</v>
      </c>
      <c r="E146" s="119">
        <f t="shared" si="58"/>
        <v>0</v>
      </c>
      <c r="F146" s="119">
        <f t="shared" si="58"/>
        <v>0</v>
      </c>
      <c r="G146" s="119">
        <f t="shared" si="58"/>
        <v>0</v>
      </c>
      <c r="H146" s="119">
        <f t="shared" si="58"/>
        <v>0</v>
      </c>
      <c r="I146" s="119">
        <f t="shared" si="58"/>
        <v>0</v>
      </c>
      <c r="J146" s="119">
        <f t="shared" si="58"/>
        <v>0</v>
      </c>
      <c r="K146" s="119">
        <f t="shared" si="58"/>
        <v>0</v>
      </c>
      <c r="L146" s="119">
        <f t="shared" si="58"/>
        <v>0</v>
      </c>
      <c r="M146" s="119">
        <f t="shared" si="58"/>
        <v>0</v>
      </c>
      <c r="N146" s="119">
        <f t="shared" si="58"/>
        <v>0</v>
      </c>
      <c r="O146" s="119">
        <f t="shared" si="58"/>
        <v>0</v>
      </c>
      <c r="P146" s="119">
        <f t="shared" si="58"/>
        <v>0</v>
      </c>
      <c r="Q146" s="119">
        <f t="shared" si="58"/>
        <v>0</v>
      </c>
      <c r="R146" s="119">
        <f t="shared" si="58"/>
        <v>0</v>
      </c>
      <c r="S146" s="119">
        <f t="shared" si="58"/>
        <v>0</v>
      </c>
      <c r="T146" s="119">
        <f t="shared" si="58"/>
        <v>0</v>
      </c>
      <c r="U146" s="119">
        <f t="shared" si="58"/>
        <v>0</v>
      </c>
      <c r="V146" s="119">
        <f t="shared" si="58"/>
        <v>0</v>
      </c>
      <c r="W146" s="119">
        <f t="shared" si="58"/>
        <v>0</v>
      </c>
      <c r="X146" s="119">
        <f t="shared" si="58"/>
        <v>0</v>
      </c>
      <c r="Y146" s="119">
        <f t="shared" si="58"/>
        <v>0</v>
      </c>
      <c r="Z146" s="119">
        <f t="shared" si="58"/>
        <v>0</v>
      </c>
      <c r="AA146" s="119">
        <f t="shared" si="58"/>
        <v>0</v>
      </c>
      <c r="AB146" s="119">
        <f t="shared" si="58"/>
        <v>0</v>
      </c>
      <c r="AC146" s="119">
        <f t="shared" si="58"/>
        <v>0</v>
      </c>
      <c r="AD146" s="119">
        <f t="shared" si="58"/>
        <v>0</v>
      </c>
      <c r="AE146" s="119">
        <f t="shared" si="58"/>
        <v>0</v>
      </c>
      <c r="AF146" s="119">
        <f t="shared" si="58"/>
        <v>0</v>
      </c>
      <c r="AG146" s="119">
        <f t="shared" si="58"/>
        <v>0</v>
      </c>
      <c r="AH146" s="119">
        <f t="shared" si="58"/>
        <v>0</v>
      </c>
      <c r="AI146" s="119">
        <f t="shared" si="58"/>
        <v>0</v>
      </c>
      <c r="AJ146" s="119">
        <f t="shared" si="58"/>
        <v>0</v>
      </c>
      <c r="AK146" s="119">
        <f t="shared" si="58"/>
        <v>0</v>
      </c>
      <c r="AL146" s="119">
        <f t="shared" si="58"/>
        <v>0</v>
      </c>
      <c r="AM146" s="119">
        <f t="shared" si="58"/>
        <v>0</v>
      </c>
      <c r="AN146" s="119">
        <f t="shared" si="58"/>
        <v>0</v>
      </c>
      <c r="AO146" s="119">
        <f t="shared" si="58"/>
        <v>0</v>
      </c>
      <c r="AP146" s="119">
        <f t="shared" si="58"/>
        <v>0</v>
      </c>
    </row>
    <row r="148" spans="1:42" x14ac:dyDescent="0.2">
      <c r="A148" s="4" t="s">
        <v>181</v>
      </c>
      <c r="B148" s="140">
        <f>-(B144+NPV(NominalDiscountRate/100,C144:AP144))</f>
        <v>0</v>
      </c>
      <c r="C148" s="119"/>
      <c r="D148" s="119"/>
    </row>
    <row r="149" spans="1:42" x14ac:dyDescent="0.2">
      <c r="A149" s="4" t="s">
        <v>180</v>
      </c>
      <c r="B149" s="140">
        <f>NPV(NominalDiscountRate/100,C146:AP146)</f>
        <v>0</v>
      </c>
    </row>
    <row r="150" spans="1:42" x14ac:dyDescent="0.2">
      <c r="A150" s="4" t="s">
        <v>370</v>
      </c>
      <c r="B150" s="203">
        <f>IF(B149=0,0,B148/B149*100)</f>
        <v>0</v>
      </c>
    </row>
    <row r="151" spans="1:42" x14ac:dyDescent="0.2">
      <c r="B151" s="195"/>
    </row>
    <row r="152" spans="1:42" x14ac:dyDescent="0.2">
      <c r="A152" s="4" t="s">
        <v>381</v>
      </c>
      <c r="B152" s="140">
        <f>NPV(NominalDiscountRate/100,C145:AP145)</f>
        <v>0</v>
      </c>
    </row>
    <row r="153" spans="1:42" x14ac:dyDescent="0.2">
      <c r="A153" s="4" t="s">
        <v>180</v>
      </c>
      <c r="B153" s="140">
        <f>B149</f>
        <v>0</v>
      </c>
    </row>
    <row r="154" spans="1:42" x14ac:dyDescent="0.2">
      <c r="A154" s="4" t="s">
        <v>228</v>
      </c>
      <c r="B154" s="203">
        <f>IF(B153=0,0,B152/B153*100)</f>
        <v>0</v>
      </c>
    </row>
    <row r="155" spans="1:42" x14ac:dyDescent="0.2">
      <c r="B155" s="108"/>
    </row>
    <row r="156" spans="1:42" x14ac:dyDescent="0.2">
      <c r="A156" s="80" t="s">
        <v>371</v>
      </c>
      <c r="B156" s="304"/>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row>
    <row r="157" spans="1:42" x14ac:dyDescent="0.2">
      <c r="A157" s="4" t="s">
        <v>372</v>
      </c>
      <c r="B157" s="119">
        <f t="array" ref="B157:AP158">Inputs!C212:AQ213</f>
        <v>0</v>
      </c>
      <c r="C157" s="119">
        <v>0</v>
      </c>
      <c r="D157" s="119">
        <v>0</v>
      </c>
      <c r="E157" s="119">
        <v>0</v>
      </c>
      <c r="F157" s="119">
        <v>0</v>
      </c>
      <c r="G157" s="119">
        <v>0</v>
      </c>
      <c r="H157" s="119">
        <v>0</v>
      </c>
      <c r="I157" s="119">
        <v>0</v>
      </c>
      <c r="J157" s="119">
        <v>0</v>
      </c>
      <c r="K157" s="119">
        <v>0</v>
      </c>
      <c r="L157" s="119">
        <v>0</v>
      </c>
      <c r="M157" s="119">
        <v>0</v>
      </c>
      <c r="N157" s="119">
        <v>0</v>
      </c>
      <c r="O157" s="119">
        <v>0</v>
      </c>
      <c r="P157" s="119">
        <v>0</v>
      </c>
      <c r="Q157" s="119">
        <v>0</v>
      </c>
      <c r="R157" s="119">
        <v>0</v>
      </c>
      <c r="S157" s="119">
        <v>0</v>
      </c>
      <c r="T157" s="119">
        <v>0</v>
      </c>
      <c r="U157" s="119">
        <v>0</v>
      </c>
      <c r="V157" s="119">
        <v>0</v>
      </c>
      <c r="W157" s="119">
        <v>0</v>
      </c>
      <c r="X157" s="119">
        <v>0</v>
      </c>
      <c r="Y157" s="119">
        <v>0</v>
      </c>
      <c r="Z157" s="119">
        <v>0</v>
      </c>
      <c r="AA157" s="119">
        <v>0</v>
      </c>
      <c r="AB157" s="119">
        <v>0</v>
      </c>
      <c r="AC157" s="119">
        <v>0</v>
      </c>
      <c r="AD157" s="119">
        <v>0</v>
      </c>
      <c r="AE157" s="119">
        <v>0</v>
      </c>
      <c r="AF157" s="119">
        <v>0</v>
      </c>
      <c r="AG157" s="119">
        <v>0</v>
      </c>
      <c r="AH157" s="119">
        <v>0</v>
      </c>
      <c r="AI157" s="119">
        <v>0</v>
      </c>
      <c r="AJ157" s="119">
        <v>0</v>
      </c>
      <c r="AK157" s="119">
        <v>0</v>
      </c>
      <c r="AL157" s="119">
        <v>0</v>
      </c>
      <c r="AM157" s="119">
        <v>0</v>
      </c>
      <c r="AN157" s="119">
        <v>0</v>
      </c>
      <c r="AO157" s="119">
        <v>0</v>
      </c>
      <c r="AP157" s="119">
        <v>0</v>
      </c>
    </row>
    <row r="158" spans="1:42" x14ac:dyDescent="0.2">
      <c r="A158" s="4" t="s">
        <v>373</v>
      </c>
      <c r="B158" s="119">
        <v>0</v>
      </c>
      <c r="C158" s="119">
        <v>0</v>
      </c>
      <c r="D158" s="119">
        <v>0</v>
      </c>
      <c r="E158" s="119">
        <v>0</v>
      </c>
      <c r="F158" s="119">
        <v>0</v>
      </c>
      <c r="G158" s="119">
        <v>0</v>
      </c>
      <c r="H158" s="119">
        <v>0</v>
      </c>
      <c r="I158" s="119">
        <v>0</v>
      </c>
      <c r="J158" s="119">
        <v>0</v>
      </c>
      <c r="K158" s="119">
        <v>0</v>
      </c>
      <c r="L158" s="119">
        <v>0</v>
      </c>
      <c r="M158" s="119">
        <v>0</v>
      </c>
      <c r="N158" s="119">
        <v>0</v>
      </c>
      <c r="O158" s="119">
        <v>0</v>
      </c>
      <c r="P158" s="119">
        <v>0</v>
      </c>
      <c r="Q158" s="119">
        <v>0</v>
      </c>
      <c r="R158" s="119">
        <v>0</v>
      </c>
      <c r="S158" s="119">
        <v>0</v>
      </c>
      <c r="T158" s="119">
        <v>0</v>
      </c>
      <c r="U158" s="119">
        <v>0</v>
      </c>
      <c r="V158" s="119">
        <v>0</v>
      </c>
      <c r="W158" s="119">
        <v>0</v>
      </c>
      <c r="X158" s="119">
        <v>0</v>
      </c>
      <c r="Y158" s="119">
        <v>0</v>
      </c>
      <c r="Z158" s="119">
        <v>0</v>
      </c>
      <c r="AA158" s="119">
        <v>0</v>
      </c>
      <c r="AB158" s="119">
        <v>0</v>
      </c>
      <c r="AC158" s="119">
        <v>0</v>
      </c>
      <c r="AD158" s="119">
        <v>0</v>
      </c>
      <c r="AE158" s="119">
        <v>0</v>
      </c>
      <c r="AF158" s="119">
        <v>0</v>
      </c>
      <c r="AG158" s="119">
        <v>0</v>
      </c>
      <c r="AH158" s="119">
        <v>0</v>
      </c>
      <c r="AI158" s="119">
        <v>0</v>
      </c>
      <c r="AJ158" s="119">
        <v>0</v>
      </c>
      <c r="AK158" s="119">
        <v>0</v>
      </c>
      <c r="AL158" s="119">
        <v>0</v>
      </c>
      <c r="AM158" s="119">
        <v>0</v>
      </c>
      <c r="AN158" s="119">
        <v>0</v>
      </c>
      <c r="AO158" s="119">
        <v>0</v>
      </c>
      <c r="AP158" s="119">
        <v>0</v>
      </c>
    </row>
    <row r="159" spans="1:42" x14ac:dyDescent="0.2">
      <c r="B159" s="108"/>
    </row>
    <row r="160" spans="1:42" x14ac:dyDescent="0.2">
      <c r="A160" s="4" t="s">
        <v>374</v>
      </c>
      <c r="B160" s="119">
        <f>-(B157+NPV(NominalDiscountRate/100,C157:AP157))</f>
        <v>0</v>
      </c>
    </row>
    <row r="161" spans="1:42" x14ac:dyDescent="0.2">
      <c r="A161" s="4" t="s">
        <v>375</v>
      </c>
      <c r="B161" s="119">
        <f>NPV(NominalDiscountRate/100,C158:AP158)</f>
        <v>0</v>
      </c>
    </row>
    <row r="162" spans="1:42" x14ac:dyDescent="0.2">
      <c r="A162" s="4" t="s">
        <v>376</v>
      </c>
      <c r="B162" s="108">
        <f>IF(B161=0,0,B160/B161*100)</f>
        <v>0</v>
      </c>
    </row>
    <row r="164" spans="1:42" x14ac:dyDescent="0.2">
      <c r="A164" s="80" t="s">
        <v>26</v>
      </c>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row>
    <row r="165" spans="1:42" x14ac:dyDescent="0.2">
      <c r="A165" s="19" t="s">
        <v>40</v>
      </c>
    </row>
    <row r="166" spans="1:42" x14ac:dyDescent="0.2">
      <c r="A166" s="86" t="s">
        <v>27</v>
      </c>
      <c r="C166" s="119">
        <f t="shared" ref="C166:AP166" si="59">C66</f>
        <v>0</v>
      </c>
      <c r="D166" s="119">
        <f t="shared" si="59"/>
        <v>0</v>
      </c>
      <c r="E166" s="119">
        <f t="shared" si="59"/>
        <v>0</v>
      </c>
      <c r="F166" s="119">
        <f t="shared" si="59"/>
        <v>0</v>
      </c>
      <c r="G166" s="119">
        <f t="shared" si="59"/>
        <v>0</v>
      </c>
      <c r="H166" s="119">
        <f t="shared" si="59"/>
        <v>0</v>
      </c>
      <c r="I166" s="119">
        <f t="shared" si="59"/>
        <v>0</v>
      </c>
      <c r="J166" s="119">
        <f t="shared" si="59"/>
        <v>0</v>
      </c>
      <c r="K166" s="119">
        <f t="shared" si="59"/>
        <v>0</v>
      </c>
      <c r="L166" s="119">
        <f t="shared" si="59"/>
        <v>0</v>
      </c>
      <c r="M166" s="119">
        <f t="shared" si="59"/>
        <v>0</v>
      </c>
      <c r="N166" s="119">
        <f t="shared" si="59"/>
        <v>0</v>
      </c>
      <c r="O166" s="119">
        <f t="shared" si="59"/>
        <v>0</v>
      </c>
      <c r="P166" s="119">
        <f t="shared" si="59"/>
        <v>0</v>
      </c>
      <c r="Q166" s="119">
        <f t="shared" si="59"/>
        <v>0</v>
      </c>
      <c r="R166" s="119">
        <f t="shared" si="59"/>
        <v>0</v>
      </c>
      <c r="S166" s="119">
        <f t="shared" si="59"/>
        <v>0</v>
      </c>
      <c r="T166" s="119">
        <f t="shared" si="59"/>
        <v>0</v>
      </c>
      <c r="U166" s="119">
        <f t="shared" si="59"/>
        <v>0</v>
      </c>
      <c r="V166" s="119">
        <f t="shared" si="59"/>
        <v>0</v>
      </c>
      <c r="W166" s="119">
        <f t="shared" si="59"/>
        <v>0</v>
      </c>
      <c r="X166" s="119">
        <f t="shared" si="59"/>
        <v>0</v>
      </c>
      <c r="Y166" s="119">
        <f t="shared" si="59"/>
        <v>0</v>
      </c>
      <c r="Z166" s="119">
        <f t="shared" si="59"/>
        <v>0</v>
      </c>
      <c r="AA166" s="119">
        <f t="shared" si="59"/>
        <v>0</v>
      </c>
      <c r="AB166" s="119">
        <f t="shared" si="59"/>
        <v>0</v>
      </c>
      <c r="AC166" s="119">
        <f t="shared" si="59"/>
        <v>0</v>
      </c>
      <c r="AD166" s="119">
        <f t="shared" si="59"/>
        <v>0</v>
      </c>
      <c r="AE166" s="119">
        <f t="shared" si="59"/>
        <v>0</v>
      </c>
      <c r="AF166" s="119">
        <f t="shared" si="59"/>
        <v>0</v>
      </c>
      <c r="AG166" s="119">
        <f t="shared" si="59"/>
        <v>0</v>
      </c>
      <c r="AH166" s="119">
        <f t="shared" si="59"/>
        <v>0</v>
      </c>
      <c r="AI166" s="119">
        <f t="shared" si="59"/>
        <v>0</v>
      </c>
      <c r="AJ166" s="119">
        <f t="shared" si="59"/>
        <v>0</v>
      </c>
      <c r="AK166" s="119">
        <f t="shared" si="59"/>
        <v>0</v>
      </c>
      <c r="AL166" s="119">
        <f t="shared" si="59"/>
        <v>0</v>
      </c>
      <c r="AM166" s="119">
        <f t="shared" si="59"/>
        <v>0</v>
      </c>
      <c r="AN166" s="119">
        <f t="shared" si="59"/>
        <v>0</v>
      </c>
      <c r="AO166" s="119">
        <f t="shared" si="59"/>
        <v>0</v>
      </c>
      <c r="AP166" s="119">
        <f t="shared" si="59"/>
        <v>0</v>
      </c>
    </row>
    <row r="167" spans="1:42" x14ac:dyDescent="0.2">
      <c r="A167" s="86" t="s">
        <v>36</v>
      </c>
      <c r="C167" s="119">
        <f t="shared" ref="C167:AP167" si="60">C740</f>
        <v>0</v>
      </c>
      <c r="D167" s="119">
        <f t="shared" si="60"/>
        <v>0</v>
      </c>
      <c r="E167" s="119">
        <f t="shared" si="60"/>
        <v>0</v>
      </c>
      <c r="F167" s="119">
        <f t="shared" si="60"/>
        <v>0</v>
      </c>
      <c r="G167" s="119">
        <f t="shared" si="60"/>
        <v>0</v>
      </c>
      <c r="H167" s="119">
        <f t="shared" si="60"/>
        <v>0</v>
      </c>
      <c r="I167" s="119">
        <f t="shared" si="60"/>
        <v>0</v>
      </c>
      <c r="J167" s="119">
        <f t="shared" si="60"/>
        <v>0</v>
      </c>
      <c r="K167" s="119">
        <f t="shared" si="60"/>
        <v>0</v>
      </c>
      <c r="L167" s="119">
        <f t="shared" si="60"/>
        <v>0</v>
      </c>
      <c r="M167" s="119">
        <f t="shared" si="60"/>
        <v>0</v>
      </c>
      <c r="N167" s="119">
        <f t="shared" si="60"/>
        <v>0</v>
      </c>
      <c r="O167" s="119">
        <f t="shared" si="60"/>
        <v>0</v>
      </c>
      <c r="P167" s="119">
        <f t="shared" si="60"/>
        <v>0</v>
      </c>
      <c r="Q167" s="119">
        <f t="shared" si="60"/>
        <v>0</v>
      </c>
      <c r="R167" s="119">
        <f t="shared" si="60"/>
        <v>0</v>
      </c>
      <c r="S167" s="119">
        <f t="shared" si="60"/>
        <v>0</v>
      </c>
      <c r="T167" s="119">
        <f t="shared" si="60"/>
        <v>0</v>
      </c>
      <c r="U167" s="119">
        <f t="shared" si="60"/>
        <v>0</v>
      </c>
      <c r="V167" s="119">
        <f t="shared" si="60"/>
        <v>0</v>
      </c>
      <c r="W167" s="119">
        <f t="shared" si="60"/>
        <v>0</v>
      </c>
      <c r="X167" s="119">
        <f t="shared" si="60"/>
        <v>0</v>
      </c>
      <c r="Y167" s="119">
        <f t="shared" si="60"/>
        <v>0</v>
      </c>
      <c r="Z167" s="119">
        <f t="shared" si="60"/>
        <v>0</v>
      </c>
      <c r="AA167" s="119">
        <f t="shared" si="60"/>
        <v>0</v>
      </c>
      <c r="AB167" s="119">
        <f t="shared" si="60"/>
        <v>0</v>
      </c>
      <c r="AC167" s="119">
        <f t="shared" si="60"/>
        <v>0</v>
      </c>
      <c r="AD167" s="119">
        <f t="shared" si="60"/>
        <v>0</v>
      </c>
      <c r="AE167" s="119">
        <f t="shared" si="60"/>
        <v>0</v>
      </c>
      <c r="AF167" s="119">
        <f t="shared" si="60"/>
        <v>0</v>
      </c>
      <c r="AG167" s="119">
        <f t="shared" si="60"/>
        <v>0</v>
      </c>
      <c r="AH167" s="119">
        <f t="shared" si="60"/>
        <v>0</v>
      </c>
      <c r="AI167" s="119">
        <f t="shared" si="60"/>
        <v>0</v>
      </c>
      <c r="AJ167" s="119">
        <f t="shared" si="60"/>
        <v>0</v>
      </c>
      <c r="AK167" s="119">
        <f t="shared" si="60"/>
        <v>0</v>
      </c>
      <c r="AL167" s="119">
        <f t="shared" si="60"/>
        <v>0</v>
      </c>
      <c r="AM167" s="119">
        <f t="shared" si="60"/>
        <v>0</v>
      </c>
      <c r="AN167" s="119">
        <f t="shared" si="60"/>
        <v>0</v>
      </c>
      <c r="AO167" s="119">
        <f t="shared" si="60"/>
        <v>0</v>
      </c>
      <c r="AP167" s="119">
        <f t="shared" si="60"/>
        <v>0</v>
      </c>
    </row>
    <row r="168" spans="1:42" x14ac:dyDescent="0.2">
      <c r="A168" s="86" t="s">
        <v>28</v>
      </c>
      <c r="C168" s="119">
        <f t="shared" ref="C168:AP168" si="61">-C599</f>
        <v>0</v>
      </c>
      <c r="D168" s="119">
        <f t="shared" si="61"/>
        <v>0</v>
      </c>
      <c r="E168" s="119">
        <f t="shared" si="61"/>
        <v>0</v>
      </c>
      <c r="F168" s="119">
        <f t="shared" si="61"/>
        <v>0</v>
      </c>
      <c r="G168" s="119">
        <f t="shared" si="61"/>
        <v>0</v>
      </c>
      <c r="H168" s="119">
        <f t="shared" si="61"/>
        <v>0</v>
      </c>
      <c r="I168" s="119">
        <f t="shared" si="61"/>
        <v>0</v>
      </c>
      <c r="J168" s="119">
        <f t="shared" si="61"/>
        <v>0</v>
      </c>
      <c r="K168" s="119">
        <f t="shared" si="61"/>
        <v>0</v>
      </c>
      <c r="L168" s="119">
        <f t="shared" si="61"/>
        <v>0</v>
      </c>
      <c r="M168" s="119">
        <f t="shared" si="61"/>
        <v>0</v>
      </c>
      <c r="N168" s="119">
        <f t="shared" si="61"/>
        <v>0</v>
      </c>
      <c r="O168" s="119">
        <f t="shared" si="61"/>
        <v>0</v>
      </c>
      <c r="P168" s="119">
        <f t="shared" si="61"/>
        <v>0</v>
      </c>
      <c r="Q168" s="119">
        <f t="shared" si="61"/>
        <v>0</v>
      </c>
      <c r="R168" s="119">
        <f t="shared" si="61"/>
        <v>0</v>
      </c>
      <c r="S168" s="119">
        <f t="shared" si="61"/>
        <v>0</v>
      </c>
      <c r="T168" s="119">
        <f t="shared" si="61"/>
        <v>0</v>
      </c>
      <c r="U168" s="119">
        <f t="shared" si="61"/>
        <v>0</v>
      </c>
      <c r="V168" s="119">
        <f t="shared" si="61"/>
        <v>0</v>
      </c>
      <c r="W168" s="119">
        <f t="shared" si="61"/>
        <v>0</v>
      </c>
      <c r="X168" s="119">
        <f t="shared" si="61"/>
        <v>0</v>
      </c>
      <c r="Y168" s="119">
        <f t="shared" si="61"/>
        <v>0</v>
      </c>
      <c r="Z168" s="119">
        <f t="shared" si="61"/>
        <v>0</v>
      </c>
      <c r="AA168" s="119">
        <f t="shared" si="61"/>
        <v>0</v>
      </c>
      <c r="AB168" s="119">
        <f t="shared" si="61"/>
        <v>0</v>
      </c>
      <c r="AC168" s="119">
        <f t="shared" si="61"/>
        <v>0</v>
      </c>
      <c r="AD168" s="119">
        <f t="shared" si="61"/>
        <v>0</v>
      </c>
      <c r="AE168" s="119">
        <f t="shared" si="61"/>
        <v>0</v>
      </c>
      <c r="AF168" s="119">
        <f t="shared" si="61"/>
        <v>0</v>
      </c>
      <c r="AG168" s="119">
        <f t="shared" si="61"/>
        <v>0</v>
      </c>
      <c r="AH168" s="119">
        <f t="shared" si="61"/>
        <v>0</v>
      </c>
      <c r="AI168" s="119">
        <f t="shared" si="61"/>
        <v>0</v>
      </c>
      <c r="AJ168" s="119">
        <f t="shared" si="61"/>
        <v>0</v>
      </c>
      <c r="AK168" s="119">
        <f t="shared" si="61"/>
        <v>0</v>
      </c>
      <c r="AL168" s="119">
        <f t="shared" si="61"/>
        <v>0</v>
      </c>
      <c r="AM168" s="119">
        <f t="shared" si="61"/>
        <v>0</v>
      </c>
      <c r="AN168" s="119">
        <f t="shared" si="61"/>
        <v>0</v>
      </c>
      <c r="AO168" s="119">
        <f t="shared" si="61"/>
        <v>0</v>
      </c>
      <c r="AP168" s="119">
        <f t="shared" si="61"/>
        <v>0</v>
      </c>
    </row>
    <row r="169" spans="1:42" x14ac:dyDescent="0.2">
      <c r="A169" s="86" t="s">
        <v>31</v>
      </c>
      <c r="C169" s="120">
        <f t="shared" ref="C169:AP169" si="62">IF(C$2&lt;=analysis_period,-C304-C334-C360-C386,0)</f>
        <v>0</v>
      </c>
      <c r="D169" s="120">
        <f t="shared" si="62"/>
        <v>0</v>
      </c>
      <c r="E169" s="120">
        <f t="shared" si="62"/>
        <v>0</v>
      </c>
      <c r="F169" s="120">
        <f t="shared" si="62"/>
        <v>0</v>
      </c>
      <c r="G169" s="120">
        <f t="shared" si="62"/>
        <v>0</v>
      </c>
      <c r="H169" s="120">
        <f t="shared" si="62"/>
        <v>0</v>
      </c>
      <c r="I169" s="120">
        <f t="shared" si="62"/>
        <v>0</v>
      </c>
      <c r="J169" s="120">
        <f t="shared" si="62"/>
        <v>0</v>
      </c>
      <c r="K169" s="120">
        <f t="shared" si="62"/>
        <v>0</v>
      </c>
      <c r="L169" s="120">
        <f t="shared" si="62"/>
        <v>0</v>
      </c>
      <c r="M169" s="120">
        <f t="shared" si="62"/>
        <v>0</v>
      </c>
      <c r="N169" s="120">
        <f t="shared" si="62"/>
        <v>0</v>
      </c>
      <c r="O169" s="120">
        <f t="shared" si="62"/>
        <v>0</v>
      </c>
      <c r="P169" s="120">
        <f t="shared" si="62"/>
        <v>0</v>
      </c>
      <c r="Q169" s="120">
        <f t="shared" si="62"/>
        <v>0</v>
      </c>
      <c r="R169" s="120">
        <f t="shared" si="62"/>
        <v>0</v>
      </c>
      <c r="S169" s="120">
        <f t="shared" si="62"/>
        <v>0</v>
      </c>
      <c r="T169" s="120">
        <f t="shared" si="62"/>
        <v>0</v>
      </c>
      <c r="U169" s="120">
        <f t="shared" si="62"/>
        <v>0</v>
      </c>
      <c r="V169" s="120">
        <f t="shared" si="62"/>
        <v>0</v>
      </c>
      <c r="W169" s="120">
        <f t="shared" si="62"/>
        <v>0</v>
      </c>
      <c r="X169" s="120">
        <f t="shared" si="62"/>
        <v>0</v>
      </c>
      <c r="Y169" s="120">
        <f t="shared" si="62"/>
        <v>0</v>
      </c>
      <c r="Z169" s="120">
        <f t="shared" si="62"/>
        <v>0</v>
      </c>
      <c r="AA169" s="120">
        <f t="shared" si="62"/>
        <v>0</v>
      </c>
      <c r="AB169" s="120">
        <f t="shared" si="62"/>
        <v>0</v>
      </c>
      <c r="AC169" s="120">
        <f t="shared" si="62"/>
        <v>0</v>
      </c>
      <c r="AD169" s="120">
        <f t="shared" si="62"/>
        <v>0</v>
      </c>
      <c r="AE169" s="120">
        <f t="shared" si="62"/>
        <v>0</v>
      </c>
      <c r="AF169" s="120">
        <f t="shared" si="62"/>
        <v>0</v>
      </c>
      <c r="AG169" s="120">
        <f t="shared" si="62"/>
        <v>0</v>
      </c>
      <c r="AH169" s="120">
        <f t="shared" si="62"/>
        <v>0</v>
      </c>
      <c r="AI169" s="120">
        <f t="shared" si="62"/>
        <v>0</v>
      </c>
      <c r="AJ169" s="120">
        <f t="shared" si="62"/>
        <v>0</v>
      </c>
      <c r="AK169" s="120">
        <f t="shared" si="62"/>
        <v>0</v>
      </c>
      <c r="AL169" s="120">
        <f t="shared" si="62"/>
        <v>0</v>
      </c>
      <c r="AM169" s="120">
        <f t="shared" si="62"/>
        <v>0</v>
      </c>
      <c r="AN169" s="120">
        <f t="shared" si="62"/>
        <v>0</v>
      </c>
      <c r="AO169" s="120">
        <f t="shared" si="62"/>
        <v>0</v>
      </c>
      <c r="AP169" s="120">
        <f t="shared" si="62"/>
        <v>0</v>
      </c>
    </row>
    <row r="170" spans="1:42" x14ac:dyDescent="0.2">
      <c r="A170" s="86" t="s">
        <v>162</v>
      </c>
      <c r="C170" s="119">
        <f t="shared" ref="C170:AP170" si="63">SUM(C166:C169)</f>
        <v>0</v>
      </c>
      <c r="D170" s="119">
        <f t="shared" si="63"/>
        <v>0</v>
      </c>
      <c r="E170" s="119">
        <f t="shared" si="63"/>
        <v>0</v>
      </c>
      <c r="F170" s="119">
        <f t="shared" si="63"/>
        <v>0</v>
      </c>
      <c r="G170" s="119">
        <f t="shared" si="63"/>
        <v>0</v>
      </c>
      <c r="H170" s="119">
        <f t="shared" si="63"/>
        <v>0</v>
      </c>
      <c r="I170" s="119">
        <f t="shared" si="63"/>
        <v>0</v>
      </c>
      <c r="J170" s="119">
        <f t="shared" si="63"/>
        <v>0</v>
      </c>
      <c r="K170" s="119">
        <f t="shared" si="63"/>
        <v>0</v>
      </c>
      <c r="L170" s="119">
        <f t="shared" si="63"/>
        <v>0</v>
      </c>
      <c r="M170" s="119">
        <f t="shared" si="63"/>
        <v>0</v>
      </c>
      <c r="N170" s="119">
        <f t="shared" si="63"/>
        <v>0</v>
      </c>
      <c r="O170" s="119">
        <f t="shared" si="63"/>
        <v>0</v>
      </c>
      <c r="P170" s="119">
        <f t="shared" si="63"/>
        <v>0</v>
      </c>
      <c r="Q170" s="119">
        <f t="shared" si="63"/>
        <v>0</v>
      </c>
      <c r="R170" s="119">
        <f t="shared" si="63"/>
        <v>0</v>
      </c>
      <c r="S170" s="119">
        <f t="shared" si="63"/>
        <v>0</v>
      </c>
      <c r="T170" s="119">
        <f t="shared" si="63"/>
        <v>0</v>
      </c>
      <c r="U170" s="119">
        <f t="shared" si="63"/>
        <v>0</v>
      </c>
      <c r="V170" s="119">
        <f t="shared" si="63"/>
        <v>0</v>
      </c>
      <c r="W170" s="119">
        <f t="shared" si="63"/>
        <v>0</v>
      </c>
      <c r="X170" s="119">
        <f t="shared" si="63"/>
        <v>0</v>
      </c>
      <c r="Y170" s="119">
        <f t="shared" si="63"/>
        <v>0</v>
      </c>
      <c r="Z170" s="119">
        <f t="shared" si="63"/>
        <v>0</v>
      </c>
      <c r="AA170" s="119">
        <f t="shared" si="63"/>
        <v>0</v>
      </c>
      <c r="AB170" s="119">
        <f t="shared" si="63"/>
        <v>0</v>
      </c>
      <c r="AC170" s="119">
        <f t="shared" si="63"/>
        <v>0</v>
      </c>
      <c r="AD170" s="119">
        <f t="shared" si="63"/>
        <v>0</v>
      </c>
      <c r="AE170" s="119">
        <f t="shared" si="63"/>
        <v>0</v>
      </c>
      <c r="AF170" s="119">
        <f t="shared" si="63"/>
        <v>0</v>
      </c>
      <c r="AG170" s="119">
        <f t="shared" si="63"/>
        <v>0</v>
      </c>
      <c r="AH170" s="119">
        <f t="shared" si="63"/>
        <v>0</v>
      </c>
      <c r="AI170" s="119">
        <f t="shared" si="63"/>
        <v>0</v>
      </c>
      <c r="AJ170" s="119">
        <f t="shared" si="63"/>
        <v>0</v>
      </c>
      <c r="AK170" s="119">
        <f t="shared" si="63"/>
        <v>0</v>
      </c>
      <c r="AL170" s="119">
        <f t="shared" si="63"/>
        <v>0</v>
      </c>
      <c r="AM170" s="119">
        <f t="shared" si="63"/>
        <v>0</v>
      </c>
      <c r="AN170" s="119">
        <f t="shared" si="63"/>
        <v>0</v>
      </c>
      <c r="AO170" s="119">
        <f t="shared" si="63"/>
        <v>0</v>
      </c>
      <c r="AP170" s="119">
        <f t="shared" si="63"/>
        <v>0</v>
      </c>
    </row>
    <row r="171" spans="1:42" x14ac:dyDescent="0.2">
      <c r="A171" s="86" t="str">
        <f>Inputs!B113</f>
        <v>Investment Based Incentive (IBI)</v>
      </c>
    </row>
    <row r="172" spans="1:42" x14ac:dyDescent="0.2">
      <c r="A172" s="87" t="str">
        <f>Inputs!B114</f>
        <v>As fixed amount</v>
      </c>
    </row>
    <row r="173" spans="1:42" x14ac:dyDescent="0.2">
      <c r="A173" s="78" t="s">
        <v>4</v>
      </c>
      <c r="C173" s="119">
        <f>IF(ibi_fed_amount_tax_sta="Yes",C557,0)</f>
        <v>0</v>
      </c>
    </row>
    <row r="174" spans="1:42" x14ac:dyDescent="0.2">
      <c r="A174" s="78" t="s">
        <v>5</v>
      </c>
      <c r="C174" s="119">
        <f>IF(ibi_sta_amount_tax_sta="Yes",C558,0)</f>
        <v>0</v>
      </c>
    </row>
    <row r="175" spans="1:42" x14ac:dyDescent="0.2">
      <c r="A175" s="78" t="s">
        <v>160</v>
      </c>
      <c r="C175" s="119">
        <f>IF(ibi_uti_amount_tax_sta="Yes",C559,0)</f>
        <v>0</v>
      </c>
    </row>
    <row r="176" spans="1:42" x14ac:dyDescent="0.2">
      <c r="A176" s="78" t="s">
        <v>161</v>
      </c>
      <c r="C176" s="120">
        <f>IF(ibi_oth_amount_tax_sta="Yes",C560,0)</f>
        <v>0</v>
      </c>
    </row>
    <row r="177" spans="1:42" x14ac:dyDescent="0.2">
      <c r="A177" s="78" t="s">
        <v>12</v>
      </c>
      <c r="C177" s="119">
        <f>SUM(C173:C176)</f>
        <v>0</v>
      </c>
    </row>
    <row r="178" spans="1:42" x14ac:dyDescent="0.2">
      <c r="A178" s="87" t="str">
        <f>Inputs!B119</f>
        <v>As percentage</v>
      </c>
      <c r="C178" s="14"/>
    </row>
    <row r="179" spans="1:42" x14ac:dyDescent="0.2">
      <c r="A179" s="78" t="s">
        <v>4</v>
      </c>
      <c r="C179" s="119">
        <f>IF(ibi_fed_percent_tax_sta="Yes",C563,0)</f>
        <v>0</v>
      </c>
    </row>
    <row r="180" spans="1:42" x14ac:dyDescent="0.2">
      <c r="A180" s="78" t="s">
        <v>5</v>
      </c>
      <c r="C180" s="119">
        <f>IF(ibi_sta_percent_tax_sta="Yes",C564,0)</f>
        <v>0</v>
      </c>
    </row>
    <row r="181" spans="1:42" x14ac:dyDescent="0.2">
      <c r="A181" s="78" t="s">
        <v>160</v>
      </c>
      <c r="C181" s="119">
        <f>IF(ibi_uti_percent_tax_sta="Yes",C565,0)</f>
        <v>0</v>
      </c>
    </row>
    <row r="182" spans="1:42" x14ac:dyDescent="0.2">
      <c r="A182" s="78" t="s">
        <v>161</v>
      </c>
      <c r="C182" s="120">
        <f>IF(ibi_oth_percent_tax_sta="Yes",C566,0)</f>
        <v>0</v>
      </c>
    </row>
    <row r="183" spans="1:42" x14ac:dyDescent="0.2">
      <c r="A183" s="78" t="s">
        <v>12</v>
      </c>
      <c r="C183" s="119">
        <f>SUM(C179:C182)</f>
        <v>0</v>
      </c>
    </row>
    <row r="184" spans="1:42" x14ac:dyDescent="0.2">
      <c r="A184" s="86" t="str">
        <f>Inputs!B124</f>
        <v>Capacity Based Incentive (CBI)</v>
      </c>
    </row>
    <row r="185" spans="1:42" x14ac:dyDescent="0.2">
      <c r="A185" s="87" t="s">
        <v>4</v>
      </c>
      <c r="C185" s="119">
        <f>IF(cbi_fed_tax_sta="Yes",C570,0)</f>
        <v>0</v>
      </c>
    </row>
    <row r="186" spans="1:42" x14ac:dyDescent="0.2">
      <c r="A186" s="87" t="s">
        <v>5</v>
      </c>
      <c r="C186" s="119">
        <f>IF(cbi_sta_tax_sta="Yes",C571,0)</f>
        <v>0</v>
      </c>
    </row>
    <row r="187" spans="1:42" x14ac:dyDescent="0.2">
      <c r="A187" s="87" t="s">
        <v>160</v>
      </c>
      <c r="C187" s="119">
        <f>IF(cbi_uti_tax_sta="Yes",C572,0)</f>
        <v>0</v>
      </c>
    </row>
    <row r="188" spans="1:42" x14ac:dyDescent="0.2">
      <c r="A188" s="87" t="s">
        <v>161</v>
      </c>
      <c r="C188" s="120">
        <f>IF(cbi_oth_tax_sta="Yes",C573,0)</f>
        <v>0</v>
      </c>
    </row>
    <row r="189" spans="1:42" x14ac:dyDescent="0.2">
      <c r="A189" s="87" t="s">
        <v>12</v>
      </c>
      <c r="C189" s="119">
        <f>SUM(C185:C188)</f>
        <v>0</v>
      </c>
    </row>
    <row r="190" spans="1:42" x14ac:dyDescent="0.2">
      <c r="A190" s="86" t="str">
        <f>Inputs!B129</f>
        <v>Production Based Incentive (PBI)</v>
      </c>
      <c r="C190" s="14"/>
    </row>
    <row r="191" spans="1:42" x14ac:dyDescent="0.2">
      <c r="A191" s="87" t="s">
        <v>4</v>
      </c>
      <c r="C191" s="119">
        <f t="shared" ref="C191:AP191" si="64">IF(AND(pbi_fed_tax_sta="Yes",pbi_fed_for_ds="No"),C580,0)</f>
        <v>0</v>
      </c>
      <c r="D191" s="119">
        <f t="shared" si="64"/>
        <v>0</v>
      </c>
      <c r="E191" s="119">
        <f t="shared" si="64"/>
        <v>0</v>
      </c>
      <c r="F191" s="119">
        <f t="shared" si="64"/>
        <v>0</v>
      </c>
      <c r="G191" s="119">
        <f t="shared" si="64"/>
        <v>0</v>
      </c>
      <c r="H191" s="119">
        <f t="shared" si="64"/>
        <v>0</v>
      </c>
      <c r="I191" s="119">
        <f t="shared" si="64"/>
        <v>0</v>
      </c>
      <c r="J191" s="119">
        <f t="shared" si="64"/>
        <v>0</v>
      </c>
      <c r="K191" s="119">
        <f t="shared" si="64"/>
        <v>0</v>
      </c>
      <c r="L191" s="119">
        <f t="shared" si="64"/>
        <v>0</v>
      </c>
      <c r="M191" s="119">
        <f t="shared" si="64"/>
        <v>0</v>
      </c>
      <c r="N191" s="119">
        <f t="shared" si="64"/>
        <v>0</v>
      </c>
      <c r="O191" s="119">
        <f t="shared" si="64"/>
        <v>0</v>
      </c>
      <c r="P191" s="119">
        <f t="shared" si="64"/>
        <v>0</v>
      </c>
      <c r="Q191" s="119">
        <f t="shared" si="64"/>
        <v>0</v>
      </c>
      <c r="R191" s="119">
        <f t="shared" si="64"/>
        <v>0</v>
      </c>
      <c r="S191" s="119">
        <f t="shared" si="64"/>
        <v>0</v>
      </c>
      <c r="T191" s="119">
        <f t="shared" si="64"/>
        <v>0</v>
      </c>
      <c r="U191" s="119">
        <f t="shared" si="64"/>
        <v>0</v>
      </c>
      <c r="V191" s="119">
        <f t="shared" si="64"/>
        <v>0</v>
      </c>
      <c r="W191" s="119">
        <f t="shared" si="64"/>
        <v>0</v>
      </c>
      <c r="X191" s="119">
        <f t="shared" si="64"/>
        <v>0</v>
      </c>
      <c r="Y191" s="119">
        <f t="shared" si="64"/>
        <v>0</v>
      </c>
      <c r="Z191" s="119">
        <f t="shared" si="64"/>
        <v>0</v>
      </c>
      <c r="AA191" s="119">
        <f t="shared" si="64"/>
        <v>0</v>
      </c>
      <c r="AB191" s="119">
        <f t="shared" si="64"/>
        <v>0</v>
      </c>
      <c r="AC191" s="119">
        <f t="shared" si="64"/>
        <v>0</v>
      </c>
      <c r="AD191" s="119">
        <f t="shared" si="64"/>
        <v>0</v>
      </c>
      <c r="AE191" s="119">
        <f t="shared" si="64"/>
        <v>0</v>
      </c>
      <c r="AF191" s="119">
        <f t="shared" si="64"/>
        <v>0</v>
      </c>
      <c r="AG191" s="119">
        <f t="shared" si="64"/>
        <v>0</v>
      </c>
      <c r="AH191" s="119">
        <f t="shared" si="64"/>
        <v>0</v>
      </c>
      <c r="AI191" s="119">
        <f t="shared" si="64"/>
        <v>0</v>
      </c>
      <c r="AJ191" s="119">
        <f t="shared" si="64"/>
        <v>0</v>
      </c>
      <c r="AK191" s="119">
        <f t="shared" si="64"/>
        <v>0</v>
      </c>
      <c r="AL191" s="119">
        <f t="shared" si="64"/>
        <v>0</v>
      </c>
      <c r="AM191" s="119">
        <f t="shared" si="64"/>
        <v>0</v>
      </c>
      <c r="AN191" s="119">
        <f t="shared" si="64"/>
        <v>0</v>
      </c>
      <c r="AO191" s="119">
        <f t="shared" si="64"/>
        <v>0</v>
      </c>
      <c r="AP191" s="119">
        <f t="shared" si="64"/>
        <v>0</v>
      </c>
    </row>
    <row r="192" spans="1:42" x14ac:dyDescent="0.2">
      <c r="A192" s="87" t="s">
        <v>5</v>
      </c>
      <c r="C192" s="119">
        <f t="shared" ref="C192:AP192" si="65">IF(AND(pbi_sta_tax_sta="Yes",pbi_sta_for_ds="No"),C584,0)</f>
        <v>0</v>
      </c>
      <c r="D192" s="119">
        <f t="shared" si="65"/>
        <v>0</v>
      </c>
      <c r="E192" s="119">
        <f t="shared" si="65"/>
        <v>0</v>
      </c>
      <c r="F192" s="119">
        <f t="shared" si="65"/>
        <v>0</v>
      </c>
      <c r="G192" s="119">
        <f t="shared" si="65"/>
        <v>0</v>
      </c>
      <c r="H192" s="119">
        <f t="shared" si="65"/>
        <v>0</v>
      </c>
      <c r="I192" s="119">
        <f t="shared" si="65"/>
        <v>0</v>
      </c>
      <c r="J192" s="119">
        <f t="shared" si="65"/>
        <v>0</v>
      </c>
      <c r="K192" s="119">
        <f t="shared" si="65"/>
        <v>0</v>
      </c>
      <c r="L192" s="119">
        <f t="shared" si="65"/>
        <v>0</v>
      </c>
      <c r="M192" s="119">
        <f t="shared" si="65"/>
        <v>0</v>
      </c>
      <c r="N192" s="119">
        <f t="shared" si="65"/>
        <v>0</v>
      </c>
      <c r="O192" s="119">
        <f t="shared" si="65"/>
        <v>0</v>
      </c>
      <c r="P192" s="119">
        <f t="shared" si="65"/>
        <v>0</v>
      </c>
      <c r="Q192" s="119">
        <f t="shared" si="65"/>
        <v>0</v>
      </c>
      <c r="R192" s="119">
        <f t="shared" si="65"/>
        <v>0</v>
      </c>
      <c r="S192" s="119">
        <f t="shared" si="65"/>
        <v>0</v>
      </c>
      <c r="T192" s="119">
        <f t="shared" si="65"/>
        <v>0</v>
      </c>
      <c r="U192" s="119">
        <f t="shared" si="65"/>
        <v>0</v>
      </c>
      <c r="V192" s="119">
        <f t="shared" si="65"/>
        <v>0</v>
      </c>
      <c r="W192" s="119">
        <f t="shared" si="65"/>
        <v>0</v>
      </c>
      <c r="X192" s="119">
        <f t="shared" si="65"/>
        <v>0</v>
      </c>
      <c r="Y192" s="119">
        <f t="shared" si="65"/>
        <v>0</v>
      </c>
      <c r="Z192" s="119">
        <f t="shared" si="65"/>
        <v>0</v>
      </c>
      <c r="AA192" s="119">
        <f t="shared" si="65"/>
        <v>0</v>
      </c>
      <c r="AB192" s="119">
        <f t="shared" si="65"/>
        <v>0</v>
      </c>
      <c r="AC192" s="119">
        <f t="shared" si="65"/>
        <v>0</v>
      </c>
      <c r="AD192" s="119">
        <f t="shared" si="65"/>
        <v>0</v>
      </c>
      <c r="AE192" s="119">
        <f t="shared" si="65"/>
        <v>0</v>
      </c>
      <c r="AF192" s="119">
        <f t="shared" si="65"/>
        <v>0</v>
      </c>
      <c r="AG192" s="119">
        <f t="shared" si="65"/>
        <v>0</v>
      </c>
      <c r="AH192" s="119">
        <f t="shared" si="65"/>
        <v>0</v>
      </c>
      <c r="AI192" s="119">
        <f t="shared" si="65"/>
        <v>0</v>
      </c>
      <c r="AJ192" s="119">
        <f t="shared" si="65"/>
        <v>0</v>
      </c>
      <c r="AK192" s="119">
        <f t="shared" si="65"/>
        <v>0</v>
      </c>
      <c r="AL192" s="119">
        <f t="shared" si="65"/>
        <v>0</v>
      </c>
      <c r="AM192" s="119">
        <f t="shared" si="65"/>
        <v>0</v>
      </c>
      <c r="AN192" s="119">
        <f t="shared" si="65"/>
        <v>0</v>
      </c>
      <c r="AO192" s="119">
        <f t="shared" si="65"/>
        <v>0</v>
      </c>
      <c r="AP192" s="119">
        <f t="shared" si="65"/>
        <v>0</v>
      </c>
    </row>
    <row r="193" spans="1:42" x14ac:dyDescent="0.2">
      <c r="A193" s="87" t="s">
        <v>160</v>
      </c>
      <c r="C193" s="119">
        <f t="shared" ref="C193:AP193" si="66">IF(AND(pbi_uti_tax_sta="Yes",pbi_uti_for_ds="No"),C588,0)</f>
        <v>0</v>
      </c>
      <c r="D193" s="119">
        <f t="shared" si="66"/>
        <v>0</v>
      </c>
      <c r="E193" s="119">
        <f t="shared" si="66"/>
        <v>0</v>
      </c>
      <c r="F193" s="119">
        <f t="shared" si="66"/>
        <v>0</v>
      </c>
      <c r="G193" s="119">
        <f t="shared" si="66"/>
        <v>0</v>
      </c>
      <c r="H193" s="119">
        <f t="shared" si="66"/>
        <v>0</v>
      </c>
      <c r="I193" s="119">
        <f t="shared" si="66"/>
        <v>0</v>
      </c>
      <c r="J193" s="119">
        <f t="shared" si="66"/>
        <v>0</v>
      </c>
      <c r="K193" s="119">
        <f t="shared" si="66"/>
        <v>0</v>
      </c>
      <c r="L193" s="119">
        <f t="shared" si="66"/>
        <v>0</v>
      </c>
      <c r="M193" s="119">
        <f t="shared" si="66"/>
        <v>0</v>
      </c>
      <c r="N193" s="119">
        <f t="shared" si="66"/>
        <v>0</v>
      </c>
      <c r="O193" s="119">
        <f t="shared" si="66"/>
        <v>0</v>
      </c>
      <c r="P193" s="119">
        <f t="shared" si="66"/>
        <v>0</v>
      </c>
      <c r="Q193" s="119">
        <f t="shared" si="66"/>
        <v>0</v>
      </c>
      <c r="R193" s="119">
        <f t="shared" si="66"/>
        <v>0</v>
      </c>
      <c r="S193" s="119">
        <f t="shared" si="66"/>
        <v>0</v>
      </c>
      <c r="T193" s="119">
        <f t="shared" si="66"/>
        <v>0</v>
      </c>
      <c r="U193" s="119">
        <f t="shared" si="66"/>
        <v>0</v>
      </c>
      <c r="V193" s="119">
        <f t="shared" si="66"/>
        <v>0</v>
      </c>
      <c r="W193" s="119">
        <f t="shared" si="66"/>
        <v>0</v>
      </c>
      <c r="X193" s="119">
        <f t="shared" si="66"/>
        <v>0</v>
      </c>
      <c r="Y193" s="119">
        <f t="shared" si="66"/>
        <v>0</v>
      </c>
      <c r="Z193" s="119">
        <f t="shared" si="66"/>
        <v>0</v>
      </c>
      <c r="AA193" s="119">
        <f t="shared" si="66"/>
        <v>0</v>
      </c>
      <c r="AB193" s="119">
        <f t="shared" si="66"/>
        <v>0</v>
      </c>
      <c r="AC193" s="119">
        <f t="shared" si="66"/>
        <v>0</v>
      </c>
      <c r="AD193" s="119">
        <f t="shared" si="66"/>
        <v>0</v>
      </c>
      <c r="AE193" s="119">
        <f t="shared" si="66"/>
        <v>0</v>
      </c>
      <c r="AF193" s="119">
        <f t="shared" si="66"/>
        <v>0</v>
      </c>
      <c r="AG193" s="119">
        <f t="shared" si="66"/>
        <v>0</v>
      </c>
      <c r="AH193" s="119">
        <f t="shared" si="66"/>
        <v>0</v>
      </c>
      <c r="AI193" s="119">
        <f t="shared" si="66"/>
        <v>0</v>
      </c>
      <c r="AJ193" s="119">
        <f t="shared" si="66"/>
        <v>0</v>
      </c>
      <c r="AK193" s="119">
        <f t="shared" si="66"/>
        <v>0</v>
      </c>
      <c r="AL193" s="119">
        <f t="shared" si="66"/>
        <v>0</v>
      </c>
      <c r="AM193" s="119">
        <f t="shared" si="66"/>
        <v>0</v>
      </c>
      <c r="AN193" s="119">
        <f t="shared" si="66"/>
        <v>0</v>
      </c>
      <c r="AO193" s="119">
        <f t="shared" si="66"/>
        <v>0</v>
      </c>
      <c r="AP193" s="119">
        <f t="shared" si="66"/>
        <v>0</v>
      </c>
    </row>
    <row r="194" spans="1:42" x14ac:dyDescent="0.2">
      <c r="A194" s="87" t="s">
        <v>161</v>
      </c>
      <c r="C194" s="120">
        <f t="shared" ref="C194:AP194" si="67">IF(AND(pbi_oth_tax_sta="Yes",pbi_oth_for_ds="No"),C592,0)</f>
        <v>0</v>
      </c>
      <c r="D194" s="120">
        <f t="shared" si="67"/>
        <v>0</v>
      </c>
      <c r="E194" s="120">
        <f t="shared" si="67"/>
        <v>0</v>
      </c>
      <c r="F194" s="120">
        <f t="shared" si="67"/>
        <v>0</v>
      </c>
      <c r="G194" s="120">
        <f t="shared" si="67"/>
        <v>0</v>
      </c>
      <c r="H194" s="120">
        <f t="shared" si="67"/>
        <v>0</v>
      </c>
      <c r="I194" s="120">
        <f t="shared" si="67"/>
        <v>0</v>
      </c>
      <c r="J194" s="120">
        <f t="shared" si="67"/>
        <v>0</v>
      </c>
      <c r="K194" s="120">
        <f t="shared" si="67"/>
        <v>0</v>
      </c>
      <c r="L194" s="120">
        <f t="shared" si="67"/>
        <v>0</v>
      </c>
      <c r="M194" s="120">
        <f t="shared" si="67"/>
        <v>0</v>
      </c>
      <c r="N194" s="120">
        <f t="shared" si="67"/>
        <v>0</v>
      </c>
      <c r="O194" s="120">
        <f t="shared" si="67"/>
        <v>0</v>
      </c>
      <c r="P194" s="120">
        <f t="shared" si="67"/>
        <v>0</v>
      </c>
      <c r="Q194" s="120">
        <f t="shared" si="67"/>
        <v>0</v>
      </c>
      <c r="R194" s="120">
        <f t="shared" si="67"/>
        <v>0</v>
      </c>
      <c r="S194" s="120">
        <f t="shared" si="67"/>
        <v>0</v>
      </c>
      <c r="T194" s="120">
        <f t="shared" si="67"/>
        <v>0</v>
      </c>
      <c r="U194" s="120">
        <f t="shared" si="67"/>
        <v>0</v>
      </c>
      <c r="V194" s="120">
        <f t="shared" si="67"/>
        <v>0</v>
      </c>
      <c r="W194" s="120">
        <f t="shared" si="67"/>
        <v>0</v>
      </c>
      <c r="X194" s="120">
        <f t="shared" si="67"/>
        <v>0</v>
      </c>
      <c r="Y194" s="120">
        <f t="shared" si="67"/>
        <v>0</v>
      </c>
      <c r="Z194" s="120">
        <f t="shared" si="67"/>
        <v>0</v>
      </c>
      <c r="AA194" s="120">
        <f t="shared" si="67"/>
        <v>0</v>
      </c>
      <c r="AB194" s="120">
        <f t="shared" si="67"/>
        <v>0</v>
      </c>
      <c r="AC194" s="120">
        <f t="shared" si="67"/>
        <v>0</v>
      </c>
      <c r="AD194" s="120">
        <f t="shared" si="67"/>
        <v>0</v>
      </c>
      <c r="AE194" s="120">
        <f t="shared" si="67"/>
        <v>0</v>
      </c>
      <c r="AF194" s="120">
        <f t="shared" si="67"/>
        <v>0</v>
      </c>
      <c r="AG194" s="120">
        <f t="shared" si="67"/>
        <v>0</v>
      </c>
      <c r="AH194" s="120">
        <f t="shared" si="67"/>
        <v>0</v>
      </c>
      <c r="AI194" s="120">
        <f t="shared" si="67"/>
        <v>0</v>
      </c>
      <c r="AJ194" s="120">
        <f t="shared" si="67"/>
        <v>0</v>
      </c>
      <c r="AK194" s="120">
        <f t="shared" si="67"/>
        <v>0</v>
      </c>
      <c r="AL194" s="120">
        <f t="shared" si="67"/>
        <v>0</v>
      </c>
      <c r="AM194" s="120">
        <f t="shared" si="67"/>
        <v>0</v>
      </c>
      <c r="AN194" s="120">
        <f t="shared" si="67"/>
        <v>0</v>
      </c>
      <c r="AO194" s="120">
        <f t="shared" si="67"/>
        <v>0</v>
      </c>
      <c r="AP194" s="120">
        <f t="shared" si="67"/>
        <v>0</v>
      </c>
    </row>
    <row r="195" spans="1:42" x14ac:dyDescent="0.2">
      <c r="A195" s="87" t="s">
        <v>12</v>
      </c>
      <c r="C195" s="139">
        <f>SUM(C191:C194)</f>
        <v>0</v>
      </c>
      <c r="D195" s="139">
        <f t="shared" ref="D195:AL195" si="68">SUM(D191:D194)</f>
        <v>0</v>
      </c>
      <c r="E195" s="139">
        <f t="shared" si="68"/>
        <v>0</v>
      </c>
      <c r="F195" s="139">
        <f t="shared" si="68"/>
        <v>0</v>
      </c>
      <c r="G195" s="139">
        <f t="shared" si="68"/>
        <v>0</v>
      </c>
      <c r="H195" s="139">
        <f t="shared" si="68"/>
        <v>0</v>
      </c>
      <c r="I195" s="139">
        <f t="shared" si="68"/>
        <v>0</v>
      </c>
      <c r="J195" s="139">
        <f t="shared" si="68"/>
        <v>0</v>
      </c>
      <c r="K195" s="139">
        <f t="shared" si="68"/>
        <v>0</v>
      </c>
      <c r="L195" s="139">
        <f t="shared" si="68"/>
        <v>0</v>
      </c>
      <c r="M195" s="139">
        <f t="shared" si="68"/>
        <v>0</v>
      </c>
      <c r="N195" s="139">
        <f t="shared" si="68"/>
        <v>0</v>
      </c>
      <c r="O195" s="139">
        <f t="shared" si="68"/>
        <v>0</v>
      </c>
      <c r="P195" s="139">
        <f t="shared" si="68"/>
        <v>0</v>
      </c>
      <c r="Q195" s="139">
        <f t="shared" si="68"/>
        <v>0</v>
      </c>
      <c r="R195" s="139">
        <f t="shared" si="68"/>
        <v>0</v>
      </c>
      <c r="S195" s="139">
        <f t="shared" si="68"/>
        <v>0</v>
      </c>
      <c r="T195" s="139">
        <f t="shared" si="68"/>
        <v>0</v>
      </c>
      <c r="U195" s="139">
        <f t="shared" si="68"/>
        <v>0</v>
      </c>
      <c r="V195" s="139">
        <f t="shared" si="68"/>
        <v>0</v>
      </c>
      <c r="W195" s="139">
        <f t="shared" si="68"/>
        <v>0</v>
      </c>
      <c r="X195" s="139">
        <f t="shared" si="68"/>
        <v>0</v>
      </c>
      <c r="Y195" s="139">
        <f t="shared" si="68"/>
        <v>0</v>
      </c>
      <c r="Z195" s="139">
        <f t="shared" si="68"/>
        <v>0</v>
      </c>
      <c r="AA195" s="139">
        <f t="shared" si="68"/>
        <v>0</v>
      </c>
      <c r="AB195" s="139">
        <f t="shared" si="68"/>
        <v>0</v>
      </c>
      <c r="AC195" s="139">
        <f t="shared" si="68"/>
        <v>0</v>
      </c>
      <c r="AD195" s="139">
        <f t="shared" si="68"/>
        <v>0</v>
      </c>
      <c r="AE195" s="139">
        <f t="shared" si="68"/>
        <v>0</v>
      </c>
      <c r="AF195" s="139">
        <f t="shared" si="68"/>
        <v>0</v>
      </c>
      <c r="AG195" s="139">
        <f t="shared" si="68"/>
        <v>0</v>
      </c>
      <c r="AH195" s="139">
        <f t="shared" si="68"/>
        <v>0</v>
      </c>
      <c r="AI195" s="139">
        <f t="shared" si="68"/>
        <v>0</v>
      </c>
      <c r="AJ195" s="139">
        <f t="shared" si="68"/>
        <v>0</v>
      </c>
      <c r="AK195" s="139">
        <f t="shared" si="68"/>
        <v>0</v>
      </c>
      <c r="AL195" s="139">
        <f t="shared" si="68"/>
        <v>0</v>
      </c>
      <c r="AM195" s="139">
        <f>SUM(AM191:AM194)</f>
        <v>0</v>
      </c>
      <c r="AN195" s="139">
        <f t="shared" ref="AN195:AP195" si="69">SUM(AN191:AN194)</f>
        <v>0</v>
      </c>
      <c r="AO195" s="139">
        <f t="shared" si="69"/>
        <v>0</v>
      </c>
      <c r="AP195" s="139">
        <f t="shared" si="69"/>
        <v>0</v>
      </c>
    </row>
    <row r="196" spans="1:42" x14ac:dyDescent="0.2">
      <c r="A196" s="86" t="s">
        <v>38</v>
      </c>
      <c r="C196" s="119">
        <f>C177+C183+C189+C195</f>
        <v>0</v>
      </c>
      <c r="D196" s="119">
        <f>D177+D183+D189+D195</f>
        <v>0</v>
      </c>
      <c r="E196" s="119">
        <f t="shared" ref="E196:AP196" si="70">E177+E183+E189+E195</f>
        <v>0</v>
      </c>
      <c r="F196" s="119">
        <f t="shared" si="70"/>
        <v>0</v>
      </c>
      <c r="G196" s="119">
        <f t="shared" si="70"/>
        <v>0</v>
      </c>
      <c r="H196" s="119">
        <f t="shared" si="70"/>
        <v>0</v>
      </c>
      <c r="I196" s="119">
        <f t="shared" si="70"/>
        <v>0</v>
      </c>
      <c r="J196" s="119">
        <f t="shared" si="70"/>
        <v>0</v>
      </c>
      <c r="K196" s="119">
        <f t="shared" si="70"/>
        <v>0</v>
      </c>
      <c r="L196" s="119">
        <f t="shared" si="70"/>
        <v>0</v>
      </c>
      <c r="M196" s="119">
        <f t="shared" si="70"/>
        <v>0</v>
      </c>
      <c r="N196" s="119">
        <f t="shared" si="70"/>
        <v>0</v>
      </c>
      <c r="O196" s="119">
        <f t="shared" si="70"/>
        <v>0</v>
      </c>
      <c r="P196" s="119">
        <f t="shared" si="70"/>
        <v>0</v>
      </c>
      <c r="Q196" s="119">
        <f t="shared" si="70"/>
        <v>0</v>
      </c>
      <c r="R196" s="119">
        <f t="shared" si="70"/>
        <v>0</v>
      </c>
      <c r="S196" s="119">
        <f t="shared" si="70"/>
        <v>0</v>
      </c>
      <c r="T196" s="119">
        <f t="shared" si="70"/>
        <v>0</v>
      </c>
      <c r="U196" s="119">
        <f t="shared" si="70"/>
        <v>0</v>
      </c>
      <c r="V196" s="119">
        <f t="shared" si="70"/>
        <v>0</v>
      </c>
      <c r="W196" s="119">
        <f t="shared" si="70"/>
        <v>0</v>
      </c>
      <c r="X196" s="119">
        <f t="shared" si="70"/>
        <v>0</v>
      </c>
      <c r="Y196" s="119">
        <f t="shared" si="70"/>
        <v>0</v>
      </c>
      <c r="Z196" s="119">
        <f t="shared" si="70"/>
        <v>0</v>
      </c>
      <c r="AA196" s="119">
        <f t="shared" si="70"/>
        <v>0</v>
      </c>
      <c r="AB196" s="119">
        <f t="shared" si="70"/>
        <v>0</v>
      </c>
      <c r="AC196" s="119">
        <f t="shared" si="70"/>
        <v>0</v>
      </c>
      <c r="AD196" s="119">
        <f t="shared" si="70"/>
        <v>0</v>
      </c>
      <c r="AE196" s="119">
        <f t="shared" si="70"/>
        <v>0</v>
      </c>
      <c r="AF196" s="119">
        <f t="shared" si="70"/>
        <v>0</v>
      </c>
      <c r="AG196" s="119">
        <f t="shared" si="70"/>
        <v>0</v>
      </c>
      <c r="AH196" s="119">
        <f t="shared" si="70"/>
        <v>0</v>
      </c>
      <c r="AI196" s="119">
        <f t="shared" si="70"/>
        <v>0</v>
      </c>
      <c r="AJ196" s="119">
        <f t="shared" si="70"/>
        <v>0</v>
      </c>
      <c r="AK196" s="119">
        <f t="shared" si="70"/>
        <v>0</v>
      </c>
      <c r="AL196" s="119">
        <f t="shared" si="70"/>
        <v>0</v>
      </c>
      <c r="AM196" s="119">
        <f t="shared" si="70"/>
        <v>0</v>
      </c>
      <c r="AN196" s="119">
        <f t="shared" si="70"/>
        <v>0</v>
      </c>
      <c r="AO196" s="119">
        <f t="shared" si="70"/>
        <v>0</v>
      </c>
      <c r="AP196" s="119">
        <f t="shared" si="70"/>
        <v>0</v>
      </c>
    </row>
    <row r="197" spans="1:42" x14ac:dyDescent="0.2">
      <c r="A197" s="87"/>
    </row>
    <row r="198" spans="1:42" x14ac:dyDescent="0.2">
      <c r="A198" s="86" t="s">
        <v>163</v>
      </c>
      <c r="C198" s="150">
        <f>C170+C196</f>
        <v>0</v>
      </c>
      <c r="D198" s="150">
        <f t="shared" ref="D198:AP198" si="71">D170+D196</f>
        <v>0</v>
      </c>
      <c r="E198" s="150">
        <f t="shared" si="71"/>
        <v>0</v>
      </c>
      <c r="F198" s="150">
        <f t="shared" si="71"/>
        <v>0</v>
      </c>
      <c r="G198" s="150">
        <f t="shared" si="71"/>
        <v>0</v>
      </c>
      <c r="H198" s="150">
        <f t="shared" si="71"/>
        <v>0</v>
      </c>
      <c r="I198" s="150">
        <f t="shared" si="71"/>
        <v>0</v>
      </c>
      <c r="J198" s="150">
        <f t="shared" si="71"/>
        <v>0</v>
      </c>
      <c r="K198" s="150">
        <f t="shared" si="71"/>
        <v>0</v>
      </c>
      <c r="L198" s="150">
        <f t="shared" si="71"/>
        <v>0</v>
      </c>
      <c r="M198" s="150">
        <f t="shared" si="71"/>
        <v>0</v>
      </c>
      <c r="N198" s="150">
        <f t="shared" si="71"/>
        <v>0</v>
      </c>
      <c r="O198" s="150">
        <f t="shared" si="71"/>
        <v>0</v>
      </c>
      <c r="P198" s="150">
        <f t="shared" si="71"/>
        <v>0</v>
      </c>
      <c r="Q198" s="150">
        <f t="shared" si="71"/>
        <v>0</v>
      </c>
      <c r="R198" s="150">
        <f t="shared" si="71"/>
        <v>0</v>
      </c>
      <c r="S198" s="150">
        <f t="shared" si="71"/>
        <v>0</v>
      </c>
      <c r="T198" s="150">
        <f t="shared" si="71"/>
        <v>0</v>
      </c>
      <c r="U198" s="150">
        <f t="shared" si="71"/>
        <v>0</v>
      </c>
      <c r="V198" s="150">
        <f t="shared" si="71"/>
        <v>0</v>
      </c>
      <c r="W198" s="150">
        <f t="shared" si="71"/>
        <v>0</v>
      </c>
      <c r="X198" s="150">
        <f t="shared" si="71"/>
        <v>0</v>
      </c>
      <c r="Y198" s="150">
        <f t="shared" si="71"/>
        <v>0</v>
      </c>
      <c r="Z198" s="150">
        <f t="shared" si="71"/>
        <v>0</v>
      </c>
      <c r="AA198" s="150">
        <f t="shared" si="71"/>
        <v>0</v>
      </c>
      <c r="AB198" s="150">
        <f t="shared" si="71"/>
        <v>0</v>
      </c>
      <c r="AC198" s="150">
        <f t="shared" si="71"/>
        <v>0</v>
      </c>
      <c r="AD198" s="150">
        <f t="shared" si="71"/>
        <v>0</v>
      </c>
      <c r="AE198" s="150">
        <f t="shared" si="71"/>
        <v>0</v>
      </c>
      <c r="AF198" s="150">
        <f t="shared" si="71"/>
        <v>0</v>
      </c>
      <c r="AG198" s="150">
        <f t="shared" si="71"/>
        <v>0</v>
      </c>
      <c r="AH198" s="150">
        <f t="shared" si="71"/>
        <v>0</v>
      </c>
      <c r="AI198" s="150">
        <f t="shared" si="71"/>
        <v>0</v>
      </c>
      <c r="AJ198" s="150">
        <f t="shared" si="71"/>
        <v>0</v>
      </c>
      <c r="AK198" s="150">
        <f t="shared" si="71"/>
        <v>0</v>
      </c>
      <c r="AL198" s="150">
        <f t="shared" si="71"/>
        <v>0</v>
      </c>
      <c r="AM198" s="150">
        <f t="shared" si="71"/>
        <v>0</v>
      </c>
      <c r="AN198" s="150">
        <f t="shared" si="71"/>
        <v>0</v>
      </c>
      <c r="AO198" s="150">
        <f t="shared" si="71"/>
        <v>0</v>
      </c>
      <c r="AP198" s="150">
        <f t="shared" si="71"/>
        <v>0</v>
      </c>
    </row>
    <row r="199" spans="1:42" x14ac:dyDescent="0.2">
      <c r="A199" s="86" t="s">
        <v>261</v>
      </c>
      <c r="B199" s="4">
        <f t="array" ref="B199:AP199">Inputs!C169:AQ169</f>
        <v>0</v>
      </c>
      <c r="C199" s="150">
        <v>0</v>
      </c>
      <c r="D199" s="150">
        <v>0</v>
      </c>
      <c r="E199" s="150">
        <v>0</v>
      </c>
      <c r="F199" s="150">
        <v>0</v>
      </c>
      <c r="G199" s="150">
        <v>0</v>
      </c>
      <c r="H199" s="150">
        <v>0</v>
      </c>
      <c r="I199" s="150">
        <v>0</v>
      </c>
      <c r="J199" s="150">
        <v>0</v>
      </c>
      <c r="K199" s="150">
        <v>0</v>
      </c>
      <c r="L199" s="150">
        <v>0</v>
      </c>
      <c r="M199" s="150">
        <v>0</v>
      </c>
      <c r="N199" s="150">
        <v>0</v>
      </c>
      <c r="O199" s="150">
        <v>0</v>
      </c>
      <c r="P199" s="150">
        <v>0</v>
      </c>
      <c r="Q199" s="150">
        <v>0</v>
      </c>
      <c r="R199" s="150">
        <v>0</v>
      </c>
      <c r="S199" s="150">
        <v>0</v>
      </c>
      <c r="T199" s="150">
        <v>0</v>
      </c>
      <c r="U199" s="150">
        <v>0</v>
      </c>
      <c r="V199" s="150">
        <v>0</v>
      </c>
      <c r="W199" s="150">
        <v>0</v>
      </c>
      <c r="X199" s="150">
        <v>0</v>
      </c>
      <c r="Y199" s="150">
        <v>0</v>
      </c>
      <c r="Z199" s="150">
        <v>0</v>
      </c>
      <c r="AA199" s="150">
        <v>0</v>
      </c>
      <c r="AB199" s="150">
        <v>0</v>
      </c>
      <c r="AC199" s="150">
        <v>0</v>
      </c>
      <c r="AD199" s="150">
        <v>0</v>
      </c>
      <c r="AE199" s="150">
        <v>0</v>
      </c>
      <c r="AF199" s="150">
        <v>0</v>
      </c>
      <c r="AG199" s="150">
        <v>0</v>
      </c>
      <c r="AH199" s="150">
        <v>0</v>
      </c>
      <c r="AI199" s="150">
        <v>0</v>
      </c>
      <c r="AJ199" s="150">
        <v>0</v>
      </c>
      <c r="AK199" s="150">
        <v>0</v>
      </c>
      <c r="AL199" s="150">
        <v>0</v>
      </c>
      <c r="AM199" s="150">
        <v>0</v>
      </c>
      <c r="AN199" s="150">
        <v>0</v>
      </c>
      <c r="AO199" s="150">
        <v>0</v>
      </c>
      <c r="AP199" s="150">
        <v>0</v>
      </c>
    </row>
    <row r="200" spans="1:42" x14ac:dyDescent="0.2">
      <c r="A200" s="17" t="s">
        <v>37</v>
      </c>
      <c r="C200" s="153">
        <f>C198*-C199/100</f>
        <v>0</v>
      </c>
      <c r="D200" s="153">
        <f t="shared" ref="D200:AP200" si="72">D198*-D199/100</f>
        <v>0</v>
      </c>
      <c r="E200" s="153">
        <f t="shared" si="72"/>
        <v>0</v>
      </c>
      <c r="F200" s="153">
        <f t="shared" si="72"/>
        <v>0</v>
      </c>
      <c r="G200" s="153">
        <f t="shared" si="72"/>
        <v>0</v>
      </c>
      <c r="H200" s="153">
        <f t="shared" si="72"/>
        <v>0</v>
      </c>
      <c r="I200" s="153">
        <f t="shared" si="72"/>
        <v>0</v>
      </c>
      <c r="J200" s="153">
        <f t="shared" si="72"/>
        <v>0</v>
      </c>
      <c r="K200" s="153">
        <f t="shared" si="72"/>
        <v>0</v>
      </c>
      <c r="L200" s="153">
        <f t="shared" si="72"/>
        <v>0</v>
      </c>
      <c r="M200" s="153">
        <f t="shared" si="72"/>
        <v>0</v>
      </c>
      <c r="N200" s="153">
        <f t="shared" si="72"/>
        <v>0</v>
      </c>
      <c r="O200" s="153">
        <f t="shared" si="72"/>
        <v>0</v>
      </c>
      <c r="P200" s="153">
        <f t="shared" si="72"/>
        <v>0</v>
      </c>
      <c r="Q200" s="153">
        <f t="shared" si="72"/>
        <v>0</v>
      </c>
      <c r="R200" s="153">
        <f t="shared" si="72"/>
        <v>0</v>
      </c>
      <c r="S200" s="153">
        <f t="shared" si="72"/>
        <v>0</v>
      </c>
      <c r="T200" s="153">
        <f t="shared" si="72"/>
        <v>0</v>
      </c>
      <c r="U200" s="153">
        <f t="shared" si="72"/>
        <v>0</v>
      </c>
      <c r="V200" s="153">
        <f t="shared" si="72"/>
        <v>0</v>
      </c>
      <c r="W200" s="153">
        <f t="shared" si="72"/>
        <v>0</v>
      </c>
      <c r="X200" s="153">
        <f t="shared" si="72"/>
        <v>0</v>
      </c>
      <c r="Y200" s="153">
        <f t="shared" si="72"/>
        <v>0</v>
      </c>
      <c r="Z200" s="153">
        <f t="shared" si="72"/>
        <v>0</v>
      </c>
      <c r="AA200" s="153">
        <f t="shared" si="72"/>
        <v>0</v>
      </c>
      <c r="AB200" s="153">
        <f t="shared" si="72"/>
        <v>0</v>
      </c>
      <c r="AC200" s="153">
        <f t="shared" si="72"/>
        <v>0</v>
      </c>
      <c r="AD200" s="153">
        <f t="shared" si="72"/>
        <v>0</v>
      </c>
      <c r="AE200" s="153">
        <f t="shared" si="72"/>
        <v>0</v>
      </c>
      <c r="AF200" s="153">
        <f t="shared" si="72"/>
        <v>0</v>
      </c>
      <c r="AG200" s="153">
        <f t="shared" si="72"/>
        <v>0</v>
      </c>
      <c r="AH200" s="153">
        <f t="shared" si="72"/>
        <v>0</v>
      </c>
      <c r="AI200" s="153">
        <f t="shared" si="72"/>
        <v>0</v>
      </c>
      <c r="AJ200" s="153">
        <f t="shared" si="72"/>
        <v>0</v>
      </c>
      <c r="AK200" s="153">
        <f t="shared" si="72"/>
        <v>0</v>
      </c>
      <c r="AL200" s="153">
        <f t="shared" si="72"/>
        <v>0</v>
      </c>
      <c r="AM200" s="153">
        <f t="shared" si="72"/>
        <v>0</v>
      </c>
      <c r="AN200" s="153">
        <f t="shared" si="72"/>
        <v>0</v>
      </c>
      <c r="AO200" s="153">
        <f t="shared" si="72"/>
        <v>0</v>
      </c>
      <c r="AP200" s="153">
        <f t="shared" si="72"/>
        <v>0</v>
      </c>
    </row>
    <row r="202" spans="1:42" x14ac:dyDescent="0.2">
      <c r="A202" s="19" t="s">
        <v>30</v>
      </c>
    </row>
    <row r="203" spans="1:42" x14ac:dyDescent="0.2">
      <c r="A203" s="86" t="s">
        <v>27</v>
      </c>
      <c r="C203" s="150">
        <f>C$66</f>
        <v>0</v>
      </c>
      <c r="D203" s="150">
        <f t="shared" ref="D203:AP203" si="73">D$66</f>
        <v>0</v>
      </c>
      <c r="E203" s="150">
        <f t="shared" si="73"/>
        <v>0</v>
      </c>
      <c r="F203" s="150">
        <f t="shared" si="73"/>
        <v>0</v>
      </c>
      <c r="G203" s="150">
        <f t="shared" si="73"/>
        <v>0</v>
      </c>
      <c r="H203" s="150">
        <f t="shared" si="73"/>
        <v>0</v>
      </c>
      <c r="I203" s="150">
        <f t="shared" si="73"/>
        <v>0</v>
      </c>
      <c r="J203" s="150">
        <f t="shared" si="73"/>
        <v>0</v>
      </c>
      <c r="K203" s="150">
        <f t="shared" si="73"/>
        <v>0</v>
      </c>
      <c r="L203" s="150">
        <f t="shared" si="73"/>
        <v>0</v>
      </c>
      <c r="M203" s="150">
        <f t="shared" si="73"/>
        <v>0</v>
      </c>
      <c r="N203" s="150">
        <f t="shared" si="73"/>
        <v>0</v>
      </c>
      <c r="O203" s="150">
        <f t="shared" si="73"/>
        <v>0</v>
      </c>
      <c r="P203" s="150">
        <f t="shared" si="73"/>
        <v>0</v>
      </c>
      <c r="Q203" s="150">
        <f t="shared" si="73"/>
        <v>0</v>
      </c>
      <c r="R203" s="150">
        <f t="shared" si="73"/>
        <v>0</v>
      </c>
      <c r="S203" s="150">
        <f t="shared" si="73"/>
        <v>0</v>
      </c>
      <c r="T203" s="150">
        <f t="shared" si="73"/>
        <v>0</v>
      </c>
      <c r="U203" s="150">
        <f t="shared" si="73"/>
        <v>0</v>
      </c>
      <c r="V203" s="150">
        <f t="shared" si="73"/>
        <v>0</v>
      </c>
      <c r="W203" s="150">
        <f t="shared" si="73"/>
        <v>0</v>
      </c>
      <c r="X203" s="150">
        <f t="shared" si="73"/>
        <v>0</v>
      </c>
      <c r="Y203" s="150">
        <f t="shared" si="73"/>
        <v>0</v>
      </c>
      <c r="Z203" s="150">
        <f t="shared" si="73"/>
        <v>0</v>
      </c>
      <c r="AA203" s="150">
        <f t="shared" si="73"/>
        <v>0</v>
      </c>
      <c r="AB203" s="150">
        <f t="shared" si="73"/>
        <v>0</v>
      </c>
      <c r="AC203" s="150">
        <f t="shared" si="73"/>
        <v>0</v>
      </c>
      <c r="AD203" s="150">
        <f t="shared" si="73"/>
        <v>0</v>
      </c>
      <c r="AE203" s="150">
        <f t="shared" si="73"/>
        <v>0</v>
      </c>
      <c r="AF203" s="150">
        <f t="shared" si="73"/>
        <v>0</v>
      </c>
      <c r="AG203" s="150">
        <f t="shared" si="73"/>
        <v>0</v>
      </c>
      <c r="AH203" s="150">
        <f t="shared" si="73"/>
        <v>0</v>
      </c>
      <c r="AI203" s="150">
        <f t="shared" si="73"/>
        <v>0</v>
      </c>
      <c r="AJ203" s="150">
        <f t="shared" si="73"/>
        <v>0</v>
      </c>
      <c r="AK203" s="150">
        <f t="shared" si="73"/>
        <v>0</v>
      </c>
      <c r="AL203" s="150">
        <f t="shared" si="73"/>
        <v>0</v>
      </c>
      <c r="AM203" s="150">
        <f t="shared" si="73"/>
        <v>0</v>
      </c>
      <c r="AN203" s="150">
        <f t="shared" si="73"/>
        <v>0</v>
      </c>
      <c r="AO203" s="150">
        <f t="shared" si="73"/>
        <v>0</v>
      </c>
      <c r="AP203" s="150">
        <f t="shared" si="73"/>
        <v>0</v>
      </c>
    </row>
    <row r="204" spans="1:42" x14ac:dyDescent="0.2">
      <c r="A204" s="86" t="s">
        <v>36</v>
      </c>
      <c r="C204" s="150">
        <f t="shared" ref="C204:AP204" si="74">C740</f>
        <v>0</v>
      </c>
      <c r="D204" s="150">
        <f t="shared" si="74"/>
        <v>0</v>
      </c>
      <c r="E204" s="150">
        <f t="shared" si="74"/>
        <v>0</v>
      </c>
      <c r="F204" s="150">
        <f t="shared" si="74"/>
        <v>0</v>
      </c>
      <c r="G204" s="150">
        <f t="shared" si="74"/>
        <v>0</v>
      </c>
      <c r="H204" s="150">
        <f t="shared" si="74"/>
        <v>0</v>
      </c>
      <c r="I204" s="150">
        <f t="shared" si="74"/>
        <v>0</v>
      </c>
      <c r="J204" s="150">
        <f t="shared" si="74"/>
        <v>0</v>
      </c>
      <c r="K204" s="150">
        <f t="shared" si="74"/>
        <v>0</v>
      </c>
      <c r="L204" s="150">
        <f t="shared" si="74"/>
        <v>0</v>
      </c>
      <c r="M204" s="150">
        <f t="shared" si="74"/>
        <v>0</v>
      </c>
      <c r="N204" s="150">
        <f t="shared" si="74"/>
        <v>0</v>
      </c>
      <c r="O204" s="150">
        <f t="shared" si="74"/>
        <v>0</v>
      </c>
      <c r="P204" s="150">
        <f t="shared" si="74"/>
        <v>0</v>
      </c>
      <c r="Q204" s="150">
        <f t="shared" si="74"/>
        <v>0</v>
      </c>
      <c r="R204" s="150">
        <f t="shared" si="74"/>
        <v>0</v>
      </c>
      <c r="S204" s="150">
        <f t="shared" si="74"/>
        <v>0</v>
      </c>
      <c r="T204" s="150">
        <f t="shared" si="74"/>
        <v>0</v>
      </c>
      <c r="U204" s="150">
        <f t="shared" si="74"/>
        <v>0</v>
      </c>
      <c r="V204" s="150">
        <f t="shared" si="74"/>
        <v>0</v>
      </c>
      <c r="W204" s="150">
        <f t="shared" si="74"/>
        <v>0</v>
      </c>
      <c r="X204" s="150">
        <f t="shared" si="74"/>
        <v>0</v>
      </c>
      <c r="Y204" s="150">
        <f t="shared" si="74"/>
        <v>0</v>
      </c>
      <c r="Z204" s="150">
        <f t="shared" si="74"/>
        <v>0</v>
      </c>
      <c r="AA204" s="150">
        <f t="shared" si="74"/>
        <v>0</v>
      </c>
      <c r="AB204" s="150">
        <f t="shared" si="74"/>
        <v>0</v>
      </c>
      <c r="AC204" s="150">
        <f t="shared" si="74"/>
        <v>0</v>
      </c>
      <c r="AD204" s="150">
        <f t="shared" si="74"/>
        <v>0</v>
      </c>
      <c r="AE204" s="150">
        <f t="shared" si="74"/>
        <v>0</v>
      </c>
      <c r="AF204" s="150">
        <f t="shared" si="74"/>
        <v>0</v>
      </c>
      <c r="AG204" s="150">
        <f t="shared" si="74"/>
        <v>0</v>
      </c>
      <c r="AH204" s="150">
        <f t="shared" si="74"/>
        <v>0</v>
      </c>
      <c r="AI204" s="150">
        <f t="shared" si="74"/>
        <v>0</v>
      </c>
      <c r="AJ204" s="150">
        <f t="shared" si="74"/>
        <v>0</v>
      </c>
      <c r="AK204" s="150">
        <f t="shared" si="74"/>
        <v>0</v>
      </c>
      <c r="AL204" s="150">
        <f t="shared" si="74"/>
        <v>0</v>
      </c>
      <c r="AM204" s="150">
        <f t="shared" si="74"/>
        <v>0</v>
      </c>
      <c r="AN204" s="150">
        <f t="shared" si="74"/>
        <v>0</v>
      </c>
      <c r="AO204" s="150">
        <f t="shared" si="74"/>
        <v>0</v>
      </c>
      <c r="AP204" s="150">
        <f t="shared" si="74"/>
        <v>0</v>
      </c>
    </row>
    <row r="205" spans="1:42" x14ac:dyDescent="0.2">
      <c r="A205" s="86" t="s">
        <v>28</v>
      </c>
      <c r="C205" s="150">
        <f t="shared" ref="C205:AP205" si="75">-C599</f>
        <v>0</v>
      </c>
      <c r="D205" s="150">
        <f t="shared" si="75"/>
        <v>0</v>
      </c>
      <c r="E205" s="150">
        <f t="shared" si="75"/>
        <v>0</v>
      </c>
      <c r="F205" s="150">
        <f t="shared" si="75"/>
        <v>0</v>
      </c>
      <c r="G205" s="150">
        <f t="shared" si="75"/>
        <v>0</v>
      </c>
      <c r="H205" s="150">
        <f t="shared" si="75"/>
        <v>0</v>
      </c>
      <c r="I205" s="150">
        <f t="shared" si="75"/>
        <v>0</v>
      </c>
      <c r="J205" s="150">
        <f t="shared" si="75"/>
        <v>0</v>
      </c>
      <c r="K205" s="150">
        <f t="shared" si="75"/>
        <v>0</v>
      </c>
      <c r="L205" s="150">
        <f t="shared" si="75"/>
        <v>0</v>
      </c>
      <c r="M205" s="150">
        <f t="shared" si="75"/>
        <v>0</v>
      </c>
      <c r="N205" s="150">
        <f t="shared" si="75"/>
        <v>0</v>
      </c>
      <c r="O205" s="150">
        <f t="shared" si="75"/>
        <v>0</v>
      </c>
      <c r="P205" s="150">
        <f t="shared" si="75"/>
        <v>0</v>
      </c>
      <c r="Q205" s="150">
        <f t="shared" si="75"/>
        <v>0</v>
      </c>
      <c r="R205" s="150">
        <f t="shared" si="75"/>
        <v>0</v>
      </c>
      <c r="S205" s="150">
        <f t="shared" si="75"/>
        <v>0</v>
      </c>
      <c r="T205" s="150">
        <f t="shared" si="75"/>
        <v>0</v>
      </c>
      <c r="U205" s="150">
        <f t="shared" si="75"/>
        <v>0</v>
      </c>
      <c r="V205" s="150">
        <f t="shared" si="75"/>
        <v>0</v>
      </c>
      <c r="W205" s="150">
        <f t="shared" si="75"/>
        <v>0</v>
      </c>
      <c r="X205" s="150">
        <f t="shared" si="75"/>
        <v>0</v>
      </c>
      <c r="Y205" s="150">
        <f t="shared" si="75"/>
        <v>0</v>
      </c>
      <c r="Z205" s="150">
        <f t="shared" si="75"/>
        <v>0</v>
      </c>
      <c r="AA205" s="150">
        <f t="shared" si="75"/>
        <v>0</v>
      </c>
      <c r="AB205" s="150">
        <f t="shared" si="75"/>
        <v>0</v>
      </c>
      <c r="AC205" s="150">
        <f t="shared" si="75"/>
        <v>0</v>
      </c>
      <c r="AD205" s="150">
        <f t="shared" si="75"/>
        <v>0</v>
      </c>
      <c r="AE205" s="150">
        <f t="shared" si="75"/>
        <v>0</v>
      </c>
      <c r="AF205" s="150">
        <f t="shared" si="75"/>
        <v>0</v>
      </c>
      <c r="AG205" s="150">
        <f t="shared" si="75"/>
        <v>0</v>
      </c>
      <c r="AH205" s="150">
        <f t="shared" si="75"/>
        <v>0</v>
      </c>
      <c r="AI205" s="150">
        <f t="shared" si="75"/>
        <v>0</v>
      </c>
      <c r="AJ205" s="150">
        <f t="shared" si="75"/>
        <v>0</v>
      </c>
      <c r="AK205" s="150">
        <f t="shared" si="75"/>
        <v>0</v>
      </c>
      <c r="AL205" s="150">
        <f t="shared" si="75"/>
        <v>0</v>
      </c>
      <c r="AM205" s="150">
        <f t="shared" si="75"/>
        <v>0</v>
      </c>
      <c r="AN205" s="150">
        <f t="shared" si="75"/>
        <v>0</v>
      </c>
      <c r="AO205" s="150">
        <f t="shared" si="75"/>
        <v>0</v>
      </c>
      <c r="AP205" s="150">
        <f t="shared" si="75"/>
        <v>0</v>
      </c>
    </row>
    <row r="206" spans="1:42" x14ac:dyDescent="0.2">
      <c r="A206" s="86" t="s">
        <v>31</v>
      </c>
      <c r="C206" s="150">
        <f t="shared" ref="C206:AP206" si="76">IF(C$2&lt;=analysis_period,-C442-C473-C499-C525,0)</f>
        <v>0</v>
      </c>
      <c r="D206" s="150">
        <f t="shared" si="76"/>
        <v>0</v>
      </c>
      <c r="E206" s="150">
        <f t="shared" si="76"/>
        <v>0</v>
      </c>
      <c r="F206" s="150">
        <f t="shared" si="76"/>
        <v>0</v>
      </c>
      <c r="G206" s="150">
        <f t="shared" si="76"/>
        <v>0</v>
      </c>
      <c r="H206" s="150">
        <f t="shared" si="76"/>
        <v>0</v>
      </c>
      <c r="I206" s="150">
        <f t="shared" si="76"/>
        <v>0</v>
      </c>
      <c r="J206" s="150">
        <f t="shared" si="76"/>
        <v>0</v>
      </c>
      <c r="K206" s="150">
        <f t="shared" si="76"/>
        <v>0</v>
      </c>
      <c r="L206" s="150">
        <f t="shared" si="76"/>
        <v>0</v>
      </c>
      <c r="M206" s="150">
        <f t="shared" si="76"/>
        <v>0</v>
      </c>
      <c r="N206" s="150">
        <f t="shared" si="76"/>
        <v>0</v>
      </c>
      <c r="O206" s="150">
        <f t="shared" si="76"/>
        <v>0</v>
      </c>
      <c r="P206" s="150">
        <f t="shared" si="76"/>
        <v>0</v>
      </c>
      <c r="Q206" s="150">
        <f t="shared" si="76"/>
        <v>0</v>
      </c>
      <c r="R206" s="150">
        <f t="shared" si="76"/>
        <v>0</v>
      </c>
      <c r="S206" s="150">
        <f t="shared" si="76"/>
        <v>0</v>
      </c>
      <c r="T206" s="150">
        <f t="shared" si="76"/>
        <v>0</v>
      </c>
      <c r="U206" s="150">
        <f t="shared" si="76"/>
        <v>0</v>
      </c>
      <c r="V206" s="150">
        <f t="shared" si="76"/>
        <v>0</v>
      </c>
      <c r="W206" s="150">
        <f t="shared" si="76"/>
        <v>0</v>
      </c>
      <c r="X206" s="150">
        <f t="shared" si="76"/>
        <v>0</v>
      </c>
      <c r="Y206" s="150">
        <f t="shared" si="76"/>
        <v>0</v>
      </c>
      <c r="Z206" s="150">
        <f t="shared" si="76"/>
        <v>0</v>
      </c>
      <c r="AA206" s="150">
        <f t="shared" si="76"/>
        <v>0</v>
      </c>
      <c r="AB206" s="150">
        <f t="shared" si="76"/>
        <v>0</v>
      </c>
      <c r="AC206" s="150">
        <f t="shared" si="76"/>
        <v>0</v>
      </c>
      <c r="AD206" s="150">
        <f t="shared" si="76"/>
        <v>0</v>
      </c>
      <c r="AE206" s="150">
        <f t="shared" si="76"/>
        <v>0</v>
      </c>
      <c r="AF206" s="150">
        <f t="shared" si="76"/>
        <v>0</v>
      </c>
      <c r="AG206" s="150">
        <f t="shared" si="76"/>
        <v>0</v>
      </c>
      <c r="AH206" s="150">
        <f t="shared" si="76"/>
        <v>0</v>
      </c>
      <c r="AI206" s="150">
        <f t="shared" si="76"/>
        <v>0</v>
      </c>
      <c r="AJ206" s="150">
        <f t="shared" si="76"/>
        <v>0</v>
      </c>
      <c r="AK206" s="150">
        <f t="shared" si="76"/>
        <v>0</v>
      </c>
      <c r="AL206" s="150">
        <f t="shared" si="76"/>
        <v>0</v>
      </c>
      <c r="AM206" s="150">
        <f t="shared" si="76"/>
        <v>0</v>
      </c>
      <c r="AN206" s="150">
        <f t="shared" si="76"/>
        <v>0</v>
      </c>
      <c r="AO206" s="150">
        <f t="shared" si="76"/>
        <v>0</v>
      </c>
      <c r="AP206" s="150">
        <f t="shared" si="76"/>
        <v>0</v>
      </c>
    </row>
    <row r="207" spans="1:42" x14ac:dyDescent="0.2">
      <c r="A207" s="86" t="s">
        <v>37</v>
      </c>
      <c r="C207" s="150">
        <f>C200</f>
        <v>0</v>
      </c>
      <c r="D207" s="150">
        <f t="shared" ref="D207:AP207" si="77">D200</f>
        <v>0</v>
      </c>
      <c r="E207" s="150">
        <f t="shared" si="77"/>
        <v>0</v>
      </c>
      <c r="F207" s="150">
        <f t="shared" si="77"/>
        <v>0</v>
      </c>
      <c r="G207" s="150">
        <f t="shared" si="77"/>
        <v>0</v>
      </c>
      <c r="H207" s="150">
        <f t="shared" si="77"/>
        <v>0</v>
      </c>
      <c r="I207" s="150">
        <f t="shared" si="77"/>
        <v>0</v>
      </c>
      <c r="J207" s="150">
        <f t="shared" si="77"/>
        <v>0</v>
      </c>
      <c r="K207" s="150">
        <f t="shared" si="77"/>
        <v>0</v>
      </c>
      <c r="L207" s="150">
        <f t="shared" si="77"/>
        <v>0</v>
      </c>
      <c r="M207" s="150">
        <f t="shared" si="77"/>
        <v>0</v>
      </c>
      <c r="N207" s="150">
        <f t="shared" si="77"/>
        <v>0</v>
      </c>
      <c r="O207" s="150">
        <f t="shared" si="77"/>
        <v>0</v>
      </c>
      <c r="P207" s="150">
        <f t="shared" si="77"/>
        <v>0</v>
      </c>
      <c r="Q207" s="150">
        <f t="shared" si="77"/>
        <v>0</v>
      </c>
      <c r="R207" s="150">
        <f t="shared" si="77"/>
        <v>0</v>
      </c>
      <c r="S207" s="150">
        <f t="shared" si="77"/>
        <v>0</v>
      </c>
      <c r="T207" s="150">
        <f t="shared" si="77"/>
        <v>0</v>
      </c>
      <c r="U207" s="150">
        <f t="shared" si="77"/>
        <v>0</v>
      </c>
      <c r="V207" s="150">
        <f t="shared" si="77"/>
        <v>0</v>
      </c>
      <c r="W207" s="150">
        <f t="shared" si="77"/>
        <v>0</v>
      </c>
      <c r="X207" s="150">
        <f t="shared" si="77"/>
        <v>0</v>
      </c>
      <c r="Y207" s="150">
        <f t="shared" si="77"/>
        <v>0</v>
      </c>
      <c r="Z207" s="150">
        <f t="shared" si="77"/>
        <v>0</v>
      </c>
      <c r="AA207" s="150">
        <f t="shared" si="77"/>
        <v>0</v>
      </c>
      <c r="AB207" s="150">
        <f t="shared" si="77"/>
        <v>0</v>
      </c>
      <c r="AC207" s="150">
        <f t="shared" si="77"/>
        <v>0</v>
      </c>
      <c r="AD207" s="150">
        <f t="shared" si="77"/>
        <v>0</v>
      </c>
      <c r="AE207" s="150">
        <f t="shared" si="77"/>
        <v>0</v>
      </c>
      <c r="AF207" s="150">
        <f t="shared" si="77"/>
        <v>0</v>
      </c>
      <c r="AG207" s="150">
        <f t="shared" si="77"/>
        <v>0</v>
      </c>
      <c r="AH207" s="150">
        <f t="shared" si="77"/>
        <v>0</v>
      </c>
      <c r="AI207" s="150">
        <f t="shared" si="77"/>
        <v>0</v>
      </c>
      <c r="AJ207" s="150">
        <f t="shared" si="77"/>
        <v>0</v>
      </c>
      <c r="AK207" s="150">
        <f t="shared" si="77"/>
        <v>0</v>
      </c>
      <c r="AL207" s="150">
        <f t="shared" si="77"/>
        <v>0</v>
      </c>
      <c r="AM207" s="150">
        <f t="shared" si="77"/>
        <v>0</v>
      </c>
      <c r="AN207" s="150">
        <f t="shared" si="77"/>
        <v>0</v>
      </c>
      <c r="AO207" s="150">
        <f t="shared" si="77"/>
        <v>0</v>
      </c>
      <c r="AP207" s="150">
        <f t="shared" si="77"/>
        <v>0</v>
      </c>
    </row>
    <row r="208" spans="1:42" x14ac:dyDescent="0.2">
      <c r="A208" s="86" t="s">
        <v>50</v>
      </c>
      <c r="C208" s="150">
        <f t="shared" ref="C208:AP208" si="78">C122</f>
        <v>0</v>
      </c>
      <c r="D208" s="150">
        <f t="shared" si="78"/>
        <v>0</v>
      </c>
      <c r="E208" s="150">
        <f t="shared" si="78"/>
        <v>0</v>
      </c>
      <c r="F208" s="150">
        <f t="shared" si="78"/>
        <v>0</v>
      </c>
      <c r="G208" s="150">
        <f t="shared" si="78"/>
        <v>0</v>
      </c>
      <c r="H208" s="150">
        <f t="shared" si="78"/>
        <v>0</v>
      </c>
      <c r="I208" s="150">
        <f t="shared" si="78"/>
        <v>0</v>
      </c>
      <c r="J208" s="150">
        <f t="shared" si="78"/>
        <v>0</v>
      </c>
      <c r="K208" s="150">
        <f t="shared" si="78"/>
        <v>0</v>
      </c>
      <c r="L208" s="150">
        <f t="shared" si="78"/>
        <v>0</v>
      </c>
      <c r="M208" s="150">
        <f t="shared" si="78"/>
        <v>0</v>
      </c>
      <c r="N208" s="150">
        <f t="shared" si="78"/>
        <v>0</v>
      </c>
      <c r="O208" s="150">
        <f t="shared" si="78"/>
        <v>0</v>
      </c>
      <c r="P208" s="150">
        <f t="shared" si="78"/>
        <v>0</v>
      </c>
      <c r="Q208" s="150">
        <f t="shared" si="78"/>
        <v>0</v>
      </c>
      <c r="R208" s="150">
        <f t="shared" si="78"/>
        <v>0</v>
      </c>
      <c r="S208" s="150">
        <f t="shared" si="78"/>
        <v>0</v>
      </c>
      <c r="T208" s="150">
        <f t="shared" si="78"/>
        <v>0</v>
      </c>
      <c r="U208" s="150">
        <f t="shared" si="78"/>
        <v>0</v>
      </c>
      <c r="V208" s="150">
        <f t="shared" si="78"/>
        <v>0</v>
      </c>
      <c r="W208" s="150">
        <f t="shared" si="78"/>
        <v>0</v>
      </c>
      <c r="X208" s="150">
        <f t="shared" si="78"/>
        <v>0</v>
      </c>
      <c r="Y208" s="150">
        <f t="shared" si="78"/>
        <v>0</v>
      </c>
      <c r="Z208" s="150">
        <f t="shared" si="78"/>
        <v>0</v>
      </c>
      <c r="AA208" s="150">
        <f t="shared" si="78"/>
        <v>0</v>
      </c>
      <c r="AB208" s="150">
        <f t="shared" si="78"/>
        <v>0</v>
      </c>
      <c r="AC208" s="150">
        <f t="shared" si="78"/>
        <v>0</v>
      </c>
      <c r="AD208" s="150">
        <f t="shared" si="78"/>
        <v>0</v>
      </c>
      <c r="AE208" s="150">
        <f t="shared" si="78"/>
        <v>0</v>
      </c>
      <c r="AF208" s="150">
        <f t="shared" si="78"/>
        <v>0</v>
      </c>
      <c r="AG208" s="150">
        <f t="shared" si="78"/>
        <v>0</v>
      </c>
      <c r="AH208" s="150">
        <f t="shared" si="78"/>
        <v>0</v>
      </c>
      <c r="AI208" s="150">
        <f t="shared" si="78"/>
        <v>0</v>
      </c>
      <c r="AJ208" s="150">
        <f t="shared" si="78"/>
        <v>0</v>
      </c>
      <c r="AK208" s="150">
        <f t="shared" si="78"/>
        <v>0</v>
      </c>
      <c r="AL208" s="150">
        <f t="shared" si="78"/>
        <v>0</v>
      </c>
      <c r="AM208" s="150">
        <f t="shared" si="78"/>
        <v>0</v>
      </c>
      <c r="AN208" s="150">
        <f t="shared" si="78"/>
        <v>0</v>
      </c>
      <c r="AO208" s="150">
        <f t="shared" si="78"/>
        <v>0</v>
      </c>
      <c r="AP208" s="150">
        <f t="shared" si="78"/>
        <v>0</v>
      </c>
    </row>
    <row r="209" spans="1:42" x14ac:dyDescent="0.2">
      <c r="A209" s="86" t="s">
        <v>76</v>
      </c>
      <c r="C209" s="151">
        <f t="shared" ref="C209:AP209" si="79">C126</f>
        <v>0</v>
      </c>
      <c r="D209" s="151">
        <f t="shared" si="79"/>
        <v>0</v>
      </c>
      <c r="E209" s="151">
        <f t="shared" si="79"/>
        <v>0</v>
      </c>
      <c r="F209" s="151">
        <f t="shared" si="79"/>
        <v>0</v>
      </c>
      <c r="G209" s="151">
        <f t="shared" si="79"/>
        <v>0</v>
      </c>
      <c r="H209" s="151">
        <f t="shared" si="79"/>
        <v>0</v>
      </c>
      <c r="I209" s="151">
        <f t="shared" si="79"/>
        <v>0</v>
      </c>
      <c r="J209" s="151">
        <f t="shared" si="79"/>
        <v>0</v>
      </c>
      <c r="K209" s="151">
        <f t="shared" si="79"/>
        <v>0</v>
      </c>
      <c r="L209" s="151">
        <f t="shared" si="79"/>
        <v>0</v>
      </c>
      <c r="M209" s="151">
        <f t="shared" si="79"/>
        <v>0</v>
      </c>
      <c r="N209" s="151">
        <f t="shared" si="79"/>
        <v>0</v>
      </c>
      <c r="O209" s="151">
        <f t="shared" si="79"/>
        <v>0</v>
      </c>
      <c r="P209" s="151">
        <f t="shared" si="79"/>
        <v>0</v>
      </c>
      <c r="Q209" s="151">
        <f t="shared" si="79"/>
        <v>0</v>
      </c>
      <c r="R209" s="151">
        <f t="shared" si="79"/>
        <v>0</v>
      </c>
      <c r="S209" s="151">
        <f t="shared" si="79"/>
        <v>0</v>
      </c>
      <c r="T209" s="151">
        <f t="shared" si="79"/>
        <v>0</v>
      </c>
      <c r="U209" s="151">
        <f t="shared" si="79"/>
        <v>0</v>
      </c>
      <c r="V209" s="151">
        <f t="shared" si="79"/>
        <v>0</v>
      </c>
      <c r="W209" s="151">
        <f t="shared" si="79"/>
        <v>0</v>
      </c>
      <c r="X209" s="151">
        <f t="shared" si="79"/>
        <v>0</v>
      </c>
      <c r="Y209" s="151">
        <f t="shared" si="79"/>
        <v>0</v>
      </c>
      <c r="Z209" s="151">
        <f t="shared" si="79"/>
        <v>0</v>
      </c>
      <c r="AA209" s="151">
        <f t="shared" si="79"/>
        <v>0</v>
      </c>
      <c r="AB209" s="151">
        <f t="shared" si="79"/>
        <v>0</v>
      </c>
      <c r="AC209" s="151">
        <f t="shared" si="79"/>
        <v>0</v>
      </c>
      <c r="AD209" s="151">
        <f t="shared" si="79"/>
        <v>0</v>
      </c>
      <c r="AE209" s="151">
        <f t="shared" si="79"/>
        <v>0</v>
      </c>
      <c r="AF209" s="151">
        <f t="shared" si="79"/>
        <v>0</v>
      </c>
      <c r="AG209" s="151">
        <f t="shared" si="79"/>
        <v>0</v>
      </c>
      <c r="AH209" s="151">
        <f t="shared" si="79"/>
        <v>0</v>
      </c>
      <c r="AI209" s="151">
        <f t="shared" si="79"/>
        <v>0</v>
      </c>
      <c r="AJ209" s="151">
        <f t="shared" si="79"/>
        <v>0</v>
      </c>
      <c r="AK209" s="151">
        <f t="shared" si="79"/>
        <v>0</v>
      </c>
      <c r="AL209" s="151">
        <f t="shared" si="79"/>
        <v>0</v>
      </c>
      <c r="AM209" s="151">
        <f t="shared" si="79"/>
        <v>0</v>
      </c>
      <c r="AN209" s="151">
        <f t="shared" si="79"/>
        <v>0</v>
      </c>
      <c r="AO209" s="151">
        <f t="shared" si="79"/>
        <v>0</v>
      </c>
      <c r="AP209" s="151">
        <f t="shared" si="79"/>
        <v>0</v>
      </c>
    </row>
    <row r="210" spans="1:42" x14ac:dyDescent="0.2">
      <c r="A210" s="86" t="s">
        <v>29</v>
      </c>
      <c r="C210" s="150">
        <f>SUM(C203:C209)</f>
        <v>0</v>
      </c>
      <c r="D210" s="150">
        <f t="shared" ref="D210:AP210" si="80">SUM(D203:D209)</f>
        <v>0</v>
      </c>
      <c r="E210" s="150">
        <f t="shared" si="80"/>
        <v>0</v>
      </c>
      <c r="F210" s="150">
        <f t="shared" si="80"/>
        <v>0</v>
      </c>
      <c r="G210" s="150">
        <f t="shared" si="80"/>
        <v>0</v>
      </c>
      <c r="H210" s="150">
        <f t="shared" si="80"/>
        <v>0</v>
      </c>
      <c r="I210" s="150">
        <f t="shared" si="80"/>
        <v>0</v>
      </c>
      <c r="J210" s="150">
        <f t="shared" si="80"/>
        <v>0</v>
      </c>
      <c r="K210" s="150">
        <f t="shared" si="80"/>
        <v>0</v>
      </c>
      <c r="L210" s="150">
        <f t="shared" si="80"/>
        <v>0</v>
      </c>
      <c r="M210" s="150">
        <f t="shared" si="80"/>
        <v>0</v>
      </c>
      <c r="N210" s="150">
        <f t="shared" si="80"/>
        <v>0</v>
      </c>
      <c r="O210" s="150">
        <f t="shared" si="80"/>
        <v>0</v>
      </c>
      <c r="P210" s="150">
        <f t="shared" si="80"/>
        <v>0</v>
      </c>
      <c r="Q210" s="150">
        <f t="shared" si="80"/>
        <v>0</v>
      </c>
      <c r="R210" s="150">
        <f t="shared" si="80"/>
        <v>0</v>
      </c>
      <c r="S210" s="150">
        <f t="shared" si="80"/>
        <v>0</v>
      </c>
      <c r="T210" s="150">
        <f t="shared" si="80"/>
        <v>0</v>
      </c>
      <c r="U210" s="150">
        <f t="shared" si="80"/>
        <v>0</v>
      </c>
      <c r="V210" s="150">
        <f t="shared" si="80"/>
        <v>0</v>
      </c>
      <c r="W210" s="150">
        <f t="shared" si="80"/>
        <v>0</v>
      </c>
      <c r="X210" s="150">
        <f t="shared" si="80"/>
        <v>0</v>
      </c>
      <c r="Y210" s="150">
        <f t="shared" si="80"/>
        <v>0</v>
      </c>
      <c r="Z210" s="150">
        <f t="shared" si="80"/>
        <v>0</v>
      </c>
      <c r="AA210" s="150">
        <f t="shared" si="80"/>
        <v>0</v>
      </c>
      <c r="AB210" s="150">
        <f t="shared" si="80"/>
        <v>0</v>
      </c>
      <c r="AC210" s="150">
        <f t="shared" si="80"/>
        <v>0</v>
      </c>
      <c r="AD210" s="150">
        <f t="shared" si="80"/>
        <v>0</v>
      </c>
      <c r="AE210" s="150">
        <f t="shared" si="80"/>
        <v>0</v>
      </c>
      <c r="AF210" s="150">
        <f t="shared" si="80"/>
        <v>0</v>
      </c>
      <c r="AG210" s="150">
        <f t="shared" si="80"/>
        <v>0</v>
      </c>
      <c r="AH210" s="150">
        <f t="shared" si="80"/>
        <v>0</v>
      </c>
      <c r="AI210" s="150">
        <f t="shared" si="80"/>
        <v>0</v>
      </c>
      <c r="AJ210" s="150">
        <f t="shared" si="80"/>
        <v>0</v>
      </c>
      <c r="AK210" s="150">
        <f t="shared" si="80"/>
        <v>0</v>
      </c>
      <c r="AL210" s="150">
        <f t="shared" si="80"/>
        <v>0</v>
      </c>
      <c r="AM210" s="150">
        <f t="shared" si="80"/>
        <v>0</v>
      </c>
      <c r="AN210" s="150">
        <f t="shared" si="80"/>
        <v>0</v>
      </c>
      <c r="AO210" s="150">
        <f t="shared" si="80"/>
        <v>0</v>
      </c>
      <c r="AP210" s="150">
        <f t="shared" si="80"/>
        <v>0</v>
      </c>
    </row>
    <row r="211" spans="1:42" x14ac:dyDescent="0.2">
      <c r="A211" s="86" t="str">
        <f>Inputs!B113</f>
        <v>Investment Based Incentive (IBI)</v>
      </c>
    </row>
    <row r="212" spans="1:42" x14ac:dyDescent="0.2">
      <c r="A212" s="87" t="str">
        <f>Inputs!B114</f>
        <v>As fixed amount</v>
      </c>
    </row>
    <row r="213" spans="1:42" x14ac:dyDescent="0.2">
      <c r="A213" s="78" t="s">
        <v>4</v>
      </c>
      <c r="C213" s="150">
        <f>IF(ibi_fed_amount_tax_fed="Yes",C557,0)</f>
        <v>0</v>
      </c>
    </row>
    <row r="214" spans="1:42" x14ac:dyDescent="0.2">
      <c r="A214" s="78" t="s">
        <v>5</v>
      </c>
      <c r="C214" s="150">
        <f>IF(ibi_sta_amount_tax_fed="Yes",C558,0)</f>
        <v>0</v>
      </c>
    </row>
    <row r="215" spans="1:42" x14ac:dyDescent="0.2">
      <c r="A215" s="78" t="s">
        <v>160</v>
      </c>
      <c r="C215" s="150">
        <f>IF(ibi_uti_amount_tax_fed="Yes",C559,0)</f>
        <v>0</v>
      </c>
    </row>
    <row r="216" spans="1:42" x14ac:dyDescent="0.2">
      <c r="A216" s="78" t="s">
        <v>161</v>
      </c>
      <c r="C216" s="151">
        <f>IF(ibi_oth_amount_tax_fed="Yes",C560,0)</f>
        <v>0</v>
      </c>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row>
    <row r="217" spans="1:42" x14ac:dyDescent="0.2">
      <c r="A217" s="78" t="s">
        <v>12</v>
      </c>
      <c r="C217" s="150">
        <f>SUM(C213:C216)</f>
        <v>0</v>
      </c>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row>
    <row r="218" spans="1:42" x14ac:dyDescent="0.2">
      <c r="A218" s="87" t="str">
        <f>Inputs!B119</f>
        <v>As percentage</v>
      </c>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row>
    <row r="219" spans="1:42" x14ac:dyDescent="0.2">
      <c r="A219" s="78" t="s">
        <v>4</v>
      </c>
      <c r="C219" s="150">
        <f>IF(ibi_fed_percent_tax_fed="Yes",C563,0)</f>
        <v>0</v>
      </c>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row>
    <row r="220" spans="1:42" x14ac:dyDescent="0.2">
      <c r="A220" s="78" t="s">
        <v>5</v>
      </c>
      <c r="C220" s="150">
        <f>IF(ibi_sta_percent_tax_fed="Yes",C564,0)</f>
        <v>0</v>
      </c>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row>
    <row r="221" spans="1:42" x14ac:dyDescent="0.2">
      <c r="A221" s="78" t="s">
        <v>160</v>
      </c>
      <c r="C221" s="150">
        <f>IF(ibi_uti_percent_tax_fed="Yes",C565,0)</f>
        <v>0</v>
      </c>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row>
    <row r="222" spans="1:42" x14ac:dyDescent="0.2">
      <c r="A222" s="78" t="s">
        <v>161</v>
      </c>
      <c r="C222" s="151">
        <f>IF(ibi_oth_percent_tax_fed="Yes",C566,0)</f>
        <v>0</v>
      </c>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row>
    <row r="223" spans="1:42" x14ac:dyDescent="0.2">
      <c r="A223" s="78" t="s">
        <v>12</v>
      </c>
      <c r="C223" s="150">
        <f>SUM(C219:C222)</f>
        <v>0</v>
      </c>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row>
    <row r="224" spans="1:42" x14ac:dyDescent="0.2">
      <c r="A224" s="86" t="str">
        <f>Inputs!B124</f>
        <v>Capacity Based Incentive (CBI)</v>
      </c>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row>
    <row r="225" spans="1:42" x14ac:dyDescent="0.2">
      <c r="A225" s="87" t="s">
        <v>4</v>
      </c>
      <c r="C225" s="150">
        <f>IF(cbi_fed_tax_fed="Yes",C570,0)</f>
        <v>0</v>
      </c>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row>
    <row r="226" spans="1:42" x14ac:dyDescent="0.2">
      <c r="A226" s="87" t="s">
        <v>5</v>
      </c>
      <c r="C226" s="150">
        <f>IF(cbi_sta_tax_fed="Yes",C571,0)</f>
        <v>0</v>
      </c>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row>
    <row r="227" spans="1:42" x14ac:dyDescent="0.2">
      <c r="A227" s="87" t="s">
        <v>160</v>
      </c>
      <c r="C227" s="150">
        <f>IF(cbi_uti_tax_fed="Yes",C572,0)</f>
        <v>0</v>
      </c>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row>
    <row r="228" spans="1:42" x14ac:dyDescent="0.2">
      <c r="A228" s="87" t="s">
        <v>161</v>
      </c>
      <c r="C228" s="151">
        <f>IF(cbi_oth_tax_fed="Yes",C573,0)</f>
        <v>0</v>
      </c>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row>
    <row r="229" spans="1:42" x14ac:dyDescent="0.2">
      <c r="A229" s="87" t="s">
        <v>12</v>
      </c>
      <c r="C229" s="150">
        <f>SUM(C225:C228)</f>
        <v>0</v>
      </c>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row>
    <row r="230" spans="1:42" x14ac:dyDescent="0.2">
      <c r="A230" s="86" t="str">
        <f>Inputs!B129</f>
        <v>Production Based Incentive (PBI)</v>
      </c>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row>
    <row r="231" spans="1:42" x14ac:dyDescent="0.2">
      <c r="A231" s="87" t="s">
        <v>4</v>
      </c>
      <c r="C231" s="150">
        <f t="shared" ref="C231:AP231" si="81">IF(AND(pbi_fed_tax_fed="Yes",pbi_fed_for_ds="No"),C580,0)</f>
        <v>0</v>
      </c>
      <c r="D231" s="150">
        <f t="shared" si="81"/>
        <v>0</v>
      </c>
      <c r="E231" s="150">
        <f t="shared" si="81"/>
        <v>0</v>
      </c>
      <c r="F231" s="150">
        <f t="shared" si="81"/>
        <v>0</v>
      </c>
      <c r="G231" s="150">
        <f t="shared" si="81"/>
        <v>0</v>
      </c>
      <c r="H231" s="150">
        <f t="shared" si="81"/>
        <v>0</v>
      </c>
      <c r="I231" s="150">
        <f t="shared" si="81"/>
        <v>0</v>
      </c>
      <c r="J231" s="150">
        <f t="shared" si="81"/>
        <v>0</v>
      </c>
      <c r="K231" s="150">
        <f t="shared" si="81"/>
        <v>0</v>
      </c>
      <c r="L231" s="150">
        <f t="shared" si="81"/>
        <v>0</v>
      </c>
      <c r="M231" s="150">
        <f t="shared" si="81"/>
        <v>0</v>
      </c>
      <c r="N231" s="150">
        <f t="shared" si="81"/>
        <v>0</v>
      </c>
      <c r="O231" s="150">
        <f t="shared" si="81"/>
        <v>0</v>
      </c>
      <c r="P231" s="150">
        <f t="shared" si="81"/>
        <v>0</v>
      </c>
      <c r="Q231" s="150">
        <f t="shared" si="81"/>
        <v>0</v>
      </c>
      <c r="R231" s="150">
        <f t="shared" si="81"/>
        <v>0</v>
      </c>
      <c r="S231" s="150">
        <f t="shared" si="81"/>
        <v>0</v>
      </c>
      <c r="T231" s="150">
        <f t="shared" si="81"/>
        <v>0</v>
      </c>
      <c r="U231" s="150">
        <f t="shared" si="81"/>
        <v>0</v>
      </c>
      <c r="V231" s="150">
        <f t="shared" si="81"/>
        <v>0</v>
      </c>
      <c r="W231" s="150">
        <f t="shared" si="81"/>
        <v>0</v>
      </c>
      <c r="X231" s="150">
        <f t="shared" si="81"/>
        <v>0</v>
      </c>
      <c r="Y231" s="150">
        <f t="shared" si="81"/>
        <v>0</v>
      </c>
      <c r="Z231" s="150">
        <f t="shared" si="81"/>
        <v>0</v>
      </c>
      <c r="AA231" s="150">
        <f t="shared" si="81"/>
        <v>0</v>
      </c>
      <c r="AB231" s="150">
        <f t="shared" si="81"/>
        <v>0</v>
      </c>
      <c r="AC231" s="150">
        <f t="shared" si="81"/>
        <v>0</v>
      </c>
      <c r="AD231" s="150">
        <f t="shared" si="81"/>
        <v>0</v>
      </c>
      <c r="AE231" s="150">
        <f t="shared" si="81"/>
        <v>0</v>
      </c>
      <c r="AF231" s="150">
        <f t="shared" si="81"/>
        <v>0</v>
      </c>
      <c r="AG231" s="150">
        <f t="shared" si="81"/>
        <v>0</v>
      </c>
      <c r="AH231" s="150">
        <f t="shared" si="81"/>
        <v>0</v>
      </c>
      <c r="AI231" s="150">
        <f t="shared" si="81"/>
        <v>0</v>
      </c>
      <c r="AJ231" s="150">
        <f t="shared" si="81"/>
        <v>0</v>
      </c>
      <c r="AK231" s="150">
        <f t="shared" si="81"/>
        <v>0</v>
      </c>
      <c r="AL231" s="150">
        <f t="shared" si="81"/>
        <v>0</v>
      </c>
      <c r="AM231" s="150">
        <f t="shared" si="81"/>
        <v>0</v>
      </c>
      <c r="AN231" s="150">
        <f t="shared" si="81"/>
        <v>0</v>
      </c>
      <c r="AO231" s="150">
        <f t="shared" si="81"/>
        <v>0</v>
      </c>
      <c r="AP231" s="150">
        <f t="shared" si="81"/>
        <v>0</v>
      </c>
    </row>
    <row r="232" spans="1:42" x14ac:dyDescent="0.2">
      <c r="A232" s="87" t="s">
        <v>5</v>
      </c>
      <c r="C232" s="150">
        <f t="shared" ref="C232:AP232" si="82">IF(AND(pbi_sta_tax_fed="Yes",pbi_sta_for_ds="No"),C584,0)</f>
        <v>0</v>
      </c>
      <c r="D232" s="150">
        <f t="shared" si="82"/>
        <v>0</v>
      </c>
      <c r="E232" s="150">
        <f t="shared" si="82"/>
        <v>0</v>
      </c>
      <c r="F232" s="150">
        <f t="shared" si="82"/>
        <v>0</v>
      </c>
      <c r="G232" s="150">
        <f t="shared" si="82"/>
        <v>0</v>
      </c>
      <c r="H232" s="150">
        <f t="shared" si="82"/>
        <v>0</v>
      </c>
      <c r="I232" s="150">
        <f t="shared" si="82"/>
        <v>0</v>
      </c>
      <c r="J232" s="150">
        <f t="shared" si="82"/>
        <v>0</v>
      </c>
      <c r="K232" s="150">
        <f t="shared" si="82"/>
        <v>0</v>
      </c>
      <c r="L232" s="150">
        <f t="shared" si="82"/>
        <v>0</v>
      </c>
      <c r="M232" s="150">
        <f t="shared" si="82"/>
        <v>0</v>
      </c>
      <c r="N232" s="150">
        <f t="shared" si="82"/>
        <v>0</v>
      </c>
      <c r="O232" s="150">
        <f t="shared" si="82"/>
        <v>0</v>
      </c>
      <c r="P232" s="150">
        <f t="shared" si="82"/>
        <v>0</v>
      </c>
      <c r="Q232" s="150">
        <f t="shared" si="82"/>
        <v>0</v>
      </c>
      <c r="R232" s="150">
        <f t="shared" si="82"/>
        <v>0</v>
      </c>
      <c r="S232" s="150">
        <f t="shared" si="82"/>
        <v>0</v>
      </c>
      <c r="T232" s="150">
        <f t="shared" si="82"/>
        <v>0</v>
      </c>
      <c r="U232" s="150">
        <f t="shared" si="82"/>
        <v>0</v>
      </c>
      <c r="V232" s="150">
        <f t="shared" si="82"/>
        <v>0</v>
      </c>
      <c r="W232" s="150">
        <f t="shared" si="82"/>
        <v>0</v>
      </c>
      <c r="X232" s="150">
        <f t="shared" si="82"/>
        <v>0</v>
      </c>
      <c r="Y232" s="150">
        <f t="shared" si="82"/>
        <v>0</v>
      </c>
      <c r="Z232" s="150">
        <f t="shared" si="82"/>
        <v>0</v>
      </c>
      <c r="AA232" s="150">
        <f t="shared" si="82"/>
        <v>0</v>
      </c>
      <c r="AB232" s="150">
        <f t="shared" si="82"/>
        <v>0</v>
      </c>
      <c r="AC232" s="150">
        <f t="shared" si="82"/>
        <v>0</v>
      </c>
      <c r="AD232" s="150">
        <f t="shared" si="82"/>
        <v>0</v>
      </c>
      <c r="AE232" s="150">
        <f t="shared" si="82"/>
        <v>0</v>
      </c>
      <c r="AF232" s="150">
        <f t="shared" si="82"/>
        <v>0</v>
      </c>
      <c r="AG232" s="150">
        <f t="shared" si="82"/>
        <v>0</v>
      </c>
      <c r="AH232" s="150">
        <f t="shared" si="82"/>
        <v>0</v>
      </c>
      <c r="AI232" s="150">
        <f t="shared" si="82"/>
        <v>0</v>
      </c>
      <c r="AJ232" s="150">
        <f t="shared" si="82"/>
        <v>0</v>
      </c>
      <c r="AK232" s="150">
        <f t="shared" si="82"/>
        <v>0</v>
      </c>
      <c r="AL232" s="150">
        <f t="shared" si="82"/>
        <v>0</v>
      </c>
      <c r="AM232" s="150">
        <f t="shared" si="82"/>
        <v>0</v>
      </c>
      <c r="AN232" s="150">
        <f t="shared" si="82"/>
        <v>0</v>
      </c>
      <c r="AO232" s="150">
        <f t="shared" si="82"/>
        <v>0</v>
      </c>
      <c r="AP232" s="150">
        <f t="shared" si="82"/>
        <v>0</v>
      </c>
    </row>
    <row r="233" spans="1:42" x14ac:dyDescent="0.2">
      <c r="A233" s="87" t="s">
        <v>160</v>
      </c>
      <c r="C233" s="150">
        <f t="shared" ref="C233:AP233" si="83">IF(AND(pbi_uti_tax_fed="Yes",pbi_uti_for_ds="No"),C588,0)</f>
        <v>0</v>
      </c>
      <c r="D233" s="150">
        <f t="shared" si="83"/>
        <v>0</v>
      </c>
      <c r="E233" s="150">
        <f t="shared" si="83"/>
        <v>0</v>
      </c>
      <c r="F233" s="150">
        <f t="shared" si="83"/>
        <v>0</v>
      </c>
      <c r="G233" s="150">
        <f t="shared" si="83"/>
        <v>0</v>
      </c>
      <c r="H233" s="150">
        <f t="shared" si="83"/>
        <v>0</v>
      </c>
      <c r="I233" s="150">
        <f t="shared" si="83"/>
        <v>0</v>
      </c>
      <c r="J233" s="150">
        <f t="shared" si="83"/>
        <v>0</v>
      </c>
      <c r="K233" s="150">
        <f t="shared" si="83"/>
        <v>0</v>
      </c>
      <c r="L233" s="150">
        <f t="shared" si="83"/>
        <v>0</v>
      </c>
      <c r="M233" s="150">
        <f t="shared" si="83"/>
        <v>0</v>
      </c>
      <c r="N233" s="150">
        <f t="shared" si="83"/>
        <v>0</v>
      </c>
      <c r="O233" s="150">
        <f t="shared" si="83"/>
        <v>0</v>
      </c>
      <c r="P233" s="150">
        <f t="shared" si="83"/>
        <v>0</v>
      </c>
      <c r="Q233" s="150">
        <f t="shared" si="83"/>
        <v>0</v>
      </c>
      <c r="R233" s="150">
        <f t="shared" si="83"/>
        <v>0</v>
      </c>
      <c r="S233" s="150">
        <f t="shared" si="83"/>
        <v>0</v>
      </c>
      <c r="T233" s="150">
        <f t="shared" si="83"/>
        <v>0</v>
      </c>
      <c r="U233" s="150">
        <f t="shared" si="83"/>
        <v>0</v>
      </c>
      <c r="V233" s="150">
        <f t="shared" si="83"/>
        <v>0</v>
      </c>
      <c r="W233" s="150">
        <f t="shared" si="83"/>
        <v>0</v>
      </c>
      <c r="X233" s="150">
        <f t="shared" si="83"/>
        <v>0</v>
      </c>
      <c r="Y233" s="150">
        <f t="shared" si="83"/>
        <v>0</v>
      </c>
      <c r="Z233" s="150">
        <f t="shared" si="83"/>
        <v>0</v>
      </c>
      <c r="AA233" s="150">
        <f t="shared" si="83"/>
        <v>0</v>
      </c>
      <c r="AB233" s="150">
        <f t="shared" si="83"/>
        <v>0</v>
      </c>
      <c r="AC233" s="150">
        <f t="shared" si="83"/>
        <v>0</v>
      </c>
      <c r="AD233" s="150">
        <f t="shared" si="83"/>
        <v>0</v>
      </c>
      <c r="AE233" s="150">
        <f t="shared" si="83"/>
        <v>0</v>
      </c>
      <c r="AF233" s="150">
        <f t="shared" si="83"/>
        <v>0</v>
      </c>
      <c r="AG233" s="150">
        <f t="shared" si="83"/>
        <v>0</v>
      </c>
      <c r="AH233" s="150">
        <f t="shared" si="83"/>
        <v>0</v>
      </c>
      <c r="AI233" s="150">
        <f t="shared" si="83"/>
        <v>0</v>
      </c>
      <c r="AJ233" s="150">
        <f t="shared" si="83"/>
        <v>0</v>
      </c>
      <c r="AK233" s="150">
        <f t="shared" si="83"/>
        <v>0</v>
      </c>
      <c r="AL233" s="150">
        <f t="shared" si="83"/>
        <v>0</v>
      </c>
      <c r="AM233" s="150">
        <f t="shared" si="83"/>
        <v>0</v>
      </c>
      <c r="AN233" s="150">
        <f t="shared" si="83"/>
        <v>0</v>
      </c>
      <c r="AO233" s="150">
        <f t="shared" si="83"/>
        <v>0</v>
      </c>
      <c r="AP233" s="150">
        <f t="shared" si="83"/>
        <v>0</v>
      </c>
    </row>
    <row r="234" spans="1:42" x14ac:dyDescent="0.2">
      <c r="A234" s="87" t="s">
        <v>161</v>
      </c>
      <c r="C234" s="150">
        <f t="shared" ref="C234:AP234" si="84">IF(AND(pbi_oth_tax_fed="Yes",pbi_oth_for_ds="No"),C592,0)</f>
        <v>0</v>
      </c>
      <c r="D234" s="150">
        <f t="shared" si="84"/>
        <v>0</v>
      </c>
      <c r="E234" s="150">
        <f t="shared" si="84"/>
        <v>0</v>
      </c>
      <c r="F234" s="150">
        <f t="shared" si="84"/>
        <v>0</v>
      </c>
      <c r="G234" s="150">
        <f t="shared" si="84"/>
        <v>0</v>
      </c>
      <c r="H234" s="150">
        <f t="shared" si="84"/>
        <v>0</v>
      </c>
      <c r="I234" s="150">
        <f t="shared" si="84"/>
        <v>0</v>
      </c>
      <c r="J234" s="150">
        <f t="shared" si="84"/>
        <v>0</v>
      </c>
      <c r="K234" s="150">
        <f t="shared" si="84"/>
        <v>0</v>
      </c>
      <c r="L234" s="150">
        <f t="shared" si="84"/>
        <v>0</v>
      </c>
      <c r="M234" s="150">
        <f t="shared" si="84"/>
        <v>0</v>
      </c>
      <c r="N234" s="150">
        <f t="shared" si="84"/>
        <v>0</v>
      </c>
      <c r="O234" s="150">
        <f t="shared" si="84"/>
        <v>0</v>
      </c>
      <c r="P234" s="150">
        <f t="shared" si="84"/>
        <v>0</v>
      </c>
      <c r="Q234" s="150">
        <f t="shared" si="84"/>
        <v>0</v>
      </c>
      <c r="R234" s="150">
        <f t="shared" si="84"/>
        <v>0</v>
      </c>
      <c r="S234" s="150">
        <f t="shared" si="84"/>
        <v>0</v>
      </c>
      <c r="T234" s="150">
        <f t="shared" si="84"/>
        <v>0</v>
      </c>
      <c r="U234" s="150">
        <f t="shared" si="84"/>
        <v>0</v>
      </c>
      <c r="V234" s="150">
        <f t="shared" si="84"/>
        <v>0</v>
      </c>
      <c r="W234" s="150">
        <f t="shared" si="84"/>
        <v>0</v>
      </c>
      <c r="X234" s="150">
        <f t="shared" si="84"/>
        <v>0</v>
      </c>
      <c r="Y234" s="150">
        <f t="shared" si="84"/>
        <v>0</v>
      </c>
      <c r="Z234" s="150">
        <f t="shared" si="84"/>
        <v>0</v>
      </c>
      <c r="AA234" s="150">
        <f t="shared" si="84"/>
        <v>0</v>
      </c>
      <c r="AB234" s="150">
        <f t="shared" si="84"/>
        <v>0</v>
      </c>
      <c r="AC234" s="150">
        <f t="shared" si="84"/>
        <v>0</v>
      </c>
      <c r="AD234" s="150">
        <f t="shared" si="84"/>
        <v>0</v>
      </c>
      <c r="AE234" s="150">
        <f t="shared" si="84"/>
        <v>0</v>
      </c>
      <c r="AF234" s="150">
        <f t="shared" si="84"/>
        <v>0</v>
      </c>
      <c r="AG234" s="150">
        <f t="shared" si="84"/>
        <v>0</v>
      </c>
      <c r="AH234" s="150">
        <f t="shared" si="84"/>
        <v>0</v>
      </c>
      <c r="AI234" s="150">
        <f t="shared" si="84"/>
        <v>0</v>
      </c>
      <c r="AJ234" s="150">
        <f t="shared" si="84"/>
        <v>0</v>
      </c>
      <c r="AK234" s="150">
        <f t="shared" si="84"/>
        <v>0</v>
      </c>
      <c r="AL234" s="150">
        <f t="shared" si="84"/>
        <v>0</v>
      </c>
      <c r="AM234" s="150">
        <f t="shared" si="84"/>
        <v>0</v>
      </c>
      <c r="AN234" s="150">
        <f t="shared" si="84"/>
        <v>0</v>
      </c>
      <c r="AO234" s="150">
        <f t="shared" si="84"/>
        <v>0</v>
      </c>
      <c r="AP234" s="150">
        <f t="shared" si="84"/>
        <v>0</v>
      </c>
    </row>
    <row r="235" spans="1:42" x14ac:dyDescent="0.2">
      <c r="A235" s="87" t="s">
        <v>12</v>
      </c>
      <c r="C235" s="152">
        <f>SUM(C231:C234)</f>
        <v>0</v>
      </c>
      <c r="D235" s="152">
        <f t="shared" ref="D235:AP235" si="85">SUM(D231:D234)</f>
        <v>0</v>
      </c>
      <c r="E235" s="152">
        <f t="shared" si="85"/>
        <v>0</v>
      </c>
      <c r="F235" s="152">
        <f t="shared" si="85"/>
        <v>0</v>
      </c>
      <c r="G235" s="152">
        <f t="shared" si="85"/>
        <v>0</v>
      </c>
      <c r="H235" s="152">
        <f t="shared" si="85"/>
        <v>0</v>
      </c>
      <c r="I235" s="152">
        <f t="shared" si="85"/>
        <v>0</v>
      </c>
      <c r="J235" s="152">
        <f t="shared" si="85"/>
        <v>0</v>
      </c>
      <c r="K235" s="152">
        <f t="shared" si="85"/>
        <v>0</v>
      </c>
      <c r="L235" s="152">
        <f t="shared" si="85"/>
        <v>0</v>
      </c>
      <c r="M235" s="152">
        <f t="shared" si="85"/>
        <v>0</v>
      </c>
      <c r="N235" s="152">
        <f t="shared" si="85"/>
        <v>0</v>
      </c>
      <c r="O235" s="152">
        <f t="shared" si="85"/>
        <v>0</v>
      </c>
      <c r="P235" s="152">
        <f t="shared" si="85"/>
        <v>0</v>
      </c>
      <c r="Q235" s="152">
        <f t="shared" si="85"/>
        <v>0</v>
      </c>
      <c r="R235" s="152">
        <f t="shared" si="85"/>
        <v>0</v>
      </c>
      <c r="S235" s="152">
        <f t="shared" si="85"/>
        <v>0</v>
      </c>
      <c r="T235" s="152">
        <f t="shared" si="85"/>
        <v>0</v>
      </c>
      <c r="U235" s="152">
        <f t="shared" si="85"/>
        <v>0</v>
      </c>
      <c r="V235" s="152">
        <f t="shared" si="85"/>
        <v>0</v>
      </c>
      <c r="W235" s="152">
        <f t="shared" si="85"/>
        <v>0</v>
      </c>
      <c r="X235" s="152">
        <f t="shared" si="85"/>
        <v>0</v>
      </c>
      <c r="Y235" s="152">
        <f t="shared" si="85"/>
        <v>0</v>
      </c>
      <c r="Z235" s="152">
        <f t="shared" si="85"/>
        <v>0</v>
      </c>
      <c r="AA235" s="152">
        <f t="shared" si="85"/>
        <v>0</v>
      </c>
      <c r="AB235" s="152">
        <f t="shared" si="85"/>
        <v>0</v>
      </c>
      <c r="AC235" s="152">
        <f t="shared" si="85"/>
        <v>0</v>
      </c>
      <c r="AD235" s="152">
        <f t="shared" si="85"/>
        <v>0</v>
      </c>
      <c r="AE235" s="152">
        <f t="shared" si="85"/>
        <v>0</v>
      </c>
      <c r="AF235" s="152">
        <f t="shared" si="85"/>
        <v>0</v>
      </c>
      <c r="AG235" s="152">
        <f t="shared" si="85"/>
        <v>0</v>
      </c>
      <c r="AH235" s="152">
        <f t="shared" si="85"/>
        <v>0</v>
      </c>
      <c r="AI235" s="152">
        <f t="shared" si="85"/>
        <v>0</v>
      </c>
      <c r="AJ235" s="152">
        <f t="shared" si="85"/>
        <v>0</v>
      </c>
      <c r="AK235" s="152">
        <f t="shared" si="85"/>
        <v>0</v>
      </c>
      <c r="AL235" s="152">
        <f t="shared" si="85"/>
        <v>0</v>
      </c>
      <c r="AM235" s="152">
        <f t="shared" si="85"/>
        <v>0</v>
      </c>
      <c r="AN235" s="152">
        <f t="shared" si="85"/>
        <v>0</v>
      </c>
      <c r="AO235" s="152">
        <f t="shared" si="85"/>
        <v>0</v>
      </c>
      <c r="AP235" s="152">
        <f t="shared" si="85"/>
        <v>0</v>
      </c>
    </row>
    <row r="236" spans="1:42" x14ac:dyDescent="0.2">
      <c r="A236" s="86" t="s">
        <v>38</v>
      </c>
      <c r="C236" s="150">
        <f>C217+C223+C229+C235</f>
        <v>0</v>
      </c>
      <c r="D236" s="150">
        <f t="shared" ref="D236:AP236" si="86">D217+D223+D229+D235</f>
        <v>0</v>
      </c>
      <c r="E236" s="150">
        <f t="shared" si="86"/>
        <v>0</v>
      </c>
      <c r="F236" s="150">
        <f t="shared" si="86"/>
        <v>0</v>
      </c>
      <c r="G236" s="150">
        <f t="shared" si="86"/>
        <v>0</v>
      </c>
      <c r="H236" s="150">
        <f t="shared" si="86"/>
        <v>0</v>
      </c>
      <c r="I236" s="150">
        <f t="shared" si="86"/>
        <v>0</v>
      </c>
      <c r="J236" s="150">
        <f t="shared" si="86"/>
        <v>0</v>
      </c>
      <c r="K236" s="150">
        <f t="shared" si="86"/>
        <v>0</v>
      </c>
      <c r="L236" s="150">
        <f t="shared" si="86"/>
        <v>0</v>
      </c>
      <c r="M236" s="150">
        <f t="shared" si="86"/>
        <v>0</v>
      </c>
      <c r="N236" s="150">
        <f t="shared" si="86"/>
        <v>0</v>
      </c>
      <c r="O236" s="150">
        <f t="shared" si="86"/>
        <v>0</v>
      </c>
      <c r="P236" s="150">
        <f t="shared" si="86"/>
        <v>0</v>
      </c>
      <c r="Q236" s="150">
        <f t="shared" si="86"/>
        <v>0</v>
      </c>
      <c r="R236" s="150">
        <f t="shared" si="86"/>
        <v>0</v>
      </c>
      <c r="S236" s="150">
        <f t="shared" si="86"/>
        <v>0</v>
      </c>
      <c r="T236" s="150">
        <f t="shared" si="86"/>
        <v>0</v>
      </c>
      <c r="U236" s="150">
        <f t="shared" si="86"/>
        <v>0</v>
      </c>
      <c r="V236" s="150">
        <f t="shared" si="86"/>
        <v>0</v>
      </c>
      <c r="W236" s="150">
        <f t="shared" si="86"/>
        <v>0</v>
      </c>
      <c r="X236" s="150">
        <f t="shared" si="86"/>
        <v>0</v>
      </c>
      <c r="Y236" s="150">
        <f t="shared" si="86"/>
        <v>0</v>
      </c>
      <c r="Z236" s="150">
        <f t="shared" si="86"/>
        <v>0</v>
      </c>
      <c r="AA236" s="150">
        <f t="shared" si="86"/>
        <v>0</v>
      </c>
      <c r="AB236" s="150">
        <f t="shared" si="86"/>
        <v>0</v>
      </c>
      <c r="AC236" s="150">
        <f t="shared" si="86"/>
        <v>0</v>
      </c>
      <c r="AD236" s="150">
        <f t="shared" si="86"/>
        <v>0</v>
      </c>
      <c r="AE236" s="150">
        <f t="shared" si="86"/>
        <v>0</v>
      </c>
      <c r="AF236" s="150">
        <f t="shared" si="86"/>
        <v>0</v>
      </c>
      <c r="AG236" s="150">
        <f t="shared" si="86"/>
        <v>0</v>
      </c>
      <c r="AH236" s="150">
        <f t="shared" si="86"/>
        <v>0</v>
      </c>
      <c r="AI236" s="150">
        <f t="shared" si="86"/>
        <v>0</v>
      </c>
      <c r="AJ236" s="150">
        <f t="shared" si="86"/>
        <v>0</v>
      </c>
      <c r="AK236" s="150">
        <f t="shared" si="86"/>
        <v>0</v>
      </c>
      <c r="AL236" s="150">
        <f t="shared" si="86"/>
        <v>0</v>
      </c>
      <c r="AM236" s="150">
        <f t="shared" si="86"/>
        <v>0</v>
      </c>
      <c r="AN236" s="150">
        <f t="shared" si="86"/>
        <v>0</v>
      </c>
      <c r="AO236" s="150">
        <f t="shared" si="86"/>
        <v>0</v>
      </c>
      <c r="AP236" s="150">
        <f t="shared" si="86"/>
        <v>0</v>
      </c>
    </row>
    <row r="237" spans="1:42" x14ac:dyDescent="0.2">
      <c r="A237" s="87"/>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spans="1:42" x14ac:dyDescent="0.2">
      <c r="A238" s="86" t="s">
        <v>39</v>
      </c>
      <c r="C238" s="153">
        <f>C210+C236</f>
        <v>0</v>
      </c>
      <c r="D238" s="153">
        <f t="shared" ref="D238:AP238" si="87">D210+D236</f>
        <v>0</v>
      </c>
      <c r="E238" s="153">
        <f t="shared" si="87"/>
        <v>0</v>
      </c>
      <c r="F238" s="153">
        <f t="shared" si="87"/>
        <v>0</v>
      </c>
      <c r="G238" s="153">
        <f t="shared" si="87"/>
        <v>0</v>
      </c>
      <c r="H238" s="153">
        <f t="shared" si="87"/>
        <v>0</v>
      </c>
      <c r="I238" s="153">
        <f t="shared" si="87"/>
        <v>0</v>
      </c>
      <c r="J238" s="153">
        <f t="shared" si="87"/>
        <v>0</v>
      </c>
      <c r="K238" s="153">
        <f t="shared" si="87"/>
        <v>0</v>
      </c>
      <c r="L238" s="153">
        <f t="shared" si="87"/>
        <v>0</v>
      </c>
      <c r="M238" s="153">
        <f t="shared" si="87"/>
        <v>0</v>
      </c>
      <c r="N238" s="153">
        <f t="shared" si="87"/>
        <v>0</v>
      </c>
      <c r="O238" s="153">
        <f t="shared" si="87"/>
        <v>0</v>
      </c>
      <c r="P238" s="153">
        <f t="shared" si="87"/>
        <v>0</v>
      </c>
      <c r="Q238" s="153">
        <f t="shared" si="87"/>
        <v>0</v>
      </c>
      <c r="R238" s="153">
        <f t="shared" si="87"/>
        <v>0</v>
      </c>
      <c r="S238" s="153">
        <f t="shared" si="87"/>
        <v>0</v>
      </c>
      <c r="T238" s="153">
        <f t="shared" si="87"/>
        <v>0</v>
      </c>
      <c r="U238" s="153">
        <f t="shared" si="87"/>
        <v>0</v>
      </c>
      <c r="V238" s="153">
        <f t="shared" si="87"/>
        <v>0</v>
      </c>
      <c r="W238" s="153">
        <f t="shared" si="87"/>
        <v>0</v>
      </c>
      <c r="X238" s="153">
        <f t="shared" si="87"/>
        <v>0</v>
      </c>
      <c r="Y238" s="153">
        <f t="shared" si="87"/>
        <v>0</v>
      </c>
      <c r="Z238" s="153">
        <f t="shared" si="87"/>
        <v>0</v>
      </c>
      <c r="AA238" s="153">
        <f t="shared" si="87"/>
        <v>0</v>
      </c>
      <c r="AB238" s="153">
        <f t="shared" si="87"/>
        <v>0</v>
      </c>
      <c r="AC238" s="153">
        <f t="shared" si="87"/>
        <v>0</v>
      </c>
      <c r="AD238" s="153">
        <f t="shared" si="87"/>
        <v>0</v>
      </c>
      <c r="AE238" s="153">
        <f t="shared" si="87"/>
        <v>0</v>
      </c>
      <c r="AF238" s="153">
        <f t="shared" si="87"/>
        <v>0</v>
      </c>
      <c r="AG238" s="153">
        <f t="shared" si="87"/>
        <v>0</v>
      </c>
      <c r="AH238" s="153">
        <f t="shared" si="87"/>
        <v>0</v>
      </c>
      <c r="AI238" s="153">
        <f t="shared" si="87"/>
        <v>0</v>
      </c>
      <c r="AJ238" s="153">
        <f t="shared" si="87"/>
        <v>0</v>
      </c>
      <c r="AK238" s="153">
        <f t="shared" si="87"/>
        <v>0</v>
      </c>
      <c r="AL238" s="153">
        <f t="shared" si="87"/>
        <v>0</v>
      </c>
      <c r="AM238" s="153">
        <f t="shared" si="87"/>
        <v>0</v>
      </c>
      <c r="AN238" s="153">
        <f t="shared" si="87"/>
        <v>0</v>
      </c>
      <c r="AO238" s="153">
        <f t="shared" si="87"/>
        <v>0</v>
      </c>
      <c r="AP238" s="153">
        <f t="shared" si="87"/>
        <v>0</v>
      </c>
    </row>
    <row r="239" spans="1:42" x14ac:dyDescent="0.2">
      <c r="A239" s="86" t="s">
        <v>262</v>
      </c>
      <c r="B239" s="4">
        <f t="array" ref="B239:AP239">Inputs!C170:AQ170</f>
        <v>0</v>
      </c>
      <c r="C239" s="152">
        <v>0</v>
      </c>
      <c r="D239" s="152">
        <v>0</v>
      </c>
      <c r="E239" s="152">
        <v>0</v>
      </c>
      <c r="F239" s="152">
        <v>0</v>
      </c>
      <c r="G239" s="152">
        <v>0</v>
      </c>
      <c r="H239" s="152">
        <v>0</v>
      </c>
      <c r="I239" s="152">
        <v>0</v>
      </c>
      <c r="J239" s="152">
        <v>0</v>
      </c>
      <c r="K239" s="152">
        <v>0</v>
      </c>
      <c r="L239" s="152">
        <v>0</v>
      </c>
      <c r="M239" s="152">
        <v>0</v>
      </c>
      <c r="N239" s="152">
        <v>0</v>
      </c>
      <c r="O239" s="152">
        <v>0</v>
      </c>
      <c r="P239" s="152">
        <v>0</v>
      </c>
      <c r="Q239" s="152">
        <v>0</v>
      </c>
      <c r="R239" s="152">
        <v>0</v>
      </c>
      <c r="S239" s="152">
        <v>0</v>
      </c>
      <c r="T239" s="152">
        <v>0</v>
      </c>
      <c r="U239" s="152">
        <v>0</v>
      </c>
      <c r="V239" s="152">
        <v>0</v>
      </c>
      <c r="W239" s="152">
        <v>0</v>
      </c>
      <c r="X239" s="152">
        <v>0</v>
      </c>
      <c r="Y239" s="152">
        <v>0</v>
      </c>
      <c r="Z239" s="152">
        <v>0</v>
      </c>
      <c r="AA239" s="152">
        <v>0</v>
      </c>
      <c r="AB239" s="152">
        <v>0</v>
      </c>
      <c r="AC239" s="152">
        <v>0</v>
      </c>
      <c r="AD239" s="152">
        <v>0</v>
      </c>
      <c r="AE239" s="152">
        <v>0</v>
      </c>
      <c r="AF239" s="152">
        <v>0</v>
      </c>
      <c r="AG239" s="152">
        <v>0</v>
      </c>
      <c r="AH239" s="152">
        <v>0</v>
      </c>
      <c r="AI239" s="152">
        <v>0</v>
      </c>
      <c r="AJ239" s="152">
        <v>0</v>
      </c>
      <c r="AK239" s="152">
        <v>0</v>
      </c>
      <c r="AL239" s="152">
        <v>0</v>
      </c>
      <c r="AM239" s="152">
        <v>0</v>
      </c>
      <c r="AN239" s="152">
        <v>0</v>
      </c>
      <c r="AO239" s="152">
        <v>0</v>
      </c>
      <c r="AP239" s="152">
        <v>0</v>
      </c>
    </row>
    <row r="240" spans="1:42" x14ac:dyDescent="0.2">
      <c r="A240" s="86" t="s">
        <v>65</v>
      </c>
      <c r="C240" s="153">
        <f>C238*-C239/100</f>
        <v>0</v>
      </c>
      <c r="D240" s="153">
        <f t="shared" ref="D240:AP240" si="88">D238*-D239/100</f>
        <v>0</v>
      </c>
      <c r="E240" s="153">
        <f t="shared" si="88"/>
        <v>0</v>
      </c>
      <c r="F240" s="153">
        <f t="shared" si="88"/>
        <v>0</v>
      </c>
      <c r="G240" s="153">
        <f t="shared" si="88"/>
        <v>0</v>
      </c>
      <c r="H240" s="153">
        <f t="shared" si="88"/>
        <v>0</v>
      </c>
      <c r="I240" s="153">
        <f t="shared" si="88"/>
        <v>0</v>
      </c>
      <c r="J240" s="153">
        <f t="shared" si="88"/>
        <v>0</v>
      </c>
      <c r="K240" s="153">
        <f t="shared" si="88"/>
        <v>0</v>
      </c>
      <c r="L240" s="153">
        <f t="shared" si="88"/>
        <v>0</v>
      </c>
      <c r="M240" s="153">
        <f t="shared" si="88"/>
        <v>0</v>
      </c>
      <c r="N240" s="153">
        <f t="shared" si="88"/>
        <v>0</v>
      </c>
      <c r="O240" s="153">
        <f t="shared" si="88"/>
        <v>0</v>
      </c>
      <c r="P240" s="153">
        <f t="shared" si="88"/>
        <v>0</v>
      </c>
      <c r="Q240" s="153">
        <f t="shared" si="88"/>
        <v>0</v>
      </c>
      <c r="R240" s="153">
        <f t="shared" si="88"/>
        <v>0</v>
      </c>
      <c r="S240" s="153">
        <f t="shared" si="88"/>
        <v>0</v>
      </c>
      <c r="T240" s="153">
        <f t="shared" si="88"/>
        <v>0</v>
      </c>
      <c r="U240" s="153">
        <f t="shared" si="88"/>
        <v>0</v>
      </c>
      <c r="V240" s="153">
        <f t="shared" si="88"/>
        <v>0</v>
      </c>
      <c r="W240" s="153">
        <f t="shared" si="88"/>
        <v>0</v>
      </c>
      <c r="X240" s="153">
        <f t="shared" si="88"/>
        <v>0</v>
      </c>
      <c r="Y240" s="153">
        <f t="shared" si="88"/>
        <v>0</v>
      </c>
      <c r="Z240" s="153">
        <f t="shared" si="88"/>
        <v>0</v>
      </c>
      <c r="AA240" s="153">
        <f t="shared" si="88"/>
        <v>0</v>
      </c>
      <c r="AB240" s="153">
        <f t="shared" si="88"/>
        <v>0</v>
      </c>
      <c r="AC240" s="153">
        <f t="shared" si="88"/>
        <v>0</v>
      </c>
      <c r="AD240" s="153">
        <f t="shared" si="88"/>
        <v>0</v>
      </c>
      <c r="AE240" s="153">
        <f t="shared" si="88"/>
        <v>0</v>
      </c>
      <c r="AF240" s="153">
        <f t="shared" si="88"/>
        <v>0</v>
      </c>
      <c r="AG240" s="153">
        <f t="shared" si="88"/>
        <v>0</v>
      </c>
      <c r="AH240" s="153">
        <f t="shared" si="88"/>
        <v>0</v>
      </c>
      <c r="AI240" s="153">
        <f t="shared" si="88"/>
        <v>0</v>
      </c>
      <c r="AJ240" s="153">
        <f t="shared" si="88"/>
        <v>0</v>
      </c>
      <c r="AK240" s="153">
        <f t="shared" si="88"/>
        <v>0</v>
      </c>
      <c r="AL240" s="153">
        <f t="shared" si="88"/>
        <v>0</v>
      </c>
      <c r="AM240" s="153">
        <f t="shared" si="88"/>
        <v>0</v>
      </c>
      <c r="AN240" s="153">
        <f t="shared" si="88"/>
        <v>0</v>
      </c>
      <c r="AO240" s="153">
        <f t="shared" si="88"/>
        <v>0</v>
      </c>
      <c r="AP240" s="153">
        <f t="shared" si="88"/>
        <v>0</v>
      </c>
    </row>
    <row r="241" spans="1:42" x14ac:dyDescent="0.2">
      <c r="A241" s="21"/>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row>
    <row r="242" spans="1:42" x14ac:dyDescent="0.2">
      <c r="A242" s="80" t="s">
        <v>400</v>
      </c>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row>
    <row r="243" spans="1:42" x14ac:dyDescent="0.2">
      <c r="A243" s="19" t="s">
        <v>436</v>
      </c>
    </row>
    <row r="244" spans="1:42" x14ac:dyDescent="0.2">
      <c r="A244" s="86" t="s">
        <v>173</v>
      </c>
      <c r="B244" s="150">
        <f>total_installed_cost</f>
        <v>0</v>
      </c>
    </row>
    <row r="245" spans="1:42" x14ac:dyDescent="0.2">
      <c r="A245" s="86" t="s">
        <v>399</v>
      </c>
      <c r="B245" s="150">
        <f>cost_other_financing</f>
        <v>0</v>
      </c>
    </row>
    <row r="246" spans="1:42" x14ac:dyDescent="0.2">
      <c r="A246" s="86" t="s">
        <v>174</v>
      </c>
      <c r="B246" s="151">
        <f>Inputs!I85</f>
        <v>0</v>
      </c>
    </row>
    <row r="247" spans="1:42" x14ac:dyDescent="0.2">
      <c r="A247" s="17" t="s">
        <v>437</v>
      </c>
      <c r="B247" s="150">
        <f>SUM(B244:B246)</f>
        <v>0</v>
      </c>
    </row>
    <row r="248" spans="1:42" x14ac:dyDescent="0.2">
      <c r="A248" s="17" t="s">
        <v>401</v>
      </c>
      <c r="B248" s="150">
        <f>B247</f>
        <v>0</v>
      </c>
    </row>
    <row r="249" spans="1:42" x14ac:dyDescent="0.2">
      <c r="A249" s="19"/>
    </row>
    <row r="250" spans="1:42" x14ac:dyDescent="0.2">
      <c r="A250" s="19" t="s">
        <v>402</v>
      </c>
    </row>
    <row r="251" spans="1:42" ht="15" customHeight="1" x14ac:dyDescent="0.2">
      <c r="A251" s="315" t="s">
        <v>403</v>
      </c>
      <c r="B251" s="327" t="s">
        <v>404</v>
      </c>
      <c r="C251" s="339"/>
      <c r="D251" s="328" t="s">
        <v>405</v>
      </c>
      <c r="E251" s="328"/>
      <c r="F251" s="328"/>
      <c r="G251" s="327" t="s">
        <v>406</v>
      </c>
      <c r="H251" s="328"/>
      <c r="I251" s="328"/>
      <c r="J251" s="328"/>
      <c r="K251" s="335" t="s">
        <v>407</v>
      </c>
      <c r="L251" s="336"/>
      <c r="M251" s="327" t="s">
        <v>408</v>
      </c>
      <c r="N251" s="328"/>
      <c r="O251" s="328"/>
      <c r="P251" s="314" t="s">
        <v>409</v>
      </c>
      <c r="Q251" s="329" t="s">
        <v>403</v>
      </c>
    </row>
    <row r="252" spans="1:42" ht="38.25" x14ac:dyDescent="0.2">
      <c r="A252" s="35" t="s">
        <v>410</v>
      </c>
      <c r="B252" s="222" t="s">
        <v>438</v>
      </c>
      <c r="C252" s="316" t="s">
        <v>411</v>
      </c>
      <c r="D252" s="222" t="s">
        <v>412</v>
      </c>
      <c r="E252" s="316" t="s">
        <v>413</v>
      </c>
      <c r="F252" s="316" t="s">
        <v>414</v>
      </c>
      <c r="G252" s="222" t="s">
        <v>51</v>
      </c>
      <c r="H252" s="316" t="s">
        <v>52</v>
      </c>
      <c r="I252" s="316" t="s">
        <v>415</v>
      </c>
      <c r="J252" s="316" t="s">
        <v>416</v>
      </c>
      <c r="K252" s="222" t="s">
        <v>53</v>
      </c>
      <c r="L252" s="316" t="s">
        <v>417</v>
      </c>
      <c r="M252" s="320" t="s">
        <v>418</v>
      </c>
      <c r="N252" s="321" t="s">
        <v>419</v>
      </c>
      <c r="O252" s="321" t="s">
        <v>420</v>
      </c>
      <c r="P252" s="208" t="s">
        <v>421</v>
      </c>
      <c r="Q252" s="330"/>
    </row>
    <row r="253" spans="1:42" x14ac:dyDescent="0.2">
      <c r="A253" s="21" t="str">
        <f>Inputs!B137</f>
        <v>5-yr MACRS</v>
      </c>
      <c r="B253" s="204">
        <f>IF(Inputs!$C$145=0,0,depr_alloc_macrs_5_percent*100/Inputs!$C$145)</f>
        <v>0</v>
      </c>
      <c r="C253" s="124">
        <f>$B$247*depr_alloc_macrs_5_percent/100</f>
        <v>0</v>
      </c>
      <c r="D253" s="119">
        <f>$B253/100*($B$271+$B$277)</f>
        <v>0</v>
      </c>
      <c r="E253" s="119">
        <f>$B253/100*$B$283</f>
        <v>0</v>
      </c>
      <c r="F253" s="119">
        <f>C253-D253-E253</f>
        <v>0</v>
      </c>
      <c r="G253" s="122">
        <f>IF(depr_itc_sta_macrs_5="Yes",F253,0)</f>
        <v>0</v>
      </c>
      <c r="H253" s="125">
        <f t="shared" ref="H253:H259" si="89">IF($G$260=0,0,G253/$G$260)*100</f>
        <v>0</v>
      </c>
      <c r="I253" s="119">
        <f t="shared" ref="I253:I259" si="90">$I$260*H253/100</f>
        <v>0</v>
      </c>
      <c r="J253" s="119">
        <f>I253*0.5</f>
        <v>0</v>
      </c>
      <c r="K253" s="122">
        <f t="shared" ref="K253:K259" si="91">H253/100*$K$260</f>
        <v>0</v>
      </c>
      <c r="L253" s="119">
        <f>K253*0.5</f>
        <v>0</v>
      </c>
      <c r="M253" s="122">
        <f t="shared" ref="M253:M257" si="92">IF(itc_sta_amount_deprbas_sta="Yes",L253,0)+IF(itc_sta_percent_deprbas_sta="Yes",J253,0)</f>
        <v>0</v>
      </c>
      <c r="N253" s="119">
        <f t="shared" ref="N253:N258" si="93">IF(itc_fed_amount_deprbas_sta="Yes",L391,0)+IF(itc_fed_percent_deprbas_sta="Yes",J391,0)</f>
        <v>0</v>
      </c>
      <c r="O253" s="119">
        <f t="shared" ref="O253:O257" si="94">F253-M253-N253</f>
        <v>0</v>
      </c>
      <c r="P253" s="122">
        <f>IF(depr_bonus_sta_macrs_5="Yes",O253*depr_bonus_sta/100,0)</f>
        <v>0</v>
      </c>
      <c r="Q253" s="121">
        <f>O253-P253</f>
        <v>0</v>
      </c>
    </row>
    <row r="254" spans="1:42" x14ac:dyDescent="0.2">
      <c r="A254" s="21" t="str">
        <f>Inputs!B138</f>
        <v>15-yr MACRS</v>
      </c>
      <c r="B254" s="204">
        <f>IF(Inputs!$C$145=0,0,depr_alloc_macrs_15_percent*100/Inputs!$C$145)</f>
        <v>0</v>
      </c>
      <c r="C254" s="124">
        <f>$B$247*depr_alloc_macrs_15_percent/100</f>
        <v>0</v>
      </c>
      <c r="D254" s="119">
        <f t="shared" ref="D254:D259" si="95">$B254/100*($B$271+$B$277)</f>
        <v>0</v>
      </c>
      <c r="E254" s="119">
        <f t="shared" ref="E254:E259" si="96">$B254/100*$B$283</f>
        <v>0</v>
      </c>
      <c r="F254" s="119">
        <f t="shared" ref="F254:F258" si="97">C254-D254-E254</f>
        <v>0</v>
      </c>
      <c r="G254" s="122">
        <f>IF(depr_itc_sta_macrs_15="Yes",F254,0)</f>
        <v>0</v>
      </c>
      <c r="H254" s="125">
        <f t="shared" si="89"/>
        <v>0</v>
      </c>
      <c r="I254" s="119">
        <f t="shared" si="90"/>
        <v>0</v>
      </c>
      <c r="J254" s="119">
        <f t="shared" ref="J254:J259" si="98">I254*0.5</f>
        <v>0</v>
      </c>
      <c r="K254" s="122">
        <f t="shared" si="91"/>
        <v>0</v>
      </c>
      <c r="L254" s="119">
        <f t="shared" ref="L254:L259" si="99">K254*0.5</f>
        <v>0</v>
      </c>
      <c r="M254" s="122">
        <f t="shared" si="92"/>
        <v>0</v>
      </c>
      <c r="N254" s="119">
        <f t="shared" si="93"/>
        <v>0</v>
      </c>
      <c r="O254" s="119">
        <f t="shared" si="94"/>
        <v>0</v>
      </c>
      <c r="P254" s="122">
        <f>IF(depr_bonus_sta_macrs_15="Yes",O254*depr_bonus_sta/100,0)</f>
        <v>0</v>
      </c>
      <c r="Q254" s="121">
        <f t="shared" ref="Q254:Q257" si="100">O254-P254</f>
        <v>0</v>
      </c>
    </row>
    <row r="255" spans="1:42" x14ac:dyDescent="0.2">
      <c r="A255" s="21" t="str">
        <f>Inputs!B139</f>
        <v>5-yr SL</v>
      </c>
      <c r="B255" s="204">
        <f>IF(Inputs!$C$145=0,0,depr_alloc_sl_5_percent*100/Inputs!$C$145)</f>
        <v>0</v>
      </c>
      <c r="C255" s="124">
        <f>$B$247*depr_alloc_sl_5_percent/100</f>
        <v>0</v>
      </c>
      <c r="D255" s="119">
        <f t="shared" si="95"/>
        <v>0</v>
      </c>
      <c r="E255" s="119">
        <f t="shared" si="96"/>
        <v>0</v>
      </c>
      <c r="F255" s="119">
        <f t="shared" si="97"/>
        <v>0</v>
      </c>
      <c r="G255" s="122">
        <f>IF(depr_itc_sta_sl_5="Yes",F255,0)</f>
        <v>0</v>
      </c>
      <c r="H255" s="125">
        <f t="shared" si="89"/>
        <v>0</v>
      </c>
      <c r="I255" s="119">
        <f t="shared" si="90"/>
        <v>0</v>
      </c>
      <c r="J255" s="119">
        <f t="shared" si="98"/>
        <v>0</v>
      </c>
      <c r="K255" s="122">
        <f t="shared" si="91"/>
        <v>0</v>
      </c>
      <c r="L255" s="119">
        <f t="shared" si="99"/>
        <v>0</v>
      </c>
      <c r="M255" s="122">
        <f t="shared" si="92"/>
        <v>0</v>
      </c>
      <c r="N255" s="119">
        <f t="shared" si="93"/>
        <v>0</v>
      </c>
      <c r="O255" s="119">
        <f t="shared" si="94"/>
        <v>0</v>
      </c>
      <c r="P255" s="122">
        <f>IF(depr_bonus_sta_sl_5="Yes",O255*depr_bonus_sta/100,0)</f>
        <v>0</v>
      </c>
      <c r="Q255" s="121">
        <f t="shared" si="100"/>
        <v>0</v>
      </c>
    </row>
    <row r="256" spans="1:42" x14ac:dyDescent="0.2">
      <c r="A256" s="21" t="str">
        <f>Inputs!B140</f>
        <v>15-yr SL</v>
      </c>
      <c r="B256" s="204">
        <f>IF(Inputs!$C$145=0,0,depr_alloc_sl_15_percent*100/Inputs!$C$145)</f>
        <v>0</v>
      </c>
      <c r="C256" s="124">
        <f>$B$247*depr_alloc_sl_15_percent/100</f>
        <v>0</v>
      </c>
      <c r="D256" s="119">
        <f t="shared" si="95"/>
        <v>0</v>
      </c>
      <c r="E256" s="119">
        <f t="shared" si="96"/>
        <v>0</v>
      </c>
      <c r="F256" s="119">
        <f t="shared" si="97"/>
        <v>0</v>
      </c>
      <c r="G256" s="122">
        <f>IF(depr_itc_sta_sl_15="Yes",F256,0)</f>
        <v>0</v>
      </c>
      <c r="H256" s="125">
        <f t="shared" si="89"/>
        <v>0</v>
      </c>
      <c r="I256" s="119">
        <f t="shared" si="90"/>
        <v>0</v>
      </c>
      <c r="J256" s="119">
        <f t="shared" si="98"/>
        <v>0</v>
      </c>
      <c r="K256" s="122">
        <f t="shared" si="91"/>
        <v>0</v>
      </c>
      <c r="L256" s="119">
        <f t="shared" si="99"/>
        <v>0</v>
      </c>
      <c r="M256" s="122">
        <f t="shared" si="92"/>
        <v>0</v>
      </c>
      <c r="N256" s="119">
        <f t="shared" si="93"/>
        <v>0</v>
      </c>
      <c r="O256" s="119">
        <f t="shared" si="94"/>
        <v>0</v>
      </c>
      <c r="P256" s="122">
        <f>IF(depr_bonus_sta_sl_15="Yes",O256*depr_bonus_sta/100,0)</f>
        <v>0</v>
      </c>
      <c r="Q256" s="121">
        <f t="shared" si="100"/>
        <v>0</v>
      </c>
    </row>
    <row r="257" spans="1:17" x14ac:dyDescent="0.2">
      <c r="A257" s="21" t="str">
        <f>Inputs!B141</f>
        <v>20-yr SL</v>
      </c>
      <c r="B257" s="204">
        <f>IF(Inputs!$C$145=0,0,depr_alloc_sl_20_percent*100/Inputs!$C$145)</f>
        <v>0</v>
      </c>
      <c r="C257" s="124">
        <f>$B$247*depr_alloc_sl_20_percent/100</f>
        <v>0</v>
      </c>
      <c r="D257" s="119">
        <f t="shared" si="95"/>
        <v>0</v>
      </c>
      <c r="E257" s="119">
        <f t="shared" si="96"/>
        <v>0</v>
      </c>
      <c r="F257" s="119">
        <f t="shared" si="97"/>
        <v>0</v>
      </c>
      <c r="G257" s="122">
        <f>IF(depr_itc_sta_sl_20="Yes",F257,0)</f>
        <v>0</v>
      </c>
      <c r="H257" s="125">
        <f t="shared" si="89"/>
        <v>0</v>
      </c>
      <c r="I257" s="119">
        <f t="shared" si="90"/>
        <v>0</v>
      </c>
      <c r="J257" s="119">
        <f t="shared" si="98"/>
        <v>0</v>
      </c>
      <c r="K257" s="122">
        <f t="shared" si="91"/>
        <v>0</v>
      </c>
      <c r="L257" s="119">
        <f t="shared" si="99"/>
        <v>0</v>
      </c>
      <c r="M257" s="122">
        <f t="shared" si="92"/>
        <v>0</v>
      </c>
      <c r="N257" s="119">
        <f t="shared" si="93"/>
        <v>0</v>
      </c>
      <c r="O257" s="119">
        <f t="shared" si="94"/>
        <v>0</v>
      </c>
      <c r="P257" s="122">
        <f>IF(depr_bonus_sta_sl_20="Yes",O257*depr_bonus_sta/100,0)</f>
        <v>0</v>
      </c>
      <c r="Q257" s="121">
        <f t="shared" si="100"/>
        <v>0</v>
      </c>
    </row>
    <row r="258" spans="1:17" x14ac:dyDescent="0.2">
      <c r="A258" s="21" t="str">
        <f>Inputs!B142</f>
        <v>39-yr SL</v>
      </c>
      <c r="B258" s="204">
        <f>IF(Inputs!$C$145=0,0,depr_alloc_sl_39_percent*100/Inputs!$C$145)</f>
        <v>0</v>
      </c>
      <c r="C258" s="124">
        <f>$B$247*depr_alloc_sl_39_percent/100</f>
        <v>0</v>
      </c>
      <c r="D258" s="119">
        <f t="shared" si="95"/>
        <v>0</v>
      </c>
      <c r="E258" s="119">
        <f t="shared" si="96"/>
        <v>0</v>
      </c>
      <c r="F258" s="119">
        <f t="shared" si="97"/>
        <v>0</v>
      </c>
      <c r="G258" s="122">
        <f>IF(depr_itc_sta_sl_39="Yes",F258,0)</f>
        <v>0</v>
      </c>
      <c r="H258" s="125">
        <f t="shared" si="89"/>
        <v>0</v>
      </c>
      <c r="I258" s="119">
        <f t="shared" si="90"/>
        <v>0</v>
      </c>
      <c r="J258" s="119">
        <f t="shared" si="98"/>
        <v>0</v>
      </c>
      <c r="K258" s="122">
        <f t="shared" si="91"/>
        <v>0</v>
      </c>
      <c r="L258" s="119">
        <f t="shared" si="99"/>
        <v>0</v>
      </c>
      <c r="M258" s="122">
        <f>IF(itc_sta_amount_deprbas_sta="Yes",L258,0)+IF(itc_sta_percent_deprbas_sta="Yes",J258,0)</f>
        <v>0</v>
      </c>
      <c r="N258" s="119">
        <f t="shared" si="93"/>
        <v>0</v>
      </c>
      <c r="O258" s="119">
        <f>F258-M258-N258</f>
        <v>0</v>
      </c>
      <c r="P258" s="122">
        <f>IF(depr_bonus_sta_sl_39="Yes",O258*depr_bonus_sta/100,0)</f>
        <v>0</v>
      </c>
      <c r="Q258" s="121">
        <f>O258-P258</f>
        <v>0</v>
      </c>
    </row>
    <row r="259" spans="1:17" x14ac:dyDescent="0.2">
      <c r="A259" s="21" t="s">
        <v>299</v>
      </c>
      <c r="B259" s="204">
        <f>IF(Inputs!$C$145=0,0,depr_alloc_custom_percent*100/Inputs!$C$145)</f>
        <v>0</v>
      </c>
      <c r="C259" s="124">
        <f>$B$247*depr_alloc_custom_percent/100</f>
        <v>0</v>
      </c>
      <c r="D259" s="119">
        <f t="shared" si="95"/>
        <v>0</v>
      </c>
      <c r="E259" s="119">
        <f t="shared" si="96"/>
        <v>0</v>
      </c>
      <c r="F259" s="119">
        <f>C259-D259-E259</f>
        <v>0</v>
      </c>
      <c r="G259" s="122">
        <f>IF(depr_itc_sta_custom="Yes",F259,0)</f>
        <v>0</v>
      </c>
      <c r="H259" s="125">
        <f t="shared" si="89"/>
        <v>0</v>
      </c>
      <c r="I259" s="119">
        <f t="shared" si="90"/>
        <v>0</v>
      </c>
      <c r="J259" s="119">
        <f t="shared" si="98"/>
        <v>0</v>
      </c>
      <c r="K259" s="122">
        <f t="shared" si="91"/>
        <v>0</v>
      </c>
      <c r="L259" s="119">
        <f t="shared" si="99"/>
        <v>0</v>
      </c>
      <c r="M259" s="122">
        <f>IF(itc_sta_amount_deprbas_sta="Yes",L259,0)+IF(itc_sta_percent_deprbas_sta="Yes",J259,0)</f>
        <v>0</v>
      </c>
      <c r="N259" s="119">
        <f>IF(itc_fed_amount_deprbas_sta="Yes",L397,0)+IF(itc_fed_percent_deprbas_sta="Yes",J397,0)</f>
        <v>0</v>
      </c>
      <c r="O259" s="119">
        <f>F259-M259-N259</f>
        <v>0</v>
      </c>
      <c r="P259" s="122">
        <f>IF(depr_bonus_sta_custom="Yes",O259*depr_bonus_sta/100,0)</f>
        <v>0</v>
      </c>
      <c r="Q259" s="121">
        <f>O259-P259</f>
        <v>0</v>
      </c>
    </row>
    <row r="260" spans="1:17" x14ac:dyDescent="0.2">
      <c r="A260" s="318" t="s">
        <v>12</v>
      </c>
      <c r="B260" s="319">
        <f t="shared" ref="B260:H260" si="101">SUM(B253:B259)</f>
        <v>0</v>
      </c>
      <c r="C260" s="131">
        <f t="shared" si="101"/>
        <v>0</v>
      </c>
      <c r="D260" s="130">
        <f t="shared" si="101"/>
        <v>0</v>
      </c>
      <c r="E260" s="130">
        <f t="shared" si="101"/>
        <v>0</v>
      </c>
      <c r="F260" s="130">
        <f t="shared" si="101"/>
        <v>0</v>
      </c>
      <c r="G260" s="128">
        <f t="shared" si="101"/>
        <v>0</v>
      </c>
      <c r="H260" s="126">
        <f t="shared" si="101"/>
        <v>0</v>
      </c>
      <c r="I260" s="130">
        <f>SUM($C$533:$AP$533)</f>
        <v>0</v>
      </c>
      <c r="J260" s="130">
        <f>SUM(J253:J259)</f>
        <v>0</v>
      </c>
      <c r="K260" s="128">
        <f>SUM($C$530:$AP$530)</f>
        <v>0</v>
      </c>
      <c r="L260" s="130">
        <f t="shared" ref="L260:Q260" si="102">SUM(L253:L259)</f>
        <v>0</v>
      </c>
      <c r="M260" s="128">
        <f t="shared" si="102"/>
        <v>0</v>
      </c>
      <c r="N260" s="130">
        <f t="shared" si="102"/>
        <v>0</v>
      </c>
      <c r="O260" s="130">
        <f t="shared" si="102"/>
        <v>0</v>
      </c>
      <c r="P260" s="128">
        <f t="shared" si="102"/>
        <v>0</v>
      </c>
      <c r="Q260" s="172">
        <f t="shared" si="102"/>
        <v>0</v>
      </c>
    </row>
    <row r="261" spans="1:17" x14ac:dyDescent="0.2">
      <c r="A261" s="21"/>
      <c r="B261" s="257"/>
      <c r="C261" s="119"/>
      <c r="D261" s="119"/>
      <c r="E261" s="119"/>
      <c r="F261" s="119"/>
      <c r="G261" s="119"/>
      <c r="H261" s="125"/>
      <c r="I261" s="119"/>
      <c r="J261" s="119"/>
      <c r="K261" s="119"/>
      <c r="L261" s="119"/>
      <c r="M261" s="119"/>
      <c r="N261" s="119"/>
      <c r="O261" s="119"/>
      <c r="P261" s="119"/>
      <c r="Q261" s="119"/>
    </row>
    <row r="262" spans="1:17" x14ac:dyDescent="0.2">
      <c r="A262" s="17" t="s">
        <v>422</v>
      </c>
      <c r="B262" s="322">
        <f>G260</f>
        <v>0</v>
      </c>
      <c r="C262" s="119"/>
      <c r="D262" s="119"/>
      <c r="E262" s="119"/>
      <c r="F262" s="119"/>
      <c r="G262" s="119"/>
      <c r="H262" s="125"/>
      <c r="I262" s="119"/>
      <c r="J262" s="119"/>
      <c r="K262" s="119"/>
      <c r="L262" s="119"/>
      <c r="M262" s="119"/>
      <c r="N262" s="119"/>
      <c r="O262" s="119"/>
      <c r="P262" s="119"/>
      <c r="Q262" s="119"/>
    </row>
    <row r="264" spans="1:17" x14ac:dyDescent="0.2">
      <c r="A264" s="4" t="s">
        <v>423</v>
      </c>
    </row>
    <row r="265" spans="1:17" x14ac:dyDescent="0.2">
      <c r="A265" s="86" t="str">
        <f t="shared" ref="A265:A270" si="103">A555</f>
        <v>Investment Based Incentive (IBI)</v>
      </c>
    </row>
    <row r="266" spans="1:17" x14ac:dyDescent="0.2">
      <c r="A266" s="21" t="str">
        <f t="shared" si="103"/>
        <v>As fixed amount</v>
      </c>
    </row>
    <row r="267" spans="1:17" x14ac:dyDescent="0.2">
      <c r="A267" s="87" t="str">
        <f t="shared" si="103"/>
        <v>Federal ($)</v>
      </c>
      <c r="B267" s="150">
        <f>IF(ibi_fed_amount_deprbas_sta="Yes",ibi_fed_amount,0)</f>
        <v>0</v>
      </c>
    </row>
    <row r="268" spans="1:17" x14ac:dyDescent="0.2">
      <c r="A268" s="87" t="str">
        <f t="shared" si="103"/>
        <v>State ($)</v>
      </c>
      <c r="B268" s="150">
        <f>IF(ibi_sta_amount_deprbas_sta="Yes",ibi_sta_amount,0)</f>
        <v>0</v>
      </c>
    </row>
    <row r="269" spans="1:17" x14ac:dyDescent="0.2">
      <c r="A269" s="87" t="str">
        <f t="shared" si="103"/>
        <v>Utility ($)</v>
      </c>
      <c r="B269" s="150">
        <f>IF(ibi_uti_amount_deprbas_sta="Yes",ibi_uti_amount,0)</f>
        <v>0</v>
      </c>
    </row>
    <row r="270" spans="1:17" x14ac:dyDescent="0.2">
      <c r="A270" s="87" t="str">
        <f t="shared" si="103"/>
        <v>Other ($)</v>
      </c>
      <c r="B270" s="151">
        <f>IF(ibi_oth_amount_deprbas_sta="Yes",ibi_oth_amount,0)</f>
        <v>0</v>
      </c>
    </row>
    <row r="271" spans="1:17" x14ac:dyDescent="0.2">
      <c r="A271" s="87" t="s">
        <v>424</v>
      </c>
      <c r="B271" s="150">
        <f>SUM(B267:B270)</f>
        <v>0</v>
      </c>
    </row>
    <row r="272" spans="1:17" x14ac:dyDescent="0.2">
      <c r="A272" s="21" t="str">
        <f>A562</f>
        <v>As percentage</v>
      </c>
    </row>
    <row r="273" spans="1:42" x14ac:dyDescent="0.2">
      <c r="A273" s="87" t="str">
        <f>A563</f>
        <v>Federal (% of total installed cost)</v>
      </c>
      <c r="B273" s="150">
        <f>IF(ibi_fed_percent_deprbas_sta="Yes",C563,0)</f>
        <v>0</v>
      </c>
    </row>
    <row r="274" spans="1:42" x14ac:dyDescent="0.2">
      <c r="A274" s="87" t="str">
        <f>A564</f>
        <v>State (% of total installed cost)</v>
      </c>
      <c r="B274" s="150">
        <f>IF(ibi_sta_percent_deprbas_sta="Yes",C564,0)</f>
        <v>0</v>
      </c>
    </row>
    <row r="275" spans="1:42" x14ac:dyDescent="0.2">
      <c r="A275" s="87" t="str">
        <f>A565</f>
        <v>Utility (% of total installed cost)</v>
      </c>
      <c r="B275" s="150">
        <f>IF(ibi_uti_percent_deprbas_sta="Yes",C565,0)</f>
        <v>0</v>
      </c>
    </row>
    <row r="276" spans="1:42" x14ac:dyDescent="0.2">
      <c r="A276" s="87" t="str">
        <f>A566</f>
        <v>Other (% of total installed cost)</v>
      </c>
      <c r="B276" s="151">
        <f>IF(ibi_oth_percent_deprbas_sta="Yes",C566,0)</f>
        <v>0</v>
      </c>
    </row>
    <row r="277" spans="1:42" x14ac:dyDescent="0.2">
      <c r="A277" s="87" t="s">
        <v>425</v>
      </c>
      <c r="B277" s="150">
        <f>SUM(B273:B276)</f>
        <v>0</v>
      </c>
    </row>
    <row r="278" spans="1:42" x14ac:dyDescent="0.2">
      <c r="A278" s="86" t="str">
        <f>A569</f>
        <v>Capacity Based Incentive (CBI)</v>
      </c>
    </row>
    <row r="279" spans="1:42" x14ac:dyDescent="0.2">
      <c r="A279" s="21" t="str">
        <f>A570</f>
        <v>Federal ($/W)</v>
      </c>
      <c r="B279" s="150">
        <f>IF(cbi_fed_deprbas_sta="Yes",C570,0)</f>
        <v>0</v>
      </c>
    </row>
    <row r="280" spans="1:42" x14ac:dyDescent="0.2">
      <c r="A280" s="21" t="str">
        <f>A571</f>
        <v>State ($/W)</v>
      </c>
      <c r="B280" s="150">
        <f>IF(cbi_sta_deprbas_sta="Yes",C571,0)</f>
        <v>0</v>
      </c>
    </row>
    <row r="281" spans="1:42" x14ac:dyDescent="0.2">
      <c r="A281" s="21" t="str">
        <f>A572</f>
        <v>Utility ($/W)</v>
      </c>
      <c r="B281" s="150">
        <f>IF(cbi_uti_deprbas_sta="Yes",C572,0)</f>
        <v>0</v>
      </c>
    </row>
    <row r="282" spans="1:42" x14ac:dyDescent="0.2">
      <c r="A282" s="21" t="str">
        <f>A573</f>
        <v>Other ($/W)</v>
      </c>
      <c r="B282" s="151">
        <f>IF(cbi_oth_deprbas_sta="Yes",C573,0)</f>
        <v>0</v>
      </c>
    </row>
    <row r="283" spans="1:42" x14ac:dyDescent="0.2">
      <c r="A283" s="21" t="s">
        <v>426</v>
      </c>
      <c r="B283" s="150">
        <f>SUM(B279:B282)</f>
        <v>0</v>
      </c>
    </row>
    <row r="285" spans="1:42" x14ac:dyDescent="0.2">
      <c r="A285" s="4" t="s">
        <v>66</v>
      </c>
    </row>
    <row r="286" spans="1:42" x14ac:dyDescent="0.2">
      <c r="A286" s="86" t="s">
        <v>427</v>
      </c>
    </row>
    <row r="287" spans="1:42" x14ac:dyDescent="0.2">
      <c r="A287" s="21" t="s">
        <v>49</v>
      </c>
    </row>
    <row r="288" spans="1:42" x14ac:dyDescent="0.2">
      <c r="A288" s="22" t="str">
        <f t="shared" ref="A288:A293" si="104">A253</f>
        <v>5-yr MACRS</v>
      </c>
      <c r="B288" s="158">
        <f t="array" ref="B288">SUM(IF(ISNUMBER(C288:AP288),C288:AP288))</f>
        <v>0</v>
      </c>
      <c r="C288" s="159" t="e">
        <f>LOOKUP(C$2,'Depreciation Schedules'!$A$3:$A$42,'Depreciation Schedules'!$B$3:$B$42)</f>
        <v>#N/A</v>
      </c>
      <c r="D288" s="159" t="e">
        <f>LOOKUP(D$2,'Depreciation Schedules'!$A$3:$A$42,'Depreciation Schedules'!$B$3:$B$42)</f>
        <v>#N/A</v>
      </c>
      <c r="E288" s="159" t="e">
        <f>LOOKUP(E$2,'Depreciation Schedules'!$A$3:$A$42,'Depreciation Schedules'!$B$3:$B$42)</f>
        <v>#N/A</v>
      </c>
      <c r="F288" s="159" t="e">
        <f>LOOKUP(F$2,'Depreciation Schedules'!$A$3:$A$42,'Depreciation Schedules'!$B$3:$B$42)</f>
        <v>#N/A</v>
      </c>
      <c r="G288" s="159" t="e">
        <f>LOOKUP(G$2,'Depreciation Schedules'!$A$3:$A$42,'Depreciation Schedules'!$B$3:$B$42)</f>
        <v>#N/A</v>
      </c>
      <c r="H288" s="159" t="e">
        <f>LOOKUP(H$2,'Depreciation Schedules'!$A$3:$A$42,'Depreciation Schedules'!$B$3:$B$42)</f>
        <v>#N/A</v>
      </c>
      <c r="I288" s="159" t="e">
        <f>LOOKUP(I$2,'Depreciation Schedules'!$A$3:$A$42,'Depreciation Schedules'!$B$3:$B$42)</f>
        <v>#N/A</v>
      </c>
      <c r="J288" s="159" t="e">
        <f>LOOKUP(J$2,'Depreciation Schedules'!$A$3:$A$42,'Depreciation Schedules'!$B$3:$B$42)</f>
        <v>#N/A</v>
      </c>
      <c r="K288" s="159" t="e">
        <f>LOOKUP(K$2,'Depreciation Schedules'!$A$3:$A$42,'Depreciation Schedules'!$B$3:$B$42)</f>
        <v>#N/A</v>
      </c>
      <c r="L288" s="159" t="e">
        <f>LOOKUP(L$2,'Depreciation Schedules'!$A$3:$A$42,'Depreciation Schedules'!$B$3:$B$42)</f>
        <v>#N/A</v>
      </c>
      <c r="M288" s="159" t="e">
        <f>LOOKUP(M$2,'Depreciation Schedules'!$A$3:$A$42,'Depreciation Schedules'!$B$3:$B$42)</f>
        <v>#N/A</v>
      </c>
      <c r="N288" s="159" t="e">
        <f>LOOKUP(N$2,'Depreciation Schedules'!$A$3:$A$42,'Depreciation Schedules'!$B$3:$B$42)</f>
        <v>#N/A</v>
      </c>
      <c r="O288" s="159" t="e">
        <f>LOOKUP(O$2,'Depreciation Schedules'!$A$3:$A$42,'Depreciation Schedules'!$B$3:$B$42)</f>
        <v>#N/A</v>
      </c>
      <c r="P288" s="159" t="e">
        <f>LOOKUP(P$2,'Depreciation Schedules'!$A$3:$A$42,'Depreciation Schedules'!$B$3:$B$42)</f>
        <v>#N/A</v>
      </c>
      <c r="Q288" s="159" t="e">
        <f>LOOKUP(Q$2,'Depreciation Schedules'!$A$3:$A$42,'Depreciation Schedules'!$B$3:$B$42)</f>
        <v>#N/A</v>
      </c>
      <c r="R288" s="159" t="e">
        <f>LOOKUP(R$2,'Depreciation Schedules'!$A$3:$A$42,'Depreciation Schedules'!$B$3:$B$42)</f>
        <v>#N/A</v>
      </c>
      <c r="S288" s="159" t="e">
        <f>LOOKUP(S$2,'Depreciation Schedules'!$A$3:$A$42,'Depreciation Schedules'!$B$3:$B$42)</f>
        <v>#N/A</v>
      </c>
      <c r="T288" s="159" t="e">
        <f>LOOKUP(T$2,'Depreciation Schedules'!$A$3:$A$42,'Depreciation Schedules'!$B$3:$B$42)</f>
        <v>#N/A</v>
      </c>
      <c r="U288" s="159" t="e">
        <f>LOOKUP(U$2,'Depreciation Schedules'!$A$3:$A$42,'Depreciation Schedules'!$B$3:$B$42)</f>
        <v>#N/A</v>
      </c>
      <c r="V288" s="159" t="e">
        <f>LOOKUP(V$2,'Depreciation Schedules'!$A$3:$A$42,'Depreciation Schedules'!$B$3:$B$42)</f>
        <v>#N/A</v>
      </c>
      <c r="W288" s="159" t="e">
        <f>LOOKUP(W$2,'Depreciation Schedules'!$A$3:$A$42,'Depreciation Schedules'!$B$3:$B$42)</f>
        <v>#N/A</v>
      </c>
      <c r="X288" s="159" t="e">
        <f>LOOKUP(X$2,'Depreciation Schedules'!$A$3:$A$42,'Depreciation Schedules'!$B$3:$B$42)</f>
        <v>#N/A</v>
      </c>
      <c r="Y288" s="159" t="e">
        <f>LOOKUP(Y$2,'Depreciation Schedules'!$A$3:$A$42,'Depreciation Schedules'!$B$3:$B$42)</f>
        <v>#N/A</v>
      </c>
      <c r="Z288" s="159" t="e">
        <f>LOOKUP(Z$2,'Depreciation Schedules'!$A$3:$A$42,'Depreciation Schedules'!$B$3:$B$42)</f>
        <v>#N/A</v>
      </c>
      <c r="AA288" s="159" t="e">
        <f>LOOKUP(AA$2,'Depreciation Schedules'!$A$3:$A$42,'Depreciation Schedules'!$B$3:$B$42)</f>
        <v>#N/A</v>
      </c>
      <c r="AB288" s="159" t="e">
        <f>LOOKUP(AB$2,'Depreciation Schedules'!$A$3:$A$42,'Depreciation Schedules'!$B$3:$B$42)</f>
        <v>#N/A</v>
      </c>
      <c r="AC288" s="159" t="e">
        <f>LOOKUP(AC$2,'Depreciation Schedules'!$A$3:$A$42,'Depreciation Schedules'!$B$3:$B$42)</f>
        <v>#N/A</v>
      </c>
      <c r="AD288" s="159" t="e">
        <f>LOOKUP(AD$2,'Depreciation Schedules'!$A$3:$A$42,'Depreciation Schedules'!$B$3:$B$42)</f>
        <v>#N/A</v>
      </c>
      <c r="AE288" s="159" t="e">
        <f>LOOKUP(AE$2,'Depreciation Schedules'!$A$3:$A$42,'Depreciation Schedules'!$B$3:$B$42)</f>
        <v>#N/A</v>
      </c>
      <c r="AF288" s="159" t="e">
        <f>LOOKUP(AF$2,'Depreciation Schedules'!$A$3:$A$42,'Depreciation Schedules'!$B$3:$B$42)</f>
        <v>#N/A</v>
      </c>
      <c r="AG288" s="159" t="e">
        <f>LOOKUP(AG$2,'Depreciation Schedules'!$A$3:$A$42,'Depreciation Schedules'!$B$3:$B$42)</f>
        <v>#N/A</v>
      </c>
      <c r="AH288" s="159" t="e">
        <f>LOOKUP(AH$2,'Depreciation Schedules'!$A$3:$A$42,'Depreciation Schedules'!$B$3:$B$42)</f>
        <v>#N/A</v>
      </c>
      <c r="AI288" s="159" t="e">
        <f>LOOKUP(AI$2,'Depreciation Schedules'!$A$3:$A$42,'Depreciation Schedules'!$B$3:$B$42)</f>
        <v>#N/A</v>
      </c>
      <c r="AJ288" s="159" t="e">
        <f>LOOKUP(AJ$2,'Depreciation Schedules'!$A$3:$A$42,'Depreciation Schedules'!$B$3:$B$42)</f>
        <v>#N/A</v>
      </c>
      <c r="AK288" s="159" t="e">
        <f>LOOKUP(AK$2,'Depreciation Schedules'!$A$3:$A$42,'Depreciation Schedules'!$B$3:$B$42)</f>
        <v>#N/A</v>
      </c>
      <c r="AL288" s="159" t="e">
        <f>LOOKUP(AL$2,'Depreciation Schedules'!$A$3:$A$42,'Depreciation Schedules'!$B$3:$B$42)</f>
        <v>#N/A</v>
      </c>
      <c r="AM288" s="159" t="e">
        <f>LOOKUP(AM$2,'Depreciation Schedules'!$A$3:$A$42,'Depreciation Schedules'!$B$3:$B$42)</f>
        <v>#N/A</v>
      </c>
      <c r="AN288" s="159" t="e">
        <f>LOOKUP(AN$2,'Depreciation Schedules'!$A$3:$A$42,'Depreciation Schedules'!$B$3:$B$42)</f>
        <v>#N/A</v>
      </c>
      <c r="AO288" s="159" t="e">
        <f>LOOKUP(AO$2,'Depreciation Schedules'!$A$3:$A$42,'Depreciation Schedules'!$B$3:$B$42)</f>
        <v>#N/A</v>
      </c>
      <c r="AP288" s="159" t="e">
        <f>LOOKUP(AP$2,'Depreciation Schedules'!$A$3:$A$42,'Depreciation Schedules'!$B$3:$B$42)</f>
        <v>#N/A</v>
      </c>
    </row>
    <row r="289" spans="1:42" x14ac:dyDescent="0.2">
      <c r="A289" s="22" t="str">
        <f t="shared" si="104"/>
        <v>15-yr MACRS</v>
      </c>
      <c r="B289" s="158">
        <f t="array" ref="B289">SUM(IF(ISNUMBER(C289:AP289),C289:AP289))</f>
        <v>0</v>
      </c>
      <c r="C289" s="159" t="e">
        <f>LOOKUP(C$2,'Depreciation Schedules'!$A$3:$A$42,'Depreciation Schedules'!$C$3:$C$42)</f>
        <v>#N/A</v>
      </c>
      <c r="D289" s="159" t="e">
        <f>LOOKUP(D$2,'Depreciation Schedules'!$A$3:$A$42,'Depreciation Schedules'!$C$3:$C$42)</f>
        <v>#N/A</v>
      </c>
      <c r="E289" s="159" t="e">
        <f>LOOKUP(E$2,'Depreciation Schedules'!$A$3:$A$42,'Depreciation Schedules'!$C$3:$C$42)</f>
        <v>#N/A</v>
      </c>
      <c r="F289" s="159" t="e">
        <f>LOOKUP(F$2,'Depreciation Schedules'!$A$3:$A$42,'Depreciation Schedules'!$C$3:$C$42)</f>
        <v>#N/A</v>
      </c>
      <c r="G289" s="159" t="e">
        <f>LOOKUP(G$2,'Depreciation Schedules'!$A$3:$A$42,'Depreciation Schedules'!$C$3:$C$42)</f>
        <v>#N/A</v>
      </c>
      <c r="H289" s="159" t="e">
        <f>LOOKUP(H$2,'Depreciation Schedules'!$A$3:$A$42,'Depreciation Schedules'!$C$3:$C$42)</f>
        <v>#N/A</v>
      </c>
      <c r="I289" s="159" t="e">
        <f>LOOKUP(I$2,'Depreciation Schedules'!$A$3:$A$42,'Depreciation Schedules'!$C$3:$C$42)</f>
        <v>#N/A</v>
      </c>
      <c r="J289" s="159" t="e">
        <f>LOOKUP(J$2,'Depreciation Schedules'!$A$3:$A$42,'Depreciation Schedules'!$C$3:$C$42)</f>
        <v>#N/A</v>
      </c>
      <c r="K289" s="159" t="e">
        <f>LOOKUP(K$2,'Depreciation Schedules'!$A$3:$A$42,'Depreciation Schedules'!$C$3:$C$42)</f>
        <v>#N/A</v>
      </c>
      <c r="L289" s="159" t="e">
        <f>LOOKUP(L$2,'Depreciation Schedules'!$A$3:$A$42,'Depreciation Schedules'!$C$3:$C$42)</f>
        <v>#N/A</v>
      </c>
      <c r="M289" s="159" t="e">
        <f>LOOKUP(M$2,'Depreciation Schedules'!$A$3:$A$42,'Depreciation Schedules'!$C$3:$C$42)</f>
        <v>#N/A</v>
      </c>
      <c r="N289" s="159" t="e">
        <f>LOOKUP(N$2,'Depreciation Schedules'!$A$3:$A$42,'Depreciation Schedules'!$C$3:$C$42)</f>
        <v>#N/A</v>
      </c>
      <c r="O289" s="159" t="e">
        <f>LOOKUP(O$2,'Depreciation Schedules'!$A$3:$A$42,'Depreciation Schedules'!$C$3:$C$42)</f>
        <v>#N/A</v>
      </c>
      <c r="P289" s="159" t="e">
        <f>LOOKUP(P$2,'Depreciation Schedules'!$A$3:$A$42,'Depreciation Schedules'!$C$3:$C$42)</f>
        <v>#N/A</v>
      </c>
      <c r="Q289" s="159" t="e">
        <f>LOOKUP(Q$2,'Depreciation Schedules'!$A$3:$A$42,'Depreciation Schedules'!$C$3:$C$42)</f>
        <v>#N/A</v>
      </c>
      <c r="R289" s="159" t="e">
        <f>LOOKUP(R$2,'Depreciation Schedules'!$A$3:$A$42,'Depreciation Schedules'!$C$3:$C$42)</f>
        <v>#N/A</v>
      </c>
      <c r="S289" s="159" t="e">
        <f>LOOKUP(S$2,'Depreciation Schedules'!$A$3:$A$42,'Depreciation Schedules'!$C$3:$C$42)</f>
        <v>#N/A</v>
      </c>
      <c r="T289" s="159" t="e">
        <f>LOOKUP(T$2,'Depreciation Schedules'!$A$3:$A$42,'Depreciation Schedules'!$C$3:$C$42)</f>
        <v>#N/A</v>
      </c>
      <c r="U289" s="159" t="e">
        <f>LOOKUP(U$2,'Depreciation Schedules'!$A$3:$A$42,'Depreciation Schedules'!$C$3:$C$42)</f>
        <v>#N/A</v>
      </c>
      <c r="V289" s="159" t="e">
        <f>LOOKUP(V$2,'Depreciation Schedules'!$A$3:$A$42,'Depreciation Schedules'!$C$3:$C$42)</f>
        <v>#N/A</v>
      </c>
      <c r="W289" s="159" t="e">
        <f>LOOKUP(W$2,'Depreciation Schedules'!$A$3:$A$42,'Depreciation Schedules'!$C$3:$C$42)</f>
        <v>#N/A</v>
      </c>
      <c r="X289" s="159" t="e">
        <f>LOOKUP(X$2,'Depreciation Schedules'!$A$3:$A$42,'Depreciation Schedules'!$C$3:$C$42)</f>
        <v>#N/A</v>
      </c>
      <c r="Y289" s="159" t="e">
        <f>LOOKUP(Y$2,'Depreciation Schedules'!$A$3:$A$42,'Depreciation Schedules'!$C$3:$C$42)</f>
        <v>#N/A</v>
      </c>
      <c r="Z289" s="159" t="e">
        <f>LOOKUP(Z$2,'Depreciation Schedules'!$A$3:$A$42,'Depreciation Schedules'!$C$3:$C$42)</f>
        <v>#N/A</v>
      </c>
      <c r="AA289" s="159" t="e">
        <f>LOOKUP(AA$2,'Depreciation Schedules'!$A$3:$A$42,'Depreciation Schedules'!$C$3:$C$42)</f>
        <v>#N/A</v>
      </c>
      <c r="AB289" s="159" t="e">
        <f>LOOKUP(AB$2,'Depreciation Schedules'!$A$3:$A$42,'Depreciation Schedules'!$C$3:$C$42)</f>
        <v>#N/A</v>
      </c>
      <c r="AC289" s="159" t="e">
        <f>LOOKUP(AC$2,'Depreciation Schedules'!$A$3:$A$42,'Depreciation Schedules'!$C$3:$C$42)</f>
        <v>#N/A</v>
      </c>
      <c r="AD289" s="159" t="e">
        <f>LOOKUP(AD$2,'Depreciation Schedules'!$A$3:$A$42,'Depreciation Schedules'!$C$3:$C$42)</f>
        <v>#N/A</v>
      </c>
      <c r="AE289" s="159" t="e">
        <f>LOOKUP(AE$2,'Depreciation Schedules'!$A$3:$A$42,'Depreciation Schedules'!$C$3:$C$42)</f>
        <v>#N/A</v>
      </c>
      <c r="AF289" s="159" t="e">
        <f>LOOKUP(AF$2,'Depreciation Schedules'!$A$3:$A$42,'Depreciation Schedules'!$C$3:$C$42)</f>
        <v>#N/A</v>
      </c>
      <c r="AG289" s="159" t="e">
        <f>LOOKUP(AG$2,'Depreciation Schedules'!$A$3:$A$42,'Depreciation Schedules'!$C$3:$C$42)</f>
        <v>#N/A</v>
      </c>
      <c r="AH289" s="159" t="e">
        <f>LOOKUP(AH$2,'Depreciation Schedules'!$A$3:$A$42,'Depreciation Schedules'!$C$3:$C$42)</f>
        <v>#N/A</v>
      </c>
      <c r="AI289" s="159" t="e">
        <f>LOOKUP(AI$2,'Depreciation Schedules'!$A$3:$A$42,'Depreciation Schedules'!$C$3:$C$42)</f>
        <v>#N/A</v>
      </c>
      <c r="AJ289" s="159" t="e">
        <f>LOOKUP(AJ$2,'Depreciation Schedules'!$A$3:$A$42,'Depreciation Schedules'!$C$3:$C$42)</f>
        <v>#N/A</v>
      </c>
      <c r="AK289" s="159" t="e">
        <f>LOOKUP(AK$2,'Depreciation Schedules'!$A$3:$A$42,'Depreciation Schedules'!$C$3:$C$42)</f>
        <v>#N/A</v>
      </c>
      <c r="AL289" s="159" t="e">
        <f>LOOKUP(AL$2,'Depreciation Schedules'!$A$3:$A$42,'Depreciation Schedules'!$C$3:$C$42)</f>
        <v>#N/A</v>
      </c>
      <c r="AM289" s="159" t="e">
        <f>LOOKUP(AM$2,'Depreciation Schedules'!$A$3:$A$42,'Depreciation Schedules'!$C$3:$C$42)</f>
        <v>#N/A</v>
      </c>
      <c r="AN289" s="159" t="e">
        <f>LOOKUP(AN$2,'Depreciation Schedules'!$A$3:$A$42,'Depreciation Schedules'!$C$3:$C$42)</f>
        <v>#N/A</v>
      </c>
      <c r="AO289" s="159" t="e">
        <f>LOOKUP(AO$2,'Depreciation Schedules'!$A$3:$A$42,'Depreciation Schedules'!$C$3:$C$42)</f>
        <v>#N/A</v>
      </c>
      <c r="AP289" s="159" t="e">
        <f>LOOKUP(AP$2,'Depreciation Schedules'!$A$3:$A$42,'Depreciation Schedules'!$C$3:$C$42)</f>
        <v>#N/A</v>
      </c>
    </row>
    <row r="290" spans="1:42" x14ac:dyDescent="0.2">
      <c r="A290" s="22" t="str">
        <f t="shared" si="104"/>
        <v>5-yr SL</v>
      </c>
      <c r="B290" s="158">
        <f t="array" ref="B290">SUM(IF(ISNUMBER(C290:AP290),C290:AP290))</f>
        <v>0</v>
      </c>
      <c r="C290" s="159" t="e">
        <f>LOOKUP(C$2,'Depreciation Schedules'!$A$3:$A$42,'Depreciation Schedules'!$D$3:$D$42)</f>
        <v>#N/A</v>
      </c>
      <c r="D290" s="159" t="e">
        <f>LOOKUP(D$2,'Depreciation Schedules'!$A$3:$A$42,'Depreciation Schedules'!$D$3:$D$42)</f>
        <v>#N/A</v>
      </c>
      <c r="E290" s="159" t="e">
        <f>LOOKUP(E$2,'Depreciation Schedules'!$A$3:$A$42,'Depreciation Schedules'!$D$3:$D$42)</f>
        <v>#N/A</v>
      </c>
      <c r="F290" s="159" t="e">
        <f>LOOKUP(F$2,'Depreciation Schedules'!$A$3:$A$42,'Depreciation Schedules'!$D$3:$D$42)</f>
        <v>#N/A</v>
      </c>
      <c r="G290" s="159" t="e">
        <f>LOOKUP(G$2,'Depreciation Schedules'!$A$3:$A$42,'Depreciation Schedules'!$D$3:$D$42)</f>
        <v>#N/A</v>
      </c>
      <c r="H290" s="159" t="e">
        <f>LOOKUP(H$2,'Depreciation Schedules'!$A$3:$A$42,'Depreciation Schedules'!$D$3:$D$42)</f>
        <v>#N/A</v>
      </c>
      <c r="I290" s="159" t="e">
        <f>LOOKUP(I$2,'Depreciation Schedules'!$A$3:$A$42,'Depreciation Schedules'!$D$3:$D$42)</f>
        <v>#N/A</v>
      </c>
      <c r="J290" s="159" t="e">
        <f>LOOKUP(J$2,'Depreciation Schedules'!$A$3:$A$42,'Depreciation Schedules'!$D$3:$D$42)</f>
        <v>#N/A</v>
      </c>
      <c r="K290" s="159" t="e">
        <f>LOOKUP(K$2,'Depreciation Schedules'!$A$3:$A$42,'Depreciation Schedules'!$D$3:$D$42)</f>
        <v>#N/A</v>
      </c>
      <c r="L290" s="159" t="e">
        <f>LOOKUP(L$2,'Depreciation Schedules'!$A$3:$A$42,'Depreciation Schedules'!$D$3:$D$42)</f>
        <v>#N/A</v>
      </c>
      <c r="M290" s="159" t="e">
        <f>LOOKUP(M$2,'Depreciation Schedules'!$A$3:$A$42,'Depreciation Schedules'!$D$3:$D$42)</f>
        <v>#N/A</v>
      </c>
      <c r="N290" s="159" t="e">
        <f>LOOKUP(N$2,'Depreciation Schedules'!$A$3:$A$42,'Depreciation Schedules'!$D$3:$D$42)</f>
        <v>#N/A</v>
      </c>
      <c r="O290" s="159" t="e">
        <f>LOOKUP(O$2,'Depreciation Schedules'!$A$3:$A$42,'Depreciation Schedules'!$D$3:$D$42)</f>
        <v>#N/A</v>
      </c>
      <c r="P290" s="159" t="e">
        <f>LOOKUP(P$2,'Depreciation Schedules'!$A$3:$A$42,'Depreciation Schedules'!$D$3:$D$42)</f>
        <v>#N/A</v>
      </c>
      <c r="Q290" s="159" t="e">
        <f>LOOKUP(Q$2,'Depreciation Schedules'!$A$3:$A$42,'Depreciation Schedules'!$D$3:$D$42)</f>
        <v>#N/A</v>
      </c>
      <c r="R290" s="159" t="e">
        <f>LOOKUP(R$2,'Depreciation Schedules'!$A$3:$A$42,'Depreciation Schedules'!$D$3:$D$42)</f>
        <v>#N/A</v>
      </c>
      <c r="S290" s="159" t="e">
        <f>LOOKUP(S$2,'Depreciation Schedules'!$A$3:$A$42,'Depreciation Schedules'!$D$3:$D$42)</f>
        <v>#N/A</v>
      </c>
      <c r="T290" s="159" t="e">
        <f>LOOKUP(T$2,'Depreciation Schedules'!$A$3:$A$42,'Depreciation Schedules'!$D$3:$D$42)</f>
        <v>#N/A</v>
      </c>
      <c r="U290" s="159" t="e">
        <f>LOOKUP(U$2,'Depreciation Schedules'!$A$3:$A$42,'Depreciation Schedules'!$D$3:$D$42)</f>
        <v>#N/A</v>
      </c>
      <c r="V290" s="159" t="e">
        <f>LOOKUP(V$2,'Depreciation Schedules'!$A$3:$A$42,'Depreciation Schedules'!$D$3:$D$42)</f>
        <v>#N/A</v>
      </c>
      <c r="W290" s="159" t="e">
        <f>LOOKUP(W$2,'Depreciation Schedules'!$A$3:$A$42,'Depreciation Schedules'!$D$3:$D$42)</f>
        <v>#N/A</v>
      </c>
      <c r="X290" s="159" t="e">
        <f>LOOKUP(X$2,'Depreciation Schedules'!$A$3:$A$42,'Depreciation Schedules'!$D$3:$D$42)</f>
        <v>#N/A</v>
      </c>
      <c r="Y290" s="159" t="e">
        <f>LOOKUP(Y$2,'Depreciation Schedules'!$A$3:$A$42,'Depreciation Schedules'!$D$3:$D$42)</f>
        <v>#N/A</v>
      </c>
      <c r="Z290" s="159" t="e">
        <f>LOOKUP(Z$2,'Depreciation Schedules'!$A$3:$A$42,'Depreciation Schedules'!$D$3:$D$42)</f>
        <v>#N/A</v>
      </c>
      <c r="AA290" s="159" t="e">
        <f>LOOKUP(AA$2,'Depreciation Schedules'!$A$3:$A$42,'Depreciation Schedules'!$D$3:$D$42)</f>
        <v>#N/A</v>
      </c>
      <c r="AB290" s="159" t="e">
        <f>LOOKUP(AB$2,'Depreciation Schedules'!$A$3:$A$42,'Depreciation Schedules'!$D$3:$D$42)</f>
        <v>#N/A</v>
      </c>
      <c r="AC290" s="159" t="e">
        <f>LOOKUP(AC$2,'Depreciation Schedules'!$A$3:$A$42,'Depreciation Schedules'!$D$3:$D$42)</f>
        <v>#N/A</v>
      </c>
      <c r="AD290" s="159" t="e">
        <f>LOOKUP(AD$2,'Depreciation Schedules'!$A$3:$A$42,'Depreciation Schedules'!$D$3:$D$42)</f>
        <v>#N/A</v>
      </c>
      <c r="AE290" s="159" t="e">
        <f>LOOKUP(AE$2,'Depreciation Schedules'!$A$3:$A$42,'Depreciation Schedules'!$D$3:$D$42)</f>
        <v>#N/A</v>
      </c>
      <c r="AF290" s="159" t="e">
        <f>LOOKUP(AF$2,'Depreciation Schedules'!$A$3:$A$42,'Depreciation Schedules'!$D$3:$D$42)</f>
        <v>#N/A</v>
      </c>
      <c r="AG290" s="159" t="e">
        <f>LOOKUP(AG$2,'Depreciation Schedules'!$A$3:$A$42,'Depreciation Schedules'!$D$3:$D$42)</f>
        <v>#N/A</v>
      </c>
      <c r="AH290" s="159" t="e">
        <f>LOOKUP(AH$2,'Depreciation Schedules'!$A$3:$A$42,'Depreciation Schedules'!$D$3:$D$42)</f>
        <v>#N/A</v>
      </c>
      <c r="AI290" s="159" t="e">
        <f>LOOKUP(AI$2,'Depreciation Schedules'!$A$3:$A$42,'Depreciation Schedules'!$D$3:$D$42)</f>
        <v>#N/A</v>
      </c>
      <c r="AJ290" s="159" t="e">
        <f>LOOKUP(AJ$2,'Depreciation Schedules'!$A$3:$A$42,'Depreciation Schedules'!$D$3:$D$42)</f>
        <v>#N/A</v>
      </c>
      <c r="AK290" s="159" t="e">
        <f>LOOKUP(AK$2,'Depreciation Schedules'!$A$3:$A$42,'Depreciation Schedules'!$D$3:$D$42)</f>
        <v>#N/A</v>
      </c>
      <c r="AL290" s="159" t="e">
        <f>LOOKUP(AL$2,'Depreciation Schedules'!$A$3:$A$42,'Depreciation Schedules'!$D$3:$D$42)</f>
        <v>#N/A</v>
      </c>
      <c r="AM290" s="159" t="e">
        <f>LOOKUP(AM$2,'Depreciation Schedules'!$A$3:$A$42,'Depreciation Schedules'!$D$3:$D$42)</f>
        <v>#N/A</v>
      </c>
      <c r="AN290" s="159" t="e">
        <f>LOOKUP(AN$2,'Depreciation Schedules'!$A$3:$A$42,'Depreciation Schedules'!$D$3:$D$42)</f>
        <v>#N/A</v>
      </c>
      <c r="AO290" s="159" t="e">
        <f>LOOKUP(AO$2,'Depreciation Schedules'!$A$3:$A$42,'Depreciation Schedules'!$D$3:$D$42)</f>
        <v>#N/A</v>
      </c>
      <c r="AP290" s="159" t="e">
        <f>LOOKUP(AP$2,'Depreciation Schedules'!$A$3:$A$42,'Depreciation Schedules'!$D$3:$D$42)</f>
        <v>#N/A</v>
      </c>
    </row>
    <row r="291" spans="1:42" x14ac:dyDescent="0.2">
      <c r="A291" s="22" t="str">
        <f t="shared" si="104"/>
        <v>15-yr SL</v>
      </c>
      <c r="B291" s="158">
        <f t="array" ref="B291">SUM(IF(ISNUMBER(C291:AP291),C291:AP291))</f>
        <v>0</v>
      </c>
      <c r="C291" s="159" t="e">
        <f>LOOKUP(C$2,'Depreciation Schedules'!$A$3:$A$42,'Depreciation Schedules'!$E$3:$E$42)</f>
        <v>#N/A</v>
      </c>
      <c r="D291" s="159" t="e">
        <f>LOOKUP(D$2,'Depreciation Schedules'!$A$3:$A$42,'Depreciation Schedules'!$E$3:$E$42)</f>
        <v>#N/A</v>
      </c>
      <c r="E291" s="159" t="e">
        <f>LOOKUP(E$2,'Depreciation Schedules'!$A$3:$A$42,'Depreciation Schedules'!$E$3:$E$42)</f>
        <v>#N/A</v>
      </c>
      <c r="F291" s="159" t="e">
        <f>LOOKUP(F$2,'Depreciation Schedules'!$A$3:$A$42,'Depreciation Schedules'!$E$3:$E$42)</f>
        <v>#N/A</v>
      </c>
      <c r="G291" s="159" t="e">
        <f>LOOKUP(G$2,'Depreciation Schedules'!$A$3:$A$42,'Depreciation Schedules'!$E$3:$E$42)</f>
        <v>#N/A</v>
      </c>
      <c r="H291" s="159" t="e">
        <f>LOOKUP(H$2,'Depreciation Schedules'!$A$3:$A$42,'Depreciation Schedules'!$E$3:$E$42)</f>
        <v>#N/A</v>
      </c>
      <c r="I291" s="159" t="e">
        <f>LOOKUP(I$2,'Depreciation Schedules'!$A$3:$A$42,'Depreciation Schedules'!$E$3:$E$42)</f>
        <v>#N/A</v>
      </c>
      <c r="J291" s="159" t="e">
        <f>LOOKUP(J$2,'Depreciation Schedules'!$A$3:$A$42,'Depreciation Schedules'!$E$3:$E$42)</f>
        <v>#N/A</v>
      </c>
      <c r="K291" s="159" t="e">
        <f>LOOKUP(K$2,'Depreciation Schedules'!$A$3:$A$42,'Depreciation Schedules'!$E$3:$E$42)</f>
        <v>#N/A</v>
      </c>
      <c r="L291" s="159" t="e">
        <f>LOOKUP(L$2,'Depreciation Schedules'!$A$3:$A$42,'Depreciation Schedules'!$E$3:$E$42)</f>
        <v>#N/A</v>
      </c>
      <c r="M291" s="159" t="e">
        <f>LOOKUP(M$2,'Depreciation Schedules'!$A$3:$A$42,'Depreciation Schedules'!$E$3:$E$42)</f>
        <v>#N/A</v>
      </c>
      <c r="N291" s="159" t="e">
        <f>LOOKUP(N$2,'Depreciation Schedules'!$A$3:$A$42,'Depreciation Schedules'!$E$3:$E$42)</f>
        <v>#N/A</v>
      </c>
      <c r="O291" s="159" t="e">
        <f>LOOKUP(O$2,'Depreciation Schedules'!$A$3:$A$42,'Depreciation Schedules'!$E$3:$E$42)</f>
        <v>#N/A</v>
      </c>
      <c r="P291" s="159" t="e">
        <f>LOOKUP(P$2,'Depreciation Schedules'!$A$3:$A$42,'Depreciation Schedules'!$E$3:$E$42)</f>
        <v>#N/A</v>
      </c>
      <c r="Q291" s="159" t="e">
        <f>LOOKUP(Q$2,'Depreciation Schedules'!$A$3:$A$42,'Depreciation Schedules'!$E$3:$E$42)</f>
        <v>#N/A</v>
      </c>
      <c r="R291" s="159" t="e">
        <f>LOOKUP(R$2,'Depreciation Schedules'!$A$3:$A$42,'Depreciation Schedules'!$E$3:$E$42)</f>
        <v>#N/A</v>
      </c>
      <c r="S291" s="159" t="e">
        <f>LOOKUP(S$2,'Depreciation Schedules'!$A$3:$A$42,'Depreciation Schedules'!$E$3:$E$42)</f>
        <v>#N/A</v>
      </c>
      <c r="T291" s="159" t="e">
        <f>LOOKUP(T$2,'Depreciation Schedules'!$A$3:$A$42,'Depreciation Schedules'!$E$3:$E$42)</f>
        <v>#N/A</v>
      </c>
      <c r="U291" s="159" t="e">
        <f>LOOKUP(U$2,'Depreciation Schedules'!$A$3:$A$42,'Depreciation Schedules'!$E$3:$E$42)</f>
        <v>#N/A</v>
      </c>
      <c r="V291" s="159" t="e">
        <f>LOOKUP(V$2,'Depreciation Schedules'!$A$3:$A$42,'Depreciation Schedules'!$E$3:$E$42)</f>
        <v>#N/A</v>
      </c>
      <c r="W291" s="159" t="e">
        <f>LOOKUP(W$2,'Depreciation Schedules'!$A$3:$A$42,'Depreciation Schedules'!$E$3:$E$42)</f>
        <v>#N/A</v>
      </c>
      <c r="X291" s="159" t="e">
        <f>LOOKUP(X$2,'Depreciation Schedules'!$A$3:$A$42,'Depreciation Schedules'!$E$3:$E$42)</f>
        <v>#N/A</v>
      </c>
      <c r="Y291" s="159" t="e">
        <f>LOOKUP(Y$2,'Depreciation Schedules'!$A$3:$A$42,'Depreciation Schedules'!$E$3:$E$42)</f>
        <v>#N/A</v>
      </c>
      <c r="Z291" s="159" t="e">
        <f>LOOKUP(Z$2,'Depreciation Schedules'!$A$3:$A$42,'Depreciation Schedules'!$E$3:$E$42)</f>
        <v>#N/A</v>
      </c>
      <c r="AA291" s="159" t="e">
        <f>LOOKUP(AA$2,'Depreciation Schedules'!$A$3:$A$42,'Depreciation Schedules'!$E$3:$E$42)</f>
        <v>#N/A</v>
      </c>
      <c r="AB291" s="159" t="e">
        <f>LOOKUP(AB$2,'Depreciation Schedules'!$A$3:$A$42,'Depreciation Schedules'!$E$3:$E$42)</f>
        <v>#N/A</v>
      </c>
      <c r="AC291" s="159" t="e">
        <f>LOOKUP(AC$2,'Depreciation Schedules'!$A$3:$A$42,'Depreciation Schedules'!$E$3:$E$42)</f>
        <v>#N/A</v>
      </c>
      <c r="AD291" s="159" t="e">
        <f>LOOKUP(AD$2,'Depreciation Schedules'!$A$3:$A$42,'Depreciation Schedules'!$E$3:$E$42)</f>
        <v>#N/A</v>
      </c>
      <c r="AE291" s="159" t="e">
        <f>LOOKUP(AE$2,'Depreciation Schedules'!$A$3:$A$42,'Depreciation Schedules'!$E$3:$E$42)</f>
        <v>#N/A</v>
      </c>
      <c r="AF291" s="159" t="e">
        <f>LOOKUP(AF$2,'Depreciation Schedules'!$A$3:$A$42,'Depreciation Schedules'!$E$3:$E$42)</f>
        <v>#N/A</v>
      </c>
      <c r="AG291" s="159" t="e">
        <f>LOOKUP(AG$2,'Depreciation Schedules'!$A$3:$A$42,'Depreciation Schedules'!$E$3:$E$42)</f>
        <v>#N/A</v>
      </c>
      <c r="AH291" s="159" t="e">
        <f>LOOKUP(AH$2,'Depreciation Schedules'!$A$3:$A$42,'Depreciation Schedules'!$E$3:$E$42)</f>
        <v>#N/A</v>
      </c>
      <c r="AI291" s="159" t="e">
        <f>LOOKUP(AI$2,'Depreciation Schedules'!$A$3:$A$42,'Depreciation Schedules'!$E$3:$E$42)</f>
        <v>#N/A</v>
      </c>
      <c r="AJ291" s="159" t="e">
        <f>LOOKUP(AJ$2,'Depreciation Schedules'!$A$3:$A$42,'Depreciation Schedules'!$E$3:$E$42)</f>
        <v>#N/A</v>
      </c>
      <c r="AK291" s="159" t="e">
        <f>LOOKUP(AK$2,'Depreciation Schedules'!$A$3:$A$42,'Depreciation Schedules'!$E$3:$E$42)</f>
        <v>#N/A</v>
      </c>
      <c r="AL291" s="159" t="e">
        <f>LOOKUP(AL$2,'Depreciation Schedules'!$A$3:$A$42,'Depreciation Schedules'!$E$3:$E$42)</f>
        <v>#N/A</v>
      </c>
      <c r="AM291" s="159" t="e">
        <f>LOOKUP(AM$2,'Depreciation Schedules'!$A$3:$A$42,'Depreciation Schedules'!$E$3:$E$42)</f>
        <v>#N/A</v>
      </c>
      <c r="AN291" s="159" t="e">
        <f>LOOKUP(AN$2,'Depreciation Schedules'!$A$3:$A$42,'Depreciation Schedules'!$E$3:$E$42)</f>
        <v>#N/A</v>
      </c>
      <c r="AO291" s="159" t="e">
        <f>LOOKUP(AO$2,'Depreciation Schedules'!$A$3:$A$42,'Depreciation Schedules'!$E$3:$E$42)</f>
        <v>#N/A</v>
      </c>
      <c r="AP291" s="159" t="e">
        <f>LOOKUP(AP$2,'Depreciation Schedules'!$A$3:$A$42,'Depreciation Schedules'!$E$3:$E$42)</f>
        <v>#N/A</v>
      </c>
    </row>
    <row r="292" spans="1:42" x14ac:dyDescent="0.2">
      <c r="A292" s="22" t="str">
        <f t="shared" si="104"/>
        <v>20-yr SL</v>
      </c>
      <c r="B292" s="158">
        <f t="array" ref="B292">SUM(IF(ISNUMBER(C292:AP292),C292:AP292))</f>
        <v>0</v>
      </c>
      <c r="C292" s="159" t="e">
        <f>LOOKUP(C$2,'Depreciation Schedules'!$A$3:$A$42,'Depreciation Schedules'!$F$3:$F$42)</f>
        <v>#N/A</v>
      </c>
      <c r="D292" s="159" t="e">
        <f>LOOKUP(D$2,'Depreciation Schedules'!$A$3:$A$42,'Depreciation Schedules'!$F$3:$F$42)</f>
        <v>#N/A</v>
      </c>
      <c r="E292" s="159" t="e">
        <f>LOOKUP(E$2,'Depreciation Schedules'!$A$3:$A$42,'Depreciation Schedules'!$F$3:$F$42)</f>
        <v>#N/A</v>
      </c>
      <c r="F292" s="159" t="e">
        <f>LOOKUP(F$2,'Depreciation Schedules'!$A$3:$A$42,'Depreciation Schedules'!$F$3:$F$42)</f>
        <v>#N/A</v>
      </c>
      <c r="G292" s="159" t="e">
        <f>LOOKUP(G$2,'Depreciation Schedules'!$A$3:$A$42,'Depreciation Schedules'!$F$3:$F$42)</f>
        <v>#N/A</v>
      </c>
      <c r="H292" s="159" t="e">
        <f>LOOKUP(H$2,'Depreciation Schedules'!$A$3:$A$42,'Depreciation Schedules'!$F$3:$F$42)</f>
        <v>#N/A</v>
      </c>
      <c r="I292" s="159" t="e">
        <f>LOOKUP(I$2,'Depreciation Schedules'!$A$3:$A$42,'Depreciation Schedules'!$F$3:$F$42)</f>
        <v>#N/A</v>
      </c>
      <c r="J292" s="159" t="e">
        <f>LOOKUP(J$2,'Depreciation Schedules'!$A$3:$A$42,'Depreciation Schedules'!$F$3:$F$42)</f>
        <v>#N/A</v>
      </c>
      <c r="K292" s="159" t="e">
        <f>LOOKUP(K$2,'Depreciation Schedules'!$A$3:$A$42,'Depreciation Schedules'!$F$3:$F$42)</f>
        <v>#N/A</v>
      </c>
      <c r="L292" s="159" t="e">
        <f>LOOKUP(L$2,'Depreciation Schedules'!$A$3:$A$42,'Depreciation Schedules'!$F$3:$F$42)</f>
        <v>#N/A</v>
      </c>
      <c r="M292" s="159" t="e">
        <f>LOOKUP(M$2,'Depreciation Schedules'!$A$3:$A$42,'Depreciation Schedules'!$F$3:$F$42)</f>
        <v>#N/A</v>
      </c>
      <c r="N292" s="159" t="e">
        <f>LOOKUP(N$2,'Depreciation Schedules'!$A$3:$A$42,'Depreciation Schedules'!$F$3:$F$42)</f>
        <v>#N/A</v>
      </c>
      <c r="O292" s="159" t="e">
        <f>LOOKUP(O$2,'Depreciation Schedules'!$A$3:$A$42,'Depreciation Schedules'!$F$3:$F$42)</f>
        <v>#N/A</v>
      </c>
      <c r="P292" s="159" t="e">
        <f>LOOKUP(P$2,'Depreciation Schedules'!$A$3:$A$42,'Depreciation Schedules'!$F$3:$F$42)</f>
        <v>#N/A</v>
      </c>
      <c r="Q292" s="159" t="e">
        <f>LOOKUP(Q$2,'Depreciation Schedules'!$A$3:$A$42,'Depreciation Schedules'!$F$3:$F$42)</f>
        <v>#N/A</v>
      </c>
      <c r="R292" s="159" t="e">
        <f>LOOKUP(R$2,'Depreciation Schedules'!$A$3:$A$42,'Depreciation Schedules'!$F$3:$F$42)</f>
        <v>#N/A</v>
      </c>
      <c r="S292" s="159" t="e">
        <f>LOOKUP(S$2,'Depreciation Schedules'!$A$3:$A$42,'Depreciation Schedules'!$F$3:$F$42)</f>
        <v>#N/A</v>
      </c>
      <c r="T292" s="159" t="e">
        <f>LOOKUP(T$2,'Depreciation Schedules'!$A$3:$A$42,'Depreciation Schedules'!$F$3:$F$42)</f>
        <v>#N/A</v>
      </c>
      <c r="U292" s="159" t="e">
        <f>LOOKUP(U$2,'Depreciation Schedules'!$A$3:$A$42,'Depreciation Schedules'!$F$3:$F$42)</f>
        <v>#N/A</v>
      </c>
      <c r="V292" s="159" t="e">
        <f>LOOKUP(V$2,'Depreciation Schedules'!$A$3:$A$42,'Depreciation Schedules'!$F$3:$F$42)</f>
        <v>#N/A</v>
      </c>
      <c r="W292" s="159" t="e">
        <f>LOOKUP(W$2,'Depreciation Schedules'!$A$3:$A$42,'Depreciation Schedules'!$F$3:$F$42)</f>
        <v>#N/A</v>
      </c>
      <c r="X292" s="159" t="e">
        <f>LOOKUP(X$2,'Depreciation Schedules'!$A$3:$A$42,'Depreciation Schedules'!$F$3:$F$42)</f>
        <v>#N/A</v>
      </c>
      <c r="Y292" s="159" t="e">
        <f>LOOKUP(Y$2,'Depreciation Schedules'!$A$3:$A$42,'Depreciation Schedules'!$F$3:$F$42)</f>
        <v>#N/A</v>
      </c>
      <c r="Z292" s="159" t="e">
        <f>LOOKUP(Z$2,'Depreciation Schedules'!$A$3:$A$42,'Depreciation Schedules'!$F$3:$F$42)</f>
        <v>#N/A</v>
      </c>
      <c r="AA292" s="159" t="e">
        <f>LOOKUP(AA$2,'Depreciation Schedules'!$A$3:$A$42,'Depreciation Schedules'!$F$3:$F$42)</f>
        <v>#N/A</v>
      </c>
      <c r="AB292" s="159" t="e">
        <f>LOOKUP(AB$2,'Depreciation Schedules'!$A$3:$A$42,'Depreciation Schedules'!$F$3:$F$42)</f>
        <v>#N/A</v>
      </c>
      <c r="AC292" s="159" t="e">
        <f>LOOKUP(AC$2,'Depreciation Schedules'!$A$3:$A$42,'Depreciation Schedules'!$F$3:$F$42)</f>
        <v>#N/A</v>
      </c>
      <c r="AD292" s="159" t="e">
        <f>LOOKUP(AD$2,'Depreciation Schedules'!$A$3:$A$42,'Depreciation Schedules'!$F$3:$F$42)</f>
        <v>#N/A</v>
      </c>
      <c r="AE292" s="159" t="e">
        <f>LOOKUP(AE$2,'Depreciation Schedules'!$A$3:$A$42,'Depreciation Schedules'!$F$3:$F$42)</f>
        <v>#N/A</v>
      </c>
      <c r="AF292" s="159" t="e">
        <f>LOOKUP(AF$2,'Depreciation Schedules'!$A$3:$A$42,'Depreciation Schedules'!$F$3:$F$42)</f>
        <v>#N/A</v>
      </c>
      <c r="AG292" s="159" t="e">
        <f>LOOKUP(AG$2,'Depreciation Schedules'!$A$3:$A$42,'Depreciation Schedules'!$F$3:$F$42)</f>
        <v>#N/A</v>
      </c>
      <c r="AH292" s="159" t="e">
        <f>LOOKUP(AH$2,'Depreciation Schedules'!$A$3:$A$42,'Depreciation Schedules'!$F$3:$F$42)</f>
        <v>#N/A</v>
      </c>
      <c r="AI292" s="159" t="e">
        <f>LOOKUP(AI$2,'Depreciation Schedules'!$A$3:$A$42,'Depreciation Schedules'!$F$3:$F$42)</f>
        <v>#N/A</v>
      </c>
      <c r="AJ292" s="159" t="e">
        <f>LOOKUP(AJ$2,'Depreciation Schedules'!$A$3:$A$42,'Depreciation Schedules'!$F$3:$F$42)</f>
        <v>#N/A</v>
      </c>
      <c r="AK292" s="159" t="e">
        <f>LOOKUP(AK$2,'Depreciation Schedules'!$A$3:$A$42,'Depreciation Schedules'!$F$3:$F$42)</f>
        <v>#N/A</v>
      </c>
      <c r="AL292" s="159" t="e">
        <f>LOOKUP(AL$2,'Depreciation Schedules'!$A$3:$A$42,'Depreciation Schedules'!$F$3:$F$42)</f>
        <v>#N/A</v>
      </c>
      <c r="AM292" s="159" t="e">
        <f>LOOKUP(AM$2,'Depreciation Schedules'!$A$3:$A$42,'Depreciation Schedules'!$F$3:$F$42)</f>
        <v>#N/A</v>
      </c>
      <c r="AN292" s="159" t="e">
        <f>LOOKUP(AN$2,'Depreciation Schedules'!$A$3:$A$42,'Depreciation Schedules'!$F$3:$F$42)</f>
        <v>#N/A</v>
      </c>
      <c r="AO292" s="159" t="e">
        <f>LOOKUP(AO$2,'Depreciation Schedules'!$A$3:$A$42,'Depreciation Schedules'!$F$3:$F$42)</f>
        <v>#N/A</v>
      </c>
      <c r="AP292" s="159" t="e">
        <f>LOOKUP(AP$2,'Depreciation Schedules'!$A$3:$A$42,'Depreciation Schedules'!$F$3:$F$42)</f>
        <v>#N/A</v>
      </c>
    </row>
    <row r="293" spans="1:42" x14ac:dyDescent="0.2">
      <c r="A293" s="22" t="str">
        <f t="shared" si="104"/>
        <v>39-yr SL</v>
      </c>
      <c r="B293" s="162">
        <f>SUM(IF(ISNUMBER(C293:AP293),C293:AP293))</f>
        <v>0</v>
      </c>
      <c r="C293" s="159" t="e">
        <f>LOOKUP(C$2,'Depreciation Schedules'!$A$3:$A$42,'Depreciation Schedules'!$G$3:$G$42)</f>
        <v>#N/A</v>
      </c>
      <c r="D293" s="159" t="e">
        <f>LOOKUP(D$2,'Depreciation Schedules'!$A$3:$A$42,'Depreciation Schedules'!$G$3:$G$42)</f>
        <v>#N/A</v>
      </c>
      <c r="E293" s="159" t="e">
        <f>LOOKUP(E$2,'Depreciation Schedules'!$A$3:$A$42,'Depreciation Schedules'!$G$3:$G$42)</f>
        <v>#N/A</v>
      </c>
      <c r="F293" s="159" t="e">
        <f>LOOKUP(F$2,'Depreciation Schedules'!$A$3:$A$42,'Depreciation Schedules'!$G$3:$G$42)</f>
        <v>#N/A</v>
      </c>
      <c r="G293" s="159" t="e">
        <f>LOOKUP(G$2,'Depreciation Schedules'!$A$3:$A$42,'Depreciation Schedules'!$G$3:$G$42)</f>
        <v>#N/A</v>
      </c>
      <c r="H293" s="159" t="e">
        <f>LOOKUP(H$2,'Depreciation Schedules'!$A$3:$A$42,'Depreciation Schedules'!$G$3:$G$42)</f>
        <v>#N/A</v>
      </c>
      <c r="I293" s="159" t="e">
        <f>LOOKUP(I$2,'Depreciation Schedules'!$A$3:$A$42,'Depreciation Schedules'!$G$3:$G$42)</f>
        <v>#N/A</v>
      </c>
      <c r="J293" s="159" t="e">
        <f>LOOKUP(J$2,'Depreciation Schedules'!$A$3:$A$42,'Depreciation Schedules'!$G$3:$G$42)</f>
        <v>#N/A</v>
      </c>
      <c r="K293" s="159" t="e">
        <f>LOOKUP(K$2,'Depreciation Schedules'!$A$3:$A$42,'Depreciation Schedules'!$G$3:$G$42)</f>
        <v>#N/A</v>
      </c>
      <c r="L293" s="159" t="e">
        <f>LOOKUP(L$2,'Depreciation Schedules'!$A$3:$A$42,'Depreciation Schedules'!$G$3:$G$42)</f>
        <v>#N/A</v>
      </c>
      <c r="M293" s="159" t="e">
        <f>LOOKUP(M$2,'Depreciation Schedules'!$A$3:$A$42,'Depreciation Schedules'!$G$3:$G$42)</f>
        <v>#N/A</v>
      </c>
      <c r="N293" s="159" t="e">
        <f>LOOKUP(N$2,'Depreciation Schedules'!$A$3:$A$42,'Depreciation Schedules'!$G$3:$G$42)</f>
        <v>#N/A</v>
      </c>
      <c r="O293" s="159" t="e">
        <f>LOOKUP(O$2,'Depreciation Schedules'!$A$3:$A$42,'Depreciation Schedules'!$G$3:$G$42)</f>
        <v>#N/A</v>
      </c>
      <c r="P293" s="159" t="e">
        <f>LOOKUP(P$2,'Depreciation Schedules'!$A$3:$A$42,'Depreciation Schedules'!$G$3:$G$42)</f>
        <v>#N/A</v>
      </c>
      <c r="Q293" s="159" t="e">
        <f>LOOKUP(Q$2,'Depreciation Schedules'!$A$3:$A$42,'Depreciation Schedules'!$G$3:$G$42)</f>
        <v>#N/A</v>
      </c>
      <c r="R293" s="159" t="e">
        <f>LOOKUP(R$2,'Depreciation Schedules'!$A$3:$A$42,'Depreciation Schedules'!$G$3:$G$42)</f>
        <v>#N/A</v>
      </c>
      <c r="S293" s="159" t="e">
        <f>LOOKUP(S$2,'Depreciation Schedules'!$A$3:$A$42,'Depreciation Schedules'!$G$3:$G$42)</f>
        <v>#N/A</v>
      </c>
      <c r="T293" s="159" t="e">
        <f>LOOKUP(T$2,'Depreciation Schedules'!$A$3:$A$42,'Depreciation Schedules'!$G$3:$G$42)</f>
        <v>#N/A</v>
      </c>
      <c r="U293" s="159" t="e">
        <f>LOOKUP(U$2,'Depreciation Schedules'!$A$3:$A$42,'Depreciation Schedules'!$G$3:$G$42)</f>
        <v>#N/A</v>
      </c>
      <c r="V293" s="159" t="e">
        <f>LOOKUP(V$2,'Depreciation Schedules'!$A$3:$A$42,'Depreciation Schedules'!$G$3:$G$42)</f>
        <v>#N/A</v>
      </c>
      <c r="W293" s="159" t="e">
        <f>LOOKUP(W$2,'Depreciation Schedules'!$A$3:$A$42,'Depreciation Schedules'!$G$3:$G$42)</f>
        <v>#N/A</v>
      </c>
      <c r="X293" s="159" t="e">
        <f>LOOKUP(X$2,'Depreciation Schedules'!$A$3:$A$42,'Depreciation Schedules'!$G$3:$G$42)</f>
        <v>#N/A</v>
      </c>
      <c r="Y293" s="159" t="e">
        <f>LOOKUP(Y$2,'Depreciation Schedules'!$A$3:$A$42,'Depreciation Schedules'!$G$3:$G$42)</f>
        <v>#N/A</v>
      </c>
      <c r="Z293" s="159" t="e">
        <f>LOOKUP(Z$2,'Depreciation Schedules'!$A$3:$A$42,'Depreciation Schedules'!$G$3:$G$42)</f>
        <v>#N/A</v>
      </c>
      <c r="AA293" s="159" t="e">
        <f>LOOKUP(AA$2,'Depreciation Schedules'!$A$3:$A$42,'Depreciation Schedules'!$G$3:$G$42)</f>
        <v>#N/A</v>
      </c>
      <c r="AB293" s="159" t="e">
        <f>LOOKUP(AB$2,'Depreciation Schedules'!$A$3:$A$42,'Depreciation Schedules'!$G$3:$G$42)</f>
        <v>#N/A</v>
      </c>
      <c r="AC293" s="159" t="e">
        <f>LOOKUP(AC$2,'Depreciation Schedules'!$A$3:$A$42,'Depreciation Schedules'!$G$3:$G$42)</f>
        <v>#N/A</v>
      </c>
      <c r="AD293" s="159" t="e">
        <f>LOOKUP(AD$2,'Depreciation Schedules'!$A$3:$A$42,'Depreciation Schedules'!$G$3:$G$42)</f>
        <v>#N/A</v>
      </c>
      <c r="AE293" s="159" t="e">
        <f>LOOKUP(AE$2,'Depreciation Schedules'!$A$3:$A$42,'Depreciation Schedules'!$G$3:$G$42)</f>
        <v>#N/A</v>
      </c>
      <c r="AF293" s="159" t="e">
        <f>LOOKUP(AF$2,'Depreciation Schedules'!$A$3:$A$42,'Depreciation Schedules'!$G$3:$G$42)</f>
        <v>#N/A</v>
      </c>
      <c r="AG293" s="159" t="e">
        <f>LOOKUP(AG$2,'Depreciation Schedules'!$A$3:$A$42,'Depreciation Schedules'!$G$3:$G$42)</f>
        <v>#N/A</v>
      </c>
      <c r="AH293" s="159" t="e">
        <f>LOOKUP(AH$2,'Depreciation Schedules'!$A$3:$A$42,'Depreciation Schedules'!$G$3:$G$42)</f>
        <v>#N/A</v>
      </c>
      <c r="AI293" s="159" t="e">
        <f>LOOKUP(AI$2,'Depreciation Schedules'!$A$3:$A$42,'Depreciation Schedules'!$G$3:$G$42)</f>
        <v>#N/A</v>
      </c>
      <c r="AJ293" s="159" t="e">
        <f>LOOKUP(AJ$2,'Depreciation Schedules'!$A$3:$A$42,'Depreciation Schedules'!$G$3:$G$42)</f>
        <v>#N/A</v>
      </c>
      <c r="AK293" s="159" t="e">
        <f>LOOKUP(AK$2,'Depreciation Schedules'!$A$3:$A$42,'Depreciation Schedules'!$G$3:$G$42)</f>
        <v>#N/A</v>
      </c>
      <c r="AL293" s="159" t="e">
        <f>LOOKUP(AL$2,'Depreciation Schedules'!$A$3:$A$42,'Depreciation Schedules'!$G$3:$G$42)</f>
        <v>#N/A</v>
      </c>
      <c r="AM293" s="159" t="e">
        <f>LOOKUP(AM$2,'Depreciation Schedules'!$A$3:$A$42,'Depreciation Schedules'!$G$3:$G$42)</f>
        <v>#N/A</v>
      </c>
      <c r="AN293" s="159" t="e">
        <f>LOOKUP(AN$2,'Depreciation Schedules'!$A$3:$A$42,'Depreciation Schedules'!$G$3:$G$42)</f>
        <v>#N/A</v>
      </c>
      <c r="AO293" s="159" t="e">
        <f>LOOKUP(AO$2,'Depreciation Schedules'!$A$3:$A$42,'Depreciation Schedules'!$G$3:$G$42)</f>
        <v>#N/A</v>
      </c>
      <c r="AP293" s="159" t="e">
        <f>LOOKUP(AP$2,'Depreciation Schedules'!$A$3:$A$42,'Depreciation Schedules'!$G$3:$G$42)</f>
        <v>#N/A</v>
      </c>
    </row>
    <row r="294" spans="1:42" x14ac:dyDescent="0.2">
      <c r="A294" s="22" t="s">
        <v>299</v>
      </c>
      <c r="B294" s="162">
        <f>SUM(IF(ISNUMBER(C294:AP294),C294:AP294))</f>
        <v>0</v>
      </c>
      <c r="C294" s="159">
        <f t="array" ref="C294:AP294">Inputs!D210:AQ210</f>
        <v>0</v>
      </c>
      <c r="D294" s="159">
        <v>0</v>
      </c>
      <c r="E294" s="159">
        <v>0</v>
      </c>
      <c r="F294" s="159">
        <v>0</v>
      </c>
      <c r="G294" s="159">
        <v>0</v>
      </c>
      <c r="H294" s="159">
        <v>0</v>
      </c>
      <c r="I294" s="159">
        <v>0</v>
      </c>
      <c r="J294" s="159">
        <v>0</v>
      </c>
      <c r="K294" s="159">
        <v>0</v>
      </c>
      <c r="L294" s="159">
        <v>0</v>
      </c>
      <c r="M294" s="159">
        <v>0</v>
      </c>
      <c r="N294" s="159">
        <v>0</v>
      </c>
      <c r="O294" s="159">
        <v>0</v>
      </c>
      <c r="P294" s="159">
        <v>0</v>
      </c>
      <c r="Q294" s="159">
        <v>0</v>
      </c>
      <c r="R294" s="159">
        <v>0</v>
      </c>
      <c r="S294" s="159">
        <v>0</v>
      </c>
      <c r="T294" s="159">
        <v>0</v>
      </c>
      <c r="U294" s="159">
        <v>0</v>
      </c>
      <c r="V294" s="159">
        <v>0</v>
      </c>
      <c r="W294" s="159">
        <v>0</v>
      </c>
      <c r="X294" s="159">
        <v>0</v>
      </c>
      <c r="Y294" s="159">
        <v>0</v>
      </c>
      <c r="Z294" s="159">
        <v>0</v>
      </c>
      <c r="AA294" s="159">
        <v>0</v>
      </c>
      <c r="AB294" s="159">
        <v>0</v>
      </c>
      <c r="AC294" s="159">
        <v>0</v>
      </c>
      <c r="AD294" s="159">
        <v>0</v>
      </c>
      <c r="AE294" s="159">
        <v>0</v>
      </c>
      <c r="AF294" s="159">
        <v>0</v>
      </c>
      <c r="AG294" s="159">
        <v>0</v>
      </c>
      <c r="AH294" s="159">
        <v>0</v>
      </c>
      <c r="AI294" s="159">
        <v>0</v>
      </c>
      <c r="AJ294" s="159">
        <v>0</v>
      </c>
      <c r="AK294" s="159">
        <v>0</v>
      </c>
      <c r="AL294" s="159">
        <v>0</v>
      </c>
      <c r="AM294" s="159">
        <v>0</v>
      </c>
      <c r="AN294" s="159">
        <v>0</v>
      </c>
      <c r="AO294" s="159">
        <v>0</v>
      </c>
      <c r="AP294" s="159">
        <v>0</v>
      </c>
    </row>
    <row r="295" spans="1:42" x14ac:dyDescent="0.2">
      <c r="A295" s="21" t="s">
        <v>3</v>
      </c>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row>
    <row r="296" spans="1:42" x14ac:dyDescent="0.2">
      <c r="A296" s="22" t="str">
        <f t="shared" ref="A296:A301" si="105">A288</f>
        <v>5-yr MACRS</v>
      </c>
      <c r="B296" s="163">
        <f>SUM(IF(ISNUMBER(C296:AP296),C296:AP296))</f>
        <v>0</v>
      </c>
      <c r="C296" s="119" t="e">
        <f>C288/100*$Q$253</f>
        <v>#N/A</v>
      </c>
      <c r="D296" s="119" t="e">
        <f t="shared" ref="D296:AP296" si="106">D288/100*$Q$253</f>
        <v>#N/A</v>
      </c>
      <c r="E296" s="119" t="e">
        <f t="shared" si="106"/>
        <v>#N/A</v>
      </c>
      <c r="F296" s="119" t="e">
        <f t="shared" si="106"/>
        <v>#N/A</v>
      </c>
      <c r="G296" s="119" t="e">
        <f t="shared" si="106"/>
        <v>#N/A</v>
      </c>
      <c r="H296" s="119" t="e">
        <f t="shared" si="106"/>
        <v>#N/A</v>
      </c>
      <c r="I296" s="119" t="e">
        <f t="shared" si="106"/>
        <v>#N/A</v>
      </c>
      <c r="J296" s="119" t="e">
        <f t="shared" si="106"/>
        <v>#N/A</v>
      </c>
      <c r="K296" s="119" t="e">
        <f t="shared" si="106"/>
        <v>#N/A</v>
      </c>
      <c r="L296" s="119" t="e">
        <f t="shared" si="106"/>
        <v>#N/A</v>
      </c>
      <c r="M296" s="119" t="e">
        <f t="shared" si="106"/>
        <v>#N/A</v>
      </c>
      <c r="N296" s="119" t="e">
        <f t="shared" si="106"/>
        <v>#N/A</v>
      </c>
      <c r="O296" s="119" t="e">
        <f t="shared" si="106"/>
        <v>#N/A</v>
      </c>
      <c r="P296" s="119" t="e">
        <f t="shared" si="106"/>
        <v>#N/A</v>
      </c>
      <c r="Q296" s="119" t="e">
        <f t="shared" si="106"/>
        <v>#N/A</v>
      </c>
      <c r="R296" s="119" t="e">
        <f t="shared" si="106"/>
        <v>#N/A</v>
      </c>
      <c r="S296" s="119" t="e">
        <f t="shared" si="106"/>
        <v>#N/A</v>
      </c>
      <c r="T296" s="119" t="e">
        <f t="shared" si="106"/>
        <v>#N/A</v>
      </c>
      <c r="U296" s="119" t="e">
        <f t="shared" si="106"/>
        <v>#N/A</v>
      </c>
      <c r="V296" s="119" t="e">
        <f t="shared" si="106"/>
        <v>#N/A</v>
      </c>
      <c r="W296" s="119" t="e">
        <f t="shared" si="106"/>
        <v>#N/A</v>
      </c>
      <c r="X296" s="119" t="e">
        <f t="shared" si="106"/>
        <v>#N/A</v>
      </c>
      <c r="Y296" s="119" t="e">
        <f t="shared" si="106"/>
        <v>#N/A</v>
      </c>
      <c r="Z296" s="119" t="e">
        <f t="shared" si="106"/>
        <v>#N/A</v>
      </c>
      <c r="AA296" s="119" t="e">
        <f t="shared" si="106"/>
        <v>#N/A</v>
      </c>
      <c r="AB296" s="119" t="e">
        <f t="shared" si="106"/>
        <v>#N/A</v>
      </c>
      <c r="AC296" s="119" t="e">
        <f t="shared" si="106"/>
        <v>#N/A</v>
      </c>
      <c r="AD296" s="119" t="e">
        <f t="shared" si="106"/>
        <v>#N/A</v>
      </c>
      <c r="AE296" s="119" t="e">
        <f t="shared" si="106"/>
        <v>#N/A</v>
      </c>
      <c r="AF296" s="119" t="e">
        <f t="shared" si="106"/>
        <v>#N/A</v>
      </c>
      <c r="AG296" s="119" t="e">
        <f t="shared" si="106"/>
        <v>#N/A</v>
      </c>
      <c r="AH296" s="119" t="e">
        <f t="shared" si="106"/>
        <v>#N/A</v>
      </c>
      <c r="AI296" s="119" t="e">
        <f t="shared" si="106"/>
        <v>#N/A</v>
      </c>
      <c r="AJ296" s="119" t="e">
        <f t="shared" si="106"/>
        <v>#N/A</v>
      </c>
      <c r="AK296" s="119" t="e">
        <f t="shared" si="106"/>
        <v>#N/A</v>
      </c>
      <c r="AL296" s="119" t="e">
        <f t="shared" si="106"/>
        <v>#N/A</v>
      </c>
      <c r="AM296" s="119" t="e">
        <f t="shared" si="106"/>
        <v>#N/A</v>
      </c>
      <c r="AN296" s="119" t="e">
        <f t="shared" si="106"/>
        <v>#N/A</v>
      </c>
      <c r="AO296" s="119" t="e">
        <f t="shared" si="106"/>
        <v>#N/A</v>
      </c>
      <c r="AP296" s="119" t="e">
        <f t="shared" si="106"/>
        <v>#N/A</v>
      </c>
    </row>
    <row r="297" spans="1:42" x14ac:dyDescent="0.2">
      <c r="A297" s="22" t="str">
        <f t="shared" si="105"/>
        <v>15-yr MACRS</v>
      </c>
      <c r="B297" s="163">
        <f t="array" ref="B297">SUM(IF(ISNUMBER(C297:AP297),C297:AP297))</f>
        <v>0</v>
      </c>
      <c r="C297" s="119" t="e">
        <f>C289/100*$Q$254</f>
        <v>#N/A</v>
      </c>
      <c r="D297" s="119" t="e">
        <f t="shared" ref="D297:AP297" si="107">D289/100*$Q$254</f>
        <v>#N/A</v>
      </c>
      <c r="E297" s="119" t="e">
        <f t="shared" si="107"/>
        <v>#N/A</v>
      </c>
      <c r="F297" s="119" t="e">
        <f t="shared" si="107"/>
        <v>#N/A</v>
      </c>
      <c r="G297" s="119" t="e">
        <f t="shared" si="107"/>
        <v>#N/A</v>
      </c>
      <c r="H297" s="119" t="e">
        <f t="shared" si="107"/>
        <v>#N/A</v>
      </c>
      <c r="I297" s="119" t="e">
        <f t="shared" si="107"/>
        <v>#N/A</v>
      </c>
      <c r="J297" s="119" t="e">
        <f t="shared" si="107"/>
        <v>#N/A</v>
      </c>
      <c r="K297" s="119" t="e">
        <f t="shared" si="107"/>
        <v>#N/A</v>
      </c>
      <c r="L297" s="119" t="e">
        <f t="shared" si="107"/>
        <v>#N/A</v>
      </c>
      <c r="M297" s="119" t="e">
        <f t="shared" si="107"/>
        <v>#N/A</v>
      </c>
      <c r="N297" s="119" t="e">
        <f t="shared" si="107"/>
        <v>#N/A</v>
      </c>
      <c r="O297" s="119" t="e">
        <f t="shared" si="107"/>
        <v>#N/A</v>
      </c>
      <c r="P297" s="119" t="e">
        <f t="shared" si="107"/>
        <v>#N/A</v>
      </c>
      <c r="Q297" s="119" t="e">
        <f t="shared" si="107"/>
        <v>#N/A</v>
      </c>
      <c r="R297" s="119" t="e">
        <f t="shared" si="107"/>
        <v>#N/A</v>
      </c>
      <c r="S297" s="119" t="e">
        <f t="shared" si="107"/>
        <v>#N/A</v>
      </c>
      <c r="T297" s="119" t="e">
        <f t="shared" si="107"/>
        <v>#N/A</v>
      </c>
      <c r="U297" s="119" t="e">
        <f t="shared" si="107"/>
        <v>#N/A</v>
      </c>
      <c r="V297" s="119" t="e">
        <f t="shared" si="107"/>
        <v>#N/A</v>
      </c>
      <c r="W297" s="119" t="e">
        <f t="shared" si="107"/>
        <v>#N/A</v>
      </c>
      <c r="X297" s="119" t="e">
        <f t="shared" si="107"/>
        <v>#N/A</v>
      </c>
      <c r="Y297" s="119" t="e">
        <f t="shared" si="107"/>
        <v>#N/A</v>
      </c>
      <c r="Z297" s="119" t="e">
        <f t="shared" si="107"/>
        <v>#N/A</v>
      </c>
      <c r="AA297" s="119" t="e">
        <f t="shared" si="107"/>
        <v>#N/A</v>
      </c>
      <c r="AB297" s="119" t="e">
        <f t="shared" si="107"/>
        <v>#N/A</v>
      </c>
      <c r="AC297" s="119" t="e">
        <f t="shared" si="107"/>
        <v>#N/A</v>
      </c>
      <c r="AD297" s="119" t="e">
        <f t="shared" si="107"/>
        <v>#N/A</v>
      </c>
      <c r="AE297" s="119" t="e">
        <f t="shared" si="107"/>
        <v>#N/A</v>
      </c>
      <c r="AF297" s="119" t="e">
        <f t="shared" si="107"/>
        <v>#N/A</v>
      </c>
      <c r="AG297" s="119" t="e">
        <f t="shared" si="107"/>
        <v>#N/A</v>
      </c>
      <c r="AH297" s="119" t="e">
        <f t="shared" si="107"/>
        <v>#N/A</v>
      </c>
      <c r="AI297" s="119" t="e">
        <f t="shared" si="107"/>
        <v>#N/A</v>
      </c>
      <c r="AJ297" s="119" t="e">
        <f t="shared" si="107"/>
        <v>#N/A</v>
      </c>
      <c r="AK297" s="119" t="e">
        <f t="shared" si="107"/>
        <v>#N/A</v>
      </c>
      <c r="AL297" s="119" t="e">
        <f t="shared" si="107"/>
        <v>#N/A</v>
      </c>
      <c r="AM297" s="119" t="e">
        <f t="shared" si="107"/>
        <v>#N/A</v>
      </c>
      <c r="AN297" s="119" t="e">
        <f t="shared" si="107"/>
        <v>#N/A</v>
      </c>
      <c r="AO297" s="119" t="e">
        <f t="shared" si="107"/>
        <v>#N/A</v>
      </c>
      <c r="AP297" s="119" t="e">
        <f t="shared" si="107"/>
        <v>#N/A</v>
      </c>
    </row>
    <row r="298" spans="1:42" x14ac:dyDescent="0.2">
      <c r="A298" s="22" t="str">
        <f t="shared" si="105"/>
        <v>5-yr SL</v>
      </c>
      <c r="B298" s="163">
        <f t="array" ref="B298">SUM(IF(ISNUMBER(C298:AP298),C298:AP298))</f>
        <v>0</v>
      </c>
      <c r="C298" s="119" t="e">
        <f>C290/100*$Q$255</f>
        <v>#N/A</v>
      </c>
      <c r="D298" s="119" t="e">
        <f t="shared" ref="D298:AP298" si="108">D290/100*$Q$255</f>
        <v>#N/A</v>
      </c>
      <c r="E298" s="119" t="e">
        <f t="shared" si="108"/>
        <v>#N/A</v>
      </c>
      <c r="F298" s="119" t="e">
        <f t="shared" si="108"/>
        <v>#N/A</v>
      </c>
      <c r="G298" s="119" t="e">
        <f t="shared" si="108"/>
        <v>#N/A</v>
      </c>
      <c r="H298" s="119" t="e">
        <f t="shared" si="108"/>
        <v>#N/A</v>
      </c>
      <c r="I298" s="119" t="e">
        <f t="shared" si="108"/>
        <v>#N/A</v>
      </c>
      <c r="J298" s="119" t="e">
        <f t="shared" si="108"/>
        <v>#N/A</v>
      </c>
      <c r="K298" s="119" t="e">
        <f t="shared" si="108"/>
        <v>#N/A</v>
      </c>
      <c r="L298" s="119" t="e">
        <f t="shared" si="108"/>
        <v>#N/A</v>
      </c>
      <c r="M298" s="119" t="e">
        <f t="shared" si="108"/>
        <v>#N/A</v>
      </c>
      <c r="N298" s="119" t="e">
        <f t="shared" si="108"/>
        <v>#N/A</v>
      </c>
      <c r="O298" s="119" t="e">
        <f t="shared" si="108"/>
        <v>#N/A</v>
      </c>
      <c r="P298" s="119" t="e">
        <f t="shared" si="108"/>
        <v>#N/A</v>
      </c>
      <c r="Q298" s="119" t="e">
        <f t="shared" si="108"/>
        <v>#N/A</v>
      </c>
      <c r="R298" s="119" t="e">
        <f t="shared" si="108"/>
        <v>#N/A</v>
      </c>
      <c r="S298" s="119" t="e">
        <f t="shared" si="108"/>
        <v>#N/A</v>
      </c>
      <c r="T298" s="119" t="e">
        <f t="shared" si="108"/>
        <v>#N/A</v>
      </c>
      <c r="U298" s="119" t="e">
        <f t="shared" si="108"/>
        <v>#N/A</v>
      </c>
      <c r="V298" s="119" t="e">
        <f t="shared" si="108"/>
        <v>#N/A</v>
      </c>
      <c r="W298" s="119" t="e">
        <f t="shared" si="108"/>
        <v>#N/A</v>
      </c>
      <c r="X298" s="119" t="e">
        <f t="shared" si="108"/>
        <v>#N/A</v>
      </c>
      <c r="Y298" s="119" t="e">
        <f t="shared" si="108"/>
        <v>#N/A</v>
      </c>
      <c r="Z298" s="119" t="e">
        <f t="shared" si="108"/>
        <v>#N/A</v>
      </c>
      <c r="AA298" s="119" t="e">
        <f t="shared" si="108"/>
        <v>#N/A</v>
      </c>
      <c r="AB298" s="119" t="e">
        <f t="shared" si="108"/>
        <v>#N/A</v>
      </c>
      <c r="AC298" s="119" t="e">
        <f t="shared" si="108"/>
        <v>#N/A</v>
      </c>
      <c r="AD298" s="119" t="e">
        <f t="shared" si="108"/>
        <v>#N/A</v>
      </c>
      <c r="AE298" s="119" t="e">
        <f t="shared" si="108"/>
        <v>#N/A</v>
      </c>
      <c r="AF298" s="119" t="e">
        <f t="shared" si="108"/>
        <v>#N/A</v>
      </c>
      <c r="AG298" s="119" t="e">
        <f t="shared" si="108"/>
        <v>#N/A</v>
      </c>
      <c r="AH298" s="119" t="e">
        <f t="shared" si="108"/>
        <v>#N/A</v>
      </c>
      <c r="AI298" s="119" t="e">
        <f t="shared" si="108"/>
        <v>#N/A</v>
      </c>
      <c r="AJ298" s="119" t="e">
        <f t="shared" si="108"/>
        <v>#N/A</v>
      </c>
      <c r="AK298" s="119" t="e">
        <f t="shared" si="108"/>
        <v>#N/A</v>
      </c>
      <c r="AL298" s="119" t="e">
        <f t="shared" si="108"/>
        <v>#N/A</v>
      </c>
      <c r="AM298" s="119" t="e">
        <f t="shared" si="108"/>
        <v>#N/A</v>
      </c>
      <c r="AN298" s="119" t="e">
        <f t="shared" si="108"/>
        <v>#N/A</v>
      </c>
      <c r="AO298" s="119" t="e">
        <f t="shared" si="108"/>
        <v>#N/A</v>
      </c>
      <c r="AP298" s="119" t="e">
        <f t="shared" si="108"/>
        <v>#N/A</v>
      </c>
    </row>
    <row r="299" spans="1:42" x14ac:dyDescent="0.2">
      <c r="A299" s="22" t="str">
        <f t="shared" si="105"/>
        <v>15-yr SL</v>
      </c>
      <c r="B299" s="163">
        <f t="array" ref="B299">SUM(IF(ISNUMBER(C299:AP299),C299:AP299))</f>
        <v>0</v>
      </c>
      <c r="C299" s="119" t="e">
        <f>C291/100*$Q$256</f>
        <v>#N/A</v>
      </c>
      <c r="D299" s="119" t="e">
        <f t="shared" ref="D299:AP299" si="109">D291/100*$Q$256</f>
        <v>#N/A</v>
      </c>
      <c r="E299" s="119" t="e">
        <f t="shared" si="109"/>
        <v>#N/A</v>
      </c>
      <c r="F299" s="119" t="e">
        <f t="shared" si="109"/>
        <v>#N/A</v>
      </c>
      <c r="G299" s="119" t="e">
        <f t="shared" si="109"/>
        <v>#N/A</v>
      </c>
      <c r="H299" s="119" t="e">
        <f t="shared" si="109"/>
        <v>#N/A</v>
      </c>
      <c r="I299" s="119" t="e">
        <f t="shared" si="109"/>
        <v>#N/A</v>
      </c>
      <c r="J299" s="119" t="e">
        <f t="shared" si="109"/>
        <v>#N/A</v>
      </c>
      <c r="K299" s="119" t="e">
        <f t="shared" si="109"/>
        <v>#N/A</v>
      </c>
      <c r="L299" s="119" t="e">
        <f t="shared" si="109"/>
        <v>#N/A</v>
      </c>
      <c r="M299" s="119" t="e">
        <f t="shared" si="109"/>
        <v>#N/A</v>
      </c>
      <c r="N299" s="119" t="e">
        <f t="shared" si="109"/>
        <v>#N/A</v>
      </c>
      <c r="O299" s="119" t="e">
        <f t="shared" si="109"/>
        <v>#N/A</v>
      </c>
      <c r="P299" s="119" t="e">
        <f t="shared" si="109"/>
        <v>#N/A</v>
      </c>
      <c r="Q299" s="119" t="e">
        <f t="shared" si="109"/>
        <v>#N/A</v>
      </c>
      <c r="R299" s="119" t="e">
        <f t="shared" si="109"/>
        <v>#N/A</v>
      </c>
      <c r="S299" s="119" t="e">
        <f t="shared" si="109"/>
        <v>#N/A</v>
      </c>
      <c r="T299" s="119" t="e">
        <f t="shared" si="109"/>
        <v>#N/A</v>
      </c>
      <c r="U299" s="119" t="e">
        <f t="shared" si="109"/>
        <v>#N/A</v>
      </c>
      <c r="V299" s="119" t="e">
        <f t="shared" si="109"/>
        <v>#N/A</v>
      </c>
      <c r="W299" s="119" t="e">
        <f t="shared" si="109"/>
        <v>#N/A</v>
      </c>
      <c r="X299" s="119" t="e">
        <f t="shared" si="109"/>
        <v>#N/A</v>
      </c>
      <c r="Y299" s="119" t="e">
        <f t="shared" si="109"/>
        <v>#N/A</v>
      </c>
      <c r="Z299" s="119" t="e">
        <f t="shared" si="109"/>
        <v>#N/A</v>
      </c>
      <c r="AA299" s="119" t="e">
        <f t="shared" si="109"/>
        <v>#N/A</v>
      </c>
      <c r="AB299" s="119" t="e">
        <f t="shared" si="109"/>
        <v>#N/A</v>
      </c>
      <c r="AC299" s="119" t="e">
        <f t="shared" si="109"/>
        <v>#N/A</v>
      </c>
      <c r="AD299" s="119" t="e">
        <f t="shared" si="109"/>
        <v>#N/A</v>
      </c>
      <c r="AE299" s="119" t="e">
        <f t="shared" si="109"/>
        <v>#N/A</v>
      </c>
      <c r="AF299" s="119" t="e">
        <f t="shared" si="109"/>
        <v>#N/A</v>
      </c>
      <c r="AG299" s="119" t="e">
        <f t="shared" si="109"/>
        <v>#N/A</v>
      </c>
      <c r="AH299" s="119" t="e">
        <f t="shared" si="109"/>
        <v>#N/A</v>
      </c>
      <c r="AI299" s="119" t="e">
        <f t="shared" si="109"/>
        <v>#N/A</v>
      </c>
      <c r="AJ299" s="119" t="e">
        <f t="shared" si="109"/>
        <v>#N/A</v>
      </c>
      <c r="AK299" s="119" t="e">
        <f t="shared" si="109"/>
        <v>#N/A</v>
      </c>
      <c r="AL299" s="119" t="e">
        <f t="shared" si="109"/>
        <v>#N/A</v>
      </c>
      <c r="AM299" s="119" t="e">
        <f t="shared" si="109"/>
        <v>#N/A</v>
      </c>
      <c r="AN299" s="119" t="e">
        <f t="shared" si="109"/>
        <v>#N/A</v>
      </c>
      <c r="AO299" s="119" t="e">
        <f t="shared" si="109"/>
        <v>#N/A</v>
      </c>
      <c r="AP299" s="119" t="e">
        <f t="shared" si="109"/>
        <v>#N/A</v>
      </c>
    </row>
    <row r="300" spans="1:42" x14ac:dyDescent="0.2">
      <c r="A300" s="22" t="str">
        <f t="shared" si="105"/>
        <v>20-yr SL</v>
      </c>
      <c r="B300" s="163">
        <f t="array" ref="B300">SUM(IF(ISNUMBER(C300:AP300),C300:AP300))</f>
        <v>0</v>
      </c>
      <c r="C300" s="119" t="e">
        <f>C292/100*$Q$257</f>
        <v>#N/A</v>
      </c>
      <c r="D300" s="119" t="e">
        <f t="shared" ref="D300:AP300" si="110">D292/100*$Q$257</f>
        <v>#N/A</v>
      </c>
      <c r="E300" s="119" t="e">
        <f t="shared" si="110"/>
        <v>#N/A</v>
      </c>
      <c r="F300" s="119" t="e">
        <f t="shared" si="110"/>
        <v>#N/A</v>
      </c>
      <c r="G300" s="119" t="e">
        <f t="shared" si="110"/>
        <v>#N/A</v>
      </c>
      <c r="H300" s="119" t="e">
        <f t="shared" si="110"/>
        <v>#N/A</v>
      </c>
      <c r="I300" s="119" t="e">
        <f t="shared" si="110"/>
        <v>#N/A</v>
      </c>
      <c r="J300" s="119" t="e">
        <f t="shared" si="110"/>
        <v>#N/A</v>
      </c>
      <c r="K300" s="119" t="e">
        <f t="shared" si="110"/>
        <v>#N/A</v>
      </c>
      <c r="L300" s="119" t="e">
        <f t="shared" si="110"/>
        <v>#N/A</v>
      </c>
      <c r="M300" s="119" t="e">
        <f t="shared" si="110"/>
        <v>#N/A</v>
      </c>
      <c r="N300" s="119" t="e">
        <f t="shared" si="110"/>
        <v>#N/A</v>
      </c>
      <c r="O300" s="119" t="e">
        <f t="shared" si="110"/>
        <v>#N/A</v>
      </c>
      <c r="P300" s="119" t="e">
        <f t="shared" si="110"/>
        <v>#N/A</v>
      </c>
      <c r="Q300" s="119" t="e">
        <f t="shared" si="110"/>
        <v>#N/A</v>
      </c>
      <c r="R300" s="119" t="e">
        <f t="shared" si="110"/>
        <v>#N/A</v>
      </c>
      <c r="S300" s="119" t="e">
        <f t="shared" si="110"/>
        <v>#N/A</v>
      </c>
      <c r="T300" s="119" t="e">
        <f t="shared" si="110"/>
        <v>#N/A</v>
      </c>
      <c r="U300" s="119" t="e">
        <f t="shared" si="110"/>
        <v>#N/A</v>
      </c>
      <c r="V300" s="119" t="e">
        <f t="shared" si="110"/>
        <v>#N/A</v>
      </c>
      <c r="W300" s="119" t="e">
        <f t="shared" si="110"/>
        <v>#N/A</v>
      </c>
      <c r="X300" s="119" t="e">
        <f t="shared" si="110"/>
        <v>#N/A</v>
      </c>
      <c r="Y300" s="119" t="e">
        <f t="shared" si="110"/>
        <v>#N/A</v>
      </c>
      <c r="Z300" s="119" t="e">
        <f t="shared" si="110"/>
        <v>#N/A</v>
      </c>
      <c r="AA300" s="119" t="e">
        <f t="shared" si="110"/>
        <v>#N/A</v>
      </c>
      <c r="AB300" s="119" t="e">
        <f t="shared" si="110"/>
        <v>#N/A</v>
      </c>
      <c r="AC300" s="119" t="e">
        <f t="shared" si="110"/>
        <v>#N/A</v>
      </c>
      <c r="AD300" s="119" t="e">
        <f t="shared" si="110"/>
        <v>#N/A</v>
      </c>
      <c r="AE300" s="119" t="e">
        <f t="shared" si="110"/>
        <v>#N/A</v>
      </c>
      <c r="AF300" s="119" t="e">
        <f t="shared" si="110"/>
        <v>#N/A</v>
      </c>
      <c r="AG300" s="119" t="e">
        <f t="shared" si="110"/>
        <v>#N/A</v>
      </c>
      <c r="AH300" s="119" t="e">
        <f t="shared" si="110"/>
        <v>#N/A</v>
      </c>
      <c r="AI300" s="119" t="e">
        <f t="shared" si="110"/>
        <v>#N/A</v>
      </c>
      <c r="AJ300" s="119" t="e">
        <f t="shared" si="110"/>
        <v>#N/A</v>
      </c>
      <c r="AK300" s="119" t="e">
        <f t="shared" si="110"/>
        <v>#N/A</v>
      </c>
      <c r="AL300" s="119" t="e">
        <f t="shared" si="110"/>
        <v>#N/A</v>
      </c>
      <c r="AM300" s="119" t="e">
        <f t="shared" si="110"/>
        <v>#N/A</v>
      </c>
      <c r="AN300" s="119" t="e">
        <f t="shared" si="110"/>
        <v>#N/A</v>
      </c>
      <c r="AO300" s="119" t="e">
        <f t="shared" si="110"/>
        <v>#N/A</v>
      </c>
      <c r="AP300" s="119" t="e">
        <f t="shared" si="110"/>
        <v>#N/A</v>
      </c>
    </row>
    <row r="301" spans="1:42" x14ac:dyDescent="0.2">
      <c r="A301" s="22" t="str">
        <f t="shared" si="105"/>
        <v>39-yr SL</v>
      </c>
      <c r="B301" s="163">
        <f>SUM(IF(ISNUMBER(C301:AP301),C301:AP301))</f>
        <v>0</v>
      </c>
      <c r="C301" s="119" t="e">
        <f>C293/100*$Q$258</f>
        <v>#N/A</v>
      </c>
      <c r="D301" s="119" t="e">
        <f t="shared" ref="D301:AP301" si="111">D293/100*$Q$258</f>
        <v>#N/A</v>
      </c>
      <c r="E301" s="119" t="e">
        <f t="shared" si="111"/>
        <v>#N/A</v>
      </c>
      <c r="F301" s="119" t="e">
        <f t="shared" si="111"/>
        <v>#N/A</v>
      </c>
      <c r="G301" s="119" t="e">
        <f t="shared" si="111"/>
        <v>#N/A</v>
      </c>
      <c r="H301" s="119" t="e">
        <f t="shared" si="111"/>
        <v>#N/A</v>
      </c>
      <c r="I301" s="119" t="e">
        <f t="shared" si="111"/>
        <v>#N/A</v>
      </c>
      <c r="J301" s="119" t="e">
        <f t="shared" si="111"/>
        <v>#N/A</v>
      </c>
      <c r="K301" s="119" t="e">
        <f t="shared" si="111"/>
        <v>#N/A</v>
      </c>
      <c r="L301" s="119" t="e">
        <f t="shared" si="111"/>
        <v>#N/A</v>
      </c>
      <c r="M301" s="119" t="e">
        <f t="shared" si="111"/>
        <v>#N/A</v>
      </c>
      <c r="N301" s="119" t="e">
        <f t="shared" si="111"/>
        <v>#N/A</v>
      </c>
      <c r="O301" s="119" t="e">
        <f t="shared" si="111"/>
        <v>#N/A</v>
      </c>
      <c r="P301" s="119" t="e">
        <f t="shared" si="111"/>
        <v>#N/A</v>
      </c>
      <c r="Q301" s="119" t="e">
        <f t="shared" si="111"/>
        <v>#N/A</v>
      </c>
      <c r="R301" s="119" t="e">
        <f t="shared" si="111"/>
        <v>#N/A</v>
      </c>
      <c r="S301" s="119" t="e">
        <f t="shared" si="111"/>
        <v>#N/A</v>
      </c>
      <c r="T301" s="119" t="e">
        <f t="shared" si="111"/>
        <v>#N/A</v>
      </c>
      <c r="U301" s="119" t="e">
        <f t="shared" si="111"/>
        <v>#N/A</v>
      </c>
      <c r="V301" s="119" t="e">
        <f t="shared" si="111"/>
        <v>#N/A</v>
      </c>
      <c r="W301" s="119" t="e">
        <f t="shared" si="111"/>
        <v>#N/A</v>
      </c>
      <c r="X301" s="119" t="e">
        <f t="shared" si="111"/>
        <v>#N/A</v>
      </c>
      <c r="Y301" s="119" t="e">
        <f t="shared" si="111"/>
        <v>#N/A</v>
      </c>
      <c r="Z301" s="119" t="e">
        <f t="shared" si="111"/>
        <v>#N/A</v>
      </c>
      <c r="AA301" s="119" t="e">
        <f t="shared" si="111"/>
        <v>#N/A</v>
      </c>
      <c r="AB301" s="119" t="e">
        <f t="shared" si="111"/>
        <v>#N/A</v>
      </c>
      <c r="AC301" s="119" t="e">
        <f t="shared" si="111"/>
        <v>#N/A</v>
      </c>
      <c r="AD301" s="119" t="e">
        <f t="shared" si="111"/>
        <v>#N/A</v>
      </c>
      <c r="AE301" s="119" t="e">
        <f t="shared" si="111"/>
        <v>#N/A</v>
      </c>
      <c r="AF301" s="119" t="e">
        <f t="shared" si="111"/>
        <v>#N/A</v>
      </c>
      <c r="AG301" s="119" t="e">
        <f t="shared" si="111"/>
        <v>#N/A</v>
      </c>
      <c r="AH301" s="119" t="e">
        <f t="shared" si="111"/>
        <v>#N/A</v>
      </c>
      <c r="AI301" s="119" t="e">
        <f t="shared" si="111"/>
        <v>#N/A</v>
      </c>
      <c r="AJ301" s="119" t="e">
        <f t="shared" si="111"/>
        <v>#N/A</v>
      </c>
      <c r="AK301" s="119" t="e">
        <f t="shared" si="111"/>
        <v>#N/A</v>
      </c>
      <c r="AL301" s="119" t="e">
        <f t="shared" si="111"/>
        <v>#N/A</v>
      </c>
      <c r="AM301" s="119" t="e">
        <f t="shared" si="111"/>
        <v>#N/A</v>
      </c>
      <c r="AN301" s="119" t="e">
        <f t="shared" si="111"/>
        <v>#N/A</v>
      </c>
      <c r="AO301" s="119" t="e">
        <f t="shared" si="111"/>
        <v>#N/A</v>
      </c>
      <c r="AP301" s="119" t="e">
        <f t="shared" si="111"/>
        <v>#N/A</v>
      </c>
    </row>
    <row r="302" spans="1:42" x14ac:dyDescent="0.2">
      <c r="A302" s="22" t="s">
        <v>299</v>
      </c>
      <c r="B302" s="259">
        <f>SUM(IF(ISNUMBER(C302:AP302),C302:AP302))</f>
        <v>0</v>
      </c>
      <c r="C302" s="119">
        <f t="shared" ref="C302:AP302" si="112">IF(C2&lt;=analysis_period,C294/100*$Q$259,0)</f>
        <v>0</v>
      </c>
      <c r="D302" s="119">
        <f t="shared" si="112"/>
        <v>0</v>
      </c>
      <c r="E302" s="119">
        <f t="shared" si="112"/>
        <v>0</v>
      </c>
      <c r="F302" s="119">
        <f t="shared" si="112"/>
        <v>0</v>
      </c>
      <c r="G302" s="119">
        <f t="shared" si="112"/>
        <v>0</v>
      </c>
      <c r="H302" s="119">
        <f t="shared" si="112"/>
        <v>0</v>
      </c>
      <c r="I302" s="119">
        <f t="shared" si="112"/>
        <v>0</v>
      </c>
      <c r="J302" s="119">
        <f t="shared" si="112"/>
        <v>0</v>
      </c>
      <c r="K302" s="119">
        <f t="shared" si="112"/>
        <v>0</v>
      </c>
      <c r="L302" s="119">
        <f t="shared" si="112"/>
        <v>0</v>
      </c>
      <c r="M302" s="119">
        <f t="shared" si="112"/>
        <v>0</v>
      </c>
      <c r="N302" s="119">
        <f t="shared" si="112"/>
        <v>0</v>
      </c>
      <c r="O302" s="119">
        <f t="shared" si="112"/>
        <v>0</v>
      </c>
      <c r="P302" s="119">
        <f t="shared" si="112"/>
        <v>0</v>
      </c>
      <c r="Q302" s="119">
        <f t="shared" si="112"/>
        <v>0</v>
      </c>
      <c r="R302" s="119">
        <f t="shared" si="112"/>
        <v>0</v>
      </c>
      <c r="S302" s="119">
        <f t="shared" si="112"/>
        <v>0</v>
      </c>
      <c r="T302" s="119">
        <f t="shared" si="112"/>
        <v>0</v>
      </c>
      <c r="U302" s="119">
        <f t="shared" si="112"/>
        <v>0</v>
      </c>
      <c r="V302" s="119">
        <f t="shared" si="112"/>
        <v>0</v>
      </c>
      <c r="W302" s="119">
        <f t="shared" si="112"/>
        <v>0</v>
      </c>
      <c r="X302" s="119">
        <f t="shared" si="112"/>
        <v>0</v>
      </c>
      <c r="Y302" s="119">
        <f t="shared" si="112"/>
        <v>0</v>
      </c>
      <c r="Z302" s="119">
        <f t="shared" si="112"/>
        <v>0</v>
      </c>
      <c r="AA302" s="119">
        <f t="shared" si="112"/>
        <v>0</v>
      </c>
      <c r="AB302" s="119">
        <f t="shared" si="112"/>
        <v>0</v>
      </c>
      <c r="AC302" s="119">
        <f t="shared" si="112"/>
        <v>0</v>
      </c>
      <c r="AD302" s="119">
        <f t="shared" si="112"/>
        <v>0</v>
      </c>
      <c r="AE302" s="119">
        <f t="shared" si="112"/>
        <v>0</v>
      </c>
      <c r="AF302" s="119">
        <f t="shared" si="112"/>
        <v>0</v>
      </c>
      <c r="AG302" s="119">
        <f t="shared" si="112"/>
        <v>0</v>
      </c>
      <c r="AH302" s="119">
        <f t="shared" si="112"/>
        <v>0</v>
      </c>
      <c r="AI302" s="119">
        <f t="shared" si="112"/>
        <v>0</v>
      </c>
      <c r="AJ302" s="119">
        <f t="shared" si="112"/>
        <v>0</v>
      </c>
      <c r="AK302" s="119">
        <f t="shared" si="112"/>
        <v>0</v>
      </c>
      <c r="AL302" s="119">
        <f t="shared" si="112"/>
        <v>0</v>
      </c>
      <c r="AM302" s="119">
        <f t="shared" si="112"/>
        <v>0</v>
      </c>
      <c r="AN302" s="119">
        <f t="shared" si="112"/>
        <v>0</v>
      </c>
      <c r="AO302" s="119">
        <f t="shared" si="112"/>
        <v>0</v>
      </c>
      <c r="AP302" s="119">
        <f t="shared" si="112"/>
        <v>0</v>
      </c>
    </row>
    <row r="303" spans="1:42" x14ac:dyDescent="0.2">
      <c r="A303" s="22" t="s">
        <v>71</v>
      </c>
      <c r="B303" s="164">
        <f t="shared" ref="B303" si="113">SUM(C303:AP303)</f>
        <v>0</v>
      </c>
      <c r="C303" s="120">
        <f>P260</f>
        <v>0</v>
      </c>
      <c r="D303" s="120">
        <v>0</v>
      </c>
      <c r="E303" s="120">
        <v>0</v>
      </c>
      <c r="F303" s="120">
        <v>0</v>
      </c>
      <c r="G303" s="120">
        <v>0</v>
      </c>
      <c r="H303" s="120">
        <v>0</v>
      </c>
      <c r="I303" s="120">
        <v>0</v>
      </c>
      <c r="J303" s="120">
        <v>0</v>
      </c>
      <c r="K303" s="120">
        <v>0</v>
      </c>
      <c r="L303" s="120">
        <v>0</v>
      </c>
      <c r="M303" s="120">
        <v>0</v>
      </c>
      <c r="N303" s="120">
        <v>0</v>
      </c>
      <c r="O303" s="120">
        <v>0</v>
      </c>
      <c r="P303" s="120">
        <v>0</v>
      </c>
      <c r="Q303" s="120">
        <v>0</v>
      </c>
      <c r="R303" s="120">
        <v>0</v>
      </c>
      <c r="S303" s="120">
        <v>0</v>
      </c>
      <c r="T303" s="120">
        <v>0</v>
      </c>
      <c r="U303" s="120">
        <v>0</v>
      </c>
      <c r="V303" s="120">
        <v>0</v>
      </c>
      <c r="W303" s="120">
        <v>0</v>
      </c>
      <c r="X303" s="120">
        <v>0</v>
      </c>
      <c r="Y303" s="120">
        <v>0</v>
      </c>
      <c r="Z303" s="120">
        <v>0</v>
      </c>
      <c r="AA303" s="120">
        <v>0</v>
      </c>
      <c r="AB303" s="120">
        <v>0</v>
      </c>
      <c r="AC303" s="120">
        <v>0</v>
      </c>
      <c r="AD303" s="120">
        <v>0</v>
      </c>
      <c r="AE303" s="120">
        <v>0</v>
      </c>
      <c r="AF303" s="120">
        <v>0</v>
      </c>
      <c r="AG303" s="120">
        <v>0</v>
      </c>
      <c r="AH303" s="120">
        <v>0</v>
      </c>
      <c r="AI303" s="120">
        <v>0</v>
      </c>
      <c r="AJ303" s="120">
        <v>0</v>
      </c>
      <c r="AK303" s="120">
        <v>0</v>
      </c>
      <c r="AL303" s="120">
        <v>0</v>
      </c>
      <c r="AM303" s="120">
        <v>0</v>
      </c>
      <c r="AN303" s="120">
        <v>0</v>
      </c>
      <c r="AO303" s="120">
        <v>0</v>
      </c>
      <c r="AP303" s="120">
        <v>0</v>
      </c>
    </row>
    <row r="304" spans="1:42" x14ac:dyDescent="0.2">
      <c r="A304" s="21"/>
      <c r="B304" s="165">
        <f t="array" ref="B304">SUM(IF(ISNUMBER(C304:AP304),C304:AP304))</f>
        <v>0</v>
      </c>
      <c r="C304" s="119" t="e">
        <f>SUM(C296:C303)</f>
        <v>#N/A</v>
      </c>
      <c r="D304" s="119" t="e">
        <f>SUM(D296:D303)</f>
        <v>#N/A</v>
      </c>
      <c r="E304" s="119" t="e">
        <f t="shared" ref="E304:AP304" si="114">SUM(E296:E303)</f>
        <v>#N/A</v>
      </c>
      <c r="F304" s="119" t="e">
        <f t="shared" si="114"/>
        <v>#N/A</v>
      </c>
      <c r="G304" s="119" t="e">
        <f t="shared" si="114"/>
        <v>#N/A</v>
      </c>
      <c r="H304" s="119" t="e">
        <f t="shared" si="114"/>
        <v>#N/A</v>
      </c>
      <c r="I304" s="119" t="e">
        <f t="shared" si="114"/>
        <v>#N/A</v>
      </c>
      <c r="J304" s="119" t="e">
        <f t="shared" si="114"/>
        <v>#N/A</v>
      </c>
      <c r="K304" s="119" t="e">
        <f t="shared" si="114"/>
        <v>#N/A</v>
      </c>
      <c r="L304" s="119" t="e">
        <f t="shared" si="114"/>
        <v>#N/A</v>
      </c>
      <c r="M304" s="119" t="e">
        <f t="shared" si="114"/>
        <v>#N/A</v>
      </c>
      <c r="N304" s="119" t="e">
        <f t="shared" si="114"/>
        <v>#N/A</v>
      </c>
      <c r="O304" s="119" t="e">
        <f t="shared" si="114"/>
        <v>#N/A</v>
      </c>
      <c r="P304" s="119" t="e">
        <f t="shared" si="114"/>
        <v>#N/A</v>
      </c>
      <c r="Q304" s="119" t="e">
        <f t="shared" si="114"/>
        <v>#N/A</v>
      </c>
      <c r="R304" s="119" t="e">
        <f t="shared" si="114"/>
        <v>#N/A</v>
      </c>
      <c r="S304" s="119" t="e">
        <f t="shared" si="114"/>
        <v>#N/A</v>
      </c>
      <c r="T304" s="119" t="e">
        <f t="shared" si="114"/>
        <v>#N/A</v>
      </c>
      <c r="U304" s="119" t="e">
        <f t="shared" si="114"/>
        <v>#N/A</v>
      </c>
      <c r="V304" s="119" t="e">
        <f t="shared" si="114"/>
        <v>#N/A</v>
      </c>
      <c r="W304" s="119" t="e">
        <f t="shared" si="114"/>
        <v>#N/A</v>
      </c>
      <c r="X304" s="119" t="e">
        <f t="shared" si="114"/>
        <v>#N/A</v>
      </c>
      <c r="Y304" s="119" t="e">
        <f t="shared" si="114"/>
        <v>#N/A</v>
      </c>
      <c r="Z304" s="119" t="e">
        <f t="shared" si="114"/>
        <v>#N/A</v>
      </c>
      <c r="AA304" s="119" t="e">
        <f t="shared" si="114"/>
        <v>#N/A</v>
      </c>
      <c r="AB304" s="119" t="e">
        <f t="shared" si="114"/>
        <v>#N/A</v>
      </c>
      <c r="AC304" s="119" t="e">
        <f t="shared" si="114"/>
        <v>#N/A</v>
      </c>
      <c r="AD304" s="119" t="e">
        <f t="shared" si="114"/>
        <v>#N/A</v>
      </c>
      <c r="AE304" s="119" t="e">
        <f t="shared" si="114"/>
        <v>#N/A</v>
      </c>
      <c r="AF304" s="119" t="e">
        <f t="shared" si="114"/>
        <v>#N/A</v>
      </c>
      <c r="AG304" s="119" t="e">
        <f t="shared" si="114"/>
        <v>#N/A</v>
      </c>
      <c r="AH304" s="119" t="e">
        <f t="shared" si="114"/>
        <v>#N/A</v>
      </c>
      <c r="AI304" s="119" t="e">
        <f t="shared" si="114"/>
        <v>#N/A</v>
      </c>
      <c r="AJ304" s="119" t="e">
        <f t="shared" si="114"/>
        <v>#N/A</v>
      </c>
      <c r="AK304" s="119" t="e">
        <f t="shared" si="114"/>
        <v>#N/A</v>
      </c>
      <c r="AL304" s="119" t="e">
        <f t="shared" si="114"/>
        <v>#N/A</v>
      </c>
      <c r="AM304" s="119" t="e">
        <f t="shared" si="114"/>
        <v>#N/A</v>
      </c>
      <c r="AN304" s="119" t="e">
        <f t="shared" si="114"/>
        <v>#N/A</v>
      </c>
      <c r="AO304" s="119" t="e">
        <f t="shared" si="114"/>
        <v>#N/A</v>
      </c>
      <c r="AP304" s="119" t="e">
        <f t="shared" si="114"/>
        <v>#N/A</v>
      </c>
    </row>
    <row r="305" spans="1:42" x14ac:dyDescent="0.2">
      <c r="A305" s="21"/>
    </row>
    <row r="306" spans="1:42" x14ac:dyDescent="0.2">
      <c r="A306" s="86" t="s">
        <v>428</v>
      </c>
    </row>
    <row r="307" spans="1:42" x14ac:dyDescent="0.2">
      <c r="A307" s="21" t="s">
        <v>429</v>
      </c>
      <c r="B307" s="24" t="str">
        <f>equip_reserve_depr_sta</f>
        <v>5-yr MACRS</v>
      </c>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row>
    <row r="308" spans="1:42" x14ac:dyDescent="0.2">
      <c r="A308" s="21" t="s">
        <v>61</v>
      </c>
      <c r="B308" s="167">
        <f t="shared" ref="B308:AP308" si="115">B2</f>
        <v>0</v>
      </c>
      <c r="C308" s="167" t="str">
        <f t="shared" si="115"/>
        <v/>
      </c>
      <c r="D308" s="167" t="str">
        <f t="shared" si="115"/>
        <v/>
      </c>
      <c r="E308" s="167" t="str">
        <f t="shared" si="115"/>
        <v/>
      </c>
      <c r="F308" s="167" t="str">
        <f t="shared" si="115"/>
        <v/>
      </c>
      <c r="G308" s="167" t="str">
        <f t="shared" si="115"/>
        <v/>
      </c>
      <c r="H308" s="167" t="str">
        <f t="shared" si="115"/>
        <v/>
      </c>
      <c r="I308" s="167" t="str">
        <f t="shared" si="115"/>
        <v/>
      </c>
      <c r="J308" s="167" t="str">
        <f t="shared" si="115"/>
        <v/>
      </c>
      <c r="K308" s="167" t="str">
        <f t="shared" si="115"/>
        <v/>
      </c>
      <c r="L308" s="167" t="str">
        <f t="shared" si="115"/>
        <v/>
      </c>
      <c r="M308" s="167" t="str">
        <f t="shared" si="115"/>
        <v/>
      </c>
      <c r="N308" s="167" t="str">
        <f t="shared" si="115"/>
        <v/>
      </c>
      <c r="O308" s="167" t="str">
        <f t="shared" si="115"/>
        <v/>
      </c>
      <c r="P308" s="167" t="str">
        <f t="shared" si="115"/>
        <v/>
      </c>
      <c r="Q308" s="167" t="str">
        <f t="shared" si="115"/>
        <v/>
      </c>
      <c r="R308" s="167" t="str">
        <f t="shared" si="115"/>
        <v/>
      </c>
      <c r="S308" s="167" t="str">
        <f t="shared" si="115"/>
        <v/>
      </c>
      <c r="T308" s="167" t="str">
        <f t="shared" si="115"/>
        <v/>
      </c>
      <c r="U308" s="167" t="str">
        <f t="shared" si="115"/>
        <v/>
      </c>
      <c r="V308" s="167" t="str">
        <f t="shared" si="115"/>
        <v/>
      </c>
      <c r="W308" s="167" t="str">
        <f t="shared" si="115"/>
        <v/>
      </c>
      <c r="X308" s="167" t="str">
        <f t="shared" si="115"/>
        <v/>
      </c>
      <c r="Y308" s="167" t="str">
        <f t="shared" si="115"/>
        <v/>
      </c>
      <c r="Z308" s="167" t="str">
        <f t="shared" si="115"/>
        <v/>
      </c>
      <c r="AA308" s="167" t="str">
        <f t="shared" si="115"/>
        <v/>
      </c>
      <c r="AB308" s="167" t="str">
        <f t="shared" si="115"/>
        <v/>
      </c>
      <c r="AC308" s="167" t="str">
        <f t="shared" si="115"/>
        <v/>
      </c>
      <c r="AD308" s="167" t="str">
        <f t="shared" si="115"/>
        <v/>
      </c>
      <c r="AE308" s="167" t="str">
        <f t="shared" si="115"/>
        <v/>
      </c>
      <c r="AF308" s="167" t="str">
        <f t="shared" si="115"/>
        <v/>
      </c>
      <c r="AG308" s="167" t="str">
        <f t="shared" si="115"/>
        <v/>
      </c>
      <c r="AH308" s="167" t="str">
        <f t="shared" si="115"/>
        <v/>
      </c>
      <c r="AI308" s="167" t="str">
        <f t="shared" si="115"/>
        <v/>
      </c>
      <c r="AJ308" s="167" t="str">
        <f t="shared" si="115"/>
        <v/>
      </c>
      <c r="AK308" s="167" t="str">
        <f t="shared" si="115"/>
        <v/>
      </c>
      <c r="AL308" s="167" t="str">
        <f t="shared" si="115"/>
        <v/>
      </c>
      <c r="AM308" s="167" t="str">
        <f t="shared" si="115"/>
        <v/>
      </c>
      <c r="AN308" s="167" t="str">
        <f t="shared" si="115"/>
        <v/>
      </c>
      <c r="AO308" s="167" t="str">
        <f t="shared" si="115"/>
        <v/>
      </c>
      <c r="AP308" s="167" t="str">
        <f t="shared" si="115"/>
        <v/>
      </c>
    </row>
    <row r="309" spans="1:42" x14ac:dyDescent="0.2">
      <c r="A309" s="21" t="s">
        <v>165</v>
      </c>
      <c r="B309" s="166">
        <v>0</v>
      </c>
      <c r="C309" s="159" t="e">
        <f t="shared" ref="C309:AP309" si="116">IF($B$307=$A288,C288,0)+IF($B$307=$A289,C289,0)+IF($B$307=$A290,C290,0)+IF($B$307=$A291,C291,0)+IF($B$307=$A292,C292,0)+IF($B$307=$A293,C293,0)</f>
        <v>#N/A</v>
      </c>
      <c r="D309" s="159" t="e">
        <f t="shared" si="116"/>
        <v>#N/A</v>
      </c>
      <c r="E309" s="159" t="e">
        <f t="shared" si="116"/>
        <v>#N/A</v>
      </c>
      <c r="F309" s="159" t="e">
        <f t="shared" si="116"/>
        <v>#N/A</v>
      </c>
      <c r="G309" s="159" t="e">
        <f t="shared" si="116"/>
        <v>#N/A</v>
      </c>
      <c r="H309" s="159" t="e">
        <f t="shared" si="116"/>
        <v>#N/A</v>
      </c>
      <c r="I309" s="159" t="e">
        <f t="shared" si="116"/>
        <v>#N/A</v>
      </c>
      <c r="J309" s="159" t="e">
        <f t="shared" si="116"/>
        <v>#N/A</v>
      </c>
      <c r="K309" s="159" t="e">
        <f t="shared" si="116"/>
        <v>#N/A</v>
      </c>
      <c r="L309" s="159" t="e">
        <f t="shared" si="116"/>
        <v>#N/A</v>
      </c>
      <c r="M309" s="159" t="e">
        <f t="shared" si="116"/>
        <v>#N/A</v>
      </c>
      <c r="N309" s="159" t="e">
        <f t="shared" si="116"/>
        <v>#N/A</v>
      </c>
      <c r="O309" s="159" t="e">
        <f t="shared" si="116"/>
        <v>#N/A</v>
      </c>
      <c r="P309" s="159" t="e">
        <f t="shared" si="116"/>
        <v>#N/A</v>
      </c>
      <c r="Q309" s="159" t="e">
        <f t="shared" si="116"/>
        <v>#N/A</v>
      </c>
      <c r="R309" s="159" t="e">
        <f t="shared" si="116"/>
        <v>#N/A</v>
      </c>
      <c r="S309" s="159" t="e">
        <f t="shared" si="116"/>
        <v>#N/A</v>
      </c>
      <c r="T309" s="159" t="e">
        <f t="shared" si="116"/>
        <v>#N/A</v>
      </c>
      <c r="U309" s="159" t="e">
        <f t="shared" si="116"/>
        <v>#N/A</v>
      </c>
      <c r="V309" s="159" t="e">
        <f t="shared" si="116"/>
        <v>#N/A</v>
      </c>
      <c r="W309" s="159" t="e">
        <f t="shared" si="116"/>
        <v>#N/A</v>
      </c>
      <c r="X309" s="159" t="e">
        <f t="shared" si="116"/>
        <v>#N/A</v>
      </c>
      <c r="Y309" s="159" t="e">
        <f t="shared" si="116"/>
        <v>#N/A</v>
      </c>
      <c r="Z309" s="159" t="e">
        <f t="shared" si="116"/>
        <v>#N/A</v>
      </c>
      <c r="AA309" s="159" t="e">
        <f t="shared" si="116"/>
        <v>#N/A</v>
      </c>
      <c r="AB309" s="159" t="e">
        <f t="shared" si="116"/>
        <v>#N/A</v>
      </c>
      <c r="AC309" s="159" t="e">
        <f t="shared" si="116"/>
        <v>#N/A</v>
      </c>
      <c r="AD309" s="159" t="e">
        <f t="shared" si="116"/>
        <v>#N/A</v>
      </c>
      <c r="AE309" s="159" t="e">
        <f t="shared" si="116"/>
        <v>#N/A</v>
      </c>
      <c r="AF309" s="159" t="e">
        <f t="shared" si="116"/>
        <v>#N/A</v>
      </c>
      <c r="AG309" s="159" t="e">
        <f t="shared" si="116"/>
        <v>#N/A</v>
      </c>
      <c r="AH309" s="159" t="e">
        <f t="shared" si="116"/>
        <v>#N/A</v>
      </c>
      <c r="AI309" s="159" t="e">
        <f t="shared" si="116"/>
        <v>#N/A</v>
      </c>
      <c r="AJ309" s="159" t="e">
        <f t="shared" si="116"/>
        <v>#N/A</v>
      </c>
      <c r="AK309" s="159" t="e">
        <f t="shared" si="116"/>
        <v>#N/A</v>
      </c>
      <c r="AL309" s="159" t="e">
        <f t="shared" si="116"/>
        <v>#N/A</v>
      </c>
      <c r="AM309" s="159" t="e">
        <f t="shared" si="116"/>
        <v>#N/A</v>
      </c>
      <c r="AN309" s="159" t="e">
        <f t="shared" si="116"/>
        <v>#N/A</v>
      </c>
      <c r="AO309" s="159" t="e">
        <f t="shared" si="116"/>
        <v>#N/A</v>
      </c>
      <c r="AP309" s="159" t="e">
        <f t="shared" si="116"/>
        <v>#N/A</v>
      </c>
    </row>
    <row r="310" spans="1:42" x14ac:dyDescent="0.2">
      <c r="A310" s="21"/>
      <c r="B310" s="25"/>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row>
    <row r="311" spans="1:42" x14ac:dyDescent="0.2">
      <c r="A311" s="21" t="s">
        <v>72</v>
      </c>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row>
    <row r="312" spans="1:42" x14ac:dyDescent="0.2">
      <c r="A312" s="87" t="s">
        <v>60</v>
      </c>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row>
    <row r="313" spans="1:42" x14ac:dyDescent="0.2">
      <c r="A313" s="4">
        <v>1</v>
      </c>
      <c r="B313" s="4">
        <v>0</v>
      </c>
      <c r="C313" s="150">
        <f>IF(C$2&lt;=analysis_period,IF(SUM($C650:C650)&gt;0,B313+1,0),0)</f>
        <v>0</v>
      </c>
      <c r="D313" s="150">
        <f>IF(D$2&lt;=analysis_period,IF(SUM($C650:D650)&gt;0,C313+1,0),0)</f>
        <v>0</v>
      </c>
      <c r="E313" s="150">
        <f>IF(E$2&lt;=analysis_period,IF(SUM($C650:E650)&gt;0,D313+1,0),0)</f>
        <v>0</v>
      </c>
      <c r="F313" s="150">
        <f>IF(F$2&lt;=analysis_period,IF(SUM($C650:F650)&gt;0,E313+1,0),0)</f>
        <v>0</v>
      </c>
      <c r="G313" s="150">
        <f>IF(G$2&lt;=analysis_period,IF(SUM($C650:G650)&gt;0,F313+1,0),0)</f>
        <v>0</v>
      </c>
      <c r="H313" s="150">
        <f>IF(H$2&lt;=analysis_period,IF(SUM($C650:H650)&gt;0,G313+1,0),0)</f>
        <v>0</v>
      </c>
      <c r="I313" s="150">
        <f>IF(I$2&lt;=analysis_period,IF(SUM($C650:I650)&gt;0,H313+1,0),0)</f>
        <v>0</v>
      </c>
      <c r="J313" s="150">
        <f>IF(J$2&lt;=analysis_period,IF(SUM($C650:J650)&gt;0,I313+1,0),0)</f>
        <v>0</v>
      </c>
      <c r="K313" s="150">
        <f>IF(K$2&lt;=analysis_period,IF(SUM($C650:K650)&gt;0,J313+1,0),0)</f>
        <v>0</v>
      </c>
      <c r="L313" s="150">
        <f>IF(L$2&lt;=analysis_period,IF(SUM($C650:L650)&gt;0,K313+1,0),0)</f>
        <v>0</v>
      </c>
      <c r="M313" s="150">
        <f>IF(M$2&lt;=analysis_period,IF(SUM($C650:M650)&gt;0,L313+1,0),0)</f>
        <v>0</v>
      </c>
      <c r="N313" s="150">
        <f>IF(N$2&lt;=analysis_period,IF(SUM($C650:N650)&gt;0,M313+1,0),0)</f>
        <v>0</v>
      </c>
      <c r="O313" s="150">
        <f>IF(O$2&lt;=analysis_period,IF(SUM($C650:O650)&gt;0,N313+1,0),0)</f>
        <v>0</v>
      </c>
      <c r="P313" s="150">
        <f>IF(P$2&lt;=analysis_period,IF(SUM($C650:P650)&gt;0,O313+1,0),0)</f>
        <v>0</v>
      </c>
      <c r="Q313" s="150">
        <f>IF(Q$2&lt;=analysis_period,IF(SUM($C650:Q650)&gt;0,P313+1,0),0)</f>
        <v>0</v>
      </c>
      <c r="R313" s="150">
        <f>IF(R$2&lt;=analysis_period,IF(SUM($C650:R650)&gt;0,Q313+1,0),0)</f>
        <v>0</v>
      </c>
      <c r="S313" s="150">
        <f>IF(S$2&lt;=analysis_period,IF(SUM($C650:S650)&gt;0,R313+1,0),0)</f>
        <v>0</v>
      </c>
      <c r="T313" s="150">
        <f>IF(T$2&lt;=analysis_period,IF(SUM($C650:T650)&gt;0,S313+1,0),0)</f>
        <v>0</v>
      </c>
      <c r="U313" s="150">
        <f>IF(U$2&lt;=analysis_period,IF(SUM($C650:U650)&gt;0,T313+1,0),0)</f>
        <v>0</v>
      </c>
      <c r="V313" s="150">
        <f>IF(V$2&lt;=analysis_period,IF(SUM($C650:V650)&gt;0,U313+1,0),0)</f>
        <v>0</v>
      </c>
      <c r="W313" s="150">
        <f>IF(W$2&lt;=analysis_period,IF(SUM($C650:W650)&gt;0,V313+1,0),0)</f>
        <v>0</v>
      </c>
      <c r="X313" s="150">
        <f>IF(X$2&lt;=analysis_period,IF(SUM($C650:X650)&gt;0,W313+1,0),0)</f>
        <v>0</v>
      </c>
      <c r="Y313" s="150">
        <f>IF(Y$2&lt;=analysis_period,IF(SUM($C650:Y650)&gt;0,X313+1,0),0)</f>
        <v>0</v>
      </c>
      <c r="Z313" s="150">
        <f>IF(Z$2&lt;=analysis_period,IF(SUM($C650:Z650)&gt;0,Y313+1,0),0)</f>
        <v>0</v>
      </c>
      <c r="AA313" s="150">
        <f>IF(AA$2&lt;=analysis_period,IF(SUM($C650:AA650)&gt;0,Z313+1,0),0)</f>
        <v>0</v>
      </c>
      <c r="AB313" s="150">
        <f>IF(AB$2&lt;=analysis_period,IF(SUM($C650:AB650)&gt;0,AA313+1,0),0)</f>
        <v>0</v>
      </c>
      <c r="AC313" s="150">
        <f>IF(AC$2&lt;=analysis_period,IF(SUM($C650:AC650)&gt;0,AB313+1,0),0)</f>
        <v>0</v>
      </c>
      <c r="AD313" s="150">
        <f>IF(AD$2&lt;=analysis_period,IF(SUM($C650:AD650)&gt;0,AC313+1,0),0)</f>
        <v>0</v>
      </c>
      <c r="AE313" s="150">
        <f>IF(AE$2&lt;=analysis_period,IF(SUM($C650:AE650)&gt;0,AD313+1,0),0)</f>
        <v>0</v>
      </c>
      <c r="AF313" s="150">
        <f>IF(AF$2&lt;=analysis_period,IF(SUM($C650:AF650)&gt;0,AE313+1,0),0)</f>
        <v>0</v>
      </c>
      <c r="AG313" s="150">
        <f>IF(AG$2&lt;=analysis_period,IF(SUM($C650:AG650)&gt;0,AF313+1,0),0)</f>
        <v>0</v>
      </c>
      <c r="AH313" s="150">
        <f>IF(AH$2&lt;=analysis_period,IF(SUM($C650:AH650)&gt;0,AG313+1,0),0)</f>
        <v>0</v>
      </c>
      <c r="AI313" s="150">
        <f>IF(AI$2&lt;=analysis_period,IF(SUM($C650:AI650)&gt;0,AH313+1,0),0)</f>
        <v>0</v>
      </c>
      <c r="AJ313" s="150">
        <f>IF(AJ$2&lt;=analysis_period,IF(SUM($C650:AJ650)&gt;0,AI313+1,0),0)</f>
        <v>0</v>
      </c>
      <c r="AK313" s="150">
        <f>IF(AK$2&lt;=analysis_period,IF(SUM($C650:AK650)&gt;0,AJ313+1,0),0)</f>
        <v>0</v>
      </c>
      <c r="AL313" s="150">
        <f>IF(AL$2&lt;=analysis_period,IF(SUM($C650:AL650)&gt;0,AK313+1,0),0)</f>
        <v>0</v>
      </c>
      <c r="AM313" s="150">
        <f>IF(AM$2&lt;=analysis_period,IF(SUM($C650:AM650)&gt;0,AL313+1,0),0)</f>
        <v>0</v>
      </c>
      <c r="AN313" s="150">
        <f>IF(AN$2&lt;=analysis_period,IF(SUM($C650:AN650)&gt;0,AM313+1,0),0)</f>
        <v>0</v>
      </c>
      <c r="AO313" s="150">
        <f>IF(AO$2&lt;=analysis_period,IF(SUM($C650:AO650)&gt;0,AN313+1,0),0)</f>
        <v>0</v>
      </c>
      <c r="AP313" s="150">
        <f>IF(AP$2&lt;=analysis_period,IF(SUM($C650:AP650)&gt;0,AO313+1,0),0)</f>
        <v>0</v>
      </c>
    </row>
    <row r="314" spans="1:42" x14ac:dyDescent="0.2">
      <c r="A314" s="4">
        <f>A313+1</f>
        <v>2</v>
      </c>
      <c r="B314" s="4">
        <v>0</v>
      </c>
      <c r="C314" s="150">
        <f>IF(C$2&lt;=analysis_period,IF(SUM($C651:C651)&gt;0,B314+1,0),0)</f>
        <v>0</v>
      </c>
      <c r="D314" s="150">
        <f>IF(D$2&lt;=analysis_period,IF(SUM($C651:D651)&gt;0,C314+1,0),0)</f>
        <v>0</v>
      </c>
      <c r="E314" s="150">
        <f>IF(E$2&lt;=analysis_period,IF(SUM($C651:E651)&gt;0,D314+1,0),0)</f>
        <v>0</v>
      </c>
      <c r="F314" s="150">
        <f>IF(F$2&lt;=analysis_period,IF(SUM($C651:F651)&gt;0,E314+1,0),0)</f>
        <v>0</v>
      </c>
      <c r="G314" s="150">
        <f>IF(G$2&lt;=analysis_period,IF(SUM($C651:G651)&gt;0,F314+1,0),0)</f>
        <v>0</v>
      </c>
      <c r="H314" s="150">
        <f>IF(H$2&lt;=analysis_period,IF(SUM($C651:H651)&gt;0,G314+1,0),0)</f>
        <v>0</v>
      </c>
      <c r="I314" s="150">
        <f>IF(I$2&lt;=analysis_period,IF(SUM($C651:I651)&gt;0,H314+1,0),0)</f>
        <v>0</v>
      </c>
      <c r="J314" s="150">
        <f>IF(J$2&lt;=analysis_period,IF(SUM($C651:J651)&gt;0,I314+1,0),0)</f>
        <v>0</v>
      </c>
      <c r="K314" s="150">
        <f>IF(K$2&lt;=analysis_period,IF(SUM($C651:K651)&gt;0,J314+1,0),0)</f>
        <v>0</v>
      </c>
      <c r="L314" s="150">
        <f>IF(L$2&lt;=analysis_period,IF(SUM($C651:L651)&gt;0,K314+1,0),0)</f>
        <v>0</v>
      </c>
      <c r="M314" s="150">
        <f>IF(M$2&lt;=analysis_period,IF(SUM($C651:M651)&gt;0,L314+1,0),0)</f>
        <v>0</v>
      </c>
      <c r="N314" s="150">
        <f>IF(N$2&lt;=analysis_period,IF(SUM($C651:N651)&gt;0,M314+1,0),0)</f>
        <v>0</v>
      </c>
      <c r="O314" s="150">
        <f>IF(O$2&lt;=analysis_period,IF(SUM($C651:O651)&gt;0,N314+1,0),0)</f>
        <v>0</v>
      </c>
      <c r="P314" s="150">
        <f>IF(P$2&lt;=analysis_period,IF(SUM($C651:P651)&gt;0,O314+1,0),0)</f>
        <v>0</v>
      </c>
      <c r="Q314" s="150">
        <f>IF(Q$2&lt;=analysis_period,IF(SUM($C651:Q651)&gt;0,P314+1,0),0)</f>
        <v>0</v>
      </c>
      <c r="R314" s="150">
        <f>IF(R$2&lt;=analysis_period,IF(SUM($C651:R651)&gt;0,Q314+1,0),0)</f>
        <v>0</v>
      </c>
      <c r="S314" s="150">
        <f>IF(S$2&lt;=analysis_period,IF(SUM($C651:S651)&gt;0,R314+1,0),0)</f>
        <v>0</v>
      </c>
      <c r="T314" s="150">
        <f>IF(T$2&lt;=analysis_period,IF(SUM($C651:T651)&gt;0,S314+1,0),0)</f>
        <v>0</v>
      </c>
      <c r="U314" s="150">
        <f>IF(U$2&lt;=analysis_period,IF(SUM($C651:U651)&gt;0,T314+1,0),0)</f>
        <v>0</v>
      </c>
      <c r="V314" s="150">
        <f>IF(V$2&lt;=analysis_period,IF(SUM($C651:V651)&gt;0,U314+1,0),0)</f>
        <v>0</v>
      </c>
      <c r="W314" s="150">
        <f>IF(W$2&lt;=analysis_period,IF(SUM($C651:W651)&gt;0,V314+1,0),0)</f>
        <v>0</v>
      </c>
      <c r="X314" s="150">
        <f>IF(X$2&lt;=analysis_period,IF(SUM($C651:X651)&gt;0,W314+1,0),0)</f>
        <v>0</v>
      </c>
      <c r="Y314" s="150">
        <f>IF(Y$2&lt;=analysis_period,IF(SUM($C651:Y651)&gt;0,X314+1,0),0)</f>
        <v>0</v>
      </c>
      <c r="Z314" s="150">
        <f>IF(Z$2&lt;=analysis_period,IF(SUM($C651:Z651)&gt;0,Y314+1,0),0)</f>
        <v>0</v>
      </c>
      <c r="AA314" s="150">
        <f>IF(AA$2&lt;=analysis_period,IF(SUM($C651:AA651)&gt;0,Z314+1,0),0)</f>
        <v>0</v>
      </c>
      <c r="AB314" s="150">
        <f>IF(AB$2&lt;=analysis_period,IF(SUM($C651:AB651)&gt;0,AA314+1,0),0)</f>
        <v>0</v>
      </c>
      <c r="AC314" s="150">
        <f>IF(AC$2&lt;=analysis_period,IF(SUM($C651:AC651)&gt;0,AB314+1,0),0)</f>
        <v>0</v>
      </c>
      <c r="AD314" s="150">
        <f>IF(AD$2&lt;=analysis_period,IF(SUM($C651:AD651)&gt;0,AC314+1,0),0)</f>
        <v>0</v>
      </c>
      <c r="AE314" s="150">
        <f>IF(AE$2&lt;=analysis_period,IF(SUM($C651:AE651)&gt;0,AD314+1,0),0)</f>
        <v>0</v>
      </c>
      <c r="AF314" s="150">
        <f>IF(AF$2&lt;=analysis_period,IF(SUM($C651:AF651)&gt;0,AE314+1,0),0)</f>
        <v>0</v>
      </c>
      <c r="AG314" s="150">
        <f>IF(AG$2&lt;=analysis_period,IF(SUM($C651:AG651)&gt;0,AF314+1,0),0)</f>
        <v>0</v>
      </c>
      <c r="AH314" s="150">
        <f>IF(AH$2&lt;=analysis_period,IF(SUM($C651:AH651)&gt;0,AG314+1,0),0)</f>
        <v>0</v>
      </c>
      <c r="AI314" s="150">
        <f>IF(AI$2&lt;=analysis_period,IF(SUM($C651:AI651)&gt;0,AH314+1,0),0)</f>
        <v>0</v>
      </c>
      <c r="AJ314" s="150">
        <f>IF(AJ$2&lt;=analysis_period,IF(SUM($C651:AJ651)&gt;0,AI314+1,0),0)</f>
        <v>0</v>
      </c>
      <c r="AK314" s="150">
        <f>IF(AK$2&lt;=analysis_period,IF(SUM($C651:AK651)&gt;0,AJ314+1,0),0)</f>
        <v>0</v>
      </c>
      <c r="AL314" s="150">
        <f>IF(AL$2&lt;=analysis_period,IF(SUM($C651:AL651)&gt;0,AK314+1,0),0)</f>
        <v>0</v>
      </c>
      <c r="AM314" s="150">
        <f>IF(AM$2&lt;=analysis_period,IF(SUM($C651:AM651)&gt;0,AL314+1,0),0)</f>
        <v>0</v>
      </c>
      <c r="AN314" s="150">
        <f>IF(AN$2&lt;=analysis_period,IF(SUM($C651:AN651)&gt;0,AM314+1,0),0)</f>
        <v>0</v>
      </c>
      <c r="AO314" s="150">
        <f>IF(AO$2&lt;=analysis_period,IF(SUM($C651:AO651)&gt;0,AN314+1,0),0)</f>
        <v>0</v>
      </c>
      <c r="AP314" s="150">
        <f>IF(AP$2&lt;=analysis_period,IF(SUM($C651:AP651)&gt;0,AO314+1,0),0)</f>
        <v>0</v>
      </c>
    </row>
    <row r="315" spans="1:42" x14ac:dyDescent="0.2">
      <c r="A315" s="4">
        <f t="shared" ref="A315:A322" si="117">A314+1</f>
        <v>3</v>
      </c>
      <c r="B315" s="4">
        <v>0</v>
      </c>
      <c r="C315" s="150">
        <f>IF(C$2&lt;=analysis_period,IF(SUM($C652:C652)&gt;0,B315+1,0),0)</f>
        <v>0</v>
      </c>
      <c r="D315" s="150">
        <f>IF(D$2&lt;=analysis_period,IF(SUM($C652:D652)&gt;0,C315+1,0),0)</f>
        <v>0</v>
      </c>
      <c r="E315" s="150">
        <f>IF(E$2&lt;=analysis_period,IF(SUM($C652:E652)&gt;0,D315+1,0),0)</f>
        <v>0</v>
      </c>
      <c r="F315" s="150">
        <f>IF(F$2&lt;=analysis_period,IF(SUM($C652:F652)&gt;0,E315+1,0),0)</f>
        <v>0</v>
      </c>
      <c r="G315" s="150">
        <f>IF(G$2&lt;=analysis_period,IF(SUM($C652:G652)&gt;0,F315+1,0),0)</f>
        <v>0</v>
      </c>
      <c r="H315" s="150">
        <f>IF(H$2&lt;=analysis_period,IF(SUM($C652:H652)&gt;0,G315+1,0),0)</f>
        <v>0</v>
      </c>
      <c r="I315" s="150">
        <f>IF(I$2&lt;=analysis_period,IF(SUM($C652:I652)&gt;0,H315+1,0),0)</f>
        <v>0</v>
      </c>
      <c r="J315" s="150">
        <f>IF(J$2&lt;=analysis_period,IF(SUM($C652:J652)&gt;0,I315+1,0),0)</f>
        <v>0</v>
      </c>
      <c r="K315" s="150">
        <f>IF(K$2&lt;=analysis_period,IF(SUM($C652:K652)&gt;0,J315+1,0),0)</f>
        <v>0</v>
      </c>
      <c r="L315" s="150">
        <f>IF(L$2&lt;=analysis_period,IF(SUM($C652:L652)&gt;0,K315+1,0),0)</f>
        <v>0</v>
      </c>
      <c r="M315" s="150">
        <f>IF(M$2&lt;=analysis_period,IF(SUM($C652:M652)&gt;0,L315+1,0),0)</f>
        <v>0</v>
      </c>
      <c r="N315" s="150">
        <f>IF(N$2&lt;=analysis_period,IF(SUM($C652:N652)&gt;0,M315+1,0),0)</f>
        <v>0</v>
      </c>
      <c r="O315" s="150">
        <f>IF(O$2&lt;=analysis_period,IF(SUM($C652:O652)&gt;0,N315+1,0),0)</f>
        <v>0</v>
      </c>
      <c r="P315" s="150">
        <f>IF(P$2&lt;=analysis_period,IF(SUM($C652:P652)&gt;0,O315+1,0),0)</f>
        <v>0</v>
      </c>
      <c r="Q315" s="150">
        <f>IF(Q$2&lt;=analysis_period,IF(SUM($C652:Q652)&gt;0,P315+1,0),0)</f>
        <v>0</v>
      </c>
      <c r="R315" s="150">
        <f>IF(R$2&lt;=analysis_period,IF(SUM($C652:R652)&gt;0,Q315+1,0),0)</f>
        <v>0</v>
      </c>
      <c r="S315" s="150">
        <f>IF(S$2&lt;=analysis_period,IF(SUM($C652:S652)&gt;0,R315+1,0),0)</f>
        <v>0</v>
      </c>
      <c r="T315" s="150">
        <f>IF(T$2&lt;=analysis_period,IF(SUM($C652:T652)&gt;0,S315+1,0),0)</f>
        <v>0</v>
      </c>
      <c r="U315" s="150">
        <f>IF(U$2&lt;=analysis_period,IF(SUM($C652:U652)&gt;0,T315+1,0),0)</f>
        <v>0</v>
      </c>
      <c r="V315" s="150">
        <f>IF(V$2&lt;=analysis_period,IF(SUM($C652:V652)&gt;0,U315+1,0),0)</f>
        <v>0</v>
      </c>
      <c r="W315" s="150">
        <f>IF(W$2&lt;=analysis_period,IF(SUM($C652:W652)&gt;0,V315+1,0),0)</f>
        <v>0</v>
      </c>
      <c r="X315" s="150">
        <f>IF(X$2&lt;=analysis_period,IF(SUM($C652:X652)&gt;0,W315+1,0),0)</f>
        <v>0</v>
      </c>
      <c r="Y315" s="150">
        <f>IF(Y$2&lt;=analysis_period,IF(SUM($C652:Y652)&gt;0,X315+1,0),0)</f>
        <v>0</v>
      </c>
      <c r="Z315" s="150">
        <f>IF(Z$2&lt;=analysis_period,IF(SUM($C652:Z652)&gt;0,Y315+1,0),0)</f>
        <v>0</v>
      </c>
      <c r="AA315" s="150">
        <f>IF(AA$2&lt;=analysis_period,IF(SUM($C652:AA652)&gt;0,Z315+1,0),0)</f>
        <v>0</v>
      </c>
      <c r="AB315" s="150">
        <f>IF(AB$2&lt;=analysis_period,IF(SUM($C652:AB652)&gt;0,AA315+1,0),0)</f>
        <v>0</v>
      </c>
      <c r="AC315" s="150">
        <f>IF(AC$2&lt;=analysis_period,IF(SUM($C652:AC652)&gt;0,AB315+1,0),0)</f>
        <v>0</v>
      </c>
      <c r="AD315" s="150">
        <f>IF(AD$2&lt;=analysis_period,IF(SUM($C652:AD652)&gt;0,AC315+1,0),0)</f>
        <v>0</v>
      </c>
      <c r="AE315" s="150">
        <f>IF(AE$2&lt;=analysis_period,IF(SUM($C652:AE652)&gt;0,AD315+1,0),0)</f>
        <v>0</v>
      </c>
      <c r="AF315" s="150">
        <f>IF(AF$2&lt;=analysis_period,IF(SUM($C652:AF652)&gt;0,AE315+1,0),0)</f>
        <v>0</v>
      </c>
      <c r="AG315" s="150">
        <f>IF(AG$2&lt;=analysis_period,IF(SUM($C652:AG652)&gt;0,AF315+1,0),0)</f>
        <v>0</v>
      </c>
      <c r="AH315" s="150">
        <f>IF(AH$2&lt;=analysis_period,IF(SUM($C652:AH652)&gt;0,AG315+1,0),0)</f>
        <v>0</v>
      </c>
      <c r="AI315" s="150">
        <f>IF(AI$2&lt;=analysis_period,IF(SUM($C652:AI652)&gt;0,AH315+1,0),0)</f>
        <v>0</v>
      </c>
      <c r="AJ315" s="150">
        <f>IF(AJ$2&lt;=analysis_period,IF(SUM($C652:AJ652)&gt;0,AI315+1,0),0)</f>
        <v>0</v>
      </c>
      <c r="AK315" s="150">
        <f>IF(AK$2&lt;=analysis_period,IF(SUM($C652:AK652)&gt;0,AJ315+1,0),0)</f>
        <v>0</v>
      </c>
      <c r="AL315" s="150">
        <f>IF(AL$2&lt;=analysis_period,IF(SUM($C652:AL652)&gt;0,AK315+1,0),0)</f>
        <v>0</v>
      </c>
      <c r="AM315" s="150">
        <f>IF(AM$2&lt;=analysis_period,IF(SUM($C652:AM652)&gt;0,AL315+1,0),0)</f>
        <v>0</v>
      </c>
      <c r="AN315" s="150">
        <f>IF(AN$2&lt;=analysis_period,IF(SUM($C652:AN652)&gt;0,AM315+1,0),0)</f>
        <v>0</v>
      </c>
      <c r="AO315" s="150">
        <f>IF(AO$2&lt;=analysis_period,IF(SUM($C652:AO652)&gt;0,AN315+1,0),0)</f>
        <v>0</v>
      </c>
      <c r="AP315" s="150">
        <f>IF(AP$2&lt;=analysis_period,IF(SUM($C652:AP652)&gt;0,AO315+1,0),0)</f>
        <v>0</v>
      </c>
    </row>
    <row r="316" spans="1:42" x14ac:dyDescent="0.2">
      <c r="A316" s="4">
        <f t="shared" si="117"/>
        <v>4</v>
      </c>
      <c r="B316" s="4">
        <v>0</v>
      </c>
      <c r="C316" s="150">
        <f>IF(C$2&lt;=analysis_period,IF(SUM($C653:C653)&gt;0,B316+1,0),0)</f>
        <v>0</v>
      </c>
      <c r="D316" s="150">
        <f>IF(D$2&lt;=analysis_period,IF(SUM($C653:D653)&gt;0,C316+1,0),0)</f>
        <v>0</v>
      </c>
      <c r="E316" s="150">
        <f>IF(E$2&lt;=analysis_period,IF(SUM($C653:E653)&gt;0,D316+1,0),0)</f>
        <v>0</v>
      </c>
      <c r="F316" s="150">
        <f>IF(F$2&lt;=analysis_period,IF(SUM($C653:F653)&gt;0,E316+1,0),0)</f>
        <v>0</v>
      </c>
      <c r="G316" s="150">
        <f>IF(G$2&lt;=analysis_period,IF(SUM($C653:G653)&gt;0,F316+1,0),0)</f>
        <v>0</v>
      </c>
      <c r="H316" s="150">
        <f>IF(H$2&lt;=analysis_period,IF(SUM($C653:H653)&gt;0,G316+1,0),0)</f>
        <v>0</v>
      </c>
      <c r="I316" s="150">
        <f>IF(I$2&lt;=analysis_period,IF(SUM($C653:I653)&gt;0,H316+1,0),0)</f>
        <v>0</v>
      </c>
      <c r="J316" s="150">
        <f>IF(J$2&lt;=analysis_period,IF(SUM($C653:J653)&gt;0,I316+1,0),0)</f>
        <v>0</v>
      </c>
      <c r="K316" s="150">
        <f>IF(K$2&lt;=analysis_period,IF(SUM($C653:K653)&gt;0,J316+1,0),0)</f>
        <v>0</v>
      </c>
      <c r="L316" s="150">
        <f>IF(L$2&lt;=analysis_period,IF(SUM($C653:L653)&gt;0,K316+1,0),0)</f>
        <v>0</v>
      </c>
      <c r="M316" s="150">
        <f>IF(M$2&lt;=analysis_period,IF(SUM($C653:M653)&gt;0,L316+1,0),0)</f>
        <v>0</v>
      </c>
      <c r="N316" s="150">
        <f>IF(N$2&lt;=analysis_period,IF(SUM($C653:N653)&gt;0,M316+1,0),0)</f>
        <v>0</v>
      </c>
      <c r="O316" s="150">
        <f>IF(O$2&lt;=analysis_period,IF(SUM($C653:O653)&gt;0,N316+1,0),0)</f>
        <v>0</v>
      </c>
      <c r="P316" s="150">
        <f>IF(P$2&lt;=analysis_period,IF(SUM($C653:P653)&gt;0,O316+1,0),0)</f>
        <v>0</v>
      </c>
      <c r="Q316" s="150">
        <f>IF(Q$2&lt;=analysis_period,IF(SUM($C653:Q653)&gt;0,P316+1,0),0)</f>
        <v>0</v>
      </c>
      <c r="R316" s="150">
        <f>IF(R$2&lt;=analysis_period,IF(SUM($C653:R653)&gt;0,Q316+1,0),0)</f>
        <v>0</v>
      </c>
      <c r="S316" s="150">
        <f>IF(S$2&lt;=analysis_period,IF(SUM($C653:S653)&gt;0,R316+1,0),0)</f>
        <v>0</v>
      </c>
      <c r="T316" s="150">
        <f>IF(T$2&lt;=analysis_period,IF(SUM($C653:T653)&gt;0,S316+1,0),0)</f>
        <v>0</v>
      </c>
      <c r="U316" s="150">
        <f>IF(U$2&lt;=analysis_period,IF(SUM($C653:U653)&gt;0,T316+1,0),0)</f>
        <v>0</v>
      </c>
      <c r="V316" s="150">
        <f>IF(V$2&lt;=analysis_period,IF(SUM($C653:V653)&gt;0,U316+1,0),0)</f>
        <v>0</v>
      </c>
      <c r="W316" s="150">
        <f>IF(W$2&lt;=analysis_period,IF(SUM($C653:W653)&gt;0,V316+1,0),0)</f>
        <v>0</v>
      </c>
      <c r="X316" s="150">
        <f>IF(X$2&lt;=analysis_period,IF(SUM($C653:X653)&gt;0,W316+1,0),0)</f>
        <v>0</v>
      </c>
      <c r="Y316" s="150">
        <f>IF(Y$2&lt;=analysis_period,IF(SUM($C653:Y653)&gt;0,X316+1,0),0)</f>
        <v>0</v>
      </c>
      <c r="Z316" s="150">
        <f>IF(Z$2&lt;=analysis_period,IF(SUM($C653:Z653)&gt;0,Y316+1,0),0)</f>
        <v>0</v>
      </c>
      <c r="AA316" s="150">
        <f>IF(AA$2&lt;=analysis_period,IF(SUM($C653:AA653)&gt;0,Z316+1,0),0)</f>
        <v>0</v>
      </c>
      <c r="AB316" s="150">
        <f>IF(AB$2&lt;=analysis_period,IF(SUM($C653:AB653)&gt;0,AA316+1,0),0)</f>
        <v>0</v>
      </c>
      <c r="AC316" s="150">
        <f>IF(AC$2&lt;=analysis_period,IF(SUM($C653:AC653)&gt;0,AB316+1,0),0)</f>
        <v>0</v>
      </c>
      <c r="AD316" s="150">
        <f>IF(AD$2&lt;=analysis_period,IF(SUM($C653:AD653)&gt;0,AC316+1,0),0)</f>
        <v>0</v>
      </c>
      <c r="AE316" s="150">
        <f>IF(AE$2&lt;=analysis_period,IF(SUM($C653:AE653)&gt;0,AD316+1,0),0)</f>
        <v>0</v>
      </c>
      <c r="AF316" s="150">
        <f>IF(AF$2&lt;=analysis_period,IF(SUM($C653:AF653)&gt;0,AE316+1,0),0)</f>
        <v>0</v>
      </c>
      <c r="AG316" s="150">
        <f>IF(AG$2&lt;=analysis_period,IF(SUM($C653:AG653)&gt;0,AF316+1,0),0)</f>
        <v>0</v>
      </c>
      <c r="AH316" s="150">
        <f>IF(AH$2&lt;=analysis_period,IF(SUM($C653:AH653)&gt;0,AG316+1,0),0)</f>
        <v>0</v>
      </c>
      <c r="AI316" s="150">
        <f>IF(AI$2&lt;=analysis_period,IF(SUM($C653:AI653)&gt;0,AH316+1,0),0)</f>
        <v>0</v>
      </c>
      <c r="AJ316" s="150">
        <f>IF(AJ$2&lt;=analysis_period,IF(SUM($C653:AJ653)&gt;0,AI316+1,0),0)</f>
        <v>0</v>
      </c>
      <c r="AK316" s="150">
        <f>IF(AK$2&lt;=analysis_period,IF(SUM($C653:AK653)&gt;0,AJ316+1,0),0)</f>
        <v>0</v>
      </c>
      <c r="AL316" s="150">
        <f>IF(AL$2&lt;=analysis_period,IF(SUM($C653:AL653)&gt;0,AK316+1,0),0)</f>
        <v>0</v>
      </c>
      <c r="AM316" s="150">
        <f>IF(AM$2&lt;=analysis_period,IF(SUM($C653:AM653)&gt;0,AL316+1,0),0)</f>
        <v>0</v>
      </c>
      <c r="AN316" s="150">
        <f>IF(AN$2&lt;=analysis_period,IF(SUM($C653:AN653)&gt;0,AM316+1,0),0)</f>
        <v>0</v>
      </c>
      <c r="AO316" s="150">
        <f>IF(AO$2&lt;=analysis_period,IF(SUM($C653:AO653)&gt;0,AN316+1,0),0)</f>
        <v>0</v>
      </c>
      <c r="AP316" s="150">
        <f>IF(AP$2&lt;=analysis_period,IF(SUM($C653:AP653)&gt;0,AO316+1,0),0)</f>
        <v>0</v>
      </c>
    </row>
    <row r="317" spans="1:42" x14ac:dyDescent="0.2">
      <c r="A317" s="4">
        <f t="shared" si="117"/>
        <v>5</v>
      </c>
      <c r="B317" s="4">
        <v>0</v>
      </c>
      <c r="C317" s="150">
        <f>IF(C$2&lt;=analysis_period,IF(SUM($C654:C654)&gt;0,B317+1,0),0)</f>
        <v>0</v>
      </c>
      <c r="D317" s="150">
        <f>IF(D$2&lt;=analysis_period,IF(SUM($C654:D654)&gt;0,C317+1,0),0)</f>
        <v>0</v>
      </c>
      <c r="E317" s="150">
        <f>IF(E$2&lt;=analysis_period,IF(SUM($C654:E654)&gt;0,D317+1,0),0)</f>
        <v>0</v>
      </c>
      <c r="F317" s="150">
        <f>IF(F$2&lt;=analysis_period,IF(SUM($C654:F654)&gt;0,E317+1,0),0)</f>
        <v>0</v>
      </c>
      <c r="G317" s="150">
        <f>IF(G$2&lt;=analysis_period,IF(SUM($C654:G654)&gt;0,F317+1,0),0)</f>
        <v>0</v>
      </c>
      <c r="H317" s="150">
        <f>IF(H$2&lt;=analysis_period,IF(SUM($C654:H654)&gt;0,G317+1,0),0)</f>
        <v>0</v>
      </c>
      <c r="I317" s="150">
        <f>IF(I$2&lt;=analysis_period,IF(SUM($C654:I654)&gt;0,H317+1,0),0)</f>
        <v>0</v>
      </c>
      <c r="J317" s="150">
        <f>IF(J$2&lt;=analysis_period,IF(SUM($C654:J654)&gt;0,I317+1,0),0)</f>
        <v>0</v>
      </c>
      <c r="K317" s="150">
        <f>IF(K$2&lt;=analysis_period,IF(SUM($C654:K654)&gt;0,J317+1,0),0)</f>
        <v>0</v>
      </c>
      <c r="L317" s="150">
        <f>IF(L$2&lt;=analysis_period,IF(SUM($C654:L654)&gt;0,K317+1,0),0)</f>
        <v>0</v>
      </c>
      <c r="M317" s="150">
        <f>IF(M$2&lt;=analysis_period,IF(SUM($C654:M654)&gt;0,L317+1,0),0)</f>
        <v>0</v>
      </c>
      <c r="N317" s="150">
        <f>IF(N$2&lt;=analysis_period,IF(SUM($C654:N654)&gt;0,M317+1,0),0)</f>
        <v>0</v>
      </c>
      <c r="O317" s="150">
        <f>IF(O$2&lt;=analysis_period,IF(SUM($C654:O654)&gt;0,N317+1,0),0)</f>
        <v>0</v>
      </c>
      <c r="P317" s="150">
        <f>IF(P$2&lt;=analysis_period,IF(SUM($C654:P654)&gt;0,O317+1,0),0)</f>
        <v>0</v>
      </c>
      <c r="Q317" s="150">
        <f>IF(Q$2&lt;=analysis_period,IF(SUM($C654:Q654)&gt;0,P317+1,0),0)</f>
        <v>0</v>
      </c>
      <c r="R317" s="150">
        <f>IF(R$2&lt;=analysis_period,IF(SUM($C654:R654)&gt;0,Q317+1,0),0)</f>
        <v>0</v>
      </c>
      <c r="S317" s="150">
        <f>IF(S$2&lt;=analysis_period,IF(SUM($C654:S654)&gt;0,R317+1,0),0)</f>
        <v>0</v>
      </c>
      <c r="T317" s="150">
        <f>IF(T$2&lt;=analysis_period,IF(SUM($C654:T654)&gt;0,S317+1,0),0)</f>
        <v>0</v>
      </c>
      <c r="U317" s="150">
        <f>IF(U$2&lt;=analysis_period,IF(SUM($C654:U654)&gt;0,T317+1,0),0)</f>
        <v>0</v>
      </c>
      <c r="V317" s="150">
        <f>IF(V$2&lt;=analysis_period,IF(SUM($C654:V654)&gt;0,U317+1,0),0)</f>
        <v>0</v>
      </c>
      <c r="W317" s="150">
        <f>IF(W$2&lt;=analysis_period,IF(SUM($C654:W654)&gt;0,V317+1,0),0)</f>
        <v>0</v>
      </c>
      <c r="X317" s="150">
        <f>IF(X$2&lt;=analysis_period,IF(SUM($C654:X654)&gt;0,W317+1,0),0)</f>
        <v>0</v>
      </c>
      <c r="Y317" s="150">
        <f>IF(Y$2&lt;=analysis_period,IF(SUM($C654:Y654)&gt;0,X317+1,0),0)</f>
        <v>0</v>
      </c>
      <c r="Z317" s="150">
        <f>IF(Z$2&lt;=analysis_period,IF(SUM($C654:Z654)&gt;0,Y317+1,0),0)</f>
        <v>0</v>
      </c>
      <c r="AA317" s="150">
        <f>IF(AA$2&lt;=analysis_period,IF(SUM($C654:AA654)&gt;0,Z317+1,0),0)</f>
        <v>0</v>
      </c>
      <c r="AB317" s="150">
        <f>IF(AB$2&lt;=analysis_period,IF(SUM($C654:AB654)&gt;0,AA317+1,0),0)</f>
        <v>0</v>
      </c>
      <c r="AC317" s="150">
        <f>IF(AC$2&lt;=analysis_period,IF(SUM($C654:AC654)&gt;0,AB317+1,0),0)</f>
        <v>0</v>
      </c>
      <c r="AD317" s="150">
        <f>IF(AD$2&lt;=analysis_period,IF(SUM($C654:AD654)&gt;0,AC317+1,0),0)</f>
        <v>0</v>
      </c>
      <c r="AE317" s="150">
        <f>IF(AE$2&lt;=analysis_period,IF(SUM($C654:AE654)&gt;0,AD317+1,0),0)</f>
        <v>0</v>
      </c>
      <c r="AF317" s="150">
        <f>IF(AF$2&lt;=analysis_period,IF(SUM($C654:AF654)&gt;0,AE317+1,0),0)</f>
        <v>0</v>
      </c>
      <c r="AG317" s="150">
        <f>IF(AG$2&lt;=analysis_period,IF(SUM($C654:AG654)&gt;0,AF317+1,0),0)</f>
        <v>0</v>
      </c>
      <c r="AH317" s="150">
        <f>IF(AH$2&lt;=analysis_period,IF(SUM($C654:AH654)&gt;0,AG317+1,0),0)</f>
        <v>0</v>
      </c>
      <c r="AI317" s="150">
        <f>IF(AI$2&lt;=analysis_period,IF(SUM($C654:AI654)&gt;0,AH317+1,0),0)</f>
        <v>0</v>
      </c>
      <c r="AJ317" s="150">
        <f>IF(AJ$2&lt;=analysis_period,IF(SUM($C654:AJ654)&gt;0,AI317+1,0),0)</f>
        <v>0</v>
      </c>
      <c r="AK317" s="150">
        <f>IF(AK$2&lt;=analysis_period,IF(SUM($C654:AK654)&gt;0,AJ317+1,0),0)</f>
        <v>0</v>
      </c>
      <c r="AL317" s="150">
        <f>IF(AL$2&lt;=analysis_period,IF(SUM($C654:AL654)&gt;0,AK317+1,0),0)</f>
        <v>0</v>
      </c>
      <c r="AM317" s="150">
        <f>IF(AM$2&lt;=analysis_period,IF(SUM($C654:AM654)&gt;0,AL317+1,0),0)</f>
        <v>0</v>
      </c>
      <c r="AN317" s="150">
        <f>IF(AN$2&lt;=analysis_period,IF(SUM($C654:AN654)&gt;0,AM317+1,0),0)</f>
        <v>0</v>
      </c>
      <c r="AO317" s="150">
        <f>IF(AO$2&lt;=analysis_period,IF(SUM($C654:AO654)&gt;0,AN317+1,0),0)</f>
        <v>0</v>
      </c>
      <c r="AP317" s="150">
        <f>IF(AP$2&lt;=analysis_period,IF(SUM($C654:AP654)&gt;0,AO317+1,0),0)</f>
        <v>0</v>
      </c>
    </row>
    <row r="318" spans="1:42" x14ac:dyDescent="0.2">
      <c r="A318" s="4">
        <f t="shared" si="117"/>
        <v>6</v>
      </c>
      <c r="B318" s="4">
        <v>0</v>
      </c>
      <c r="C318" s="150">
        <f>IF(C$2&lt;=analysis_period,IF(SUM($C655:C655)&gt;0,B318+1,0),0)</f>
        <v>0</v>
      </c>
      <c r="D318" s="150">
        <f>IF(D$2&lt;=analysis_period,IF(SUM($C655:D655)&gt;0,C318+1,0),0)</f>
        <v>0</v>
      </c>
      <c r="E318" s="150">
        <f>IF(E$2&lt;=analysis_period,IF(SUM($C655:E655)&gt;0,D318+1,0),0)</f>
        <v>0</v>
      </c>
      <c r="F318" s="150">
        <f>IF(F$2&lt;=analysis_period,IF(SUM($C655:F655)&gt;0,E318+1,0),0)</f>
        <v>0</v>
      </c>
      <c r="G318" s="150">
        <f>IF(G$2&lt;=analysis_period,IF(SUM($C655:G655)&gt;0,F318+1,0),0)</f>
        <v>0</v>
      </c>
      <c r="H318" s="150">
        <f>IF(H$2&lt;=analysis_period,IF(SUM($C655:H655)&gt;0,G318+1,0),0)</f>
        <v>0</v>
      </c>
      <c r="I318" s="150">
        <f>IF(I$2&lt;=analysis_period,IF(SUM($C655:I655)&gt;0,H318+1,0),0)</f>
        <v>0</v>
      </c>
      <c r="J318" s="150">
        <f>IF(J$2&lt;=analysis_period,IF(SUM($C655:J655)&gt;0,I318+1,0),0)</f>
        <v>0</v>
      </c>
      <c r="K318" s="150">
        <f>IF(K$2&lt;=analysis_period,IF(SUM($C655:K655)&gt;0,J318+1,0),0)</f>
        <v>0</v>
      </c>
      <c r="L318" s="150">
        <f>IF(L$2&lt;=analysis_period,IF(SUM($C655:L655)&gt;0,K318+1,0),0)</f>
        <v>0</v>
      </c>
      <c r="M318" s="150">
        <f>IF(M$2&lt;=analysis_period,IF(SUM($C655:M655)&gt;0,L318+1,0),0)</f>
        <v>0</v>
      </c>
      <c r="N318" s="150">
        <f>IF(N$2&lt;=analysis_period,IF(SUM($C655:N655)&gt;0,M318+1,0),0)</f>
        <v>0</v>
      </c>
      <c r="O318" s="150">
        <f>IF(O$2&lt;=analysis_period,IF(SUM($C655:O655)&gt;0,N318+1,0),0)</f>
        <v>0</v>
      </c>
      <c r="P318" s="150">
        <f>IF(P$2&lt;=analysis_period,IF(SUM($C655:P655)&gt;0,O318+1,0),0)</f>
        <v>0</v>
      </c>
      <c r="Q318" s="150">
        <f>IF(Q$2&lt;=analysis_period,IF(SUM($C655:Q655)&gt;0,P318+1,0),0)</f>
        <v>0</v>
      </c>
      <c r="R318" s="150">
        <f>IF(R$2&lt;=analysis_period,IF(SUM($C655:R655)&gt;0,Q318+1,0),0)</f>
        <v>0</v>
      </c>
      <c r="S318" s="150">
        <f>IF(S$2&lt;=analysis_period,IF(SUM($C655:S655)&gt;0,R318+1,0),0)</f>
        <v>0</v>
      </c>
      <c r="T318" s="150">
        <f>IF(T$2&lt;=analysis_period,IF(SUM($C655:T655)&gt;0,S318+1,0),0)</f>
        <v>0</v>
      </c>
      <c r="U318" s="150">
        <f>IF(U$2&lt;=analysis_period,IF(SUM($C655:U655)&gt;0,T318+1,0),0)</f>
        <v>0</v>
      </c>
      <c r="V318" s="150">
        <f>IF(V$2&lt;=analysis_period,IF(SUM($C655:V655)&gt;0,U318+1,0),0)</f>
        <v>0</v>
      </c>
      <c r="W318" s="150">
        <f>IF(W$2&lt;=analysis_period,IF(SUM($C655:W655)&gt;0,V318+1,0),0)</f>
        <v>0</v>
      </c>
      <c r="X318" s="150">
        <f>IF(X$2&lt;=analysis_period,IF(SUM($C655:X655)&gt;0,W318+1,0),0)</f>
        <v>0</v>
      </c>
      <c r="Y318" s="150">
        <f>IF(Y$2&lt;=analysis_period,IF(SUM($C655:Y655)&gt;0,X318+1,0),0)</f>
        <v>0</v>
      </c>
      <c r="Z318" s="150">
        <f>IF(Z$2&lt;=analysis_period,IF(SUM($C655:Z655)&gt;0,Y318+1,0),0)</f>
        <v>0</v>
      </c>
      <c r="AA318" s="150">
        <f>IF(AA$2&lt;=analysis_period,IF(SUM($C655:AA655)&gt;0,Z318+1,0),0)</f>
        <v>0</v>
      </c>
      <c r="AB318" s="150">
        <f>IF(AB$2&lt;=analysis_period,IF(SUM($C655:AB655)&gt;0,AA318+1,0),0)</f>
        <v>0</v>
      </c>
      <c r="AC318" s="150">
        <f>IF(AC$2&lt;=analysis_period,IF(SUM($C655:AC655)&gt;0,AB318+1,0),0)</f>
        <v>0</v>
      </c>
      <c r="AD318" s="150">
        <f>IF(AD$2&lt;=analysis_period,IF(SUM($C655:AD655)&gt;0,AC318+1,0),0)</f>
        <v>0</v>
      </c>
      <c r="AE318" s="150">
        <f>IF(AE$2&lt;=analysis_period,IF(SUM($C655:AE655)&gt;0,AD318+1,0),0)</f>
        <v>0</v>
      </c>
      <c r="AF318" s="150">
        <f>IF(AF$2&lt;=analysis_period,IF(SUM($C655:AF655)&gt;0,AE318+1,0),0)</f>
        <v>0</v>
      </c>
      <c r="AG318" s="150">
        <f>IF(AG$2&lt;=analysis_period,IF(SUM($C655:AG655)&gt;0,AF318+1,0),0)</f>
        <v>0</v>
      </c>
      <c r="AH318" s="150">
        <f>IF(AH$2&lt;=analysis_period,IF(SUM($C655:AH655)&gt;0,AG318+1,0),0)</f>
        <v>0</v>
      </c>
      <c r="AI318" s="150">
        <f>IF(AI$2&lt;=analysis_period,IF(SUM($C655:AI655)&gt;0,AH318+1,0),0)</f>
        <v>0</v>
      </c>
      <c r="AJ318" s="150">
        <f>IF(AJ$2&lt;=analysis_period,IF(SUM($C655:AJ655)&gt;0,AI318+1,0),0)</f>
        <v>0</v>
      </c>
      <c r="AK318" s="150">
        <f>IF(AK$2&lt;=analysis_period,IF(SUM($C655:AK655)&gt;0,AJ318+1,0),0)</f>
        <v>0</v>
      </c>
      <c r="AL318" s="150">
        <f>IF(AL$2&lt;=analysis_period,IF(SUM($C655:AL655)&gt;0,AK318+1,0),0)</f>
        <v>0</v>
      </c>
      <c r="AM318" s="150">
        <f>IF(AM$2&lt;=analysis_period,IF(SUM($C655:AM655)&gt;0,AL318+1,0),0)</f>
        <v>0</v>
      </c>
      <c r="AN318" s="150">
        <f>IF(AN$2&lt;=analysis_period,IF(SUM($C655:AN655)&gt;0,AM318+1,0),0)</f>
        <v>0</v>
      </c>
      <c r="AO318" s="150">
        <f>IF(AO$2&lt;=analysis_period,IF(SUM($C655:AO655)&gt;0,AN318+1,0),0)</f>
        <v>0</v>
      </c>
      <c r="AP318" s="150">
        <f>IF(AP$2&lt;=analysis_period,IF(SUM($C655:AP655)&gt;0,AO318+1,0),0)</f>
        <v>0</v>
      </c>
    </row>
    <row r="319" spans="1:42" x14ac:dyDescent="0.2">
      <c r="A319" s="4">
        <f t="shared" si="117"/>
        <v>7</v>
      </c>
      <c r="B319" s="4">
        <v>0</v>
      </c>
      <c r="C319" s="150">
        <f>IF(C$2&lt;=analysis_period,IF(SUM($C656:C656)&gt;0,B319+1,0),0)</f>
        <v>0</v>
      </c>
      <c r="D319" s="150">
        <f>IF(D$2&lt;=analysis_period,IF(SUM($C656:D656)&gt;0,C319+1,0),0)</f>
        <v>0</v>
      </c>
      <c r="E319" s="150">
        <f>IF(E$2&lt;=analysis_period,IF(SUM($C656:E656)&gt;0,D319+1,0),0)</f>
        <v>0</v>
      </c>
      <c r="F319" s="150">
        <f>IF(F$2&lt;=analysis_period,IF(SUM($C656:F656)&gt;0,E319+1,0),0)</f>
        <v>0</v>
      </c>
      <c r="G319" s="150">
        <f>IF(G$2&lt;=analysis_period,IF(SUM($C656:G656)&gt;0,F319+1,0),0)</f>
        <v>0</v>
      </c>
      <c r="H319" s="150">
        <f>IF(H$2&lt;=analysis_period,IF(SUM($C656:H656)&gt;0,G319+1,0),0)</f>
        <v>0</v>
      </c>
      <c r="I319" s="150">
        <f>IF(I$2&lt;=analysis_period,IF(SUM($C656:I656)&gt;0,H319+1,0),0)</f>
        <v>0</v>
      </c>
      <c r="J319" s="150">
        <f>IF(J$2&lt;=analysis_period,IF(SUM($C656:J656)&gt;0,I319+1,0),0)</f>
        <v>0</v>
      </c>
      <c r="K319" s="150">
        <f>IF(K$2&lt;=analysis_period,IF(SUM($C656:K656)&gt;0,J319+1,0),0)</f>
        <v>0</v>
      </c>
      <c r="L319" s="150">
        <f>IF(L$2&lt;=analysis_period,IF(SUM($C656:L656)&gt;0,K319+1,0),0)</f>
        <v>0</v>
      </c>
      <c r="M319" s="150">
        <f>IF(M$2&lt;=analysis_period,IF(SUM($C656:M656)&gt;0,L319+1,0),0)</f>
        <v>0</v>
      </c>
      <c r="N319" s="150">
        <f>IF(N$2&lt;=analysis_period,IF(SUM($C656:N656)&gt;0,M319+1,0),0)</f>
        <v>0</v>
      </c>
      <c r="O319" s="150">
        <f>IF(O$2&lt;=analysis_period,IF(SUM($C656:O656)&gt;0,N319+1,0),0)</f>
        <v>0</v>
      </c>
      <c r="P319" s="150">
        <f>IF(P$2&lt;=analysis_period,IF(SUM($C656:P656)&gt;0,O319+1,0),0)</f>
        <v>0</v>
      </c>
      <c r="Q319" s="150">
        <f>IF(Q$2&lt;=analysis_period,IF(SUM($C656:Q656)&gt;0,P319+1,0),0)</f>
        <v>0</v>
      </c>
      <c r="R319" s="150">
        <f>IF(R$2&lt;=analysis_period,IF(SUM($C656:R656)&gt;0,Q319+1,0),0)</f>
        <v>0</v>
      </c>
      <c r="S319" s="150">
        <f>IF(S$2&lt;=analysis_period,IF(SUM($C656:S656)&gt;0,R319+1,0),0)</f>
        <v>0</v>
      </c>
      <c r="T319" s="150">
        <f>IF(T$2&lt;=analysis_period,IF(SUM($C656:T656)&gt;0,S319+1,0),0)</f>
        <v>0</v>
      </c>
      <c r="U319" s="150">
        <f>IF(U$2&lt;=analysis_period,IF(SUM($C656:U656)&gt;0,T319+1,0),0)</f>
        <v>0</v>
      </c>
      <c r="V319" s="150">
        <f>IF(V$2&lt;=analysis_period,IF(SUM($C656:V656)&gt;0,U319+1,0),0)</f>
        <v>0</v>
      </c>
      <c r="W319" s="150">
        <f>IF(W$2&lt;=analysis_period,IF(SUM($C656:W656)&gt;0,V319+1,0),0)</f>
        <v>0</v>
      </c>
      <c r="X319" s="150">
        <f>IF(X$2&lt;=analysis_period,IF(SUM($C656:X656)&gt;0,W319+1,0),0)</f>
        <v>0</v>
      </c>
      <c r="Y319" s="150">
        <f>IF(Y$2&lt;=analysis_period,IF(SUM($C656:Y656)&gt;0,X319+1,0),0)</f>
        <v>0</v>
      </c>
      <c r="Z319" s="150">
        <f>IF(Z$2&lt;=analysis_period,IF(SUM($C656:Z656)&gt;0,Y319+1,0),0)</f>
        <v>0</v>
      </c>
      <c r="AA319" s="150">
        <f>IF(AA$2&lt;=analysis_period,IF(SUM($C656:AA656)&gt;0,Z319+1,0),0)</f>
        <v>0</v>
      </c>
      <c r="AB319" s="150">
        <f>IF(AB$2&lt;=analysis_period,IF(SUM($C656:AB656)&gt;0,AA319+1,0),0)</f>
        <v>0</v>
      </c>
      <c r="AC319" s="150">
        <f>IF(AC$2&lt;=analysis_period,IF(SUM($C656:AC656)&gt;0,AB319+1,0),0)</f>
        <v>0</v>
      </c>
      <c r="AD319" s="150">
        <f>IF(AD$2&lt;=analysis_period,IF(SUM($C656:AD656)&gt;0,AC319+1,0),0)</f>
        <v>0</v>
      </c>
      <c r="AE319" s="150">
        <f>IF(AE$2&lt;=analysis_period,IF(SUM($C656:AE656)&gt;0,AD319+1,0),0)</f>
        <v>0</v>
      </c>
      <c r="AF319" s="150">
        <f>IF(AF$2&lt;=analysis_period,IF(SUM($C656:AF656)&gt;0,AE319+1,0),0)</f>
        <v>0</v>
      </c>
      <c r="AG319" s="150">
        <f>IF(AG$2&lt;=analysis_period,IF(SUM($C656:AG656)&gt;0,AF319+1,0),0)</f>
        <v>0</v>
      </c>
      <c r="AH319" s="150">
        <f>IF(AH$2&lt;=analysis_period,IF(SUM($C656:AH656)&gt;0,AG319+1,0),0)</f>
        <v>0</v>
      </c>
      <c r="AI319" s="150">
        <f>IF(AI$2&lt;=analysis_period,IF(SUM($C656:AI656)&gt;0,AH319+1,0),0)</f>
        <v>0</v>
      </c>
      <c r="AJ319" s="150">
        <f>IF(AJ$2&lt;=analysis_period,IF(SUM($C656:AJ656)&gt;0,AI319+1,0),0)</f>
        <v>0</v>
      </c>
      <c r="AK319" s="150">
        <f>IF(AK$2&lt;=analysis_period,IF(SUM($C656:AK656)&gt;0,AJ319+1,0),0)</f>
        <v>0</v>
      </c>
      <c r="AL319" s="150">
        <f>IF(AL$2&lt;=analysis_period,IF(SUM($C656:AL656)&gt;0,AK319+1,0),0)</f>
        <v>0</v>
      </c>
      <c r="AM319" s="150">
        <f>IF(AM$2&lt;=analysis_period,IF(SUM($C656:AM656)&gt;0,AL319+1,0),0)</f>
        <v>0</v>
      </c>
      <c r="AN319" s="150">
        <f>IF(AN$2&lt;=analysis_period,IF(SUM($C656:AN656)&gt;0,AM319+1,0),0)</f>
        <v>0</v>
      </c>
      <c r="AO319" s="150">
        <f>IF(AO$2&lt;=analysis_period,IF(SUM($C656:AO656)&gt;0,AN319+1,0),0)</f>
        <v>0</v>
      </c>
      <c r="AP319" s="150">
        <f>IF(AP$2&lt;=analysis_period,IF(SUM($C656:AP656)&gt;0,AO319+1,0),0)</f>
        <v>0</v>
      </c>
    </row>
    <row r="320" spans="1:42" x14ac:dyDescent="0.2">
      <c r="A320" s="4">
        <f t="shared" si="117"/>
        <v>8</v>
      </c>
      <c r="B320" s="4">
        <v>0</v>
      </c>
      <c r="C320" s="150">
        <f>IF(C$2&lt;=analysis_period,IF(SUM($C657:C657)&gt;0,B320+1,0),0)</f>
        <v>0</v>
      </c>
      <c r="D320" s="150">
        <f>IF(D$2&lt;=analysis_period,IF(SUM($C657:D657)&gt;0,C320+1,0),0)</f>
        <v>0</v>
      </c>
      <c r="E320" s="150">
        <f>IF(E$2&lt;=analysis_period,IF(SUM($C657:E657)&gt;0,D320+1,0),0)</f>
        <v>0</v>
      </c>
      <c r="F320" s="150">
        <f>IF(F$2&lt;=analysis_period,IF(SUM($C657:F657)&gt;0,E320+1,0),0)</f>
        <v>0</v>
      </c>
      <c r="G320" s="150">
        <f>IF(G$2&lt;=analysis_period,IF(SUM($C657:G657)&gt;0,F320+1,0),0)</f>
        <v>0</v>
      </c>
      <c r="H320" s="150">
        <f>IF(H$2&lt;=analysis_period,IF(SUM($C657:H657)&gt;0,G320+1,0),0)</f>
        <v>0</v>
      </c>
      <c r="I320" s="150">
        <f>IF(I$2&lt;=analysis_period,IF(SUM($C657:I657)&gt;0,H320+1,0),0)</f>
        <v>0</v>
      </c>
      <c r="J320" s="150">
        <f>IF(J$2&lt;=analysis_period,IF(SUM($C657:J657)&gt;0,I320+1,0),0)</f>
        <v>0</v>
      </c>
      <c r="K320" s="150">
        <f>IF(K$2&lt;=analysis_period,IF(SUM($C657:K657)&gt;0,J320+1,0),0)</f>
        <v>0</v>
      </c>
      <c r="L320" s="150">
        <f>IF(L$2&lt;=analysis_period,IF(SUM($C657:L657)&gt;0,K320+1,0),0)</f>
        <v>0</v>
      </c>
      <c r="M320" s="150">
        <f>IF(M$2&lt;=analysis_period,IF(SUM($C657:M657)&gt;0,L320+1,0),0)</f>
        <v>0</v>
      </c>
      <c r="N320" s="150">
        <f>IF(N$2&lt;=analysis_period,IF(SUM($C657:N657)&gt;0,M320+1,0),0)</f>
        <v>0</v>
      </c>
      <c r="O320" s="150">
        <f>IF(O$2&lt;=analysis_period,IF(SUM($C657:O657)&gt;0,N320+1,0),0)</f>
        <v>0</v>
      </c>
      <c r="P320" s="150">
        <f>IF(P$2&lt;=analysis_period,IF(SUM($C657:P657)&gt;0,O320+1,0),0)</f>
        <v>0</v>
      </c>
      <c r="Q320" s="150">
        <f>IF(Q$2&lt;=analysis_period,IF(SUM($C657:Q657)&gt;0,P320+1,0),0)</f>
        <v>0</v>
      </c>
      <c r="R320" s="150">
        <f>IF(R$2&lt;=analysis_period,IF(SUM($C657:R657)&gt;0,Q320+1,0),0)</f>
        <v>0</v>
      </c>
      <c r="S320" s="150">
        <f>IF(S$2&lt;=analysis_period,IF(SUM($C657:S657)&gt;0,R320+1,0),0)</f>
        <v>0</v>
      </c>
      <c r="T320" s="150">
        <f>IF(T$2&lt;=analysis_period,IF(SUM($C657:T657)&gt;0,S320+1,0),0)</f>
        <v>0</v>
      </c>
      <c r="U320" s="150">
        <f>IF(U$2&lt;=analysis_period,IF(SUM($C657:U657)&gt;0,T320+1,0),0)</f>
        <v>0</v>
      </c>
      <c r="V320" s="150">
        <f>IF(V$2&lt;=analysis_period,IF(SUM($C657:V657)&gt;0,U320+1,0),0)</f>
        <v>0</v>
      </c>
      <c r="W320" s="150">
        <f>IF(W$2&lt;=analysis_period,IF(SUM($C657:W657)&gt;0,V320+1,0),0)</f>
        <v>0</v>
      </c>
      <c r="X320" s="150">
        <f>IF(X$2&lt;=analysis_period,IF(SUM($C657:X657)&gt;0,W320+1,0),0)</f>
        <v>0</v>
      </c>
      <c r="Y320" s="150">
        <f>IF(Y$2&lt;=analysis_period,IF(SUM($C657:Y657)&gt;0,X320+1,0),0)</f>
        <v>0</v>
      </c>
      <c r="Z320" s="150">
        <f>IF(Z$2&lt;=analysis_period,IF(SUM($C657:Z657)&gt;0,Y320+1,0),0)</f>
        <v>0</v>
      </c>
      <c r="AA320" s="150">
        <f>IF(AA$2&lt;=analysis_period,IF(SUM($C657:AA657)&gt;0,Z320+1,0),0)</f>
        <v>0</v>
      </c>
      <c r="AB320" s="150">
        <f>IF(AB$2&lt;=analysis_period,IF(SUM($C657:AB657)&gt;0,AA320+1,0),0)</f>
        <v>0</v>
      </c>
      <c r="AC320" s="150">
        <f>IF(AC$2&lt;=analysis_period,IF(SUM($C657:AC657)&gt;0,AB320+1,0),0)</f>
        <v>0</v>
      </c>
      <c r="AD320" s="150">
        <f>IF(AD$2&lt;=analysis_period,IF(SUM($C657:AD657)&gt;0,AC320+1,0),0)</f>
        <v>0</v>
      </c>
      <c r="AE320" s="150">
        <f>IF(AE$2&lt;=analysis_period,IF(SUM($C657:AE657)&gt;0,AD320+1,0),0)</f>
        <v>0</v>
      </c>
      <c r="AF320" s="150">
        <f>IF(AF$2&lt;=analysis_period,IF(SUM($C657:AF657)&gt;0,AE320+1,0),0)</f>
        <v>0</v>
      </c>
      <c r="AG320" s="150">
        <f>IF(AG$2&lt;=analysis_period,IF(SUM($C657:AG657)&gt;0,AF320+1,0),0)</f>
        <v>0</v>
      </c>
      <c r="AH320" s="150">
        <f>IF(AH$2&lt;=analysis_period,IF(SUM($C657:AH657)&gt;0,AG320+1,0),0)</f>
        <v>0</v>
      </c>
      <c r="AI320" s="150">
        <f>IF(AI$2&lt;=analysis_period,IF(SUM($C657:AI657)&gt;0,AH320+1,0),0)</f>
        <v>0</v>
      </c>
      <c r="AJ320" s="150">
        <f>IF(AJ$2&lt;=analysis_period,IF(SUM($C657:AJ657)&gt;0,AI320+1,0),0)</f>
        <v>0</v>
      </c>
      <c r="AK320" s="150">
        <f>IF(AK$2&lt;=analysis_period,IF(SUM($C657:AK657)&gt;0,AJ320+1,0),0)</f>
        <v>0</v>
      </c>
      <c r="AL320" s="150">
        <f>IF(AL$2&lt;=analysis_period,IF(SUM($C657:AL657)&gt;0,AK320+1,0),0)</f>
        <v>0</v>
      </c>
      <c r="AM320" s="150">
        <f>IF(AM$2&lt;=analysis_period,IF(SUM($C657:AM657)&gt;0,AL320+1,0),0)</f>
        <v>0</v>
      </c>
      <c r="AN320" s="150">
        <f>IF(AN$2&lt;=analysis_period,IF(SUM($C657:AN657)&gt;0,AM320+1,0),0)</f>
        <v>0</v>
      </c>
      <c r="AO320" s="150">
        <f>IF(AO$2&lt;=analysis_period,IF(SUM($C657:AO657)&gt;0,AN320+1,0),0)</f>
        <v>0</v>
      </c>
      <c r="AP320" s="150">
        <f>IF(AP$2&lt;=analysis_period,IF(SUM($C657:AP657)&gt;0,AO320+1,0),0)</f>
        <v>0</v>
      </c>
    </row>
    <row r="321" spans="1:42" x14ac:dyDescent="0.2">
      <c r="A321" s="4">
        <f>A320+1</f>
        <v>9</v>
      </c>
      <c r="B321" s="4">
        <v>0</v>
      </c>
      <c r="C321" s="150">
        <f>IF(C$2&lt;=analysis_period,IF(SUM($C658:C658)&gt;0,B321+1,0),0)</f>
        <v>0</v>
      </c>
      <c r="D321" s="150">
        <f>IF(D$2&lt;=analysis_period,IF(SUM($C658:D658)&gt;0,C321+1,0),0)</f>
        <v>0</v>
      </c>
      <c r="E321" s="150">
        <f>IF(E$2&lt;=analysis_period,IF(SUM($C658:E658)&gt;0,D321+1,0),0)</f>
        <v>0</v>
      </c>
      <c r="F321" s="150">
        <f>IF(F$2&lt;=analysis_period,IF(SUM($C658:F658)&gt;0,E321+1,0),0)</f>
        <v>0</v>
      </c>
      <c r="G321" s="150">
        <f>IF(G$2&lt;=analysis_period,IF(SUM($C658:G658)&gt;0,F321+1,0),0)</f>
        <v>0</v>
      </c>
      <c r="H321" s="150">
        <f>IF(H$2&lt;=analysis_period,IF(SUM($C658:H658)&gt;0,G321+1,0),0)</f>
        <v>0</v>
      </c>
      <c r="I321" s="150">
        <f>IF(I$2&lt;=analysis_period,IF(SUM($C658:I658)&gt;0,H321+1,0),0)</f>
        <v>0</v>
      </c>
      <c r="J321" s="150">
        <f>IF(J$2&lt;=analysis_period,IF(SUM($C658:J658)&gt;0,I321+1,0),0)</f>
        <v>0</v>
      </c>
      <c r="K321" s="150">
        <f>IF(K$2&lt;=analysis_period,IF(SUM($C658:K658)&gt;0,J321+1,0),0)</f>
        <v>0</v>
      </c>
      <c r="L321" s="150">
        <f>IF(L$2&lt;=analysis_period,IF(SUM($C658:L658)&gt;0,K321+1,0),0)</f>
        <v>0</v>
      </c>
      <c r="M321" s="150">
        <f>IF(M$2&lt;=analysis_period,IF(SUM($C658:M658)&gt;0,L321+1,0),0)</f>
        <v>0</v>
      </c>
      <c r="N321" s="150">
        <f>IF(N$2&lt;=analysis_period,IF(SUM($C658:N658)&gt;0,M321+1,0),0)</f>
        <v>0</v>
      </c>
      <c r="O321" s="150">
        <f>IF(O$2&lt;=analysis_period,IF(SUM($C658:O658)&gt;0,N321+1,0),0)</f>
        <v>0</v>
      </c>
      <c r="P321" s="150">
        <f>IF(P$2&lt;=analysis_period,IF(SUM($C658:P658)&gt;0,O321+1,0),0)</f>
        <v>0</v>
      </c>
      <c r="Q321" s="150">
        <f>IF(Q$2&lt;=analysis_period,IF(SUM($C658:Q658)&gt;0,P321+1,0),0)</f>
        <v>0</v>
      </c>
      <c r="R321" s="150">
        <f>IF(R$2&lt;=analysis_period,IF(SUM($C658:R658)&gt;0,Q321+1,0),0)</f>
        <v>0</v>
      </c>
      <c r="S321" s="150">
        <f>IF(S$2&lt;=analysis_period,IF(SUM($C658:S658)&gt;0,R321+1,0),0)</f>
        <v>0</v>
      </c>
      <c r="T321" s="150">
        <f>IF(T$2&lt;=analysis_period,IF(SUM($C658:T658)&gt;0,S321+1,0),0)</f>
        <v>0</v>
      </c>
      <c r="U321" s="150">
        <f>IF(U$2&lt;=analysis_period,IF(SUM($C658:U658)&gt;0,T321+1,0),0)</f>
        <v>0</v>
      </c>
      <c r="V321" s="150">
        <f>IF(V$2&lt;=analysis_period,IF(SUM($C658:V658)&gt;0,U321+1,0),0)</f>
        <v>0</v>
      </c>
      <c r="W321" s="150">
        <f>IF(W$2&lt;=analysis_period,IF(SUM($C658:W658)&gt;0,V321+1,0),0)</f>
        <v>0</v>
      </c>
      <c r="X321" s="150">
        <f>IF(X$2&lt;=analysis_period,IF(SUM($C658:X658)&gt;0,W321+1,0),0)</f>
        <v>0</v>
      </c>
      <c r="Y321" s="150">
        <f>IF(Y$2&lt;=analysis_period,IF(SUM($C658:Y658)&gt;0,X321+1,0),0)</f>
        <v>0</v>
      </c>
      <c r="Z321" s="150">
        <f>IF(Z$2&lt;=analysis_period,IF(SUM($C658:Z658)&gt;0,Y321+1,0),0)</f>
        <v>0</v>
      </c>
      <c r="AA321" s="150">
        <f>IF(AA$2&lt;=analysis_period,IF(SUM($C658:AA658)&gt;0,Z321+1,0),0)</f>
        <v>0</v>
      </c>
      <c r="AB321" s="150">
        <f>IF(AB$2&lt;=analysis_period,IF(SUM($C658:AB658)&gt;0,AA321+1,0),0)</f>
        <v>0</v>
      </c>
      <c r="AC321" s="150">
        <f>IF(AC$2&lt;=analysis_period,IF(SUM($C658:AC658)&gt;0,AB321+1,0),0)</f>
        <v>0</v>
      </c>
      <c r="AD321" s="150">
        <f>IF(AD$2&lt;=analysis_period,IF(SUM($C658:AD658)&gt;0,AC321+1,0),0)</f>
        <v>0</v>
      </c>
      <c r="AE321" s="150">
        <f>IF(AE$2&lt;=analysis_period,IF(SUM($C658:AE658)&gt;0,AD321+1,0),0)</f>
        <v>0</v>
      </c>
      <c r="AF321" s="150">
        <f>IF(AF$2&lt;=analysis_period,IF(SUM($C658:AF658)&gt;0,AE321+1,0),0)</f>
        <v>0</v>
      </c>
      <c r="AG321" s="150">
        <f>IF(AG$2&lt;=analysis_period,IF(SUM($C658:AG658)&gt;0,AF321+1,0),0)</f>
        <v>0</v>
      </c>
      <c r="AH321" s="150">
        <f>IF(AH$2&lt;=analysis_period,IF(SUM($C658:AH658)&gt;0,AG321+1,0),0)</f>
        <v>0</v>
      </c>
      <c r="AI321" s="150">
        <f>IF(AI$2&lt;=analysis_period,IF(SUM($C658:AI658)&gt;0,AH321+1,0),0)</f>
        <v>0</v>
      </c>
      <c r="AJ321" s="150">
        <f>IF(AJ$2&lt;=analysis_period,IF(SUM($C658:AJ658)&gt;0,AI321+1,0),0)</f>
        <v>0</v>
      </c>
      <c r="AK321" s="150">
        <f>IF(AK$2&lt;=analysis_period,IF(SUM($C658:AK658)&gt;0,AJ321+1,0),0)</f>
        <v>0</v>
      </c>
      <c r="AL321" s="150">
        <f>IF(AL$2&lt;=analysis_period,IF(SUM($C658:AL658)&gt;0,AK321+1,0),0)</f>
        <v>0</v>
      </c>
      <c r="AM321" s="150">
        <f>IF(AM$2&lt;=analysis_period,IF(SUM($C658:AM658)&gt;0,AL321+1,0),0)</f>
        <v>0</v>
      </c>
      <c r="AN321" s="150">
        <f>IF(AN$2&lt;=analysis_period,IF(SUM($C658:AN658)&gt;0,AM321+1,0),0)</f>
        <v>0</v>
      </c>
      <c r="AO321" s="150">
        <f>IF(AO$2&lt;=analysis_period,IF(SUM($C658:AO658)&gt;0,AN321+1,0),0)</f>
        <v>0</v>
      </c>
      <c r="AP321" s="150">
        <f>IF(AP$2&lt;=analysis_period,IF(SUM($C658:AP658)&gt;0,AO321+1,0),0)</f>
        <v>0</v>
      </c>
    </row>
    <row r="322" spans="1:42" x14ac:dyDescent="0.2">
      <c r="A322" s="4">
        <f t="shared" si="117"/>
        <v>10</v>
      </c>
      <c r="B322" s="4">
        <v>0</v>
      </c>
      <c r="C322" s="150">
        <f>IF(C$2&lt;=analysis_period,IF(SUM($C659:C659)&gt;0,B322+1,0),0)</f>
        <v>0</v>
      </c>
      <c r="D322" s="150">
        <f>IF(D$2&lt;=analysis_period,IF(SUM($C659:D659)&gt;0,C322+1,0),0)</f>
        <v>0</v>
      </c>
      <c r="E322" s="150">
        <f>IF(E$2&lt;=analysis_period,IF(SUM($C659:E659)&gt;0,D322+1,0),0)</f>
        <v>0</v>
      </c>
      <c r="F322" s="150">
        <f>IF(F$2&lt;=analysis_period,IF(SUM($C659:F659)&gt;0,E322+1,0),0)</f>
        <v>0</v>
      </c>
      <c r="G322" s="150">
        <f>IF(G$2&lt;=analysis_period,IF(SUM($C659:G659)&gt;0,F322+1,0),0)</f>
        <v>0</v>
      </c>
      <c r="H322" s="150">
        <f>IF(H$2&lt;=analysis_period,IF(SUM($C659:H659)&gt;0,G322+1,0),0)</f>
        <v>0</v>
      </c>
      <c r="I322" s="150">
        <f>IF(I$2&lt;=analysis_period,IF(SUM($C659:I659)&gt;0,H322+1,0),0)</f>
        <v>0</v>
      </c>
      <c r="J322" s="150">
        <f>IF(J$2&lt;=analysis_period,IF(SUM($C659:J659)&gt;0,I322+1,0),0)</f>
        <v>0</v>
      </c>
      <c r="K322" s="150">
        <f>IF(K$2&lt;=analysis_period,IF(SUM($C659:K659)&gt;0,J322+1,0),0)</f>
        <v>0</v>
      </c>
      <c r="L322" s="150">
        <f>IF(L$2&lt;=analysis_period,IF(SUM($C659:L659)&gt;0,K322+1,0),0)</f>
        <v>0</v>
      </c>
      <c r="M322" s="150">
        <f>IF(M$2&lt;=analysis_period,IF(SUM($C659:M659)&gt;0,L322+1,0),0)</f>
        <v>0</v>
      </c>
      <c r="N322" s="150">
        <f>IF(N$2&lt;=analysis_period,IF(SUM($C659:N659)&gt;0,M322+1,0),0)</f>
        <v>0</v>
      </c>
      <c r="O322" s="150">
        <f>IF(O$2&lt;=analysis_period,IF(SUM($C659:O659)&gt;0,N322+1,0),0)</f>
        <v>0</v>
      </c>
      <c r="P322" s="150">
        <f>IF(P$2&lt;=analysis_period,IF(SUM($C659:P659)&gt;0,O322+1,0),0)</f>
        <v>0</v>
      </c>
      <c r="Q322" s="150">
        <f>IF(Q$2&lt;=analysis_period,IF(SUM($C659:Q659)&gt;0,P322+1,0),0)</f>
        <v>0</v>
      </c>
      <c r="R322" s="150">
        <f>IF(R$2&lt;=analysis_period,IF(SUM($C659:R659)&gt;0,Q322+1,0),0)</f>
        <v>0</v>
      </c>
      <c r="S322" s="150">
        <f>IF(S$2&lt;=analysis_period,IF(SUM($C659:S659)&gt;0,R322+1,0),0)</f>
        <v>0</v>
      </c>
      <c r="T322" s="150">
        <f>IF(T$2&lt;=analysis_period,IF(SUM($C659:T659)&gt;0,S322+1,0),0)</f>
        <v>0</v>
      </c>
      <c r="U322" s="150">
        <f>IF(U$2&lt;=analysis_period,IF(SUM($C659:U659)&gt;0,T322+1,0),0)</f>
        <v>0</v>
      </c>
      <c r="V322" s="150">
        <f>IF(V$2&lt;=analysis_period,IF(SUM($C659:V659)&gt;0,U322+1,0),0)</f>
        <v>0</v>
      </c>
      <c r="W322" s="150">
        <f>IF(W$2&lt;=analysis_period,IF(SUM($C659:W659)&gt;0,V322+1,0),0)</f>
        <v>0</v>
      </c>
      <c r="X322" s="150">
        <f>IF(X$2&lt;=analysis_period,IF(SUM($C659:X659)&gt;0,W322+1,0),0)</f>
        <v>0</v>
      </c>
      <c r="Y322" s="150">
        <f>IF(Y$2&lt;=analysis_period,IF(SUM($C659:Y659)&gt;0,X322+1,0),0)</f>
        <v>0</v>
      </c>
      <c r="Z322" s="150">
        <f>IF(Z$2&lt;=analysis_period,IF(SUM($C659:Z659)&gt;0,Y322+1,0),0)</f>
        <v>0</v>
      </c>
      <c r="AA322" s="150">
        <f>IF(AA$2&lt;=analysis_period,IF(SUM($C659:AA659)&gt;0,Z322+1,0),0)</f>
        <v>0</v>
      </c>
      <c r="AB322" s="150">
        <f>IF(AB$2&lt;=analysis_period,IF(SUM($C659:AB659)&gt;0,AA322+1,0),0)</f>
        <v>0</v>
      </c>
      <c r="AC322" s="150">
        <f>IF(AC$2&lt;=analysis_period,IF(SUM($C659:AC659)&gt;0,AB322+1,0),0)</f>
        <v>0</v>
      </c>
      <c r="AD322" s="150">
        <f>IF(AD$2&lt;=analysis_period,IF(SUM($C659:AD659)&gt;0,AC322+1,0),0)</f>
        <v>0</v>
      </c>
      <c r="AE322" s="150">
        <f>IF(AE$2&lt;=analysis_period,IF(SUM($C659:AE659)&gt;0,AD322+1,0),0)</f>
        <v>0</v>
      </c>
      <c r="AF322" s="150">
        <f>IF(AF$2&lt;=analysis_period,IF(SUM($C659:AF659)&gt;0,AE322+1,0),0)</f>
        <v>0</v>
      </c>
      <c r="AG322" s="150">
        <f>IF(AG$2&lt;=analysis_period,IF(SUM($C659:AG659)&gt;0,AF322+1,0),0)</f>
        <v>0</v>
      </c>
      <c r="AH322" s="150">
        <f>IF(AH$2&lt;=analysis_period,IF(SUM($C659:AH659)&gt;0,AG322+1,0),0)</f>
        <v>0</v>
      </c>
      <c r="AI322" s="150">
        <f>IF(AI$2&lt;=analysis_period,IF(SUM($C659:AI659)&gt;0,AH322+1,0),0)</f>
        <v>0</v>
      </c>
      <c r="AJ322" s="150">
        <f>IF(AJ$2&lt;=analysis_period,IF(SUM($C659:AJ659)&gt;0,AI322+1,0),0)</f>
        <v>0</v>
      </c>
      <c r="AK322" s="150">
        <f>IF(AK$2&lt;=analysis_period,IF(SUM($C659:AK659)&gt;0,AJ322+1,0),0)</f>
        <v>0</v>
      </c>
      <c r="AL322" s="150">
        <f>IF(AL$2&lt;=analysis_period,IF(SUM($C659:AL659)&gt;0,AK322+1,0),0)</f>
        <v>0</v>
      </c>
      <c r="AM322" s="150">
        <f>IF(AM$2&lt;=analysis_period,IF(SUM($C659:AM659)&gt;0,AL322+1,0),0)</f>
        <v>0</v>
      </c>
      <c r="AN322" s="150">
        <f>IF(AN$2&lt;=analysis_period,IF(SUM($C659:AN659)&gt;0,AM322+1,0),0)</f>
        <v>0</v>
      </c>
      <c r="AO322" s="150">
        <f>IF(AO$2&lt;=analysis_period,IF(SUM($C659:AO659)&gt;0,AN322+1,0),0)</f>
        <v>0</v>
      </c>
      <c r="AP322" s="150">
        <f>IF(AP$2&lt;=analysis_period,IF(SUM($C659:AP659)&gt;0,AO322+1,0),0)</f>
        <v>0</v>
      </c>
    </row>
    <row r="323" spans="1:42" x14ac:dyDescent="0.2">
      <c r="A323" s="87" t="s">
        <v>63</v>
      </c>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row>
    <row r="324" spans="1:42" x14ac:dyDescent="0.2">
      <c r="A324" s="4">
        <v>1</v>
      </c>
      <c r="B324" s="168">
        <f>SUM(C324:AP324)</f>
        <v>0</v>
      </c>
      <c r="C324" s="150">
        <f t="shared" ref="C324:AP324" si="118">LOOKUP(C313,$B$308:$AP$308,$B$309:$AP$309)/100*$B650</f>
        <v>0</v>
      </c>
      <c r="D324" s="150">
        <f t="shared" si="118"/>
        <v>0</v>
      </c>
      <c r="E324" s="150">
        <f t="shared" si="118"/>
        <v>0</v>
      </c>
      <c r="F324" s="150">
        <f t="shared" si="118"/>
        <v>0</v>
      </c>
      <c r="G324" s="150">
        <f t="shared" si="118"/>
        <v>0</v>
      </c>
      <c r="H324" s="150">
        <f t="shared" si="118"/>
        <v>0</v>
      </c>
      <c r="I324" s="150">
        <f t="shared" si="118"/>
        <v>0</v>
      </c>
      <c r="J324" s="150">
        <f t="shared" si="118"/>
        <v>0</v>
      </c>
      <c r="K324" s="150">
        <f t="shared" si="118"/>
        <v>0</v>
      </c>
      <c r="L324" s="150">
        <f t="shared" si="118"/>
        <v>0</v>
      </c>
      <c r="M324" s="150">
        <f t="shared" si="118"/>
        <v>0</v>
      </c>
      <c r="N324" s="150">
        <f t="shared" si="118"/>
        <v>0</v>
      </c>
      <c r="O324" s="150">
        <f t="shared" si="118"/>
        <v>0</v>
      </c>
      <c r="P324" s="150">
        <f t="shared" si="118"/>
        <v>0</v>
      </c>
      <c r="Q324" s="150">
        <f t="shared" si="118"/>
        <v>0</v>
      </c>
      <c r="R324" s="150">
        <f t="shared" si="118"/>
        <v>0</v>
      </c>
      <c r="S324" s="150">
        <f t="shared" si="118"/>
        <v>0</v>
      </c>
      <c r="T324" s="150">
        <f t="shared" si="118"/>
        <v>0</v>
      </c>
      <c r="U324" s="150">
        <f t="shared" si="118"/>
        <v>0</v>
      </c>
      <c r="V324" s="150">
        <f t="shared" si="118"/>
        <v>0</v>
      </c>
      <c r="W324" s="150">
        <f t="shared" si="118"/>
        <v>0</v>
      </c>
      <c r="X324" s="150">
        <f t="shared" si="118"/>
        <v>0</v>
      </c>
      <c r="Y324" s="150">
        <f t="shared" si="118"/>
        <v>0</v>
      </c>
      <c r="Z324" s="150">
        <f t="shared" si="118"/>
        <v>0</v>
      </c>
      <c r="AA324" s="150">
        <f t="shared" si="118"/>
        <v>0</v>
      </c>
      <c r="AB324" s="150">
        <f t="shared" si="118"/>
        <v>0</v>
      </c>
      <c r="AC324" s="150">
        <f t="shared" si="118"/>
        <v>0</v>
      </c>
      <c r="AD324" s="150">
        <f t="shared" si="118"/>
        <v>0</v>
      </c>
      <c r="AE324" s="150">
        <f t="shared" si="118"/>
        <v>0</v>
      </c>
      <c r="AF324" s="150">
        <f t="shared" si="118"/>
        <v>0</v>
      </c>
      <c r="AG324" s="150">
        <f t="shared" si="118"/>
        <v>0</v>
      </c>
      <c r="AH324" s="150">
        <f t="shared" si="118"/>
        <v>0</v>
      </c>
      <c r="AI324" s="150">
        <f t="shared" si="118"/>
        <v>0</v>
      </c>
      <c r="AJ324" s="150">
        <f t="shared" si="118"/>
        <v>0</v>
      </c>
      <c r="AK324" s="150">
        <f t="shared" si="118"/>
        <v>0</v>
      </c>
      <c r="AL324" s="150">
        <f t="shared" si="118"/>
        <v>0</v>
      </c>
      <c r="AM324" s="150">
        <f t="shared" si="118"/>
        <v>0</v>
      </c>
      <c r="AN324" s="150">
        <f t="shared" si="118"/>
        <v>0</v>
      </c>
      <c r="AO324" s="150">
        <f t="shared" si="118"/>
        <v>0</v>
      </c>
      <c r="AP324" s="150">
        <f t="shared" si="118"/>
        <v>0</v>
      </c>
    </row>
    <row r="325" spans="1:42" x14ac:dyDescent="0.2">
      <c r="A325" s="4">
        <f>A324+1</f>
        <v>2</v>
      </c>
      <c r="B325" s="168">
        <f t="shared" ref="B325:B333" si="119">SUM(C325:AP325)</f>
        <v>0</v>
      </c>
      <c r="C325" s="150">
        <f t="shared" ref="C325:AP325" si="120">LOOKUP(C314,$B$308:$AP$308,$B$309:$AP$309)/100*$B651</f>
        <v>0</v>
      </c>
      <c r="D325" s="150">
        <f t="shared" si="120"/>
        <v>0</v>
      </c>
      <c r="E325" s="150">
        <f t="shared" si="120"/>
        <v>0</v>
      </c>
      <c r="F325" s="150">
        <f t="shared" si="120"/>
        <v>0</v>
      </c>
      <c r="G325" s="150">
        <f t="shared" si="120"/>
        <v>0</v>
      </c>
      <c r="H325" s="150">
        <f t="shared" si="120"/>
        <v>0</v>
      </c>
      <c r="I325" s="150">
        <f t="shared" si="120"/>
        <v>0</v>
      </c>
      <c r="J325" s="150">
        <f t="shared" si="120"/>
        <v>0</v>
      </c>
      <c r="K325" s="150">
        <f t="shared" si="120"/>
        <v>0</v>
      </c>
      <c r="L325" s="150">
        <f t="shared" si="120"/>
        <v>0</v>
      </c>
      <c r="M325" s="150">
        <f t="shared" si="120"/>
        <v>0</v>
      </c>
      <c r="N325" s="150">
        <f t="shared" si="120"/>
        <v>0</v>
      </c>
      <c r="O325" s="150">
        <f t="shared" si="120"/>
        <v>0</v>
      </c>
      <c r="P325" s="150">
        <f t="shared" si="120"/>
        <v>0</v>
      </c>
      <c r="Q325" s="150">
        <f t="shared" si="120"/>
        <v>0</v>
      </c>
      <c r="R325" s="150">
        <f t="shared" si="120"/>
        <v>0</v>
      </c>
      <c r="S325" s="150">
        <f t="shared" si="120"/>
        <v>0</v>
      </c>
      <c r="T325" s="150">
        <f t="shared" si="120"/>
        <v>0</v>
      </c>
      <c r="U325" s="150">
        <f t="shared" si="120"/>
        <v>0</v>
      </c>
      <c r="V325" s="150">
        <f t="shared" si="120"/>
        <v>0</v>
      </c>
      <c r="W325" s="150">
        <f t="shared" si="120"/>
        <v>0</v>
      </c>
      <c r="X325" s="150">
        <f t="shared" si="120"/>
        <v>0</v>
      </c>
      <c r="Y325" s="150">
        <f t="shared" si="120"/>
        <v>0</v>
      </c>
      <c r="Z325" s="150">
        <f t="shared" si="120"/>
        <v>0</v>
      </c>
      <c r="AA325" s="150">
        <f t="shared" si="120"/>
        <v>0</v>
      </c>
      <c r="AB325" s="150">
        <f t="shared" si="120"/>
        <v>0</v>
      </c>
      <c r="AC325" s="150">
        <f t="shared" si="120"/>
        <v>0</v>
      </c>
      <c r="AD325" s="150">
        <f t="shared" si="120"/>
        <v>0</v>
      </c>
      <c r="AE325" s="150">
        <f t="shared" si="120"/>
        <v>0</v>
      </c>
      <c r="AF325" s="150">
        <f t="shared" si="120"/>
        <v>0</v>
      </c>
      <c r="AG325" s="150">
        <f t="shared" si="120"/>
        <v>0</v>
      </c>
      <c r="AH325" s="150">
        <f t="shared" si="120"/>
        <v>0</v>
      </c>
      <c r="AI325" s="150">
        <f t="shared" si="120"/>
        <v>0</v>
      </c>
      <c r="AJ325" s="150">
        <f t="shared" si="120"/>
        <v>0</v>
      </c>
      <c r="AK325" s="150">
        <f t="shared" si="120"/>
        <v>0</v>
      </c>
      <c r="AL325" s="150">
        <f t="shared" si="120"/>
        <v>0</v>
      </c>
      <c r="AM325" s="150">
        <f t="shared" si="120"/>
        <v>0</v>
      </c>
      <c r="AN325" s="150">
        <f t="shared" si="120"/>
        <v>0</v>
      </c>
      <c r="AO325" s="150">
        <f t="shared" si="120"/>
        <v>0</v>
      </c>
      <c r="AP325" s="150">
        <f t="shared" si="120"/>
        <v>0</v>
      </c>
    </row>
    <row r="326" spans="1:42" x14ac:dyDescent="0.2">
      <c r="A326" s="4">
        <f t="shared" ref="A326:A333" si="121">A325+1</f>
        <v>3</v>
      </c>
      <c r="B326" s="168">
        <f t="shared" si="119"/>
        <v>0</v>
      </c>
      <c r="C326" s="150">
        <f t="shared" ref="C326:AP326" si="122">LOOKUP(C315,$B$308:$AP$308,$B$309:$AP$309)/100*$B652</f>
        <v>0</v>
      </c>
      <c r="D326" s="150">
        <f t="shared" si="122"/>
        <v>0</v>
      </c>
      <c r="E326" s="150">
        <f t="shared" si="122"/>
        <v>0</v>
      </c>
      <c r="F326" s="150">
        <f t="shared" si="122"/>
        <v>0</v>
      </c>
      <c r="G326" s="150">
        <f t="shared" si="122"/>
        <v>0</v>
      </c>
      <c r="H326" s="150">
        <f t="shared" si="122"/>
        <v>0</v>
      </c>
      <c r="I326" s="150">
        <f t="shared" si="122"/>
        <v>0</v>
      </c>
      <c r="J326" s="150">
        <f t="shared" si="122"/>
        <v>0</v>
      </c>
      <c r="K326" s="150">
        <f t="shared" si="122"/>
        <v>0</v>
      </c>
      <c r="L326" s="150">
        <f t="shared" si="122"/>
        <v>0</v>
      </c>
      <c r="M326" s="150">
        <f t="shared" si="122"/>
        <v>0</v>
      </c>
      <c r="N326" s="150">
        <f t="shared" si="122"/>
        <v>0</v>
      </c>
      <c r="O326" s="150">
        <f t="shared" si="122"/>
        <v>0</v>
      </c>
      <c r="P326" s="150">
        <f t="shared" si="122"/>
        <v>0</v>
      </c>
      <c r="Q326" s="150">
        <f t="shared" si="122"/>
        <v>0</v>
      </c>
      <c r="R326" s="150">
        <f t="shared" si="122"/>
        <v>0</v>
      </c>
      <c r="S326" s="150">
        <f t="shared" si="122"/>
        <v>0</v>
      </c>
      <c r="T326" s="150">
        <f t="shared" si="122"/>
        <v>0</v>
      </c>
      <c r="U326" s="150">
        <f t="shared" si="122"/>
        <v>0</v>
      </c>
      <c r="V326" s="150">
        <f t="shared" si="122"/>
        <v>0</v>
      </c>
      <c r="W326" s="150">
        <f t="shared" si="122"/>
        <v>0</v>
      </c>
      <c r="X326" s="150">
        <f t="shared" si="122"/>
        <v>0</v>
      </c>
      <c r="Y326" s="150">
        <f t="shared" si="122"/>
        <v>0</v>
      </c>
      <c r="Z326" s="150">
        <f t="shared" si="122"/>
        <v>0</v>
      </c>
      <c r="AA326" s="150">
        <f t="shared" si="122"/>
        <v>0</v>
      </c>
      <c r="AB326" s="150">
        <f t="shared" si="122"/>
        <v>0</v>
      </c>
      <c r="AC326" s="150">
        <f t="shared" si="122"/>
        <v>0</v>
      </c>
      <c r="AD326" s="150">
        <f t="shared" si="122"/>
        <v>0</v>
      </c>
      <c r="AE326" s="150">
        <f t="shared" si="122"/>
        <v>0</v>
      </c>
      <c r="AF326" s="150">
        <f t="shared" si="122"/>
        <v>0</v>
      </c>
      <c r="AG326" s="150">
        <f t="shared" si="122"/>
        <v>0</v>
      </c>
      <c r="AH326" s="150">
        <f t="shared" si="122"/>
        <v>0</v>
      </c>
      <c r="AI326" s="150">
        <f t="shared" si="122"/>
        <v>0</v>
      </c>
      <c r="AJ326" s="150">
        <f t="shared" si="122"/>
        <v>0</v>
      </c>
      <c r="AK326" s="150">
        <f t="shared" si="122"/>
        <v>0</v>
      </c>
      <c r="AL326" s="150">
        <f t="shared" si="122"/>
        <v>0</v>
      </c>
      <c r="AM326" s="150">
        <f t="shared" si="122"/>
        <v>0</v>
      </c>
      <c r="AN326" s="150">
        <f t="shared" si="122"/>
        <v>0</v>
      </c>
      <c r="AO326" s="150">
        <f t="shared" si="122"/>
        <v>0</v>
      </c>
      <c r="AP326" s="150">
        <f t="shared" si="122"/>
        <v>0</v>
      </c>
    </row>
    <row r="327" spans="1:42" x14ac:dyDescent="0.2">
      <c r="A327" s="4">
        <f t="shared" si="121"/>
        <v>4</v>
      </c>
      <c r="B327" s="168">
        <f t="shared" si="119"/>
        <v>0</v>
      </c>
      <c r="C327" s="150">
        <f t="shared" ref="C327:AP327" si="123">LOOKUP(C316,$B$308:$AP$308,$B$309:$AP$309)/100*$B653</f>
        <v>0</v>
      </c>
      <c r="D327" s="150">
        <f t="shared" si="123"/>
        <v>0</v>
      </c>
      <c r="E327" s="150">
        <f t="shared" si="123"/>
        <v>0</v>
      </c>
      <c r="F327" s="150">
        <f t="shared" si="123"/>
        <v>0</v>
      </c>
      <c r="G327" s="150">
        <f t="shared" si="123"/>
        <v>0</v>
      </c>
      <c r="H327" s="150">
        <f t="shared" si="123"/>
        <v>0</v>
      </c>
      <c r="I327" s="150">
        <f t="shared" si="123"/>
        <v>0</v>
      </c>
      <c r="J327" s="150">
        <f t="shared" si="123"/>
        <v>0</v>
      </c>
      <c r="K327" s="150">
        <f t="shared" si="123"/>
        <v>0</v>
      </c>
      <c r="L327" s="150">
        <f t="shared" si="123"/>
        <v>0</v>
      </c>
      <c r="M327" s="150">
        <f t="shared" si="123"/>
        <v>0</v>
      </c>
      <c r="N327" s="150">
        <f t="shared" si="123"/>
        <v>0</v>
      </c>
      <c r="O327" s="150">
        <f t="shared" si="123"/>
        <v>0</v>
      </c>
      <c r="P327" s="150">
        <f t="shared" si="123"/>
        <v>0</v>
      </c>
      <c r="Q327" s="150">
        <f t="shared" si="123"/>
        <v>0</v>
      </c>
      <c r="R327" s="150">
        <f t="shared" si="123"/>
        <v>0</v>
      </c>
      <c r="S327" s="150">
        <f t="shared" si="123"/>
        <v>0</v>
      </c>
      <c r="T327" s="150">
        <f t="shared" si="123"/>
        <v>0</v>
      </c>
      <c r="U327" s="150">
        <f t="shared" si="123"/>
        <v>0</v>
      </c>
      <c r="V327" s="150">
        <f t="shared" si="123"/>
        <v>0</v>
      </c>
      <c r="W327" s="150">
        <f t="shared" si="123"/>
        <v>0</v>
      </c>
      <c r="X327" s="150">
        <f t="shared" si="123"/>
        <v>0</v>
      </c>
      <c r="Y327" s="150">
        <f t="shared" si="123"/>
        <v>0</v>
      </c>
      <c r="Z327" s="150">
        <f t="shared" si="123"/>
        <v>0</v>
      </c>
      <c r="AA327" s="150">
        <f t="shared" si="123"/>
        <v>0</v>
      </c>
      <c r="AB327" s="150">
        <f t="shared" si="123"/>
        <v>0</v>
      </c>
      <c r="AC327" s="150">
        <f t="shared" si="123"/>
        <v>0</v>
      </c>
      <c r="AD327" s="150">
        <f t="shared" si="123"/>
        <v>0</v>
      </c>
      <c r="AE327" s="150">
        <f t="shared" si="123"/>
        <v>0</v>
      </c>
      <c r="AF327" s="150">
        <f t="shared" si="123"/>
        <v>0</v>
      </c>
      <c r="AG327" s="150">
        <f t="shared" si="123"/>
        <v>0</v>
      </c>
      <c r="AH327" s="150">
        <f t="shared" si="123"/>
        <v>0</v>
      </c>
      <c r="AI327" s="150">
        <f t="shared" si="123"/>
        <v>0</v>
      </c>
      <c r="AJ327" s="150">
        <f t="shared" si="123"/>
        <v>0</v>
      </c>
      <c r="AK327" s="150">
        <f t="shared" si="123"/>
        <v>0</v>
      </c>
      <c r="AL327" s="150">
        <f t="shared" si="123"/>
        <v>0</v>
      </c>
      <c r="AM327" s="150">
        <f t="shared" si="123"/>
        <v>0</v>
      </c>
      <c r="AN327" s="150">
        <f t="shared" si="123"/>
        <v>0</v>
      </c>
      <c r="AO327" s="150">
        <f t="shared" si="123"/>
        <v>0</v>
      </c>
      <c r="AP327" s="150">
        <f t="shared" si="123"/>
        <v>0</v>
      </c>
    </row>
    <row r="328" spans="1:42" x14ac:dyDescent="0.2">
      <c r="A328" s="4">
        <f t="shared" si="121"/>
        <v>5</v>
      </c>
      <c r="B328" s="168">
        <f t="shared" si="119"/>
        <v>0</v>
      </c>
      <c r="C328" s="150">
        <f t="shared" ref="C328:AP328" si="124">LOOKUP(C317,$B$308:$AP$308,$B$309:$AP$309)/100*$B654</f>
        <v>0</v>
      </c>
      <c r="D328" s="150">
        <f t="shared" si="124"/>
        <v>0</v>
      </c>
      <c r="E328" s="150">
        <f t="shared" si="124"/>
        <v>0</v>
      </c>
      <c r="F328" s="150">
        <f t="shared" si="124"/>
        <v>0</v>
      </c>
      <c r="G328" s="150">
        <f t="shared" si="124"/>
        <v>0</v>
      </c>
      <c r="H328" s="150">
        <f t="shared" si="124"/>
        <v>0</v>
      </c>
      <c r="I328" s="150">
        <f t="shared" si="124"/>
        <v>0</v>
      </c>
      <c r="J328" s="150">
        <f t="shared" si="124"/>
        <v>0</v>
      </c>
      <c r="K328" s="150">
        <f t="shared" si="124"/>
        <v>0</v>
      </c>
      <c r="L328" s="150">
        <f t="shared" si="124"/>
        <v>0</v>
      </c>
      <c r="M328" s="150">
        <f t="shared" si="124"/>
        <v>0</v>
      </c>
      <c r="N328" s="150">
        <f t="shared" si="124"/>
        <v>0</v>
      </c>
      <c r="O328" s="150">
        <f t="shared" si="124"/>
        <v>0</v>
      </c>
      <c r="P328" s="150">
        <f t="shared" si="124"/>
        <v>0</v>
      </c>
      <c r="Q328" s="150">
        <f t="shared" si="124"/>
        <v>0</v>
      </c>
      <c r="R328" s="150">
        <f t="shared" si="124"/>
        <v>0</v>
      </c>
      <c r="S328" s="150">
        <f t="shared" si="124"/>
        <v>0</v>
      </c>
      <c r="T328" s="150">
        <f t="shared" si="124"/>
        <v>0</v>
      </c>
      <c r="U328" s="150">
        <f t="shared" si="124"/>
        <v>0</v>
      </c>
      <c r="V328" s="150">
        <f t="shared" si="124"/>
        <v>0</v>
      </c>
      <c r="W328" s="150">
        <f t="shared" si="124"/>
        <v>0</v>
      </c>
      <c r="X328" s="150">
        <f t="shared" si="124"/>
        <v>0</v>
      </c>
      <c r="Y328" s="150">
        <f t="shared" si="124"/>
        <v>0</v>
      </c>
      <c r="Z328" s="150">
        <f t="shared" si="124"/>
        <v>0</v>
      </c>
      <c r="AA328" s="150">
        <f t="shared" si="124"/>
        <v>0</v>
      </c>
      <c r="AB328" s="150">
        <f t="shared" si="124"/>
        <v>0</v>
      </c>
      <c r="AC328" s="150">
        <f t="shared" si="124"/>
        <v>0</v>
      </c>
      <c r="AD328" s="150">
        <f t="shared" si="124"/>
        <v>0</v>
      </c>
      <c r="AE328" s="150">
        <f t="shared" si="124"/>
        <v>0</v>
      </c>
      <c r="AF328" s="150">
        <f t="shared" si="124"/>
        <v>0</v>
      </c>
      <c r="AG328" s="150">
        <f t="shared" si="124"/>
        <v>0</v>
      </c>
      <c r="AH328" s="150">
        <f t="shared" si="124"/>
        <v>0</v>
      </c>
      <c r="AI328" s="150">
        <f t="shared" si="124"/>
        <v>0</v>
      </c>
      <c r="AJ328" s="150">
        <f t="shared" si="124"/>
        <v>0</v>
      </c>
      <c r="AK328" s="150">
        <f t="shared" si="124"/>
        <v>0</v>
      </c>
      <c r="AL328" s="150">
        <f t="shared" si="124"/>
        <v>0</v>
      </c>
      <c r="AM328" s="150">
        <f t="shared" si="124"/>
        <v>0</v>
      </c>
      <c r="AN328" s="150">
        <f t="shared" si="124"/>
        <v>0</v>
      </c>
      <c r="AO328" s="150">
        <f t="shared" si="124"/>
        <v>0</v>
      </c>
      <c r="AP328" s="150">
        <f t="shared" si="124"/>
        <v>0</v>
      </c>
    </row>
    <row r="329" spans="1:42" x14ac:dyDescent="0.2">
      <c r="A329" s="4">
        <f t="shared" si="121"/>
        <v>6</v>
      </c>
      <c r="B329" s="168">
        <f t="shared" si="119"/>
        <v>0</v>
      </c>
      <c r="C329" s="150">
        <f t="shared" ref="C329:AP329" si="125">LOOKUP(C318,$B$308:$AP$308,$B$309:$AP$309)/100*$B655</f>
        <v>0</v>
      </c>
      <c r="D329" s="150">
        <f t="shared" si="125"/>
        <v>0</v>
      </c>
      <c r="E329" s="150">
        <f t="shared" si="125"/>
        <v>0</v>
      </c>
      <c r="F329" s="150">
        <f t="shared" si="125"/>
        <v>0</v>
      </c>
      <c r="G329" s="150">
        <f t="shared" si="125"/>
        <v>0</v>
      </c>
      <c r="H329" s="150">
        <f t="shared" si="125"/>
        <v>0</v>
      </c>
      <c r="I329" s="150">
        <f t="shared" si="125"/>
        <v>0</v>
      </c>
      <c r="J329" s="150">
        <f t="shared" si="125"/>
        <v>0</v>
      </c>
      <c r="K329" s="150">
        <f t="shared" si="125"/>
        <v>0</v>
      </c>
      <c r="L329" s="150">
        <f t="shared" si="125"/>
        <v>0</v>
      </c>
      <c r="M329" s="150">
        <f t="shared" si="125"/>
        <v>0</v>
      </c>
      <c r="N329" s="150">
        <f t="shared" si="125"/>
        <v>0</v>
      </c>
      <c r="O329" s="150">
        <f t="shared" si="125"/>
        <v>0</v>
      </c>
      <c r="P329" s="150">
        <f t="shared" si="125"/>
        <v>0</v>
      </c>
      <c r="Q329" s="150">
        <f t="shared" si="125"/>
        <v>0</v>
      </c>
      <c r="R329" s="150">
        <f t="shared" si="125"/>
        <v>0</v>
      </c>
      <c r="S329" s="150">
        <f t="shared" si="125"/>
        <v>0</v>
      </c>
      <c r="T329" s="150">
        <f t="shared" si="125"/>
        <v>0</v>
      </c>
      <c r="U329" s="150">
        <f t="shared" si="125"/>
        <v>0</v>
      </c>
      <c r="V329" s="150">
        <f t="shared" si="125"/>
        <v>0</v>
      </c>
      <c r="W329" s="150">
        <f t="shared" si="125"/>
        <v>0</v>
      </c>
      <c r="X329" s="150">
        <f t="shared" si="125"/>
        <v>0</v>
      </c>
      <c r="Y329" s="150">
        <f t="shared" si="125"/>
        <v>0</v>
      </c>
      <c r="Z329" s="150">
        <f t="shared" si="125"/>
        <v>0</v>
      </c>
      <c r="AA329" s="150">
        <f t="shared" si="125"/>
        <v>0</v>
      </c>
      <c r="AB329" s="150">
        <f t="shared" si="125"/>
        <v>0</v>
      </c>
      <c r="AC329" s="150">
        <f t="shared" si="125"/>
        <v>0</v>
      </c>
      <c r="AD329" s="150">
        <f t="shared" si="125"/>
        <v>0</v>
      </c>
      <c r="AE329" s="150">
        <f t="shared" si="125"/>
        <v>0</v>
      </c>
      <c r="AF329" s="150">
        <f t="shared" si="125"/>
        <v>0</v>
      </c>
      <c r="AG329" s="150">
        <f t="shared" si="125"/>
        <v>0</v>
      </c>
      <c r="AH329" s="150">
        <f t="shared" si="125"/>
        <v>0</v>
      </c>
      <c r="AI329" s="150">
        <f t="shared" si="125"/>
        <v>0</v>
      </c>
      <c r="AJ329" s="150">
        <f t="shared" si="125"/>
        <v>0</v>
      </c>
      <c r="AK329" s="150">
        <f t="shared" si="125"/>
        <v>0</v>
      </c>
      <c r="AL329" s="150">
        <f t="shared" si="125"/>
        <v>0</v>
      </c>
      <c r="AM329" s="150">
        <f t="shared" si="125"/>
        <v>0</v>
      </c>
      <c r="AN329" s="150">
        <f t="shared" si="125"/>
        <v>0</v>
      </c>
      <c r="AO329" s="150">
        <f t="shared" si="125"/>
        <v>0</v>
      </c>
      <c r="AP329" s="150">
        <f t="shared" si="125"/>
        <v>0</v>
      </c>
    </row>
    <row r="330" spans="1:42" x14ac:dyDescent="0.2">
      <c r="A330" s="4">
        <f t="shared" si="121"/>
        <v>7</v>
      </c>
      <c r="B330" s="168">
        <f t="shared" si="119"/>
        <v>0</v>
      </c>
      <c r="C330" s="150">
        <f t="shared" ref="C330:AP330" si="126">LOOKUP(C319,$B$308:$AP$308,$B$309:$AP$309)/100*$B656</f>
        <v>0</v>
      </c>
      <c r="D330" s="150">
        <f t="shared" si="126"/>
        <v>0</v>
      </c>
      <c r="E330" s="150">
        <f t="shared" si="126"/>
        <v>0</v>
      </c>
      <c r="F330" s="150">
        <f t="shared" si="126"/>
        <v>0</v>
      </c>
      <c r="G330" s="150">
        <f t="shared" si="126"/>
        <v>0</v>
      </c>
      <c r="H330" s="150">
        <f t="shared" si="126"/>
        <v>0</v>
      </c>
      <c r="I330" s="150">
        <f t="shared" si="126"/>
        <v>0</v>
      </c>
      <c r="J330" s="150">
        <f t="shared" si="126"/>
        <v>0</v>
      </c>
      <c r="K330" s="150">
        <f t="shared" si="126"/>
        <v>0</v>
      </c>
      <c r="L330" s="150">
        <f t="shared" si="126"/>
        <v>0</v>
      </c>
      <c r="M330" s="150">
        <f t="shared" si="126"/>
        <v>0</v>
      </c>
      <c r="N330" s="150">
        <f t="shared" si="126"/>
        <v>0</v>
      </c>
      <c r="O330" s="150">
        <f t="shared" si="126"/>
        <v>0</v>
      </c>
      <c r="P330" s="150">
        <f t="shared" si="126"/>
        <v>0</v>
      </c>
      <c r="Q330" s="150">
        <f t="shared" si="126"/>
        <v>0</v>
      </c>
      <c r="R330" s="150">
        <f t="shared" si="126"/>
        <v>0</v>
      </c>
      <c r="S330" s="150">
        <f t="shared" si="126"/>
        <v>0</v>
      </c>
      <c r="T330" s="150">
        <f t="shared" si="126"/>
        <v>0</v>
      </c>
      <c r="U330" s="150">
        <f t="shared" si="126"/>
        <v>0</v>
      </c>
      <c r="V330" s="150">
        <f t="shared" si="126"/>
        <v>0</v>
      </c>
      <c r="W330" s="150">
        <f t="shared" si="126"/>
        <v>0</v>
      </c>
      <c r="X330" s="150">
        <f t="shared" si="126"/>
        <v>0</v>
      </c>
      <c r="Y330" s="150">
        <f t="shared" si="126"/>
        <v>0</v>
      </c>
      <c r="Z330" s="150">
        <f t="shared" si="126"/>
        <v>0</v>
      </c>
      <c r="AA330" s="150">
        <f t="shared" si="126"/>
        <v>0</v>
      </c>
      <c r="AB330" s="150">
        <f t="shared" si="126"/>
        <v>0</v>
      </c>
      <c r="AC330" s="150">
        <f t="shared" si="126"/>
        <v>0</v>
      </c>
      <c r="AD330" s="150">
        <f t="shared" si="126"/>
        <v>0</v>
      </c>
      <c r="AE330" s="150">
        <f t="shared" si="126"/>
        <v>0</v>
      </c>
      <c r="AF330" s="150">
        <f t="shared" si="126"/>
        <v>0</v>
      </c>
      <c r="AG330" s="150">
        <f t="shared" si="126"/>
        <v>0</v>
      </c>
      <c r="AH330" s="150">
        <f t="shared" si="126"/>
        <v>0</v>
      </c>
      <c r="AI330" s="150">
        <f t="shared" si="126"/>
        <v>0</v>
      </c>
      <c r="AJ330" s="150">
        <f t="shared" si="126"/>
        <v>0</v>
      </c>
      <c r="AK330" s="150">
        <f t="shared" si="126"/>
        <v>0</v>
      </c>
      <c r="AL330" s="150">
        <f t="shared" si="126"/>
        <v>0</v>
      </c>
      <c r="AM330" s="150">
        <f t="shared" si="126"/>
        <v>0</v>
      </c>
      <c r="AN330" s="150">
        <f t="shared" si="126"/>
        <v>0</v>
      </c>
      <c r="AO330" s="150">
        <f t="shared" si="126"/>
        <v>0</v>
      </c>
      <c r="AP330" s="150">
        <f t="shared" si="126"/>
        <v>0</v>
      </c>
    </row>
    <row r="331" spans="1:42" x14ac:dyDescent="0.2">
      <c r="A331" s="4">
        <f t="shared" si="121"/>
        <v>8</v>
      </c>
      <c r="B331" s="168">
        <f t="shared" si="119"/>
        <v>0</v>
      </c>
      <c r="C331" s="150">
        <f t="shared" ref="C331:AP331" si="127">LOOKUP(C320,$B$308:$AP$308,$B$309:$AP$309)/100*$B657</f>
        <v>0</v>
      </c>
      <c r="D331" s="150">
        <f t="shared" si="127"/>
        <v>0</v>
      </c>
      <c r="E331" s="150">
        <f t="shared" si="127"/>
        <v>0</v>
      </c>
      <c r="F331" s="150">
        <f t="shared" si="127"/>
        <v>0</v>
      </c>
      <c r="G331" s="150">
        <f t="shared" si="127"/>
        <v>0</v>
      </c>
      <c r="H331" s="150">
        <f t="shared" si="127"/>
        <v>0</v>
      </c>
      <c r="I331" s="150">
        <f t="shared" si="127"/>
        <v>0</v>
      </c>
      <c r="J331" s="150">
        <f t="shared" si="127"/>
        <v>0</v>
      </c>
      <c r="K331" s="150">
        <f t="shared" si="127"/>
        <v>0</v>
      </c>
      <c r="L331" s="150">
        <f t="shared" si="127"/>
        <v>0</v>
      </c>
      <c r="M331" s="150">
        <f t="shared" si="127"/>
        <v>0</v>
      </c>
      <c r="N331" s="150">
        <f t="shared" si="127"/>
        <v>0</v>
      </c>
      <c r="O331" s="150">
        <f t="shared" si="127"/>
        <v>0</v>
      </c>
      <c r="P331" s="150">
        <f t="shared" si="127"/>
        <v>0</v>
      </c>
      <c r="Q331" s="150">
        <f t="shared" si="127"/>
        <v>0</v>
      </c>
      <c r="R331" s="150">
        <f t="shared" si="127"/>
        <v>0</v>
      </c>
      <c r="S331" s="150">
        <f t="shared" si="127"/>
        <v>0</v>
      </c>
      <c r="T331" s="150">
        <f t="shared" si="127"/>
        <v>0</v>
      </c>
      <c r="U331" s="150">
        <f t="shared" si="127"/>
        <v>0</v>
      </c>
      <c r="V331" s="150">
        <f t="shared" si="127"/>
        <v>0</v>
      </c>
      <c r="W331" s="150">
        <f t="shared" si="127"/>
        <v>0</v>
      </c>
      <c r="X331" s="150">
        <f t="shared" si="127"/>
        <v>0</v>
      </c>
      <c r="Y331" s="150">
        <f t="shared" si="127"/>
        <v>0</v>
      </c>
      <c r="Z331" s="150">
        <f t="shared" si="127"/>
        <v>0</v>
      </c>
      <c r="AA331" s="150">
        <f t="shared" si="127"/>
        <v>0</v>
      </c>
      <c r="AB331" s="150">
        <f t="shared" si="127"/>
        <v>0</v>
      </c>
      <c r="AC331" s="150">
        <f t="shared" si="127"/>
        <v>0</v>
      </c>
      <c r="AD331" s="150">
        <f t="shared" si="127"/>
        <v>0</v>
      </c>
      <c r="AE331" s="150">
        <f t="shared" si="127"/>
        <v>0</v>
      </c>
      <c r="AF331" s="150">
        <f t="shared" si="127"/>
        <v>0</v>
      </c>
      <c r="AG331" s="150">
        <f t="shared" si="127"/>
        <v>0</v>
      </c>
      <c r="AH331" s="150">
        <f t="shared" si="127"/>
        <v>0</v>
      </c>
      <c r="AI331" s="150">
        <f t="shared" si="127"/>
        <v>0</v>
      </c>
      <c r="AJ331" s="150">
        <f t="shared" si="127"/>
        <v>0</v>
      </c>
      <c r="AK331" s="150">
        <f t="shared" si="127"/>
        <v>0</v>
      </c>
      <c r="AL331" s="150">
        <f t="shared" si="127"/>
        <v>0</v>
      </c>
      <c r="AM331" s="150">
        <f t="shared" si="127"/>
        <v>0</v>
      </c>
      <c r="AN331" s="150">
        <f t="shared" si="127"/>
        <v>0</v>
      </c>
      <c r="AO331" s="150">
        <f t="shared" si="127"/>
        <v>0</v>
      </c>
      <c r="AP331" s="150">
        <f t="shared" si="127"/>
        <v>0</v>
      </c>
    </row>
    <row r="332" spans="1:42" x14ac:dyDescent="0.2">
      <c r="A332" s="4">
        <f>A331+1</f>
        <v>9</v>
      </c>
      <c r="B332" s="168">
        <f t="shared" si="119"/>
        <v>0</v>
      </c>
      <c r="C332" s="150">
        <f t="shared" ref="C332:AP332" si="128">LOOKUP(C321,$B$308:$AP$308,$B$309:$AP$309)/100*$B658</f>
        <v>0</v>
      </c>
      <c r="D332" s="150">
        <f t="shared" si="128"/>
        <v>0</v>
      </c>
      <c r="E332" s="150">
        <f t="shared" si="128"/>
        <v>0</v>
      </c>
      <c r="F332" s="150">
        <f t="shared" si="128"/>
        <v>0</v>
      </c>
      <c r="G332" s="150">
        <f t="shared" si="128"/>
        <v>0</v>
      </c>
      <c r="H332" s="150">
        <f t="shared" si="128"/>
        <v>0</v>
      </c>
      <c r="I332" s="150">
        <f t="shared" si="128"/>
        <v>0</v>
      </c>
      <c r="J332" s="150">
        <f t="shared" si="128"/>
        <v>0</v>
      </c>
      <c r="K332" s="150">
        <f t="shared" si="128"/>
        <v>0</v>
      </c>
      <c r="L332" s="150">
        <f t="shared" si="128"/>
        <v>0</v>
      </c>
      <c r="M332" s="150">
        <f t="shared" si="128"/>
        <v>0</v>
      </c>
      <c r="N332" s="150">
        <f t="shared" si="128"/>
        <v>0</v>
      </c>
      <c r="O332" s="150">
        <f t="shared" si="128"/>
        <v>0</v>
      </c>
      <c r="P332" s="150">
        <f t="shared" si="128"/>
        <v>0</v>
      </c>
      <c r="Q332" s="150">
        <f t="shared" si="128"/>
        <v>0</v>
      </c>
      <c r="R332" s="150">
        <f t="shared" si="128"/>
        <v>0</v>
      </c>
      <c r="S332" s="150">
        <f t="shared" si="128"/>
        <v>0</v>
      </c>
      <c r="T332" s="150">
        <f t="shared" si="128"/>
        <v>0</v>
      </c>
      <c r="U332" s="150">
        <f t="shared" si="128"/>
        <v>0</v>
      </c>
      <c r="V332" s="150">
        <f t="shared" si="128"/>
        <v>0</v>
      </c>
      <c r="W332" s="150">
        <f t="shared" si="128"/>
        <v>0</v>
      </c>
      <c r="X332" s="150">
        <f t="shared" si="128"/>
        <v>0</v>
      </c>
      <c r="Y332" s="150">
        <f t="shared" si="128"/>
        <v>0</v>
      </c>
      <c r="Z332" s="150">
        <f t="shared" si="128"/>
        <v>0</v>
      </c>
      <c r="AA332" s="150">
        <f t="shared" si="128"/>
        <v>0</v>
      </c>
      <c r="AB332" s="150">
        <f t="shared" si="128"/>
        <v>0</v>
      </c>
      <c r="AC332" s="150">
        <f t="shared" si="128"/>
        <v>0</v>
      </c>
      <c r="AD332" s="150">
        <f t="shared" si="128"/>
        <v>0</v>
      </c>
      <c r="AE332" s="150">
        <f t="shared" si="128"/>
        <v>0</v>
      </c>
      <c r="AF332" s="150">
        <f t="shared" si="128"/>
        <v>0</v>
      </c>
      <c r="AG332" s="150">
        <f t="shared" si="128"/>
        <v>0</v>
      </c>
      <c r="AH332" s="150">
        <f t="shared" si="128"/>
        <v>0</v>
      </c>
      <c r="AI332" s="150">
        <f t="shared" si="128"/>
        <v>0</v>
      </c>
      <c r="AJ332" s="150">
        <f t="shared" si="128"/>
        <v>0</v>
      </c>
      <c r="AK332" s="150">
        <f t="shared" si="128"/>
        <v>0</v>
      </c>
      <c r="AL332" s="150">
        <f t="shared" si="128"/>
        <v>0</v>
      </c>
      <c r="AM332" s="150">
        <f t="shared" si="128"/>
        <v>0</v>
      </c>
      <c r="AN332" s="150">
        <f t="shared" si="128"/>
        <v>0</v>
      </c>
      <c r="AO332" s="150">
        <f t="shared" si="128"/>
        <v>0</v>
      </c>
      <c r="AP332" s="150">
        <f t="shared" si="128"/>
        <v>0</v>
      </c>
    </row>
    <row r="333" spans="1:42" x14ac:dyDescent="0.2">
      <c r="A333" s="4">
        <f t="shared" si="121"/>
        <v>10</v>
      </c>
      <c r="B333" s="168">
        <f t="shared" si="119"/>
        <v>0</v>
      </c>
      <c r="C333" s="169">
        <f t="shared" ref="C333:AP333" si="129">LOOKUP(C322,$B$308:$AP$308,$B$309:$AP$309)/100*$B659</f>
        <v>0</v>
      </c>
      <c r="D333" s="151">
        <f t="shared" si="129"/>
        <v>0</v>
      </c>
      <c r="E333" s="151">
        <f t="shared" si="129"/>
        <v>0</v>
      </c>
      <c r="F333" s="151">
        <f t="shared" si="129"/>
        <v>0</v>
      </c>
      <c r="G333" s="151">
        <f t="shared" si="129"/>
        <v>0</v>
      </c>
      <c r="H333" s="151">
        <f t="shared" si="129"/>
        <v>0</v>
      </c>
      <c r="I333" s="151">
        <f t="shared" si="129"/>
        <v>0</v>
      </c>
      <c r="J333" s="151">
        <f t="shared" si="129"/>
        <v>0</v>
      </c>
      <c r="K333" s="151">
        <f t="shared" si="129"/>
        <v>0</v>
      </c>
      <c r="L333" s="151">
        <f t="shared" si="129"/>
        <v>0</v>
      </c>
      <c r="M333" s="151">
        <f t="shared" si="129"/>
        <v>0</v>
      </c>
      <c r="N333" s="151">
        <f t="shared" si="129"/>
        <v>0</v>
      </c>
      <c r="O333" s="151">
        <f t="shared" si="129"/>
        <v>0</v>
      </c>
      <c r="P333" s="151">
        <f t="shared" si="129"/>
        <v>0</v>
      </c>
      <c r="Q333" s="151">
        <f t="shared" si="129"/>
        <v>0</v>
      </c>
      <c r="R333" s="151">
        <f t="shared" si="129"/>
        <v>0</v>
      </c>
      <c r="S333" s="151">
        <f t="shared" si="129"/>
        <v>0</v>
      </c>
      <c r="T333" s="151">
        <f t="shared" si="129"/>
        <v>0</v>
      </c>
      <c r="U333" s="151">
        <f t="shared" si="129"/>
        <v>0</v>
      </c>
      <c r="V333" s="151">
        <f t="shared" si="129"/>
        <v>0</v>
      </c>
      <c r="W333" s="151">
        <f t="shared" si="129"/>
        <v>0</v>
      </c>
      <c r="X333" s="151">
        <f t="shared" si="129"/>
        <v>0</v>
      </c>
      <c r="Y333" s="151">
        <f t="shared" si="129"/>
        <v>0</v>
      </c>
      <c r="Z333" s="151">
        <f t="shared" si="129"/>
        <v>0</v>
      </c>
      <c r="AA333" s="151">
        <f t="shared" si="129"/>
        <v>0</v>
      </c>
      <c r="AB333" s="151">
        <f t="shared" si="129"/>
        <v>0</v>
      </c>
      <c r="AC333" s="151">
        <f t="shared" si="129"/>
        <v>0</v>
      </c>
      <c r="AD333" s="151">
        <f t="shared" si="129"/>
        <v>0</v>
      </c>
      <c r="AE333" s="151">
        <f t="shared" si="129"/>
        <v>0</v>
      </c>
      <c r="AF333" s="151">
        <f t="shared" si="129"/>
        <v>0</v>
      </c>
      <c r="AG333" s="151">
        <f t="shared" si="129"/>
        <v>0</v>
      </c>
      <c r="AH333" s="151">
        <f t="shared" si="129"/>
        <v>0</v>
      </c>
      <c r="AI333" s="151">
        <f t="shared" si="129"/>
        <v>0</v>
      </c>
      <c r="AJ333" s="151">
        <f t="shared" si="129"/>
        <v>0</v>
      </c>
      <c r="AK333" s="151">
        <f t="shared" si="129"/>
        <v>0</v>
      </c>
      <c r="AL333" s="151">
        <f t="shared" si="129"/>
        <v>0</v>
      </c>
      <c r="AM333" s="151">
        <f t="shared" si="129"/>
        <v>0</v>
      </c>
      <c r="AN333" s="151">
        <f t="shared" si="129"/>
        <v>0</v>
      </c>
      <c r="AO333" s="151">
        <f t="shared" si="129"/>
        <v>0</v>
      </c>
      <c r="AP333" s="151">
        <f t="shared" si="129"/>
        <v>0</v>
      </c>
    </row>
    <row r="334" spans="1:42" ht="12" customHeight="1" x14ac:dyDescent="0.2">
      <c r="A334" s="24" t="s">
        <v>12</v>
      </c>
      <c r="B334" s="150"/>
      <c r="C334" s="150">
        <f>SUM(C324:C333)</f>
        <v>0</v>
      </c>
      <c r="D334" s="150">
        <f t="shared" ref="D334:AP334" si="130">SUM(D324:D333)</f>
        <v>0</v>
      </c>
      <c r="E334" s="150">
        <f t="shared" si="130"/>
        <v>0</v>
      </c>
      <c r="F334" s="150">
        <f t="shared" si="130"/>
        <v>0</v>
      </c>
      <c r="G334" s="150">
        <f t="shared" si="130"/>
        <v>0</v>
      </c>
      <c r="H334" s="150">
        <f t="shared" si="130"/>
        <v>0</v>
      </c>
      <c r="I334" s="150">
        <f t="shared" si="130"/>
        <v>0</v>
      </c>
      <c r="J334" s="150">
        <f t="shared" si="130"/>
        <v>0</v>
      </c>
      <c r="K334" s="150">
        <f t="shared" si="130"/>
        <v>0</v>
      </c>
      <c r="L334" s="150">
        <f t="shared" si="130"/>
        <v>0</v>
      </c>
      <c r="M334" s="150">
        <f t="shared" si="130"/>
        <v>0</v>
      </c>
      <c r="N334" s="150">
        <f t="shared" si="130"/>
        <v>0</v>
      </c>
      <c r="O334" s="150">
        <f t="shared" si="130"/>
        <v>0</v>
      </c>
      <c r="P334" s="150">
        <f t="shared" si="130"/>
        <v>0</v>
      </c>
      <c r="Q334" s="150">
        <f t="shared" si="130"/>
        <v>0</v>
      </c>
      <c r="R334" s="150">
        <f t="shared" si="130"/>
        <v>0</v>
      </c>
      <c r="S334" s="150">
        <f t="shared" si="130"/>
        <v>0</v>
      </c>
      <c r="T334" s="150">
        <f t="shared" si="130"/>
        <v>0</v>
      </c>
      <c r="U334" s="150">
        <f t="shared" si="130"/>
        <v>0</v>
      </c>
      <c r="V334" s="150">
        <f t="shared" si="130"/>
        <v>0</v>
      </c>
      <c r="W334" s="150">
        <f t="shared" si="130"/>
        <v>0</v>
      </c>
      <c r="X334" s="150">
        <f t="shared" si="130"/>
        <v>0</v>
      </c>
      <c r="Y334" s="150">
        <f t="shared" si="130"/>
        <v>0</v>
      </c>
      <c r="Z334" s="150">
        <f t="shared" si="130"/>
        <v>0</v>
      </c>
      <c r="AA334" s="150">
        <f t="shared" si="130"/>
        <v>0</v>
      </c>
      <c r="AB334" s="150">
        <f t="shared" si="130"/>
        <v>0</v>
      </c>
      <c r="AC334" s="150">
        <f t="shared" si="130"/>
        <v>0</v>
      </c>
      <c r="AD334" s="150">
        <f t="shared" si="130"/>
        <v>0</v>
      </c>
      <c r="AE334" s="150">
        <f t="shared" si="130"/>
        <v>0</v>
      </c>
      <c r="AF334" s="150">
        <f t="shared" si="130"/>
        <v>0</v>
      </c>
      <c r="AG334" s="150">
        <f t="shared" si="130"/>
        <v>0</v>
      </c>
      <c r="AH334" s="150">
        <f t="shared" si="130"/>
        <v>0</v>
      </c>
      <c r="AI334" s="150">
        <f t="shared" si="130"/>
        <v>0</v>
      </c>
      <c r="AJ334" s="150">
        <f t="shared" si="130"/>
        <v>0</v>
      </c>
      <c r="AK334" s="150">
        <f t="shared" si="130"/>
        <v>0</v>
      </c>
      <c r="AL334" s="150">
        <f t="shared" si="130"/>
        <v>0</v>
      </c>
      <c r="AM334" s="150">
        <f t="shared" si="130"/>
        <v>0</v>
      </c>
      <c r="AN334" s="150">
        <f t="shared" si="130"/>
        <v>0</v>
      </c>
      <c r="AO334" s="150">
        <f t="shared" si="130"/>
        <v>0</v>
      </c>
      <c r="AP334" s="150">
        <f t="shared" si="130"/>
        <v>0</v>
      </c>
    </row>
    <row r="335" spans="1:42" x14ac:dyDescent="0.2">
      <c r="A335" s="21"/>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row>
    <row r="336" spans="1:42" x14ac:dyDescent="0.2">
      <c r="A336" s="21" t="s">
        <v>73</v>
      </c>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row>
    <row r="337" spans="1:42" x14ac:dyDescent="0.2">
      <c r="A337" s="87" t="s">
        <v>60</v>
      </c>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row>
    <row r="338" spans="1:42" x14ac:dyDescent="0.2">
      <c r="A338" s="4">
        <v>1</v>
      </c>
      <c r="B338" s="4">
        <v>0</v>
      </c>
      <c r="C338" s="150">
        <f>IF(C$2&lt;=analysis_period,IF(SUM($C682:C682)&gt;0,B338+1,0),0)</f>
        <v>0</v>
      </c>
      <c r="D338" s="150">
        <f>IF(D$2&lt;=analysis_period,IF(SUM($C682:D682)&gt;0,C338+1,0),0)</f>
        <v>0</v>
      </c>
      <c r="E338" s="150">
        <f>IF(E$2&lt;=analysis_period,IF(SUM($C682:E682)&gt;0,D338+1,0),0)</f>
        <v>0</v>
      </c>
      <c r="F338" s="150">
        <f>IF(F$2&lt;=analysis_period,IF(SUM($C682:F682)&gt;0,E338+1,0),0)</f>
        <v>0</v>
      </c>
      <c r="G338" s="150">
        <f>IF(G$2&lt;=analysis_period,IF(SUM($C682:G682)&gt;0,F338+1,0),0)</f>
        <v>0</v>
      </c>
      <c r="H338" s="150">
        <f>IF(H$2&lt;=analysis_period,IF(SUM($C682:H682)&gt;0,G338+1,0),0)</f>
        <v>0</v>
      </c>
      <c r="I338" s="150">
        <f>IF(I$2&lt;=analysis_period,IF(SUM($C682:I682)&gt;0,H338+1,0),0)</f>
        <v>0</v>
      </c>
      <c r="J338" s="150">
        <f>IF(J$2&lt;=analysis_period,IF(SUM($C682:J682)&gt;0,I338+1,0),0)</f>
        <v>0</v>
      </c>
      <c r="K338" s="150">
        <f>IF(K$2&lt;=analysis_period,IF(SUM($C682:K682)&gt;0,J338+1,0),0)</f>
        <v>0</v>
      </c>
      <c r="L338" s="150">
        <f>IF(L$2&lt;=analysis_period,IF(SUM($C682:L682)&gt;0,K338+1,0),0)</f>
        <v>0</v>
      </c>
      <c r="M338" s="150">
        <f>IF(M$2&lt;=analysis_period,IF(SUM($C682:M682)&gt;0,L338+1,0),0)</f>
        <v>0</v>
      </c>
      <c r="N338" s="150">
        <f>IF(N$2&lt;=analysis_period,IF(SUM($C682:N682)&gt;0,M338+1,0),0)</f>
        <v>0</v>
      </c>
      <c r="O338" s="150">
        <f>IF(O$2&lt;=analysis_period,IF(SUM($C682:O682)&gt;0,N338+1,0),0)</f>
        <v>0</v>
      </c>
      <c r="P338" s="150">
        <f>IF(P$2&lt;=analysis_period,IF(SUM($C682:P682)&gt;0,O338+1,0),0)</f>
        <v>0</v>
      </c>
      <c r="Q338" s="150">
        <f>IF(Q$2&lt;=analysis_period,IF(SUM($C682:Q682)&gt;0,P338+1,0),0)</f>
        <v>0</v>
      </c>
      <c r="R338" s="150">
        <f>IF(R$2&lt;=analysis_period,IF(SUM($C682:R682)&gt;0,Q338+1,0),0)</f>
        <v>0</v>
      </c>
      <c r="S338" s="150">
        <f>IF(S$2&lt;=analysis_period,IF(SUM($C682:S682)&gt;0,R338+1,0),0)</f>
        <v>0</v>
      </c>
      <c r="T338" s="150">
        <f>IF(T$2&lt;=analysis_period,IF(SUM($C682:T682)&gt;0,S338+1,0),0)</f>
        <v>0</v>
      </c>
      <c r="U338" s="150">
        <f>IF(U$2&lt;=analysis_period,IF(SUM($C682:U682)&gt;0,T338+1,0),0)</f>
        <v>0</v>
      </c>
      <c r="V338" s="150">
        <f>IF(V$2&lt;=analysis_period,IF(SUM($C682:V682)&gt;0,U338+1,0),0)</f>
        <v>0</v>
      </c>
      <c r="W338" s="150">
        <f>IF(W$2&lt;=analysis_period,IF(SUM($C682:W682)&gt;0,V338+1,0),0)</f>
        <v>0</v>
      </c>
      <c r="X338" s="150">
        <f>IF(X$2&lt;=analysis_period,IF(SUM($C682:X682)&gt;0,W338+1,0),0)</f>
        <v>0</v>
      </c>
      <c r="Y338" s="150">
        <f>IF(Y$2&lt;=analysis_period,IF(SUM($C682:Y682)&gt;0,X338+1,0),0)</f>
        <v>0</v>
      </c>
      <c r="Z338" s="150">
        <f>IF(Z$2&lt;=analysis_period,IF(SUM($C682:Z682)&gt;0,Y338+1,0),0)</f>
        <v>0</v>
      </c>
      <c r="AA338" s="150">
        <f>IF(AA$2&lt;=analysis_period,IF(SUM($C682:AA682)&gt;0,Z338+1,0),0)</f>
        <v>0</v>
      </c>
      <c r="AB338" s="150">
        <f>IF(AB$2&lt;=analysis_period,IF(SUM($C682:AB682)&gt;0,AA338+1,0),0)</f>
        <v>0</v>
      </c>
      <c r="AC338" s="150">
        <f>IF(AC$2&lt;=analysis_period,IF(SUM($C682:AC682)&gt;0,AB338+1,0),0)</f>
        <v>0</v>
      </c>
      <c r="AD338" s="150">
        <f>IF(AD$2&lt;=analysis_period,IF(SUM($C682:AD682)&gt;0,AC338+1,0),0)</f>
        <v>0</v>
      </c>
      <c r="AE338" s="150">
        <f>IF(AE$2&lt;=analysis_period,IF(SUM($C682:AE682)&gt;0,AD338+1,0),0)</f>
        <v>0</v>
      </c>
      <c r="AF338" s="150">
        <f>IF(AF$2&lt;=analysis_period,IF(SUM($C682:AF682)&gt;0,AE338+1,0),0)</f>
        <v>0</v>
      </c>
      <c r="AG338" s="150">
        <f>IF(AG$2&lt;=analysis_period,IF(SUM($C682:AG682)&gt;0,AF338+1,0),0)</f>
        <v>0</v>
      </c>
      <c r="AH338" s="150">
        <f>IF(AH$2&lt;=analysis_period,IF(SUM($C682:AH682)&gt;0,AG338+1,0),0)</f>
        <v>0</v>
      </c>
      <c r="AI338" s="150">
        <f>IF(AI$2&lt;=analysis_period,IF(SUM($C682:AI682)&gt;0,AH338+1,0),0)</f>
        <v>0</v>
      </c>
      <c r="AJ338" s="150">
        <f>IF(AJ$2&lt;=analysis_period,IF(SUM($C682:AJ682)&gt;0,AI338+1,0),0)</f>
        <v>0</v>
      </c>
      <c r="AK338" s="150">
        <f>IF(AK$2&lt;=analysis_period,IF(SUM($C682:AK682)&gt;0,AJ338+1,0),0)</f>
        <v>0</v>
      </c>
      <c r="AL338" s="150">
        <f>IF(AL$2&lt;=analysis_period,IF(SUM($C682:AL682)&gt;0,AK338+1,0),0)</f>
        <v>0</v>
      </c>
      <c r="AM338" s="150">
        <f>IF(AM$2&lt;=analysis_period,IF(SUM($C682:AM682)&gt;0,AL338+1,0),0)</f>
        <v>0</v>
      </c>
      <c r="AN338" s="150">
        <f>IF(AN$2&lt;=analysis_period,IF(SUM($C682:AN682)&gt;0,AM338+1,0),0)</f>
        <v>0</v>
      </c>
      <c r="AO338" s="150">
        <f>IF(AO$2&lt;=analysis_period,IF(SUM($C682:AO682)&gt;0,AN338+1,0),0)</f>
        <v>0</v>
      </c>
      <c r="AP338" s="150">
        <f>IF(AP$2&lt;=analysis_period,IF(SUM($C682:AP682)&gt;0,AO338+1,0),0)</f>
        <v>0</v>
      </c>
    </row>
    <row r="339" spans="1:42" x14ac:dyDescent="0.2">
      <c r="A339" s="4">
        <f>A338+1</f>
        <v>2</v>
      </c>
      <c r="B339" s="4">
        <v>0</v>
      </c>
      <c r="C339" s="150">
        <f>IF(C$2&lt;=analysis_period,IF(SUM($C683:C683)&gt;0,B339+1,0),0)</f>
        <v>0</v>
      </c>
      <c r="D339" s="150">
        <f>IF(D$2&lt;=analysis_period,IF(SUM($C683:D683)&gt;0,C339+1,0),0)</f>
        <v>0</v>
      </c>
      <c r="E339" s="150">
        <f>IF(E$2&lt;=analysis_period,IF(SUM($C683:E683)&gt;0,D339+1,0),0)</f>
        <v>0</v>
      </c>
      <c r="F339" s="150">
        <f>IF(F$2&lt;=analysis_period,IF(SUM($C683:F683)&gt;0,E339+1,0),0)</f>
        <v>0</v>
      </c>
      <c r="G339" s="150">
        <f>IF(G$2&lt;=analysis_period,IF(SUM($C683:G683)&gt;0,F339+1,0),0)</f>
        <v>0</v>
      </c>
      <c r="H339" s="150">
        <f>IF(H$2&lt;=analysis_period,IF(SUM($C683:H683)&gt;0,G339+1,0),0)</f>
        <v>0</v>
      </c>
      <c r="I339" s="150">
        <f>IF(I$2&lt;=analysis_period,IF(SUM($C683:I683)&gt;0,H339+1,0),0)</f>
        <v>0</v>
      </c>
      <c r="J339" s="150">
        <f>IF(J$2&lt;=analysis_period,IF(SUM($C683:J683)&gt;0,I339+1,0),0)</f>
        <v>0</v>
      </c>
      <c r="K339" s="150">
        <f>IF(K$2&lt;=analysis_period,IF(SUM($C683:K683)&gt;0,J339+1,0),0)</f>
        <v>0</v>
      </c>
      <c r="L339" s="150">
        <f>IF(L$2&lt;=analysis_period,IF(SUM($C683:L683)&gt;0,K339+1,0),0)</f>
        <v>0</v>
      </c>
      <c r="M339" s="150">
        <f>IF(M$2&lt;=analysis_period,IF(SUM($C683:M683)&gt;0,L339+1,0),0)</f>
        <v>0</v>
      </c>
      <c r="N339" s="150">
        <f>IF(N$2&lt;=analysis_period,IF(SUM($C683:N683)&gt;0,M339+1,0),0)</f>
        <v>0</v>
      </c>
      <c r="O339" s="150">
        <f>IF(O$2&lt;=analysis_period,IF(SUM($C683:O683)&gt;0,N339+1,0),0)</f>
        <v>0</v>
      </c>
      <c r="P339" s="150">
        <f>IF(P$2&lt;=analysis_period,IF(SUM($C683:P683)&gt;0,O339+1,0),0)</f>
        <v>0</v>
      </c>
      <c r="Q339" s="150">
        <f>IF(Q$2&lt;=analysis_period,IF(SUM($C683:Q683)&gt;0,P339+1,0),0)</f>
        <v>0</v>
      </c>
      <c r="R339" s="150">
        <f>IF(R$2&lt;=analysis_period,IF(SUM($C683:R683)&gt;0,Q339+1,0),0)</f>
        <v>0</v>
      </c>
      <c r="S339" s="150">
        <f>IF(S$2&lt;=analysis_period,IF(SUM($C683:S683)&gt;0,R339+1,0),0)</f>
        <v>0</v>
      </c>
      <c r="T339" s="150">
        <f>IF(T$2&lt;=analysis_period,IF(SUM($C683:T683)&gt;0,S339+1,0),0)</f>
        <v>0</v>
      </c>
      <c r="U339" s="150">
        <f>IF(U$2&lt;=analysis_period,IF(SUM($C683:U683)&gt;0,T339+1,0),0)</f>
        <v>0</v>
      </c>
      <c r="V339" s="150">
        <f>IF(V$2&lt;=analysis_period,IF(SUM($C683:V683)&gt;0,U339+1,0),0)</f>
        <v>0</v>
      </c>
      <c r="W339" s="150">
        <f>IF(W$2&lt;=analysis_period,IF(SUM($C683:W683)&gt;0,V339+1,0),0)</f>
        <v>0</v>
      </c>
      <c r="X339" s="150">
        <f>IF(X$2&lt;=analysis_period,IF(SUM($C683:X683)&gt;0,W339+1,0),0)</f>
        <v>0</v>
      </c>
      <c r="Y339" s="150">
        <f>IF(Y$2&lt;=analysis_period,IF(SUM($C683:Y683)&gt;0,X339+1,0),0)</f>
        <v>0</v>
      </c>
      <c r="Z339" s="150">
        <f>IF(Z$2&lt;=analysis_period,IF(SUM($C683:Z683)&gt;0,Y339+1,0),0)</f>
        <v>0</v>
      </c>
      <c r="AA339" s="150">
        <f>IF(AA$2&lt;=analysis_period,IF(SUM($C683:AA683)&gt;0,Z339+1,0),0)</f>
        <v>0</v>
      </c>
      <c r="AB339" s="150">
        <f>IF(AB$2&lt;=analysis_period,IF(SUM($C683:AB683)&gt;0,AA339+1,0),0)</f>
        <v>0</v>
      </c>
      <c r="AC339" s="150">
        <f>IF(AC$2&lt;=analysis_period,IF(SUM($C683:AC683)&gt;0,AB339+1,0),0)</f>
        <v>0</v>
      </c>
      <c r="AD339" s="150">
        <f>IF(AD$2&lt;=analysis_period,IF(SUM($C683:AD683)&gt;0,AC339+1,0),0)</f>
        <v>0</v>
      </c>
      <c r="AE339" s="150">
        <f>IF(AE$2&lt;=analysis_period,IF(SUM($C683:AE683)&gt;0,AD339+1,0),0)</f>
        <v>0</v>
      </c>
      <c r="AF339" s="150">
        <f>IF(AF$2&lt;=analysis_period,IF(SUM($C683:AF683)&gt;0,AE339+1,0),0)</f>
        <v>0</v>
      </c>
      <c r="AG339" s="150">
        <f>IF(AG$2&lt;=analysis_period,IF(SUM($C683:AG683)&gt;0,AF339+1,0),0)</f>
        <v>0</v>
      </c>
      <c r="AH339" s="150">
        <f>IF(AH$2&lt;=analysis_period,IF(SUM($C683:AH683)&gt;0,AG339+1,0),0)</f>
        <v>0</v>
      </c>
      <c r="AI339" s="150">
        <f>IF(AI$2&lt;=analysis_period,IF(SUM($C683:AI683)&gt;0,AH339+1,0),0)</f>
        <v>0</v>
      </c>
      <c r="AJ339" s="150">
        <f>IF(AJ$2&lt;=analysis_period,IF(SUM($C683:AJ683)&gt;0,AI339+1,0),0)</f>
        <v>0</v>
      </c>
      <c r="AK339" s="150">
        <f>IF(AK$2&lt;=analysis_period,IF(SUM($C683:AK683)&gt;0,AJ339+1,0),0)</f>
        <v>0</v>
      </c>
      <c r="AL339" s="150">
        <f>IF(AL$2&lt;=analysis_period,IF(SUM($C683:AL683)&gt;0,AK339+1,0),0)</f>
        <v>0</v>
      </c>
      <c r="AM339" s="150">
        <f>IF(AM$2&lt;=analysis_period,IF(SUM($C683:AM683)&gt;0,AL339+1,0),0)</f>
        <v>0</v>
      </c>
      <c r="AN339" s="150">
        <f>IF(AN$2&lt;=analysis_period,IF(SUM($C683:AN683)&gt;0,AM339+1,0),0)</f>
        <v>0</v>
      </c>
      <c r="AO339" s="150">
        <f>IF(AO$2&lt;=analysis_period,IF(SUM($C683:AO683)&gt;0,AN339+1,0),0)</f>
        <v>0</v>
      </c>
      <c r="AP339" s="150">
        <f>IF(AP$2&lt;=analysis_period,IF(SUM($C683:AP683)&gt;0,AO339+1,0),0)</f>
        <v>0</v>
      </c>
    </row>
    <row r="340" spans="1:42" x14ac:dyDescent="0.2">
      <c r="A340" s="4">
        <f t="shared" ref="A340:A347" si="131">A339+1</f>
        <v>3</v>
      </c>
      <c r="B340" s="4">
        <v>0</v>
      </c>
      <c r="C340" s="150">
        <f>IF(C$2&lt;=analysis_period,IF(SUM($C684:C684)&gt;0,B340+1,0),0)</f>
        <v>0</v>
      </c>
      <c r="D340" s="150">
        <f>IF(D$2&lt;=analysis_period,IF(SUM($C684:D684)&gt;0,C340+1,0),0)</f>
        <v>0</v>
      </c>
      <c r="E340" s="150">
        <f>IF(E$2&lt;=analysis_period,IF(SUM($C684:E684)&gt;0,D340+1,0),0)</f>
        <v>0</v>
      </c>
      <c r="F340" s="150">
        <f>IF(F$2&lt;=analysis_period,IF(SUM($C684:F684)&gt;0,E340+1,0),0)</f>
        <v>0</v>
      </c>
      <c r="G340" s="150">
        <f>IF(G$2&lt;=analysis_period,IF(SUM($C684:G684)&gt;0,F340+1,0),0)</f>
        <v>0</v>
      </c>
      <c r="H340" s="150">
        <f>IF(H$2&lt;=analysis_period,IF(SUM($C684:H684)&gt;0,G340+1,0),0)</f>
        <v>0</v>
      </c>
      <c r="I340" s="150">
        <f>IF(I$2&lt;=analysis_period,IF(SUM($C684:I684)&gt;0,H340+1,0),0)</f>
        <v>0</v>
      </c>
      <c r="J340" s="150">
        <f>IF(J$2&lt;=analysis_period,IF(SUM($C684:J684)&gt;0,I340+1,0),0)</f>
        <v>0</v>
      </c>
      <c r="K340" s="150">
        <f>IF(K$2&lt;=analysis_period,IF(SUM($C684:K684)&gt;0,J340+1,0),0)</f>
        <v>0</v>
      </c>
      <c r="L340" s="150">
        <f>IF(L$2&lt;=analysis_period,IF(SUM($C684:L684)&gt;0,K340+1,0),0)</f>
        <v>0</v>
      </c>
      <c r="M340" s="150">
        <f>IF(M$2&lt;=analysis_period,IF(SUM($C684:M684)&gt;0,L340+1,0),0)</f>
        <v>0</v>
      </c>
      <c r="N340" s="150">
        <f>IF(N$2&lt;=analysis_period,IF(SUM($C684:N684)&gt;0,M340+1,0),0)</f>
        <v>0</v>
      </c>
      <c r="O340" s="150">
        <f>IF(O$2&lt;=analysis_period,IF(SUM($C684:O684)&gt;0,N340+1,0),0)</f>
        <v>0</v>
      </c>
      <c r="P340" s="150">
        <f>IF(P$2&lt;=analysis_period,IF(SUM($C684:P684)&gt;0,O340+1,0),0)</f>
        <v>0</v>
      </c>
      <c r="Q340" s="150">
        <f>IF(Q$2&lt;=analysis_period,IF(SUM($C684:Q684)&gt;0,P340+1,0),0)</f>
        <v>0</v>
      </c>
      <c r="R340" s="150">
        <f>IF(R$2&lt;=analysis_period,IF(SUM($C684:R684)&gt;0,Q340+1,0),0)</f>
        <v>0</v>
      </c>
      <c r="S340" s="150">
        <f>IF(S$2&lt;=analysis_period,IF(SUM($C684:S684)&gt;0,R340+1,0),0)</f>
        <v>0</v>
      </c>
      <c r="T340" s="150">
        <f>IF(T$2&lt;=analysis_period,IF(SUM($C684:T684)&gt;0,S340+1,0),0)</f>
        <v>0</v>
      </c>
      <c r="U340" s="150">
        <f>IF(U$2&lt;=analysis_period,IF(SUM($C684:U684)&gt;0,T340+1,0),0)</f>
        <v>0</v>
      </c>
      <c r="V340" s="150">
        <f>IF(V$2&lt;=analysis_period,IF(SUM($C684:V684)&gt;0,U340+1,0),0)</f>
        <v>0</v>
      </c>
      <c r="W340" s="150">
        <f>IF(W$2&lt;=analysis_period,IF(SUM($C684:W684)&gt;0,V340+1,0),0)</f>
        <v>0</v>
      </c>
      <c r="X340" s="150">
        <f>IF(X$2&lt;=analysis_period,IF(SUM($C684:X684)&gt;0,W340+1,0),0)</f>
        <v>0</v>
      </c>
      <c r="Y340" s="150">
        <f>IF(Y$2&lt;=analysis_period,IF(SUM($C684:Y684)&gt;0,X340+1,0),0)</f>
        <v>0</v>
      </c>
      <c r="Z340" s="150">
        <f>IF(Z$2&lt;=analysis_period,IF(SUM($C684:Z684)&gt;0,Y340+1,0),0)</f>
        <v>0</v>
      </c>
      <c r="AA340" s="150">
        <f>IF(AA$2&lt;=analysis_period,IF(SUM($C684:AA684)&gt;0,Z340+1,0),0)</f>
        <v>0</v>
      </c>
      <c r="AB340" s="150">
        <f>IF(AB$2&lt;=analysis_period,IF(SUM($C684:AB684)&gt;0,AA340+1,0),0)</f>
        <v>0</v>
      </c>
      <c r="AC340" s="150">
        <f>IF(AC$2&lt;=analysis_period,IF(SUM($C684:AC684)&gt;0,AB340+1,0),0)</f>
        <v>0</v>
      </c>
      <c r="AD340" s="150">
        <f>IF(AD$2&lt;=analysis_period,IF(SUM($C684:AD684)&gt;0,AC340+1,0),0)</f>
        <v>0</v>
      </c>
      <c r="AE340" s="150">
        <f>IF(AE$2&lt;=analysis_period,IF(SUM($C684:AE684)&gt;0,AD340+1,0),0)</f>
        <v>0</v>
      </c>
      <c r="AF340" s="150">
        <f>IF(AF$2&lt;=analysis_period,IF(SUM($C684:AF684)&gt;0,AE340+1,0),0)</f>
        <v>0</v>
      </c>
      <c r="AG340" s="150">
        <f>IF(AG$2&lt;=analysis_period,IF(SUM($C684:AG684)&gt;0,AF340+1,0),0)</f>
        <v>0</v>
      </c>
      <c r="AH340" s="150">
        <f>IF(AH$2&lt;=analysis_period,IF(SUM($C684:AH684)&gt;0,AG340+1,0),0)</f>
        <v>0</v>
      </c>
      <c r="AI340" s="150">
        <f>IF(AI$2&lt;=analysis_period,IF(SUM($C684:AI684)&gt;0,AH340+1,0),0)</f>
        <v>0</v>
      </c>
      <c r="AJ340" s="150">
        <f>IF(AJ$2&lt;=analysis_period,IF(SUM($C684:AJ684)&gt;0,AI340+1,0),0)</f>
        <v>0</v>
      </c>
      <c r="AK340" s="150">
        <f>IF(AK$2&lt;=analysis_period,IF(SUM($C684:AK684)&gt;0,AJ340+1,0),0)</f>
        <v>0</v>
      </c>
      <c r="AL340" s="150">
        <f>IF(AL$2&lt;=analysis_period,IF(SUM($C684:AL684)&gt;0,AK340+1,0),0)</f>
        <v>0</v>
      </c>
      <c r="AM340" s="150">
        <f>IF(AM$2&lt;=analysis_period,IF(SUM($C684:AM684)&gt;0,AL340+1,0),0)</f>
        <v>0</v>
      </c>
      <c r="AN340" s="150">
        <f>IF(AN$2&lt;=analysis_period,IF(SUM($C684:AN684)&gt;0,AM340+1,0),0)</f>
        <v>0</v>
      </c>
      <c r="AO340" s="150">
        <f>IF(AO$2&lt;=analysis_period,IF(SUM($C684:AO684)&gt;0,AN340+1,0),0)</f>
        <v>0</v>
      </c>
      <c r="AP340" s="150">
        <f>IF(AP$2&lt;=analysis_period,IF(SUM($C684:AP684)&gt;0,AO340+1,0),0)</f>
        <v>0</v>
      </c>
    </row>
    <row r="341" spans="1:42" x14ac:dyDescent="0.2">
      <c r="A341" s="4">
        <f t="shared" si="131"/>
        <v>4</v>
      </c>
      <c r="B341" s="4">
        <v>0</v>
      </c>
      <c r="C341" s="150">
        <f>IF(C$2&lt;=analysis_period,IF(SUM($C685:C685)&gt;0,B341+1,0),0)</f>
        <v>0</v>
      </c>
      <c r="D341" s="150">
        <f>IF(D$2&lt;=analysis_period,IF(SUM($C685:D685)&gt;0,C341+1,0),0)</f>
        <v>0</v>
      </c>
      <c r="E341" s="150">
        <f>IF(E$2&lt;=analysis_period,IF(SUM($C685:E685)&gt;0,D341+1,0),0)</f>
        <v>0</v>
      </c>
      <c r="F341" s="150">
        <f>IF(F$2&lt;=analysis_period,IF(SUM($C685:F685)&gt;0,E341+1,0),0)</f>
        <v>0</v>
      </c>
      <c r="G341" s="150">
        <f>IF(G$2&lt;=analysis_period,IF(SUM($C685:G685)&gt;0,F341+1,0),0)</f>
        <v>0</v>
      </c>
      <c r="H341" s="150">
        <f>IF(H$2&lt;=analysis_period,IF(SUM($C685:H685)&gt;0,G341+1,0),0)</f>
        <v>0</v>
      </c>
      <c r="I341" s="150">
        <f>IF(I$2&lt;=analysis_period,IF(SUM($C685:I685)&gt;0,H341+1,0),0)</f>
        <v>0</v>
      </c>
      <c r="J341" s="150">
        <f>IF(J$2&lt;=analysis_period,IF(SUM($C685:J685)&gt;0,I341+1,0),0)</f>
        <v>0</v>
      </c>
      <c r="K341" s="150">
        <f>IF(K$2&lt;=analysis_period,IF(SUM($C685:K685)&gt;0,J341+1,0),0)</f>
        <v>0</v>
      </c>
      <c r="L341" s="150">
        <f>IF(L$2&lt;=analysis_period,IF(SUM($C685:L685)&gt;0,K341+1,0),0)</f>
        <v>0</v>
      </c>
      <c r="M341" s="150">
        <f>IF(M$2&lt;=analysis_period,IF(SUM($C685:M685)&gt;0,L341+1,0),0)</f>
        <v>0</v>
      </c>
      <c r="N341" s="150">
        <f>IF(N$2&lt;=analysis_period,IF(SUM($C685:N685)&gt;0,M341+1,0),0)</f>
        <v>0</v>
      </c>
      <c r="O341" s="150">
        <f>IF(O$2&lt;=analysis_period,IF(SUM($C685:O685)&gt;0,N341+1,0),0)</f>
        <v>0</v>
      </c>
      <c r="P341" s="150">
        <f>IF(P$2&lt;=analysis_period,IF(SUM($C685:P685)&gt;0,O341+1,0),0)</f>
        <v>0</v>
      </c>
      <c r="Q341" s="150">
        <f>IF(Q$2&lt;=analysis_period,IF(SUM($C685:Q685)&gt;0,P341+1,0),0)</f>
        <v>0</v>
      </c>
      <c r="R341" s="150">
        <f>IF(R$2&lt;=analysis_period,IF(SUM($C685:R685)&gt;0,Q341+1,0),0)</f>
        <v>0</v>
      </c>
      <c r="S341" s="150">
        <f>IF(S$2&lt;=analysis_period,IF(SUM($C685:S685)&gt;0,R341+1,0),0)</f>
        <v>0</v>
      </c>
      <c r="T341" s="150">
        <f>IF(T$2&lt;=analysis_period,IF(SUM($C685:T685)&gt;0,S341+1,0),0)</f>
        <v>0</v>
      </c>
      <c r="U341" s="150">
        <f>IF(U$2&lt;=analysis_period,IF(SUM($C685:U685)&gt;0,T341+1,0),0)</f>
        <v>0</v>
      </c>
      <c r="V341" s="150">
        <f>IF(V$2&lt;=analysis_period,IF(SUM($C685:V685)&gt;0,U341+1,0),0)</f>
        <v>0</v>
      </c>
      <c r="W341" s="150">
        <f>IF(W$2&lt;=analysis_period,IF(SUM($C685:W685)&gt;0,V341+1,0),0)</f>
        <v>0</v>
      </c>
      <c r="X341" s="150">
        <f>IF(X$2&lt;=analysis_period,IF(SUM($C685:X685)&gt;0,W341+1,0),0)</f>
        <v>0</v>
      </c>
      <c r="Y341" s="150">
        <f>IF(Y$2&lt;=analysis_period,IF(SUM($C685:Y685)&gt;0,X341+1,0),0)</f>
        <v>0</v>
      </c>
      <c r="Z341" s="150">
        <f>IF(Z$2&lt;=analysis_period,IF(SUM($C685:Z685)&gt;0,Y341+1,0),0)</f>
        <v>0</v>
      </c>
      <c r="AA341" s="150">
        <f>IF(AA$2&lt;=analysis_period,IF(SUM($C685:AA685)&gt;0,Z341+1,0),0)</f>
        <v>0</v>
      </c>
      <c r="AB341" s="150">
        <f>IF(AB$2&lt;=analysis_period,IF(SUM($C685:AB685)&gt;0,AA341+1,0),0)</f>
        <v>0</v>
      </c>
      <c r="AC341" s="150">
        <f>IF(AC$2&lt;=analysis_period,IF(SUM($C685:AC685)&gt;0,AB341+1,0),0)</f>
        <v>0</v>
      </c>
      <c r="AD341" s="150">
        <f>IF(AD$2&lt;=analysis_period,IF(SUM($C685:AD685)&gt;0,AC341+1,0),0)</f>
        <v>0</v>
      </c>
      <c r="AE341" s="150">
        <f>IF(AE$2&lt;=analysis_period,IF(SUM($C685:AE685)&gt;0,AD341+1,0),0)</f>
        <v>0</v>
      </c>
      <c r="AF341" s="150">
        <f>IF(AF$2&lt;=analysis_period,IF(SUM($C685:AF685)&gt;0,AE341+1,0),0)</f>
        <v>0</v>
      </c>
      <c r="AG341" s="150">
        <f>IF(AG$2&lt;=analysis_period,IF(SUM($C685:AG685)&gt;0,AF341+1,0),0)</f>
        <v>0</v>
      </c>
      <c r="AH341" s="150">
        <f>IF(AH$2&lt;=analysis_period,IF(SUM($C685:AH685)&gt;0,AG341+1,0),0)</f>
        <v>0</v>
      </c>
      <c r="AI341" s="150">
        <f>IF(AI$2&lt;=analysis_period,IF(SUM($C685:AI685)&gt;0,AH341+1,0),0)</f>
        <v>0</v>
      </c>
      <c r="AJ341" s="150">
        <f>IF(AJ$2&lt;=analysis_period,IF(SUM($C685:AJ685)&gt;0,AI341+1,0),0)</f>
        <v>0</v>
      </c>
      <c r="AK341" s="150">
        <f>IF(AK$2&lt;=analysis_period,IF(SUM($C685:AK685)&gt;0,AJ341+1,0),0)</f>
        <v>0</v>
      </c>
      <c r="AL341" s="150">
        <f>IF(AL$2&lt;=analysis_period,IF(SUM($C685:AL685)&gt;0,AK341+1,0),0)</f>
        <v>0</v>
      </c>
      <c r="AM341" s="150">
        <f>IF(AM$2&lt;=analysis_period,IF(SUM($C685:AM685)&gt;0,AL341+1,0),0)</f>
        <v>0</v>
      </c>
      <c r="AN341" s="150">
        <f>IF(AN$2&lt;=analysis_period,IF(SUM($C685:AN685)&gt;0,AM341+1,0),0)</f>
        <v>0</v>
      </c>
      <c r="AO341" s="150">
        <f>IF(AO$2&lt;=analysis_period,IF(SUM($C685:AO685)&gt;0,AN341+1,0),0)</f>
        <v>0</v>
      </c>
      <c r="AP341" s="150">
        <f>IF(AP$2&lt;=analysis_period,IF(SUM($C685:AP685)&gt;0,AO341+1,0),0)</f>
        <v>0</v>
      </c>
    </row>
    <row r="342" spans="1:42" x14ac:dyDescent="0.2">
      <c r="A342" s="4">
        <f t="shared" si="131"/>
        <v>5</v>
      </c>
      <c r="B342" s="4">
        <v>0</v>
      </c>
      <c r="C342" s="150">
        <f>IF(C$2&lt;=analysis_period,IF(SUM($C686:C686)&gt;0,B342+1,0),0)</f>
        <v>0</v>
      </c>
      <c r="D342" s="150">
        <f>IF(D$2&lt;=analysis_period,IF(SUM($C686:D686)&gt;0,C342+1,0),0)</f>
        <v>0</v>
      </c>
      <c r="E342" s="150">
        <f>IF(E$2&lt;=analysis_period,IF(SUM($C686:E686)&gt;0,D342+1,0),0)</f>
        <v>0</v>
      </c>
      <c r="F342" s="150">
        <f>IF(F$2&lt;=analysis_period,IF(SUM($C686:F686)&gt;0,E342+1,0),0)</f>
        <v>0</v>
      </c>
      <c r="G342" s="150">
        <f>IF(G$2&lt;=analysis_period,IF(SUM($C686:G686)&gt;0,F342+1,0),0)</f>
        <v>0</v>
      </c>
      <c r="H342" s="150">
        <f>IF(H$2&lt;=analysis_period,IF(SUM($C686:H686)&gt;0,G342+1,0),0)</f>
        <v>0</v>
      </c>
      <c r="I342" s="150">
        <f>IF(I$2&lt;=analysis_period,IF(SUM($C686:I686)&gt;0,H342+1,0),0)</f>
        <v>0</v>
      </c>
      <c r="J342" s="150">
        <f>IF(J$2&lt;=analysis_period,IF(SUM($C686:J686)&gt;0,I342+1,0),0)</f>
        <v>0</v>
      </c>
      <c r="K342" s="150">
        <f>IF(K$2&lt;=analysis_period,IF(SUM($C686:K686)&gt;0,J342+1,0),0)</f>
        <v>0</v>
      </c>
      <c r="L342" s="150">
        <f>IF(L$2&lt;=analysis_period,IF(SUM($C686:L686)&gt;0,K342+1,0),0)</f>
        <v>0</v>
      </c>
      <c r="M342" s="150">
        <f>IF(M$2&lt;=analysis_period,IF(SUM($C686:M686)&gt;0,L342+1,0),0)</f>
        <v>0</v>
      </c>
      <c r="N342" s="150">
        <f>IF(N$2&lt;=analysis_period,IF(SUM($C686:N686)&gt;0,M342+1,0),0)</f>
        <v>0</v>
      </c>
      <c r="O342" s="150">
        <f>IF(O$2&lt;=analysis_period,IF(SUM($C686:O686)&gt;0,N342+1,0),0)</f>
        <v>0</v>
      </c>
      <c r="P342" s="150">
        <f>IF(P$2&lt;=analysis_period,IF(SUM($C686:P686)&gt;0,O342+1,0),0)</f>
        <v>0</v>
      </c>
      <c r="Q342" s="150">
        <f>IF(Q$2&lt;=analysis_period,IF(SUM($C686:Q686)&gt;0,P342+1,0),0)</f>
        <v>0</v>
      </c>
      <c r="R342" s="150">
        <f>IF(R$2&lt;=analysis_period,IF(SUM($C686:R686)&gt;0,Q342+1,0),0)</f>
        <v>0</v>
      </c>
      <c r="S342" s="150">
        <f>IF(S$2&lt;=analysis_period,IF(SUM($C686:S686)&gt;0,R342+1,0),0)</f>
        <v>0</v>
      </c>
      <c r="T342" s="150">
        <f>IF(T$2&lt;=analysis_period,IF(SUM($C686:T686)&gt;0,S342+1,0),0)</f>
        <v>0</v>
      </c>
      <c r="U342" s="150">
        <f>IF(U$2&lt;=analysis_period,IF(SUM($C686:U686)&gt;0,T342+1,0),0)</f>
        <v>0</v>
      </c>
      <c r="V342" s="150">
        <f>IF(V$2&lt;=analysis_period,IF(SUM($C686:V686)&gt;0,U342+1,0),0)</f>
        <v>0</v>
      </c>
      <c r="W342" s="150">
        <f>IF(W$2&lt;=analysis_period,IF(SUM($C686:W686)&gt;0,V342+1,0),0)</f>
        <v>0</v>
      </c>
      <c r="X342" s="150">
        <f>IF(X$2&lt;=analysis_period,IF(SUM($C686:X686)&gt;0,W342+1,0),0)</f>
        <v>0</v>
      </c>
      <c r="Y342" s="150">
        <f>IF(Y$2&lt;=analysis_period,IF(SUM($C686:Y686)&gt;0,X342+1,0),0)</f>
        <v>0</v>
      </c>
      <c r="Z342" s="150">
        <f>IF(Z$2&lt;=analysis_period,IF(SUM($C686:Z686)&gt;0,Y342+1,0),0)</f>
        <v>0</v>
      </c>
      <c r="AA342" s="150">
        <f>IF(AA$2&lt;=analysis_period,IF(SUM($C686:AA686)&gt;0,Z342+1,0),0)</f>
        <v>0</v>
      </c>
      <c r="AB342" s="150">
        <f>IF(AB$2&lt;=analysis_period,IF(SUM($C686:AB686)&gt;0,AA342+1,0),0)</f>
        <v>0</v>
      </c>
      <c r="AC342" s="150">
        <f>IF(AC$2&lt;=analysis_period,IF(SUM($C686:AC686)&gt;0,AB342+1,0),0)</f>
        <v>0</v>
      </c>
      <c r="AD342" s="150">
        <f>IF(AD$2&lt;=analysis_period,IF(SUM($C686:AD686)&gt;0,AC342+1,0),0)</f>
        <v>0</v>
      </c>
      <c r="AE342" s="150">
        <f>IF(AE$2&lt;=analysis_period,IF(SUM($C686:AE686)&gt;0,AD342+1,0),0)</f>
        <v>0</v>
      </c>
      <c r="AF342" s="150">
        <f>IF(AF$2&lt;=analysis_period,IF(SUM($C686:AF686)&gt;0,AE342+1,0),0)</f>
        <v>0</v>
      </c>
      <c r="AG342" s="150">
        <f>IF(AG$2&lt;=analysis_period,IF(SUM($C686:AG686)&gt;0,AF342+1,0),0)</f>
        <v>0</v>
      </c>
      <c r="AH342" s="150">
        <f>IF(AH$2&lt;=analysis_period,IF(SUM($C686:AH686)&gt;0,AG342+1,0),0)</f>
        <v>0</v>
      </c>
      <c r="AI342" s="150">
        <f>IF(AI$2&lt;=analysis_period,IF(SUM($C686:AI686)&gt;0,AH342+1,0),0)</f>
        <v>0</v>
      </c>
      <c r="AJ342" s="150">
        <f>IF(AJ$2&lt;=analysis_period,IF(SUM($C686:AJ686)&gt;0,AI342+1,0),0)</f>
        <v>0</v>
      </c>
      <c r="AK342" s="150">
        <f>IF(AK$2&lt;=analysis_period,IF(SUM($C686:AK686)&gt;0,AJ342+1,0),0)</f>
        <v>0</v>
      </c>
      <c r="AL342" s="150">
        <f>IF(AL$2&lt;=analysis_period,IF(SUM($C686:AL686)&gt;0,AK342+1,0),0)</f>
        <v>0</v>
      </c>
      <c r="AM342" s="150">
        <f>IF(AM$2&lt;=analysis_period,IF(SUM($C686:AM686)&gt;0,AL342+1,0),0)</f>
        <v>0</v>
      </c>
      <c r="AN342" s="150">
        <f>IF(AN$2&lt;=analysis_period,IF(SUM($C686:AN686)&gt;0,AM342+1,0),0)</f>
        <v>0</v>
      </c>
      <c r="AO342" s="150">
        <f>IF(AO$2&lt;=analysis_period,IF(SUM($C686:AO686)&gt;0,AN342+1,0),0)</f>
        <v>0</v>
      </c>
      <c r="AP342" s="150">
        <f>IF(AP$2&lt;=analysis_period,IF(SUM($C686:AP686)&gt;0,AO342+1,0),0)</f>
        <v>0</v>
      </c>
    </row>
    <row r="343" spans="1:42" x14ac:dyDescent="0.2">
      <c r="A343" s="4">
        <f t="shared" si="131"/>
        <v>6</v>
      </c>
      <c r="B343" s="4">
        <v>0</v>
      </c>
      <c r="C343" s="150">
        <f>IF(C$2&lt;=analysis_period,IF(SUM($C687:C687)&gt;0,B343+1,0),0)</f>
        <v>0</v>
      </c>
      <c r="D343" s="150">
        <f>IF(D$2&lt;=analysis_period,IF(SUM($C687:D687)&gt;0,C343+1,0),0)</f>
        <v>0</v>
      </c>
      <c r="E343" s="150">
        <f>IF(E$2&lt;=analysis_period,IF(SUM($C687:E687)&gt;0,D343+1,0),0)</f>
        <v>0</v>
      </c>
      <c r="F343" s="150">
        <f>IF(F$2&lt;=analysis_period,IF(SUM($C687:F687)&gt;0,E343+1,0),0)</f>
        <v>0</v>
      </c>
      <c r="G343" s="150">
        <f>IF(G$2&lt;=analysis_period,IF(SUM($C687:G687)&gt;0,F343+1,0),0)</f>
        <v>0</v>
      </c>
      <c r="H343" s="150">
        <f>IF(H$2&lt;=analysis_period,IF(SUM($C687:H687)&gt;0,G343+1,0),0)</f>
        <v>0</v>
      </c>
      <c r="I343" s="150">
        <f>IF(I$2&lt;=analysis_period,IF(SUM($C687:I687)&gt;0,H343+1,0),0)</f>
        <v>0</v>
      </c>
      <c r="J343" s="150">
        <f>IF(J$2&lt;=analysis_period,IF(SUM($C687:J687)&gt;0,I343+1,0),0)</f>
        <v>0</v>
      </c>
      <c r="K343" s="150">
        <f>IF(K$2&lt;=analysis_period,IF(SUM($C687:K687)&gt;0,J343+1,0),0)</f>
        <v>0</v>
      </c>
      <c r="L343" s="150">
        <f>IF(L$2&lt;=analysis_period,IF(SUM($C687:L687)&gt;0,K343+1,0),0)</f>
        <v>0</v>
      </c>
      <c r="M343" s="150">
        <f>IF(M$2&lt;=analysis_period,IF(SUM($C687:M687)&gt;0,L343+1,0),0)</f>
        <v>0</v>
      </c>
      <c r="N343" s="150">
        <f>IF(N$2&lt;=analysis_period,IF(SUM($C687:N687)&gt;0,M343+1,0),0)</f>
        <v>0</v>
      </c>
      <c r="O343" s="150">
        <f>IF(O$2&lt;=analysis_period,IF(SUM($C687:O687)&gt;0,N343+1,0),0)</f>
        <v>0</v>
      </c>
      <c r="P343" s="150">
        <f>IF(P$2&lt;=analysis_period,IF(SUM($C687:P687)&gt;0,O343+1,0),0)</f>
        <v>0</v>
      </c>
      <c r="Q343" s="150">
        <f>IF(Q$2&lt;=analysis_period,IF(SUM($C687:Q687)&gt;0,P343+1,0),0)</f>
        <v>0</v>
      </c>
      <c r="R343" s="150">
        <f>IF(R$2&lt;=analysis_period,IF(SUM($C687:R687)&gt;0,Q343+1,0),0)</f>
        <v>0</v>
      </c>
      <c r="S343" s="150">
        <f>IF(S$2&lt;=analysis_period,IF(SUM($C687:S687)&gt;0,R343+1,0),0)</f>
        <v>0</v>
      </c>
      <c r="T343" s="150">
        <f>IF(T$2&lt;=analysis_period,IF(SUM($C687:T687)&gt;0,S343+1,0),0)</f>
        <v>0</v>
      </c>
      <c r="U343" s="150">
        <f>IF(U$2&lt;=analysis_period,IF(SUM($C687:U687)&gt;0,T343+1,0),0)</f>
        <v>0</v>
      </c>
      <c r="V343" s="150">
        <f>IF(V$2&lt;=analysis_period,IF(SUM($C687:V687)&gt;0,U343+1,0),0)</f>
        <v>0</v>
      </c>
      <c r="W343" s="150">
        <f>IF(W$2&lt;=analysis_period,IF(SUM($C687:W687)&gt;0,V343+1,0),0)</f>
        <v>0</v>
      </c>
      <c r="X343" s="150">
        <f>IF(X$2&lt;=analysis_period,IF(SUM($C687:X687)&gt;0,W343+1,0),0)</f>
        <v>0</v>
      </c>
      <c r="Y343" s="150">
        <f>IF(Y$2&lt;=analysis_period,IF(SUM($C687:Y687)&gt;0,X343+1,0),0)</f>
        <v>0</v>
      </c>
      <c r="Z343" s="150">
        <f>IF(Z$2&lt;=analysis_period,IF(SUM($C687:Z687)&gt;0,Y343+1,0),0)</f>
        <v>0</v>
      </c>
      <c r="AA343" s="150">
        <f>IF(AA$2&lt;=analysis_period,IF(SUM($C687:AA687)&gt;0,Z343+1,0),0)</f>
        <v>0</v>
      </c>
      <c r="AB343" s="150">
        <f>IF(AB$2&lt;=analysis_period,IF(SUM($C687:AB687)&gt;0,AA343+1,0),0)</f>
        <v>0</v>
      </c>
      <c r="AC343" s="150">
        <f>IF(AC$2&lt;=analysis_period,IF(SUM($C687:AC687)&gt;0,AB343+1,0),0)</f>
        <v>0</v>
      </c>
      <c r="AD343" s="150">
        <f>IF(AD$2&lt;=analysis_period,IF(SUM($C687:AD687)&gt;0,AC343+1,0),0)</f>
        <v>0</v>
      </c>
      <c r="AE343" s="150">
        <f>IF(AE$2&lt;=analysis_period,IF(SUM($C687:AE687)&gt;0,AD343+1,0),0)</f>
        <v>0</v>
      </c>
      <c r="AF343" s="150">
        <f>IF(AF$2&lt;=analysis_period,IF(SUM($C687:AF687)&gt;0,AE343+1,0),0)</f>
        <v>0</v>
      </c>
      <c r="AG343" s="150">
        <f>IF(AG$2&lt;=analysis_period,IF(SUM($C687:AG687)&gt;0,AF343+1,0),0)</f>
        <v>0</v>
      </c>
      <c r="AH343" s="150">
        <f>IF(AH$2&lt;=analysis_period,IF(SUM($C687:AH687)&gt;0,AG343+1,0),0)</f>
        <v>0</v>
      </c>
      <c r="AI343" s="150">
        <f>IF(AI$2&lt;=analysis_period,IF(SUM($C687:AI687)&gt;0,AH343+1,0),0)</f>
        <v>0</v>
      </c>
      <c r="AJ343" s="150">
        <f>IF(AJ$2&lt;=analysis_period,IF(SUM($C687:AJ687)&gt;0,AI343+1,0),0)</f>
        <v>0</v>
      </c>
      <c r="AK343" s="150">
        <f>IF(AK$2&lt;=analysis_period,IF(SUM($C687:AK687)&gt;0,AJ343+1,0),0)</f>
        <v>0</v>
      </c>
      <c r="AL343" s="150">
        <f>IF(AL$2&lt;=analysis_period,IF(SUM($C687:AL687)&gt;0,AK343+1,0),0)</f>
        <v>0</v>
      </c>
      <c r="AM343" s="150">
        <f>IF(AM$2&lt;=analysis_period,IF(SUM($C687:AM687)&gt;0,AL343+1,0),0)</f>
        <v>0</v>
      </c>
      <c r="AN343" s="150">
        <f>IF(AN$2&lt;=analysis_period,IF(SUM($C687:AN687)&gt;0,AM343+1,0),0)</f>
        <v>0</v>
      </c>
      <c r="AO343" s="150">
        <f>IF(AO$2&lt;=analysis_period,IF(SUM($C687:AO687)&gt;0,AN343+1,0),0)</f>
        <v>0</v>
      </c>
      <c r="AP343" s="150">
        <f>IF(AP$2&lt;=analysis_period,IF(SUM($C687:AP687)&gt;0,AO343+1,0),0)</f>
        <v>0</v>
      </c>
    </row>
    <row r="344" spans="1:42" x14ac:dyDescent="0.2">
      <c r="A344" s="4">
        <f t="shared" si="131"/>
        <v>7</v>
      </c>
      <c r="B344" s="4">
        <v>0</v>
      </c>
      <c r="C344" s="150">
        <f>IF(C$2&lt;=analysis_period,IF(SUM($C688:C688)&gt;0,B344+1,0),0)</f>
        <v>0</v>
      </c>
      <c r="D344" s="150">
        <f>IF(D$2&lt;=analysis_period,IF(SUM($C688:D688)&gt;0,C344+1,0),0)</f>
        <v>0</v>
      </c>
      <c r="E344" s="150">
        <f>IF(E$2&lt;=analysis_period,IF(SUM($C688:E688)&gt;0,D344+1,0),0)</f>
        <v>0</v>
      </c>
      <c r="F344" s="150">
        <f>IF(F$2&lt;=analysis_period,IF(SUM($C688:F688)&gt;0,E344+1,0),0)</f>
        <v>0</v>
      </c>
      <c r="G344" s="150">
        <f>IF(G$2&lt;=analysis_period,IF(SUM($C688:G688)&gt;0,F344+1,0),0)</f>
        <v>0</v>
      </c>
      <c r="H344" s="150">
        <f>IF(H$2&lt;=analysis_period,IF(SUM($C688:H688)&gt;0,G344+1,0),0)</f>
        <v>0</v>
      </c>
      <c r="I344" s="150">
        <f>IF(I$2&lt;=analysis_period,IF(SUM($C688:I688)&gt;0,H344+1,0),0)</f>
        <v>0</v>
      </c>
      <c r="J344" s="150">
        <f>IF(J$2&lt;=analysis_period,IF(SUM($C688:J688)&gt;0,I344+1,0),0)</f>
        <v>0</v>
      </c>
      <c r="K344" s="150">
        <f>IF(K$2&lt;=analysis_period,IF(SUM($C688:K688)&gt;0,J344+1,0),0)</f>
        <v>0</v>
      </c>
      <c r="L344" s="150">
        <f>IF(L$2&lt;=analysis_period,IF(SUM($C688:L688)&gt;0,K344+1,0),0)</f>
        <v>0</v>
      </c>
      <c r="M344" s="150">
        <f>IF(M$2&lt;=analysis_period,IF(SUM($C688:M688)&gt;0,L344+1,0),0)</f>
        <v>0</v>
      </c>
      <c r="N344" s="150">
        <f>IF(N$2&lt;=analysis_period,IF(SUM($C688:N688)&gt;0,M344+1,0),0)</f>
        <v>0</v>
      </c>
      <c r="O344" s="150">
        <f>IF(O$2&lt;=analysis_period,IF(SUM($C688:O688)&gt;0,N344+1,0),0)</f>
        <v>0</v>
      </c>
      <c r="P344" s="150">
        <f>IF(P$2&lt;=analysis_period,IF(SUM($C688:P688)&gt;0,O344+1,0),0)</f>
        <v>0</v>
      </c>
      <c r="Q344" s="150">
        <f>IF(Q$2&lt;=analysis_period,IF(SUM($C688:Q688)&gt;0,P344+1,0),0)</f>
        <v>0</v>
      </c>
      <c r="R344" s="150">
        <f>IF(R$2&lt;=analysis_period,IF(SUM($C688:R688)&gt;0,Q344+1,0),0)</f>
        <v>0</v>
      </c>
      <c r="S344" s="150">
        <f>IF(S$2&lt;=analysis_period,IF(SUM($C688:S688)&gt;0,R344+1,0),0)</f>
        <v>0</v>
      </c>
      <c r="T344" s="150">
        <f>IF(T$2&lt;=analysis_period,IF(SUM($C688:T688)&gt;0,S344+1,0),0)</f>
        <v>0</v>
      </c>
      <c r="U344" s="150">
        <f>IF(U$2&lt;=analysis_period,IF(SUM($C688:U688)&gt;0,T344+1,0),0)</f>
        <v>0</v>
      </c>
      <c r="V344" s="150">
        <f>IF(V$2&lt;=analysis_period,IF(SUM($C688:V688)&gt;0,U344+1,0),0)</f>
        <v>0</v>
      </c>
      <c r="W344" s="150">
        <f>IF(W$2&lt;=analysis_period,IF(SUM($C688:W688)&gt;0,V344+1,0),0)</f>
        <v>0</v>
      </c>
      <c r="X344" s="150">
        <f>IF(X$2&lt;=analysis_period,IF(SUM($C688:X688)&gt;0,W344+1,0),0)</f>
        <v>0</v>
      </c>
      <c r="Y344" s="150">
        <f>IF(Y$2&lt;=analysis_period,IF(SUM($C688:Y688)&gt;0,X344+1,0),0)</f>
        <v>0</v>
      </c>
      <c r="Z344" s="150">
        <f>IF(Z$2&lt;=analysis_period,IF(SUM($C688:Z688)&gt;0,Y344+1,0),0)</f>
        <v>0</v>
      </c>
      <c r="AA344" s="150">
        <f>IF(AA$2&lt;=analysis_period,IF(SUM($C688:AA688)&gt;0,Z344+1,0),0)</f>
        <v>0</v>
      </c>
      <c r="AB344" s="150">
        <f>IF(AB$2&lt;=analysis_period,IF(SUM($C688:AB688)&gt;0,AA344+1,0),0)</f>
        <v>0</v>
      </c>
      <c r="AC344" s="150">
        <f>IF(AC$2&lt;=analysis_period,IF(SUM($C688:AC688)&gt;0,AB344+1,0),0)</f>
        <v>0</v>
      </c>
      <c r="AD344" s="150">
        <f>IF(AD$2&lt;=analysis_period,IF(SUM($C688:AD688)&gt;0,AC344+1,0),0)</f>
        <v>0</v>
      </c>
      <c r="AE344" s="150">
        <f>IF(AE$2&lt;=analysis_period,IF(SUM($C688:AE688)&gt;0,AD344+1,0),0)</f>
        <v>0</v>
      </c>
      <c r="AF344" s="150">
        <f>IF(AF$2&lt;=analysis_period,IF(SUM($C688:AF688)&gt;0,AE344+1,0),0)</f>
        <v>0</v>
      </c>
      <c r="AG344" s="150">
        <f>IF(AG$2&lt;=analysis_period,IF(SUM($C688:AG688)&gt;0,AF344+1,0),0)</f>
        <v>0</v>
      </c>
      <c r="AH344" s="150">
        <f>IF(AH$2&lt;=analysis_period,IF(SUM($C688:AH688)&gt;0,AG344+1,0),0)</f>
        <v>0</v>
      </c>
      <c r="AI344" s="150">
        <f>IF(AI$2&lt;=analysis_period,IF(SUM($C688:AI688)&gt;0,AH344+1,0),0)</f>
        <v>0</v>
      </c>
      <c r="AJ344" s="150">
        <f>IF(AJ$2&lt;=analysis_period,IF(SUM($C688:AJ688)&gt;0,AI344+1,0),0)</f>
        <v>0</v>
      </c>
      <c r="AK344" s="150">
        <f>IF(AK$2&lt;=analysis_period,IF(SUM($C688:AK688)&gt;0,AJ344+1,0),0)</f>
        <v>0</v>
      </c>
      <c r="AL344" s="150">
        <f>IF(AL$2&lt;=analysis_period,IF(SUM($C688:AL688)&gt;0,AK344+1,0),0)</f>
        <v>0</v>
      </c>
      <c r="AM344" s="150">
        <f>IF(AM$2&lt;=analysis_period,IF(SUM($C688:AM688)&gt;0,AL344+1,0),0)</f>
        <v>0</v>
      </c>
      <c r="AN344" s="150">
        <f>IF(AN$2&lt;=analysis_period,IF(SUM($C688:AN688)&gt;0,AM344+1,0),0)</f>
        <v>0</v>
      </c>
      <c r="AO344" s="150">
        <f>IF(AO$2&lt;=analysis_period,IF(SUM($C688:AO688)&gt;0,AN344+1,0),0)</f>
        <v>0</v>
      </c>
      <c r="AP344" s="150">
        <f>IF(AP$2&lt;=analysis_period,IF(SUM($C688:AP688)&gt;0,AO344+1,0),0)</f>
        <v>0</v>
      </c>
    </row>
    <row r="345" spans="1:42" x14ac:dyDescent="0.2">
      <c r="A345" s="4">
        <f t="shared" si="131"/>
        <v>8</v>
      </c>
      <c r="B345" s="4">
        <v>0</v>
      </c>
      <c r="C345" s="150">
        <f>IF(C$2&lt;=analysis_period,IF(SUM($C689:C689)&gt;0,B345+1,0),0)</f>
        <v>0</v>
      </c>
      <c r="D345" s="150">
        <f>IF(D$2&lt;=analysis_period,IF(SUM($C689:D689)&gt;0,C345+1,0),0)</f>
        <v>0</v>
      </c>
      <c r="E345" s="150">
        <f>IF(E$2&lt;=analysis_period,IF(SUM($C689:E689)&gt;0,D345+1,0),0)</f>
        <v>0</v>
      </c>
      <c r="F345" s="150">
        <f>IF(F$2&lt;=analysis_period,IF(SUM($C689:F689)&gt;0,E345+1,0),0)</f>
        <v>0</v>
      </c>
      <c r="G345" s="150">
        <f>IF(G$2&lt;=analysis_period,IF(SUM($C689:G689)&gt;0,F345+1,0),0)</f>
        <v>0</v>
      </c>
      <c r="H345" s="150">
        <f>IF(H$2&lt;=analysis_period,IF(SUM($C689:H689)&gt;0,G345+1,0),0)</f>
        <v>0</v>
      </c>
      <c r="I345" s="150">
        <f>IF(I$2&lt;=analysis_period,IF(SUM($C689:I689)&gt;0,H345+1,0),0)</f>
        <v>0</v>
      </c>
      <c r="J345" s="150">
        <f>IF(J$2&lt;=analysis_period,IF(SUM($C689:J689)&gt;0,I345+1,0),0)</f>
        <v>0</v>
      </c>
      <c r="K345" s="150">
        <f>IF(K$2&lt;=analysis_period,IF(SUM($C689:K689)&gt;0,J345+1,0),0)</f>
        <v>0</v>
      </c>
      <c r="L345" s="150">
        <f>IF(L$2&lt;=analysis_period,IF(SUM($C689:L689)&gt;0,K345+1,0),0)</f>
        <v>0</v>
      </c>
      <c r="M345" s="150">
        <f>IF(M$2&lt;=analysis_period,IF(SUM($C689:M689)&gt;0,L345+1,0),0)</f>
        <v>0</v>
      </c>
      <c r="N345" s="150">
        <f>IF(N$2&lt;=analysis_period,IF(SUM($C689:N689)&gt;0,M345+1,0),0)</f>
        <v>0</v>
      </c>
      <c r="O345" s="150">
        <f>IF(O$2&lt;=analysis_period,IF(SUM($C689:O689)&gt;0,N345+1,0),0)</f>
        <v>0</v>
      </c>
      <c r="P345" s="150">
        <f>IF(P$2&lt;=analysis_period,IF(SUM($C689:P689)&gt;0,O345+1,0),0)</f>
        <v>0</v>
      </c>
      <c r="Q345" s="150">
        <f>IF(Q$2&lt;=analysis_period,IF(SUM($C689:Q689)&gt;0,P345+1,0),0)</f>
        <v>0</v>
      </c>
      <c r="R345" s="150">
        <f>IF(R$2&lt;=analysis_period,IF(SUM($C689:R689)&gt;0,Q345+1,0),0)</f>
        <v>0</v>
      </c>
      <c r="S345" s="150">
        <f>IF(S$2&lt;=analysis_period,IF(SUM($C689:S689)&gt;0,R345+1,0),0)</f>
        <v>0</v>
      </c>
      <c r="T345" s="150">
        <f>IF(T$2&lt;=analysis_period,IF(SUM($C689:T689)&gt;0,S345+1,0),0)</f>
        <v>0</v>
      </c>
      <c r="U345" s="150">
        <f>IF(U$2&lt;=analysis_period,IF(SUM($C689:U689)&gt;0,T345+1,0),0)</f>
        <v>0</v>
      </c>
      <c r="V345" s="150">
        <f>IF(V$2&lt;=analysis_period,IF(SUM($C689:V689)&gt;0,U345+1,0),0)</f>
        <v>0</v>
      </c>
      <c r="W345" s="150">
        <f>IF(W$2&lt;=analysis_period,IF(SUM($C689:W689)&gt;0,V345+1,0),0)</f>
        <v>0</v>
      </c>
      <c r="X345" s="150">
        <f>IF(X$2&lt;=analysis_period,IF(SUM($C689:X689)&gt;0,W345+1,0),0)</f>
        <v>0</v>
      </c>
      <c r="Y345" s="150">
        <f>IF(Y$2&lt;=analysis_period,IF(SUM($C689:Y689)&gt;0,X345+1,0),0)</f>
        <v>0</v>
      </c>
      <c r="Z345" s="150">
        <f>IF(Z$2&lt;=analysis_period,IF(SUM($C689:Z689)&gt;0,Y345+1,0),0)</f>
        <v>0</v>
      </c>
      <c r="AA345" s="150">
        <f>IF(AA$2&lt;=analysis_period,IF(SUM($C689:AA689)&gt;0,Z345+1,0),0)</f>
        <v>0</v>
      </c>
      <c r="AB345" s="150">
        <f>IF(AB$2&lt;=analysis_period,IF(SUM($C689:AB689)&gt;0,AA345+1,0),0)</f>
        <v>0</v>
      </c>
      <c r="AC345" s="150">
        <f>IF(AC$2&lt;=analysis_period,IF(SUM($C689:AC689)&gt;0,AB345+1,0),0)</f>
        <v>0</v>
      </c>
      <c r="AD345" s="150">
        <f>IF(AD$2&lt;=analysis_period,IF(SUM($C689:AD689)&gt;0,AC345+1,0),0)</f>
        <v>0</v>
      </c>
      <c r="AE345" s="150">
        <f>IF(AE$2&lt;=analysis_period,IF(SUM($C689:AE689)&gt;0,AD345+1,0),0)</f>
        <v>0</v>
      </c>
      <c r="AF345" s="150">
        <f>IF(AF$2&lt;=analysis_period,IF(SUM($C689:AF689)&gt;0,AE345+1,0),0)</f>
        <v>0</v>
      </c>
      <c r="AG345" s="150">
        <f>IF(AG$2&lt;=analysis_period,IF(SUM($C689:AG689)&gt;0,AF345+1,0),0)</f>
        <v>0</v>
      </c>
      <c r="AH345" s="150">
        <f>IF(AH$2&lt;=analysis_period,IF(SUM($C689:AH689)&gt;0,AG345+1,0),0)</f>
        <v>0</v>
      </c>
      <c r="AI345" s="150">
        <f>IF(AI$2&lt;=analysis_period,IF(SUM($C689:AI689)&gt;0,AH345+1,0),0)</f>
        <v>0</v>
      </c>
      <c r="AJ345" s="150">
        <f>IF(AJ$2&lt;=analysis_period,IF(SUM($C689:AJ689)&gt;0,AI345+1,0),0)</f>
        <v>0</v>
      </c>
      <c r="AK345" s="150">
        <f>IF(AK$2&lt;=analysis_period,IF(SUM($C689:AK689)&gt;0,AJ345+1,0),0)</f>
        <v>0</v>
      </c>
      <c r="AL345" s="150">
        <f>IF(AL$2&lt;=analysis_period,IF(SUM($C689:AL689)&gt;0,AK345+1,0),0)</f>
        <v>0</v>
      </c>
      <c r="AM345" s="150">
        <f>IF(AM$2&lt;=analysis_period,IF(SUM($C689:AM689)&gt;0,AL345+1,0),0)</f>
        <v>0</v>
      </c>
      <c r="AN345" s="150">
        <f>IF(AN$2&lt;=analysis_period,IF(SUM($C689:AN689)&gt;0,AM345+1,0),0)</f>
        <v>0</v>
      </c>
      <c r="AO345" s="150">
        <f>IF(AO$2&lt;=analysis_period,IF(SUM($C689:AO689)&gt;0,AN345+1,0),0)</f>
        <v>0</v>
      </c>
      <c r="AP345" s="150">
        <f>IF(AP$2&lt;=analysis_period,IF(SUM($C689:AP689)&gt;0,AO345+1,0),0)</f>
        <v>0</v>
      </c>
    </row>
    <row r="346" spans="1:42" x14ac:dyDescent="0.2">
      <c r="A346" s="4">
        <f>A345+1</f>
        <v>9</v>
      </c>
      <c r="B346" s="4">
        <v>0</v>
      </c>
      <c r="C346" s="150">
        <f>IF(C$2&lt;=analysis_period,IF(SUM($C690:C690)&gt;0,B346+1,0),0)</f>
        <v>0</v>
      </c>
      <c r="D346" s="150">
        <f>IF(D$2&lt;=analysis_period,IF(SUM($C690:D690)&gt;0,C346+1,0),0)</f>
        <v>0</v>
      </c>
      <c r="E346" s="150">
        <f>IF(E$2&lt;=analysis_period,IF(SUM($C690:E690)&gt;0,D346+1,0),0)</f>
        <v>0</v>
      </c>
      <c r="F346" s="150">
        <f>IF(F$2&lt;=analysis_period,IF(SUM($C690:F690)&gt;0,E346+1,0),0)</f>
        <v>0</v>
      </c>
      <c r="G346" s="150">
        <f>IF(G$2&lt;=analysis_period,IF(SUM($C690:G690)&gt;0,F346+1,0),0)</f>
        <v>0</v>
      </c>
      <c r="H346" s="150">
        <f>IF(H$2&lt;=analysis_period,IF(SUM($C690:H690)&gt;0,G346+1,0),0)</f>
        <v>0</v>
      </c>
      <c r="I346" s="150">
        <f>IF(I$2&lt;=analysis_period,IF(SUM($C690:I690)&gt;0,H346+1,0),0)</f>
        <v>0</v>
      </c>
      <c r="J346" s="150">
        <f>IF(J$2&lt;=analysis_period,IF(SUM($C690:J690)&gt;0,I346+1,0),0)</f>
        <v>0</v>
      </c>
      <c r="K346" s="150">
        <f>IF(K$2&lt;=analysis_period,IF(SUM($C690:K690)&gt;0,J346+1,0),0)</f>
        <v>0</v>
      </c>
      <c r="L346" s="150">
        <f>IF(L$2&lt;=analysis_period,IF(SUM($C690:L690)&gt;0,K346+1,0),0)</f>
        <v>0</v>
      </c>
      <c r="M346" s="150">
        <f>IF(M$2&lt;=analysis_period,IF(SUM($C690:M690)&gt;0,L346+1,0),0)</f>
        <v>0</v>
      </c>
      <c r="N346" s="150">
        <f>IF(N$2&lt;=analysis_period,IF(SUM($C690:N690)&gt;0,M346+1,0),0)</f>
        <v>0</v>
      </c>
      <c r="O346" s="150">
        <f>IF(O$2&lt;=analysis_period,IF(SUM($C690:O690)&gt;0,N346+1,0),0)</f>
        <v>0</v>
      </c>
      <c r="P346" s="150">
        <f>IF(P$2&lt;=analysis_period,IF(SUM($C690:P690)&gt;0,O346+1,0),0)</f>
        <v>0</v>
      </c>
      <c r="Q346" s="150">
        <f>IF(Q$2&lt;=analysis_period,IF(SUM($C690:Q690)&gt;0,P346+1,0),0)</f>
        <v>0</v>
      </c>
      <c r="R346" s="150">
        <f>IF(R$2&lt;=analysis_period,IF(SUM($C690:R690)&gt;0,Q346+1,0),0)</f>
        <v>0</v>
      </c>
      <c r="S346" s="150">
        <f>IF(S$2&lt;=analysis_period,IF(SUM($C690:S690)&gt;0,R346+1,0),0)</f>
        <v>0</v>
      </c>
      <c r="T346" s="150">
        <f>IF(T$2&lt;=analysis_period,IF(SUM($C690:T690)&gt;0,S346+1,0),0)</f>
        <v>0</v>
      </c>
      <c r="U346" s="150">
        <f>IF(U$2&lt;=analysis_period,IF(SUM($C690:U690)&gt;0,T346+1,0),0)</f>
        <v>0</v>
      </c>
      <c r="V346" s="150">
        <f>IF(V$2&lt;=analysis_period,IF(SUM($C690:V690)&gt;0,U346+1,0),0)</f>
        <v>0</v>
      </c>
      <c r="W346" s="150">
        <f>IF(W$2&lt;=analysis_period,IF(SUM($C690:W690)&gt;0,V346+1,0),0)</f>
        <v>0</v>
      </c>
      <c r="X346" s="150">
        <f>IF(X$2&lt;=analysis_period,IF(SUM($C690:X690)&gt;0,W346+1,0),0)</f>
        <v>0</v>
      </c>
      <c r="Y346" s="150">
        <f>IF(Y$2&lt;=analysis_period,IF(SUM($C690:Y690)&gt;0,X346+1,0),0)</f>
        <v>0</v>
      </c>
      <c r="Z346" s="150">
        <f>IF(Z$2&lt;=analysis_period,IF(SUM($C690:Z690)&gt;0,Y346+1,0),0)</f>
        <v>0</v>
      </c>
      <c r="AA346" s="150">
        <f>IF(AA$2&lt;=analysis_period,IF(SUM($C690:AA690)&gt;0,Z346+1,0),0)</f>
        <v>0</v>
      </c>
      <c r="AB346" s="150">
        <f>IF(AB$2&lt;=analysis_period,IF(SUM($C690:AB690)&gt;0,AA346+1,0),0)</f>
        <v>0</v>
      </c>
      <c r="AC346" s="150">
        <f>IF(AC$2&lt;=analysis_period,IF(SUM($C690:AC690)&gt;0,AB346+1,0),0)</f>
        <v>0</v>
      </c>
      <c r="AD346" s="150">
        <f>IF(AD$2&lt;=analysis_period,IF(SUM($C690:AD690)&gt;0,AC346+1,0),0)</f>
        <v>0</v>
      </c>
      <c r="AE346" s="150">
        <f>IF(AE$2&lt;=analysis_period,IF(SUM($C690:AE690)&gt;0,AD346+1,0),0)</f>
        <v>0</v>
      </c>
      <c r="AF346" s="150">
        <f>IF(AF$2&lt;=analysis_period,IF(SUM($C690:AF690)&gt;0,AE346+1,0),0)</f>
        <v>0</v>
      </c>
      <c r="AG346" s="150">
        <f>IF(AG$2&lt;=analysis_period,IF(SUM($C690:AG690)&gt;0,AF346+1,0),0)</f>
        <v>0</v>
      </c>
      <c r="AH346" s="150">
        <f>IF(AH$2&lt;=analysis_period,IF(SUM($C690:AH690)&gt;0,AG346+1,0),0)</f>
        <v>0</v>
      </c>
      <c r="AI346" s="150">
        <f>IF(AI$2&lt;=analysis_period,IF(SUM($C690:AI690)&gt;0,AH346+1,0),0)</f>
        <v>0</v>
      </c>
      <c r="AJ346" s="150">
        <f>IF(AJ$2&lt;=analysis_period,IF(SUM($C690:AJ690)&gt;0,AI346+1,0),0)</f>
        <v>0</v>
      </c>
      <c r="AK346" s="150">
        <f>IF(AK$2&lt;=analysis_period,IF(SUM($C690:AK690)&gt;0,AJ346+1,0),0)</f>
        <v>0</v>
      </c>
      <c r="AL346" s="150">
        <f>IF(AL$2&lt;=analysis_period,IF(SUM($C690:AL690)&gt;0,AK346+1,0),0)</f>
        <v>0</v>
      </c>
      <c r="AM346" s="150">
        <f>IF(AM$2&lt;=analysis_period,IF(SUM($C690:AM690)&gt;0,AL346+1,0),0)</f>
        <v>0</v>
      </c>
      <c r="AN346" s="150">
        <f>IF(AN$2&lt;=analysis_period,IF(SUM($C690:AN690)&gt;0,AM346+1,0),0)</f>
        <v>0</v>
      </c>
      <c r="AO346" s="150">
        <f>IF(AO$2&lt;=analysis_period,IF(SUM($C690:AO690)&gt;0,AN346+1,0),0)</f>
        <v>0</v>
      </c>
      <c r="AP346" s="150">
        <f>IF(AP$2&lt;=analysis_period,IF(SUM($C690:AP690)&gt;0,AO346+1,0),0)</f>
        <v>0</v>
      </c>
    </row>
    <row r="347" spans="1:42" x14ac:dyDescent="0.2">
      <c r="A347" s="4">
        <f t="shared" si="131"/>
        <v>10</v>
      </c>
      <c r="B347" s="4">
        <v>0</v>
      </c>
      <c r="C347" s="150">
        <f>IF(C$2&lt;=analysis_period,IF(SUM($C691:C691)&gt;0,B347+1,0),0)</f>
        <v>0</v>
      </c>
      <c r="D347" s="150">
        <f>IF(D$2&lt;=analysis_period,IF(SUM($C691:D691)&gt;0,C347+1,0),0)</f>
        <v>0</v>
      </c>
      <c r="E347" s="150">
        <f>IF(E$2&lt;=analysis_period,IF(SUM($C691:E691)&gt;0,D347+1,0),0)</f>
        <v>0</v>
      </c>
      <c r="F347" s="150">
        <f>IF(F$2&lt;=analysis_period,IF(SUM($C691:F691)&gt;0,E347+1,0),0)</f>
        <v>0</v>
      </c>
      <c r="G347" s="150">
        <f>IF(G$2&lt;=analysis_period,IF(SUM($C691:G691)&gt;0,F347+1,0),0)</f>
        <v>0</v>
      </c>
      <c r="H347" s="150">
        <f>IF(H$2&lt;=analysis_period,IF(SUM($C691:H691)&gt;0,G347+1,0),0)</f>
        <v>0</v>
      </c>
      <c r="I347" s="150">
        <f>IF(I$2&lt;=analysis_period,IF(SUM($C691:I691)&gt;0,H347+1,0),0)</f>
        <v>0</v>
      </c>
      <c r="J347" s="150">
        <f>IF(J$2&lt;=analysis_period,IF(SUM($C691:J691)&gt;0,I347+1,0),0)</f>
        <v>0</v>
      </c>
      <c r="K347" s="150">
        <f>IF(K$2&lt;=analysis_period,IF(SUM($C691:K691)&gt;0,J347+1,0),0)</f>
        <v>0</v>
      </c>
      <c r="L347" s="150">
        <f>IF(L$2&lt;=analysis_period,IF(SUM($C691:L691)&gt;0,K347+1,0),0)</f>
        <v>0</v>
      </c>
      <c r="M347" s="150">
        <f>IF(M$2&lt;=analysis_period,IF(SUM($C691:M691)&gt;0,L347+1,0),0)</f>
        <v>0</v>
      </c>
      <c r="N347" s="150">
        <f>IF(N$2&lt;=analysis_period,IF(SUM($C691:N691)&gt;0,M347+1,0),0)</f>
        <v>0</v>
      </c>
      <c r="O347" s="150">
        <f>IF(O$2&lt;=analysis_period,IF(SUM($C691:O691)&gt;0,N347+1,0),0)</f>
        <v>0</v>
      </c>
      <c r="P347" s="150">
        <f>IF(P$2&lt;=analysis_period,IF(SUM($C691:P691)&gt;0,O347+1,0),0)</f>
        <v>0</v>
      </c>
      <c r="Q347" s="150">
        <f>IF(Q$2&lt;=analysis_period,IF(SUM($C691:Q691)&gt;0,P347+1,0),0)</f>
        <v>0</v>
      </c>
      <c r="R347" s="150">
        <f>IF(R$2&lt;=analysis_period,IF(SUM($C691:R691)&gt;0,Q347+1,0),0)</f>
        <v>0</v>
      </c>
      <c r="S347" s="150">
        <f>IF(S$2&lt;=analysis_period,IF(SUM($C691:S691)&gt;0,R347+1,0),0)</f>
        <v>0</v>
      </c>
      <c r="T347" s="150">
        <f>IF(T$2&lt;=analysis_period,IF(SUM($C691:T691)&gt;0,S347+1,0),0)</f>
        <v>0</v>
      </c>
      <c r="U347" s="150">
        <f>IF(U$2&lt;=analysis_period,IF(SUM($C691:U691)&gt;0,T347+1,0),0)</f>
        <v>0</v>
      </c>
      <c r="V347" s="150">
        <f>IF(V$2&lt;=analysis_period,IF(SUM($C691:V691)&gt;0,U347+1,0),0)</f>
        <v>0</v>
      </c>
      <c r="W347" s="150">
        <f>IF(W$2&lt;=analysis_period,IF(SUM($C691:W691)&gt;0,V347+1,0),0)</f>
        <v>0</v>
      </c>
      <c r="X347" s="150">
        <f>IF(X$2&lt;=analysis_period,IF(SUM($C691:X691)&gt;0,W347+1,0),0)</f>
        <v>0</v>
      </c>
      <c r="Y347" s="150">
        <f>IF(Y$2&lt;=analysis_period,IF(SUM($C691:Y691)&gt;0,X347+1,0),0)</f>
        <v>0</v>
      </c>
      <c r="Z347" s="150">
        <f>IF(Z$2&lt;=analysis_period,IF(SUM($C691:Z691)&gt;0,Y347+1,0),0)</f>
        <v>0</v>
      </c>
      <c r="AA347" s="150">
        <f>IF(AA$2&lt;=analysis_period,IF(SUM($C691:AA691)&gt;0,Z347+1,0),0)</f>
        <v>0</v>
      </c>
      <c r="AB347" s="150">
        <f>IF(AB$2&lt;=analysis_period,IF(SUM($C691:AB691)&gt;0,AA347+1,0),0)</f>
        <v>0</v>
      </c>
      <c r="AC347" s="150">
        <f>IF(AC$2&lt;=analysis_period,IF(SUM($C691:AC691)&gt;0,AB347+1,0),0)</f>
        <v>0</v>
      </c>
      <c r="AD347" s="150">
        <f>IF(AD$2&lt;=analysis_period,IF(SUM($C691:AD691)&gt;0,AC347+1,0),0)</f>
        <v>0</v>
      </c>
      <c r="AE347" s="150">
        <f>IF(AE$2&lt;=analysis_period,IF(SUM($C691:AE691)&gt;0,AD347+1,0),0)</f>
        <v>0</v>
      </c>
      <c r="AF347" s="150">
        <f>IF(AF$2&lt;=analysis_period,IF(SUM($C691:AF691)&gt;0,AE347+1,0),0)</f>
        <v>0</v>
      </c>
      <c r="AG347" s="150">
        <f>IF(AG$2&lt;=analysis_period,IF(SUM($C691:AG691)&gt;0,AF347+1,0),0)</f>
        <v>0</v>
      </c>
      <c r="AH347" s="150">
        <f>IF(AH$2&lt;=analysis_period,IF(SUM($C691:AH691)&gt;0,AG347+1,0),0)</f>
        <v>0</v>
      </c>
      <c r="AI347" s="150">
        <f>IF(AI$2&lt;=analysis_period,IF(SUM($C691:AI691)&gt;0,AH347+1,0),0)</f>
        <v>0</v>
      </c>
      <c r="AJ347" s="150">
        <f>IF(AJ$2&lt;=analysis_period,IF(SUM($C691:AJ691)&gt;0,AI347+1,0),0)</f>
        <v>0</v>
      </c>
      <c r="AK347" s="150">
        <f>IF(AK$2&lt;=analysis_period,IF(SUM($C691:AK691)&gt;0,AJ347+1,0),0)</f>
        <v>0</v>
      </c>
      <c r="AL347" s="150">
        <f>IF(AL$2&lt;=analysis_period,IF(SUM($C691:AL691)&gt;0,AK347+1,0),0)</f>
        <v>0</v>
      </c>
      <c r="AM347" s="150">
        <f>IF(AM$2&lt;=analysis_period,IF(SUM($C691:AM691)&gt;0,AL347+1,0),0)</f>
        <v>0</v>
      </c>
      <c r="AN347" s="150">
        <f>IF(AN$2&lt;=analysis_period,IF(SUM($C691:AN691)&gt;0,AM347+1,0),0)</f>
        <v>0</v>
      </c>
      <c r="AO347" s="150">
        <f>IF(AO$2&lt;=analysis_period,IF(SUM($C691:AO691)&gt;0,AN347+1,0),0)</f>
        <v>0</v>
      </c>
      <c r="AP347" s="150">
        <f>IF(AP$2&lt;=analysis_period,IF(SUM($C691:AP691)&gt;0,AO347+1,0),0)</f>
        <v>0</v>
      </c>
    </row>
    <row r="348" spans="1:42" x14ac:dyDescent="0.2">
      <c r="A348" s="21"/>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row>
    <row r="349" spans="1:42" x14ac:dyDescent="0.2">
      <c r="A349" s="87" t="s">
        <v>63</v>
      </c>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row>
    <row r="350" spans="1:42" x14ac:dyDescent="0.2">
      <c r="A350" s="4">
        <v>1</v>
      </c>
      <c r="B350" s="173">
        <f t="shared" ref="B350:B359" si="132">SUM(C350:AP350)</f>
        <v>0</v>
      </c>
      <c r="C350" s="150">
        <f t="shared" ref="C350:AP350" si="133">LOOKUP(C338,$B$308:$AP$308,$B$309:$AP$309)/100*$B682</f>
        <v>0</v>
      </c>
      <c r="D350" s="150">
        <f t="shared" si="133"/>
        <v>0</v>
      </c>
      <c r="E350" s="150">
        <f t="shared" si="133"/>
        <v>0</v>
      </c>
      <c r="F350" s="150">
        <f t="shared" si="133"/>
        <v>0</v>
      </c>
      <c r="G350" s="150">
        <f t="shared" si="133"/>
        <v>0</v>
      </c>
      <c r="H350" s="150">
        <f t="shared" si="133"/>
        <v>0</v>
      </c>
      <c r="I350" s="150">
        <f t="shared" si="133"/>
        <v>0</v>
      </c>
      <c r="J350" s="150">
        <f t="shared" si="133"/>
        <v>0</v>
      </c>
      <c r="K350" s="150">
        <f t="shared" si="133"/>
        <v>0</v>
      </c>
      <c r="L350" s="150">
        <f t="shared" si="133"/>
        <v>0</v>
      </c>
      <c r="M350" s="150">
        <f t="shared" si="133"/>
        <v>0</v>
      </c>
      <c r="N350" s="150">
        <f t="shared" si="133"/>
        <v>0</v>
      </c>
      <c r="O350" s="150">
        <f t="shared" si="133"/>
        <v>0</v>
      </c>
      <c r="P350" s="150">
        <f t="shared" si="133"/>
        <v>0</v>
      </c>
      <c r="Q350" s="150">
        <f t="shared" si="133"/>
        <v>0</v>
      </c>
      <c r="R350" s="150">
        <f t="shared" si="133"/>
        <v>0</v>
      </c>
      <c r="S350" s="150">
        <f t="shared" si="133"/>
        <v>0</v>
      </c>
      <c r="T350" s="150">
        <f t="shared" si="133"/>
        <v>0</v>
      </c>
      <c r="U350" s="150">
        <f t="shared" si="133"/>
        <v>0</v>
      </c>
      <c r="V350" s="150">
        <f t="shared" si="133"/>
        <v>0</v>
      </c>
      <c r="W350" s="150">
        <f t="shared" si="133"/>
        <v>0</v>
      </c>
      <c r="X350" s="150">
        <f t="shared" si="133"/>
        <v>0</v>
      </c>
      <c r="Y350" s="150">
        <f t="shared" si="133"/>
        <v>0</v>
      </c>
      <c r="Z350" s="150">
        <f t="shared" si="133"/>
        <v>0</v>
      </c>
      <c r="AA350" s="150">
        <f t="shared" si="133"/>
        <v>0</v>
      </c>
      <c r="AB350" s="150">
        <f t="shared" si="133"/>
        <v>0</v>
      </c>
      <c r="AC350" s="150">
        <f t="shared" si="133"/>
        <v>0</v>
      </c>
      <c r="AD350" s="150">
        <f t="shared" si="133"/>
        <v>0</v>
      </c>
      <c r="AE350" s="150">
        <f t="shared" si="133"/>
        <v>0</v>
      </c>
      <c r="AF350" s="150">
        <f t="shared" si="133"/>
        <v>0</v>
      </c>
      <c r="AG350" s="150">
        <f t="shared" si="133"/>
        <v>0</v>
      </c>
      <c r="AH350" s="150">
        <f t="shared" si="133"/>
        <v>0</v>
      </c>
      <c r="AI350" s="150">
        <f t="shared" si="133"/>
        <v>0</v>
      </c>
      <c r="AJ350" s="150">
        <f t="shared" si="133"/>
        <v>0</v>
      </c>
      <c r="AK350" s="150">
        <f t="shared" si="133"/>
        <v>0</v>
      </c>
      <c r="AL350" s="150">
        <f t="shared" si="133"/>
        <v>0</v>
      </c>
      <c r="AM350" s="150">
        <f t="shared" si="133"/>
        <v>0</v>
      </c>
      <c r="AN350" s="150">
        <f t="shared" si="133"/>
        <v>0</v>
      </c>
      <c r="AO350" s="150">
        <f t="shared" si="133"/>
        <v>0</v>
      </c>
      <c r="AP350" s="150">
        <f t="shared" si="133"/>
        <v>0</v>
      </c>
    </row>
    <row r="351" spans="1:42" x14ac:dyDescent="0.2">
      <c r="A351" s="4">
        <f>A350+1</f>
        <v>2</v>
      </c>
      <c r="B351" s="173">
        <f t="shared" si="132"/>
        <v>0</v>
      </c>
      <c r="C351" s="150">
        <f t="shared" ref="C351:AP351" si="134">LOOKUP(C339,$B$308:$AP$308,$B$309:$AP$309)/100*$B683</f>
        <v>0</v>
      </c>
      <c r="D351" s="150">
        <f t="shared" si="134"/>
        <v>0</v>
      </c>
      <c r="E351" s="150">
        <f t="shared" si="134"/>
        <v>0</v>
      </c>
      <c r="F351" s="150">
        <f t="shared" si="134"/>
        <v>0</v>
      </c>
      <c r="G351" s="150">
        <f t="shared" si="134"/>
        <v>0</v>
      </c>
      <c r="H351" s="150">
        <f t="shared" si="134"/>
        <v>0</v>
      </c>
      <c r="I351" s="150">
        <f t="shared" si="134"/>
        <v>0</v>
      </c>
      <c r="J351" s="150">
        <f t="shared" si="134"/>
        <v>0</v>
      </c>
      <c r="K351" s="150">
        <f t="shared" si="134"/>
        <v>0</v>
      </c>
      <c r="L351" s="150">
        <f t="shared" si="134"/>
        <v>0</v>
      </c>
      <c r="M351" s="150">
        <f t="shared" si="134"/>
        <v>0</v>
      </c>
      <c r="N351" s="150">
        <f t="shared" si="134"/>
        <v>0</v>
      </c>
      <c r="O351" s="150">
        <f t="shared" si="134"/>
        <v>0</v>
      </c>
      <c r="P351" s="150">
        <f t="shared" si="134"/>
        <v>0</v>
      </c>
      <c r="Q351" s="150">
        <f t="shared" si="134"/>
        <v>0</v>
      </c>
      <c r="R351" s="150">
        <f t="shared" si="134"/>
        <v>0</v>
      </c>
      <c r="S351" s="150">
        <f t="shared" si="134"/>
        <v>0</v>
      </c>
      <c r="T351" s="150">
        <f t="shared" si="134"/>
        <v>0</v>
      </c>
      <c r="U351" s="150">
        <f t="shared" si="134"/>
        <v>0</v>
      </c>
      <c r="V351" s="150">
        <f t="shared" si="134"/>
        <v>0</v>
      </c>
      <c r="W351" s="150">
        <f t="shared" si="134"/>
        <v>0</v>
      </c>
      <c r="X351" s="150">
        <f t="shared" si="134"/>
        <v>0</v>
      </c>
      <c r="Y351" s="150">
        <f t="shared" si="134"/>
        <v>0</v>
      </c>
      <c r="Z351" s="150">
        <f t="shared" si="134"/>
        <v>0</v>
      </c>
      <c r="AA351" s="150">
        <f t="shared" si="134"/>
        <v>0</v>
      </c>
      <c r="AB351" s="150">
        <f t="shared" si="134"/>
        <v>0</v>
      </c>
      <c r="AC351" s="150">
        <f t="shared" si="134"/>
        <v>0</v>
      </c>
      <c r="AD351" s="150">
        <f t="shared" si="134"/>
        <v>0</v>
      </c>
      <c r="AE351" s="150">
        <f t="shared" si="134"/>
        <v>0</v>
      </c>
      <c r="AF351" s="150">
        <f t="shared" si="134"/>
        <v>0</v>
      </c>
      <c r="AG351" s="150">
        <f t="shared" si="134"/>
        <v>0</v>
      </c>
      <c r="AH351" s="150">
        <f t="shared" si="134"/>
        <v>0</v>
      </c>
      <c r="AI351" s="150">
        <f t="shared" si="134"/>
        <v>0</v>
      </c>
      <c r="AJ351" s="150">
        <f t="shared" si="134"/>
        <v>0</v>
      </c>
      <c r="AK351" s="150">
        <f t="shared" si="134"/>
        <v>0</v>
      </c>
      <c r="AL351" s="150">
        <f t="shared" si="134"/>
        <v>0</v>
      </c>
      <c r="AM351" s="150">
        <f t="shared" si="134"/>
        <v>0</v>
      </c>
      <c r="AN351" s="150">
        <f t="shared" si="134"/>
        <v>0</v>
      </c>
      <c r="AO351" s="150">
        <f t="shared" si="134"/>
        <v>0</v>
      </c>
      <c r="AP351" s="150">
        <f t="shared" si="134"/>
        <v>0</v>
      </c>
    </row>
    <row r="352" spans="1:42" x14ac:dyDescent="0.2">
      <c r="A352" s="4">
        <f t="shared" ref="A352:A359" si="135">A351+1</f>
        <v>3</v>
      </c>
      <c r="B352" s="173">
        <f t="shared" si="132"/>
        <v>0</v>
      </c>
      <c r="C352" s="150">
        <f t="shared" ref="C352:AP352" si="136">LOOKUP(C340,$B$308:$AP$308,$B$309:$AP$309)/100*$B684</f>
        <v>0</v>
      </c>
      <c r="D352" s="150">
        <f t="shared" si="136"/>
        <v>0</v>
      </c>
      <c r="E352" s="150">
        <f t="shared" si="136"/>
        <v>0</v>
      </c>
      <c r="F352" s="150">
        <f t="shared" si="136"/>
        <v>0</v>
      </c>
      <c r="G352" s="150">
        <f t="shared" si="136"/>
        <v>0</v>
      </c>
      <c r="H352" s="150">
        <f t="shared" si="136"/>
        <v>0</v>
      </c>
      <c r="I352" s="150">
        <f t="shared" si="136"/>
        <v>0</v>
      </c>
      <c r="J352" s="150">
        <f t="shared" si="136"/>
        <v>0</v>
      </c>
      <c r="K352" s="150">
        <f t="shared" si="136"/>
        <v>0</v>
      </c>
      <c r="L352" s="150">
        <f t="shared" si="136"/>
        <v>0</v>
      </c>
      <c r="M352" s="150">
        <f t="shared" si="136"/>
        <v>0</v>
      </c>
      <c r="N352" s="150">
        <f t="shared" si="136"/>
        <v>0</v>
      </c>
      <c r="O352" s="150">
        <f t="shared" si="136"/>
        <v>0</v>
      </c>
      <c r="P352" s="150">
        <f t="shared" si="136"/>
        <v>0</v>
      </c>
      <c r="Q352" s="150">
        <f t="shared" si="136"/>
        <v>0</v>
      </c>
      <c r="R352" s="150">
        <f t="shared" si="136"/>
        <v>0</v>
      </c>
      <c r="S352" s="150">
        <f t="shared" si="136"/>
        <v>0</v>
      </c>
      <c r="T352" s="150">
        <f t="shared" si="136"/>
        <v>0</v>
      </c>
      <c r="U352" s="150">
        <f t="shared" si="136"/>
        <v>0</v>
      </c>
      <c r="V352" s="150">
        <f t="shared" si="136"/>
        <v>0</v>
      </c>
      <c r="W352" s="150">
        <f t="shared" si="136"/>
        <v>0</v>
      </c>
      <c r="X352" s="150">
        <f t="shared" si="136"/>
        <v>0</v>
      </c>
      <c r="Y352" s="150">
        <f t="shared" si="136"/>
        <v>0</v>
      </c>
      <c r="Z352" s="150">
        <f t="shared" si="136"/>
        <v>0</v>
      </c>
      <c r="AA352" s="150">
        <f t="shared" si="136"/>
        <v>0</v>
      </c>
      <c r="AB352" s="150">
        <f t="shared" si="136"/>
        <v>0</v>
      </c>
      <c r="AC352" s="150">
        <f t="shared" si="136"/>
        <v>0</v>
      </c>
      <c r="AD352" s="150">
        <f t="shared" si="136"/>
        <v>0</v>
      </c>
      <c r="AE352" s="150">
        <f t="shared" si="136"/>
        <v>0</v>
      </c>
      <c r="AF352" s="150">
        <f t="shared" si="136"/>
        <v>0</v>
      </c>
      <c r="AG352" s="150">
        <f t="shared" si="136"/>
        <v>0</v>
      </c>
      <c r="AH352" s="150">
        <f t="shared" si="136"/>
        <v>0</v>
      </c>
      <c r="AI352" s="150">
        <f t="shared" si="136"/>
        <v>0</v>
      </c>
      <c r="AJ352" s="150">
        <f t="shared" si="136"/>
        <v>0</v>
      </c>
      <c r="AK352" s="150">
        <f t="shared" si="136"/>
        <v>0</v>
      </c>
      <c r="AL352" s="150">
        <f t="shared" si="136"/>
        <v>0</v>
      </c>
      <c r="AM352" s="150">
        <f t="shared" si="136"/>
        <v>0</v>
      </c>
      <c r="AN352" s="150">
        <f t="shared" si="136"/>
        <v>0</v>
      </c>
      <c r="AO352" s="150">
        <f t="shared" si="136"/>
        <v>0</v>
      </c>
      <c r="AP352" s="150">
        <f t="shared" si="136"/>
        <v>0</v>
      </c>
    </row>
    <row r="353" spans="1:42" x14ac:dyDescent="0.2">
      <c r="A353" s="4">
        <f t="shared" si="135"/>
        <v>4</v>
      </c>
      <c r="B353" s="173">
        <f t="shared" si="132"/>
        <v>0</v>
      </c>
      <c r="C353" s="150">
        <f t="shared" ref="C353:AP353" si="137">LOOKUP(C341,$B$308:$AP$308,$B$309:$AP$309)/100*$B685</f>
        <v>0</v>
      </c>
      <c r="D353" s="150">
        <f t="shared" si="137"/>
        <v>0</v>
      </c>
      <c r="E353" s="150">
        <f t="shared" si="137"/>
        <v>0</v>
      </c>
      <c r="F353" s="150">
        <f t="shared" si="137"/>
        <v>0</v>
      </c>
      <c r="G353" s="150">
        <f t="shared" si="137"/>
        <v>0</v>
      </c>
      <c r="H353" s="150">
        <f t="shared" si="137"/>
        <v>0</v>
      </c>
      <c r="I353" s="150">
        <f t="shared" si="137"/>
        <v>0</v>
      </c>
      <c r="J353" s="150">
        <f t="shared" si="137"/>
        <v>0</v>
      </c>
      <c r="K353" s="150">
        <f t="shared" si="137"/>
        <v>0</v>
      </c>
      <c r="L353" s="150">
        <f t="shared" si="137"/>
        <v>0</v>
      </c>
      <c r="M353" s="150">
        <f t="shared" si="137"/>
        <v>0</v>
      </c>
      <c r="N353" s="150">
        <f t="shared" si="137"/>
        <v>0</v>
      </c>
      <c r="O353" s="150">
        <f t="shared" si="137"/>
        <v>0</v>
      </c>
      <c r="P353" s="150">
        <f t="shared" si="137"/>
        <v>0</v>
      </c>
      <c r="Q353" s="150">
        <f t="shared" si="137"/>
        <v>0</v>
      </c>
      <c r="R353" s="150">
        <f t="shared" si="137"/>
        <v>0</v>
      </c>
      <c r="S353" s="150">
        <f t="shared" si="137"/>
        <v>0</v>
      </c>
      <c r="T353" s="150">
        <f t="shared" si="137"/>
        <v>0</v>
      </c>
      <c r="U353" s="150">
        <f t="shared" si="137"/>
        <v>0</v>
      </c>
      <c r="V353" s="150">
        <f t="shared" si="137"/>
        <v>0</v>
      </c>
      <c r="W353" s="150">
        <f t="shared" si="137"/>
        <v>0</v>
      </c>
      <c r="X353" s="150">
        <f t="shared" si="137"/>
        <v>0</v>
      </c>
      <c r="Y353" s="150">
        <f t="shared" si="137"/>
        <v>0</v>
      </c>
      <c r="Z353" s="150">
        <f t="shared" si="137"/>
        <v>0</v>
      </c>
      <c r="AA353" s="150">
        <f t="shared" si="137"/>
        <v>0</v>
      </c>
      <c r="AB353" s="150">
        <f t="shared" si="137"/>
        <v>0</v>
      </c>
      <c r="AC353" s="150">
        <f t="shared" si="137"/>
        <v>0</v>
      </c>
      <c r="AD353" s="150">
        <f t="shared" si="137"/>
        <v>0</v>
      </c>
      <c r="AE353" s="150">
        <f t="shared" si="137"/>
        <v>0</v>
      </c>
      <c r="AF353" s="150">
        <f t="shared" si="137"/>
        <v>0</v>
      </c>
      <c r="AG353" s="150">
        <f t="shared" si="137"/>
        <v>0</v>
      </c>
      <c r="AH353" s="150">
        <f t="shared" si="137"/>
        <v>0</v>
      </c>
      <c r="AI353" s="150">
        <f t="shared" si="137"/>
        <v>0</v>
      </c>
      <c r="AJ353" s="150">
        <f t="shared" si="137"/>
        <v>0</v>
      </c>
      <c r="AK353" s="150">
        <f t="shared" si="137"/>
        <v>0</v>
      </c>
      <c r="AL353" s="150">
        <f t="shared" si="137"/>
        <v>0</v>
      </c>
      <c r="AM353" s="150">
        <f t="shared" si="137"/>
        <v>0</v>
      </c>
      <c r="AN353" s="150">
        <f t="shared" si="137"/>
        <v>0</v>
      </c>
      <c r="AO353" s="150">
        <f t="shared" si="137"/>
        <v>0</v>
      </c>
      <c r="AP353" s="150">
        <f t="shared" si="137"/>
        <v>0</v>
      </c>
    </row>
    <row r="354" spans="1:42" x14ac:dyDescent="0.2">
      <c r="A354" s="4">
        <f t="shared" si="135"/>
        <v>5</v>
      </c>
      <c r="B354" s="173">
        <f t="shared" si="132"/>
        <v>0</v>
      </c>
      <c r="C354" s="150">
        <f t="shared" ref="C354:AP354" si="138">LOOKUP(C342,$B$308:$AP$308,$B$309:$AP$309)/100*$B686</f>
        <v>0</v>
      </c>
      <c r="D354" s="150">
        <f t="shared" si="138"/>
        <v>0</v>
      </c>
      <c r="E354" s="150">
        <f t="shared" si="138"/>
        <v>0</v>
      </c>
      <c r="F354" s="150">
        <f t="shared" si="138"/>
        <v>0</v>
      </c>
      <c r="G354" s="150">
        <f t="shared" si="138"/>
        <v>0</v>
      </c>
      <c r="H354" s="150">
        <f t="shared" si="138"/>
        <v>0</v>
      </c>
      <c r="I354" s="150">
        <f t="shared" si="138"/>
        <v>0</v>
      </c>
      <c r="J354" s="150">
        <f t="shared" si="138"/>
        <v>0</v>
      </c>
      <c r="K354" s="150">
        <f t="shared" si="138"/>
        <v>0</v>
      </c>
      <c r="L354" s="150">
        <f t="shared" si="138"/>
        <v>0</v>
      </c>
      <c r="M354" s="150">
        <f t="shared" si="138"/>
        <v>0</v>
      </c>
      <c r="N354" s="150">
        <f t="shared" si="138"/>
        <v>0</v>
      </c>
      <c r="O354" s="150">
        <f t="shared" si="138"/>
        <v>0</v>
      </c>
      <c r="P354" s="150">
        <f t="shared" si="138"/>
        <v>0</v>
      </c>
      <c r="Q354" s="150">
        <f t="shared" si="138"/>
        <v>0</v>
      </c>
      <c r="R354" s="150">
        <f t="shared" si="138"/>
        <v>0</v>
      </c>
      <c r="S354" s="150">
        <f t="shared" si="138"/>
        <v>0</v>
      </c>
      <c r="T354" s="150">
        <f t="shared" si="138"/>
        <v>0</v>
      </c>
      <c r="U354" s="150">
        <f t="shared" si="138"/>
        <v>0</v>
      </c>
      <c r="V354" s="150">
        <f t="shared" si="138"/>
        <v>0</v>
      </c>
      <c r="W354" s="150">
        <f t="shared" si="138"/>
        <v>0</v>
      </c>
      <c r="X354" s="150">
        <f t="shared" si="138"/>
        <v>0</v>
      </c>
      <c r="Y354" s="150">
        <f t="shared" si="138"/>
        <v>0</v>
      </c>
      <c r="Z354" s="150">
        <f t="shared" si="138"/>
        <v>0</v>
      </c>
      <c r="AA354" s="150">
        <f t="shared" si="138"/>
        <v>0</v>
      </c>
      <c r="AB354" s="150">
        <f t="shared" si="138"/>
        <v>0</v>
      </c>
      <c r="AC354" s="150">
        <f t="shared" si="138"/>
        <v>0</v>
      </c>
      <c r="AD354" s="150">
        <f t="shared" si="138"/>
        <v>0</v>
      </c>
      <c r="AE354" s="150">
        <f t="shared" si="138"/>
        <v>0</v>
      </c>
      <c r="AF354" s="150">
        <f t="shared" si="138"/>
        <v>0</v>
      </c>
      <c r="AG354" s="150">
        <f t="shared" si="138"/>
        <v>0</v>
      </c>
      <c r="AH354" s="150">
        <f t="shared" si="138"/>
        <v>0</v>
      </c>
      <c r="AI354" s="150">
        <f t="shared" si="138"/>
        <v>0</v>
      </c>
      <c r="AJ354" s="150">
        <f t="shared" si="138"/>
        <v>0</v>
      </c>
      <c r="AK354" s="150">
        <f t="shared" si="138"/>
        <v>0</v>
      </c>
      <c r="AL354" s="150">
        <f t="shared" si="138"/>
        <v>0</v>
      </c>
      <c r="AM354" s="150">
        <f t="shared" si="138"/>
        <v>0</v>
      </c>
      <c r="AN354" s="150">
        <f t="shared" si="138"/>
        <v>0</v>
      </c>
      <c r="AO354" s="150">
        <f t="shared" si="138"/>
        <v>0</v>
      </c>
      <c r="AP354" s="150">
        <f t="shared" si="138"/>
        <v>0</v>
      </c>
    </row>
    <row r="355" spans="1:42" x14ac:dyDescent="0.2">
      <c r="A355" s="4">
        <f t="shared" si="135"/>
        <v>6</v>
      </c>
      <c r="B355" s="173">
        <f t="shared" si="132"/>
        <v>0</v>
      </c>
      <c r="C355" s="150">
        <f t="shared" ref="C355:AP355" si="139">LOOKUP(C343,$B$308:$AP$308,$B$309:$AP$309)/100*$B687</f>
        <v>0</v>
      </c>
      <c r="D355" s="150">
        <f t="shared" si="139"/>
        <v>0</v>
      </c>
      <c r="E355" s="150">
        <f t="shared" si="139"/>
        <v>0</v>
      </c>
      <c r="F355" s="150">
        <f t="shared" si="139"/>
        <v>0</v>
      </c>
      <c r="G355" s="150">
        <f t="shared" si="139"/>
        <v>0</v>
      </c>
      <c r="H355" s="150">
        <f t="shared" si="139"/>
        <v>0</v>
      </c>
      <c r="I355" s="150">
        <f t="shared" si="139"/>
        <v>0</v>
      </c>
      <c r="J355" s="150">
        <f t="shared" si="139"/>
        <v>0</v>
      </c>
      <c r="K355" s="150">
        <f t="shared" si="139"/>
        <v>0</v>
      </c>
      <c r="L355" s="150">
        <f t="shared" si="139"/>
        <v>0</v>
      </c>
      <c r="M355" s="150">
        <f t="shared" si="139"/>
        <v>0</v>
      </c>
      <c r="N355" s="150">
        <f t="shared" si="139"/>
        <v>0</v>
      </c>
      <c r="O355" s="150">
        <f t="shared" si="139"/>
        <v>0</v>
      </c>
      <c r="P355" s="150">
        <f t="shared" si="139"/>
        <v>0</v>
      </c>
      <c r="Q355" s="150">
        <f t="shared" si="139"/>
        <v>0</v>
      </c>
      <c r="R355" s="150">
        <f t="shared" si="139"/>
        <v>0</v>
      </c>
      <c r="S355" s="150">
        <f t="shared" si="139"/>
        <v>0</v>
      </c>
      <c r="T355" s="150">
        <f t="shared" si="139"/>
        <v>0</v>
      </c>
      <c r="U355" s="150">
        <f t="shared" si="139"/>
        <v>0</v>
      </c>
      <c r="V355" s="150">
        <f t="shared" si="139"/>
        <v>0</v>
      </c>
      <c r="W355" s="150">
        <f t="shared" si="139"/>
        <v>0</v>
      </c>
      <c r="X355" s="150">
        <f t="shared" si="139"/>
        <v>0</v>
      </c>
      <c r="Y355" s="150">
        <f t="shared" si="139"/>
        <v>0</v>
      </c>
      <c r="Z355" s="150">
        <f t="shared" si="139"/>
        <v>0</v>
      </c>
      <c r="AA355" s="150">
        <f t="shared" si="139"/>
        <v>0</v>
      </c>
      <c r="AB355" s="150">
        <f t="shared" si="139"/>
        <v>0</v>
      </c>
      <c r="AC355" s="150">
        <f t="shared" si="139"/>
        <v>0</v>
      </c>
      <c r="AD355" s="150">
        <f t="shared" si="139"/>
        <v>0</v>
      </c>
      <c r="AE355" s="150">
        <f t="shared" si="139"/>
        <v>0</v>
      </c>
      <c r="AF355" s="150">
        <f t="shared" si="139"/>
        <v>0</v>
      </c>
      <c r="AG355" s="150">
        <f t="shared" si="139"/>
        <v>0</v>
      </c>
      <c r="AH355" s="150">
        <f t="shared" si="139"/>
        <v>0</v>
      </c>
      <c r="AI355" s="150">
        <f t="shared" si="139"/>
        <v>0</v>
      </c>
      <c r="AJ355" s="150">
        <f t="shared" si="139"/>
        <v>0</v>
      </c>
      <c r="AK355" s="150">
        <f t="shared" si="139"/>
        <v>0</v>
      </c>
      <c r="AL355" s="150">
        <f t="shared" si="139"/>
        <v>0</v>
      </c>
      <c r="AM355" s="150">
        <f t="shared" si="139"/>
        <v>0</v>
      </c>
      <c r="AN355" s="150">
        <f t="shared" si="139"/>
        <v>0</v>
      </c>
      <c r="AO355" s="150">
        <f t="shared" si="139"/>
        <v>0</v>
      </c>
      <c r="AP355" s="150">
        <f t="shared" si="139"/>
        <v>0</v>
      </c>
    </row>
    <row r="356" spans="1:42" x14ac:dyDescent="0.2">
      <c r="A356" s="4">
        <f t="shared" si="135"/>
        <v>7</v>
      </c>
      <c r="B356" s="173">
        <f t="shared" si="132"/>
        <v>0</v>
      </c>
      <c r="C356" s="150">
        <f t="shared" ref="C356:AP356" si="140">LOOKUP(C344,$B$308:$AP$308,$B$309:$AP$309)/100*$B688</f>
        <v>0</v>
      </c>
      <c r="D356" s="150">
        <f t="shared" si="140"/>
        <v>0</v>
      </c>
      <c r="E356" s="150">
        <f t="shared" si="140"/>
        <v>0</v>
      </c>
      <c r="F356" s="150">
        <f t="shared" si="140"/>
        <v>0</v>
      </c>
      <c r="G356" s="150">
        <f t="shared" si="140"/>
        <v>0</v>
      </c>
      <c r="H356" s="150">
        <f t="shared" si="140"/>
        <v>0</v>
      </c>
      <c r="I356" s="150">
        <f t="shared" si="140"/>
        <v>0</v>
      </c>
      <c r="J356" s="150">
        <f t="shared" si="140"/>
        <v>0</v>
      </c>
      <c r="K356" s="150">
        <f t="shared" si="140"/>
        <v>0</v>
      </c>
      <c r="L356" s="150">
        <f t="shared" si="140"/>
        <v>0</v>
      </c>
      <c r="M356" s="150">
        <f t="shared" si="140"/>
        <v>0</v>
      </c>
      <c r="N356" s="150">
        <f t="shared" si="140"/>
        <v>0</v>
      </c>
      <c r="O356" s="150">
        <f t="shared" si="140"/>
        <v>0</v>
      </c>
      <c r="P356" s="150">
        <f t="shared" si="140"/>
        <v>0</v>
      </c>
      <c r="Q356" s="150">
        <f t="shared" si="140"/>
        <v>0</v>
      </c>
      <c r="R356" s="150">
        <f t="shared" si="140"/>
        <v>0</v>
      </c>
      <c r="S356" s="150">
        <f t="shared" si="140"/>
        <v>0</v>
      </c>
      <c r="T356" s="150">
        <f t="shared" si="140"/>
        <v>0</v>
      </c>
      <c r="U356" s="150">
        <f t="shared" si="140"/>
        <v>0</v>
      </c>
      <c r="V356" s="150">
        <f t="shared" si="140"/>
        <v>0</v>
      </c>
      <c r="W356" s="150">
        <f t="shared" si="140"/>
        <v>0</v>
      </c>
      <c r="X356" s="150">
        <f t="shared" si="140"/>
        <v>0</v>
      </c>
      <c r="Y356" s="150">
        <f t="shared" si="140"/>
        <v>0</v>
      </c>
      <c r="Z356" s="150">
        <f t="shared" si="140"/>
        <v>0</v>
      </c>
      <c r="AA356" s="150">
        <f t="shared" si="140"/>
        <v>0</v>
      </c>
      <c r="AB356" s="150">
        <f t="shared" si="140"/>
        <v>0</v>
      </c>
      <c r="AC356" s="150">
        <f t="shared" si="140"/>
        <v>0</v>
      </c>
      <c r="AD356" s="150">
        <f t="shared" si="140"/>
        <v>0</v>
      </c>
      <c r="AE356" s="150">
        <f t="shared" si="140"/>
        <v>0</v>
      </c>
      <c r="AF356" s="150">
        <f t="shared" si="140"/>
        <v>0</v>
      </c>
      <c r="AG356" s="150">
        <f t="shared" si="140"/>
        <v>0</v>
      </c>
      <c r="AH356" s="150">
        <f t="shared" si="140"/>
        <v>0</v>
      </c>
      <c r="AI356" s="150">
        <f t="shared" si="140"/>
        <v>0</v>
      </c>
      <c r="AJ356" s="150">
        <f t="shared" si="140"/>
        <v>0</v>
      </c>
      <c r="AK356" s="150">
        <f t="shared" si="140"/>
        <v>0</v>
      </c>
      <c r="AL356" s="150">
        <f t="shared" si="140"/>
        <v>0</v>
      </c>
      <c r="AM356" s="150">
        <f t="shared" si="140"/>
        <v>0</v>
      </c>
      <c r="AN356" s="150">
        <f t="shared" si="140"/>
        <v>0</v>
      </c>
      <c r="AO356" s="150">
        <f t="shared" si="140"/>
        <v>0</v>
      </c>
      <c r="AP356" s="150">
        <f t="shared" si="140"/>
        <v>0</v>
      </c>
    </row>
    <row r="357" spans="1:42" x14ac:dyDescent="0.2">
      <c r="A357" s="4">
        <f t="shared" si="135"/>
        <v>8</v>
      </c>
      <c r="B357" s="173">
        <f t="shared" si="132"/>
        <v>0</v>
      </c>
      <c r="C357" s="150">
        <f t="shared" ref="C357:AP357" si="141">LOOKUP(C345,$B$308:$AP$308,$B$309:$AP$309)/100*$B689</f>
        <v>0</v>
      </c>
      <c r="D357" s="150">
        <f t="shared" si="141"/>
        <v>0</v>
      </c>
      <c r="E357" s="150">
        <f t="shared" si="141"/>
        <v>0</v>
      </c>
      <c r="F357" s="150">
        <f t="shared" si="141"/>
        <v>0</v>
      </c>
      <c r="G357" s="150">
        <f t="shared" si="141"/>
        <v>0</v>
      </c>
      <c r="H357" s="150">
        <f t="shared" si="141"/>
        <v>0</v>
      </c>
      <c r="I357" s="150">
        <f t="shared" si="141"/>
        <v>0</v>
      </c>
      <c r="J357" s="150">
        <f t="shared" si="141"/>
        <v>0</v>
      </c>
      <c r="K357" s="150">
        <f t="shared" si="141"/>
        <v>0</v>
      </c>
      <c r="L357" s="150">
        <f t="shared" si="141"/>
        <v>0</v>
      </c>
      <c r="M357" s="150">
        <f t="shared" si="141"/>
        <v>0</v>
      </c>
      <c r="N357" s="150">
        <f t="shared" si="141"/>
        <v>0</v>
      </c>
      <c r="O357" s="150">
        <f t="shared" si="141"/>
        <v>0</v>
      </c>
      <c r="P357" s="150">
        <f t="shared" si="141"/>
        <v>0</v>
      </c>
      <c r="Q357" s="150">
        <f t="shared" si="141"/>
        <v>0</v>
      </c>
      <c r="R357" s="150">
        <f t="shared" si="141"/>
        <v>0</v>
      </c>
      <c r="S357" s="150">
        <f t="shared" si="141"/>
        <v>0</v>
      </c>
      <c r="T357" s="150">
        <f t="shared" si="141"/>
        <v>0</v>
      </c>
      <c r="U357" s="150">
        <f t="shared" si="141"/>
        <v>0</v>
      </c>
      <c r="V357" s="150">
        <f t="shared" si="141"/>
        <v>0</v>
      </c>
      <c r="W357" s="150">
        <f t="shared" si="141"/>
        <v>0</v>
      </c>
      <c r="X357" s="150">
        <f t="shared" si="141"/>
        <v>0</v>
      </c>
      <c r="Y357" s="150">
        <f t="shared" si="141"/>
        <v>0</v>
      </c>
      <c r="Z357" s="150">
        <f t="shared" si="141"/>
        <v>0</v>
      </c>
      <c r="AA357" s="150">
        <f t="shared" si="141"/>
        <v>0</v>
      </c>
      <c r="AB357" s="150">
        <f t="shared" si="141"/>
        <v>0</v>
      </c>
      <c r="AC357" s="150">
        <f t="shared" si="141"/>
        <v>0</v>
      </c>
      <c r="AD357" s="150">
        <f t="shared" si="141"/>
        <v>0</v>
      </c>
      <c r="AE357" s="150">
        <f t="shared" si="141"/>
        <v>0</v>
      </c>
      <c r="AF357" s="150">
        <f t="shared" si="141"/>
        <v>0</v>
      </c>
      <c r="AG357" s="150">
        <f t="shared" si="141"/>
        <v>0</v>
      </c>
      <c r="AH357" s="150">
        <f t="shared" si="141"/>
        <v>0</v>
      </c>
      <c r="AI357" s="150">
        <f t="shared" si="141"/>
        <v>0</v>
      </c>
      <c r="AJ357" s="150">
        <f t="shared" si="141"/>
        <v>0</v>
      </c>
      <c r="AK357" s="150">
        <f t="shared" si="141"/>
        <v>0</v>
      </c>
      <c r="AL357" s="150">
        <f t="shared" si="141"/>
        <v>0</v>
      </c>
      <c r="AM357" s="150">
        <f t="shared" si="141"/>
        <v>0</v>
      </c>
      <c r="AN357" s="150">
        <f t="shared" si="141"/>
        <v>0</v>
      </c>
      <c r="AO357" s="150">
        <f t="shared" si="141"/>
        <v>0</v>
      </c>
      <c r="AP357" s="150">
        <f t="shared" si="141"/>
        <v>0</v>
      </c>
    </row>
    <row r="358" spans="1:42" x14ac:dyDescent="0.2">
      <c r="A358" s="4">
        <f>A357+1</f>
        <v>9</v>
      </c>
      <c r="B358" s="173">
        <f t="shared" si="132"/>
        <v>0</v>
      </c>
      <c r="C358" s="150">
        <f t="shared" ref="C358:AP358" si="142">LOOKUP(C346,$B$308:$AP$308,$B$309:$AP$309)/100*$B690</f>
        <v>0</v>
      </c>
      <c r="D358" s="150">
        <f t="shared" si="142"/>
        <v>0</v>
      </c>
      <c r="E358" s="150">
        <f t="shared" si="142"/>
        <v>0</v>
      </c>
      <c r="F358" s="150">
        <f t="shared" si="142"/>
        <v>0</v>
      </c>
      <c r="G358" s="150">
        <f t="shared" si="142"/>
        <v>0</v>
      </c>
      <c r="H358" s="150">
        <f t="shared" si="142"/>
        <v>0</v>
      </c>
      <c r="I358" s="150">
        <f t="shared" si="142"/>
        <v>0</v>
      </c>
      <c r="J358" s="150">
        <f t="shared" si="142"/>
        <v>0</v>
      </c>
      <c r="K358" s="150">
        <f t="shared" si="142"/>
        <v>0</v>
      </c>
      <c r="L358" s="150">
        <f t="shared" si="142"/>
        <v>0</v>
      </c>
      <c r="M358" s="150">
        <f t="shared" si="142"/>
        <v>0</v>
      </c>
      <c r="N358" s="150">
        <f t="shared" si="142"/>
        <v>0</v>
      </c>
      <c r="O358" s="150">
        <f t="shared" si="142"/>
        <v>0</v>
      </c>
      <c r="P358" s="150">
        <f t="shared" si="142"/>
        <v>0</v>
      </c>
      <c r="Q358" s="150">
        <f t="shared" si="142"/>
        <v>0</v>
      </c>
      <c r="R358" s="150">
        <f t="shared" si="142"/>
        <v>0</v>
      </c>
      <c r="S358" s="150">
        <f t="shared" si="142"/>
        <v>0</v>
      </c>
      <c r="T358" s="150">
        <f t="shared" si="142"/>
        <v>0</v>
      </c>
      <c r="U358" s="150">
        <f t="shared" si="142"/>
        <v>0</v>
      </c>
      <c r="V358" s="150">
        <f t="shared" si="142"/>
        <v>0</v>
      </c>
      <c r="W358" s="150">
        <f t="shared" si="142"/>
        <v>0</v>
      </c>
      <c r="X358" s="150">
        <f t="shared" si="142"/>
        <v>0</v>
      </c>
      <c r="Y358" s="150">
        <f t="shared" si="142"/>
        <v>0</v>
      </c>
      <c r="Z358" s="150">
        <f t="shared" si="142"/>
        <v>0</v>
      </c>
      <c r="AA358" s="150">
        <f t="shared" si="142"/>
        <v>0</v>
      </c>
      <c r="AB358" s="150">
        <f t="shared" si="142"/>
        <v>0</v>
      </c>
      <c r="AC358" s="150">
        <f t="shared" si="142"/>
        <v>0</v>
      </c>
      <c r="AD358" s="150">
        <f t="shared" si="142"/>
        <v>0</v>
      </c>
      <c r="AE358" s="150">
        <f t="shared" si="142"/>
        <v>0</v>
      </c>
      <c r="AF358" s="150">
        <f t="shared" si="142"/>
        <v>0</v>
      </c>
      <c r="AG358" s="150">
        <f t="shared" si="142"/>
        <v>0</v>
      </c>
      <c r="AH358" s="150">
        <f t="shared" si="142"/>
        <v>0</v>
      </c>
      <c r="AI358" s="150">
        <f t="shared" si="142"/>
        <v>0</v>
      </c>
      <c r="AJ358" s="150">
        <f t="shared" si="142"/>
        <v>0</v>
      </c>
      <c r="AK358" s="150">
        <f t="shared" si="142"/>
        <v>0</v>
      </c>
      <c r="AL358" s="150">
        <f t="shared" si="142"/>
        <v>0</v>
      </c>
      <c r="AM358" s="150">
        <f t="shared" si="142"/>
        <v>0</v>
      </c>
      <c r="AN358" s="150">
        <f t="shared" si="142"/>
        <v>0</v>
      </c>
      <c r="AO358" s="150">
        <f t="shared" si="142"/>
        <v>0</v>
      </c>
      <c r="AP358" s="150">
        <f t="shared" si="142"/>
        <v>0</v>
      </c>
    </row>
    <row r="359" spans="1:42" x14ac:dyDescent="0.2">
      <c r="A359" s="4">
        <f t="shared" si="135"/>
        <v>10</v>
      </c>
      <c r="B359" s="173">
        <f t="shared" si="132"/>
        <v>0</v>
      </c>
      <c r="C359" s="151">
        <f t="shared" ref="C359:AP359" si="143">LOOKUP(C347,$B$308:$AP$308,$B$309:$AP$309)/100*$B691</f>
        <v>0</v>
      </c>
      <c r="D359" s="151">
        <f t="shared" si="143"/>
        <v>0</v>
      </c>
      <c r="E359" s="151">
        <f t="shared" si="143"/>
        <v>0</v>
      </c>
      <c r="F359" s="151">
        <f t="shared" si="143"/>
        <v>0</v>
      </c>
      <c r="G359" s="151">
        <f t="shared" si="143"/>
        <v>0</v>
      </c>
      <c r="H359" s="151">
        <f t="shared" si="143"/>
        <v>0</v>
      </c>
      <c r="I359" s="151">
        <f t="shared" si="143"/>
        <v>0</v>
      </c>
      <c r="J359" s="151">
        <f t="shared" si="143"/>
        <v>0</v>
      </c>
      <c r="K359" s="151">
        <f t="shared" si="143"/>
        <v>0</v>
      </c>
      <c r="L359" s="151">
        <f t="shared" si="143"/>
        <v>0</v>
      </c>
      <c r="M359" s="151">
        <f t="shared" si="143"/>
        <v>0</v>
      </c>
      <c r="N359" s="151">
        <f t="shared" si="143"/>
        <v>0</v>
      </c>
      <c r="O359" s="151">
        <f t="shared" si="143"/>
        <v>0</v>
      </c>
      <c r="P359" s="151">
        <f t="shared" si="143"/>
        <v>0</v>
      </c>
      <c r="Q359" s="151">
        <f t="shared" si="143"/>
        <v>0</v>
      </c>
      <c r="R359" s="151">
        <f t="shared" si="143"/>
        <v>0</v>
      </c>
      <c r="S359" s="151">
        <f t="shared" si="143"/>
        <v>0</v>
      </c>
      <c r="T359" s="151">
        <f t="shared" si="143"/>
        <v>0</v>
      </c>
      <c r="U359" s="151">
        <f t="shared" si="143"/>
        <v>0</v>
      </c>
      <c r="V359" s="151">
        <f t="shared" si="143"/>
        <v>0</v>
      </c>
      <c r="W359" s="151">
        <f t="shared" si="143"/>
        <v>0</v>
      </c>
      <c r="X359" s="151">
        <f t="shared" si="143"/>
        <v>0</v>
      </c>
      <c r="Y359" s="151">
        <f t="shared" si="143"/>
        <v>0</v>
      </c>
      <c r="Z359" s="151">
        <f t="shared" si="143"/>
        <v>0</v>
      </c>
      <c r="AA359" s="151">
        <f t="shared" si="143"/>
        <v>0</v>
      </c>
      <c r="AB359" s="151">
        <f t="shared" si="143"/>
        <v>0</v>
      </c>
      <c r="AC359" s="151">
        <f t="shared" si="143"/>
        <v>0</v>
      </c>
      <c r="AD359" s="151">
        <f t="shared" si="143"/>
        <v>0</v>
      </c>
      <c r="AE359" s="151">
        <f t="shared" si="143"/>
        <v>0</v>
      </c>
      <c r="AF359" s="151">
        <f t="shared" si="143"/>
        <v>0</v>
      </c>
      <c r="AG359" s="151">
        <f t="shared" si="143"/>
        <v>0</v>
      </c>
      <c r="AH359" s="151">
        <f t="shared" si="143"/>
        <v>0</v>
      </c>
      <c r="AI359" s="151">
        <f t="shared" si="143"/>
        <v>0</v>
      </c>
      <c r="AJ359" s="151">
        <f t="shared" si="143"/>
        <v>0</v>
      </c>
      <c r="AK359" s="151">
        <f t="shared" si="143"/>
        <v>0</v>
      </c>
      <c r="AL359" s="151">
        <f t="shared" si="143"/>
        <v>0</v>
      </c>
      <c r="AM359" s="151">
        <f t="shared" si="143"/>
        <v>0</v>
      </c>
      <c r="AN359" s="151">
        <f t="shared" si="143"/>
        <v>0</v>
      </c>
      <c r="AO359" s="151">
        <f t="shared" si="143"/>
        <v>0</v>
      </c>
      <c r="AP359" s="151">
        <f t="shared" si="143"/>
        <v>0</v>
      </c>
    </row>
    <row r="360" spans="1:42" ht="12" customHeight="1" x14ac:dyDescent="0.2">
      <c r="A360" s="24" t="s">
        <v>12</v>
      </c>
      <c r="C360" s="150">
        <f>SUM(C350:C359)</f>
        <v>0</v>
      </c>
      <c r="D360" s="150">
        <f t="shared" ref="D360:AP360" si="144">SUM(D350:D359)</f>
        <v>0</v>
      </c>
      <c r="E360" s="150">
        <f t="shared" si="144"/>
        <v>0</v>
      </c>
      <c r="F360" s="150">
        <f t="shared" si="144"/>
        <v>0</v>
      </c>
      <c r="G360" s="150">
        <f t="shared" si="144"/>
        <v>0</v>
      </c>
      <c r="H360" s="150">
        <f t="shared" si="144"/>
        <v>0</v>
      </c>
      <c r="I360" s="150">
        <f t="shared" si="144"/>
        <v>0</v>
      </c>
      <c r="J360" s="150">
        <f t="shared" si="144"/>
        <v>0</v>
      </c>
      <c r="K360" s="150">
        <f t="shared" si="144"/>
        <v>0</v>
      </c>
      <c r="L360" s="150">
        <f t="shared" si="144"/>
        <v>0</v>
      </c>
      <c r="M360" s="150">
        <f t="shared" si="144"/>
        <v>0</v>
      </c>
      <c r="N360" s="150">
        <f t="shared" si="144"/>
        <v>0</v>
      </c>
      <c r="O360" s="150">
        <f t="shared" si="144"/>
        <v>0</v>
      </c>
      <c r="P360" s="150">
        <f t="shared" si="144"/>
        <v>0</v>
      </c>
      <c r="Q360" s="150">
        <f t="shared" si="144"/>
        <v>0</v>
      </c>
      <c r="R360" s="150">
        <f t="shared" si="144"/>
        <v>0</v>
      </c>
      <c r="S360" s="150">
        <f t="shared" si="144"/>
        <v>0</v>
      </c>
      <c r="T360" s="150">
        <f t="shared" si="144"/>
        <v>0</v>
      </c>
      <c r="U360" s="150">
        <f t="shared" si="144"/>
        <v>0</v>
      </c>
      <c r="V360" s="150">
        <f t="shared" si="144"/>
        <v>0</v>
      </c>
      <c r="W360" s="150">
        <f t="shared" si="144"/>
        <v>0</v>
      </c>
      <c r="X360" s="150">
        <f t="shared" si="144"/>
        <v>0</v>
      </c>
      <c r="Y360" s="150">
        <f t="shared" si="144"/>
        <v>0</v>
      </c>
      <c r="Z360" s="150">
        <f t="shared" si="144"/>
        <v>0</v>
      </c>
      <c r="AA360" s="150">
        <f t="shared" si="144"/>
        <v>0</v>
      </c>
      <c r="AB360" s="150">
        <f t="shared" si="144"/>
        <v>0</v>
      </c>
      <c r="AC360" s="150">
        <f t="shared" si="144"/>
        <v>0</v>
      </c>
      <c r="AD360" s="150">
        <f t="shared" si="144"/>
        <v>0</v>
      </c>
      <c r="AE360" s="150">
        <f t="shared" si="144"/>
        <v>0</v>
      </c>
      <c r="AF360" s="150">
        <f t="shared" si="144"/>
        <v>0</v>
      </c>
      <c r="AG360" s="150">
        <f t="shared" si="144"/>
        <v>0</v>
      </c>
      <c r="AH360" s="150">
        <f t="shared" si="144"/>
        <v>0</v>
      </c>
      <c r="AI360" s="150">
        <f t="shared" si="144"/>
        <v>0</v>
      </c>
      <c r="AJ360" s="150">
        <f t="shared" si="144"/>
        <v>0</v>
      </c>
      <c r="AK360" s="150">
        <f t="shared" si="144"/>
        <v>0</v>
      </c>
      <c r="AL360" s="150">
        <f t="shared" si="144"/>
        <v>0</v>
      </c>
      <c r="AM360" s="150">
        <f t="shared" si="144"/>
        <v>0</v>
      </c>
      <c r="AN360" s="150">
        <f t="shared" si="144"/>
        <v>0</v>
      </c>
      <c r="AO360" s="150">
        <f t="shared" si="144"/>
        <v>0</v>
      </c>
      <c r="AP360" s="150">
        <f t="shared" si="144"/>
        <v>0</v>
      </c>
    </row>
    <row r="361" spans="1:42" x14ac:dyDescent="0.2">
      <c r="A361" s="21"/>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row>
    <row r="362" spans="1:42" x14ac:dyDescent="0.2">
      <c r="A362" s="21" t="s">
        <v>74</v>
      </c>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row>
    <row r="363" spans="1:42" x14ac:dyDescent="0.2">
      <c r="A363" s="87" t="s">
        <v>60</v>
      </c>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row>
    <row r="364" spans="1:42" x14ac:dyDescent="0.2">
      <c r="A364" s="4">
        <v>1</v>
      </c>
      <c r="B364" s="4">
        <v>0</v>
      </c>
      <c r="C364" s="150">
        <f>IF(C$2&lt;=analysis_period,IF(SUM($C714:C714)&gt;0,B364+1,0),0)</f>
        <v>0</v>
      </c>
      <c r="D364" s="150">
        <f>IF(D$2&lt;=analysis_period,IF(SUM($C714:D714)&gt;0,C364+1,0),0)</f>
        <v>0</v>
      </c>
      <c r="E364" s="150">
        <f>IF(E$2&lt;=analysis_period,IF(SUM($C714:E714)&gt;0,D364+1,0),0)</f>
        <v>0</v>
      </c>
      <c r="F364" s="150">
        <f>IF(F$2&lt;=analysis_period,IF(SUM($C714:F714)&gt;0,E364+1,0),0)</f>
        <v>0</v>
      </c>
      <c r="G364" s="150">
        <f>IF(G$2&lt;=analysis_period,IF(SUM($C714:G714)&gt;0,F364+1,0),0)</f>
        <v>0</v>
      </c>
      <c r="H364" s="150">
        <f>IF(H$2&lt;=analysis_period,IF(SUM($C714:H714)&gt;0,G364+1,0),0)</f>
        <v>0</v>
      </c>
      <c r="I364" s="150">
        <f>IF(I$2&lt;=analysis_period,IF(SUM($C714:I714)&gt;0,H364+1,0),0)</f>
        <v>0</v>
      </c>
      <c r="J364" s="150">
        <f>IF(J$2&lt;=analysis_period,IF(SUM($C714:J714)&gt;0,I364+1,0),0)</f>
        <v>0</v>
      </c>
      <c r="K364" s="150">
        <f>IF(K$2&lt;=analysis_period,IF(SUM($C714:K714)&gt;0,J364+1,0),0)</f>
        <v>0</v>
      </c>
      <c r="L364" s="150">
        <f>IF(L$2&lt;=analysis_period,IF(SUM($C714:L714)&gt;0,K364+1,0),0)</f>
        <v>0</v>
      </c>
      <c r="M364" s="150">
        <f>IF(M$2&lt;=analysis_period,IF(SUM($C714:M714)&gt;0,L364+1,0),0)</f>
        <v>0</v>
      </c>
      <c r="N364" s="150">
        <f>IF(N$2&lt;=analysis_period,IF(SUM($C714:N714)&gt;0,M364+1,0),0)</f>
        <v>0</v>
      </c>
      <c r="O364" s="150">
        <f>IF(O$2&lt;=analysis_period,IF(SUM($C714:O714)&gt;0,N364+1,0),0)</f>
        <v>0</v>
      </c>
      <c r="P364" s="150">
        <f>IF(P$2&lt;=analysis_period,IF(SUM($C714:P714)&gt;0,O364+1,0),0)</f>
        <v>0</v>
      </c>
      <c r="Q364" s="150">
        <f>IF(Q$2&lt;=analysis_period,IF(SUM($C714:Q714)&gt;0,P364+1,0),0)</f>
        <v>0</v>
      </c>
      <c r="R364" s="150">
        <f>IF(R$2&lt;=analysis_period,IF(SUM($C714:R714)&gt;0,Q364+1,0),0)</f>
        <v>0</v>
      </c>
      <c r="S364" s="150">
        <f>IF(S$2&lt;=analysis_period,IF(SUM($C714:S714)&gt;0,R364+1,0),0)</f>
        <v>0</v>
      </c>
      <c r="T364" s="150">
        <f>IF(T$2&lt;=analysis_period,IF(SUM($C714:T714)&gt;0,S364+1,0),0)</f>
        <v>0</v>
      </c>
      <c r="U364" s="150">
        <f>IF(U$2&lt;=analysis_period,IF(SUM($C714:U714)&gt;0,T364+1,0),0)</f>
        <v>0</v>
      </c>
      <c r="V364" s="150">
        <f>IF(V$2&lt;=analysis_period,IF(SUM($C714:V714)&gt;0,U364+1,0),0)</f>
        <v>0</v>
      </c>
      <c r="W364" s="150">
        <f>IF(W$2&lt;=analysis_period,IF(SUM($C714:W714)&gt;0,V364+1,0),0)</f>
        <v>0</v>
      </c>
      <c r="X364" s="150">
        <f>IF(X$2&lt;=analysis_period,IF(SUM($C714:X714)&gt;0,W364+1,0),0)</f>
        <v>0</v>
      </c>
      <c r="Y364" s="150">
        <f>IF(Y$2&lt;=analysis_period,IF(SUM($C714:Y714)&gt;0,X364+1,0),0)</f>
        <v>0</v>
      </c>
      <c r="Z364" s="150">
        <f>IF(Z$2&lt;=analysis_period,IF(SUM($C714:Z714)&gt;0,Y364+1,0),0)</f>
        <v>0</v>
      </c>
      <c r="AA364" s="150">
        <f>IF(AA$2&lt;=analysis_period,IF(SUM($C714:AA714)&gt;0,Z364+1,0),0)</f>
        <v>0</v>
      </c>
      <c r="AB364" s="150">
        <f>IF(AB$2&lt;=analysis_period,IF(SUM($C714:AB714)&gt;0,AA364+1,0),0)</f>
        <v>0</v>
      </c>
      <c r="AC364" s="150">
        <f>IF(AC$2&lt;=analysis_period,IF(SUM($C714:AC714)&gt;0,AB364+1,0),0)</f>
        <v>0</v>
      </c>
      <c r="AD364" s="150">
        <f>IF(AD$2&lt;=analysis_period,IF(SUM($C714:AD714)&gt;0,AC364+1,0),0)</f>
        <v>0</v>
      </c>
      <c r="AE364" s="150">
        <f>IF(AE$2&lt;=analysis_period,IF(SUM($C714:AE714)&gt;0,AD364+1,0),0)</f>
        <v>0</v>
      </c>
      <c r="AF364" s="150">
        <f>IF(AF$2&lt;=analysis_period,IF(SUM($C714:AF714)&gt;0,AE364+1,0),0)</f>
        <v>0</v>
      </c>
      <c r="AG364" s="150">
        <f>IF(AG$2&lt;=analysis_period,IF(SUM($C714:AG714)&gt;0,AF364+1,0),0)</f>
        <v>0</v>
      </c>
      <c r="AH364" s="150">
        <f>IF(AH$2&lt;=analysis_period,IF(SUM($C714:AH714)&gt;0,AG364+1,0),0)</f>
        <v>0</v>
      </c>
      <c r="AI364" s="150">
        <f>IF(AI$2&lt;=analysis_period,IF(SUM($C714:AI714)&gt;0,AH364+1,0),0)</f>
        <v>0</v>
      </c>
      <c r="AJ364" s="150">
        <f>IF(AJ$2&lt;=analysis_period,IF(SUM($C714:AJ714)&gt;0,AI364+1,0),0)</f>
        <v>0</v>
      </c>
      <c r="AK364" s="150">
        <f>IF(AK$2&lt;=analysis_period,IF(SUM($C714:AK714)&gt;0,AJ364+1,0),0)</f>
        <v>0</v>
      </c>
      <c r="AL364" s="150">
        <f>IF(AL$2&lt;=analysis_period,IF(SUM($C714:AL714)&gt;0,AK364+1,0),0)</f>
        <v>0</v>
      </c>
      <c r="AM364" s="150">
        <f>IF(AM$2&lt;=analysis_period,IF(SUM($C714:AM714)&gt;0,AL364+1,0),0)</f>
        <v>0</v>
      </c>
      <c r="AN364" s="150">
        <f>IF(AN$2&lt;=analysis_period,IF(SUM($C714:AN714)&gt;0,AM364+1,0),0)</f>
        <v>0</v>
      </c>
      <c r="AO364" s="150">
        <f>IF(AO$2&lt;=analysis_period,IF(SUM($C714:AO714)&gt;0,AN364+1,0),0)</f>
        <v>0</v>
      </c>
      <c r="AP364" s="150">
        <f>IF(AP$2&lt;=analysis_period,IF(SUM($C714:AP714)&gt;0,AO364+1,0),0)</f>
        <v>0</v>
      </c>
    </row>
    <row r="365" spans="1:42" x14ac:dyDescent="0.2">
      <c r="A365" s="4">
        <f>A364+1</f>
        <v>2</v>
      </c>
      <c r="B365" s="4">
        <v>0</v>
      </c>
      <c r="C365" s="150">
        <f>IF(C$2&lt;=analysis_period,IF(SUM($C715:C715)&gt;0,B365+1,0),0)</f>
        <v>0</v>
      </c>
      <c r="D365" s="150">
        <f>IF(D$2&lt;=analysis_period,IF(SUM($C715:D715)&gt;0,C365+1,0),0)</f>
        <v>0</v>
      </c>
      <c r="E365" s="150">
        <f>IF(E$2&lt;=analysis_period,IF(SUM($C715:E715)&gt;0,D365+1,0),0)</f>
        <v>0</v>
      </c>
      <c r="F365" s="150">
        <f>IF(F$2&lt;=analysis_period,IF(SUM($C715:F715)&gt;0,E365+1,0),0)</f>
        <v>0</v>
      </c>
      <c r="G365" s="150">
        <f>IF(G$2&lt;=analysis_period,IF(SUM($C715:G715)&gt;0,F365+1,0),0)</f>
        <v>0</v>
      </c>
      <c r="H365" s="150">
        <f>IF(H$2&lt;=analysis_period,IF(SUM($C715:H715)&gt;0,G365+1,0),0)</f>
        <v>0</v>
      </c>
      <c r="I365" s="150">
        <f>IF(I$2&lt;=analysis_period,IF(SUM($C715:I715)&gt;0,H365+1,0),0)</f>
        <v>0</v>
      </c>
      <c r="J365" s="150">
        <f>IF(J$2&lt;=analysis_period,IF(SUM($C715:J715)&gt;0,I365+1,0),0)</f>
        <v>0</v>
      </c>
      <c r="K365" s="150">
        <f>IF(K$2&lt;=analysis_period,IF(SUM($C715:K715)&gt;0,J365+1,0),0)</f>
        <v>0</v>
      </c>
      <c r="L365" s="150">
        <f>IF(L$2&lt;=analysis_period,IF(SUM($C715:L715)&gt;0,K365+1,0),0)</f>
        <v>0</v>
      </c>
      <c r="M365" s="150">
        <f>IF(M$2&lt;=analysis_period,IF(SUM($C715:M715)&gt;0,L365+1,0),0)</f>
        <v>0</v>
      </c>
      <c r="N365" s="150">
        <f>IF(N$2&lt;=analysis_period,IF(SUM($C715:N715)&gt;0,M365+1,0),0)</f>
        <v>0</v>
      </c>
      <c r="O365" s="150">
        <f>IF(O$2&lt;=analysis_period,IF(SUM($C715:O715)&gt;0,N365+1,0),0)</f>
        <v>0</v>
      </c>
      <c r="P365" s="150">
        <f>IF(P$2&lt;=analysis_period,IF(SUM($C715:P715)&gt;0,O365+1,0),0)</f>
        <v>0</v>
      </c>
      <c r="Q365" s="150">
        <f>IF(Q$2&lt;=analysis_period,IF(SUM($C715:Q715)&gt;0,P365+1,0),0)</f>
        <v>0</v>
      </c>
      <c r="R365" s="150">
        <f>IF(R$2&lt;=analysis_period,IF(SUM($C715:R715)&gt;0,Q365+1,0),0)</f>
        <v>0</v>
      </c>
      <c r="S365" s="150">
        <f>IF(S$2&lt;=analysis_period,IF(SUM($C715:S715)&gt;0,R365+1,0),0)</f>
        <v>0</v>
      </c>
      <c r="T365" s="150">
        <f>IF(T$2&lt;=analysis_period,IF(SUM($C715:T715)&gt;0,S365+1,0),0)</f>
        <v>0</v>
      </c>
      <c r="U365" s="150">
        <f>IF(U$2&lt;=analysis_period,IF(SUM($C715:U715)&gt;0,T365+1,0),0)</f>
        <v>0</v>
      </c>
      <c r="V365" s="150">
        <f>IF(V$2&lt;=analysis_period,IF(SUM($C715:V715)&gt;0,U365+1,0),0)</f>
        <v>0</v>
      </c>
      <c r="W365" s="150">
        <f>IF(W$2&lt;=analysis_period,IF(SUM($C715:W715)&gt;0,V365+1,0),0)</f>
        <v>0</v>
      </c>
      <c r="X365" s="150">
        <f>IF(X$2&lt;=analysis_period,IF(SUM($C715:X715)&gt;0,W365+1,0),0)</f>
        <v>0</v>
      </c>
      <c r="Y365" s="150">
        <f>IF(Y$2&lt;=analysis_period,IF(SUM($C715:Y715)&gt;0,X365+1,0),0)</f>
        <v>0</v>
      </c>
      <c r="Z365" s="150">
        <f>IF(Z$2&lt;=analysis_period,IF(SUM($C715:Z715)&gt;0,Y365+1,0),0)</f>
        <v>0</v>
      </c>
      <c r="AA365" s="150">
        <f>IF(AA$2&lt;=analysis_period,IF(SUM($C715:AA715)&gt;0,Z365+1,0),0)</f>
        <v>0</v>
      </c>
      <c r="AB365" s="150">
        <f>IF(AB$2&lt;=analysis_period,IF(SUM($C715:AB715)&gt;0,AA365+1,0),0)</f>
        <v>0</v>
      </c>
      <c r="AC365" s="150">
        <f>IF(AC$2&lt;=analysis_period,IF(SUM($C715:AC715)&gt;0,AB365+1,0),0)</f>
        <v>0</v>
      </c>
      <c r="AD365" s="150">
        <f>IF(AD$2&lt;=analysis_period,IF(SUM($C715:AD715)&gt;0,AC365+1,0),0)</f>
        <v>0</v>
      </c>
      <c r="AE365" s="150">
        <f>IF(AE$2&lt;=analysis_period,IF(SUM($C715:AE715)&gt;0,AD365+1,0),0)</f>
        <v>0</v>
      </c>
      <c r="AF365" s="150">
        <f>IF(AF$2&lt;=analysis_period,IF(SUM($C715:AF715)&gt;0,AE365+1,0),0)</f>
        <v>0</v>
      </c>
      <c r="AG365" s="150">
        <f>IF(AG$2&lt;=analysis_period,IF(SUM($C715:AG715)&gt;0,AF365+1,0),0)</f>
        <v>0</v>
      </c>
      <c r="AH365" s="150">
        <f>IF(AH$2&lt;=analysis_period,IF(SUM($C715:AH715)&gt;0,AG365+1,0),0)</f>
        <v>0</v>
      </c>
      <c r="AI365" s="150">
        <f>IF(AI$2&lt;=analysis_period,IF(SUM($C715:AI715)&gt;0,AH365+1,0),0)</f>
        <v>0</v>
      </c>
      <c r="AJ365" s="150">
        <f>IF(AJ$2&lt;=analysis_period,IF(SUM($C715:AJ715)&gt;0,AI365+1,0),0)</f>
        <v>0</v>
      </c>
      <c r="AK365" s="150">
        <f>IF(AK$2&lt;=analysis_period,IF(SUM($C715:AK715)&gt;0,AJ365+1,0),0)</f>
        <v>0</v>
      </c>
      <c r="AL365" s="150">
        <f>IF(AL$2&lt;=analysis_period,IF(SUM($C715:AL715)&gt;0,AK365+1,0),0)</f>
        <v>0</v>
      </c>
      <c r="AM365" s="150">
        <f>IF(AM$2&lt;=analysis_period,IF(SUM($C715:AM715)&gt;0,AL365+1,0),0)</f>
        <v>0</v>
      </c>
      <c r="AN365" s="150">
        <f>IF(AN$2&lt;=analysis_period,IF(SUM($C715:AN715)&gt;0,AM365+1,0),0)</f>
        <v>0</v>
      </c>
      <c r="AO365" s="150">
        <f>IF(AO$2&lt;=analysis_period,IF(SUM($C715:AO715)&gt;0,AN365+1,0),0)</f>
        <v>0</v>
      </c>
      <c r="AP365" s="150">
        <f>IF(AP$2&lt;=analysis_period,IF(SUM($C715:AP715)&gt;0,AO365+1,0),0)</f>
        <v>0</v>
      </c>
    </row>
    <row r="366" spans="1:42" x14ac:dyDescent="0.2">
      <c r="A366" s="4">
        <f t="shared" ref="A366:A373" si="145">A365+1</f>
        <v>3</v>
      </c>
      <c r="B366" s="4">
        <v>0</v>
      </c>
      <c r="C366" s="150">
        <f>IF(C$2&lt;=analysis_period,IF(SUM($C716:C716)&gt;0,B366+1,0),0)</f>
        <v>0</v>
      </c>
      <c r="D366" s="150">
        <f>IF(D$2&lt;=analysis_period,IF(SUM($C716:D716)&gt;0,C366+1,0),0)</f>
        <v>0</v>
      </c>
      <c r="E366" s="150">
        <f>IF(E$2&lt;=analysis_period,IF(SUM($C716:E716)&gt;0,D366+1,0),0)</f>
        <v>0</v>
      </c>
      <c r="F366" s="150">
        <f>IF(F$2&lt;=analysis_period,IF(SUM($C716:F716)&gt;0,E366+1,0),0)</f>
        <v>0</v>
      </c>
      <c r="G366" s="150">
        <f>IF(G$2&lt;=analysis_period,IF(SUM($C716:G716)&gt;0,F366+1,0),0)</f>
        <v>0</v>
      </c>
      <c r="H366" s="150">
        <f>IF(H$2&lt;=analysis_period,IF(SUM($C716:H716)&gt;0,G366+1,0),0)</f>
        <v>0</v>
      </c>
      <c r="I366" s="150">
        <f>IF(I$2&lt;=analysis_period,IF(SUM($C716:I716)&gt;0,H366+1,0),0)</f>
        <v>0</v>
      </c>
      <c r="J366" s="150">
        <f>IF(J$2&lt;=analysis_period,IF(SUM($C716:J716)&gt;0,I366+1,0),0)</f>
        <v>0</v>
      </c>
      <c r="K366" s="150">
        <f>IF(K$2&lt;=analysis_period,IF(SUM($C716:K716)&gt;0,J366+1,0),0)</f>
        <v>0</v>
      </c>
      <c r="L366" s="150">
        <f>IF(L$2&lt;=analysis_period,IF(SUM($C716:L716)&gt;0,K366+1,0),0)</f>
        <v>0</v>
      </c>
      <c r="M366" s="150">
        <f>IF(M$2&lt;=analysis_period,IF(SUM($C716:M716)&gt;0,L366+1,0),0)</f>
        <v>0</v>
      </c>
      <c r="N366" s="150">
        <f>IF(N$2&lt;=analysis_period,IF(SUM($C716:N716)&gt;0,M366+1,0),0)</f>
        <v>0</v>
      </c>
      <c r="O366" s="150">
        <f>IF(O$2&lt;=analysis_period,IF(SUM($C716:O716)&gt;0,N366+1,0),0)</f>
        <v>0</v>
      </c>
      <c r="P366" s="150">
        <f>IF(P$2&lt;=analysis_period,IF(SUM($C716:P716)&gt;0,O366+1,0),0)</f>
        <v>0</v>
      </c>
      <c r="Q366" s="150">
        <f>IF(Q$2&lt;=analysis_period,IF(SUM($C716:Q716)&gt;0,P366+1,0),0)</f>
        <v>0</v>
      </c>
      <c r="R366" s="150">
        <f>IF(R$2&lt;=analysis_period,IF(SUM($C716:R716)&gt;0,Q366+1,0),0)</f>
        <v>0</v>
      </c>
      <c r="S366" s="150">
        <f>IF(S$2&lt;=analysis_period,IF(SUM($C716:S716)&gt;0,R366+1,0),0)</f>
        <v>0</v>
      </c>
      <c r="T366" s="150">
        <f>IF(T$2&lt;=analysis_period,IF(SUM($C716:T716)&gt;0,S366+1,0),0)</f>
        <v>0</v>
      </c>
      <c r="U366" s="150">
        <f>IF(U$2&lt;=analysis_period,IF(SUM($C716:U716)&gt;0,T366+1,0),0)</f>
        <v>0</v>
      </c>
      <c r="V366" s="150">
        <f>IF(V$2&lt;=analysis_period,IF(SUM($C716:V716)&gt;0,U366+1,0),0)</f>
        <v>0</v>
      </c>
      <c r="W366" s="150">
        <f>IF(W$2&lt;=analysis_period,IF(SUM($C716:W716)&gt;0,V366+1,0),0)</f>
        <v>0</v>
      </c>
      <c r="X366" s="150">
        <f>IF(X$2&lt;=analysis_period,IF(SUM($C716:X716)&gt;0,W366+1,0),0)</f>
        <v>0</v>
      </c>
      <c r="Y366" s="150">
        <f>IF(Y$2&lt;=analysis_period,IF(SUM($C716:Y716)&gt;0,X366+1,0),0)</f>
        <v>0</v>
      </c>
      <c r="Z366" s="150">
        <f>IF(Z$2&lt;=analysis_period,IF(SUM($C716:Z716)&gt;0,Y366+1,0),0)</f>
        <v>0</v>
      </c>
      <c r="AA366" s="150">
        <f>IF(AA$2&lt;=analysis_period,IF(SUM($C716:AA716)&gt;0,Z366+1,0),0)</f>
        <v>0</v>
      </c>
      <c r="AB366" s="150">
        <f>IF(AB$2&lt;=analysis_period,IF(SUM($C716:AB716)&gt;0,AA366+1,0),0)</f>
        <v>0</v>
      </c>
      <c r="AC366" s="150">
        <f>IF(AC$2&lt;=analysis_period,IF(SUM($C716:AC716)&gt;0,AB366+1,0),0)</f>
        <v>0</v>
      </c>
      <c r="AD366" s="150">
        <f>IF(AD$2&lt;=analysis_period,IF(SUM($C716:AD716)&gt;0,AC366+1,0),0)</f>
        <v>0</v>
      </c>
      <c r="AE366" s="150">
        <f>IF(AE$2&lt;=analysis_period,IF(SUM($C716:AE716)&gt;0,AD366+1,0),0)</f>
        <v>0</v>
      </c>
      <c r="AF366" s="150">
        <f>IF(AF$2&lt;=analysis_period,IF(SUM($C716:AF716)&gt;0,AE366+1,0),0)</f>
        <v>0</v>
      </c>
      <c r="AG366" s="150">
        <f>IF(AG$2&lt;=analysis_period,IF(SUM($C716:AG716)&gt;0,AF366+1,0),0)</f>
        <v>0</v>
      </c>
      <c r="AH366" s="150">
        <f>IF(AH$2&lt;=analysis_period,IF(SUM($C716:AH716)&gt;0,AG366+1,0),0)</f>
        <v>0</v>
      </c>
      <c r="AI366" s="150">
        <f>IF(AI$2&lt;=analysis_period,IF(SUM($C716:AI716)&gt;0,AH366+1,0),0)</f>
        <v>0</v>
      </c>
      <c r="AJ366" s="150">
        <f>IF(AJ$2&lt;=analysis_period,IF(SUM($C716:AJ716)&gt;0,AI366+1,0),0)</f>
        <v>0</v>
      </c>
      <c r="AK366" s="150">
        <f>IF(AK$2&lt;=analysis_period,IF(SUM($C716:AK716)&gt;0,AJ366+1,0),0)</f>
        <v>0</v>
      </c>
      <c r="AL366" s="150">
        <f>IF(AL$2&lt;=analysis_period,IF(SUM($C716:AL716)&gt;0,AK366+1,0),0)</f>
        <v>0</v>
      </c>
      <c r="AM366" s="150">
        <f>IF(AM$2&lt;=analysis_period,IF(SUM($C716:AM716)&gt;0,AL366+1,0),0)</f>
        <v>0</v>
      </c>
      <c r="AN366" s="150">
        <f>IF(AN$2&lt;=analysis_period,IF(SUM($C716:AN716)&gt;0,AM366+1,0),0)</f>
        <v>0</v>
      </c>
      <c r="AO366" s="150">
        <f>IF(AO$2&lt;=analysis_period,IF(SUM($C716:AO716)&gt;0,AN366+1,0),0)</f>
        <v>0</v>
      </c>
      <c r="AP366" s="150">
        <f>IF(AP$2&lt;=analysis_period,IF(SUM($C716:AP716)&gt;0,AO366+1,0),0)</f>
        <v>0</v>
      </c>
    </row>
    <row r="367" spans="1:42" x14ac:dyDescent="0.2">
      <c r="A367" s="4">
        <f t="shared" si="145"/>
        <v>4</v>
      </c>
      <c r="B367" s="4">
        <v>0</v>
      </c>
      <c r="C367" s="150">
        <f>IF(C$2&lt;=analysis_period,IF(SUM($C717:C717)&gt;0,B367+1,0),0)</f>
        <v>0</v>
      </c>
      <c r="D367" s="150">
        <f>IF(D$2&lt;=analysis_period,IF(SUM($C717:D717)&gt;0,C367+1,0),0)</f>
        <v>0</v>
      </c>
      <c r="E367" s="150">
        <f>IF(E$2&lt;=analysis_period,IF(SUM($C717:E717)&gt;0,D367+1,0),0)</f>
        <v>0</v>
      </c>
      <c r="F367" s="150">
        <f>IF(F$2&lt;=analysis_period,IF(SUM($C717:F717)&gt;0,E367+1,0),0)</f>
        <v>0</v>
      </c>
      <c r="G367" s="150">
        <f>IF(G$2&lt;=analysis_period,IF(SUM($C717:G717)&gt;0,F367+1,0),0)</f>
        <v>0</v>
      </c>
      <c r="H367" s="150">
        <f>IF(H$2&lt;=analysis_period,IF(SUM($C717:H717)&gt;0,G367+1,0),0)</f>
        <v>0</v>
      </c>
      <c r="I367" s="150">
        <f>IF(I$2&lt;=analysis_period,IF(SUM($C717:I717)&gt;0,H367+1,0),0)</f>
        <v>0</v>
      </c>
      <c r="J367" s="150">
        <f>IF(J$2&lt;=analysis_period,IF(SUM($C717:J717)&gt;0,I367+1,0),0)</f>
        <v>0</v>
      </c>
      <c r="K367" s="150">
        <f>IF(K$2&lt;=analysis_period,IF(SUM($C717:K717)&gt;0,J367+1,0),0)</f>
        <v>0</v>
      </c>
      <c r="L367" s="150">
        <f>IF(L$2&lt;=analysis_period,IF(SUM($C717:L717)&gt;0,K367+1,0),0)</f>
        <v>0</v>
      </c>
      <c r="M367" s="150">
        <f>IF(M$2&lt;=analysis_period,IF(SUM($C717:M717)&gt;0,L367+1,0),0)</f>
        <v>0</v>
      </c>
      <c r="N367" s="150">
        <f>IF(N$2&lt;=analysis_period,IF(SUM($C717:N717)&gt;0,M367+1,0),0)</f>
        <v>0</v>
      </c>
      <c r="O367" s="150">
        <f>IF(O$2&lt;=analysis_period,IF(SUM($C717:O717)&gt;0,N367+1,0),0)</f>
        <v>0</v>
      </c>
      <c r="P367" s="150">
        <f>IF(P$2&lt;=analysis_period,IF(SUM($C717:P717)&gt;0,O367+1,0),0)</f>
        <v>0</v>
      </c>
      <c r="Q367" s="150">
        <f>IF(Q$2&lt;=analysis_period,IF(SUM($C717:Q717)&gt;0,P367+1,0),0)</f>
        <v>0</v>
      </c>
      <c r="R367" s="150">
        <f>IF(R$2&lt;=analysis_period,IF(SUM($C717:R717)&gt;0,Q367+1,0),0)</f>
        <v>0</v>
      </c>
      <c r="S367" s="150">
        <f>IF(S$2&lt;=analysis_period,IF(SUM($C717:S717)&gt;0,R367+1,0),0)</f>
        <v>0</v>
      </c>
      <c r="T367" s="150">
        <f>IF(T$2&lt;=analysis_period,IF(SUM($C717:T717)&gt;0,S367+1,0),0)</f>
        <v>0</v>
      </c>
      <c r="U367" s="150">
        <f>IF(U$2&lt;=analysis_period,IF(SUM($C717:U717)&gt;0,T367+1,0),0)</f>
        <v>0</v>
      </c>
      <c r="V367" s="150">
        <f>IF(V$2&lt;=analysis_period,IF(SUM($C717:V717)&gt;0,U367+1,0),0)</f>
        <v>0</v>
      </c>
      <c r="W367" s="150">
        <f>IF(W$2&lt;=analysis_period,IF(SUM($C717:W717)&gt;0,V367+1,0),0)</f>
        <v>0</v>
      </c>
      <c r="X367" s="150">
        <f>IF(X$2&lt;=analysis_period,IF(SUM($C717:X717)&gt;0,W367+1,0),0)</f>
        <v>0</v>
      </c>
      <c r="Y367" s="150">
        <f>IF(Y$2&lt;=analysis_period,IF(SUM($C717:Y717)&gt;0,X367+1,0),0)</f>
        <v>0</v>
      </c>
      <c r="Z367" s="150">
        <f>IF(Z$2&lt;=analysis_period,IF(SUM($C717:Z717)&gt;0,Y367+1,0),0)</f>
        <v>0</v>
      </c>
      <c r="AA367" s="150">
        <f>IF(AA$2&lt;=analysis_period,IF(SUM($C717:AA717)&gt;0,Z367+1,0),0)</f>
        <v>0</v>
      </c>
      <c r="AB367" s="150">
        <f>IF(AB$2&lt;=analysis_period,IF(SUM($C717:AB717)&gt;0,AA367+1,0),0)</f>
        <v>0</v>
      </c>
      <c r="AC367" s="150">
        <f>IF(AC$2&lt;=analysis_period,IF(SUM($C717:AC717)&gt;0,AB367+1,0),0)</f>
        <v>0</v>
      </c>
      <c r="AD367" s="150">
        <f>IF(AD$2&lt;=analysis_period,IF(SUM($C717:AD717)&gt;0,AC367+1,0),0)</f>
        <v>0</v>
      </c>
      <c r="AE367" s="150">
        <f>IF(AE$2&lt;=analysis_period,IF(SUM($C717:AE717)&gt;0,AD367+1,0),0)</f>
        <v>0</v>
      </c>
      <c r="AF367" s="150">
        <f>IF(AF$2&lt;=analysis_period,IF(SUM($C717:AF717)&gt;0,AE367+1,0),0)</f>
        <v>0</v>
      </c>
      <c r="AG367" s="150">
        <f>IF(AG$2&lt;=analysis_period,IF(SUM($C717:AG717)&gt;0,AF367+1,0),0)</f>
        <v>0</v>
      </c>
      <c r="AH367" s="150">
        <f>IF(AH$2&lt;=analysis_period,IF(SUM($C717:AH717)&gt;0,AG367+1,0),0)</f>
        <v>0</v>
      </c>
      <c r="AI367" s="150">
        <f>IF(AI$2&lt;=analysis_period,IF(SUM($C717:AI717)&gt;0,AH367+1,0),0)</f>
        <v>0</v>
      </c>
      <c r="AJ367" s="150">
        <f>IF(AJ$2&lt;=analysis_period,IF(SUM($C717:AJ717)&gt;0,AI367+1,0),0)</f>
        <v>0</v>
      </c>
      <c r="AK367" s="150">
        <f>IF(AK$2&lt;=analysis_period,IF(SUM($C717:AK717)&gt;0,AJ367+1,0),0)</f>
        <v>0</v>
      </c>
      <c r="AL367" s="150">
        <f>IF(AL$2&lt;=analysis_period,IF(SUM($C717:AL717)&gt;0,AK367+1,0),0)</f>
        <v>0</v>
      </c>
      <c r="AM367" s="150">
        <f>IF(AM$2&lt;=analysis_period,IF(SUM($C717:AM717)&gt;0,AL367+1,0),0)</f>
        <v>0</v>
      </c>
      <c r="AN367" s="150">
        <f>IF(AN$2&lt;=analysis_period,IF(SUM($C717:AN717)&gt;0,AM367+1,0),0)</f>
        <v>0</v>
      </c>
      <c r="AO367" s="150">
        <f>IF(AO$2&lt;=analysis_period,IF(SUM($C717:AO717)&gt;0,AN367+1,0),0)</f>
        <v>0</v>
      </c>
      <c r="AP367" s="150">
        <f>IF(AP$2&lt;=analysis_period,IF(SUM($C717:AP717)&gt;0,AO367+1,0),0)</f>
        <v>0</v>
      </c>
    </row>
    <row r="368" spans="1:42" x14ac:dyDescent="0.2">
      <c r="A368" s="4">
        <f t="shared" si="145"/>
        <v>5</v>
      </c>
      <c r="B368" s="4">
        <v>0</v>
      </c>
      <c r="C368" s="150">
        <f>IF(C$2&lt;=analysis_period,IF(SUM($C718:C718)&gt;0,B368+1,0),0)</f>
        <v>0</v>
      </c>
      <c r="D368" s="150">
        <f>IF(D$2&lt;=analysis_period,IF(SUM($C718:D718)&gt;0,C368+1,0),0)</f>
        <v>0</v>
      </c>
      <c r="E368" s="150">
        <f>IF(E$2&lt;=analysis_period,IF(SUM($C718:E718)&gt;0,D368+1,0),0)</f>
        <v>0</v>
      </c>
      <c r="F368" s="150">
        <f>IF(F$2&lt;=analysis_period,IF(SUM($C718:F718)&gt;0,E368+1,0),0)</f>
        <v>0</v>
      </c>
      <c r="G368" s="150">
        <f>IF(G$2&lt;=analysis_period,IF(SUM($C718:G718)&gt;0,F368+1,0),0)</f>
        <v>0</v>
      </c>
      <c r="H368" s="150">
        <f>IF(H$2&lt;=analysis_period,IF(SUM($C718:H718)&gt;0,G368+1,0),0)</f>
        <v>0</v>
      </c>
      <c r="I368" s="150">
        <f>IF(I$2&lt;=analysis_period,IF(SUM($C718:I718)&gt;0,H368+1,0),0)</f>
        <v>0</v>
      </c>
      <c r="J368" s="150">
        <f>IF(J$2&lt;=analysis_period,IF(SUM($C718:J718)&gt;0,I368+1,0),0)</f>
        <v>0</v>
      </c>
      <c r="K368" s="150">
        <f>IF(K$2&lt;=analysis_period,IF(SUM($C718:K718)&gt;0,J368+1,0),0)</f>
        <v>0</v>
      </c>
      <c r="L368" s="150">
        <f>IF(L$2&lt;=analysis_period,IF(SUM($C718:L718)&gt;0,K368+1,0),0)</f>
        <v>0</v>
      </c>
      <c r="M368" s="150">
        <f>IF(M$2&lt;=analysis_period,IF(SUM($C718:M718)&gt;0,L368+1,0),0)</f>
        <v>0</v>
      </c>
      <c r="N368" s="150">
        <f>IF(N$2&lt;=analysis_period,IF(SUM($C718:N718)&gt;0,M368+1,0),0)</f>
        <v>0</v>
      </c>
      <c r="O368" s="150">
        <f>IF(O$2&lt;=analysis_period,IF(SUM($C718:O718)&gt;0,N368+1,0),0)</f>
        <v>0</v>
      </c>
      <c r="P368" s="150">
        <f>IF(P$2&lt;=analysis_period,IF(SUM($C718:P718)&gt;0,O368+1,0),0)</f>
        <v>0</v>
      </c>
      <c r="Q368" s="150">
        <f>IF(Q$2&lt;=analysis_period,IF(SUM($C718:Q718)&gt;0,P368+1,0),0)</f>
        <v>0</v>
      </c>
      <c r="R368" s="150">
        <f>IF(R$2&lt;=analysis_period,IF(SUM($C718:R718)&gt;0,Q368+1,0),0)</f>
        <v>0</v>
      </c>
      <c r="S368" s="150">
        <f>IF(S$2&lt;=analysis_period,IF(SUM($C718:S718)&gt;0,R368+1,0),0)</f>
        <v>0</v>
      </c>
      <c r="T368" s="150">
        <f>IF(T$2&lt;=analysis_period,IF(SUM($C718:T718)&gt;0,S368+1,0),0)</f>
        <v>0</v>
      </c>
      <c r="U368" s="150">
        <f>IF(U$2&lt;=analysis_period,IF(SUM($C718:U718)&gt;0,T368+1,0),0)</f>
        <v>0</v>
      </c>
      <c r="V368" s="150">
        <f>IF(V$2&lt;=analysis_period,IF(SUM($C718:V718)&gt;0,U368+1,0),0)</f>
        <v>0</v>
      </c>
      <c r="W368" s="150">
        <f>IF(W$2&lt;=analysis_period,IF(SUM($C718:W718)&gt;0,V368+1,0),0)</f>
        <v>0</v>
      </c>
      <c r="X368" s="150">
        <f>IF(X$2&lt;=analysis_period,IF(SUM($C718:X718)&gt;0,W368+1,0),0)</f>
        <v>0</v>
      </c>
      <c r="Y368" s="150">
        <f>IF(Y$2&lt;=analysis_period,IF(SUM($C718:Y718)&gt;0,X368+1,0),0)</f>
        <v>0</v>
      </c>
      <c r="Z368" s="150">
        <f>IF(Z$2&lt;=analysis_period,IF(SUM($C718:Z718)&gt;0,Y368+1,0),0)</f>
        <v>0</v>
      </c>
      <c r="AA368" s="150">
        <f>IF(AA$2&lt;=analysis_period,IF(SUM($C718:AA718)&gt;0,Z368+1,0),0)</f>
        <v>0</v>
      </c>
      <c r="AB368" s="150">
        <f>IF(AB$2&lt;=analysis_period,IF(SUM($C718:AB718)&gt;0,AA368+1,0),0)</f>
        <v>0</v>
      </c>
      <c r="AC368" s="150">
        <f>IF(AC$2&lt;=analysis_period,IF(SUM($C718:AC718)&gt;0,AB368+1,0),0)</f>
        <v>0</v>
      </c>
      <c r="AD368" s="150">
        <f>IF(AD$2&lt;=analysis_period,IF(SUM($C718:AD718)&gt;0,AC368+1,0),0)</f>
        <v>0</v>
      </c>
      <c r="AE368" s="150">
        <f>IF(AE$2&lt;=analysis_period,IF(SUM($C718:AE718)&gt;0,AD368+1,0),0)</f>
        <v>0</v>
      </c>
      <c r="AF368" s="150">
        <f>IF(AF$2&lt;=analysis_period,IF(SUM($C718:AF718)&gt;0,AE368+1,0),0)</f>
        <v>0</v>
      </c>
      <c r="AG368" s="150">
        <f>IF(AG$2&lt;=analysis_period,IF(SUM($C718:AG718)&gt;0,AF368+1,0),0)</f>
        <v>0</v>
      </c>
      <c r="AH368" s="150">
        <f>IF(AH$2&lt;=analysis_period,IF(SUM($C718:AH718)&gt;0,AG368+1,0),0)</f>
        <v>0</v>
      </c>
      <c r="AI368" s="150">
        <f>IF(AI$2&lt;=analysis_period,IF(SUM($C718:AI718)&gt;0,AH368+1,0),0)</f>
        <v>0</v>
      </c>
      <c r="AJ368" s="150">
        <f>IF(AJ$2&lt;=analysis_period,IF(SUM($C718:AJ718)&gt;0,AI368+1,0),0)</f>
        <v>0</v>
      </c>
      <c r="AK368" s="150">
        <f>IF(AK$2&lt;=analysis_period,IF(SUM($C718:AK718)&gt;0,AJ368+1,0),0)</f>
        <v>0</v>
      </c>
      <c r="AL368" s="150">
        <f>IF(AL$2&lt;=analysis_period,IF(SUM($C718:AL718)&gt;0,AK368+1,0),0)</f>
        <v>0</v>
      </c>
      <c r="AM368" s="150">
        <f>IF(AM$2&lt;=analysis_period,IF(SUM($C718:AM718)&gt;0,AL368+1,0),0)</f>
        <v>0</v>
      </c>
      <c r="AN368" s="150">
        <f>IF(AN$2&lt;=analysis_period,IF(SUM($C718:AN718)&gt;0,AM368+1,0),0)</f>
        <v>0</v>
      </c>
      <c r="AO368" s="150">
        <f>IF(AO$2&lt;=analysis_period,IF(SUM($C718:AO718)&gt;0,AN368+1,0),0)</f>
        <v>0</v>
      </c>
      <c r="AP368" s="150">
        <f>IF(AP$2&lt;=analysis_period,IF(SUM($C718:AP718)&gt;0,AO368+1,0),0)</f>
        <v>0</v>
      </c>
    </row>
    <row r="369" spans="1:42" x14ac:dyDescent="0.2">
      <c r="A369" s="4">
        <f t="shared" si="145"/>
        <v>6</v>
      </c>
      <c r="B369" s="4">
        <v>0</v>
      </c>
      <c r="C369" s="150">
        <f>IF(C$2&lt;=analysis_period,IF(SUM($C719:C719)&gt;0,B369+1,0),0)</f>
        <v>0</v>
      </c>
      <c r="D369" s="150">
        <f>IF(D$2&lt;=analysis_period,IF(SUM($C719:D719)&gt;0,C369+1,0),0)</f>
        <v>0</v>
      </c>
      <c r="E369" s="150">
        <f>IF(E$2&lt;=analysis_period,IF(SUM($C719:E719)&gt;0,D369+1,0),0)</f>
        <v>0</v>
      </c>
      <c r="F369" s="150">
        <f>IF(F$2&lt;=analysis_period,IF(SUM($C719:F719)&gt;0,E369+1,0),0)</f>
        <v>0</v>
      </c>
      <c r="G369" s="150">
        <f>IF(G$2&lt;=analysis_period,IF(SUM($C719:G719)&gt;0,F369+1,0),0)</f>
        <v>0</v>
      </c>
      <c r="H369" s="150">
        <f>IF(H$2&lt;=analysis_period,IF(SUM($C719:H719)&gt;0,G369+1,0),0)</f>
        <v>0</v>
      </c>
      <c r="I369" s="150">
        <f>IF(I$2&lt;=analysis_period,IF(SUM($C719:I719)&gt;0,H369+1,0),0)</f>
        <v>0</v>
      </c>
      <c r="J369" s="150">
        <f>IF(J$2&lt;=analysis_period,IF(SUM($C719:J719)&gt;0,I369+1,0),0)</f>
        <v>0</v>
      </c>
      <c r="K369" s="150">
        <f>IF(K$2&lt;=analysis_period,IF(SUM($C719:K719)&gt;0,J369+1,0),0)</f>
        <v>0</v>
      </c>
      <c r="L369" s="150">
        <f>IF(L$2&lt;=analysis_period,IF(SUM($C719:L719)&gt;0,K369+1,0),0)</f>
        <v>0</v>
      </c>
      <c r="M369" s="150">
        <f>IF(M$2&lt;=analysis_period,IF(SUM($C719:M719)&gt;0,L369+1,0),0)</f>
        <v>0</v>
      </c>
      <c r="N369" s="150">
        <f>IF(N$2&lt;=analysis_period,IF(SUM($C719:N719)&gt;0,M369+1,0),0)</f>
        <v>0</v>
      </c>
      <c r="O369" s="150">
        <f>IF(O$2&lt;=analysis_period,IF(SUM($C719:O719)&gt;0,N369+1,0),0)</f>
        <v>0</v>
      </c>
      <c r="P369" s="150">
        <f>IF(P$2&lt;=analysis_period,IF(SUM($C719:P719)&gt;0,O369+1,0),0)</f>
        <v>0</v>
      </c>
      <c r="Q369" s="150">
        <f>IF(Q$2&lt;=analysis_period,IF(SUM($C719:Q719)&gt;0,P369+1,0),0)</f>
        <v>0</v>
      </c>
      <c r="R369" s="150">
        <f>IF(R$2&lt;=analysis_period,IF(SUM($C719:R719)&gt;0,Q369+1,0),0)</f>
        <v>0</v>
      </c>
      <c r="S369" s="150">
        <f>IF(S$2&lt;=analysis_period,IF(SUM($C719:S719)&gt;0,R369+1,0),0)</f>
        <v>0</v>
      </c>
      <c r="T369" s="150">
        <f>IF(T$2&lt;=analysis_period,IF(SUM($C719:T719)&gt;0,S369+1,0),0)</f>
        <v>0</v>
      </c>
      <c r="U369" s="150">
        <f>IF(U$2&lt;=analysis_period,IF(SUM($C719:U719)&gt;0,T369+1,0),0)</f>
        <v>0</v>
      </c>
      <c r="V369" s="150">
        <f>IF(V$2&lt;=analysis_period,IF(SUM($C719:V719)&gt;0,U369+1,0),0)</f>
        <v>0</v>
      </c>
      <c r="W369" s="150">
        <f>IF(W$2&lt;=analysis_period,IF(SUM($C719:W719)&gt;0,V369+1,0),0)</f>
        <v>0</v>
      </c>
      <c r="X369" s="150">
        <f>IF(X$2&lt;=analysis_period,IF(SUM($C719:X719)&gt;0,W369+1,0),0)</f>
        <v>0</v>
      </c>
      <c r="Y369" s="150">
        <f>IF(Y$2&lt;=analysis_period,IF(SUM($C719:Y719)&gt;0,X369+1,0),0)</f>
        <v>0</v>
      </c>
      <c r="Z369" s="150">
        <f>IF(Z$2&lt;=analysis_period,IF(SUM($C719:Z719)&gt;0,Y369+1,0),0)</f>
        <v>0</v>
      </c>
      <c r="AA369" s="150">
        <f>IF(AA$2&lt;=analysis_period,IF(SUM($C719:AA719)&gt;0,Z369+1,0),0)</f>
        <v>0</v>
      </c>
      <c r="AB369" s="150">
        <f>IF(AB$2&lt;=analysis_period,IF(SUM($C719:AB719)&gt;0,AA369+1,0),0)</f>
        <v>0</v>
      </c>
      <c r="AC369" s="150">
        <f>IF(AC$2&lt;=analysis_period,IF(SUM($C719:AC719)&gt;0,AB369+1,0),0)</f>
        <v>0</v>
      </c>
      <c r="AD369" s="150">
        <f>IF(AD$2&lt;=analysis_period,IF(SUM($C719:AD719)&gt;0,AC369+1,0),0)</f>
        <v>0</v>
      </c>
      <c r="AE369" s="150">
        <f>IF(AE$2&lt;=analysis_period,IF(SUM($C719:AE719)&gt;0,AD369+1,0),0)</f>
        <v>0</v>
      </c>
      <c r="AF369" s="150">
        <f>IF(AF$2&lt;=analysis_period,IF(SUM($C719:AF719)&gt;0,AE369+1,0),0)</f>
        <v>0</v>
      </c>
      <c r="AG369" s="150">
        <f>IF(AG$2&lt;=analysis_period,IF(SUM($C719:AG719)&gt;0,AF369+1,0),0)</f>
        <v>0</v>
      </c>
      <c r="AH369" s="150">
        <f>IF(AH$2&lt;=analysis_period,IF(SUM($C719:AH719)&gt;0,AG369+1,0),0)</f>
        <v>0</v>
      </c>
      <c r="AI369" s="150">
        <f>IF(AI$2&lt;=analysis_period,IF(SUM($C719:AI719)&gt;0,AH369+1,0),0)</f>
        <v>0</v>
      </c>
      <c r="AJ369" s="150">
        <f>IF(AJ$2&lt;=analysis_period,IF(SUM($C719:AJ719)&gt;0,AI369+1,0),0)</f>
        <v>0</v>
      </c>
      <c r="AK369" s="150">
        <f>IF(AK$2&lt;=analysis_period,IF(SUM($C719:AK719)&gt;0,AJ369+1,0),0)</f>
        <v>0</v>
      </c>
      <c r="AL369" s="150">
        <f>IF(AL$2&lt;=analysis_period,IF(SUM($C719:AL719)&gt;0,AK369+1,0),0)</f>
        <v>0</v>
      </c>
      <c r="AM369" s="150">
        <f>IF(AM$2&lt;=analysis_period,IF(SUM($C719:AM719)&gt;0,AL369+1,0),0)</f>
        <v>0</v>
      </c>
      <c r="AN369" s="150">
        <f>IF(AN$2&lt;=analysis_period,IF(SUM($C719:AN719)&gt;0,AM369+1,0),0)</f>
        <v>0</v>
      </c>
      <c r="AO369" s="150">
        <f>IF(AO$2&lt;=analysis_period,IF(SUM($C719:AO719)&gt;0,AN369+1,0),0)</f>
        <v>0</v>
      </c>
      <c r="AP369" s="150">
        <f>IF(AP$2&lt;=analysis_period,IF(SUM($C719:AP719)&gt;0,AO369+1,0),0)</f>
        <v>0</v>
      </c>
    </row>
    <row r="370" spans="1:42" x14ac:dyDescent="0.2">
      <c r="A370" s="4">
        <f t="shared" si="145"/>
        <v>7</v>
      </c>
      <c r="B370" s="4">
        <v>0</v>
      </c>
      <c r="C370" s="150">
        <f>IF(C$2&lt;=analysis_period,IF(SUM($C720:C720)&gt;0,B370+1,0),0)</f>
        <v>0</v>
      </c>
      <c r="D370" s="150">
        <f>IF(D$2&lt;=analysis_period,IF(SUM($C720:D720)&gt;0,C370+1,0),0)</f>
        <v>0</v>
      </c>
      <c r="E370" s="150">
        <f>IF(E$2&lt;=analysis_period,IF(SUM($C720:E720)&gt;0,D370+1,0),0)</f>
        <v>0</v>
      </c>
      <c r="F370" s="150">
        <f>IF(F$2&lt;=analysis_period,IF(SUM($C720:F720)&gt;0,E370+1,0),0)</f>
        <v>0</v>
      </c>
      <c r="G370" s="150">
        <f>IF(G$2&lt;=analysis_period,IF(SUM($C720:G720)&gt;0,F370+1,0),0)</f>
        <v>0</v>
      </c>
      <c r="H370" s="150">
        <f>IF(H$2&lt;=analysis_period,IF(SUM($C720:H720)&gt;0,G370+1,0),0)</f>
        <v>0</v>
      </c>
      <c r="I370" s="150">
        <f>IF(I$2&lt;=analysis_period,IF(SUM($C720:I720)&gt;0,H370+1,0),0)</f>
        <v>0</v>
      </c>
      <c r="J370" s="150">
        <f>IF(J$2&lt;=analysis_period,IF(SUM($C720:J720)&gt;0,I370+1,0),0)</f>
        <v>0</v>
      </c>
      <c r="K370" s="150">
        <f>IF(K$2&lt;=analysis_period,IF(SUM($C720:K720)&gt;0,J370+1,0),0)</f>
        <v>0</v>
      </c>
      <c r="L370" s="150">
        <f>IF(L$2&lt;=analysis_period,IF(SUM($C720:L720)&gt;0,K370+1,0),0)</f>
        <v>0</v>
      </c>
      <c r="M370" s="150">
        <f>IF(M$2&lt;=analysis_period,IF(SUM($C720:M720)&gt;0,L370+1,0),0)</f>
        <v>0</v>
      </c>
      <c r="N370" s="150">
        <f>IF(N$2&lt;=analysis_period,IF(SUM($C720:N720)&gt;0,M370+1,0),0)</f>
        <v>0</v>
      </c>
      <c r="O370" s="150">
        <f>IF(O$2&lt;=analysis_period,IF(SUM($C720:O720)&gt;0,N370+1,0),0)</f>
        <v>0</v>
      </c>
      <c r="P370" s="150">
        <f>IF(P$2&lt;=analysis_period,IF(SUM($C720:P720)&gt;0,O370+1,0),0)</f>
        <v>0</v>
      </c>
      <c r="Q370" s="150">
        <f>IF(Q$2&lt;=analysis_period,IF(SUM($C720:Q720)&gt;0,P370+1,0),0)</f>
        <v>0</v>
      </c>
      <c r="R370" s="150">
        <f>IF(R$2&lt;=analysis_period,IF(SUM($C720:R720)&gt;0,Q370+1,0),0)</f>
        <v>0</v>
      </c>
      <c r="S370" s="150">
        <f>IF(S$2&lt;=analysis_period,IF(SUM($C720:S720)&gt;0,R370+1,0),0)</f>
        <v>0</v>
      </c>
      <c r="T370" s="150">
        <f>IF(T$2&lt;=analysis_period,IF(SUM($C720:T720)&gt;0,S370+1,0),0)</f>
        <v>0</v>
      </c>
      <c r="U370" s="150">
        <f>IF(U$2&lt;=analysis_period,IF(SUM($C720:U720)&gt;0,T370+1,0),0)</f>
        <v>0</v>
      </c>
      <c r="V370" s="150">
        <f>IF(V$2&lt;=analysis_period,IF(SUM($C720:V720)&gt;0,U370+1,0),0)</f>
        <v>0</v>
      </c>
      <c r="W370" s="150">
        <f>IF(W$2&lt;=analysis_period,IF(SUM($C720:W720)&gt;0,V370+1,0),0)</f>
        <v>0</v>
      </c>
      <c r="X370" s="150">
        <f>IF(X$2&lt;=analysis_period,IF(SUM($C720:X720)&gt;0,W370+1,0),0)</f>
        <v>0</v>
      </c>
      <c r="Y370" s="150">
        <f>IF(Y$2&lt;=analysis_period,IF(SUM($C720:Y720)&gt;0,X370+1,0),0)</f>
        <v>0</v>
      </c>
      <c r="Z370" s="150">
        <f>IF(Z$2&lt;=analysis_period,IF(SUM($C720:Z720)&gt;0,Y370+1,0),0)</f>
        <v>0</v>
      </c>
      <c r="AA370" s="150">
        <f>IF(AA$2&lt;=analysis_period,IF(SUM($C720:AA720)&gt;0,Z370+1,0),0)</f>
        <v>0</v>
      </c>
      <c r="AB370" s="150">
        <f>IF(AB$2&lt;=analysis_period,IF(SUM($C720:AB720)&gt;0,AA370+1,0),0)</f>
        <v>0</v>
      </c>
      <c r="AC370" s="150">
        <f>IF(AC$2&lt;=analysis_period,IF(SUM($C720:AC720)&gt;0,AB370+1,0),0)</f>
        <v>0</v>
      </c>
      <c r="AD370" s="150">
        <f>IF(AD$2&lt;=analysis_period,IF(SUM($C720:AD720)&gt;0,AC370+1,0),0)</f>
        <v>0</v>
      </c>
      <c r="AE370" s="150">
        <f>IF(AE$2&lt;=analysis_period,IF(SUM($C720:AE720)&gt;0,AD370+1,0),0)</f>
        <v>0</v>
      </c>
      <c r="AF370" s="150">
        <f>IF(AF$2&lt;=analysis_period,IF(SUM($C720:AF720)&gt;0,AE370+1,0),0)</f>
        <v>0</v>
      </c>
      <c r="AG370" s="150">
        <f>IF(AG$2&lt;=analysis_period,IF(SUM($C720:AG720)&gt;0,AF370+1,0),0)</f>
        <v>0</v>
      </c>
      <c r="AH370" s="150">
        <f>IF(AH$2&lt;=analysis_period,IF(SUM($C720:AH720)&gt;0,AG370+1,0),0)</f>
        <v>0</v>
      </c>
      <c r="AI370" s="150">
        <f>IF(AI$2&lt;=analysis_period,IF(SUM($C720:AI720)&gt;0,AH370+1,0),0)</f>
        <v>0</v>
      </c>
      <c r="AJ370" s="150">
        <f>IF(AJ$2&lt;=analysis_period,IF(SUM($C720:AJ720)&gt;0,AI370+1,0),0)</f>
        <v>0</v>
      </c>
      <c r="AK370" s="150">
        <f>IF(AK$2&lt;=analysis_period,IF(SUM($C720:AK720)&gt;0,AJ370+1,0),0)</f>
        <v>0</v>
      </c>
      <c r="AL370" s="150">
        <f>IF(AL$2&lt;=analysis_period,IF(SUM($C720:AL720)&gt;0,AK370+1,0),0)</f>
        <v>0</v>
      </c>
      <c r="AM370" s="150">
        <f>IF(AM$2&lt;=analysis_period,IF(SUM($C720:AM720)&gt;0,AL370+1,0),0)</f>
        <v>0</v>
      </c>
      <c r="AN370" s="150">
        <f>IF(AN$2&lt;=analysis_period,IF(SUM($C720:AN720)&gt;0,AM370+1,0),0)</f>
        <v>0</v>
      </c>
      <c r="AO370" s="150">
        <f>IF(AO$2&lt;=analysis_period,IF(SUM($C720:AO720)&gt;0,AN370+1,0),0)</f>
        <v>0</v>
      </c>
      <c r="AP370" s="150">
        <f>IF(AP$2&lt;=analysis_period,IF(SUM($C720:AP720)&gt;0,AO370+1,0),0)</f>
        <v>0</v>
      </c>
    </row>
    <row r="371" spans="1:42" x14ac:dyDescent="0.2">
      <c r="A371" s="4">
        <f t="shared" si="145"/>
        <v>8</v>
      </c>
      <c r="B371" s="4">
        <v>0</v>
      </c>
      <c r="C371" s="150">
        <f>IF(C$2&lt;=analysis_period,IF(SUM($C721:C721)&gt;0,B371+1,0),0)</f>
        <v>0</v>
      </c>
      <c r="D371" s="150">
        <f>IF(D$2&lt;=analysis_period,IF(SUM($C721:D721)&gt;0,C371+1,0),0)</f>
        <v>0</v>
      </c>
      <c r="E371" s="150">
        <f>IF(E$2&lt;=analysis_period,IF(SUM($C721:E721)&gt;0,D371+1,0),0)</f>
        <v>0</v>
      </c>
      <c r="F371" s="150">
        <f>IF(F$2&lt;=analysis_period,IF(SUM($C721:F721)&gt;0,E371+1,0),0)</f>
        <v>0</v>
      </c>
      <c r="G371" s="150">
        <f>IF(G$2&lt;=analysis_period,IF(SUM($C721:G721)&gt;0,F371+1,0),0)</f>
        <v>0</v>
      </c>
      <c r="H371" s="150">
        <f>IF(H$2&lt;=analysis_period,IF(SUM($C721:H721)&gt;0,G371+1,0),0)</f>
        <v>0</v>
      </c>
      <c r="I371" s="150">
        <f>IF(I$2&lt;=analysis_period,IF(SUM($C721:I721)&gt;0,H371+1,0),0)</f>
        <v>0</v>
      </c>
      <c r="J371" s="150">
        <f>IF(J$2&lt;=analysis_period,IF(SUM($C721:J721)&gt;0,I371+1,0),0)</f>
        <v>0</v>
      </c>
      <c r="K371" s="150">
        <f>IF(K$2&lt;=analysis_period,IF(SUM($C721:K721)&gt;0,J371+1,0),0)</f>
        <v>0</v>
      </c>
      <c r="L371" s="150">
        <f>IF(L$2&lt;=analysis_period,IF(SUM($C721:L721)&gt;0,K371+1,0),0)</f>
        <v>0</v>
      </c>
      <c r="M371" s="150">
        <f>IF(M$2&lt;=analysis_period,IF(SUM($C721:M721)&gt;0,L371+1,0),0)</f>
        <v>0</v>
      </c>
      <c r="N371" s="150">
        <f>IF(N$2&lt;=analysis_period,IF(SUM($C721:N721)&gt;0,M371+1,0),0)</f>
        <v>0</v>
      </c>
      <c r="O371" s="150">
        <f>IF(O$2&lt;=analysis_period,IF(SUM($C721:O721)&gt;0,N371+1,0),0)</f>
        <v>0</v>
      </c>
      <c r="P371" s="150">
        <f>IF(P$2&lt;=analysis_period,IF(SUM($C721:P721)&gt;0,O371+1,0),0)</f>
        <v>0</v>
      </c>
      <c r="Q371" s="150">
        <f>IF(Q$2&lt;=analysis_period,IF(SUM($C721:Q721)&gt;0,P371+1,0),0)</f>
        <v>0</v>
      </c>
      <c r="R371" s="150">
        <f>IF(R$2&lt;=analysis_period,IF(SUM($C721:R721)&gt;0,Q371+1,0),0)</f>
        <v>0</v>
      </c>
      <c r="S371" s="150">
        <f>IF(S$2&lt;=analysis_period,IF(SUM($C721:S721)&gt;0,R371+1,0),0)</f>
        <v>0</v>
      </c>
      <c r="T371" s="150">
        <f>IF(T$2&lt;=analysis_period,IF(SUM($C721:T721)&gt;0,S371+1,0),0)</f>
        <v>0</v>
      </c>
      <c r="U371" s="150">
        <f>IF(U$2&lt;=analysis_period,IF(SUM($C721:U721)&gt;0,T371+1,0),0)</f>
        <v>0</v>
      </c>
      <c r="V371" s="150">
        <f>IF(V$2&lt;=analysis_period,IF(SUM($C721:V721)&gt;0,U371+1,0),0)</f>
        <v>0</v>
      </c>
      <c r="W371" s="150">
        <f>IF(W$2&lt;=analysis_period,IF(SUM($C721:W721)&gt;0,V371+1,0),0)</f>
        <v>0</v>
      </c>
      <c r="X371" s="150">
        <f>IF(X$2&lt;=analysis_period,IF(SUM($C721:X721)&gt;0,W371+1,0),0)</f>
        <v>0</v>
      </c>
      <c r="Y371" s="150">
        <f>IF(Y$2&lt;=analysis_period,IF(SUM($C721:Y721)&gt;0,X371+1,0),0)</f>
        <v>0</v>
      </c>
      <c r="Z371" s="150">
        <f>IF(Z$2&lt;=analysis_period,IF(SUM($C721:Z721)&gt;0,Y371+1,0),0)</f>
        <v>0</v>
      </c>
      <c r="AA371" s="150">
        <f>IF(AA$2&lt;=analysis_period,IF(SUM($C721:AA721)&gt;0,Z371+1,0),0)</f>
        <v>0</v>
      </c>
      <c r="AB371" s="150">
        <f>IF(AB$2&lt;=analysis_period,IF(SUM($C721:AB721)&gt;0,AA371+1,0),0)</f>
        <v>0</v>
      </c>
      <c r="AC371" s="150">
        <f>IF(AC$2&lt;=analysis_period,IF(SUM($C721:AC721)&gt;0,AB371+1,0),0)</f>
        <v>0</v>
      </c>
      <c r="AD371" s="150">
        <f>IF(AD$2&lt;=analysis_period,IF(SUM($C721:AD721)&gt;0,AC371+1,0),0)</f>
        <v>0</v>
      </c>
      <c r="AE371" s="150">
        <f>IF(AE$2&lt;=analysis_period,IF(SUM($C721:AE721)&gt;0,AD371+1,0),0)</f>
        <v>0</v>
      </c>
      <c r="AF371" s="150">
        <f>IF(AF$2&lt;=analysis_period,IF(SUM($C721:AF721)&gt;0,AE371+1,0),0)</f>
        <v>0</v>
      </c>
      <c r="AG371" s="150">
        <f>IF(AG$2&lt;=analysis_period,IF(SUM($C721:AG721)&gt;0,AF371+1,0),0)</f>
        <v>0</v>
      </c>
      <c r="AH371" s="150">
        <f>IF(AH$2&lt;=analysis_period,IF(SUM($C721:AH721)&gt;0,AG371+1,0),0)</f>
        <v>0</v>
      </c>
      <c r="AI371" s="150">
        <f>IF(AI$2&lt;=analysis_period,IF(SUM($C721:AI721)&gt;0,AH371+1,0),0)</f>
        <v>0</v>
      </c>
      <c r="AJ371" s="150">
        <f>IF(AJ$2&lt;=analysis_period,IF(SUM($C721:AJ721)&gt;0,AI371+1,0),0)</f>
        <v>0</v>
      </c>
      <c r="AK371" s="150">
        <f>IF(AK$2&lt;=analysis_period,IF(SUM($C721:AK721)&gt;0,AJ371+1,0),0)</f>
        <v>0</v>
      </c>
      <c r="AL371" s="150">
        <f>IF(AL$2&lt;=analysis_period,IF(SUM($C721:AL721)&gt;0,AK371+1,0),0)</f>
        <v>0</v>
      </c>
      <c r="AM371" s="150">
        <f>IF(AM$2&lt;=analysis_period,IF(SUM($C721:AM721)&gt;0,AL371+1,0),0)</f>
        <v>0</v>
      </c>
      <c r="AN371" s="150">
        <f>IF(AN$2&lt;=analysis_period,IF(SUM($C721:AN721)&gt;0,AM371+1,0),0)</f>
        <v>0</v>
      </c>
      <c r="AO371" s="150">
        <f>IF(AO$2&lt;=analysis_period,IF(SUM($C721:AO721)&gt;0,AN371+1,0),0)</f>
        <v>0</v>
      </c>
      <c r="AP371" s="150">
        <f>IF(AP$2&lt;=analysis_period,IF(SUM($C721:AP721)&gt;0,AO371+1,0),0)</f>
        <v>0</v>
      </c>
    </row>
    <row r="372" spans="1:42" x14ac:dyDescent="0.2">
      <c r="A372" s="4">
        <f>A371+1</f>
        <v>9</v>
      </c>
      <c r="B372" s="4">
        <v>0</v>
      </c>
      <c r="C372" s="150">
        <f>IF(C$2&lt;=analysis_period,IF(SUM($C722:C722)&gt;0,B372+1,0),0)</f>
        <v>0</v>
      </c>
      <c r="D372" s="150">
        <f>IF(D$2&lt;=analysis_period,IF(SUM($C722:D722)&gt;0,C372+1,0),0)</f>
        <v>0</v>
      </c>
      <c r="E372" s="150">
        <f>IF(E$2&lt;=analysis_period,IF(SUM($C722:E722)&gt;0,D372+1,0),0)</f>
        <v>0</v>
      </c>
      <c r="F372" s="150">
        <f>IF(F$2&lt;=analysis_period,IF(SUM($C722:F722)&gt;0,E372+1,0),0)</f>
        <v>0</v>
      </c>
      <c r="G372" s="150">
        <f>IF(G$2&lt;=analysis_period,IF(SUM($C722:G722)&gt;0,F372+1,0),0)</f>
        <v>0</v>
      </c>
      <c r="H372" s="150">
        <f>IF(H$2&lt;=analysis_period,IF(SUM($C722:H722)&gt;0,G372+1,0),0)</f>
        <v>0</v>
      </c>
      <c r="I372" s="150">
        <f>IF(I$2&lt;=analysis_period,IF(SUM($C722:I722)&gt;0,H372+1,0),0)</f>
        <v>0</v>
      </c>
      <c r="J372" s="150">
        <f>IF(J$2&lt;=analysis_period,IF(SUM($C722:J722)&gt;0,I372+1,0),0)</f>
        <v>0</v>
      </c>
      <c r="K372" s="150">
        <f>IF(K$2&lt;=analysis_period,IF(SUM($C722:K722)&gt;0,J372+1,0),0)</f>
        <v>0</v>
      </c>
      <c r="L372" s="150">
        <f>IF(L$2&lt;=analysis_period,IF(SUM($C722:L722)&gt;0,K372+1,0),0)</f>
        <v>0</v>
      </c>
      <c r="M372" s="150">
        <f>IF(M$2&lt;=analysis_period,IF(SUM($C722:M722)&gt;0,L372+1,0),0)</f>
        <v>0</v>
      </c>
      <c r="N372" s="150">
        <f>IF(N$2&lt;=analysis_period,IF(SUM($C722:N722)&gt;0,M372+1,0),0)</f>
        <v>0</v>
      </c>
      <c r="O372" s="150">
        <f>IF(O$2&lt;=analysis_period,IF(SUM($C722:O722)&gt;0,N372+1,0),0)</f>
        <v>0</v>
      </c>
      <c r="P372" s="150">
        <f>IF(P$2&lt;=analysis_period,IF(SUM($C722:P722)&gt;0,O372+1,0),0)</f>
        <v>0</v>
      </c>
      <c r="Q372" s="150">
        <f>IF(Q$2&lt;=analysis_period,IF(SUM($C722:Q722)&gt;0,P372+1,0),0)</f>
        <v>0</v>
      </c>
      <c r="R372" s="150">
        <f>IF(R$2&lt;=analysis_period,IF(SUM($C722:R722)&gt;0,Q372+1,0),0)</f>
        <v>0</v>
      </c>
      <c r="S372" s="150">
        <f>IF(S$2&lt;=analysis_period,IF(SUM($C722:S722)&gt;0,R372+1,0),0)</f>
        <v>0</v>
      </c>
      <c r="T372" s="150">
        <f>IF(T$2&lt;=analysis_period,IF(SUM($C722:T722)&gt;0,S372+1,0),0)</f>
        <v>0</v>
      </c>
      <c r="U372" s="150">
        <f>IF(U$2&lt;=analysis_period,IF(SUM($C722:U722)&gt;0,T372+1,0),0)</f>
        <v>0</v>
      </c>
      <c r="V372" s="150">
        <f>IF(V$2&lt;=analysis_period,IF(SUM($C722:V722)&gt;0,U372+1,0),0)</f>
        <v>0</v>
      </c>
      <c r="W372" s="150">
        <f>IF(W$2&lt;=analysis_period,IF(SUM($C722:W722)&gt;0,V372+1,0),0)</f>
        <v>0</v>
      </c>
      <c r="X372" s="150">
        <f>IF(X$2&lt;=analysis_period,IF(SUM($C722:X722)&gt;0,W372+1,0),0)</f>
        <v>0</v>
      </c>
      <c r="Y372" s="150">
        <f>IF(Y$2&lt;=analysis_period,IF(SUM($C722:Y722)&gt;0,X372+1,0),0)</f>
        <v>0</v>
      </c>
      <c r="Z372" s="150">
        <f>IF(Z$2&lt;=analysis_period,IF(SUM($C722:Z722)&gt;0,Y372+1,0),0)</f>
        <v>0</v>
      </c>
      <c r="AA372" s="150">
        <f>IF(AA$2&lt;=analysis_period,IF(SUM($C722:AA722)&gt;0,Z372+1,0),0)</f>
        <v>0</v>
      </c>
      <c r="AB372" s="150">
        <f>IF(AB$2&lt;=analysis_period,IF(SUM($C722:AB722)&gt;0,AA372+1,0),0)</f>
        <v>0</v>
      </c>
      <c r="AC372" s="150">
        <f>IF(AC$2&lt;=analysis_period,IF(SUM($C722:AC722)&gt;0,AB372+1,0),0)</f>
        <v>0</v>
      </c>
      <c r="AD372" s="150">
        <f>IF(AD$2&lt;=analysis_period,IF(SUM($C722:AD722)&gt;0,AC372+1,0),0)</f>
        <v>0</v>
      </c>
      <c r="AE372" s="150">
        <f>IF(AE$2&lt;=analysis_period,IF(SUM($C722:AE722)&gt;0,AD372+1,0),0)</f>
        <v>0</v>
      </c>
      <c r="AF372" s="150">
        <f>IF(AF$2&lt;=analysis_period,IF(SUM($C722:AF722)&gt;0,AE372+1,0),0)</f>
        <v>0</v>
      </c>
      <c r="AG372" s="150">
        <f>IF(AG$2&lt;=analysis_period,IF(SUM($C722:AG722)&gt;0,AF372+1,0),0)</f>
        <v>0</v>
      </c>
      <c r="AH372" s="150">
        <f>IF(AH$2&lt;=analysis_period,IF(SUM($C722:AH722)&gt;0,AG372+1,0),0)</f>
        <v>0</v>
      </c>
      <c r="AI372" s="150">
        <f>IF(AI$2&lt;=analysis_period,IF(SUM($C722:AI722)&gt;0,AH372+1,0),0)</f>
        <v>0</v>
      </c>
      <c r="AJ372" s="150">
        <f>IF(AJ$2&lt;=analysis_period,IF(SUM($C722:AJ722)&gt;0,AI372+1,0),0)</f>
        <v>0</v>
      </c>
      <c r="AK372" s="150">
        <f>IF(AK$2&lt;=analysis_period,IF(SUM($C722:AK722)&gt;0,AJ372+1,0),0)</f>
        <v>0</v>
      </c>
      <c r="AL372" s="150">
        <f>IF(AL$2&lt;=analysis_period,IF(SUM($C722:AL722)&gt;0,AK372+1,0),0)</f>
        <v>0</v>
      </c>
      <c r="AM372" s="150">
        <f>IF(AM$2&lt;=analysis_period,IF(SUM($C722:AM722)&gt;0,AL372+1,0),0)</f>
        <v>0</v>
      </c>
      <c r="AN372" s="150">
        <f>IF(AN$2&lt;=analysis_period,IF(SUM($C722:AN722)&gt;0,AM372+1,0),0)</f>
        <v>0</v>
      </c>
      <c r="AO372" s="150">
        <f>IF(AO$2&lt;=analysis_period,IF(SUM($C722:AO722)&gt;0,AN372+1,0),0)</f>
        <v>0</v>
      </c>
      <c r="AP372" s="150">
        <f>IF(AP$2&lt;=analysis_period,IF(SUM($C722:AP722)&gt;0,AO372+1,0),0)</f>
        <v>0</v>
      </c>
    </row>
    <row r="373" spans="1:42" x14ac:dyDescent="0.2">
      <c r="A373" s="4">
        <f t="shared" si="145"/>
        <v>10</v>
      </c>
      <c r="B373" s="4">
        <v>0</v>
      </c>
      <c r="C373" s="150">
        <f>IF(C$2&lt;=analysis_period,IF(SUM($C723:C723)&gt;0,B373+1,0),0)</f>
        <v>0</v>
      </c>
      <c r="D373" s="150">
        <f>IF(D$2&lt;=analysis_period,IF(SUM($C723:D723)&gt;0,C373+1,0),0)</f>
        <v>0</v>
      </c>
      <c r="E373" s="150">
        <f>IF(E$2&lt;=analysis_period,IF(SUM($C723:E723)&gt;0,D373+1,0),0)</f>
        <v>0</v>
      </c>
      <c r="F373" s="150">
        <f>IF(F$2&lt;=analysis_period,IF(SUM($C723:F723)&gt;0,E373+1,0),0)</f>
        <v>0</v>
      </c>
      <c r="G373" s="150">
        <f>IF(G$2&lt;=analysis_period,IF(SUM($C723:G723)&gt;0,F373+1,0),0)</f>
        <v>0</v>
      </c>
      <c r="H373" s="150">
        <f>IF(H$2&lt;=analysis_period,IF(SUM($C723:H723)&gt;0,G373+1,0),0)</f>
        <v>0</v>
      </c>
      <c r="I373" s="150">
        <f>IF(I$2&lt;=analysis_period,IF(SUM($C723:I723)&gt;0,H373+1,0),0)</f>
        <v>0</v>
      </c>
      <c r="J373" s="150">
        <f>IF(J$2&lt;=analysis_period,IF(SUM($C723:J723)&gt;0,I373+1,0),0)</f>
        <v>0</v>
      </c>
      <c r="K373" s="150">
        <f>IF(K$2&lt;=analysis_period,IF(SUM($C723:K723)&gt;0,J373+1,0),0)</f>
        <v>0</v>
      </c>
      <c r="L373" s="150">
        <f>IF(L$2&lt;=analysis_period,IF(SUM($C723:L723)&gt;0,K373+1,0),0)</f>
        <v>0</v>
      </c>
      <c r="M373" s="150">
        <f>IF(M$2&lt;=analysis_period,IF(SUM($C723:M723)&gt;0,L373+1,0),0)</f>
        <v>0</v>
      </c>
      <c r="N373" s="150">
        <f>IF(N$2&lt;=analysis_period,IF(SUM($C723:N723)&gt;0,M373+1,0),0)</f>
        <v>0</v>
      </c>
      <c r="O373" s="150">
        <f>IF(O$2&lt;=analysis_period,IF(SUM($C723:O723)&gt;0,N373+1,0),0)</f>
        <v>0</v>
      </c>
      <c r="P373" s="150">
        <f>IF(P$2&lt;=analysis_period,IF(SUM($C723:P723)&gt;0,O373+1,0),0)</f>
        <v>0</v>
      </c>
      <c r="Q373" s="150">
        <f>IF(Q$2&lt;=analysis_period,IF(SUM($C723:Q723)&gt;0,P373+1,0),0)</f>
        <v>0</v>
      </c>
      <c r="R373" s="150">
        <f>IF(R$2&lt;=analysis_period,IF(SUM($C723:R723)&gt;0,Q373+1,0),0)</f>
        <v>0</v>
      </c>
      <c r="S373" s="150">
        <f>IF(S$2&lt;=analysis_period,IF(SUM($C723:S723)&gt;0,R373+1,0),0)</f>
        <v>0</v>
      </c>
      <c r="T373" s="150">
        <f>IF(T$2&lt;=analysis_period,IF(SUM($C723:T723)&gt;0,S373+1,0),0)</f>
        <v>0</v>
      </c>
      <c r="U373" s="150">
        <f>IF(U$2&lt;=analysis_period,IF(SUM($C723:U723)&gt;0,T373+1,0),0)</f>
        <v>0</v>
      </c>
      <c r="V373" s="150">
        <f>IF(V$2&lt;=analysis_period,IF(SUM($C723:V723)&gt;0,U373+1,0),0)</f>
        <v>0</v>
      </c>
      <c r="W373" s="150">
        <f>IF(W$2&lt;=analysis_period,IF(SUM($C723:W723)&gt;0,V373+1,0),0)</f>
        <v>0</v>
      </c>
      <c r="X373" s="150">
        <f>IF(X$2&lt;=analysis_period,IF(SUM($C723:X723)&gt;0,W373+1,0),0)</f>
        <v>0</v>
      </c>
      <c r="Y373" s="150">
        <f>IF(Y$2&lt;=analysis_period,IF(SUM($C723:Y723)&gt;0,X373+1,0),0)</f>
        <v>0</v>
      </c>
      <c r="Z373" s="150">
        <f>IF(Z$2&lt;=analysis_period,IF(SUM($C723:Z723)&gt;0,Y373+1,0),0)</f>
        <v>0</v>
      </c>
      <c r="AA373" s="150">
        <f>IF(AA$2&lt;=analysis_period,IF(SUM($C723:AA723)&gt;0,Z373+1,0),0)</f>
        <v>0</v>
      </c>
      <c r="AB373" s="150">
        <f>IF(AB$2&lt;=analysis_period,IF(SUM($C723:AB723)&gt;0,AA373+1,0),0)</f>
        <v>0</v>
      </c>
      <c r="AC373" s="150">
        <f>IF(AC$2&lt;=analysis_period,IF(SUM($C723:AC723)&gt;0,AB373+1,0),0)</f>
        <v>0</v>
      </c>
      <c r="AD373" s="150">
        <f>IF(AD$2&lt;=analysis_period,IF(SUM($C723:AD723)&gt;0,AC373+1,0),0)</f>
        <v>0</v>
      </c>
      <c r="AE373" s="150">
        <f>IF(AE$2&lt;=analysis_period,IF(SUM($C723:AE723)&gt;0,AD373+1,0),0)</f>
        <v>0</v>
      </c>
      <c r="AF373" s="150">
        <f>IF(AF$2&lt;=analysis_period,IF(SUM($C723:AF723)&gt;0,AE373+1,0),0)</f>
        <v>0</v>
      </c>
      <c r="AG373" s="150">
        <f>IF(AG$2&lt;=analysis_period,IF(SUM($C723:AG723)&gt;0,AF373+1,0),0)</f>
        <v>0</v>
      </c>
      <c r="AH373" s="150">
        <f>IF(AH$2&lt;=analysis_period,IF(SUM($C723:AH723)&gt;0,AG373+1,0),0)</f>
        <v>0</v>
      </c>
      <c r="AI373" s="150">
        <f>IF(AI$2&lt;=analysis_period,IF(SUM($C723:AI723)&gt;0,AH373+1,0),0)</f>
        <v>0</v>
      </c>
      <c r="AJ373" s="150">
        <f>IF(AJ$2&lt;=analysis_period,IF(SUM($C723:AJ723)&gt;0,AI373+1,0),0)</f>
        <v>0</v>
      </c>
      <c r="AK373" s="150">
        <f>IF(AK$2&lt;=analysis_period,IF(SUM($C723:AK723)&gt;0,AJ373+1,0),0)</f>
        <v>0</v>
      </c>
      <c r="AL373" s="150">
        <f>IF(AL$2&lt;=analysis_period,IF(SUM($C723:AL723)&gt;0,AK373+1,0),0)</f>
        <v>0</v>
      </c>
      <c r="AM373" s="150">
        <f>IF(AM$2&lt;=analysis_period,IF(SUM($C723:AM723)&gt;0,AL373+1,0),0)</f>
        <v>0</v>
      </c>
      <c r="AN373" s="150">
        <f>IF(AN$2&lt;=analysis_period,IF(SUM($C723:AN723)&gt;0,AM373+1,0),0)</f>
        <v>0</v>
      </c>
      <c r="AO373" s="150">
        <f>IF(AO$2&lt;=analysis_period,IF(SUM($C723:AO723)&gt;0,AN373+1,0),0)</f>
        <v>0</v>
      </c>
      <c r="AP373" s="150">
        <f>IF(AP$2&lt;=analysis_period,IF(SUM($C723:AP723)&gt;0,AO373+1,0),0)</f>
        <v>0</v>
      </c>
    </row>
    <row r="374" spans="1:42" x14ac:dyDescent="0.2">
      <c r="A374" s="21"/>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row>
    <row r="375" spans="1:42" x14ac:dyDescent="0.2">
      <c r="A375" s="87" t="s">
        <v>63</v>
      </c>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row>
    <row r="376" spans="1:42" x14ac:dyDescent="0.2">
      <c r="A376" s="4">
        <v>1</v>
      </c>
      <c r="B376" s="173">
        <f t="shared" ref="B376:B385" si="146">SUM(C376:AP376)</f>
        <v>0</v>
      </c>
      <c r="C376" s="150">
        <f t="shared" ref="C376:AP376" si="147">LOOKUP(C364,$B$308:$AP$308,$B$309:$AP$309)/100*$B714</f>
        <v>0</v>
      </c>
      <c r="D376" s="150">
        <f t="shared" si="147"/>
        <v>0</v>
      </c>
      <c r="E376" s="150">
        <f t="shared" si="147"/>
        <v>0</v>
      </c>
      <c r="F376" s="150">
        <f t="shared" si="147"/>
        <v>0</v>
      </c>
      <c r="G376" s="150">
        <f t="shared" si="147"/>
        <v>0</v>
      </c>
      <c r="H376" s="150">
        <f t="shared" si="147"/>
        <v>0</v>
      </c>
      <c r="I376" s="150">
        <f t="shared" si="147"/>
        <v>0</v>
      </c>
      <c r="J376" s="150">
        <f t="shared" si="147"/>
        <v>0</v>
      </c>
      <c r="K376" s="150">
        <f t="shared" si="147"/>
        <v>0</v>
      </c>
      <c r="L376" s="150">
        <f t="shared" si="147"/>
        <v>0</v>
      </c>
      <c r="M376" s="150">
        <f t="shared" si="147"/>
        <v>0</v>
      </c>
      <c r="N376" s="150">
        <f t="shared" si="147"/>
        <v>0</v>
      </c>
      <c r="O376" s="150">
        <f t="shared" si="147"/>
        <v>0</v>
      </c>
      <c r="P376" s="150">
        <f t="shared" si="147"/>
        <v>0</v>
      </c>
      <c r="Q376" s="150">
        <f t="shared" si="147"/>
        <v>0</v>
      </c>
      <c r="R376" s="150">
        <f t="shared" si="147"/>
        <v>0</v>
      </c>
      <c r="S376" s="150">
        <f t="shared" si="147"/>
        <v>0</v>
      </c>
      <c r="T376" s="150">
        <f t="shared" si="147"/>
        <v>0</v>
      </c>
      <c r="U376" s="150">
        <f t="shared" si="147"/>
        <v>0</v>
      </c>
      <c r="V376" s="150">
        <f t="shared" si="147"/>
        <v>0</v>
      </c>
      <c r="W376" s="150">
        <f t="shared" si="147"/>
        <v>0</v>
      </c>
      <c r="X376" s="150">
        <f t="shared" si="147"/>
        <v>0</v>
      </c>
      <c r="Y376" s="150">
        <f t="shared" si="147"/>
        <v>0</v>
      </c>
      <c r="Z376" s="150">
        <f t="shared" si="147"/>
        <v>0</v>
      </c>
      <c r="AA376" s="150">
        <f t="shared" si="147"/>
        <v>0</v>
      </c>
      <c r="AB376" s="150">
        <f t="shared" si="147"/>
        <v>0</v>
      </c>
      <c r="AC376" s="150">
        <f t="shared" si="147"/>
        <v>0</v>
      </c>
      <c r="AD376" s="150">
        <f t="shared" si="147"/>
        <v>0</v>
      </c>
      <c r="AE376" s="150">
        <f t="shared" si="147"/>
        <v>0</v>
      </c>
      <c r="AF376" s="150">
        <f t="shared" si="147"/>
        <v>0</v>
      </c>
      <c r="AG376" s="150">
        <f t="shared" si="147"/>
        <v>0</v>
      </c>
      <c r="AH376" s="150">
        <f t="shared" si="147"/>
        <v>0</v>
      </c>
      <c r="AI376" s="150">
        <f t="shared" si="147"/>
        <v>0</v>
      </c>
      <c r="AJ376" s="150">
        <f t="shared" si="147"/>
        <v>0</v>
      </c>
      <c r="AK376" s="150">
        <f t="shared" si="147"/>
        <v>0</v>
      </c>
      <c r="AL376" s="150">
        <f t="shared" si="147"/>
        <v>0</v>
      </c>
      <c r="AM376" s="150">
        <f t="shared" si="147"/>
        <v>0</v>
      </c>
      <c r="AN376" s="150">
        <f t="shared" si="147"/>
        <v>0</v>
      </c>
      <c r="AO376" s="150">
        <f t="shared" si="147"/>
        <v>0</v>
      </c>
      <c r="AP376" s="150">
        <f t="shared" si="147"/>
        <v>0</v>
      </c>
    </row>
    <row r="377" spans="1:42" x14ac:dyDescent="0.2">
      <c r="A377" s="4">
        <f>A376+1</f>
        <v>2</v>
      </c>
      <c r="B377" s="173">
        <f t="shared" si="146"/>
        <v>0</v>
      </c>
      <c r="C377" s="150">
        <f t="shared" ref="C377:AP377" si="148">LOOKUP(C365,$B$308:$AP$308,$B$309:$AP$309)/100*$B715</f>
        <v>0</v>
      </c>
      <c r="D377" s="150">
        <f t="shared" si="148"/>
        <v>0</v>
      </c>
      <c r="E377" s="150">
        <f t="shared" si="148"/>
        <v>0</v>
      </c>
      <c r="F377" s="150">
        <f t="shared" si="148"/>
        <v>0</v>
      </c>
      <c r="G377" s="150">
        <f t="shared" si="148"/>
        <v>0</v>
      </c>
      <c r="H377" s="150">
        <f t="shared" si="148"/>
        <v>0</v>
      </c>
      <c r="I377" s="150">
        <f t="shared" si="148"/>
        <v>0</v>
      </c>
      <c r="J377" s="150">
        <f t="shared" si="148"/>
        <v>0</v>
      </c>
      <c r="K377" s="150">
        <f t="shared" si="148"/>
        <v>0</v>
      </c>
      <c r="L377" s="150">
        <f t="shared" si="148"/>
        <v>0</v>
      </c>
      <c r="M377" s="150">
        <f t="shared" si="148"/>
        <v>0</v>
      </c>
      <c r="N377" s="150">
        <f t="shared" si="148"/>
        <v>0</v>
      </c>
      <c r="O377" s="150">
        <f t="shared" si="148"/>
        <v>0</v>
      </c>
      <c r="P377" s="150">
        <f t="shared" si="148"/>
        <v>0</v>
      </c>
      <c r="Q377" s="150">
        <f t="shared" si="148"/>
        <v>0</v>
      </c>
      <c r="R377" s="150">
        <f t="shared" si="148"/>
        <v>0</v>
      </c>
      <c r="S377" s="150">
        <f t="shared" si="148"/>
        <v>0</v>
      </c>
      <c r="T377" s="150">
        <f t="shared" si="148"/>
        <v>0</v>
      </c>
      <c r="U377" s="150">
        <f t="shared" si="148"/>
        <v>0</v>
      </c>
      <c r="V377" s="150">
        <f t="shared" si="148"/>
        <v>0</v>
      </c>
      <c r="W377" s="150">
        <f t="shared" si="148"/>
        <v>0</v>
      </c>
      <c r="X377" s="150">
        <f t="shared" si="148"/>
        <v>0</v>
      </c>
      <c r="Y377" s="150">
        <f t="shared" si="148"/>
        <v>0</v>
      </c>
      <c r="Z377" s="150">
        <f t="shared" si="148"/>
        <v>0</v>
      </c>
      <c r="AA377" s="150">
        <f t="shared" si="148"/>
        <v>0</v>
      </c>
      <c r="AB377" s="150">
        <f t="shared" si="148"/>
        <v>0</v>
      </c>
      <c r="AC377" s="150">
        <f t="shared" si="148"/>
        <v>0</v>
      </c>
      <c r="AD377" s="150">
        <f t="shared" si="148"/>
        <v>0</v>
      </c>
      <c r="AE377" s="150">
        <f t="shared" si="148"/>
        <v>0</v>
      </c>
      <c r="AF377" s="150">
        <f t="shared" si="148"/>
        <v>0</v>
      </c>
      <c r="AG377" s="150">
        <f t="shared" si="148"/>
        <v>0</v>
      </c>
      <c r="AH377" s="150">
        <f t="shared" si="148"/>
        <v>0</v>
      </c>
      <c r="AI377" s="150">
        <f t="shared" si="148"/>
        <v>0</v>
      </c>
      <c r="AJ377" s="150">
        <f t="shared" si="148"/>
        <v>0</v>
      </c>
      <c r="AK377" s="150">
        <f t="shared" si="148"/>
        <v>0</v>
      </c>
      <c r="AL377" s="150">
        <f t="shared" si="148"/>
        <v>0</v>
      </c>
      <c r="AM377" s="150">
        <f t="shared" si="148"/>
        <v>0</v>
      </c>
      <c r="AN377" s="150">
        <f t="shared" si="148"/>
        <v>0</v>
      </c>
      <c r="AO377" s="150">
        <f t="shared" si="148"/>
        <v>0</v>
      </c>
      <c r="AP377" s="150">
        <f t="shared" si="148"/>
        <v>0</v>
      </c>
    </row>
    <row r="378" spans="1:42" x14ac:dyDescent="0.2">
      <c r="A378" s="4">
        <f t="shared" ref="A378:A385" si="149">A377+1</f>
        <v>3</v>
      </c>
      <c r="B378" s="173">
        <f t="shared" si="146"/>
        <v>0</v>
      </c>
      <c r="C378" s="150">
        <f t="shared" ref="C378:AP378" si="150">LOOKUP(C366,$B$308:$AP$308,$B$309:$AP$309)/100*$B716</f>
        <v>0</v>
      </c>
      <c r="D378" s="150">
        <f t="shared" si="150"/>
        <v>0</v>
      </c>
      <c r="E378" s="150">
        <f t="shared" si="150"/>
        <v>0</v>
      </c>
      <c r="F378" s="150">
        <f t="shared" si="150"/>
        <v>0</v>
      </c>
      <c r="G378" s="150">
        <f t="shared" si="150"/>
        <v>0</v>
      </c>
      <c r="H378" s="150">
        <f t="shared" si="150"/>
        <v>0</v>
      </c>
      <c r="I378" s="150">
        <f t="shared" si="150"/>
        <v>0</v>
      </c>
      <c r="J378" s="150">
        <f t="shared" si="150"/>
        <v>0</v>
      </c>
      <c r="K378" s="150">
        <f t="shared" si="150"/>
        <v>0</v>
      </c>
      <c r="L378" s="150">
        <f t="shared" si="150"/>
        <v>0</v>
      </c>
      <c r="M378" s="150">
        <f t="shared" si="150"/>
        <v>0</v>
      </c>
      <c r="N378" s="150">
        <f t="shared" si="150"/>
        <v>0</v>
      </c>
      <c r="O378" s="150">
        <f t="shared" si="150"/>
        <v>0</v>
      </c>
      <c r="P378" s="150">
        <f t="shared" si="150"/>
        <v>0</v>
      </c>
      <c r="Q378" s="150">
        <f t="shared" si="150"/>
        <v>0</v>
      </c>
      <c r="R378" s="150">
        <f t="shared" si="150"/>
        <v>0</v>
      </c>
      <c r="S378" s="150">
        <f t="shared" si="150"/>
        <v>0</v>
      </c>
      <c r="T378" s="150">
        <f t="shared" si="150"/>
        <v>0</v>
      </c>
      <c r="U378" s="150">
        <f t="shared" si="150"/>
        <v>0</v>
      </c>
      <c r="V378" s="150">
        <f t="shared" si="150"/>
        <v>0</v>
      </c>
      <c r="W378" s="150">
        <f t="shared" si="150"/>
        <v>0</v>
      </c>
      <c r="X378" s="150">
        <f t="shared" si="150"/>
        <v>0</v>
      </c>
      <c r="Y378" s="150">
        <f t="shared" si="150"/>
        <v>0</v>
      </c>
      <c r="Z378" s="150">
        <f t="shared" si="150"/>
        <v>0</v>
      </c>
      <c r="AA378" s="150">
        <f t="shared" si="150"/>
        <v>0</v>
      </c>
      <c r="AB378" s="150">
        <f t="shared" si="150"/>
        <v>0</v>
      </c>
      <c r="AC378" s="150">
        <f t="shared" si="150"/>
        <v>0</v>
      </c>
      <c r="AD378" s="150">
        <f t="shared" si="150"/>
        <v>0</v>
      </c>
      <c r="AE378" s="150">
        <f t="shared" si="150"/>
        <v>0</v>
      </c>
      <c r="AF378" s="150">
        <f t="shared" si="150"/>
        <v>0</v>
      </c>
      <c r="AG378" s="150">
        <f t="shared" si="150"/>
        <v>0</v>
      </c>
      <c r="AH378" s="150">
        <f t="shared" si="150"/>
        <v>0</v>
      </c>
      <c r="AI378" s="150">
        <f t="shared" si="150"/>
        <v>0</v>
      </c>
      <c r="AJ378" s="150">
        <f t="shared" si="150"/>
        <v>0</v>
      </c>
      <c r="AK378" s="150">
        <f t="shared" si="150"/>
        <v>0</v>
      </c>
      <c r="AL378" s="150">
        <f t="shared" si="150"/>
        <v>0</v>
      </c>
      <c r="AM378" s="150">
        <f t="shared" si="150"/>
        <v>0</v>
      </c>
      <c r="AN378" s="150">
        <f t="shared" si="150"/>
        <v>0</v>
      </c>
      <c r="AO378" s="150">
        <f t="shared" si="150"/>
        <v>0</v>
      </c>
      <c r="AP378" s="150">
        <f t="shared" si="150"/>
        <v>0</v>
      </c>
    </row>
    <row r="379" spans="1:42" x14ac:dyDescent="0.2">
      <c r="A379" s="4">
        <f t="shared" si="149"/>
        <v>4</v>
      </c>
      <c r="B379" s="173">
        <f t="shared" si="146"/>
        <v>0</v>
      </c>
      <c r="C379" s="150">
        <f t="shared" ref="C379:AP379" si="151">LOOKUP(C367,$B$308:$AP$308,$B$309:$AP$309)/100*$B717</f>
        <v>0</v>
      </c>
      <c r="D379" s="150">
        <f t="shared" si="151"/>
        <v>0</v>
      </c>
      <c r="E379" s="150">
        <f t="shared" si="151"/>
        <v>0</v>
      </c>
      <c r="F379" s="150">
        <f t="shared" si="151"/>
        <v>0</v>
      </c>
      <c r="G379" s="150">
        <f t="shared" si="151"/>
        <v>0</v>
      </c>
      <c r="H379" s="150">
        <f t="shared" si="151"/>
        <v>0</v>
      </c>
      <c r="I379" s="150">
        <f t="shared" si="151"/>
        <v>0</v>
      </c>
      <c r="J379" s="150">
        <f t="shared" si="151"/>
        <v>0</v>
      </c>
      <c r="K379" s="150">
        <f t="shared" si="151"/>
        <v>0</v>
      </c>
      <c r="L379" s="150">
        <f t="shared" si="151"/>
        <v>0</v>
      </c>
      <c r="M379" s="150">
        <f t="shared" si="151"/>
        <v>0</v>
      </c>
      <c r="N379" s="150">
        <f t="shared" si="151"/>
        <v>0</v>
      </c>
      <c r="O379" s="150">
        <f t="shared" si="151"/>
        <v>0</v>
      </c>
      <c r="P379" s="150">
        <f t="shared" si="151"/>
        <v>0</v>
      </c>
      <c r="Q379" s="150">
        <f t="shared" si="151"/>
        <v>0</v>
      </c>
      <c r="R379" s="150">
        <f t="shared" si="151"/>
        <v>0</v>
      </c>
      <c r="S379" s="150">
        <f t="shared" si="151"/>
        <v>0</v>
      </c>
      <c r="T379" s="150">
        <f t="shared" si="151"/>
        <v>0</v>
      </c>
      <c r="U379" s="150">
        <f t="shared" si="151"/>
        <v>0</v>
      </c>
      <c r="V379" s="150">
        <f t="shared" si="151"/>
        <v>0</v>
      </c>
      <c r="W379" s="150">
        <f t="shared" si="151"/>
        <v>0</v>
      </c>
      <c r="X379" s="150">
        <f t="shared" si="151"/>
        <v>0</v>
      </c>
      <c r="Y379" s="150">
        <f t="shared" si="151"/>
        <v>0</v>
      </c>
      <c r="Z379" s="150">
        <f t="shared" si="151"/>
        <v>0</v>
      </c>
      <c r="AA379" s="150">
        <f t="shared" si="151"/>
        <v>0</v>
      </c>
      <c r="AB379" s="150">
        <f t="shared" si="151"/>
        <v>0</v>
      </c>
      <c r="AC379" s="150">
        <f t="shared" si="151"/>
        <v>0</v>
      </c>
      <c r="AD379" s="150">
        <f t="shared" si="151"/>
        <v>0</v>
      </c>
      <c r="AE379" s="150">
        <f t="shared" si="151"/>
        <v>0</v>
      </c>
      <c r="AF379" s="150">
        <f t="shared" si="151"/>
        <v>0</v>
      </c>
      <c r="AG379" s="150">
        <f t="shared" si="151"/>
        <v>0</v>
      </c>
      <c r="AH379" s="150">
        <f t="shared" si="151"/>
        <v>0</v>
      </c>
      <c r="AI379" s="150">
        <f t="shared" si="151"/>
        <v>0</v>
      </c>
      <c r="AJ379" s="150">
        <f t="shared" si="151"/>
        <v>0</v>
      </c>
      <c r="AK379" s="150">
        <f t="shared" si="151"/>
        <v>0</v>
      </c>
      <c r="AL379" s="150">
        <f t="shared" si="151"/>
        <v>0</v>
      </c>
      <c r="AM379" s="150">
        <f t="shared" si="151"/>
        <v>0</v>
      </c>
      <c r="AN379" s="150">
        <f t="shared" si="151"/>
        <v>0</v>
      </c>
      <c r="AO379" s="150">
        <f t="shared" si="151"/>
        <v>0</v>
      </c>
      <c r="AP379" s="150">
        <f t="shared" si="151"/>
        <v>0</v>
      </c>
    </row>
    <row r="380" spans="1:42" x14ac:dyDescent="0.2">
      <c r="A380" s="4">
        <f t="shared" si="149"/>
        <v>5</v>
      </c>
      <c r="B380" s="173">
        <f t="shared" si="146"/>
        <v>0</v>
      </c>
      <c r="C380" s="150">
        <f t="shared" ref="C380:AP380" si="152">LOOKUP(C368,$B$308:$AP$308,$B$309:$AP$309)/100*$B718</f>
        <v>0</v>
      </c>
      <c r="D380" s="150">
        <f t="shared" si="152"/>
        <v>0</v>
      </c>
      <c r="E380" s="150">
        <f t="shared" si="152"/>
        <v>0</v>
      </c>
      <c r="F380" s="150">
        <f t="shared" si="152"/>
        <v>0</v>
      </c>
      <c r="G380" s="150">
        <f t="shared" si="152"/>
        <v>0</v>
      </c>
      <c r="H380" s="150">
        <f t="shared" si="152"/>
        <v>0</v>
      </c>
      <c r="I380" s="150">
        <f t="shared" si="152"/>
        <v>0</v>
      </c>
      <c r="J380" s="150">
        <f t="shared" si="152"/>
        <v>0</v>
      </c>
      <c r="K380" s="150">
        <f t="shared" si="152"/>
        <v>0</v>
      </c>
      <c r="L380" s="150">
        <f t="shared" si="152"/>
        <v>0</v>
      </c>
      <c r="M380" s="150">
        <f t="shared" si="152"/>
        <v>0</v>
      </c>
      <c r="N380" s="150">
        <f t="shared" si="152"/>
        <v>0</v>
      </c>
      <c r="O380" s="150">
        <f t="shared" si="152"/>
        <v>0</v>
      </c>
      <c r="P380" s="150">
        <f t="shared" si="152"/>
        <v>0</v>
      </c>
      <c r="Q380" s="150">
        <f t="shared" si="152"/>
        <v>0</v>
      </c>
      <c r="R380" s="150">
        <f t="shared" si="152"/>
        <v>0</v>
      </c>
      <c r="S380" s="150">
        <f t="shared" si="152"/>
        <v>0</v>
      </c>
      <c r="T380" s="150">
        <f t="shared" si="152"/>
        <v>0</v>
      </c>
      <c r="U380" s="150">
        <f t="shared" si="152"/>
        <v>0</v>
      </c>
      <c r="V380" s="150">
        <f t="shared" si="152"/>
        <v>0</v>
      </c>
      <c r="W380" s="150">
        <f t="shared" si="152"/>
        <v>0</v>
      </c>
      <c r="X380" s="150">
        <f t="shared" si="152"/>
        <v>0</v>
      </c>
      <c r="Y380" s="150">
        <f t="shared" si="152"/>
        <v>0</v>
      </c>
      <c r="Z380" s="150">
        <f t="shared" si="152"/>
        <v>0</v>
      </c>
      <c r="AA380" s="150">
        <f t="shared" si="152"/>
        <v>0</v>
      </c>
      <c r="AB380" s="150">
        <f t="shared" si="152"/>
        <v>0</v>
      </c>
      <c r="AC380" s="150">
        <f t="shared" si="152"/>
        <v>0</v>
      </c>
      <c r="AD380" s="150">
        <f t="shared" si="152"/>
        <v>0</v>
      </c>
      <c r="AE380" s="150">
        <f t="shared" si="152"/>
        <v>0</v>
      </c>
      <c r="AF380" s="150">
        <f t="shared" si="152"/>
        <v>0</v>
      </c>
      <c r="AG380" s="150">
        <f t="shared" si="152"/>
        <v>0</v>
      </c>
      <c r="AH380" s="150">
        <f t="shared" si="152"/>
        <v>0</v>
      </c>
      <c r="AI380" s="150">
        <f t="shared" si="152"/>
        <v>0</v>
      </c>
      <c r="AJ380" s="150">
        <f t="shared" si="152"/>
        <v>0</v>
      </c>
      <c r="AK380" s="150">
        <f t="shared" si="152"/>
        <v>0</v>
      </c>
      <c r="AL380" s="150">
        <f t="shared" si="152"/>
        <v>0</v>
      </c>
      <c r="AM380" s="150">
        <f t="shared" si="152"/>
        <v>0</v>
      </c>
      <c r="AN380" s="150">
        <f t="shared" si="152"/>
        <v>0</v>
      </c>
      <c r="AO380" s="150">
        <f t="shared" si="152"/>
        <v>0</v>
      </c>
      <c r="AP380" s="150">
        <f t="shared" si="152"/>
        <v>0</v>
      </c>
    </row>
    <row r="381" spans="1:42" x14ac:dyDescent="0.2">
      <c r="A381" s="4">
        <f t="shared" si="149"/>
        <v>6</v>
      </c>
      <c r="B381" s="173">
        <f t="shared" si="146"/>
        <v>0</v>
      </c>
      <c r="C381" s="150">
        <f t="shared" ref="C381:AP381" si="153">LOOKUP(C369,$B$308:$AP$308,$B$309:$AP$309)/100*$B719</f>
        <v>0</v>
      </c>
      <c r="D381" s="150">
        <f t="shared" si="153"/>
        <v>0</v>
      </c>
      <c r="E381" s="150">
        <f t="shared" si="153"/>
        <v>0</v>
      </c>
      <c r="F381" s="150">
        <f t="shared" si="153"/>
        <v>0</v>
      </c>
      <c r="G381" s="150">
        <f t="shared" si="153"/>
        <v>0</v>
      </c>
      <c r="H381" s="150">
        <f t="shared" si="153"/>
        <v>0</v>
      </c>
      <c r="I381" s="150">
        <f t="shared" si="153"/>
        <v>0</v>
      </c>
      <c r="J381" s="150">
        <f t="shared" si="153"/>
        <v>0</v>
      </c>
      <c r="K381" s="150">
        <f t="shared" si="153"/>
        <v>0</v>
      </c>
      <c r="L381" s="150">
        <f t="shared" si="153"/>
        <v>0</v>
      </c>
      <c r="M381" s="150">
        <f t="shared" si="153"/>
        <v>0</v>
      </c>
      <c r="N381" s="150">
        <f t="shared" si="153"/>
        <v>0</v>
      </c>
      <c r="O381" s="150">
        <f t="shared" si="153"/>
        <v>0</v>
      </c>
      <c r="P381" s="150">
        <f t="shared" si="153"/>
        <v>0</v>
      </c>
      <c r="Q381" s="150">
        <f t="shared" si="153"/>
        <v>0</v>
      </c>
      <c r="R381" s="150">
        <f t="shared" si="153"/>
        <v>0</v>
      </c>
      <c r="S381" s="150">
        <f t="shared" si="153"/>
        <v>0</v>
      </c>
      <c r="T381" s="150">
        <f t="shared" si="153"/>
        <v>0</v>
      </c>
      <c r="U381" s="150">
        <f t="shared" si="153"/>
        <v>0</v>
      </c>
      <c r="V381" s="150">
        <f t="shared" si="153"/>
        <v>0</v>
      </c>
      <c r="W381" s="150">
        <f t="shared" si="153"/>
        <v>0</v>
      </c>
      <c r="X381" s="150">
        <f t="shared" si="153"/>
        <v>0</v>
      </c>
      <c r="Y381" s="150">
        <f t="shared" si="153"/>
        <v>0</v>
      </c>
      <c r="Z381" s="150">
        <f t="shared" si="153"/>
        <v>0</v>
      </c>
      <c r="AA381" s="150">
        <f t="shared" si="153"/>
        <v>0</v>
      </c>
      <c r="AB381" s="150">
        <f t="shared" si="153"/>
        <v>0</v>
      </c>
      <c r="AC381" s="150">
        <f t="shared" si="153"/>
        <v>0</v>
      </c>
      <c r="AD381" s="150">
        <f t="shared" si="153"/>
        <v>0</v>
      </c>
      <c r="AE381" s="150">
        <f t="shared" si="153"/>
        <v>0</v>
      </c>
      <c r="AF381" s="150">
        <f t="shared" si="153"/>
        <v>0</v>
      </c>
      <c r="AG381" s="150">
        <f t="shared" si="153"/>
        <v>0</v>
      </c>
      <c r="AH381" s="150">
        <f t="shared" si="153"/>
        <v>0</v>
      </c>
      <c r="AI381" s="150">
        <f t="shared" si="153"/>
        <v>0</v>
      </c>
      <c r="AJ381" s="150">
        <f t="shared" si="153"/>
        <v>0</v>
      </c>
      <c r="AK381" s="150">
        <f t="shared" si="153"/>
        <v>0</v>
      </c>
      <c r="AL381" s="150">
        <f t="shared" si="153"/>
        <v>0</v>
      </c>
      <c r="AM381" s="150">
        <f t="shared" si="153"/>
        <v>0</v>
      </c>
      <c r="AN381" s="150">
        <f t="shared" si="153"/>
        <v>0</v>
      </c>
      <c r="AO381" s="150">
        <f t="shared" si="153"/>
        <v>0</v>
      </c>
      <c r="AP381" s="150">
        <f t="shared" si="153"/>
        <v>0</v>
      </c>
    </row>
    <row r="382" spans="1:42" x14ac:dyDescent="0.2">
      <c r="A382" s="4">
        <f t="shared" si="149"/>
        <v>7</v>
      </c>
      <c r="B382" s="173">
        <f t="shared" si="146"/>
        <v>0</v>
      </c>
      <c r="C382" s="150">
        <f t="shared" ref="C382:AP382" si="154">LOOKUP(C370,$B$308:$AP$308,$B$309:$AP$309)/100*$B720</f>
        <v>0</v>
      </c>
      <c r="D382" s="150">
        <f t="shared" si="154"/>
        <v>0</v>
      </c>
      <c r="E382" s="150">
        <f t="shared" si="154"/>
        <v>0</v>
      </c>
      <c r="F382" s="150">
        <f t="shared" si="154"/>
        <v>0</v>
      </c>
      <c r="G382" s="150">
        <f t="shared" si="154"/>
        <v>0</v>
      </c>
      <c r="H382" s="150">
        <f t="shared" si="154"/>
        <v>0</v>
      </c>
      <c r="I382" s="150">
        <f t="shared" si="154"/>
        <v>0</v>
      </c>
      <c r="J382" s="150">
        <f t="shared" si="154"/>
        <v>0</v>
      </c>
      <c r="K382" s="150">
        <f t="shared" si="154"/>
        <v>0</v>
      </c>
      <c r="L382" s="150">
        <f t="shared" si="154"/>
        <v>0</v>
      </c>
      <c r="M382" s="150">
        <f t="shared" si="154"/>
        <v>0</v>
      </c>
      <c r="N382" s="150">
        <f t="shared" si="154"/>
        <v>0</v>
      </c>
      <c r="O382" s="150">
        <f t="shared" si="154"/>
        <v>0</v>
      </c>
      <c r="P382" s="150">
        <f t="shared" si="154"/>
        <v>0</v>
      </c>
      <c r="Q382" s="150">
        <f t="shared" si="154"/>
        <v>0</v>
      </c>
      <c r="R382" s="150">
        <f t="shared" si="154"/>
        <v>0</v>
      </c>
      <c r="S382" s="150">
        <f t="shared" si="154"/>
        <v>0</v>
      </c>
      <c r="T382" s="150">
        <f t="shared" si="154"/>
        <v>0</v>
      </c>
      <c r="U382" s="150">
        <f t="shared" si="154"/>
        <v>0</v>
      </c>
      <c r="V382" s="150">
        <f t="shared" si="154"/>
        <v>0</v>
      </c>
      <c r="W382" s="150">
        <f t="shared" si="154"/>
        <v>0</v>
      </c>
      <c r="X382" s="150">
        <f t="shared" si="154"/>
        <v>0</v>
      </c>
      <c r="Y382" s="150">
        <f t="shared" si="154"/>
        <v>0</v>
      </c>
      <c r="Z382" s="150">
        <f t="shared" si="154"/>
        <v>0</v>
      </c>
      <c r="AA382" s="150">
        <f t="shared" si="154"/>
        <v>0</v>
      </c>
      <c r="AB382" s="150">
        <f t="shared" si="154"/>
        <v>0</v>
      </c>
      <c r="AC382" s="150">
        <f t="shared" si="154"/>
        <v>0</v>
      </c>
      <c r="AD382" s="150">
        <f t="shared" si="154"/>
        <v>0</v>
      </c>
      <c r="AE382" s="150">
        <f t="shared" si="154"/>
        <v>0</v>
      </c>
      <c r="AF382" s="150">
        <f t="shared" si="154"/>
        <v>0</v>
      </c>
      <c r="AG382" s="150">
        <f t="shared" si="154"/>
        <v>0</v>
      </c>
      <c r="AH382" s="150">
        <f t="shared" si="154"/>
        <v>0</v>
      </c>
      <c r="AI382" s="150">
        <f t="shared" si="154"/>
        <v>0</v>
      </c>
      <c r="AJ382" s="150">
        <f t="shared" si="154"/>
        <v>0</v>
      </c>
      <c r="AK382" s="150">
        <f t="shared" si="154"/>
        <v>0</v>
      </c>
      <c r="AL382" s="150">
        <f t="shared" si="154"/>
        <v>0</v>
      </c>
      <c r="AM382" s="150">
        <f t="shared" si="154"/>
        <v>0</v>
      </c>
      <c r="AN382" s="150">
        <f t="shared" si="154"/>
        <v>0</v>
      </c>
      <c r="AO382" s="150">
        <f t="shared" si="154"/>
        <v>0</v>
      </c>
      <c r="AP382" s="150">
        <f t="shared" si="154"/>
        <v>0</v>
      </c>
    </row>
    <row r="383" spans="1:42" x14ac:dyDescent="0.2">
      <c r="A383" s="4">
        <f t="shared" si="149"/>
        <v>8</v>
      </c>
      <c r="B383" s="173">
        <f t="shared" si="146"/>
        <v>0</v>
      </c>
      <c r="C383" s="150">
        <f t="shared" ref="C383:AP383" si="155">LOOKUP(C371,$B$308:$AP$308,$B$309:$AP$309)/100*$B721</f>
        <v>0</v>
      </c>
      <c r="D383" s="150">
        <f t="shared" si="155"/>
        <v>0</v>
      </c>
      <c r="E383" s="150">
        <f t="shared" si="155"/>
        <v>0</v>
      </c>
      <c r="F383" s="150">
        <f t="shared" si="155"/>
        <v>0</v>
      </c>
      <c r="G383" s="150">
        <f t="shared" si="155"/>
        <v>0</v>
      </c>
      <c r="H383" s="150">
        <f t="shared" si="155"/>
        <v>0</v>
      </c>
      <c r="I383" s="150">
        <f t="shared" si="155"/>
        <v>0</v>
      </c>
      <c r="J383" s="150">
        <f t="shared" si="155"/>
        <v>0</v>
      </c>
      <c r="K383" s="150">
        <f t="shared" si="155"/>
        <v>0</v>
      </c>
      <c r="L383" s="150">
        <f t="shared" si="155"/>
        <v>0</v>
      </c>
      <c r="M383" s="150">
        <f t="shared" si="155"/>
        <v>0</v>
      </c>
      <c r="N383" s="150">
        <f t="shared" si="155"/>
        <v>0</v>
      </c>
      <c r="O383" s="150">
        <f t="shared" si="155"/>
        <v>0</v>
      </c>
      <c r="P383" s="150">
        <f t="shared" si="155"/>
        <v>0</v>
      </c>
      <c r="Q383" s="150">
        <f t="shared" si="155"/>
        <v>0</v>
      </c>
      <c r="R383" s="150">
        <f t="shared" si="155"/>
        <v>0</v>
      </c>
      <c r="S383" s="150">
        <f t="shared" si="155"/>
        <v>0</v>
      </c>
      <c r="T383" s="150">
        <f t="shared" si="155"/>
        <v>0</v>
      </c>
      <c r="U383" s="150">
        <f t="shared" si="155"/>
        <v>0</v>
      </c>
      <c r="V383" s="150">
        <f t="shared" si="155"/>
        <v>0</v>
      </c>
      <c r="W383" s="150">
        <f t="shared" si="155"/>
        <v>0</v>
      </c>
      <c r="X383" s="150">
        <f t="shared" si="155"/>
        <v>0</v>
      </c>
      <c r="Y383" s="150">
        <f t="shared" si="155"/>
        <v>0</v>
      </c>
      <c r="Z383" s="150">
        <f t="shared" si="155"/>
        <v>0</v>
      </c>
      <c r="AA383" s="150">
        <f t="shared" si="155"/>
        <v>0</v>
      </c>
      <c r="AB383" s="150">
        <f t="shared" si="155"/>
        <v>0</v>
      </c>
      <c r="AC383" s="150">
        <f t="shared" si="155"/>
        <v>0</v>
      </c>
      <c r="AD383" s="150">
        <f t="shared" si="155"/>
        <v>0</v>
      </c>
      <c r="AE383" s="150">
        <f t="shared" si="155"/>
        <v>0</v>
      </c>
      <c r="AF383" s="150">
        <f t="shared" si="155"/>
        <v>0</v>
      </c>
      <c r="AG383" s="150">
        <f t="shared" si="155"/>
        <v>0</v>
      </c>
      <c r="AH383" s="150">
        <f t="shared" si="155"/>
        <v>0</v>
      </c>
      <c r="AI383" s="150">
        <f t="shared" si="155"/>
        <v>0</v>
      </c>
      <c r="AJ383" s="150">
        <f t="shared" si="155"/>
        <v>0</v>
      </c>
      <c r="AK383" s="150">
        <f t="shared" si="155"/>
        <v>0</v>
      </c>
      <c r="AL383" s="150">
        <f t="shared" si="155"/>
        <v>0</v>
      </c>
      <c r="AM383" s="150">
        <f t="shared" si="155"/>
        <v>0</v>
      </c>
      <c r="AN383" s="150">
        <f t="shared" si="155"/>
        <v>0</v>
      </c>
      <c r="AO383" s="150">
        <f t="shared" si="155"/>
        <v>0</v>
      </c>
      <c r="AP383" s="150">
        <f t="shared" si="155"/>
        <v>0</v>
      </c>
    </row>
    <row r="384" spans="1:42" x14ac:dyDescent="0.2">
      <c r="A384" s="4">
        <f>A383+1</f>
        <v>9</v>
      </c>
      <c r="B384" s="173">
        <f t="shared" si="146"/>
        <v>0</v>
      </c>
      <c r="C384" s="150">
        <f t="shared" ref="C384:AP384" si="156">LOOKUP(C372,$B$308:$AP$308,$B$309:$AP$309)/100*$B722</f>
        <v>0</v>
      </c>
      <c r="D384" s="150">
        <f t="shared" si="156"/>
        <v>0</v>
      </c>
      <c r="E384" s="150">
        <f t="shared" si="156"/>
        <v>0</v>
      </c>
      <c r="F384" s="150">
        <f t="shared" si="156"/>
        <v>0</v>
      </c>
      <c r="G384" s="150">
        <f t="shared" si="156"/>
        <v>0</v>
      </c>
      <c r="H384" s="150">
        <f t="shared" si="156"/>
        <v>0</v>
      </c>
      <c r="I384" s="150">
        <f t="shared" si="156"/>
        <v>0</v>
      </c>
      <c r="J384" s="150">
        <f t="shared" si="156"/>
        <v>0</v>
      </c>
      <c r="K384" s="150">
        <f t="shared" si="156"/>
        <v>0</v>
      </c>
      <c r="L384" s="150">
        <f t="shared" si="156"/>
        <v>0</v>
      </c>
      <c r="M384" s="150">
        <f t="shared" si="156"/>
        <v>0</v>
      </c>
      <c r="N384" s="150">
        <f t="shared" si="156"/>
        <v>0</v>
      </c>
      <c r="O384" s="150">
        <f t="shared" si="156"/>
        <v>0</v>
      </c>
      <c r="P384" s="150">
        <f t="shared" si="156"/>
        <v>0</v>
      </c>
      <c r="Q384" s="150">
        <f t="shared" si="156"/>
        <v>0</v>
      </c>
      <c r="R384" s="150">
        <f t="shared" si="156"/>
        <v>0</v>
      </c>
      <c r="S384" s="150">
        <f t="shared" si="156"/>
        <v>0</v>
      </c>
      <c r="T384" s="150">
        <f t="shared" si="156"/>
        <v>0</v>
      </c>
      <c r="U384" s="150">
        <f t="shared" si="156"/>
        <v>0</v>
      </c>
      <c r="V384" s="150">
        <f t="shared" si="156"/>
        <v>0</v>
      </c>
      <c r="W384" s="150">
        <f t="shared" si="156"/>
        <v>0</v>
      </c>
      <c r="X384" s="150">
        <f t="shared" si="156"/>
        <v>0</v>
      </c>
      <c r="Y384" s="150">
        <f t="shared" si="156"/>
        <v>0</v>
      </c>
      <c r="Z384" s="150">
        <f t="shared" si="156"/>
        <v>0</v>
      </c>
      <c r="AA384" s="150">
        <f t="shared" si="156"/>
        <v>0</v>
      </c>
      <c r="AB384" s="150">
        <f t="shared" si="156"/>
        <v>0</v>
      </c>
      <c r="AC384" s="150">
        <f t="shared" si="156"/>
        <v>0</v>
      </c>
      <c r="AD384" s="150">
        <f t="shared" si="156"/>
        <v>0</v>
      </c>
      <c r="AE384" s="150">
        <f t="shared" si="156"/>
        <v>0</v>
      </c>
      <c r="AF384" s="150">
        <f t="shared" si="156"/>
        <v>0</v>
      </c>
      <c r="AG384" s="150">
        <f t="shared" si="156"/>
        <v>0</v>
      </c>
      <c r="AH384" s="150">
        <f t="shared" si="156"/>
        <v>0</v>
      </c>
      <c r="AI384" s="150">
        <f t="shared" si="156"/>
        <v>0</v>
      </c>
      <c r="AJ384" s="150">
        <f t="shared" si="156"/>
        <v>0</v>
      </c>
      <c r="AK384" s="150">
        <f t="shared" si="156"/>
        <v>0</v>
      </c>
      <c r="AL384" s="150">
        <f t="shared" si="156"/>
        <v>0</v>
      </c>
      <c r="AM384" s="150">
        <f t="shared" si="156"/>
        <v>0</v>
      </c>
      <c r="AN384" s="150">
        <f t="shared" si="156"/>
        <v>0</v>
      </c>
      <c r="AO384" s="150">
        <f t="shared" si="156"/>
        <v>0</v>
      </c>
      <c r="AP384" s="150">
        <f t="shared" si="156"/>
        <v>0</v>
      </c>
    </row>
    <row r="385" spans="1:42" x14ac:dyDescent="0.2">
      <c r="A385" s="4">
        <f t="shared" si="149"/>
        <v>10</v>
      </c>
      <c r="B385" s="173">
        <f t="shared" si="146"/>
        <v>0</v>
      </c>
      <c r="C385" s="151">
        <f t="shared" ref="C385:AP385" si="157">LOOKUP(C373,$B$308:$AP$308,$B$309:$AP$309)/100*$B723</f>
        <v>0</v>
      </c>
      <c r="D385" s="151">
        <f t="shared" si="157"/>
        <v>0</v>
      </c>
      <c r="E385" s="151">
        <f t="shared" si="157"/>
        <v>0</v>
      </c>
      <c r="F385" s="151">
        <f t="shared" si="157"/>
        <v>0</v>
      </c>
      <c r="G385" s="151">
        <f t="shared" si="157"/>
        <v>0</v>
      </c>
      <c r="H385" s="151">
        <f t="shared" si="157"/>
        <v>0</v>
      </c>
      <c r="I385" s="151">
        <f t="shared" si="157"/>
        <v>0</v>
      </c>
      <c r="J385" s="151">
        <f t="shared" si="157"/>
        <v>0</v>
      </c>
      <c r="K385" s="151">
        <f t="shared" si="157"/>
        <v>0</v>
      </c>
      <c r="L385" s="151">
        <f t="shared" si="157"/>
        <v>0</v>
      </c>
      <c r="M385" s="151">
        <f t="shared" si="157"/>
        <v>0</v>
      </c>
      <c r="N385" s="151">
        <f t="shared" si="157"/>
        <v>0</v>
      </c>
      <c r="O385" s="151">
        <f t="shared" si="157"/>
        <v>0</v>
      </c>
      <c r="P385" s="151">
        <f t="shared" si="157"/>
        <v>0</v>
      </c>
      <c r="Q385" s="151">
        <f t="shared" si="157"/>
        <v>0</v>
      </c>
      <c r="R385" s="151">
        <f t="shared" si="157"/>
        <v>0</v>
      </c>
      <c r="S385" s="151">
        <f t="shared" si="157"/>
        <v>0</v>
      </c>
      <c r="T385" s="151">
        <f t="shared" si="157"/>
        <v>0</v>
      </c>
      <c r="U385" s="151">
        <f t="shared" si="157"/>
        <v>0</v>
      </c>
      <c r="V385" s="151">
        <f t="shared" si="157"/>
        <v>0</v>
      </c>
      <c r="W385" s="151">
        <f t="shared" si="157"/>
        <v>0</v>
      </c>
      <c r="X385" s="151">
        <f t="shared" si="157"/>
        <v>0</v>
      </c>
      <c r="Y385" s="151">
        <f t="shared" si="157"/>
        <v>0</v>
      </c>
      <c r="Z385" s="151">
        <f t="shared" si="157"/>
        <v>0</v>
      </c>
      <c r="AA385" s="151">
        <f t="shared" si="157"/>
        <v>0</v>
      </c>
      <c r="AB385" s="151">
        <f t="shared" si="157"/>
        <v>0</v>
      </c>
      <c r="AC385" s="151">
        <f t="shared" si="157"/>
        <v>0</v>
      </c>
      <c r="AD385" s="151">
        <f t="shared" si="157"/>
        <v>0</v>
      </c>
      <c r="AE385" s="151">
        <f t="shared" si="157"/>
        <v>0</v>
      </c>
      <c r="AF385" s="151">
        <f t="shared" si="157"/>
        <v>0</v>
      </c>
      <c r="AG385" s="151">
        <f t="shared" si="157"/>
        <v>0</v>
      </c>
      <c r="AH385" s="151">
        <f t="shared" si="157"/>
        <v>0</v>
      </c>
      <c r="AI385" s="151">
        <f t="shared" si="157"/>
        <v>0</v>
      </c>
      <c r="AJ385" s="151">
        <f t="shared" si="157"/>
        <v>0</v>
      </c>
      <c r="AK385" s="151">
        <f t="shared" si="157"/>
        <v>0</v>
      </c>
      <c r="AL385" s="151">
        <f t="shared" si="157"/>
        <v>0</v>
      </c>
      <c r="AM385" s="151">
        <f t="shared" si="157"/>
        <v>0</v>
      </c>
      <c r="AN385" s="151">
        <f t="shared" si="157"/>
        <v>0</v>
      </c>
      <c r="AO385" s="151">
        <f t="shared" si="157"/>
        <v>0</v>
      </c>
      <c r="AP385" s="151">
        <f t="shared" si="157"/>
        <v>0</v>
      </c>
    </row>
    <row r="386" spans="1:42" ht="12" customHeight="1" x14ac:dyDescent="0.2">
      <c r="A386" s="24" t="s">
        <v>12</v>
      </c>
      <c r="B386" s="14"/>
      <c r="C386" s="150">
        <f>SUM(C376:C385)</f>
        <v>0</v>
      </c>
      <c r="D386" s="150">
        <f t="shared" ref="D386:AP386" si="158">SUM(D376:D385)</f>
        <v>0</v>
      </c>
      <c r="E386" s="150">
        <f t="shared" si="158"/>
        <v>0</v>
      </c>
      <c r="F386" s="150">
        <f t="shared" si="158"/>
        <v>0</v>
      </c>
      <c r="G386" s="150">
        <f t="shared" si="158"/>
        <v>0</v>
      </c>
      <c r="H386" s="150">
        <f t="shared" si="158"/>
        <v>0</v>
      </c>
      <c r="I386" s="150">
        <f t="shared" si="158"/>
        <v>0</v>
      </c>
      <c r="J386" s="150">
        <f t="shared" si="158"/>
        <v>0</v>
      </c>
      <c r="K386" s="150">
        <f t="shared" si="158"/>
        <v>0</v>
      </c>
      <c r="L386" s="150">
        <f t="shared" si="158"/>
        <v>0</v>
      </c>
      <c r="M386" s="150">
        <f t="shared" si="158"/>
        <v>0</v>
      </c>
      <c r="N386" s="150">
        <f t="shared" si="158"/>
        <v>0</v>
      </c>
      <c r="O386" s="150">
        <f t="shared" si="158"/>
        <v>0</v>
      </c>
      <c r="P386" s="150">
        <f t="shared" si="158"/>
        <v>0</v>
      </c>
      <c r="Q386" s="150">
        <f t="shared" si="158"/>
        <v>0</v>
      </c>
      <c r="R386" s="150">
        <f t="shared" si="158"/>
        <v>0</v>
      </c>
      <c r="S386" s="150">
        <f t="shared" si="158"/>
        <v>0</v>
      </c>
      <c r="T386" s="150">
        <f t="shared" si="158"/>
        <v>0</v>
      </c>
      <c r="U386" s="150">
        <f t="shared" si="158"/>
        <v>0</v>
      </c>
      <c r="V386" s="150">
        <f t="shared" si="158"/>
        <v>0</v>
      </c>
      <c r="W386" s="150">
        <f t="shared" si="158"/>
        <v>0</v>
      </c>
      <c r="X386" s="150">
        <f t="shared" si="158"/>
        <v>0</v>
      </c>
      <c r="Y386" s="150">
        <f t="shared" si="158"/>
        <v>0</v>
      </c>
      <c r="Z386" s="150">
        <f t="shared" si="158"/>
        <v>0</v>
      </c>
      <c r="AA386" s="150">
        <f t="shared" si="158"/>
        <v>0</v>
      </c>
      <c r="AB386" s="150">
        <f t="shared" si="158"/>
        <v>0</v>
      </c>
      <c r="AC386" s="150">
        <f t="shared" si="158"/>
        <v>0</v>
      </c>
      <c r="AD386" s="150">
        <f t="shared" si="158"/>
        <v>0</v>
      </c>
      <c r="AE386" s="150">
        <f t="shared" si="158"/>
        <v>0</v>
      </c>
      <c r="AF386" s="150">
        <f t="shared" si="158"/>
        <v>0</v>
      </c>
      <c r="AG386" s="150">
        <f t="shared" si="158"/>
        <v>0</v>
      </c>
      <c r="AH386" s="150">
        <f t="shared" si="158"/>
        <v>0</v>
      </c>
      <c r="AI386" s="150">
        <f t="shared" si="158"/>
        <v>0</v>
      </c>
      <c r="AJ386" s="150">
        <f t="shared" si="158"/>
        <v>0</v>
      </c>
      <c r="AK386" s="150">
        <f t="shared" si="158"/>
        <v>0</v>
      </c>
      <c r="AL386" s="150">
        <f t="shared" si="158"/>
        <v>0</v>
      </c>
      <c r="AM386" s="150">
        <f t="shared" si="158"/>
        <v>0</v>
      </c>
      <c r="AN386" s="150">
        <f t="shared" si="158"/>
        <v>0</v>
      </c>
      <c r="AO386" s="150">
        <f t="shared" si="158"/>
        <v>0</v>
      </c>
      <c r="AP386" s="150">
        <f t="shared" si="158"/>
        <v>0</v>
      </c>
    </row>
    <row r="387" spans="1:42" x14ac:dyDescent="0.2">
      <c r="A387" s="21"/>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row>
    <row r="388" spans="1:42" x14ac:dyDescent="0.2">
      <c r="A388" s="19" t="s">
        <v>430</v>
      </c>
    </row>
    <row r="389" spans="1:42" ht="15" customHeight="1" x14ac:dyDescent="0.2">
      <c r="A389" s="323" t="s">
        <v>431</v>
      </c>
      <c r="B389" s="331" t="s">
        <v>404</v>
      </c>
      <c r="C389" s="332"/>
      <c r="D389" s="331" t="s">
        <v>405</v>
      </c>
      <c r="E389" s="332"/>
      <c r="F389" s="332"/>
      <c r="G389" s="331" t="s">
        <v>406</v>
      </c>
      <c r="H389" s="332"/>
      <c r="I389" s="332"/>
      <c r="J389" s="332"/>
      <c r="K389" s="337" t="s">
        <v>407</v>
      </c>
      <c r="L389" s="338"/>
      <c r="M389" s="331" t="s">
        <v>408</v>
      </c>
      <c r="N389" s="332"/>
      <c r="O389" s="332"/>
      <c r="P389" s="317" t="s">
        <v>409</v>
      </c>
      <c r="Q389" s="333" t="s">
        <v>431</v>
      </c>
    </row>
    <row r="390" spans="1:42" ht="38.25" x14ac:dyDescent="0.2">
      <c r="A390" s="37" t="s">
        <v>432</v>
      </c>
      <c r="B390" s="222" t="s">
        <v>438</v>
      </c>
      <c r="C390" s="316" t="s">
        <v>411</v>
      </c>
      <c r="D390" s="222" t="s">
        <v>412</v>
      </c>
      <c r="E390" s="316" t="s">
        <v>413</v>
      </c>
      <c r="F390" s="316" t="s">
        <v>414</v>
      </c>
      <c r="G390" s="222" t="s">
        <v>51</v>
      </c>
      <c r="H390" s="316" t="s">
        <v>52</v>
      </c>
      <c r="I390" s="316" t="s">
        <v>415</v>
      </c>
      <c r="J390" s="316" t="s">
        <v>433</v>
      </c>
      <c r="K390" s="222" t="s">
        <v>53</v>
      </c>
      <c r="L390" s="316" t="s">
        <v>434</v>
      </c>
      <c r="M390" s="222" t="s">
        <v>418</v>
      </c>
      <c r="N390" s="316" t="s">
        <v>419</v>
      </c>
      <c r="O390" s="316" t="s">
        <v>420</v>
      </c>
      <c r="P390" s="208" t="s">
        <v>421</v>
      </c>
      <c r="Q390" s="334"/>
    </row>
    <row r="391" spans="1:42" x14ac:dyDescent="0.2">
      <c r="A391" s="21" t="str">
        <f t="shared" ref="A391:A396" si="159">A253</f>
        <v>5-yr MACRS</v>
      </c>
      <c r="B391" s="205">
        <f>IF(Inputs!$C$145=0,0,depr_alloc_macrs_5_percent*100/Inputs!$C$145)</f>
        <v>0</v>
      </c>
      <c r="C391" s="119">
        <f>$B$247*depr_alloc_macrs_5_percent/100</f>
        <v>0</v>
      </c>
      <c r="D391" s="122">
        <f t="shared" ref="D391:E397" si="160">$B391/100*D$398</f>
        <v>0</v>
      </c>
      <c r="E391" s="119">
        <f t="shared" si="160"/>
        <v>0</v>
      </c>
      <c r="F391" s="119">
        <f>C391-D391-E391</f>
        <v>0</v>
      </c>
      <c r="G391" s="122">
        <f>IF(depr_itc_fed_macrs_5="Yes",F391,0)</f>
        <v>0</v>
      </c>
      <c r="H391" s="127">
        <f t="shared" ref="H391:H397" si="161">IF($G$398=0,0,G391/$G$398)*100</f>
        <v>0</v>
      </c>
      <c r="I391" s="119">
        <f t="shared" ref="I391:I397" si="162">$I$398*H391/100</f>
        <v>0</v>
      </c>
      <c r="J391" s="119">
        <f>I391*0.5</f>
        <v>0</v>
      </c>
      <c r="K391" s="122">
        <f t="shared" ref="K391:K397" si="163">H391/100*$K$398</f>
        <v>0</v>
      </c>
      <c r="L391" s="119">
        <f>K391*0.5</f>
        <v>0</v>
      </c>
      <c r="M391" s="122">
        <f t="shared" ref="M391:M397" si="164">IF(itc_sta_amount_deprbas_fed="Yes",L253,0)+IF(itc_sta_percent_deprbas_fed="Yes",J253,0)</f>
        <v>0</v>
      </c>
      <c r="N391" s="119">
        <f>IF(itc_fed_amount_deprbas_fed="Yes",L391,0)+IF(itc_fed_percent_deprbas_fed="Yes",J391,0)</f>
        <v>0</v>
      </c>
      <c r="O391" s="119">
        <f>F391-M391-N391</f>
        <v>0</v>
      </c>
      <c r="P391" s="121">
        <f>IF(depr_bonus_fed_macrs_5="Yes",O391*depr_bonus_fed/100,0)</f>
        <v>0</v>
      </c>
      <c r="Q391" s="124">
        <f>O391-P391</f>
        <v>0</v>
      </c>
    </row>
    <row r="392" spans="1:42" x14ac:dyDescent="0.2">
      <c r="A392" s="21" t="str">
        <f t="shared" si="159"/>
        <v>15-yr MACRS</v>
      </c>
      <c r="B392" s="205">
        <f>IF(Inputs!$C$145=0,0,depr_alloc_macrs_15_percent*100/Inputs!$C$145)</f>
        <v>0</v>
      </c>
      <c r="C392" s="119">
        <f>$B$247*depr_alloc_macrs_15_percent/100</f>
        <v>0</v>
      </c>
      <c r="D392" s="122">
        <f t="shared" si="160"/>
        <v>0</v>
      </c>
      <c r="E392" s="119">
        <f t="shared" si="160"/>
        <v>0</v>
      </c>
      <c r="F392" s="119">
        <f t="shared" ref="F392:F395" si="165">C392-D392-E392</f>
        <v>0</v>
      </c>
      <c r="G392" s="122">
        <f>IF(depr_itc_fed_macrs_15="Yes",F392,0)</f>
        <v>0</v>
      </c>
      <c r="H392" s="127">
        <f t="shared" si="161"/>
        <v>0</v>
      </c>
      <c r="I392" s="119">
        <f t="shared" si="162"/>
        <v>0</v>
      </c>
      <c r="J392" s="119">
        <f t="shared" ref="J392:J397" si="166">I392*0.5</f>
        <v>0</v>
      </c>
      <c r="K392" s="122">
        <f t="shared" si="163"/>
        <v>0</v>
      </c>
      <c r="L392" s="119">
        <f t="shared" ref="L392:L397" si="167">K392*0.5</f>
        <v>0</v>
      </c>
      <c r="M392" s="122">
        <f t="shared" si="164"/>
        <v>0</v>
      </c>
      <c r="N392" s="119">
        <f t="shared" ref="N392:N397" si="168">IF(itc_fed_amount_deprbas_fed="Yes",L392,0)+IF(itc_fed_percent_deprbas_fed="Yes",J392,0)</f>
        <v>0</v>
      </c>
      <c r="O392" s="119">
        <f t="shared" ref="O392:O395" si="169">F392-M392-N392</f>
        <v>0</v>
      </c>
      <c r="P392" s="121">
        <f>IF(depr_bonus_fed_macrs_15="Yes",O392*depr_bonus_fed/100,0)</f>
        <v>0</v>
      </c>
      <c r="Q392" s="124">
        <f t="shared" ref="Q392:Q395" si="170">O392-P392</f>
        <v>0</v>
      </c>
    </row>
    <row r="393" spans="1:42" x14ac:dyDescent="0.2">
      <c r="A393" s="21" t="str">
        <f t="shared" si="159"/>
        <v>5-yr SL</v>
      </c>
      <c r="B393" s="205">
        <f>IF(Inputs!$C$145=0,0,depr_alloc_sl_5_percent*100/Inputs!$C$145)</f>
        <v>0</v>
      </c>
      <c r="C393" s="119">
        <f>$B$247*depr_alloc_sl_5_percent/100</f>
        <v>0</v>
      </c>
      <c r="D393" s="122">
        <f t="shared" si="160"/>
        <v>0</v>
      </c>
      <c r="E393" s="119">
        <f t="shared" si="160"/>
        <v>0</v>
      </c>
      <c r="F393" s="119">
        <f t="shared" si="165"/>
        <v>0</v>
      </c>
      <c r="G393" s="122">
        <f>IF(depr_itc_fed_sl_5="Yes",F393,0)</f>
        <v>0</v>
      </c>
      <c r="H393" s="127">
        <f t="shared" si="161"/>
        <v>0</v>
      </c>
      <c r="I393" s="119">
        <f t="shared" si="162"/>
        <v>0</v>
      </c>
      <c r="J393" s="119">
        <f t="shared" si="166"/>
        <v>0</v>
      </c>
      <c r="K393" s="122">
        <f t="shared" si="163"/>
        <v>0</v>
      </c>
      <c r="L393" s="119">
        <f t="shared" si="167"/>
        <v>0</v>
      </c>
      <c r="M393" s="122">
        <f t="shared" si="164"/>
        <v>0</v>
      </c>
      <c r="N393" s="119">
        <f t="shared" si="168"/>
        <v>0</v>
      </c>
      <c r="O393" s="119">
        <f t="shared" si="169"/>
        <v>0</v>
      </c>
      <c r="P393" s="121">
        <f>IF(depr_bonus_fed_sl_5="Yes",O393*depr_bonus_fed/100,0)</f>
        <v>0</v>
      </c>
      <c r="Q393" s="124">
        <f t="shared" si="170"/>
        <v>0</v>
      </c>
    </row>
    <row r="394" spans="1:42" x14ac:dyDescent="0.2">
      <c r="A394" s="21" t="str">
        <f t="shared" si="159"/>
        <v>15-yr SL</v>
      </c>
      <c r="B394" s="205">
        <f>IF(Inputs!$C$145=0,0,depr_alloc_sl_15_percent*100/Inputs!$C$145)</f>
        <v>0</v>
      </c>
      <c r="C394" s="119">
        <f>$B$247*depr_alloc_sl_15_percent/100</f>
        <v>0</v>
      </c>
      <c r="D394" s="122">
        <f t="shared" si="160"/>
        <v>0</v>
      </c>
      <c r="E394" s="119">
        <f t="shared" si="160"/>
        <v>0</v>
      </c>
      <c r="F394" s="119">
        <f t="shared" si="165"/>
        <v>0</v>
      </c>
      <c r="G394" s="122">
        <f>IF(depr_itc_fed_sl_15="Yes",F394,0)</f>
        <v>0</v>
      </c>
      <c r="H394" s="127">
        <f t="shared" si="161"/>
        <v>0</v>
      </c>
      <c r="I394" s="119">
        <f t="shared" si="162"/>
        <v>0</v>
      </c>
      <c r="J394" s="119">
        <f t="shared" si="166"/>
        <v>0</v>
      </c>
      <c r="K394" s="122">
        <f t="shared" si="163"/>
        <v>0</v>
      </c>
      <c r="L394" s="119">
        <f t="shared" si="167"/>
        <v>0</v>
      </c>
      <c r="M394" s="122">
        <f t="shared" si="164"/>
        <v>0</v>
      </c>
      <c r="N394" s="119">
        <f t="shared" si="168"/>
        <v>0</v>
      </c>
      <c r="O394" s="119">
        <f t="shared" si="169"/>
        <v>0</v>
      </c>
      <c r="P394" s="121">
        <f>IF(depr_bonus_fed_sl_15="Yes",O394*depr_bonus_fed/100,0)</f>
        <v>0</v>
      </c>
      <c r="Q394" s="124">
        <f t="shared" si="170"/>
        <v>0</v>
      </c>
    </row>
    <row r="395" spans="1:42" x14ac:dyDescent="0.2">
      <c r="A395" s="21" t="str">
        <f t="shared" si="159"/>
        <v>20-yr SL</v>
      </c>
      <c r="B395" s="205">
        <f>IF(Inputs!$C$145=0,0,depr_alloc_sl_20_percent*100/Inputs!$C$145)</f>
        <v>0</v>
      </c>
      <c r="C395" s="119">
        <f>$B$247*depr_alloc_sl_20_percent/100</f>
        <v>0</v>
      </c>
      <c r="D395" s="122">
        <f t="shared" si="160"/>
        <v>0</v>
      </c>
      <c r="E395" s="119">
        <f t="shared" si="160"/>
        <v>0</v>
      </c>
      <c r="F395" s="119">
        <f t="shared" si="165"/>
        <v>0</v>
      </c>
      <c r="G395" s="122">
        <f>IF(depr_itc_fed_sl_20="Yes",F395,0)</f>
        <v>0</v>
      </c>
      <c r="H395" s="127">
        <f t="shared" si="161"/>
        <v>0</v>
      </c>
      <c r="I395" s="119">
        <f t="shared" si="162"/>
        <v>0</v>
      </c>
      <c r="J395" s="119">
        <f t="shared" si="166"/>
        <v>0</v>
      </c>
      <c r="K395" s="122">
        <f t="shared" si="163"/>
        <v>0</v>
      </c>
      <c r="L395" s="119">
        <f t="shared" si="167"/>
        <v>0</v>
      </c>
      <c r="M395" s="122">
        <f t="shared" si="164"/>
        <v>0</v>
      </c>
      <c r="N395" s="119">
        <f t="shared" si="168"/>
        <v>0</v>
      </c>
      <c r="O395" s="119">
        <f t="shared" si="169"/>
        <v>0</v>
      </c>
      <c r="P395" s="121">
        <f>IF(depr_bonus_fed_sl_20="Yes",O395*depr_bonus_fed/100,0)</f>
        <v>0</v>
      </c>
      <c r="Q395" s="124">
        <f t="shared" si="170"/>
        <v>0</v>
      </c>
    </row>
    <row r="396" spans="1:42" x14ac:dyDescent="0.2">
      <c r="A396" s="21" t="str">
        <f t="shared" si="159"/>
        <v>39-yr SL</v>
      </c>
      <c r="B396" s="205">
        <f>IF(Inputs!$C$145=0,0,depr_alloc_sl_39_percent*100/Inputs!$C$145)</f>
        <v>0</v>
      </c>
      <c r="C396" s="119">
        <f>$B$247*depr_alloc_sl_39_percent/100</f>
        <v>0</v>
      </c>
      <c r="D396" s="122">
        <f t="shared" si="160"/>
        <v>0</v>
      </c>
      <c r="E396" s="119">
        <f t="shared" si="160"/>
        <v>0</v>
      </c>
      <c r="F396" s="119">
        <f>C396-D396-E396</f>
        <v>0</v>
      </c>
      <c r="G396" s="122">
        <f>IF(depr_itc_fed_sl_39="Yes",F396,0)</f>
        <v>0</v>
      </c>
      <c r="H396" s="127">
        <f t="shared" si="161"/>
        <v>0</v>
      </c>
      <c r="I396" s="119">
        <f t="shared" si="162"/>
        <v>0</v>
      </c>
      <c r="J396" s="119">
        <f t="shared" si="166"/>
        <v>0</v>
      </c>
      <c r="K396" s="122">
        <f t="shared" si="163"/>
        <v>0</v>
      </c>
      <c r="L396" s="119">
        <f t="shared" si="167"/>
        <v>0</v>
      </c>
      <c r="M396" s="122">
        <f t="shared" si="164"/>
        <v>0</v>
      </c>
      <c r="N396" s="119">
        <f t="shared" si="168"/>
        <v>0</v>
      </c>
      <c r="O396" s="119">
        <f>F396-M396-N396</f>
        <v>0</v>
      </c>
      <c r="P396" s="121">
        <f>IF(depr_bonus_fed_sl_39="Yes",O396*depr_bonus_fed/100,0)</f>
        <v>0</v>
      </c>
      <c r="Q396" s="124">
        <f>O396-P396</f>
        <v>0</v>
      </c>
    </row>
    <row r="397" spans="1:42" x14ac:dyDescent="0.2">
      <c r="A397" s="21" t="s">
        <v>299</v>
      </c>
      <c r="B397" s="205">
        <f>IF(Inputs!$C$145=0,0,depr_alloc_custom_percent*100/Inputs!$C$145)</f>
        <v>0</v>
      </c>
      <c r="C397" s="119">
        <f>$B$247*depr_alloc_custom_percent/100</f>
        <v>0</v>
      </c>
      <c r="D397" s="122">
        <f t="shared" si="160"/>
        <v>0</v>
      </c>
      <c r="E397" s="119">
        <f t="shared" si="160"/>
        <v>0</v>
      </c>
      <c r="F397" s="119">
        <f>C397-D397-E397</f>
        <v>0</v>
      </c>
      <c r="G397" s="122">
        <f>IF(depr_itc_fed_custom="Yes",F397,0)</f>
        <v>0</v>
      </c>
      <c r="H397" s="127">
        <f t="shared" si="161"/>
        <v>0</v>
      </c>
      <c r="I397" s="119">
        <f t="shared" si="162"/>
        <v>0</v>
      </c>
      <c r="J397" s="119">
        <f t="shared" si="166"/>
        <v>0</v>
      </c>
      <c r="K397" s="122">
        <f t="shared" si="163"/>
        <v>0</v>
      </c>
      <c r="L397" s="119">
        <f t="shared" si="167"/>
        <v>0</v>
      </c>
      <c r="M397" s="122">
        <f t="shared" si="164"/>
        <v>0</v>
      </c>
      <c r="N397" s="119">
        <f t="shared" si="168"/>
        <v>0</v>
      </c>
      <c r="O397" s="119">
        <f>F397-M397-N397</f>
        <v>0</v>
      </c>
      <c r="P397" s="121">
        <f>IF(depr_bonus_fed_custom="Yes",O397*depr_bonus_fed/100,0)</f>
        <v>0</v>
      </c>
      <c r="Q397" s="124">
        <f>O397-P397</f>
        <v>0</v>
      </c>
    </row>
    <row r="398" spans="1:42" x14ac:dyDescent="0.2">
      <c r="A398" s="318" t="s">
        <v>12</v>
      </c>
      <c r="B398" s="324">
        <f>SUM(B391:B397)</f>
        <v>0</v>
      </c>
      <c r="C398" s="130">
        <f>SUM(C391:C397)</f>
        <v>0</v>
      </c>
      <c r="D398" s="128">
        <f>B409+B415</f>
        <v>0</v>
      </c>
      <c r="E398" s="130">
        <f>B421</f>
        <v>0</v>
      </c>
      <c r="F398" s="130">
        <f>SUM(F391:F397)</f>
        <v>0</v>
      </c>
      <c r="G398" s="128">
        <f>SUM(G391:G397)</f>
        <v>0</v>
      </c>
      <c r="H398" s="129">
        <f>SUM(H391:H397)</f>
        <v>0</v>
      </c>
      <c r="I398" s="130">
        <f>SUM(C539:AP539)</f>
        <v>0</v>
      </c>
      <c r="J398" s="130">
        <f>SUM(J391:J397)</f>
        <v>0</v>
      </c>
      <c r="K398" s="128">
        <f>SUM(C536:AP536)</f>
        <v>0</v>
      </c>
      <c r="L398" s="130">
        <f t="shared" ref="L398:Q398" si="171">SUM(L391:L397)</f>
        <v>0</v>
      </c>
      <c r="M398" s="128">
        <f t="shared" si="171"/>
        <v>0</v>
      </c>
      <c r="N398" s="130">
        <f t="shared" si="171"/>
        <v>0</v>
      </c>
      <c r="O398" s="130">
        <f t="shared" si="171"/>
        <v>0</v>
      </c>
      <c r="P398" s="172">
        <f t="shared" si="171"/>
        <v>0</v>
      </c>
      <c r="Q398" s="131">
        <f t="shared" si="171"/>
        <v>0</v>
      </c>
    </row>
    <row r="399" spans="1:42" x14ac:dyDescent="0.2">
      <c r="A399" s="21"/>
      <c r="B399" s="322"/>
      <c r="C399" s="119"/>
      <c r="D399" s="119"/>
      <c r="E399" s="119"/>
      <c r="F399" s="119"/>
      <c r="G399" s="119"/>
      <c r="H399" s="127"/>
      <c r="I399" s="119"/>
      <c r="J399" s="119"/>
      <c r="K399" s="119"/>
      <c r="L399" s="119"/>
      <c r="M399" s="119"/>
      <c r="N399" s="119"/>
      <c r="O399" s="119"/>
      <c r="P399" s="119"/>
      <c r="Q399" s="119"/>
    </row>
    <row r="400" spans="1:42" x14ac:dyDescent="0.2">
      <c r="A400" s="17" t="s">
        <v>435</v>
      </c>
      <c r="B400" s="322">
        <f>G398</f>
        <v>0</v>
      </c>
      <c r="C400" s="119"/>
      <c r="D400" s="119"/>
      <c r="E400" s="119"/>
      <c r="F400" s="119"/>
      <c r="G400" s="119"/>
      <c r="H400" s="127"/>
      <c r="I400" s="119"/>
      <c r="J400" s="119"/>
      <c r="K400" s="119"/>
      <c r="L400" s="119"/>
      <c r="M400" s="119"/>
      <c r="N400" s="119"/>
      <c r="O400" s="119"/>
      <c r="P400" s="119"/>
      <c r="Q400" s="119"/>
    </row>
    <row r="402" spans="1:2" x14ac:dyDescent="0.2">
      <c r="A402" s="4" t="s">
        <v>423</v>
      </c>
    </row>
    <row r="403" spans="1:2" x14ac:dyDescent="0.2">
      <c r="A403" s="86" t="str">
        <f>A265</f>
        <v>Investment Based Incentive (IBI)</v>
      </c>
    </row>
    <row r="404" spans="1:2" x14ac:dyDescent="0.2">
      <c r="A404" s="21" t="str">
        <f>A266</f>
        <v>As fixed amount</v>
      </c>
    </row>
    <row r="405" spans="1:2" x14ac:dyDescent="0.2">
      <c r="A405" s="87" t="s">
        <v>4</v>
      </c>
      <c r="B405" s="150">
        <f>IF(ibi_fed_amount_deprbas_fed="Yes",ibi_fed_amount,0)</f>
        <v>0</v>
      </c>
    </row>
    <row r="406" spans="1:2" x14ac:dyDescent="0.2">
      <c r="A406" s="87" t="s">
        <v>5</v>
      </c>
      <c r="B406" s="150">
        <f>IF(ibi_sta_amount_deprbas_fed="Yes",ibi_sta_amount,0)</f>
        <v>0</v>
      </c>
    </row>
    <row r="407" spans="1:2" x14ac:dyDescent="0.2">
      <c r="A407" s="87" t="s">
        <v>160</v>
      </c>
      <c r="B407" s="150">
        <f>IF(ibi_uti_amount_deprbas_fed="Yes",ibi_uti_amount,0)</f>
        <v>0</v>
      </c>
    </row>
    <row r="408" spans="1:2" x14ac:dyDescent="0.2">
      <c r="A408" s="87" t="s">
        <v>161</v>
      </c>
      <c r="B408" s="151">
        <f>IF(ibi_oth_amount_deprbas_fed="Yes",ibi_oth_amount,0)</f>
        <v>0</v>
      </c>
    </row>
    <row r="409" spans="1:2" x14ac:dyDescent="0.2">
      <c r="A409" s="87" t="str">
        <f>A271</f>
        <v>Total basis reduction for IBI as fixed amount</v>
      </c>
      <c r="B409" s="150">
        <f>SUM(B405:B408)</f>
        <v>0</v>
      </c>
    </row>
    <row r="410" spans="1:2" x14ac:dyDescent="0.2">
      <c r="A410" s="21" t="str">
        <f>A272</f>
        <v>As percentage</v>
      </c>
    </row>
    <row r="411" spans="1:2" x14ac:dyDescent="0.2">
      <c r="A411" s="87" t="s">
        <v>4</v>
      </c>
      <c r="B411" s="150">
        <f>IF(ibi_fed_percent_deprbas_fed="Yes",C563,0)</f>
        <v>0</v>
      </c>
    </row>
    <row r="412" spans="1:2" x14ac:dyDescent="0.2">
      <c r="A412" s="87" t="s">
        <v>5</v>
      </c>
      <c r="B412" s="150">
        <f>IF(ibi_sta_percent_deprbas_fed="Yes",C564,0)</f>
        <v>0</v>
      </c>
    </row>
    <row r="413" spans="1:2" x14ac:dyDescent="0.2">
      <c r="A413" s="87" t="s">
        <v>160</v>
      </c>
      <c r="B413" s="150">
        <f>IF(ibi_uti_percent_deprbas_fed="Yes",C565,0)</f>
        <v>0</v>
      </c>
    </row>
    <row r="414" spans="1:2" x14ac:dyDescent="0.2">
      <c r="A414" s="87" t="s">
        <v>161</v>
      </c>
      <c r="B414" s="151">
        <f>IF(ibi_oth_percent_deprbas_fed="Yes",C566,0)</f>
        <v>0</v>
      </c>
    </row>
    <row r="415" spans="1:2" x14ac:dyDescent="0.2">
      <c r="A415" s="87" t="str">
        <f>A277</f>
        <v>Total basis reduction for IBI as percentage</v>
      </c>
      <c r="B415" s="150">
        <f>SUM(B411:B414)</f>
        <v>0</v>
      </c>
    </row>
    <row r="416" spans="1:2" x14ac:dyDescent="0.2">
      <c r="A416" s="86" t="str">
        <f>A278</f>
        <v>Capacity Based Incentive (CBI)</v>
      </c>
    </row>
    <row r="417" spans="1:42" x14ac:dyDescent="0.2">
      <c r="A417" s="21" t="s">
        <v>4</v>
      </c>
      <c r="B417" s="150">
        <f>IF(cbi_fed_deprbas_fed="Yes",C570,0)</f>
        <v>0</v>
      </c>
    </row>
    <row r="418" spans="1:42" x14ac:dyDescent="0.2">
      <c r="A418" s="21" t="s">
        <v>5</v>
      </c>
      <c r="B418" s="150">
        <f>IF(cbi_sta_deprbas_fed="Yes",C571,0)</f>
        <v>0</v>
      </c>
    </row>
    <row r="419" spans="1:42" x14ac:dyDescent="0.2">
      <c r="A419" s="21" t="s">
        <v>160</v>
      </c>
      <c r="B419" s="150">
        <f>IF(cbi_uti_deprbas_fed="Yes",C572,0)</f>
        <v>0</v>
      </c>
    </row>
    <row r="420" spans="1:42" x14ac:dyDescent="0.2">
      <c r="A420" s="21" t="s">
        <v>161</v>
      </c>
      <c r="B420" s="151">
        <f>IF(cbi_oth_deprbas_fed="Yes",C573,0)</f>
        <v>0</v>
      </c>
    </row>
    <row r="421" spans="1:42" x14ac:dyDescent="0.2">
      <c r="A421" s="21" t="str">
        <f>A283</f>
        <v>Total basis reduction for CBI</v>
      </c>
      <c r="B421" s="151">
        <f>SUM(B417:B420)</f>
        <v>0</v>
      </c>
    </row>
    <row r="423" spans="1:42" x14ac:dyDescent="0.2">
      <c r="A423" s="4" t="s">
        <v>67</v>
      </c>
    </row>
    <row r="424" spans="1:42" x14ac:dyDescent="0.2">
      <c r="A424" s="86" t="s">
        <v>427</v>
      </c>
    </row>
    <row r="425" spans="1:42" x14ac:dyDescent="0.2">
      <c r="A425" s="21" t="s">
        <v>49</v>
      </c>
    </row>
    <row r="426" spans="1:42" x14ac:dyDescent="0.2">
      <c r="A426" s="22" t="str">
        <f t="shared" ref="A426:A431" si="172">A391</f>
        <v>5-yr MACRS</v>
      </c>
      <c r="B426" s="158">
        <f t="array" ref="B426">SUM(IF(ISNUMBER(C426:AP426),C426:AP426))</f>
        <v>0</v>
      </c>
      <c r="C426" s="159" t="e">
        <f>LOOKUP(C$2,'Depreciation Schedules'!$A$3:$A$42,'Depreciation Schedules'!$B$3:$B$42)</f>
        <v>#N/A</v>
      </c>
      <c r="D426" s="159" t="e">
        <f>LOOKUP(D$2,'Depreciation Schedules'!$A$3:$A$42,'Depreciation Schedules'!$B$3:$B$42)</f>
        <v>#N/A</v>
      </c>
      <c r="E426" s="159" t="e">
        <f>LOOKUP(E$2,'Depreciation Schedules'!$A$3:$A$42,'Depreciation Schedules'!$B$3:$B$42)</f>
        <v>#N/A</v>
      </c>
      <c r="F426" s="159" t="e">
        <f>LOOKUP(F$2,'Depreciation Schedules'!$A$3:$A$42,'Depreciation Schedules'!$B$3:$B$42)</f>
        <v>#N/A</v>
      </c>
      <c r="G426" s="159" t="e">
        <f>LOOKUP(G$2,'Depreciation Schedules'!$A$3:$A$42,'Depreciation Schedules'!$B$3:$B$42)</f>
        <v>#N/A</v>
      </c>
      <c r="H426" s="159" t="e">
        <f>LOOKUP(H$2,'Depreciation Schedules'!$A$3:$A$42,'Depreciation Schedules'!$B$3:$B$42)</f>
        <v>#N/A</v>
      </c>
      <c r="I426" s="159" t="e">
        <f>LOOKUP(I$2,'Depreciation Schedules'!$A$3:$A$42,'Depreciation Schedules'!$B$3:$B$42)</f>
        <v>#N/A</v>
      </c>
      <c r="J426" s="159" t="e">
        <f>LOOKUP(J$2,'Depreciation Schedules'!$A$3:$A$42,'Depreciation Schedules'!$B$3:$B$42)</f>
        <v>#N/A</v>
      </c>
      <c r="K426" s="159" t="e">
        <f>LOOKUP(K$2,'Depreciation Schedules'!$A$3:$A$42,'Depreciation Schedules'!$B$3:$B$42)</f>
        <v>#N/A</v>
      </c>
      <c r="L426" s="159" t="e">
        <f>LOOKUP(L$2,'Depreciation Schedules'!$A$3:$A$42,'Depreciation Schedules'!$B$3:$B$42)</f>
        <v>#N/A</v>
      </c>
      <c r="M426" s="159" t="e">
        <f>LOOKUP(M$2,'Depreciation Schedules'!$A$3:$A$42,'Depreciation Schedules'!$B$3:$B$42)</f>
        <v>#N/A</v>
      </c>
      <c r="N426" s="159" t="e">
        <f>LOOKUP(N$2,'Depreciation Schedules'!$A$3:$A$42,'Depreciation Schedules'!$B$3:$B$42)</f>
        <v>#N/A</v>
      </c>
      <c r="O426" s="159" t="e">
        <f>LOOKUP(O$2,'Depreciation Schedules'!$A$3:$A$42,'Depreciation Schedules'!$B$3:$B$42)</f>
        <v>#N/A</v>
      </c>
      <c r="P426" s="159" t="e">
        <f>LOOKUP(P$2,'Depreciation Schedules'!$A$3:$A$42,'Depreciation Schedules'!$B$3:$B$42)</f>
        <v>#N/A</v>
      </c>
      <c r="Q426" s="159" t="e">
        <f>LOOKUP(Q$2,'Depreciation Schedules'!$A$3:$A$42,'Depreciation Schedules'!$B$3:$B$42)</f>
        <v>#N/A</v>
      </c>
      <c r="R426" s="159" t="e">
        <f>LOOKUP(R$2,'Depreciation Schedules'!$A$3:$A$42,'Depreciation Schedules'!$B$3:$B$42)</f>
        <v>#N/A</v>
      </c>
      <c r="S426" s="159" t="e">
        <f>LOOKUP(S$2,'Depreciation Schedules'!$A$3:$A$42,'Depreciation Schedules'!$B$3:$B$42)</f>
        <v>#N/A</v>
      </c>
      <c r="T426" s="159" t="e">
        <f>LOOKUP(T$2,'Depreciation Schedules'!$A$3:$A$42,'Depreciation Schedules'!$B$3:$B$42)</f>
        <v>#N/A</v>
      </c>
      <c r="U426" s="159" t="e">
        <f>LOOKUP(U$2,'Depreciation Schedules'!$A$3:$A$42,'Depreciation Schedules'!$B$3:$B$42)</f>
        <v>#N/A</v>
      </c>
      <c r="V426" s="159" t="e">
        <f>LOOKUP(V$2,'Depreciation Schedules'!$A$3:$A$42,'Depreciation Schedules'!$B$3:$B$42)</f>
        <v>#N/A</v>
      </c>
      <c r="W426" s="159" t="e">
        <f>LOOKUP(W$2,'Depreciation Schedules'!$A$3:$A$42,'Depreciation Schedules'!$B$3:$B$42)</f>
        <v>#N/A</v>
      </c>
      <c r="X426" s="159" t="e">
        <f>LOOKUP(X$2,'Depreciation Schedules'!$A$3:$A$42,'Depreciation Schedules'!$B$3:$B$42)</f>
        <v>#N/A</v>
      </c>
      <c r="Y426" s="159" t="e">
        <f>LOOKUP(Y$2,'Depreciation Schedules'!$A$3:$A$42,'Depreciation Schedules'!$B$3:$B$42)</f>
        <v>#N/A</v>
      </c>
      <c r="Z426" s="159" t="e">
        <f>LOOKUP(Z$2,'Depreciation Schedules'!$A$3:$A$42,'Depreciation Schedules'!$B$3:$B$42)</f>
        <v>#N/A</v>
      </c>
      <c r="AA426" s="159" t="e">
        <f>LOOKUP(AA$2,'Depreciation Schedules'!$A$3:$A$42,'Depreciation Schedules'!$B$3:$B$42)</f>
        <v>#N/A</v>
      </c>
      <c r="AB426" s="159" t="e">
        <f>LOOKUP(AB$2,'Depreciation Schedules'!$A$3:$A$42,'Depreciation Schedules'!$B$3:$B$42)</f>
        <v>#N/A</v>
      </c>
      <c r="AC426" s="159" t="e">
        <f>LOOKUP(AC$2,'Depreciation Schedules'!$A$3:$A$42,'Depreciation Schedules'!$B$3:$B$42)</f>
        <v>#N/A</v>
      </c>
      <c r="AD426" s="159" t="e">
        <f>LOOKUP(AD$2,'Depreciation Schedules'!$A$3:$A$42,'Depreciation Schedules'!$B$3:$B$42)</f>
        <v>#N/A</v>
      </c>
      <c r="AE426" s="159" t="e">
        <f>LOOKUP(AE$2,'Depreciation Schedules'!$A$3:$A$42,'Depreciation Schedules'!$B$3:$B$42)</f>
        <v>#N/A</v>
      </c>
      <c r="AF426" s="159" t="e">
        <f>LOOKUP(AF$2,'Depreciation Schedules'!$A$3:$A$42,'Depreciation Schedules'!$B$3:$B$42)</f>
        <v>#N/A</v>
      </c>
      <c r="AG426" s="159" t="e">
        <f>LOOKUP(AG$2,'Depreciation Schedules'!$A$3:$A$42,'Depreciation Schedules'!$B$3:$B$42)</f>
        <v>#N/A</v>
      </c>
      <c r="AH426" s="159" t="e">
        <f>LOOKUP(AH$2,'Depreciation Schedules'!$A$3:$A$42,'Depreciation Schedules'!$B$3:$B$42)</f>
        <v>#N/A</v>
      </c>
      <c r="AI426" s="159" t="e">
        <f>LOOKUP(AI$2,'Depreciation Schedules'!$A$3:$A$42,'Depreciation Schedules'!$B$3:$B$42)</f>
        <v>#N/A</v>
      </c>
      <c r="AJ426" s="159" t="e">
        <f>LOOKUP(AJ$2,'Depreciation Schedules'!$A$3:$A$42,'Depreciation Schedules'!$B$3:$B$42)</f>
        <v>#N/A</v>
      </c>
      <c r="AK426" s="159" t="e">
        <f>LOOKUP(AK$2,'Depreciation Schedules'!$A$3:$A$42,'Depreciation Schedules'!$B$3:$B$42)</f>
        <v>#N/A</v>
      </c>
      <c r="AL426" s="159" t="e">
        <f>LOOKUP(AL$2,'Depreciation Schedules'!$A$3:$A$42,'Depreciation Schedules'!$B$3:$B$42)</f>
        <v>#N/A</v>
      </c>
      <c r="AM426" s="159" t="e">
        <f>LOOKUP(AM$2,'Depreciation Schedules'!$A$3:$A$42,'Depreciation Schedules'!$B$3:$B$42)</f>
        <v>#N/A</v>
      </c>
      <c r="AN426" s="159" t="e">
        <f>LOOKUP(AN$2,'Depreciation Schedules'!$A$3:$A$42,'Depreciation Schedules'!$B$3:$B$42)</f>
        <v>#N/A</v>
      </c>
      <c r="AO426" s="159" t="e">
        <f>LOOKUP(AO$2,'Depreciation Schedules'!$A$3:$A$42,'Depreciation Schedules'!$B$3:$B$42)</f>
        <v>#N/A</v>
      </c>
      <c r="AP426" s="159" t="e">
        <f>LOOKUP(AP$2,'Depreciation Schedules'!$A$3:$A$42,'Depreciation Schedules'!$B$3:$B$42)</f>
        <v>#N/A</v>
      </c>
    </row>
    <row r="427" spans="1:42" x14ac:dyDescent="0.2">
      <c r="A427" s="22" t="str">
        <f t="shared" si="172"/>
        <v>15-yr MACRS</v>
      </c>
      <c r="B427" s="158">
        <f t="array" ref="B427">SUM(IF(ISNUMBER(C427:AP427),C427:AP427))</f>
        <v>0</v>
      </c>
      <c r="C427" s="159" t="e">
        <f>LOOKUP(C$2,'Depreciation Schedules'!$A$3:$A$42,'Depreciation Schedules'!$C$3:$C$42)</f>
        <v>#N/A</v>
      </c>
      <c r="D427" s="159" t="e">
        <f>LOOKUP(D$2,'Depreciation Schedules'!$A$3:$A$42,'Depreciation Schedules'!$C$3:$C$42)</f>
        <v>#N/A</v>
      </c>
      <c r="E427" s="159" t="e">
        <f>LOOKUP(E$2,'Depreciation Schedules'!$A$3:$A$42,'Depreciation Schedules'!$C$3:$C$42)</f>
        <v>#N/A</v>
      </c>
      <c r="F427" s="159" t="e">
        <f>LOOKUP(F$2,'Depreciation Schedules'!$A$3:$A$42,'Depreciation Schedules'!$C$3:$C$42)</f>
        <v>#N/A</v>
      </c>
      <c r="G427" s="159" t="e">
        <f>LOOKUP(G$2,'Depreciation Schedules'!$A$3:$A$42,'Depreciation Schedules'!$C$3:$C$42)</f>
        <v>#N/A</v>
      </c>
      <c r="H427" s="159" t="e">
        <f>LOOKUP(H$2,'Depreciation Schedules'!$A$3:$A$42,'Depreciation Schedules'!$C$3:$C$42)</f>
        <v>#N/A</v>
      </c>
      <c r="I427" s="159" t="e">
        <f>LOOKUP(I$2,'Depreciation Schedules'!$A$3:$A$42,'Depreciation Schedules'!$C$3:$C$42)</f>
        <v>#N/A</v>
      </c>
      <c r="J427" s="159" t="e">
        <f>LOOKUP(J$2,'Depreciation Schedules'!$A$3:$A$42,'Depreciation Schedules'!$C$3:$C$42)</f>
        <v>#N/A</v>
      </c>
      <c r="K427" s="159" t="e">
        <f>LOOKUP(K$2,'Depreciation Schedules'!$A$3:$A$42,'Depreciation Schedules'!$C$3:$C$42)</f>
        <v>#N/A</v>
      </c>
      <c r="L427" s="159" t="e">
        <f>LOOKUP(L$2,'Depreciation Schedules'!$A$3:$A$42,'Depreciation Schedules'!$C$3:$C$42)</f>
        <v>#N/A</v>
      </c>
      <c r="M427" s="159" t="e">
        <f>LOOKUP(M$2,'Depreciation Schedules'!$A$3:$A$42,'Depreciation Schedules'!$C$3:$C$42)</f>
        <v>#N/A</v>
      </c>
      <c r="N427" s="159" t="e">
        <f>LOOKUP(N$2,'Depreciation Schedules'!$A$3:$A$42,'Depreciation Schedules'!$C$3:$C$42)</f>
        <v>#N/A</v>
      </c>
      <c r="O427" s="159" t="e">
        <f>LOOKUP(O$2,'Depreciation Schedules'!$A$3:$A$42,'Depreciation Schedules'!$C$3:$C$42)</f>
        <v>#N/A</v>
      </c>
      <c r="P427" s="159" t="e">
        <f>LOOKUP(P$2,'Depreciation Schedules'!$A$3:$A$42,'Depreciation Schedules'!$C$3:$C$42)</f>
        <v>#N/A</v>
      </c>
      <c r="Q427" s="159" t="e">
        <f>LOOKUP(Q$2,'Depreciation Schedules'!$A$3:$A$42,'Depreciation Schedules'!$C$3:$C$42)</f>
        <v>#N/A</v>
      </c>
      <c r="R427" s="159" t="e">
        <f>LOOKUP(R$2,'Depreciation Schedules'!$A$3:$A$42,'Depreciation Schedules'!$C$3:$C$42)</f>
        <v>#N/A</v>
      </c>
      <c r="S427" s="159" t="e">
        <f>LOOKUP(S$2,'Depreciation Schedules'!$A$3:$A$42,'Depreciation Schedules'!$C$3:$C$42)</f>
        <v>#N/A</v>
      </c>
      <c r="T427" s="159" t="e">
        <f>LOOKUP(T$2,'Depreciation Schedules'!$A$3:$A$42,'Depreciation Schedules'!$C$3:$C$42)</f>
        <v>#N/A</v>
      </c>
      <c r="U427" s="159" t="e">
        <f>LOOKUP(U$2,'Depreciation Schedules'!$A$3:$A$42,'Depreciation Schedules'!$C$3:$C$42)</f>
        <v>#N/A</v>
      </c>
      <c r="V427" s="159" t="e">
        <f>LOOKUP(V$2,'Depreciation Schedules'!$A$3:$A$42,'Depreciation Schedules'!$C$3:$C$42)</f>
        <v>#N/A</v>
      </c>
      <c r="W427" s="159" t="e">
        <f>LOOKUP(W$2,'Depreciation Schedules'!$A$3:$A$42,'Depreciation Schedules'!$C$3:$C$42)</f>
        <v>#N/A</v>
      </c>
      <c r="X427" s="159" t="e">
        <f>LOOKUP(X$2,'Depreciation Schedules'!$A$3:$A$42,'Depreciation Schedules'!$C$3:$C$42)</f>
        <v>#N/A</v>
      </c>
      <c r="Y427" s="159" t="e">
        <f>LOOKUP(Y$2,'Depreciation Schedules'!$A$3:$A$42,'Depreciation Schedules'!$C$3:$C$42)</f>
        <v>#N/A</v>
      </c>
      <c r="Z427" s="159" t="e">
        <f>LOOKUP(Z$2,'Depreciation Schedules'!$A$3:$A$42,'Depreciation Schedules'!$C$3:$C$42)</f>
        <v>#N/A</v>
      </c>
      <c r="AA427" s="159" t="e">
        <f>LOOKUP(AA$2,'Depreciation Schedules'!$A$3:$A$42,'Depreciation Schedules'!$C$3:$C$42)</f>
        <v>#N/A</v>
      </c>
      <c r="AB427" s="159" t="e">
        <f>LOOKUP(AB$2,'Depreciation Schedules'!$A$3:$A$42,'Depreciation Schedules'!$C$3:$C$42)</f>
        <v>#N/A</v>
      </c>
      <c r="AC427" s="159" t="e">
        <f>LOOKUP(AC$2,'Depreciation Schedules'!$A$3:$A$42,'Depreciation Schedules'!$C$3:$C$42)</f>
        <v>#N/A</v>
      </c>
      <c r="AD427" s="159" t="e">
        <f>LOOKUP(AD$2,'Depreciation Schedules'!$A$3:$A$42,'Depreciation Schedules'!$C$3:$C$42)</f>
        <v>#N/A</v>
      </c>
      <c r="AE427" s="159" t="e">
        <f>LOOKUP(AE$2,'Depreciation Schedules'!$A$3:$A$42,'Depreciation Schedules'!$C$3:$C$42)</f>
        <v>#N/A</v>
      </c>
      <c r="AF427" s="159" t="e">
        <f>LOOKUP(AF$2,'Depreciation Schedules'!$A$3:$A$42,'Depreciation Schedules'!$C$3:$C$42)</f>
        <v>#N/A</v>
      </c>
      <c r="AG427" s="159" t="e">
        <f>LOOKUP(AG$2,'Depreciation Schedules'!$A$3:$A$42,'Depreciation Schedules'!$C$3:$C$42)</f>
        <v>#N/A</v>
      </c>
      <c r="AH427" s="159" t="e">
        <f>LOOKUP(AH$2,'Depreciation Schedules'!$A$3:$A$42,'Depreciation Schedules'!$C$3:$C$42)</f>
        <v>#N/A</v>
      </c>
      <c r="AI427" s="159" t="e">
        <f>LOOKUP(AI$2,'Depreciation Schedules'!$A$3:$A$42,'Depreciation Schedules'!$C$3:$C$42)</f>
        <v>#N/A</v>
      </c>
      <c r="AJ427" s="159" t="e">
        <f>LOOKUP(AJ$2,'Depreciation Schedules'!$A$3:$A$42,'Depreciation Schedules'!$C$3:$C$42)</f>
        <v>#N/A</v>
      </c>
      <c r="AK427" s="159" t="e">
        <f>LOOKUP(AK$2,'Depreciation Schedules'!$A$3:$A$42,'Depreciation Schedules'!$C$3:$C$42)</f>
        <v>#N/A</v>
      </c>
      <c r="AL427" s="159" t="e">
        <f>LOOKUP(AL$2,'Depreciation Schedules'!$A$3:$A$42,'Depreciation Schedules'!$C$3:$C$42)</f>
        <v>#N/A</v>
      </c>
      <c r="AM427" s="159" t="e">
        <f>LOOKUP(AM$2,'Depreciation Schedules'!$A$3:$A$42,'Depreciation Schedules'!$C$3:$C$42)</f>
        <v>#N/A</v>
      </c>
      <c r="AN427" s="159" t="e">
        <f>LOOKUP(AN$2,'Depreciation Schedules'!$A$3:$A$42,'Depreciation Schedules'!$C$3:$C$42)</f>
        <v>#N/A</v>
      </c>
      <c r="AO427" s="159" t="e">
        <f>LOOKUP(AO$2,'Depreciation Schedules'!$A$3:$A$42,'Depreciation Schedules'!$C$3:$C$42)</f>
        <v>#N/A</v>
      </c>
      <c r="AP427" s="159" t="e">
        <f>LOOKUP(AP$2,'Depreciation Schedules'!$A$3:$A$42,'Depreciation Schedules'!$C$3:$C$42)</f>
        <v>#N/A</v>
      </c>
    </row>
    <row r="428" spans="1:42" x14ac:dyDescent="0.2">
      <c r="A428" s="22" t="str">
        <f t="shared" si="172"/>
        <v>5-yr SL</v>
      </c>
      <c r="B428" s="158">
        <f t="array" ref="B428">SUM(IF(ISNUMBER(C428:AP428),C428:AP428))</f>
        <v>0</v>
      </c>
      <c r="C428" s="159" t="e">
        <f>LOOKUP(C$2,'Depreciation Schedules'!$A$3:$A$42,'Depreciation Schedules'!$D$3:$D$42)</f>
        <v>#N/A</v>
      </c>
      <c r="D428" s="159" t="e">
        <f>LOOKUP(D$2,'Depreciation Schedules'!$A$3:$A$42,'Depreciation Schedules'!$D$3:$D$42)</f>
        <v>#N/A</v>
      </c>
      <c r="E428" s="159" t="e">
        <f>LOOKUP(E$2,'Depreciation Schedules'!$A$3:$A$42,'Depreciation Schedules'!$D$3:$D$42)</f>
        <v>#N/A</v>
      </c>
      <c r="F428" s="159" t="e">
        <f>LOOKUP(F$2,'Depreciation Schedules'!$A$3:$A$42,'Depreciation Schedules'!$D$3:$D$42)</f>
        <v>#N/A</v>
      </c>
      <c r="G428" s="159" t="e">
        <f>LOOKUP(G$2,'Depreciation Schedules'!$A$3:$A$42,'Depreciation Schedules'!$D$3:$D$42)</f>
        <v>#N/A</v>
      </c>
      <c r="H428" s="159" t="e">
        <f>LOOKUP(H$2,'Depreciation Schedules'!$A$3:$A$42,'Depreciation Schedules'!$D$3:$D$42)</f>
        <v>#N/A</v>
      </c>
      <c r="I428" s="159" t="e">
        <f>LOOKUP(I$2,'Depreciation Schedules'!$A$3:$A$42,'Depreciation Schedules'!$D$3:$D$42)</f>
        <v>#N/A</v>
      </c>
      <c r="J428" s="159" t="e">
        <f>LOOKUP(J$2,'Depreciation Schedules'!$A$3:$A$42,'Depreciation Schedules'!$D$3:$D$42)</f>
        <v>#N/A</v>
      </c>
      <c r="K428" s="159" t="e">
        <f>LOOKUP(K$2,'Depreciation Schedules'!$A$3:$A$42,'Depreciation Schedules'!$D$3:$D$42)</f>
        <v>#N/A</v>
      </c>
      <c r="L428" s="159" t="e">
        <f>LOOKUP(L$2,'Depreciation Schedules'!$A$3:$A$42,'Depreciation Schedules'!$D$3:$D$42)</f>
        <v>#N/A</v>
      </c>
      <c r="M428" s="159" t="e">
        <f>LOOKUP(M$2,'Depreciation Schedules'!$A$3:$A$42,'Depreciation Schedules'!$D$3:$D$42)</f>
        <v>#N/A</v>
      </c>
      <c r="N428" s="159" t="e">
        <f>LOOKUP(N$2,'Depreciation Schedules'!$A$3:$A$42,'Depreciation Schedules'!$D$3:$D$42)</f>
        <v>#N/A</v>
      </c>
      <c r="O428" s="159" t="e">
        <f>LOOKUP(O$2,'Depreciation Schedules'!$A$3:$A$42,'Depreciation Schedules'!$D$3:$D$42)</f>
        <v>#N/A</v>
      </c>
      <c r="P428" s="159" t="e">
        <f>LOOKUP(P$2,'Depreciation Schedules'!$A$3:$A$42,'Depreciation Schedules'!$D$3:$D$42)</f>
        <v>#N/A</v>
      </c>
      <c r="Q428" s="159" t="e">
        <f>LOOKUP(Q$2,'Depreciation Schedules'!$A$3:$A$42,'Depreciation Schedules'!$D$3:$D$42)</f>
        <v>#N/A</v>
      </c>
      <c r="R428" s="159" t="e">
        <f>LOOKUP(R$2,'Depreciation Schedules'!$A$3:$A$42,'Depreciation Schedules'!$D$3:$D$42)</f>
        <v>#N/A</v>
      </c>
      <c r="S428" s="159" t="e">
        <f>LOOKUP(S$2,'Depreciation Schedules'!$A$3:$A$42,'Depreciation Schedules'!$D$3:$D$42)</f>
        <v>#N/A</v>
      </c>
      <c r="T428" s="159" t="e">
        <f>LOOKUP(T$2,'Depreciation Schedules'!$A$3:$A$42,'Depreciation Schedules'!$D$3:$D$42)</f>
        <v>#N/A</v>
      </c>
      <c r="U428" s="159" t="e">
        <f>LOOKUP(U$2,'Depreciation Schedules'!$A$3:$A$42,'Depreciation Schedules'!$D$3:$D$42)</f>
        <v>#N/A</v>
      </c>
      <c r="V428" s="159" t="e">
        <f>LOOKUP(V$2,'Depreciation Schedules'!$A$3:$A$42,'Depreciation Schedules'!$D$3:$D$42)</f>
        <v>#N/A</v>
      </c>
      <c r="W428" s="159" t="e">
        <f>LOOKUP(W$2,'Depreciation Schedules'!$A$3:$A$42,'Depreciation Schedules'!$D$3:$D$42)</f>
        <v>#N/A</v>
      </c>
      <c r="X428" s="159" t="e">
        <f>LOOKUP(X$2,'Depreciation Schedules'!$A$3:$A$42,'Depreciation Schedules'!$D$3:$D$42)</f>
        <v>#N/A</v>
      </c>
      <c r="Y428" s="159" t="e">
        <f>LOOKUP(Y$2,'Depreciation Schedules'!$A$3:$A$42,'Depreciation Schedules'!$D$3:$D$42)</f>
        <v>#N/A</v>
      </c>
      <c r="Z428" s="159" t="e">
        <f>LOOKUP(Z$2,'Depreciation Schedules'!$A$3:$A$42,'Depreciation Schedules'!$D$3:$D$42)</f>
        <v>#N/A</v>
      </c>
      <c r="AA428" s="159" t="e">
        <f>LOOKUP(AA$2,'Depreciation Schedules'!$A$3:$A$42,'Depreciation Schedules'!$D$3:$D$42)</f>
        <v>#N/A</v>
      </c>
      <c r="AB428" s="159" t="e">
        <f>LOOKUP(AB$2,'Depreciation Schedules'!$A$3:$A$42,'Depreciation Schedules'!$D$3:$D$42)</f>
        <v>#N/A</v>
      </c>
      <c r="AC428" s="159" t="e">
        <f>LOOKUP(AC$2,'Depreciation Schedules'!$A$3:$A$42,'Depreciation Schedules'!$D$3:$D$42)</f>
        <v>#N/A</v>
      </c>
      <c r="AD428" s="159" t="e">
        <f>LOOKUP(AD$2,'Depreciation Schedules'!$A$3:$A$42,'Depreciation Schedules'!$D$3:$D$42)</f>
        <v>#N/A</v>
      </c>
      <c r="AE428" s="159" t="e">
        <f>LOOKUP(AE$2,'Depreciation Schedules'!$A$3:$A$42,'Depreciation Schedules'!$D$3:$D$42)</f>
        <v>#N/A</v>
      </c>
      <c r="AF428" s="159" t="e">
        <f>LOOKUP(AF$2,'Depreciation Schedules'!$A$3:$A$42,'Depreciation Schedules'!$D$3:$D$42)</f>
        <v>#N/A</v>
      </c>
      <c r="AG428" s="159" t="e">
        <f>LOOKUP(AG$2,'Depreciation Schedules'!$A$3:$A$42,'Depreciation Schedules'!$D$3:$D$42)</f>
        <v>#N/A</v>
      </c>
      <c r="AH428" s="159" t="e">
        <f>LOOKUP(AH$2,'Depreciation Schedules'!$A$3:$A$42,'Depreciation Schedules'!$D$3:$D$42)</f>
        <v>#N/A</v>
      </c>
      <c r="AI428" s="159" t="e">
        <f>LOOKUP(AI$2,'Depreciation Schedules'!$A$3:$A$42,'Depreciation Schedules'!$D$3:$D$42)</f>
        <v>#N/A</v>
      </c>
      <c r="AJ428" s="159" t="e">
        <f>LOOKUP(AJ$2,'Depreciation Schedules'!$A$3:$A$42,'Depreciation Schedules'!$D$3:$D$42)</f>
        <v>#N/A</v>
      </c>
      <c r="AK428" s="159" t="e">
        <f>LOOKUP(AK$2,'Depreciation Schedules'!$A$3:$A$42,'Depreciation Schedules'!$D$3:$D$42)</f>
        <v>#N/A</v>
      </c>
      <c r="AL428" s="159" t="e">
        <f>LOOKUP(AL$2,'Depreciation Schedules'!$A$3:$A$42,'Depreciation Schedules'!$D$3:$D$42)</f>
        <v>#N/A</v>
      </c>
      <c r="AM428" s="159" t="e">
        <f>LOOKUP(AM$2,'Depreciation Schedules'!$A$3:$A$42,'Depreciation Schedules'!$D$3:$D$42)</f>
        <v>#N/A</v>
      </c>
      <c r="AN428" s="159" t="e">
        <f>LOOKUP(AN$2,'Depreciation Schedules'!$A$3:$A$42,'Depreciation Schedules'!$D$3:$D$42)</f>
        <v>#N/A</v>
      </c>
      <c r="AO428" s="159" t="e">
        <f>LOOKUP(AO$2,'Depreciation Schedules'!$A$3:$A$42,'Depreciation Schedules'!$D$3:$D$42)</f>
        <v>#N/A</v>
      </c>
      <c r="AP428" s="159" t="e">
        <f>LOOKUP(AP$2,'Depreciation Schedules'!$A$3:$A$42,'Depreciation Schedules'!$D$3:$D$42)</f>
        <v>#N/A</v>
      </c>
    </row>
    <row r="429" spans="1:42" x14ac:dyDescent="0.2">
      <c r="A429" s="22" t="str">
        <f t="shared" si="172"/>
        <v>15-yr SL</v>
      </c>
      <c r="B429" s="158">
        <f t="array" ref="B429">SUM(IF(ISNUMBER(C429:AP429),C429:AP429))</f>
        <v>0</v>
      </c>
      <c r="C429" s="159" t="e">
        <f>LOOKUP(C$2,'Depreciation Schedules'!$A$3:$A$42,'Depreciation Schedules'!$E$3:$E$42)</f>
        <v>#N/A</v>
      </c>
      <c r="D429" s="159" t="e">
        <f>LOOKUP(D$2,'Depreciation Schedules'!$A$3:$A$42,'Depreciation Schedules'!$E$3:$E$42)</f>
        <v>#N/A</v>
      </c>
      <c r="E429" s="159" t="e">
        <f>LOOKUP(E$2,'Depreciation Schedules'!$A$3:$A$42,'Depreciation Schedules'!$E$3:$E$42)</f>
        <v>#N/A</v>
      </c>
      <c r="F429" s="159" t="e">
        <f>LOOKUP(F$2,'Depreciation Schedules'!$A$3:$A$42,'Depreciation Schedules'!$E$3:$E$42)</f>
        <v>#N/A</v>
      </c>
      <c r="G429" s="159" t="e">
        <f>LOOKUP(G$2,'Depreciation Schedules'!$A$3:$A$42,'Depreciation Schedules'!$E$3:$E$42)</f>
        <v>#N/A</v>
      </c>
      <c r="H429" s="159" t="e">
        <f>LOOKUP(H$2,'Depreciation Schedules'!$A$3:$A$42,'Depreciation Schedules'!$E$3:$E$42)</f>
        <v>#N/A</v>
      </c>
      <c r="I429" s="159" t="e">
        <f>LOOKUP(I$2,'Depreciation Schedules'!$A$3:$A$42,'Depreciation Schedules'!$E$3:$E$42)</f>
        <v>#N/A</v>
      </c>
      <c r="J429" s="159" t="e">
        <f>LOOKUP(J$2,'Depreciation Schedules'!$A$3:$A$42,'Depreciation Schedules'!$E$3:$E$42)</f>
        <v>#N/A</v>
      </c>
      <c r="K429" s="159" t="e">
        <f>LOOKUP(K$2,'Depreciation Schedules'!$A$3:$A$42,'Depreciation Schedules'!$E$3:$E$42)</f>
        <v>#N/A</v>
      </c>
      <c r="L429" s="159" t="e">
        <f>LOOKUP(L$2,'Depreciation Schedules'!$A$3:$A$42,'Depreciation Schedules'!$E$3:$E$42)</f>
        <v>#N/A</v>
      </c>
      <c r="M429" s="159" t="e">
        <f>LOOKUP(M$2,'Depreciation Schedules'!$A$3:$A$42,'Depreciation Schedules'!$E$3:$E$42)</f>
        <v>#N/A</v>
      </c>
      <c r="N429" s="159" t="e">
        <f>LOOKUP(N$2,'Depreciation Schedules'!$A$3:$A$42,'Depreciation Schedules'!$E$3:$E$42)</f>
        <v>#N/A</v>
      </c>
      <c r="O429" s="159" t="e">
        <f>LOOKUP(O$2,'Depreciation Schedules'!$A$3:$A$42,'Depreciation Schedules'!$E$3:$E$42)</f>
        <v>#N/A</v>
      </c>
      <c r="P429" s="159" t="e">
        <f>LOOKUP(P$2,'Depreciation Schedules'!$A$3:$A$42,'Depreciation Schedules'!$E$3:$E$42)</f>
        <v>#N/A</v>
      </c>
      <c r="Q429" s="159" t="e">
        <f>LOOKUP(Q$2,'Depreciation Schedules'!$A$3:$A$42,'Depreciation Schedules'!$E$3:$E$42)</f>
        <v>#N/A</v>
      </c>
      <c r="R429" s="159" t="e">
        <f>LOOKUP(R$2,'Depreciation Schedules'!$A$3:$A$42,'Depreciation Schedules'!$E$3:$E$42)</f>
        <v>#N/A</v>
      </c>
      <c r="S429" s="159" t="e">
        <f>LOOKUP(S$2,'Depreciation Schedules'!$A$3:$A$42,'Depreciation Schedules'!$E$3:$E$42)</f>
        <v>#N/A</v>
      </c>
      <c r="T429" s="159" t="e">
        <f>LOOKUP(T$2,'Depreciation Schedules'!$A$3:$A$42,'Depreciation Schedules'!$E$3:$E$42)</f>
        <v>#N/A</v>
      </c>
      <c r="U429" s="159" t="e">
        <f>LOOKUP(U$2,'Depreciation Schedules'!$A$3:$A$42,'Depreciation Schedules'!$E$3:$E$42)</f>
        <v>#N/A</v>
      </c>
      <c r="V429" s="159" t="e">
        <f>LOOKUP(V$2,'Depreciation Schedules'!$A$3:$A$42,'Depreciation Schedules'!$E$3:$E$42)</f>
        <v>#N/A</v>
      </c>
      <c r="W429" s="159" t="e">
        <f>LOOKUP(W$2,'Depreciation Schedules'!$A$3:$A$42,'Depreciation Schedules'!$E$3:$E$42)</f>
        <v>#N/A</v>
      </c>
      <c r="X429" s="159" t="e">
        <f>LOOKUP(X$2,'Depreciation Schedules'!$A$3:$A$42,'Depreciation Schedules'!$E$3:$E$42)</f>
        <v>#N/A</v>
      </c>
      <c r="Y429" s="159" t="e">
        <f>LOOKUP(Y$2,'Depreciation Schedules'!$A$3:$A$42,'Depreciation Schedules'!$E$3:$E$42)</f>
        <v>#N/A</v>
      </c>
      <c r="Z429" s="159" t="e">
        <f>LOOKUP(Z$2,'Depreciation Schedules'!$A$3:$A$42,'Depreciation Schedules'!$E$3:$E$42)</f>
        <v>#N/A</v>
      </c>
      <c r="AA429" s="159" t="e">
        <f>LOOKUP(AA$2,'Depreciation Schedules'!$A$3:$A$42,'Depreciation Schedules'!$E$3:$E$42)</f>
        <v>#N/A</v>
      </c>
      <c r="AB429" s="159" t="e">
        <f>LOOKUP(AB$2,'Depreciation Schedules'!$A$3:$A$42,'Depreciation Schedules'!$E$3:$E$42)</f>
        <v>#N/A</v>
      </c>
      <c r="AC429" s="159" t="e">
        <f>LOOKUP(AC$2,'Depreciation Schedules'!$A$3:$A$42,'Depreciation Schedules'!$E$3:$E$42)</f>
        <v>#N/A</v>
      </c>
      <c r="AD429" s="159" t="e">
        <f>LOOKUP(AD$2,'Depreciation Schedules'!$A$3:$A$42,'Depreciation Schedules'!$E$3:$E$42)</f>
        <v>#N/A</v>
      </c>
      <c r="AE429" s="159" t="e">
        <f>LOOKUP(AE$2,'Depreciation Schedules'!$A$3:$A$42,'Depreciation Schedules'!$E$3:$E$42)</f>
        <v>#N/A</v>
      </c>
      <c r="AF429" s="159" t="e">
        <f>LOOKUP(AF$2,'Depreciation Schedules'!$A$3:$A$42,'Depreciation Schedules'!$E$3:$E$42)</f>
        <v>#N/A</v>
      </c>
      <c r="AG429" s="159" t="e">
        <f>LOOKUP(AG$2,'Depreciation Schedules'!$A$3:$A$42,'Depreciation Schedules'!$E$3:$E$42)</f>
        <v>#N/A</v>
      </c>
      <c r="AH429" s="159" t="e">
        <f>LOOKUP(AH$2,'Depreciation Schedules'!$A$3:$A$42,'Depreciation Schedules'!$E$3:$E$42)</f>
        <v>#N/A</v>
      </c>
      <c r="AI429" s="159" t="e">
        <f>LOOKUP(AI$2,'Depreciation Schedules'!$A$3:$A$42,'Depreciation Schedules'!$E$3:$E$42)</f>
        <v>#N/A</v>
      </c>
      <c r="AJ429" s="159" t="e">
        <f>LOOKUP(AJ$2,'Depreciation Schedules'!$A$3:$A$42,'Depreciation Schedules'!$E$3:$E$42)</f>
        <v>#N/A</v>
      </c>
      <c r="AK429" s="159" t="e">
        <f>LOOKUP(AK$2,'Depreciation Schedules'!$A$3:$A$42,'Depreciation Schedules'!$E$3:$E$42)</f>
        <v>#N/A</v>
      </c>
      <c r="AL429" s="159" t="e">
        <f>LOOKUP(AL$2,'Depreciation Schedules'!$A$3:$A$42,'Depreciation Schedules'!$E$3:$E$42)</f>
        <v>#N/A</v>
      </c>
      <c r="AM429" s="159" t="e">
        <f>LOOKUP(AM$2,'Depreciation Schedules'!$A$3:$A$42,'Depreciation Schedules'!$E$3:$E$42)</f>
        <v>#N/A</v>
      </c>
      <c r="AN429" s="159" t="e">
        <f>LOOKUP(AN$2,'Depreciation Schedules'!$A$3:$A$42,'Depreciation Schedules'!$E$3:$E$42)</f>
        <v>#N/A</v>
      </c>
      <c r="AO429" s="159" t="e">
        <f>LOOKUP(AO$2,'Depreciation Schedules'!$A$3:$A$42,'Depreciation Schedules'!$E$3:$E$42)</f>
        <v>#N/A</v>
      </c>
      <c r="AP429" s="159" t="e">
        <f>LOOKUP(AP$2,'Depreciation Schedules'!$A$3:$A$42,'Depreciation Schedules'!$E$3:$E$42)</f>
        <v>#N/A</v>
      </c>
    </row>
    <row r="430" spans="1:42" x14ac:dyDescent="0.2">
      <c r="A430" s="22" t="str">
        <f t="shared" si="172"/>
        <v>20-yr SL</v>
      </c>
      <c r="B430" s="158">
        <f t="array" ref="B430">SUM(IF(ISNUMBER(C430:AP430),C430:AP430))</f>
        <v>0</v>
      </c>
      <c r="C430" s="159" t="e">
        <f>LOOKUP(C$2,'Depreciation Schedules'!$A$3:$A$42,'Depreciation Schedules'!$F$3:$F$42)</f>
        <v>#N/A</v>
      </c>
      <c r="D430" s="159" t="e">
        <f>LOOKUP(D$2,'Depreciation Schedules'!$A$3:$A$42,'Depreciation Schedules'!$F$3:$F$42)</f>
        <v>#N/A</v>
      </c>
      <c r="E430" s="159" t="e">
        <f>LOOKUP(E$2,'Depreciation Schedules'!$A$3:$A$42,'Depreciation Schedules'!$F$3:$F$42)</f>
        <v>#N/A</v>
      </c>
      <c r="F430" s="159" t="e">
        <f>LOOKUP(F$2,'Depreciation Schedules'!$A$3:$A$42,'Depreciation Schedules'!$F$3:$F$42)</f>
        <v>#N/A</v>
      </c>
      <c r="G430" s="159" t="e">
        <f>LOOKUP(G$2,'Depreciation Schedules'!$A$3:$A$42,'Depreciation Schedules'!$F$3:$F$42)</f>
        <v>#N/A</v>
      </c>
      <c r="H430" s="159" t="e">
        <f>LOOKUP(H$2,'Depreciation Schedules'!$A$3:$A$42,'Depreciation Schedules'!$F$3:$F$42)</f>
        <v>#N/A</v>
      </c>
      <c r="I430" s="159" t="e">
        <f>LOOKUP(I$2,'Depreciation Schedules'!$A$3:$A$42,'Depreciation Schedules'!$F$3:$F$42)</f>
        <v>#N/A</v>
      </c>
      <c r="J430" s="159" t="e">
        <f>LOOKUP(J$2,'Depreciation Schedules'!$A$3:$A$42,'Depreciation Schedules'!$F$3:$F$42)</f>
        <v>#N/A</v>
      </c>
      <c r="K430" s="159" t="e">
        <f>LOOKUP(K$2,'Depreciation Schedules'!$A$3:$A$42,'Depreciation Schedules'!$F$3:$F$42)</f>
        <v>#N/A</v>
      </c>
      <c r="L430" s="159" t="e">
        <f>LOOKUP(L$2,'Depreciation Schedules'!$A$3:$A$42,'Depreciation Schedules'!$F$3:$F$42)</f>
        <v>#N/A</v>
      </c>
      <c r="M430" s="159" t="e">
        <f>LOOKUP(M$2,'Depreciation Schedules'!$A$3:$A$42,'Depreciation Schedules'!$F$3:$F$42)</f>
        <v>#N/A</v>
      </c>
      <c r="N430" s="159" t="e">
        <f>LOOKUP(N$2,'Depreciation Schedules'!$A$3:$A$42,'Depreciation Schedules'!$F$3:$F$42)</f>
        <v>#N/A</v>
      </c>
      <c r="O430" s="159" t="e">
        <f>LOOKUP(O$2,'Depreciation Schedules'!$A$3:$A$42,'Depreciation Schedules'!$F$3:$F$42)</f>
        <v>#N/A</v>
      </c>
      <c r="P430" s="159" t="e">
        <f>LOOKUP(P$2,'Depreciation Schedules'!$A$3:$A$42,'Depreciation Schedules'!$F$3:$F$42)</f>
        <v>#N/A</v>
      </c>
      <c r="Q430" s="159" t="e">
        <f>LOOKUP(Q$2,'Depreciation Schedules'!$A$3:$A$42,'Depreciation Schedules'!$F$3:$F$42)</f>
        <v>#N/A</v>
      </c>
      <c r="R430" s="159" t="e">
        <f>LOOKUP(R$2,'Depreciation Schedules'!$A$3:$A$42,'Depreciation Schedules'!$F$3:$F$42)</f>
        <v>#N/A</v>
      </c>
      <c r="S430" s="159" t="e">
        <f>LOOKUP(S$2,'Depreciation Schedules'!$A$3:$A$42,'Depreciation Schedules'!$F$3:$F$42)</f>
        <v>#N/A</v>
      </c>
      <c r="T430" s="159" t="e">
        <f>LOOKUP(T$2,'Depreciation Schedules'!$A$3:$A$42,'Depreciation Schedules'!$F$3:$F$42)</f>
        <v>#N/A</v>
      </c>
      <c r="U430" s="159" t="e">
        <f>LOOKUP(U$2,'Depreciation Schedules'!$A$3:$A$42,'Depreciation Schedules'!$F$3:$F$42)</f>
        <v>#N/A</v>
      </c>
      <c r="V430" s="159" t="e">
        <f>LOOKUP(V$2,'Depreciation Schedules'!$A$3:$A$42,'Depreciation Schedules'!$F$3:$F$42)</f>
        <v>#N/A</v>
      </c>
      <c r="W430" s="159" t="e">
        <f>LOOKUP(W$2,'Depreciation Schedules'!$A$3:$A$42,'Depreciation Schedules'!$F$3:$F$42)</f>
        <v>#N/A</v>
      </c>
      <c r="X430" s="159" t="e">
        <f>LOOKUP(X$2,'Depreciation Schedules'!$A$3:$A$42,'Depreciation Schedules'!$F$3:$F$42)</f>
        <v>#N/A</v>
      </c>
      <c r="Y430" s="159" t="e">
        <f>LOOKUP(Y$2,'Depreciation Schedules'!$A$3:$A$42,'Depreciation Schedules'!$F$3:$F$42)</f>
        <v>#N/A</v>
      </c>
      <c r="Z430" s="159" t="e">
        <f>LOOKUP(Z$2,'Depreciation Schedules'!$A$3:$A$42,'Depreciation Schedules'!$F$3:$F$42)</f>
        <v>#N/A</v>
      </c>
      <c r="AA430" s="159" t="e">
        <f>LOOKUP(AA$2,'Depreciation Schedules'!$A$3:$A$42,'Depreciation Schedules'!$F$3:$F$42)</f>
        <v>#N/A</v>
      </c>
      <c r="AB430" s="159" t="e">
        <f>LOOKUP(AB$2,'Depreciation Schedules'!$A$3:$A$42,'Depreciation Schedules'!$F$3:$F$42)</f>
        <v>#N/A</v>
      </c>
      <c r="AC430" s="159" t="e">
        <f>LOOKUP(AC$2,'Depreciation Schedules'!$A$3:$A$42,'Depreciation Schedules'!$F$3:$F$42)</f>
        <v>#N/A</v>
      </c>
      <c r="AD430" s="159" t="e">
        <f>LOOKUP(AD$2,'Depreciation Schedules'!$A$3:$A$42,'Depreciation Schedules'!$F$3:$F$42)</f>
        <v>#N/A</v>
      </c>
      <c r="AE430" s="159" t="e">
        <f>LOOKUP(AE$2,'Depreciation Schedules'!$A$3:$A$42,'Depreciation Schedules'!$F$3:$F$42)</f>
        <v>#N/A</v>
      </c>
      <c r="AF430" s="159" t="e">
        <f>LOOKUP(AF$2,'Depreciation Schedules'!$A$3:$A$42,'Depreciation Schedules'!$F$3:$F$42)</f>
        <v>#N/A</v>
      </c>
      <c r="AG430" s="159" t="e">
        <f>LOOKUP(AG$2,'Depreciation Schedules'!$A$3:$A$42,'Depreciation Schedules'!$F$3:$F$42)</f>
        <v>#N/A</v>
      </c>
      <c r="AH430" s="159" t="e">
        <f>LOOKUP(AH$2,'Depreciation Schedules'!$A$3:$A$42,'Depreciation Schedules'!$F$3:$F$42)</f>
        <v>#N/A</v>
      </c>
      <c r="AI430" s="159" t="e">
        <f>LOOKUP(AI$2,'Depreciation Schedules'!$A$3:$A$42,'Depreciation Schedules'!$F$3:$F$42)</f>
        <v>#N/A</v>
      </c>
      <c r="AJ430" s="159" t="e">
        <f>LOOKUP(AJ$2,'Depreciation Schedules'!$A$3:$A$42,'Depreciation Schedules'!$F$3:$F$42)</f>
        <v>#N/A</v>
      </c>
      <c r="AK430" s="159" t="e">
        <f>LOOKUP(AK$2,'Depreciation Schedules'!$A$3:$A$42,'Depreciation Schedules'!$F$3:$F$42)</f>
        <v>#N/A</v>
      </c>
      <c r="AL430" s="159" t="e">
        <f>LOOKUP(AL$2,'Depreciation Schedules'!$A$3:$A$42,'Depreciation Schedules'!$F$3:$F$42)</f>
        <v>#N/A</v>
      </c>
      <c r="AM430" s="159" t="e">
        <f>LOOKUP(AM$2,'Depreciation Schedules'!$A$3:$A$42,'Depreciation Schedules'!$F$3:$F$42)</f>
        <v>#N/A</v>
      </c>
      <c r="AN430" s="159" t="e">
        <f>LOOKUP(AN$2,'Depreciation Schedules'!$A$3:$A$42,'Depreciation Schedules'!$F$3:$F$42)</f>
        <v>#N/A</v>
      </c>
      <c r="AO430" s="159" t="e">
        <f>LOOKUP(AO$2,'Depreciation Schedules'!$A$3:$A$42,'Depreciation Schedules'!$F$3:$F$42)</f>
        <v>#N/A</v>
      </c>
      <c r="AP430" s="159" t="e">
        <f>LOOKUP(AP$2,'Depreciation Schedules'!$A$3:$A$42,'Depreciation Schedules'!$F$3:$F$42)</f>
        <v>#N/A</v>
      </c>
    </row>
    <row r="431" spans="1:42" x14ac:dyDescent="0.2">
      <c r="A431" s="22" t="str">
        <f t="shared" si="172"/>
        <v>39-yr SL</v>
      </c>
      <c r="B431" s="162">
        <f t="array" ref="B431">SUM(IF(ISNUMBER(C431:AP431),C431:AP431))</f>
        <v>0</v>
      </c>
      <c r="C431" s="159" t="e">
        <f>LOOKUP(C$2,'Depreciation Schedules'!$A$3:$A$42,'Depreciation Schedules'!$G$3:$G$42)</f>
        <v>#N/A</v>
      </c>
      <c r="D431" s="159" t="e">
        <f>LOOKUP(D$2,'Depreciation Schedules'!$A$3:$A$42,'Depreciation Schedules'!$G$3:$G$42)</f>
        <v>#N/A</v>
      </c>
      <c r="E431" s="159" t="e">
        <f>LOOKUP(E$2,'Depreciation Schedules'!$A$3:$A$42,'Depreciation Schedules'!$G$3:$G$42)</f>
        <v>#N/A</v>
      </c>
      <c r="F431" s="159" t="e">
        <f>LOOKUP(F$2,'Depreciation Schedules'!$A$3:$A$42,'Depreciation Schedules'!$G$3:$G$42)</f>
        <v>#N/A</v>
      </c>
      <c r="G431" s="159" t="e">
        <f>LOOKUP(G$2,'Depreciation Schedules'!$A$3:$A$42,'Depreciation Schedules'!$G$3:$G$42)</f>
        <v>#N/A</v>
      </c>
      <c r="H431" s="159" t="e">
        <f>LOOKUP(H$2,'Depreciation Schedules'!$A$3:$A$42,'Depreciation Schedules'!$G$3:$G$42)</f>
        <v>#N/A</v>
      </c>
      <c r="I431" s="159" t="e">
        <f>LOOKUP(I$2,'Depreciation Schedules'!$A$3:$A$42,'Depreciation Schedules'!$G$3:$G$42)</f>
        <v>#N/A</v>
      </c>
      <c r="J431" s="159" t="e">
        <f>LOOKUP(J$2,'Depreciation Schedules'!$A$3:$A$42,'Depreciation Schedules'!$G$3:$G$42)</f>
        <v>#N/A</v>
      </c>
      <c r="K431" s="159" t="e">
        <f>LOOKUP(K$2,'Depreciation Schedules'!$A$3:$A$42,'Depreciation Schedules'!$G$3:$G$42)</f>
        <v>#N/A</v>
      </c>
      <c r="L431" s="159" t="e">
        <f>LOOKUP(L$2,'Depreciation Schedules'!$A$3:$A$42,'Depreciation Schedules'!$G$3:$G$42)</f>
        <v>#N/A</v>
      </c>
      <c r="M431" s="159" t="e">
        <f>LOOKUP(M$2,'Depreciation Schedules'!$A$3:$A$42,'Depreciation Schedules'!$G$3:$G$42)</f>
        <v>#N/A</v>
      </c>
      <c r="N431" s="159" t="e">
        <f>LOOKUP(N$2,'Depreciation Schedules'!$A$3:$A$42,'Depreciation Schedules'!$G$3:$G$42)</f>
        <v>#N/A</v>
      </c>
      <c r="O431" s="159" t="e">
        <f>LOOKUP(O$2,'Depreciation Schedules'!$A$3:$A$42,'Depreciation Schedules'!$G$3:$G$42)</f>
        <v>#N/A</v>
      </c>
      <c r="P431" s="159" t="e">
        <f>LOOKUP(P$2,'Depreciation Schedules'!$A$3:$A$42,'Depreciation Schedules'!$G$3:$G$42)</f>
        <v>#N/A</v>
      </c>
      <c r="Q431" s="159" t="e">
        <f>LOOKUP(Q$2,'Depreciation Schedules'!$A$3:$A$42,'Depreciation Schedules'!$G$3:$G$42)</f>
        <v>#N/A</v>
      </c>
      <c r="R431" s="159" t="e">
        <f>LOOKUP(R$2,'Depreciation Schedules'!$A$3:$A$42,'Depreciation Schedules'!$G$3:$G$42)</f>
        <v>#N/A</v>
      </c>
      <c r="S431" s="159" t="e">
        <f>LOOKUP(S$2,'Depreciation Schedules'!$A$3:$A$42,'Depreciation Schedules'!$G$3:$G$42)</f>
        <v>#N/A</v>
      </c>
      <c r="T431" s="159" t="e">
        <f>LOOKUP(T$2,'Depreciation Schedules'!$A$3:$A$42,'Depreciation Schedules'!$G$3:$G$42)</f>
        <v>#N/A</v>
      </c>
      <c r="U431" s="159" t="e">
        <f>LOOKUP(U$2,'Depreciation Schedules'!$A$3:$A$42,'Depreciation Schedules'!$G$3:$G$42)</f>
        <v>#N/A</v>
      </c>
      <c r="V431" s="159" t="e">
        <f>LOOKUP(V$2,'Depreciation Schedules'!$A$3:$A$42,'Depreciation Schedules'!$G$3:$G$42)</f>
        <v>#N/A</v>
      </c>
      <c r="W431" s="159" t="e">
        <f>LOOKUP(W$2,'Depreciation Schedules'!$A$3:$A$42,'Depreciation Schedules'!$G$3:$G$42)</f>
        <v>#N/A</v>
      </c>
      <c r="X431" s="159" t="e">
        <f>LOOKUP(X$2,'Depreciation Schedules'!$A$3:$A$42,'Depreciation Schedules'!$G$3:$G$42)</f>
        <v>#N/A</v>
      </c>
      <c r="Y431" s="159" t="e">
        <f>LOOKUP(Y$2,'Depreciation Schedules'!$A$3:$A$42,'Depreciation Schedules'!$G$3:$G$42)</f>
        <v>#N/A</v>
      </c>
      <c r="Z431" s="159" t="e">
        <f>LOOKUP(Z$2,'Depreciation Schedules'!$A$3:$A$42,'Depreciation Schedules'!$G$3:$G$42)</f>
        <v>#N/A</v>
      </c>
      <c r="AA431" s="159" t="e">
        <f>LOOKUP(AA$2,'Depreciation Schedules'!$A$3:$A$42,'Depreciation Schedules'!$G$3:$G$42)</f>
        <v>#N/A</v>
      </c>
      <c r="AB431" s="159" t="e">
        <f>LOOKUP(AB$2,'Depreciation Schedules'!$A$3:$A$42,'Depreciation Schedules'!$G$3:$G$42)</f>
        <v>#N/A</v>
      </c>
      <c r="AC431" s="159" t="e">
        <f>LOOKUP(AC$2,'Depreciation Schedules'!$A$3:$A$42,'Depreciation Schedules'!$G$3:$G$42)</f>
        <v>#N/A</v>
      </c>
      <c r="AD431" s="159" t="e">
        <f>LOOKUP(AD$2,'Depreciation Schedules'!$A$3:$A$42,'Depreciation Schedules'!$G$3:$G$42)</f>
        <v>#N/A</v>
      </c>
      <c r="AE431" s="159" t="e">
        <f>LOOKUP(AE$2,'Depreciation Schedules'!$A$3:$A$42,'Depreciation Schedules'!$G$3:$G$42)</f>
        <v>#N/A</v>
      </c>
      <c r="AF431" s="159" t="e">
        <f>LOOKUP(AF$2,'Depreciation Schedules'!$A$3:$A$42,'Depreciation Schedules'!$G$3:$G$42)</f>
        <v>#N/A</v>
      </c>
      <c r="AG431" s="159" t="e">
        <f>LOOKUP(AG$2,'Depreciation Schedules'!$A$3:$A$42,'Depreciation Schedules'!$G$3:$G$42)</f>
        <v>#N/A</v>
      </c>
      <c r="AH431" s="159" t="e">
        <f>LOOKUP(AH$2,'Depreciation Schedules'!$A$3:$A$42,'Depreciation Schedules'!$G$3:$G$42)</f>
        <v>#N/A</v>
      </c>
      <c r="AI431" s="159" t="e">
        <f>LOOKUP(AI$2,'Depreciation Schedules'!$A$3:$A$42,'Depreciation Schedules'!$G$3:$G$42)</f>
        <v>#N/A</v>
      </c>
      <c r="AJ431" s="159" t="e">
        <f>LOOKUP(AJ$2,'Depreciation Schedules'!$A$3:$A$42,'Depreciation Schedules'!$G$3:$G$42)</f>
        <v>#N/A</v>
      </c>
      <c r="AK431" s="159" t="e">
        <f>LOOKUP(AK$2,'Depreciation Schedules'!$A$3:$A$42,'Depreciation Schedules'!$G$3:$G$42)</f>
        <v>#N/A</v>
      </c>
      <c r="AL431" s="159" t="e">
        <f>LOOKUP(AL$2,'Depreciation Schedules'!$A$3:$A$42,'Depreciation Schedules'!$G$3:$G$42)</f>
        <v>#N/A</v>
      </c>
      <c r="AM431" s="159" t="e">
        <f>LOOKUP(AM$2,'Depreciation Schedules'!$A$3:$A$42,'Depreciation Schedules'!$G$3:$G$42)</f>
        <v>#N/A</v>
      </c>
      <c r="AN431" s="159" t="e">
        <f>LOOKUP(AN$2,'Depreciation Schedules'!$A$3:$A$42,'Depreciation Schedules'!$G$3:$G$42)</f>
        <v>#N/A</v>
      </c>
      <c r="AO431" s="159" t="e">
        <f>LOOKUP(AO$2,'Depreciation Schedules'!$A$3:$A$42,'Depreciation Schedules'!$G$3:$G$42)</f>
        <v>#N/A</v>
      </c>
      <c r="AP431" s="159" t="e">
        <f>LOOKUP(AP$2,'Depreciation Schedules'!$A$3:$A$42,'Depreciation Schedules'!$G$3:$G$42)</f>
        <v>#N/A</v>
      </c>
    </row>
    <row r="432" spans="1:42" x14ac:dyDescent="0.2">
      <c r="A432" s="22" t="s">
        <v>299</v>
      </c>
      <c r="B432" s="162">
        <f t="array" ref="B432">SUM(IF(ISNUMBER(C432:AP432),C432:AP432))</f>
        <v>0</v>
      </c>
      <c r="C432" s="159">
        <f t="array" ref="C432:AP432">Inputs!D210:AQ210</f>
        <v>0</v>
      </c>
      <c r="D432" s="159">
        <v>0</v>
      </c>
      <c r="E432" s="159">
        <v>0</v>
      </c>
      <c r="F432" s="159">
        <v>0</v>
      </c>
      <c r="G432" s="159">
        <v>0</v>
      </c>
      <c r="H432" s="159">
        <v>0</v>
      </c>
      <c r="I432" s="159">
        <v>0</v>
      </c>
      <c r="J432" s="159">
        <v>0</v>
      </c>
      <c r="K432" s="159">
        <v>0</v>
      </c>
      <c r="L432" s="159">
        <v>0</v>
      </c>
      <c r="M432" s="159">
        <v>0</v>
      </c>
      <c r="N432" s="159">
        <v>0</v>
      </c>
      <c r="O432" s="159">
        <v>0</v>
      </c>
      <c r="P432" s="159">
        <v>0</v>
      </c>
      <c r="Q432" s="159">
        <v>0</v>
      </c>
      <c r="R432" s="159">
        <v>0</v>
      </c>
      <c r="S432" s="159">
        <v>0</v>
      </c>
      <c r="T432" s="159">
        <v>0</v>
      </c>
      <c r="U432" s="159">
        <v>0</v>
      </c>
      <c r="V432" s="159">
        <v>0</v>
      </c>
      <c r="W432" s="159">
        <v>0</v>
      </c>
      <c r="X432" s="159">
        <v>0</v>
      </c>
      <c r="Y432" s="159">
        <v>0</v>
      </c>
      <c r="Z432" s="159">
        <v>0</v>
      </c>
      <c r="AA432" s="159">
        <v>0</v>
      </c>
      <c r="AB432" s="159">
        <v>0</v>
      </c>
      <c r="AC432" s="159">
        <v>0</v>
      </c>
      <c r="AD432" s="159">
        <v>0</v>
      </c>
      <c r="AE432" s="159">
        <v>0</v>
      </c>
      <c r="AF432" s="159">
        <v>0</v>
      </c>
      <c r="AG432" s="159">
        <v>0</v>
      </c>
      <c r="AH432" s="159">
        <v>0</v>
      </c>
      <c r="AI432" s="159">
        <v>0</v>
      </c>
      <c r="AJ432" s="159">
        <v>0</v>
      </c>
      <c r="AK432" s="159">
        <v>0</v>
      </c>
      <c r="AL432" s="159">
        <v>0</v>
      </c>
      <c r="AM432" s="159">
        <v>0</v>
      </c>
      <c r="AN432" s="159">
        <v>0</v>
      </c>
      <c r="AO432" s="159">
        <v>0</v>
      </c>
      <c r="AP432" s="159">
        <v>0</v>
      </c>
    </row>
    <row r="433" spans="1:42" x14ac:dyDescent="0.2">
      <c r="A433" s="21" t="s">
        <v>3</v>
      </c>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row>
    <row r="434" spans="1:42" x14ac:dyDescent="0.2">
      <c r="A434" s="22" t="str">
        <f t="shared" ref="A434:A439" si="173">A426</f>
        <v>5-yr MACRS</v>
      </c>
      <c r="B434" s="171">
        <f t="array" ref="B434">SUM(IF(ISNUMBER(C434:AP434),C434:AP434))</f>
        <v>0</v>
      </c>
      <c r="C434" s="119" t="e">
        <f>C426/100*$Q$391</f>
        <v>#N/A</v>
      </c>
      <c r="D434" s="119" t="e">
        <f t="shared" ref="D434:AP434" si="174">D426/100*$Q$391</f>
        <v>#N/A</v>
      </c>
      <c r="E434" s="119" t="e">
        <f t="shared" si="174"/>
        <v>#N/A</v>
      </c>
      <c r="F434" s="119" t="e">
        <f t="shared" si="174"/>
        <v>#N/A</v>
      </c>
      <c r="G434" s="119" t="e">
        <f t="shared" si="174"/>
        <v>#N/A</v>
      </c>
      <c r="H434" s="119" t="e">
        <f t="shared" si="174"/>
        <v>#N/A</v>
      </c>
      <c r="I434" s="119" t="e">
        <f t="shared" si="174"/>
        <v>#N/A</v>
      </c>
      <c r="J434" s="119" t="e">
        <f t="shared" si="174"/>
        <v>#N/A</v>
      </c>
      <c r="K434" s="119" t="e">
        <f t="shared" si="174"/>
        <v>#N/A</v>
      </c>
      <c r="L434" s="119" t="e">
        <f t="shared" si="174"/>
        <v>#N/A</v>
      </c>
      <c r="M434" s="119" t="e">
        <f t="shared" si="174"/>
        <v>#N/A</v>
      </c>
      <c r="N434" s="119" t="e">
        <f t="shared" si="174"/>
        <v>#N/A</v>
      </c>
      <c r="O434" s="119" t="e">
        <f t="shared" si="174"/>
        <v>#N/A</v>
      </c>
      <c r="P434" s="119" t="e">
        <f t="shared" si="174"/>
        <v>#N/A</v>
      </c>
      <c r="Q434" s="119" t="e">
        <f t="shared" si="174"/>
        <v>#N/A</v>
      </c>
      <c r="R434" s="119" t="e">
        <f t="shared" si="174"/>
        <v>#N/A</v>
      </c>
      <c r="S434" s="119" t="e">
        <f t="shared" si="174"/>
        <v>#N/A</v>
      </c>
      <c r="T434" s="119" t="e">
        <f t="shared" si="174"/>
        <v>#N/A</v>
      </c>
      <c r="U434" s="119" t="e">
        <f t="shared" si="174"/>
        <v>#N/A</v>
      </c>
      <c r="V434" s="119" t="e">
        <f t="shared" si="174"/>
        <v>#N/A</v>
      </c>
      <c r="W434" s="119" t="e">
        <f t="shared" si="174"/>
        <v>#N/A</v>
      </c>
      <c r="X434" s="119" t="e">
        <f t="shared" si="174"/>
        <v>#N/A</v>
      </c>
      <c r="Y434" s="119" t="e">
        <f t="shared" si="174"/>
        <v>#N/A</v>
      </c>
      <c r="Z434" s="119" t="e">
        <f t="shared" si="174"/>
        <v>#N/A</v>
      </c>
      <c r="AA434" s="119" t="e">
        <f t="shared" si="174"/>
        <v>#N/A</v>
      </c>
      <c r="AB434" s="119" t="e">
        <f t="shared" si="174"/>
        <v>#N/A</v>
      </c>
      <c r="AC434" s="119" t="e">
        <f t="shared" si="174"/>
        <v>#N/A</v>
      </c>
      <c r="AD434" s="119" t="e">
        <f t="shared" si="174"/>
        <v>#N/A</v>
      </c>
      <c r="AE434" s="119" t="e">
        <f t="shared" si="174"/>
        <v>#N/A</v>
      </c>
      <c r="AF434" s="119" t="e">
        <f t="shared" si="174"/>
        <v>#N/A</v>
      </c>
      <c r="AG434" s="119" t="e">
        <f t="shared" si="174"/>
        <v>#N/A</v>
      </c>
      <c r="AH434" s="119" t="e">
        <f t="shared" si="174"/>
        <v>#N/A</v>
      </c>
      <c r="AI434" s="119" t="e">
        <f t="shared" si="174"/>
        <v>#N/A</v>
      </c>
      <c r="AJ434" s="119" t="e">
        <f t="shared" si="174"/>
        <v>#N/A</v>
      </c>
      <c r="AK434" s="119" t="e">
        <f t="shared" si="174"/>
        <v>#N/A</v>
      </c>
      <c r="AL434" s="119" t="e">
        <f t="shared" si="174"/>
        <v>#N/A</v>
      </c>
      <c r="AM434" s="119" t="e">
        <f t="shared" si="174"/>
        <v>#N/A</v>
      </c>
      <c r="AN434" s="119" t="e">
        <f t="shared" si="174"/>
        <v>#N/A</v>
      </c>
      <c r="AO434" s="119" t="e">
        <f t="shared" si="174"/>
        <v>#N/A</v>
      </c>
      <c r="AP434" s="119" t="e">
        <f t="shared" si="174"/>
        <v>#N/A</v>
      </c>
    </row>
    <row r="435" spans="1:42" x14ac:dyDescent="0.2">
      <c r="A435" s="22" t="str">
        <f t="shared" si="173"/>
        <v>15-yr MACRS</v>
      </c>
      <c r="B435" s="171">
        <f t="array" ref="B435">SUM(IF(ISNUMBER(C435:AP435),C435:AP435))</f>
        <v>0</v>
      </c>
      <c r="C435" s="119" t="e">
        <f>C427/100*$Q$392</f>
        <v>#N/A</v>
      </c>
      <c r="D435" s="119" t="e">
        <f t="shared" ref="D435:AP435" si="175">D427/100*$Q$392</f>
        <v>#N/A</v>
      </c>
      <c r="E435" s="119" t="e">
        <f t="shared" si="175"/>
        <v>#N/A</v>
      </c>
      <c r="F435" s="119" t="e">
        <f t="shared" si="175"/>
        <v>#N/A</v>
      </c>
      <c r="G435" s="119" t="e">
        <f t="shared" si="175"/>
        <v>#N/A</v>
      </c>
      <c r="H435" s="119" t="e">
        <f t="shared" si="175"/>
        <v>#N/A</v>
      </c>
      <c r="I435" s="119" t="e">
        <f t="shared" si="175"/>
        <v>#N/A</v>
      </c>
      <c r="J435" s="119" t="e">
        <f t="shared" si="175"/>
        <v>#N/A</v>
      </c>
      <c r="K435" s="119" t="e">
        <f t="shared" si="175"/>
        <v>#N/A</v>
      </c>
      <c r="L435" s="119" t="e">
        <f t="shared" si="175"/>
        <v>#N/A</v>
      </c>
      <c r="M435" s="119" t="e">
        <f t="shared" si="175"/>
        <v>#N/A</v>
      </c>
      <c r="N435" s="119" t="e">
        <f t="shared" si="175"/>
        <v>#N/A</v>
      </c>
      <c r="O435" s="119" t="e">
        <f t="shared" si="175"/>
        <v>#N/A</v>
      </c>
      <c r="P435" s="119" t="e">
        <f t="shared" si="175"/>
        <v>#N/A</v>
      </c>
      <c r="Q435" s="119" t="e">
        <f t="shared" si="175"/>
        <v>#N/A</v>
      </c>
      <c r="R435" s="119" t="e">
        <f t="shared" si="175"/>
        <v>#N/A</v>
      </c>
      <c r="S435" s="119" t="e">
        <f t="shared" si="175"/>
        <v>#N/A</v>
      </c>
      <c r="T435" s="119" t="e">
        <f t="shared" si="175"/>
        <v>#N/A</v>
      </c>
      <c r="U435" s="119" t="e">
        <f t="shared" si="175"/>
        <v>#N/A</v>
      </c>
      <c r="V435" s="119" t="e">
        <f t="shared" si="175"/>
        <v>#N/A</v>
      </c>
      <c r="W435" s="119" t="e">
        <f t="shared" si="175"/>
        <v>#N/A</v>
      </c>
      <c r="X435" s="119" t="e">
        <f t="shared" si="175"/>
        <v>#N/A</v>
      </c>
      <c r="Y435" s="119" t="e">
        <f t="shared" si="175"/>
        <v>#N/A</v>
      </c>
      <c r="Z435" s="119" t="e">
        <f t="shared" si="175"/>
        <v>#N/A</v>
      </c>
      <c r="AA435" s="119" t="e">
        <f t="shared" si="175"/>
        <v>#N/A</v>
      </c>
      <c r="AB435" s="119" t="e">
        <f t="shared" si="175"/>
        <v>#N/A</v>
      </c>
      <c r="AC435" s="119" t="e">
        <f t="shared" si="175"/>
        <v>#N/A</v>
      </c>
      <c r="AD435" s="119" t="e">
        <f t="shared" si="175"/>
        <v>#N/A</v>
      </c>
      <c r="AE435" s="119" t="e">
        <f t="shared" si="175"/>
        <v>#N/A</v>
      </c>
      <c r="AF435" s="119" t="e">
        <f t="shared" si="175"/>
        <v>#N/A</v>
      </c>
      <c r="AG435" s="119" t="e">
        <f t="shared" si="175"/>
        <v>#N/A</v>
      </c>
      <c r="AH435" s="119" t="e">
        <f t="shared" si="175"/>
        <v>#N/A</v>
      </c>
      <c r="AI435" s="119" t="e">
        <f t="shared" si="175"/>
        <v>#N/A</v>
      </c>
      <c r="AJ435" s="119" t="e">
        <f t="shared" si="175"/>
        <v>#N/A</v>
      </c>
      <c r="AK435" s="119" t="e">
        <f t="shared" si="175"/>
        <v>#N/A</v>
      </c>
      <c r="AL435" s="119" t="e">
        <f t="shared" si="175"/>
        <v>#N/A</v>
      </c>
      <c r="AM435" s="119" t="e">
        <f t="shared" si="175"/>
        <v>#N/A</v>
      </c>
      <c r="AN435" s="119" t="e">
        <f t="shared" si="175"/>
        <v>#N/A</v>
      </c>
      <c r="AO435" s="119" t="e">
        <f t="shared" si="175"/>
        <v>#N/A</v>
      </c>
      <c r="AP435" s="119" t="e">
        <f t="shared" si="175"/>
        <v>#N/A</v>
      </c>
    </row>
    <row r="436" spans="1:42" x14ac:dyDescent="0.2">
      <c r="A436" s="22" t="str">
        <f t="shared" si="173"/>
        <v>5-yr SL</v>
      </c>
      <c r="B436" s="171">
        <f t="array" ref="B436">SUM(IF(ISNUMBER(C436:AP436),C436:AP436))</f>
        <v>0</v>
      </c>
      <c r="C436" s="119" t="e">
        <f>C428/100*$Q$393</f>
        <v>#N/A</v>
      </c>
      <c r="D436" s="119" t="e">
        <f t="shared" ref="D436:AP436" si="176">D428/100*$Q$393</f>
        <v>#N/A</v>
      </c>
      <c r="E436" s="119" t="e">
        <f t="shared" si="176"/>
        <v>#N/A</v>
      </c>
      <c r="F436" s="119" t="e">
        <f t="shared" si="176"/>
        <v>#N/A</v>
      </c>
      <c r="G436" s="119" t="e">
        <f t="shared" si="176"/>
        <v>#N/A</v>
      </c>
      <c r="H436" s="119" t="e">
        <f t="shared" si="176"/>
        <v>#N/A</v>
      </c>
      <c r="I436" s="119" t="e">
        <f t="shared" si="176"/>
        <v>#N/A</v>
      </c>
      <c r="J436" s="119" t="e">
        <f t="shared" si="176"/>
        <v>#N/A</v>
      </c>
      <c r="K436" s="119" t="e">
        <f t="shared" si="176"/>
        <v>#N/A</v>
      </c>
      <c r="L436" s="119" t="e">
        <f t="shared" si="176"/>
        <v>#N/A</v>
      </c>
      <c r="M436" s="119" t="e">
        <f t="shared" si="176"/>
        <v>#N/A</v>
      </c>
      <c r="N436" s="119" t="e">
        <f t="shared" si="176"/>
        <v>#N/A</v>
      </c>
      <c r="O436" s="119" t="e">
        <f t="shared" si="176"/>
        <v>#N/A</v>
      </c>
      <c r="P436" s="119" t="e">
        <f t="shared" si="176"/>
        <v>#N/A</v>
      </c>
      <c r="Q436" s="119" t="e">
        <f t="shared" si="176"/>
        <v>#N/A</v>
      </c>
      <c r="R436" s="119" t="e">
        <f t="shared" si="176"/>
        <v>#N/A</v>
      </c>
      <c r="S436" s="119" t="e">
        <f t="shared" si="176"/>
        <v>#N/A</v>
      </c>
      <c r="T436" s="119" t="e">
        <f t="shared" si="176"/>
        <v>#N/A</v>
      </c>
      <c r="U436" s="119" t="e">
        <f t="shared" si="176"/>
        <v>#N/A</v>
      </c>
      <c r="V436" s="119" t="e">
        <f t="shared" si="176"/>
        <v>#N/A</v>
      </c>
      <c r="W436" s="119" t="e">
        <f t="shared" si="176"/>
        <v>#N/A</v>
      </c>
      <c r="X436" s="119" t="e">
        <f t="shared" si="176"/>
        <v>#N/A</v>
      </c>
      <c r="Y436" s="119" t="e">
        <f t="shared" si="176"/>
        <v>#N/A</v>
      </c>
      <c r="Z436" s="119" t="e">
        <f t="shared" si="176"/>
        <v>#N/A</v>
      </c>
      <c r="AA436" s="119" t="e">
        <f t="shared" si="176"/>
        <v>#N/A</v>
      </c>
      <c r="AB436" s="119" t="e">
        <f t="shared" si="176"/>
        <v>#N/A</v>
      </c>
      <c r="AC436" s="119" t="e">
        <f t="shared" si="176"/>
        <v>#N/A</v>
      </c>
      <c r="AD436" s="119" t="e">
        <f t="shared" si="176"/>
        <v>#N/A</v>
      </c>
      <c r="AE436" s="119" t="e">
        <f t="shared" si="176"/>
        <v>#N/A</v>
      </c>
      <c r="AF436" s="119" t="e">
        <f t="shared" si="176"/>
        <v>#N/A</v>
      </c>
      <c r="AG436" s="119" t="e">
        <f t="shared" si="176"/>
        <v>#N/A</v>
      </c>
      <c r="AH436" s="119" t="e">
        <f t="shared" si="176"/>
        <v>#N/A</v>
      </c>
      <c r="AI436" s="119" t="e">
        <f t="shared" si="176"/>
        <v>#N/A</v>
      </c>
      <c r="AJ436" s="119" t="e">
        <f t="shared" si="176"/>
        <v>#N/A</v>
      </c>
      <c r="AK436" s="119" t="e">
        <f t="shared" si="176"/>
        <v>#N/A</v>
      </c>
      <c r="AL436" s="119" t="e">
        <f t="shared" si="176"/>
        <v>#N/A</v>
      </c>
      <c r="AM436" s="119" t="e">
        <f t="shared" si="176"/>
        <v>#N/A</v>
      </c>
      <c r="AN436" s="119" t="e">
        <f t="shared" si="176"/>
        <v>#N/A</v>
      </c>
      <c r="AO436" s="119" t="e">
        <f t="shared" si="176"/>
        <v>#N/A</v>
      </c>
      <c r="AP436" s="119" t="e">
        <f t="shared" si="176"/>
        <v>#N/A</v>
      </c>
    </row>
    <row r="437" spans="1:42" x14ac:dyDescent="0.2">
      <c r="A437" s="22" t="str">
        <f t="shared" si="173"/>
        <v>15-yr SL</v>
      </c>
      <c r="B437" s="171">
        <f t="array" ref="B437">SUM(IF(ISNUMBER(C437:AP437),C437:AP437))</f>
        <v>0</v>
      </c>
      <c r="C437" s="119" t="e">
        <f>C429/100*$Q$394</f>
        <v>#N/A</v>
      </c>
      <c r="D437" s="119" t="e">
        <f t="shared" ref="D437:AP437" si="177">D429/100*$Q$394</f>
        <v>#N/A</v>
      </c>
      <c r="E437" s="119" t="e">
        <f t="shared" si="177"/>
        <v>#N/A</v>
      </c>
      <c r="F437" s="119" t="e">
        <f t="shared" si="177"/>
        <v>#N/A</v>
      </c>
      <c r="G437" s="119" t="e">
        <f t="shared" si="177"/>
        <v>#N/A</v>
      </c>
      <c r="H437" s="119" t="e">
        <f t="shared" si="177"/>
        <v>#N/A</v>
      </c>
      <c r="I437" s="119" t="e">
        <f t="shared" si="177"/>
        <v>#N/A</v>
      </c>
      <c r="J437" s="119" t="e">
        <f t="shared" si="177"/>
        <v>#N/A</v>
      </c>
      <c r="K437" s="119" t="e">
        <f t="shared" si="177"/>
        <v>#N/A</v>
      </c>
      <c r="L437" s="119" t="e">
        <f t="shared" si="177"/>
        <v>#N/A</v>
      </c>
      <c r="M437" s="119" t="e">
        <f t="shared" si="177"/>
        <v>#N/A</v>
      </c>
      <c r="N437" s="119" t="e">
        <f t="shared" si="177"/>
        <v>#N/A</v>
      </c>
      <c r="O437" s="119" t="e">
        <f t="shared" si="177"/>
        <v>#N/A</v>
      </c>
      <c r="P437" s="119" t="e">
        <f t="shared" si="177"/>
        <v>#N/A</v>
      </c>
      <c r="Q437" s="119" t="e">
        <f t="shared" si="177"/>
        <v>#N/A</v>
      </c>
      <c r="R437" s="119" t="e">
        <f t="shared" si="177"/>
        <v>#N/A</v>
      </c>
      <c r="S437" s="119" t="e">
        <f t="shared" si="177"/>
        <v>#N/A</v>
      </c>
      <c r="T437" s="119" t="e">
        <f t="shared" si="177"/>
        <v>#N/A</v>
      </c>
      <c r="U437" s="119" t="e">
        <f t="shared" si="177"/>
        <v>#N/A</v>
      </c>
      <c r="V437" s="119" t="e">
        <f t="shared" si="177"/>
        <v>#N/A</v>
      </c>
      <c r="W437" s="119" t="e">
        <f t="shared" si="177"/>
        <v>#N/A</v>
      </c>
      <c r="X437" s="119" t="e">
        <f t="shared" si="177"/>
        <v>#N/A</v>
      </c>
      <c r="Y437" s="119" t="e">
        <f t="shared" si="177"/>
        <v>#N/A</v>
      </c>
      <c r="Z437" s="119" t="e">
        <f t="shared" si="177"/>
        <v>#N/A</v>
      </c>
      <c r="AA437" s="119" t="e">
        <f t="shared" si="177"/>
        <v>#N/A</v>
      </c>
      <c r="AB437" s="119" t="e">
        <f t="shared" si="177"/>
        <v>#N/A</v>
      </c>
      <c r="AC437" s="119" t="e">
        <f t="shared" si="177"/>
        <v>#N/A</v>
      </c>
      <c r="AD437" s="119" t="e">
        <f t="shared" si="177"/>
        <v>#N/A</v>
      </c>
      <c r="AE437" s="119" t="e">
        <f t="shared" si="177"/>
        <v>#N/A</v>
      </c>
      <c r="AF437" s="119" t="e">
        <f t="shared" si="177"/>
        <v>#N/A</v>
      </c>
      <c r="AG437" s="119" t="e">
        <f t="shared" si="177"/>
        <v>#N/A</v>
      </c>
      <c r="AH437" s="119" t="e">
        <f t="shared" si="177"/>
        <v>#N/A</v>
      </c>
      <c r="AI437" s="119" t="e">
        <f t="shared" si="177"/>
        <v>#N/A</v>
      </c>
      <c r="AJ437" s="119" t="e">
        <f t="shared" si="177"/>
        <v>#N/A</v>
      </c>
      <c r="AK437" s="119" t="e">
        <f t="shared" si="177"/>
        <v>#N/A</v>
      </c>
      <c r="AL437" s="119" t="e">
        <f t="shared" si="177"/>
        <v>#N/A</v>
      </c>
      <c r="AM437" s="119" t="e">
        <f t="shared" si="177"/>
        <v>#N/A</v>
      </c>
      <c r="AN437" s="119" t="e">
        <f t="shared" si="177"/>
        <v>#N/A</v>
      </c>
      <c r="AO437" s="119" t="e">
        <f t="shared" si="177"/>
        <v>#N/A</v>
      </c>
      <c r="AP437" s="119" t="e">
        <f t="shared" si="177"/>
        <v>#N/A</v>
      </c>
    </row>
    <row r="438" spans="1:42" x14ac:dyDescent="0.2">
      <c r="A438" s="22" t="str">
        <f t="shared" si="173"/>
        <v>20-yr SL</v>
      </c>
      <c r="B438" s="171">
        <f t="array" ref="B438">SUM(IF(ISNUMBER(C438:AP438),C438:AP438))</f>
        <v>0</v>
      </c>
      <c r="C438" s="119" t="e">
        <f>C430/100*$Q$395</f>
        <v>#N/A</v>
      </c>
      <c r="D438" s="119" t="e">
        <f t="shared" ref="D438:AP438" si="178">D430/100*$Q$395</f>
        <v>#N/A</v>
      </c>
      <c r="E438" s="119" t="e">
        <f t="shared" si="178"/>
        <v>#N/A</v>
      </c>
      <c r="F438" s="119" t="e">
        <f t="shared" si="178"/>
        <v>#N/A</v>
      </c>
      <c r="G438" s="119" t="e">
        <f t="shared" si="178"/>
        <v>#N/A</v>
      </c>
      <c r="H438" s="119" t="e">
        <f t="shared" si="178"/>
        <v>#N/A</v>
      </c>
      <c r="I438" s="119" t="e">
        <f t="shared" si="178"/>
        <v>#N/A</v>
      </c>
      <c r="J438" s="119" t="e">
        <f t="shared" si="178"/>
        <v>#N/A</v>
      </c>
      <c r="K438" s="119" t="e">
        <f t="shared" si="178"/>
        <v>#N/A</v>
      </c>
      <c r="L438" s="119" t="e">
        <f t="shared" si="178"/>
        <v>#N/A</v>
      </c>
      <c r="M438" s="119" t="e">
        <f t="shared" si="178"/>
        <v>#N/A</v>
      </c>
      <c r="N438" s="119" t="e">
        <f t="shared" si="178"/>
        <v>#N/A</v>
      </c>
      <c r="O438" s="119" t="e">
        <f t="shared" si="178"/>
        <v>#N/A</v>
      </c>
      <c r="P438" s="119" t="e">
        <f t="shared" si="178"/>
        <v>#N/A</v>
      </c>
      <c r="Q438" s="119" t="e">
        <f t="shared" si="178"/>
        <v>#N/A</v>
      </c>
      <c r="R438" s="119" t="e">
        <f t="shared" si="178"/>
        <v>#N/A</v>
      </c>
      <c r="S438" s="119" t="e">
        <f t="shared" si="178"/>
        <v>#N/A</v>
      </c>
      <c r="T438" s="119" t="e">
        <f t="shared" si="178"/>
        <v>#N/A</v>
      </c>
      <c r="U438" s="119" t="e">
        <f t="shared" si="178"/>
        <v>#N/A</v>
      </c>
      <c r="V438" s="119" t="e">
        <f t="shared" si="178"/>
        <v>#N/A</v>
      </c>
      <c r="W438" s="119" t="e">
        <f t="shared" si="178"/>
        <v>#N/A</v>
      </c>
      <c r="X438" s="119" t="e">
        <f t="shared" si="178"/>
        <v>#N/A</v>
      </c>
      <c r="Y438" s="119" t="e">
        <f t="shared" si="178"/>
        <v>#N/A</v>
      </c>
      <c r="Z438" s="119" t="e">
        <f t="shared" si="178"/>
        <v>#N/A</v>
      </c>
      <c r="AA438" s="119" t="e">
        <f t="shared" si="178"/>
        <v>#N/A</v>
      </c>
      <c r="AB438" s="119" t="e">
        <f t="shared" si="178"/>
        <v>#N/A</v>
      </c>
      <c r="AC438" s="119" t="e">
        <f t="shared" si="178"/>
        <v>#N/A</v>
      </c>
      <c r="AD438" s="119" t="e">
        <f t="shared" si="178"/>
        <v>#N/A</v>
      </c>
      <c r="AE438" s="119" t="e">
        <f t="shared" si="178"/>
        <v>#N/A</v>
      </c>
      <c r="AF438" s="119" t="e">
        <f t="shared" si="178"/>
        <v>#N/A</v>
      </c>
      <c r="AG438" s="119" t="e">
        <f t="shared" si="178"/>
        <v>#N/A</v>
      </c>
      <c r="AH438" s="119" t="e">
        <f t="shared" si="178"/>
        <v>#N/A</v>
      </c>
      <c r="AI438" s="119" t="e">
        <f t="shared" si="178"/>
        <v>#N/A</v>
      </c>
      <c r="AJ438" s="119" t="e">
        <f t="shared" si="178"/>
        <v>#N/A</v>
      </c>
      <c r="AK438" s="119" t="e">
        <f t="shared" si="178"/>
        <v>#N/A</v>
      </c>
      <c r="AL438" s="119" t="e">
        <f t="shared" si="178"/>
        <v>#N/A</v>
      </c>
      <c r="AM438" s="119" t="e">
        <f t="shared" si="178"/>
        <v>#N/A</v>
      </c>
      <c r="AN438" s="119" t="e">
        <f t="shared" si="178"/>
        <v>#N/A</v>
      </c>
      <c r="AO438" s="119" t="e">
        <f t="shared" si="178"/>
        <v>#N/A</v>
      </c>
      <c r="AP438" s="119" t="e">
        <f t="shared" si="178"/>
        <v>#N/A</v>
      </c>
    </row>
    <row r="439" spans="1:42" x14ac:dyDescent="0.2">
      <c r="A439" s="22" t="str">
        <f t="shared" si="173"/>
        <v>39-yr SL</v>
      </c>
      <c r="B439" s="171">
        <f>SUM(IF(ISNUMBER(C439:AP439),C439:AP439))</f>
        <v>0</v>
      </c>
      <c r="C439" s="119" t="e">
        <f>C431/100*$Q$396</f>
        <v>#N/A</v>
      </c>
      <c r="D439" s="119" t="e">
        <f t="shared" ref="D439:AP439" si="179">D431/100*$Q$396</f>
        <v>#N/A</v>
      </c>
      <c r="E439" s="119" t="e">
        <f t="shared" si="179"/>
        <v>#N/A</v>
      </c>
      <c r="F439" s="119" t="e">
        <f t="shared" si="179"/>
        <v>#N/A</v>
      </c>
      <c r="G439" s="119" t="e">
        <f t="shared" si="179"/>
        <v>#N/A</v>
      </c>
      <c r="H439" s="119" t="e">
        <f t="shared" si="179"/>
        <v>#N/A</v>
      </c>
      <c r="I439" s="119" t="e">
        <f t="shared" si="179"/>
        <v>#N/A</v>
      </c>
      <c r="J439" s="119" t="e">
        <f t="shared" si="179"/>
        <v>#N/A</v>
      </c>
      <c r="K439" s="119" t="e">
        <f t="shared" si="179"/>
        <v>#N/A</v>
      </c>
      <c r="L439" s="119" t="e">
        <f t="shared" si="179"/>
        <v>#N/A</v>
      </c>
      <c r="M439" s="119" t="e">
        <f t="shared" si="179"/>
        <v>#N/A</v>
      </c>
      <c r="N439" s="119" t="e">
        <f t="shared" si="179"/>
        <v>#N/A</v>
      </c>
      <c r="O439" s="119" t="e">
        <f t="shared" si="179"/>
        <v>#N/A</v>
      </c>
      <c r="P439" s="119" t="e">
        <f t="shared" si="179"/>
        <v>#N/A</v>
      </c>
      <c r="Q439" s="119" t="e">
        <f t="shared" si="179"/>
        <v>#N/A</v>
      </c>
      <c r="R439" s="119" t="e">
        <f t="shared" si="179"/>
        <v>#N/A</v>
      </c>
      <c r="S439" s="119" t="e">
        <f t="shared" si="179"/>
        <v>#N/A</v>
      </c>
      <c r="T439" s="119" t="e">
        <f t="shared" si="179"/>
        <v>#N/A</v>
      </c>
      <c r="U439" s="119" t="e">
        <f t="shared" si="179"/>
        <v>#N/A</v>
      </c>
      <c r="V439" s="119" t="e">
        <f t="shared" si="179"/>
        <v>#N/A</v>
      </c>
      <c r="W439" s="119" t="e">
        <f t="shared" si="179"/>
        <v>#N/A</v>
      </c>
      <c r="X439" s="119" t="e">
        <f t="shared" si="179"/>
        <v>#N/A</v>
      </c>
      <c r="Y439" s="119" t="e">
        <f t="shared" si="179"/>
        <v>#N/A</v>
      </c>
      <c r="Z439" s="119" t="e">
        <f t="shared" si="179"/>
        <v>#N/A</v>
      </c>
      <c r="AA439" s="119" t="e">
        <f t="shared" si="179"/>
        <v>#N/A</v>
      </c>
      <c r="AB439" s="119" t="e">
        <f t="shared" si="179"/>
        <v>#N/A</v>
      </c>
      <c r="AC439" s="119" t="e">
        <f t="shared" si="179"/>
        <v>#N/A</v>
      </c>
      <c r="AD439" s="119" t="e">
        <f t="shared" si="179"/>
        <v>#N/A</v>
      </c>
      <c r="AE439" s="119" t="e">
        <f t="shared" si="179"/>
        <v>#N/A</v>
      </c>
      <c r="AF439" s="119" t="e">
        <f t="shared" si="179"/>
        <v>#N/A</v>
      </c>
      <c r="AG439" s="119" t="e">
        <f t="shared" si="179"/>
        <v>#N/A</v>
      </c>
      <c r="AH439" s="119" t="e">
        <f t="shared" si="179"/>
        <v>#N/A</v>
      </c>
      <c r="AI439" s="119" t="e">
        <f t="shared" si="179"/>
        <v>#N/A</v>
      </c>
      <c r="AJ439" s="119" t="e">
        <f t="shared" si="179"/>
        <v>#N/A</v>
      </c>
      <c r="AK439" s="119" t="e">
        <f t="shared" si="179"/>
        <v>#N/A</v>
      </c>
      <c r="AL439" s="119" t="e">
        <f t="shared" si="179"/>
        <v>#N/A</v>
      </c>
      <c r="AM439" s="119" t="e">
        <f t="shared" si="179"/>
        <v>#N/A</v>
      </c>
      <c r="AN439" s="119" t="e">
        <f t="shared" si="179"/>
        <v>#N/A</v>
      </c>
      <c r="AO439" s="119" t="e">
        <f t="shared" si="179"/>
        <v>#N/A</v>
      </c>
      <c r="AP439" s="119" t="e">
        <f t="shared" si="179"/>
        <v>#N/A</v>
      </c>
    </row>
    <row r="440" spans="1:42" x14ac:dyDescent="0.2">
      <c r="A440" s="22" t="s">
        <v>299</v>
      </c>
      <c r="B440" s="171">
        <f>SUM(IF(ISNUMBER(C440:AP440),C440:AP440))</f>
        <v>0</v>
      </c>
      <c r="C440" s="119">
        <f t="shared" ref="C440:AP440" si="180">IF(C2&lt;=analysis_period,C432/100*$Q$397,0)</f>
        <v>0</v>
      </c>
      <c r="D440" s="119">
        <f t="shared" si="180"/>
        <v>0</v>
      </c>
      <c r="E440" s="119">
        <f t="shared" si="180"/>
        <v>0</v>
      </c>
      <c r="F440" s="119">
        <f t="shared" si="180"/>
        <v>0</v>
      </c>
      <c r="G440" s="119">
        <f t="shared" si="180"/>
        <v>0</v>
      </c>
      <c r="H440" s="119">
        <f t="shared" si="180"/>
        <v>0</v>
      </c>
      <c r="I440" s="119">
        <f t="shared" si="180"/>
        <v>0</v>
      </c>
      <c r="J440" s="119">
        <f t="shared" si="180"/>
        <v>0</v>
      </c>
      <c r="K440" s="119">
        <f t="shared" si="180"/>
        <v>0</v>
      </c>
      <c r="L440" s="119">
        <f t="shared" si="180"/>
        <v>0</v>
      </c>
      <c r="M440" s="119">
        <f t="shared" si="180"/>
        <v>0</v>
      </c>
      <c r="N440" s="119">
        <f t="shared" si="180"/>
        <v>0</v>
      </c>
      <c r="O440" s="119">
        <f t="shared" si="180"/>
        <v>0</v>
      </c>
      <c r="P440" s="119">
        <f t="shared" si="180"/>
        <v>0</v>
      </c>
      <c r="Q440" s="119">
        <f t="shared" si="180"/>
        <v>0</v>
      </c>
      <c r="R440" s="119">
        <f t="shared" si="180"/>
        <v>0</v>
      </c>
      <c r="S440" s="119">
        <f t="shared" si="180"/>
        <v>0</v>
      </c>
      <c r="T440" s="119">
        <f t="shared" si="180"/>
        <v>0</v>
      </c>
      <c r="U440" s="119">
        <f t="shared" si="180"/>
        <v>0</v>
      </c>
      <c r="V440" s="119">
        <f t="shared" si="180"/>
        <v>0</v>
      </c>
      <c r="W440" s="119">
        <f t="shared" si="180"/>
        <v>0</v>
      </c>
      <c r="X440" s="119">
        <f t="shared" si="180"/>
        <v>0</v>
      </c>
      <c r="Y440" s="119">
        <f t="shared" si="180"/>
        <v>0</v>
      </c>
      <c r="Z440" s="119">
        <f t="shared" si="180"/>
        <v>0</v>
      </c>
      <c r="AA440" s="119">
        <f t="shared" si="180"/>
        <v>0</v>
      </c>
      <c r="AB440" s="119">
        <f t="shared" si="180"/>
        <v>0</v>
      </c>
      <c r="AC440" s="119">
        <f t="shared" si="180"/>
        <v>0</v>
      </c>
      <c r="AD440" s="119">
        <f t="shared" si="180"/>
        <v>0</v>
      </c>
      <c r="AE440" s="119">
        <f t="shared" si="180"/>
        <v>0</v>
      </c>
      <c r="AF440" s="119">
        <f t="shared" si="180"/>
        <v>0</v>
      </c>
      <c r="AG440" s="119">
        <f t="shared" si="180"/>
        <v>0</v>
      </c>
      <c r="AH440" s="119">
        <f t="shared" si="180"/>
        <v>0</v>
      </c>
      <c r="AI440" s="119">
        <f t="shared" si="180"/>
        <v>0</v>
      </c>
      <c r="AJ440" s="119">
        <f t="shared" si="180"/>
        <v>0</v>
      </c>
      <c r="AK440" s="119">
        <f t="shared" si="180"/>
        <v>0</v>
      </c>
      <c r="AL440" s="119">
        <f t="shared" si="180"/>
        <v>0</v>
      </c>
      <c r="AM440" s="119">
        <f t="shared" si="180"/>
        <v>0</v>
      </c>
      <c r="AN440" s="119">
        <f t="shared" si="180"/>
        <v>0</v>
      </c>
      <c r="AO440" s="119">
        <f t="shared" si="180"/>
        <v>0</v>
      </c>
      <c r="AP440" s="119">
        <f t="shared" si="180"/>
        <v>0</v>
      </c>
    </row>
    <row r="441" spans="1:42" x14ac:dyDescent="0.2">
      <c r="A441" s="22" t="s">
        <v>71</v>
      </c>
      <c r="B441" s="171">
        <f t="array" ref="B441">SUM(IF(ISNUMBER(C441:AP441),C441:AP441))</f>
        <v>0</v>
      </c>
      <c r="C441" s="120">
        <f>P398</f>
        <v>0</v>
      </c>
      <c r="D441" s="120">
        <v>0</v>
      </c>
      <c r="E441" s="120">
        <v>0</v>
      </c>
      <c r="F441" s="120">
        <v>0</v>
      </c>
      <c r="G441" s="120">
        <v>0</v>
      </c>
      <c r="H441" s="120">
        <v>0</v>
      </c>
      <c r="I441" s="120">
        <v>0</v>
      </c>
      <c r="J441" s="120">
        <v>0</v>
      </c>
      <c r="K441" s="120">
        <v>0</v>
      </c>
      <c r="L441" s="120">
        <v>0</v>
      </c>
      <c r="M441" s="120">
        <v>0</v>
      </c>
      <c r="N441" s="120">
        <v>0</v>
      </c>
      <c r="O441" s="120">
        <v>0</v>
      </c>
      <c r="P441" s="120">
        <v>0</v>
      </c>
      <c r="Q441" s="120">
        <v>0</v>
      </c>
      <c r="R441" s="120">
        <v>0</v>
      </c>
      <c r="S441" s="120">
        <v>0</v>
      </c>
      <c r="T441" s="120">
        <v>0</v>
      </c>
      <c r="U441" s="120">
        <v>0</v>
      </c>
      <c r="V441" s="120">
        <v>0</v>
      </c>
      <c r="W441" s="120">
        <v>0</v>
      </c>
      <c r="X441" s="120">
        <v>0</v>
      </c>
      <c r="Y441" s="120">
        <v>0</v>
      </c>
      <c r="Z441" s="120">
        <v>0</v>
      </c>
      <c r="AA441" s="120">
        <v>0</v>
      </c>
      <c r="AB441" s="120">
        <v>0</v>
      </c>
      <c r="AC441" s="120">
        <v>0</v>
      </c>
      <c r="AD441" s="120">
        <v>0</v>
      </c>
      <c r="AE441" s="120">
        <v>0</v>
      </c>
      <c r="AF441" s="120">
        <v>0</v>
      </c>
      <c r="AG441" s="120">
        <v>0</v>
      </c>
      <c r="AH441" s="120">
        <v>0</v>
      </c>
      <c r="AI441" s="120">
        <v>0</v>
      </c>
      <c r="AJ441" s="120">
        <v>0</v>
      </c>
      <c r="AK441" s="120">
        <v>0</v>
      </c>
      <c r="AL441" s="120">
        <v>0</v>
      </c>
      <c r="AM441" s="120">
        <v>0</v>
      </c>
      <c r="AN441" s="120">
        <v>0</v>
      </c>
      <c r="AO441" s="120">
        <v>0</v>
      </c>
      <c r="AP441" s="120">
        <v>0</v>
      </c>
    </row>
    <row r="442" spans="1:42" x14ac:dyDescent="0.2">
      <c r="A442" s="21"/>
      <c r="B442" s="172">
        <f t="array" ref="B442">SUM(IF(ISNUMBER(C442:AP442),C442:AP442))</f>
        <v>0</v>
      </c>
      <c r="C442" s="119" t="e">
        <f>SUM(C434:C441)</f>
        <v>#N/A</v>
      </c>
      <c r="D442" s="119" t="e">
        <f t="shared" ref="D442:AP442" si="181">SUM(D434:D441)</f>
        <v>#N/A</v>
      </c>
      <c r="E442" s="119" t="e">
        <f t="shared" si="181"/>
        <v>#N/A</v>
      </c>
      <c r="F442" s="119" t="e">
        <f t="shared" si="181"/>
        <v>#N/A</v>
      </c>
      <c r="G442" s="119" t="e">
        <f t="shared" si="181"/>
        <v>#N/A</v>
      </c>
      <c r="H442" s="119" t="e">
        <f t="shared" si="181"/>
        <v>#N/A</v>
      </c>
      <c r="I442" s="119" t="e">
        <f t="shared" si="181"/>
        <v>#N/A</v>
      </c>
      <c r="J442" s="119" t="e">
        <f t="shared" si="181"/>
        <v>#N/A</v>
      </c>
      <c r="K442" s="119" t="e">
        <f t="shared" si="181"/>
        <v>#N/A</v>
      </c>
      <c r="L442" s="119" t="e">
        <f t="shared" si="181"/>
        <v>#N/A</v>
      </c>
      <c r="M442" s="119" t="e">
        <f t="shared" si="181"/>
        <v>#N/A</v>
      </c>
      <c r="N442" s="119" t="e">
        <f t="shared" si="181"/>
        <v>#N/A</v>
      </c>
      <c r="O442" s="119" t="e">
        <f t="shared" si="181"/>
        <v>#N/A</v>
      </c>
      <c r="P442" s="119" t="e">
        <f t="shared" si="181"/>
        <v>#N/A</v>
      </c>
      <c r="Q442" s="119" t="e">
        <f t="shared" si="181"/>
        <v>#N/A</v>
      </c>
      <c r="R442" s="119" t="e">
        <f t="shared" si="181"/>
        <v>#N/A</v>
      </c>
      <c r="S442" s="119" t="e">
        <f t="shared" si="181"/>
        <v>#N/A</v>
      </c>
      <c r="T442" s="119" t="e">
        <f t="shared" si="181"/>
        <v>#N/A</v>
      </c>
      <c r="U442" s="119" t="e">
        <f t="shared" si="181"/>
        <v>#N/A</v>
      </c>
      <c r="V442" s="119" t="e">
        <f t="shared" si="181"/>
        <v>#N/A</v>
      </c>
      <c r="W442" s="119" t="e">
        <f t="shared" si="181"/>
        <v>#N/A</v>
      </c>
      <c r="X442" s="119" t="e">
        <f t="shared" si="181"/>
        <v>#N/A</v>
      </c>
      <c r="Y442" s="119" t="e">
        <f t="shared" si="181"/>
        <v>#N/A</v>
      </c>
      <c r="Z442" s="119" t="e">
        <f t="shared" si="181"/>
        <v>#N/A</v>
      </c>
      <c r="AA442" s="119" t="e">
        <f t="shared" si="181"/>
        <v>#N/A</v>
      </c>
      <c r="AB442" s="119" t="e">
        <f t="shared" si="181"/>
        <v>#N/A</v>
      </c>
      <c r="AC442" s="119" t="e">
        <f t="shared" si="181"/>
        <v>#N/A</v>
      </c>
      <c r="AD442" s="119" t="e">
        <f t="shared" si="181"/>
        <v>#N/A</v>
      </c>
      <c r="AE442" s="119" t="e">
        <f t="shared" si="181"/>
        <v>#N/A</v>
      </c>
      <c r="AF442" s="119" t="e">
        <f t="shared" si="181"/>
        <v>#N/A</v>
      </c>
      <c r="AG442" s="119" t="e">
        <f t="shared" si="181"/>
        <v>#N/A</v>
      </c>
      <c r="AH442" s="119" t="e">
        <f t="shared" si="181"/>
        <v>#N/A</v>
      </c>
      <c r="AI442" s="119" t="e">
        <f t="shared" si="181"/>
        <v>#N/A</v>
      </c>
      <c r="AJ442" s="119" t="e">
        <f t="shared" si="181"/>
        <v>#N/A</v>
      </c>
      <c r="AK442" s="119" t="e">
        <f t="shared" si="181"/>
        <v>#N/A</v>
      </c>
      <c r="AL442" s="119" t="e">
        <f t="shared" si="181"/>
        <v>#N/A</v>
      </c>
      <c r="AM442" s="119" t="e">
        <f t="shared" si="181"/>
        <v>#N/A</v>
      </c>
      <c r="AN442" s="119" t="e">
        <f t="shared" si="181"/>
        <v>#N/A</v>
      </c>
      <c r="AO442" s="119" t="e">
        <f t="shared" si="181"/>
        <v>#N/A</v>
      </c>
      <c r="AP442" s="119" t="e">
        <f t="shared" si="181"/>
        <v>#N/A</v>
      </c>
    </row>
    <row r="443" spans="1:42" x14ac:dyDescent="0.2">
      <c r="A443" s="21"/>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row>
    <row r="444" spans="1:42" x14ac:dyDescent="0.2">
      <c r="A444" s="86" t="s">
        <v>428</v>
      </c>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row>
    <row r="445" spans="1:42" x14ac:dyDescent="0.2">
      <c r="A445" s="21" t="s">
        <v>429</v>
      </c>
      <c r="B445" s="24" t="str">
        <f>equip_reserve_depr_fed</f>
        <v>5-yr MACRS</v>
      </c>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row>
    <row r="446" spans="1:42" x14ac:dyDescent="0.2">
      <c r="A446" s="21" t="s">
        <v>61</v>
      </c>
      <c r="B446" s="167">
        <f t="shared" ref="B446:AP446" si="182">B2</f>
        <v>0</v>
      </c>
      <c r="C446" s="167" t="str">
        <f t="shared" si="182"/>
        <v/>
      </c>
      <c r="D446" s="167" t="str">
        <f t="shared" si="182"/>
        <v/>
      </c>
      <c r="E446" s="167" t="str">
        <f t="shared" si="182"/>
        <v/>
      </c>
      <c r="F446" s="167" t="str">
        <f t="shared" si="182"/>
        <v/>
      </c>
      <c r="G446" s="167" t="str">
        <f t="shared" si="182"/>
        <v/>
      </c>
      <c r="H446" s="167" t="str">
        <f t="shared" si="182"/>
        <v/>
      </c>
      <c r="I446" s="167" t="str">
        <f t="shared" si="182"/>
        <v/>
      </c>
      <c r="J446" s="167" t="str">
        <f t="shared" si="182"/>
        <v/>
      </c>
      <c r="K446" s="167" t="str">
        <f t="shared" si="182"/>
        <v/>
      </c>
      <c r="L446" s="167" t="str">
        <f t="shared" si="182"/>
        <v/>
      </c>
      <c r="M446" s="167" t="str">
        <f t="shared" si="182"/>
        <v/>
      </c>
      <c r="N446" s="167" t="str">
        <f t="shared" si="182"/>
        <v/>
      </c>
      <c r="O446" s="167" t="str">
        <f t="shared" si="182"/>
        <v/>
      </c>
      <c r="P446" s="167" t="str">
        <f t="shared" si="182"/>
        <v/>
      </c>
      <c r="Q446" s="167" t="str">
        <f t="shared" si="182"/>
        <v/>
      </c>
      <c r="R446" s="167" t="str">
        <f t="shared" si="182"/>
        <v/>
      </c>
      <c r="S446" s="167" t="str">
        <f t="shared" si="182"/>
        <v/>
      </c>
      <c r="T446" s="167" t="str">
        <f t="shared" si="182"/>
        <v/>
      </c>
      <c r="U446" s="167" t="str">
        <f t="shared" si="182"/>
        <v/>
      </c>
      <c r="V446" s="167" t="str">
        <f t="shared" si="182"/>
        <v/>
      </c>
      <c r="W446" s="167" t="str">
        <f t="shared" si="182"/>
        <v/>
      </c>
      <c r="X446" s="167" t="str">
        <f t="shared" si="182"/>
        <v/>
      </c>
      <c r="Y446" s="167" t="str">
        <f t="shared" si="182"/>
        <v/>
      </c>
      <c r="Z446" s="167" t="str">
        <f t="shared" si="182"/>
        <v/>
      </c>
      <c r="AA446" s="167" t="str">
        <f t="shared" si="182"/>
        <v/>
      </c>
      <c r="AB446" s="167" t="str">
        <f t="shared" si="182"/>
        <v/>
      </c>
      <c r="AC446" s="167" t="str">
        <f t="shared" si="182"/>
        <v/>
      </c>
      <c r="AD446" s="167" t="str">
        <f t="shared" si="182"/>
        <v/>
      </c>
      <c r="AE446" s="167" t="str">
        <f t="shared" si="182"/>
        <v/>
      </c>
      <c r="AF446" s="167" t="str">
        <f t="shared" si="182"/>
        <v/>
      </c>
      <c r="AG446" s="167" t="str">
        <f t="shared" si="182"/>
        <v/>
      </c>
      <c r="AH446" s="167" t="str">
        <f t="shared" si="182"/>
        <v/>
      </c>
      <c r="AI446" s="167" t="str">
        <f t="shared" si="182"/>
        <v/>
      </c>
      <c r="AJ446" s="167" t="str">
        <f t="shared" si="182"/>
        <v/>
      </c>
      <c r="AK446" s="167" t="str">
        <f t="shared" si="182"/>
        <v/>
      </c>
      <c r="AL446" s="167" t="str">
        <f t="shared" si="182"/>
        <v/>
      </c>
      <c r="AM446" s="167" t="str">
        <f t="shared" si="182"/>
        <v/>
      </c>
      <c r="AN446" s="167" t="str">
        <f t="shared" si="182"/>
        <v/>
      </c>
      <c r="AO446" s="167" t="str">
        <f t="shared" si="182"/>
        <v/>
      </c>
      <c r="AP446" s="167" t="str">
        <f t="shared" si="182"/>
        <v/>
      </c>
    </row>
    <row r="447" spans="1:42" x14ac:dyDescent="0.2">
      <c r="A447" s="21" t="s">
        <v>62</v>
      </c>
      <c r="B447" s="166">
        <v>0</v>
      </c>
      <c r="C447" s="159" t="e">
        <f t="shared" ref="C447:AP447" si="183">IF($B$445=$A426,C426,0)+IF($B$445=$A427,C427,0)+IF($B$445=$A428,C428,0)+IF($B$445=$A429,C429,0)+IF($B$445=$A430,C430,0)+IF($B$445=$A431,C431,0)</f>
        <v>#N/A</v>
      </c>
      <c r="D447" s="159" t="e">
        <f t="shared" si="183"/>
        <v>#N/A</v>
      </c>
      <c r="E447" s="159" t="e">
        <f t="shared" si="183"/>
        <v>#N/A</v>
      </c>
      <c r="F447" s="159" t="e">
        <f t="shared" si="183"/>
        <v>#N/A</v>
      </c>
      <c r="G447" s="159" t="e">
        <f t="shared" si="183"/>
        <v>#N/A</v>
      </c>
      <c r="H447" s="159" t="e">
        <f t="shared" si="183"/>
        <v>#N/A</v>
      </c>
      <c r="I447" s="159" t="e">
        <f t="shared" si="183"/>
        <v>#N/A</v>
      </c>
      <c r="J447" s="159" t="e">
        <f t="shared" si="183"/>
        <v>#N/A</v>
      </c>
      <c r="K447" s="159" t="e">
        <f t="shared" si="183"/>
        <v>#N/A</v>
      </c>
      <c r="L447" s="159" t="e">
        <f t="shared" si="183"/>
        <v>#N/A</v>
      </c>
      <c r="M447" s="159" t="e">
        <f t="shared" si="183"/>
        <v>#N/A</v>
      </c>
      <c r="N447" s="159" t="e">
        <f t="shared" si="183"/>
        <v>#N/A</v>
      </c>
      <c r="O447" s="159" t="e">
        <f t="shared" si="183"/>
        <v>#N/A</v>
      </c>
      <c r="P447" s="159" t="e">
        <f t="shared" si="183"/>
        <v>#N/A</v>
      </c>
      <c r="Q447" s="159" t="e">
        <f t="shared" si="183"/>
        <v>#N/A</v>
      </c>
      <c r="R447" s="159" t="e">
        <f t="shared" si="183"/>
        <v>#N/A</v>
      </c>
      <c r="S447" s="159" t="e">
        <f t="shared" si="183"/>
        <v>#N/A</v>
      </c>
      <c r="T447" s="159" t="e">
        <f t="shared" si="183"/>
        <v>#N/A</v>
      </c>
      <c r="U447" s="159" t="e">
        <f t="shared" si="183"/>
        <v>#N/A</v>
      </c>
      <c r="V447" s="159" t="e">
        <f t="shared" si="183"/>
        <v>#N/A</v>
      </c>
      <c r="W447" s="159" t="e">
        <f t="shared" si="183"/>
        <v>#N/A</v>
      </c>
      <c r="X447" s="159" t="e">
        <f t="shared" si="183"/>
        <v>#N/A</v>
      </c>
      <c r="Y447" s="159" t="e">
        <f t="shared" si="183"/>
        <v>#N/A</v>
      </c>
      <c r="Z447" s="159" t="e">
        <f t="shared" si="183"/>
        <v>#N/A</v>
      </c>
      <c r="AA447" s="159" t="e">
        <f t="shared" si="183"/>
        <v>#N/A</v>
      </c>
      <c r="AB447" s="159" t="e">
        <f t="shared" si="183"/>
        <v>#N/A</v>
      </c>
      <c r="AC447" s="159" t="e">
        <f t="shared" si="183"/>
        <v>#N/A</v>
      </c>
      <c r="AD447" s="159" t="e">
        <f t="shared" si="183"/>
        <v>#N/A</v>
      </c>
      <c r="AE447" s="159" t="e">
        <f t="shared" si="183"/>
        <v>#N/A</v>
      </c>
      <c r="AF447" s="159" t="e">
        <f t="shared" si="183"/>
        <v>#N/A</v>
      </c>
      <c r="AG447" s="159" t="e">
        <f t="shared" si="183"/>
        <v>#N/A</v>
      </c>
      <c r="AH447" s="159" t="e">
        <f t="shared" si="183"/>
        <v>#N/A</v>
      </c>
      <c r="AI447" s="159" t="e">
        <f t="shared" si="183"/>
        <v>#N/A</v>
      </c>
      <c r="AJ447" s="159" t="e">
        <f t="shared" si="183"/>
        <v>#N/A</v>
      </c>
      <c r="AK447" s="159" t="e">
        <f t="shared" si="183"/>
        <v>#N/A</v>
      </c>
      <c r="AL447" s="159" t="e">
        <f t="shared" si="183"/>
        <v>#N/A</v>
      </c>
      <c r="AM447" s="159" t="e">
        <f t="shared" si="183"/>
        <v>#N/A</v>
      </c>
      <c r="AN447" s="159" t="e">
        <f t="shared" si="183"/>
        <v>#N/A</v>
      </c>
      <c r="AO447" s="159" t="e">
        <f t="shared" si="183"/>
        <v>#N/A</v>
      </c>
      <c r="AP447" s="159" t="e">
        <f t="shared" si="183"/>
        <v>#N/A</v>
      </c>
    </row>
    <row r="448" spans="1:42" x14ac:dyDescent="0.2">
      <c r="A448" s="17"/>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row>
    <row r="449" spans="1:42" x14ac:dyDescent="0.2">
      <c r="A449" s="21" t="s">
        <v>72</v>
      </c>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row>
    <row r="450" spans="1:42" x14ac:dyDescent="0.2">
      <c r="A450" s="87" t="s">
        <v>60</v>
      </c>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row>
    <row r="451" spans="1:42" x14ac:dyDescent="0.2">
      <c r="A451" s="4">
        <v>1</v>
      </c>
      <c r="C451" s="150">
        <f t="shared" ref="C451:AP451" si="184">C313</f>
        <v>0</v>
      </c>
      <c r="D451" s="150">
        <f t="shared" si="184"/>
        <v>0</v>
      </c>
      <c r="E451" s="150">
        <f t="shared" si="184"/>
        <v>0</v>
      </c>
      <c r="F451" s="150">
        <f t="shared" si="184"/>
        <v>0</v>
      </c>
      <c r="G451" s="150">
        <f t="shared" si="184"/>
        <v>0</v>
      </c>
      <c r="H451" s="150">
        <f t="shared" si="184"/>
        <v>0</v>
      </c>
      <c r="I451" s="150">
        <f t="shared" si="184"/>
        <v>0</v>
      </c>
      <c r="J451" s="150">
        <f t="shared" si="184"/>
        <v>0</v>
      </c>
      <c r="K451" s="150">
        <f t="shared" si="184"/>
        <v>0</v>
      </c>
      <c r="L451" s="150">
        <f t="shared" si="184"/>
        <v>0</v>
      </c>
      <c r="M451" s="150">
        <f t="shared" si="184"/>
        <v>0</v>
      </c>
      <c r="N451" s="150">
        <f t="shared" si="184"/>
        <v>0</v>
      </c>
      <c r="O451" s="150">
        <f t="shared" si="184"/>
        <v>0</v>
      </c>
      <c r="P451" s="150">
        <f t="shared" si="184"/>
        <v>0</v>
      </c>
      <c r="Q451" s="150">
        <f t="shared" si="184"/>
        <v>0</v>
      </c>
      <c r="R451" s="150">
        <f t="shared" si="184"/>
        <v>0</v>
      </c>
      <c r="S451" s="150">
        <f t="shared" si="184"/>
        <v>0</v>
      </c>
      <c r="T451" s="150">
        <f t="shared" si="184"/>
        <v>0</v>
      </c>
      <c r="U451" s="150">
        <f t="shared" si="184"/>
        <v>0</v>
      </c>
      <c r="V451" s="150">
        <f t="shared" si="184"/>
        <v>0</v>
      </c>
      <c r="W451" s="150">
        <f t="shared" si="184"/>
        <v>0</v>
      </c>
      <c r="X451" s="150">
        <f t="shared" si="184"/>
        <v>0</v>
      </c>
      <c r="Y451" s="150">
        <f t="shared" si="184"/>
        <v>0</v>
      </c>
      <c r="Z451" s="150">
        <f t="shared" si="184"/>
        <v>0</v>
      </c>
      <c r="AA451" s="150">
        <f t="shared" si="184"/>
        <v>0</v>
      </c>
      <c r="AB451" s="150">
        <f t="shared" si="184"/>
        <v>0</v>
      </c>
      <c r="AC451" s="150">
        <f t="shared" si="184"/>
        <v>0</v>
      </c>
      <c r="AD451" s="150">
        <f t="shared" si="184"/>
        <v>0</v>
      </c>
      <c r="AE451" s="150">
        <f t="shared" si="184"/>
        <v>0</v>
      </c>
      <c r="AF451" s="150">
        <f t="shared" si="184"/>
        <v>0</v>
      </c>
      <c r="AG451" s="150">
        <f t="shared" si="184"/>
        <v>0</v>
      </c>
      <c r="AH451" s="150">
        <f t="shared" si="184"/>
        <v>0</v>
      </c>
      <c r="AI451" s="150">
        <f t="shared" si="184"/>
        <v>0</v>
      </c>
      <c r="AJ451" s="150">
        <f t="shared" si="184"/>
        <v>0</v>
      </c>
      <c r="AK451" s="150">
        <f t="shared" si="184"/>
        <v>0</v>
      </c>
      <c r="AL451" s="150">
        <f t="shared" si="184"/>
        <v>0</v>
      </c>
      <c r="AM451" s="150">
        <f t="shared" si="184"/>
        <v>0</v>
      </c>
      <c r="AN451" s="150">
        <f t="shared" si="184"/>
        <v>0</v>
      </c>
      <c r="AO451" s="150">
        <f t="shared" si="184"/>
        <v>0</v>
      </c>
      <c r="AP451" s="150">
        <f t="shared" si="184"/>
        <v>0</v>
      </c>
    </row>
    <row r="452" spans="1:42" x14ac:dyDescent="0.2">
      <c r="A452" s="4">
        <f>A451+1</f>
        <v>2</v>
      </c>
      <c r="C452" s="150">
        <f t="shared" ref="C452:AP452" si="185">C314</f>
        <v>0</v>
      </c>
      <c r="D452" s="150">
        <f t="shared" si="185"/>
        <v>0</v>
      </c>
      <c r="E452" s="150">
        <f t="shared" si="185"/>
        <v>0</v>
      </c>
      <c r="F452" s="150">
        <f t="shared" si="185"/>
        <v>0</v>
      </c>
      <c r="G452" s="150">
        <f t="shared" si="185"/>
        <v>0</v>
      </c>
      <c r="H452" s="150">
        <f t="shared" si="185"/>
        <v>0</v>
      </c>
      <c r="I452" s="150">
        <f t="shared" si="185"/>
        <v>0</v>
      </c>
      <c r="J452" s="150">
        <f t="shared" si="185"/>
        <v>0</v>
      </c>
      <c r="K452" s="150">
        <f t="shared" si="185"/>
        <v>0</v>
      </c>
      <c r="L452" s="150">
        <f t="shared" si="185"/>
        <v>0</v>
      </c>
      <c r="M452" s="150">
        <f t="shared" si="185"/>
        <v>0</v>
      </c>
      <c r="N452" s="150">
        <f t="shared" si="185"/>
        <v>0</v>
      </c>
      <c r="O452" s="150">
        <f t="shared" si="185"/>
        <v>0</v>
      </c>
      <c r="P452" s="150">
        <f t="shared" si="185"/>
        <v>0</v>
      </c>
      <c r="Q452" s="150">
        <f t="shared" si="185"/>
        <v>0</v>
      </c>
      <c r="R452" s="150">
        <f t="shared" si="185"/>
        <v>0</v>
      </c>
      <c r="S452" s="150">
        <f t="shared" si="185"/>
        <v>0</v>
      </c>
      <c r="T452" s="150">
        <f t="shared" si="185"/>
        <v>0</v>
      </c>
      <c r="U452" s="150">
        <f t="shared" si="185"/>
        <v>0</v>
      </c>
      <c r="V452" s="150">
        <f t="shared" si="185"/>
        <v>0</v>
      </c>
      <c r="W452" s="150">
        <f t="shared" si="185"/>
        <v>0</v>
      </c>
      <c r="X452" s="150">
        <f t="shared" si="185"/>
        <v>0</v>
      </c>
      <c r="Y452" s="150">
        <f t="shared" si="185"/>
        <v>0</v>
      </c>
      <c r="Z452" s="150">
        <f t="shared" si="185"/>
        <v>0</v>
      </c>
      <c r="AA452" s="150">
        <f t="shared" si="185"/>
        <v>0</v>
      </c>
      <c r="AB452" s="150">
        <f t="shared" si="185"/>
        <v>0</v>
      </c>
      <c r="AC452" s="150">
        <f t="shared" si="185"/>
        <v>0</v>
      </c>
      <c r="AD452" s="150">
        <f t="shared" si="185"/>
        <v>0</v>
      </c>
      <c r="AE452" s="150">
        <f t="shared" si="185"/>
        <v>0</v>
      </c>
      <c r="AF452" s="150">
        <f t="shared" si="185"/>
        <v>0</v>
      </c>
      <c r="AG452" s="150">
        <f t="shared" si="185"/>
        <v>0</v>
      </c>
      <c r="AH452" s="150">
        <f t="shared" si="185"/>
        <v>0</v>
      </c>
      <c r="AI452" s="150">
        <f t="shared" si="185"/>
        <v>0</v>
      </c>
      <c r="AJ452" s="150">
        <f t="shared" si="185"/>
        <v>0</v>
      </c>
      <c r="AK452" s="150">
        <f t="shared" si="185"/>
        <v>0</v>
      </c>
      <c r="AL452" s="150">
        <f t="shared" si="185"/>
        <v>0</v>
      </c>
      <c r="AM452" s="150">
        <f t="shared" si="185"/>
        <v>0</v>
      </c>
      <c r="AN452" s="150">
        <f t="shared" si="185"/>
        <v>0</v>
      </c>
      <c r="AO452" s="150">
        <f t="shared" si="185"/>
        <v>0</v>
      </c>
      <c r="AP452" s="150">
        <f t="shared" si="185"/>
        <v>0</v>
      </c>
    </row>
    <row r="453" spans="1:42" x14ac:dyDescent="0.2">
      <c r="A453" s="4">
        <f t="shared" ref="A453:A458" si="186">A452+1</f>
        <v>3</v>
      </c>
      <c r="C453" s="150">
        <f t="shared" ref="C453:AP453" si="187">C315</f>
        <v>0</v>
      </c>
      <c r="D453" s="150">
        <f t="shared" si="187"/>
        <v>0</v>
      </c>
      <c r="E453" s="150">
        <f t="shared" si="187"/>
        <v>0</v>
      </c>
      <c r="F453" s="150">
        <f t="shared" si="187"/>
        <v>0</v>
      </c>
      <c r="G453" s="150">
        <f t="shared" si="187"/>
        <v>0</v>
      </c>
      <c r="H453" s="150">
        <f t="shared" si="187"/>
        <v>0</v>
      </c>
      <c r="I453" s="150">
        <f t="shared" si="187"/>
        <v>0</v>
      </c>
      <c r="J453" s="150">
        <f t="shared" si="187"/>
        <v>0</v>
      </c>
      <c r="K453" s="150">
        <f t="shared" si="187"/>
        <v>0</v>
      </c>
      <c r="L453" s="150">
        <f t="shared" si="187"/>
        <v>0</v>
      </c>
      <c r="M453" s="150">
        <f t="shared" si="187"/>
        <v>0</v>
      </c>
      <c r="N453" s="150">
        <f t="shared" si="187"/>
        <v>0</v>
      </c>
      <c r="O453" s="150">
        <f t="shared" si="187"/>
        <v>0</v>
      </c>
      <c r="P453" s="150">
        <f t="shared" si="187"/>
        <v>0</v>
      </c>
      <c r="Q453" s="150">
        <f t="shared" si="187"/>
        <v>0</v>
      </c>
      <c r="R453" s="150">
        <f t="shared" si="187"/>
        <v>0</v>
      </c>
      <c r="S453" s="150">
        <f t="shared" si="187"/>
        <v>0</v>
      </c>
      <c r="T453" s="150">
        <f t="shared" si="187"/>
        <v>0</v>
      </c>
      <c r="U453" s="150">
        <f t="shared" si="187"/>
        <v>0</v>
      </c>
      <c r="V453" s="150">
        <f t="shared" si="187"/>
        <v>0</v>
      </c>
      <c r="W453" s="150">
        <f t="shared" si="187"/>
        <v>0</v>
      </c>
      <c r="X453" s="150">
        <f t="shared" si="187"/>
        <v>0</v>
      </c>
      <c r="Y453" s="150">
        <f t="shared" si="187"/>
        <v>0</v>
      </c>
      <c r="Z453" s="150">
        <f t="shared" si="187"/>
        <v>0</v>
      </c>
      <c r="AA453" s="150">
        <f t="shared" si="187"/>
        <v>0</v>
      </c>
      <c r="AB453" s="150">
        <f t="shared" si="187"/>
        <v>0</v>
      </c>
      <c r="AC453" s="150">
        <f t="shared" si="187"/>
        <v>0</v>
      </c>
      <c r="AD453" s="150">
        <f t="shared" si="187"/>
        <v>0</v>
      </c>
      <c r="AE453" s="150">
        <f t="shared" si="187"/>
        <v>0</v>
      </c>
      <c r="AF453" s="150">
        <f t="shared" si="187"/>
        <v>0</v>
      </c>
      <c r="AG453" s="150">
        <f t="shared" si="187"/>
        <v>0</v>
      </c>
      <c r="AH453" s="150">
        <f t="shared" si="187"/>
        <v>0</v>
      </c>
      <c r="AI453" s="150">
        <f t="shared" si="187"/>
        <v>0</v>
      </c>
      <c r="AJ453" s="150">
        <f t="shared" si="187"/>
        <v>0</v>
      </c>
      <c r="AK453" s="150">
        <f t="shared" si="187"/>
        <v>0</v>
      </c>
      <c r="AL453" s="150">
        <f t="shared" si="187"/>
        <v>0</v>
      </c>
      <c r="AM453" s="150">
        <f t="shared" si="187"/>
        <v>0</v>
      </c>
      <c r="AN453" s="150">
        <f t="shared" si="187"/>
        <v>0</v>
      </c>
      <c r="AO453" s="150">
        <f t="shared" si="187"/>
        <v>0</v>
      </c>
      <c r="AP453" s="150">
        <f t="shared" si="187"/>
        <v>0</v>
      </c>
    </row>
    <row r="454" spans="1:42" x14ac:dyDescent="0.2">
      <c r="A454" s="4">
        <f t="shared" si="186"/>
        <v>4</v>
      </c>
      <c r="C454" s="150">
        <f t="shared" ref="C454:AP454" si="188">C316</f>
        <v>0</v>
      </c>
      <c r="D454" s="150">
        <f t="shared" si="188"/>
        <v>0</v>
      </c>
      <c r="E454" s="150">
        <f t="shared" si="188"/>
        <v>0</v>
      </c>
      <c r="F454" s="150">
        <f t="shared" si="188"/>
        <v>0</v>
      </c>
      <c r="G454" s="150">
        <f t="shared" si="188"/>
        <v>0</v>
      </c>
      <c r="H454" s="150">
        <f t="shared" si="188"/>
        <v>0</v>
      </c>
      <c r="I454" s="150">
        <f t="shared" si="188"/>
        <v>0</v>
      </c>
      <c r="J454" s="150">
        <f t="shared" si="188"/>
        <v>0</v>
      </c>
      <c r="K454" s="150">
        <f t="shared" si="188"/>
        <v>0</v>
      </c>
      <c r="L454" s="150">
        <f t="shared" si="188"/>
        <v>0</v>
      </c>
      <c r="M454" s="150">
        <f t="shared" si="188"/>
        <v>0</v>
      </c>
      <c r="N454" s="150">
        <f t="shared" si="188"/>
        <v>0</v>
      </c>
      <c r="O454" s="150">
        <f t="shared" si="188"/>
        <v>0</v>
      </c>
      <c r="P454" s="150">
        <f t="shared" si="188"/>
        <v>0</v>
      </c>
      <c r="Q454" s="150">
        <f t="shared" si="188"/>
        <v>0</v>
      </c>
      <c r="R454" s="150">
        <f t="shared" si="188"/>
        <v>0</v>
      </c>
      <c r="S454" s="150">
        <f t="shared" si="188"/>
        <v>0</v>
      </c>
      <c r="T454" s="150">
        <f t="shared" si="188"/>
        <v>0</v>
      </c>
      <c r="U454" s="150">
        <f t="shared" si="188"/>
        <v>0</v>
      </c>
      <c r="V454" s="150">
        <f t="shared" si="188"/>
        <v>0</v>
      </c>
      <c r="W454" s="150">
        <f t="shared" si="188"/>
        <v>0</v>
      </c>
      <c r="X454" s="150">
        <f t="shared" si="188"/>
        <v>0</v>
      </c>
      <c r="Y454" s="150">
        <f t="shared" si="188"/>
        <v>0</v>
      </c>
      <c r="Z454" s="150">
        <f t="shared" si="188"/>
        <v>0</v>
      </c>
      <c r="AA454" s="150">
        <f t="shared" si="188"/>
        <v>0</v>
      </c>
      <c r="AB454" s="150">
        <f t="shared" si="188"/>
        <v>0</v>
      </c>
      <c r="AC454" s="150">
        <f t="shared" si="188"/>
        <v>0</v>
      </c>
      <c r="AD454" s="150">
        <f t="shared" si="188"/>
        <v>0</v>
      </c>
      <c r="AE454" s="150">
        <f t="shared" si="188"/>
        <v>0</v>
      </c>
      <c r="AF454" s="150">
        <f t="shared" si="188"/>
        <v>0</v>
      </c>
      <c r="AG454" s="150">
        <f t="shared" si="188"/>
        <v>0</v>
      </c>
      <c r="AH454" s="150">
        <f t="shared" si="188"/>
        <v>0</v>
      </c>
      <c r="AI454" s="150">
        <f t="shared" si="188"/>
        <v>0</v>
      </c>
      <c r="AJ454" s="150">
        <f t="shared" si="188"/>
        <v>0</v>
      </c>
      <c r="AK454" s="150">
        <f t="shared" si="188"/>
        <v>0</v>
      </c>
      <c r="AL454" s="150">
        <f t="shared" si="188"/>
        <v>0</v>
      </c>
      <c r="AM454" s="150">
        <f t="shared" si="188"/>
        <v>0</v>
      </c>
      <c r="AN454" s="150">
        <f t="shared" si="188"/>
        <v>0</v>
      </c>
      <c r="AO454" s="150">
        <f t="shared" si="188"/>
        <v>0</v>
      </c>
      <c r="AP454" s="150">
        <f t="shared" si="188"/>
        <v>0</v>
      </c>
    </row>
    <row r="455" spans="1:42" x14ac:dyDescent="0.2">
      <c r="A455" s="4">
        <f t="shared" si="186"/>
        <v>5</v>
      </c>
      <c r="C455" s="150">
        <f t="shared" ref="C455:AP455" si="189">C317</f>
        <v>0</v>
      </c>
      <c r="D455" s="150">
        <f t="shared" si="189"/>
        <v>0</v>
      </c>
      <c r="E455" s="150">
        <f t="shared" si="189"/>
        <v>0</v>
      </c>
      <c r="F455" s="150">
        <f t="shared" si="189"/>
        <v>0</v>
      </c>
      <c r="G455" s="150">
        <f t="shared" si="189"/>
        <v>0</v>
      </c>
      <c r="H455" s="150">
        <f t="shared" si="189"/>
        <v>0</v>
      </c>
      <c r="I455" s="150">
        <f t="shared" si="189"/>
        <v>0</v>
      </c>
      <c r="J455" s="150">
        <f t="shared" si="189"/>
        <v>0</v>
      </c>
      <c r="K455" s="150">
        <f t="shared" si="189"/>
        <v>0</v>
      </c>
      <c r="L455" s="150">
        <f t="shared" si="189"/>
        <v>0</v>
      </c>
      <c r="M455" s="150">
        <f t="shared" si="189"/>
        <v>0</v>
      </c>
      <c r="N455" s="150">
        <f t="shared" si="189"/>
        <v>0</v>
      </c>
      <c r="O455" s="150">
        <f t="shared" si="189"/>
        <v>0</v>
      </c>
      <c r="P455" s="150">
        <f t="shared" si="189"/>
        <v>0</v>
      </c>
      <c r="Q455" s="150">
        <f t="shared" si="189"/>
        <v>0</v>
      </c>
      <c r="R455" s="150">
        <f t="shared" si="189"/>
        <v>0</v>
      </c>
      <c r="S455" s="150">
        <f t="shared" si="189"/>
        <v>0</v>
      </c>
      <c r="T455" s="150">
        <f t="shared" si="189"/>
        <v>0</v>
      </c>
      <c r="U455" s="150">
        <f t="shared" si="189"/>
        <v>0</v>
      </c>
      <c r="V455" s="150">
        <f t="shared" si="189"/>
        <v>0</v>
      </c>
      <c r="W455" s="150">
        <f t="shared" si="189"/>
        <v>0</v>
      </c>
      <c r="X455" s="150">
        <f t="shared" si="189"/>
        <v>0</v>
      </c>
      <c r="Y455" s="150">
        <f t="shared" si="189"/>
        <v>0</v>
      </c>
      <c r="Z455" s="150">
        <f t="shared" si="189"/>
        <v>0</v>
      </c>
      <c r="AA455" s="150">
        <f t="shared" si="189"/>
        <v>0</v>
      </c>
      <c r="AB455" s="150">
        <f t="shared" si="189"/>
        <v>0</v>
      </c>
      <c r="AC455" s="150">
        <f t="shared" si="189"/>
        <v>0</v>
      </c>
      <c r="AD455" s="150">
        <f t="shared" si="189"/>
        <v>0</v>
      </c>
      <c r="AE455" s="150">
        <f t="shared" si="189"/>
        <v>0</v>
      </c>
      <c r="AF455" s="150">
        <f t="shared" si="189"/>
        <v>0</v>
      </c>
      <c r="AG455" s="150">
        <f t="shared" si="189"/>
        <v>0</v>
      </c>
      <c r="AH455" s="150">
        <f t="shared" si="189"/>
        <v>0</v>
      </c>
      <c r="AI455" s="150">
        <f t="shared" si="189"/>
        <v>0</v>
      </c>
      <c r="AJ455" s="150">
        <f t="shared" si="189"/>
        <v>0</v>
      </c>
      <c r="AK455" s="150">
        <f t="shared" si="189"/>
        <v>0</v>
      </c>
      <c r="AL455" s="150">
        <f t="shared" si="189"/>
        <v>0</v>
      </c>
      <c r="AM455" s="150">
        <f t="shared" si="189"/>
        <v>0</v>
      </c>
      <c r="AN455" s="150">
        <f t="shared" si="189"/>
        <v>0</v>
      </c>
      <c r="AO455" s="150">
        <f t="shared" si="189"/>
        <v>0</v>
      </c>
      <c r="AP455" s="150">
        <f t="shared" si="189"/>
        <v>0</v>
      </c>
    </row>
    <row r="456" spans="1:42" x14ac:dyDescent="0.2">
      <c r="A456" s="4">
        <f t="shared" si="186"/>
        <v>6</v>
      </c>
      <c r="C456" s="150">
        <f t="shared" ref="C456:AP456" si="190">C318</f>
        <v>0</v>
      </c>
      <c r="D456" s="150">
        <f t="shared" si="190"/>
        <v>0</v>
      </c>
      <c r="E456" s="150">
        <f t="shared" si="190"/>
        <v>0</v>
      </c>
      <c r="F456" s="150">
        <f t="shared" si="190"/>
        <v>0</v>
      </c>
      <c r="G456" s="150">
        <f t="shared" si="190"/>
        <v>0</v>
      </c>
      <c r="H456" s="150">
        <f t="shared" si="190"/>
        <v>0</v>
      </c>
      <c r="I456" s="150">
        <f t="shared" si="190"/>
        <v>0</v>
      </c>
      <c r="J456" s="150">
        <f t="shared" si="190"/>
        <v>0</v>
      </c>
      <c r="K456" s="150">
        <f t="shared" si="190"/>
        <v>0</v>
      </c>
      <c r="L456" s="150">
        <f t="shared" si="190"/>
        <v>0</v>
      </c>
      <c r="M456" s="150">
        <f t="shared" si="190"/>
        <v>0</v>
      </c>
      <c r="N456" s="150">
        <f t="shared" si="190"/>
        <v>0</v>
      </c>
      <c r="O456" s="150">
        <f t="shared" si="190"/>
        <v>0</v>
      </c>
      <c r="P456" s="150">
        <f t="shared" si="190"/>
        <v>0</v>
      </c>
      <c r="Q456" s="150">
        <f t="shared" si="190"/>
        <v>0</v>
      </c>
      <c r="R456" s="150">
        <f t="shared" si="190"/>
        <v>0</v>
      </c>
      <c r="S456" s="150">
        <f t="shared" si="190"/>
        <v>0</v>
      </c>
      <c r="T456" s="150">
        <f t="shared" si="190"/>
        <v>0</v>
      </c>
      <c r="U456" s="150">
        <f t="shared" si="190"/>
        <v>0</v>
      </c>
      <c r="V456" s="150">
        <f t="shared" si="190"/>
        <v>0</v>
      </c>
      <c r="W456" s="150">
        <f t="shared" si="190"/>
        <v>0</v>
      </c>
      <c r="X456" s="150">
        <f t="shared" si="190"/>
        <v>0</v>
      </c>
      <c r="Y456" s="150">
        <f t="shared" si="190"/>
        <v>0</v>
      </c>
      <c r="Z456" s="150">
        <f t="shared" si="190"/>
        <v>0</v>
      </c>
      <c r="AA456" s="150">
        <f t="shared" si="190"/>
        <v>0</v>
      </c>
      <c r="AB456" s="150">
        <f t="shared" si="190"/>
        <v>0</v>
      </c>
      <c r="AC456" s="150">
        <f t="shared" si="190"/>
        <v>0</v>
      </c>
      <c r="AD456" s="150">
        <f t="shared" si="190"/>
        <v>0</v>
      </c>
      <c r="AE456" s="150">
        <f t="shared" si="190"/>
        <v>0</v>
      </c>
      <c r="AF456" s="150">
        <f t="shared" si="190"/>
        <v>0</v>
      </c>
      <c r="AG456" s="150">
        <f t="shared" si="190"/>
        <v>0</v>
      </c>
      <c r="AH456" s="150">
        <f t="shared" si="190"/>
        <v>0</v>
      </c>
      <c r="AI456" s="150">
        <f t="shared" si="190"/>
        <v>0</v>
      </c>
      <c r="AJ456" s="150">
        <f t="shared" si="190"/>
        <v>0</v>
      </c>
      <c r="AK456" s="150">
        <f t="shared" si="190"/>
        <v>0</v>
      </c>
      <c r="AL456" s="150">
        <f t="shared" si="190"/>
        <v>0</v>
      </c>
      <c r="AM456" s="150">
        <f t="shared" si="190"/>
        <v>0</v>
      </c>
      <c r="AN456" s="150">
        <f t="shared" si="190"/>
        <v>0</v>
      </c>
      <c r="AO456" s="150">
        <f t="shared" si="190"/>
        <v>0</v>
      </c>
      <c r="AP456" s="150">
        <f t="shared" si="190"/>
        <v>0</v>
      </c>
    </row>
    <row r="457" spans="1:42" x14ac:dyDescent="0.2">
      <c r="A457" s="4">
        <f t="shared" si="186"/>
        <v>7</v>
      </c>
      <c r="C457" s="150">
        <f t="shared" ref="C457:AP457" si="191">C319</f>
        <v>0</v>
      </c>
      <c r="D457" s="150">
        <f t="shared" si="191"/>
        <v>0</v>
      </c>
      <c r="E457" s="150">
        <f t="shared" si="191"/>
        <v>0</v>
      </c>
      <c r="F457" s="150">
        <f t="shared" si="191"/>
        <v>0</v>
      </c>
      <c r="G457" s="150">
        <f t="shared" si="191"/>
        <v>0</v>
      </c>
      <c r="H457" s="150">
        <f t="shared" si="191"/>
        <v>0</v>
      </c>
      <c r="I457" s="150">
        <f t="shared" si="191"/>
        <v>0</v>
      </c>
      <c r="J457" s="150">
        <f t="shared" si="191"/>
        <v>0</v>
      </c>
      <c r="K457" s="150">
        <f t="shared" si="191"/>
        <v>0</v>
      </c>
      <c r="L457" s="150">
        <f t="shared" si="191"/>
        <v>0</v>
      </c>
      <c r="M457" s="150">
        <f t="shared" si="191"/>
        <v>0</v>
      </c>
      <c r="N457" s="150">
        <f t="shared" si="191"/>
        <v>0</v>
      </c>
      <c r="O457" s="150">
        <f t="shared" si="191"/>
        <v>0</v>
      </c>
      <c r="P457" s="150">
        <f t="shared" si="191"/>
        <v>0</v>
      </c>
      <c r="Q457" s="150">
        <f t="shared" si="191"/>
        <v>0</v>
      </c>
      <c r="R457" s="150">
        <f t="shared" si="191"/>
        <v>0</v>
      </c>
      <c r="S457" s="150">
        <f t="shared" si="191"/>
        <v>0</v>
      </c>
      <c r="T457" s="150">
        <f t="shared" si="191"/>
        <v>0</v>
      </c>
      <c r="U457" s="150">
        <f t="shared" si="191"/>
        <v>0</v>
      </c>
      <c r="V457" s="150">
        <f t="shared" si="191"/>
        <v>0</v>
      </c>
      <c r="W457" s="150">
        <f t="shared" si="191"/>
        <v>0</v>
      </c>
      <c r="X457" s="150">
        <f t="shared" si="191"/>
        <v>0</v>
      </c>
      <c r="Y457" s="150">
        <f t="shared" si="191"/>
        <v>0</v>
      </c>
      <c r="Z457" s="150">
        <f t="shared" si="191"/>
        <v>0</v>
      </c>
      <c r="AA457" s="150">
        <f t="shared" si="191"/>
        <v>0</v>
      </c>
      <c r="AB457" s="150">
        <f t="shared" si="191"/>
        <v>0</v>
      </c>
      <c r="AC457" s="150">
        <f t="shared" si="191"/>
        <v>0</v>
      </c>
      <c r="AD457" s="150">
        <f t="shared" si="191"/>
        <v>0</v>
      </c>
      <c r="AE457" s="150">
        <f t="shared" si="191"/>
        <v>0</v>
      </c>
      <c r="AF457" s="150">
        <f t="shared" si="191"/>
        <v>0</v>
      </c>
      <c r="AG457" s="150">
        <f t="shared" si="191"/>
        <v>0</v>
      </c>
      <c r="AH457" s="150">
        <f t="shared" si="191"/>
        <v>0</v>
      </c>
      <c r="AI457" s="150">
        <f t="shared" si="191"/>
        <v>0</v>
      </c>
      <c r="AJ457" s="150">
        <f t="shared" si="191"/>
        <v>0</v>
      </c>
      <c r="AK457" s="150">
        <f t="shared" si="191"/>
        <v>0</v>
      </c>
      <c r="AL457" s="150">
        <f t="shared" si="191"/>
        <v>0</v>
      </c>
      <c r="AM457" s="150">
        <f t="shared" si="191"/>
        <v>0</v>
      </c>
      <c r="AN457" s="150">
        <f t="shared" si="191"/>
        <v>0</v>
      </c>
      <c r="AO457" s="150">
        <f t="shared" si="191"/>
        <v>0</v>
      </c>
      <c r="AP457" s="150">
        <f t="shared" si="191"/>
        <v>0</v>
      </c>
    </row>
    <row r="458" spans="1:42" x14ac:dyDescent="0.2">
      <c r="A458" s="4">
        <f t="shared" si="186"/>
        <v>8</v>
      </c>
      <c r="C458" s="150">
        <f t="shared" ref="C458:AP458" si="192">C320</f>
        <v>0</v>
      </c>
      <c r="D458" s="150">
        <f t="shared" si="192"/>
        <v>0</v>
      </c>
      <c r="E458" s="150">
        <f t="shared" si="192"/>
        <v>0</v>
      </c>
      <c r="F458" s="150">
        <f t="shared" si="192"/>
        <v>0</v>
      </c>
      <c r="G458" s="150">
        <f t="shared" si="192"/>
        <v>0</v>
      </c>
      <c r="H458" s="150">
        <f t="shared" si="192"/>
        <v>0</v>
      </c>
      <c r="I458" s="150">
        <f t="shared" si="192"/>
        <v>0</v>
      </c>
      <c r="J458" s="150">
        <f t="shared" si="192"/>
        <v>0</v>
      </c>
      <c r="K458" s="150">
        <f t="shared" si="192"/>
        <v>0</v>
      </c>
      <c r="L458" s="150">
        <f t="shared" si="192"/>
        <v>0</v>
      </c>
      <c r="M458" s="150">
        <f t="shared" si="192"/>
        <v>0</v>
      </c>
      <c r="N458" s="150">
        <f t="shared" si="192"/>
        <v>0</v>
      </c>
      <c r="O458" s="150">
        <f t="shared" si="192"/>
        <v>0</v>
      </c>
      <c r="P458" s="150">
        <f t="shared" si="192"/>
        <v>0</v>
      </c>
      <c r="Q458" s="150">
        <f t="shared" si="192"/>
        <v>0</v>
      </c>
      <c r="R458" s="150">
        <f t="shared" si="192"/>
        <v>0</v>
      </c>
      <c r="S458" s="150">
        <f t="shared" si="192"/>
        <v>0</v>
      </c>
      <c r="T458" s="150">
        <f t="shared" si="192"/>
        <v>0</v>
      </c>
      <c r="U458" s="150">
        <f t="shared" si="192"/>
        <v>0</v>
      </c>
      <c r="V458" s="150">
        <f t="shared" si="192"/>
        <v>0</v>
      </c>
      <c r="W458" s="150">
        <f t="shared" si="192"/>
        <v>0</v>
      </c>
      <c r="X458" s="150">
        <f t="shared" si="192"/>
        <v>0</v>
      </c>
      <c r="Y458" s="150">
        <f t="shared" si="192"/>
        <v>0</v>
      </c>
      <c r="Z458" s="150">
        <f t="shared" si="192"/>
        <v>0</v>
      </c>
      <c r="AA458" s="150">
        <f t="shared" si="192"/>
        <v>0</v>
      </c>
      <c r="AB458" s="150">
        <f t="shared" si="192"/>
        <v>0</v>
      </c>
      <c r="AC458" s="150">
        <f t="shared" si="192"/>
        <v>0</v>
      </c>
      <c r="AD458" s="150">
        <f t="shared" si="192"/>
        <v>0</v>
      </c>
      <c r="AE458" s="150">
        <f t="shared" si="192"/>
        <v>0</v>
      </c>
      <c r="AF458" s="150">
        <f t="shared" si="192"/>
        <v>0</v>
      </c>
      <c r="AG458" s="150">
        <f t="shared" si="192"/>
        <v>0</v>
      </c>
      <c r="AH458" s="150">
        <f t="shared" si="192"/>
        <v>0</v>
      </c>
      <c r="AI458" s="150">
        <f t="shared" si="192"/>
        <v>0</v>
      </c>
      <c r="AJ458" s="150">
        <f t="shared" si="192"/>
        <v>0</v>
      </c>
      <c r="AK458" s="150">
        <f t="shared" si="192"/>
        <v>0</v>
      </c>
      <c r="AL458" s="150">
        <f t="shared" si="192"/>
        <v>0</v>
      </c>
      <c r="AM458" s="150">
        <f t="shared" si="192"/>
        <v>0</v>
      </c>
      <c r="AN458" s="150">
        <f t="shared" si="192"/>
        <v>0</v>
      </c>
      <c r="AO458" s="150">
        <f t="shared" si="192"/>
        <v>0</v>
      </c>
      <c r="AP458" s="150">
        <f t="shared" si="192"/>
        <v>0</v>
      </c>
    </row>
    <row r="459" spans="1:42" x14ac:dyDescent="0.2">
      <c r="A459" s="4">
        <f>A458+1</f>
        <v>9</v>
      </c>
      <c r="C459" s="150">
        <f t="shared" ref="C459:AP459" si="193">C321</f>
        <v>0</v>
      </c>
      <c r="D459" s="150">
        <f t="shared" si="193"/>
        <v>0</v>
      </c>
      <c r="E459" s="150">
        <f t="shared" si="193"/>
        <v>0</v>
      </c>
      <c r="F459" s="150">
        <f t="shared" si="193"/>
        <v>0</v>
      </c>
      <c r="G459" s="150">
        <f t="shared" si="193"/>
        <v>0</v>
      </c>
      <c r="H459" s="150">
        <f t="shared" si="193"/>
        <v>0</v>
      </c>
      <c r="I459" s="150">
        <f t="shared" si="193"/>
        <v>0</v>
      </c>
      <c r="J459" s="150">
        <f t="shared" si="193"/>
        <v>0</v>
      </c>
      <c r="K459" s="150">
        <f t="shared" si="193"/>
        <v>0</v>
      </c>
      <c r="L459" s="150">
        <f t="shared" si="193"/>
        <v>0</v>
      </c>
      <c r="M459" s="150">
        <f t="shared" si="193"/>
        <v>0</v>
      </c>
      <c r="N459" s="150">
        <f t="shared" si="193"/>
        <v>0</v>
      </c>
      <c r="O459" s="150">
        <f t="shared" si="193"/>
        <v>0</v>
      </c>
      <c r="P459" s="150">
        <f t="shared" si="193"/>
        <v>0</v>
      </c>
      <c r="Q459" s="150">
        <f t="shared" si="193"/>
        <v>0</v>
      </c>
      <c r="R459" s="150">
        <f t="shared" si="193"/>
        <v>0</v>
      </c>
      <c r="S459" s="150">
        <f t="shared" si="193"/>
        <v>0</v>
      </c>
      <c r="T459" s="150">
        <f t="shared" si="193"/>
        <v>0</v>
      </c>
      <c r="U459" s="150">
        <f t="shared" si="193"/>
        <v>0</v>
      </c>
      <c r="V459" s="150">
        <f t="shared" si="193"/>
        <v>0</v>
      </c>
      <c r="W459" s="150">
        <f t="shared" si="193"/>
        <v>0</v>
      </c>
      <c r="X459" s="150">
        <f t="shared" si="193"/>
        <v>0</v>
      </c>
      <c r="Y459" s="150">
        <f t="shared" si="193"/>
        <v>0</v>
      </c>
      <c r="Z459" s="150">
        <f t="shared" si="193"/>
        <v>0</v>
      </c>
      <c r="AA459" s="150">
        <f t="shared" si="193"/>
        <v>0</v>
      </c>
      <c r="AB459" s="150">
        <f t="shared" si="193"/>
        <v>0</v>
      </c>
      <c r="AC459" s="150">
        <f t="shared" si="193"/>
        <v>0</v>
      </c>
      <c r="AD459" s="150">
        <f t="shared" si="193"/>
        <v>0</v>
      </c>
      <c r="AE459" s="150">
        <f t="shared" si="193"/>
        <v>0</v>
      </c>
      <c r="AF459" s="150">
        <f t="shared" si="193"/>
        <v>0</v>
      </c>
      <c r="AG459" s="150">
        <f t="shared" si="193"/>
        <v>0</v>
      </c>
      <c r="AH459" s="150">
        <f t="shared" si="193"/>
        <v>0</v>
      </c>
      <c r="AI459" s="150">
        <f t="shared" si="193"/>
        <v>0</v>
      </c>
      <c r="AJ459" s="150">
        <f t="shared" si="193"/>
        <v>0</v>
      </c>
      <c r="AK459" s="150">
        <f t="shared" si="193"/>
        <v>0</v>
      </c>
      <c r="AL459" s="150">
        <f t="shared" si="193"/>
        <v>0</v>
      </c>
      <c r="AM459" s="150">
        <f t="shared" si="193"/>
        <v>0</v>
      </c>
      <c r="AN459" s="150">
        <f t="shared" si="193"/>
        <v>0</v>
      </c>
      <c r="AO459" s="150">
        <f t="shared" si="193"/>
        <v>0</v>
      </c>
      <c r="AP459" s="150">
        <f t="shared" si="193"/>
        <v>0</v>
      </c>
    </row>
    <row r="460" spans="1:42" x14ac:dyDescent="0.2">
      <c r="A460" s="4">
        <f t="shared" ref="A460" si="194">A459+1</f>
        <v>10</v>
      </c>
      <c r="C460" s="150">
        <f t="shared" ref="C460:AP460" si="195">C322</f>
        <v>0</v>
      </c>
      <c r="D460" s="150">
        <f t="shared" si="195"/>
        <v>0</v>
      </c>
      <c r="E460" s="150">
        <f t="shared" si="195"/>
        <v>0</v>
      </c>
      <c r="F460" s="150">
        <f t="shared" si="195"/>
        <v>0</v>
      </c>
      <c r="G460" s="150">
        <f t="shared" si="195"/>
        <v>0</v>
      </c>
      <c r="H460" s="150">
        <f t="shared" si="195"/>
        <v>0</v>
      </c>
      <c r="I460" s="150">
        <f t="shared" si="195"/>
        <v>0</v>
      </c>
      <c r="J460" s="150">
        <f t="shared" si="195"/>
        <v>0</v>
      </c>
      <c r="K460" s="150">
        <f t="shared" si="195"/>
        <v>0</v>
      </c>
      <c r="L460" s="150">
        <f t="shared" si="195"/>
        <v>0</v>
      </c>
      <c r="M460" s="150">
        <f t="shared" si="195"/>
        <v>0</v>
      </c>
      <c r="N460" s="150">
        <f t="shared" si="195"/>
        <v>0</v>
      </c>
      <c r="O460" s="150">
        <f t="shared" si="195"/>
        <v>0</v>
      </c>
      <c r="P460" s="150">
        <f t="shared" si="195"/>
        <v>0</v>
      </c>
      <c r="Q460" s="150">
        <f t="shared" si="195"/>
        <v>0</v>
      </c>
      <c r="R460" s="150">
        <f t="shared" si="195"/>
        <v>0</v>
      </c>
      <c r="S460" s="150">
        <f t="shared" si="195"/>
        <v>0</v>
      </c>
      <c r="T460" s="150">
        <f t="shared" si="195"/>
        <v>0</v>
      </c>
      <c r="U460" s="150">
        <f t="shared" si="195"/>
        <v>0</v>
      </c>
      <c r="V460" s="150">
        <f t="shared" si="195"/>
        <v>0</v>
      </c>
      <c r="W460" s="150">
        <f t="shared" si="195"/>
        <v>0</v>
      </c>
      <c r="X460" s="150">
        <f t="shared" si="195"/>
        <v>0</v>
      </c>
      <c r="Y460" s="150">
        <f t="shared" si="195"/>
        <v>0</v>
      </c>
      <c r="Z460" s="150">
        <f t="shared" si="195"/>
        <v>0</v>
      </c>
      <c r="AA460" s="150">
        <f t="shared" si="195"/>
        <v>0</v>
      </c>
      <c r="AB460" s="150">
        <f t="shared" si="195"/>
        <v>0</v>
      </c>
      <c r="AC460" s="150">
        <f t="shared" si="195"/>
        <v>0</v>
      </c>
      <c r="AD460" s="150">
        <f t="shared" si="195"/>
        <v>0</v>
      </c>
      <c r="AE460" s="150">
        <f t="shared" si="195"/>
        <v>0</v>
      </c>
      <c r="AF460" s="150">
        <f t="shared" si="195"/>
        <v>0</v>
      </c>
      <c r="AG460" s="150">
        <f t="shared" si="195"/>
        <v>0</v>
      </c>
      <c r="AH460" s="150">
        <f t="shared" si="195"/>
        <v>0</v>
      </c>
      <c r="AI460" s="150">
        <f t="shared" si="195"/>
        <v>0</v>
      </c>
      <c r="AJ460" s="150">
        <f t="shared" si="195"/>
        <v>0</v>
      </c>
      <c r="AK460" s="150">
        <f t="shared" si="195"/>
        <v>0</v>
      </c>
      <c r="AL460" s="150">
        <f t="shared" si="195"/>
        <v>0</v>
      </c>
      <c r="AM460" s="150">
        <f t="shared" si="195"/>
        <v>0</v>
      </c>
      <c r="AN460" s="150">
        <f t="shared" si="195"/>
        <v>0</v>
      </c>
      <c r="AO460" s="150">
        <f t="shared" si="195"/>
        <v>0</v>
      </c>
      <c r="AP460" s="150">
        <f t="shared" si="195"/>
        <v>0</v>
      </c>
    </row>
    <row r="461" spans="1:42" x14ac:dyDescent="0.2">
      <c r="A461" s="21"/>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row>
    <row r="462" spans="1:42" x14ac:dyDescent="0.2">
      <c r="A462" s="87" t="s">
        <v>63</v>
      </c>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row>
    <row r="463" spans="1:42" x14ac:dyDescent="0.2">
      <c r="A463" s="4">
        <v>1</v>
      </c>
      <c r="B463" s="173">
        <f t="shared" ref="B463:B472" si="196">SUM(C463:AP463)</f>
        <v>0</v>
      </c>
      <c r="C463" s="150">
        <f t="shared" ref="C463:AP463" si="197">LOOKUP(C451,$B$446:$AP$446,$B$447:$AP$447)*$B650/100</f>
        <v>0</v>
      </c>
      <c r="D463" s="150">
        <f t="shared" si="197"/>
        <v>0</v>
      </c>
      <c r="E463" s="150">
        <f t="shared" si="197"/>
        <v>0</v>
      </c>
      <c r="F463" s="150">
        <f t="shared" si="197"/>
        <v>0</v>
      </c>
      <c r="G463" s="150">
        <f t="shared" si="197"/>
        <v>0</v>
      </c>
      <c r="H463" s="150">
        <f t="shared" si="197"/>
        <v>0</v>
      </c>
      <c r="I463" s="150">
        <f t="shared" si="197"/>
        <v>0</v>
      </c>
      <c r="J463" s="150">
        <f t="shared" si="197"/>
        <v>0</v>
      </c>
      <c r="K463" s="150">
        <f t="shared" si="197"/>
        <v>0</v>
      </c>
      <c r="L463" s="150">
        <f t="shared" si="197"/>
        <v>0</v>
      </c>
      <c r="M463" s="150">
        <f t="shared" si="197"/>
        <v>0</v>
      </c>
      <c r="N463" s="150">
        <f t="shared" si="197"/>
        <v>0</v>
      </c>
      <c r="O463" s="150">
        <f t="shared" si="197"/>
        <v>0</v>
      </c>
      <c r="P463" s="150">
        <f t="shared" si="197"/>
        <v>0</v>
      </c>
      <c r="Q463" s="150">
        <f t="shared" si="197"/>
        <v>0</v>
      </c>
      <c r="R463" s="150">
        <f t="shared" si="197"/>
        <v>0</v>
      </c>
      <c r="S463" s="150">
        <f t="shared" si="197"/>
        <v>0</v>
      </c>
      <c r="T463" s="150">
        <f t="shared" si="197"/>
        <v>0</v>
      </c>
      <c r="U463" s="150">
        <f t="shared" si="197"/>
        <v>0</v>
      </c>
      <c r="V463" s="150">
        <f t="shared" si="197"/>
        <v>0</v>
      </c>
      <c r="W463" s="150">
        <f t="shared" si="197"/>
        <v>0</v>
      </c>
      <c r="X463" s="150">
        <f t="shared" si="197"/>
        <v>0</v>
      </c>
      <c r="Y463" s="150">
        <f t="shared" si="197"/>
        <v>0</v>
      </c>
      <c r="Z463" s="150">
        <f t="shared" si="197"/>
        <v>0</v>
      </c>
      <c r="AA463" s="150">
        <f t="shared" si="197"/>
        <v>0</v>
      </c>
      <c r="AB463" s="150">
        <f t="shared" si="197"/>
        <v>0</v>
      </c>
      <c r="AC463" s="150">
        <f t="shared" si="197"/>
        <v>0</v>
      </c>
      <c r="AD463" s="150">
        <f t="shared" si="197"/>
        <v>0</v>
      </c>
      <c r="AE463" s="150">
        <f t="shared" si="197"/>
        <v>0</v>
      </c>
      <c r="AF463" s="150">
        <f t="shared" si="197"/>
        <v>0</v>
      </c>
      <c r="AG463" s="150">
        <f t="shared" si="197"/>
        <v>0</v>
      </c>
      <c r="AH463" s="150">
        <f t="shared" si="197"/>
        <v>0</v>
      </c>
      <c r="AI463" s="150">
        <f t="shared" si="197"/>
        <v>0</v>
      </c>
      <c r="AJ463" s="150">
        <f t="shared" si="197"/>
        <v>0</v>
      </c>
      <c r="AK463" s="150">
        <f t="shared" si="197"/>
        <v>0</v>
      </c>
      <c r="AL463" s="150">
        <f t="shared" si="197"/>
        <v>0</v>
      </c>
      <c r="AM463" s="150">
        <f t="shared" si="197"/>
        <v>0</v>
      </c>
      <c r="AN463" s="150">
        <f t="shared" si="197"/>
        <v>0</v>
      </c>
      <c r="AO463" s="150">
        <f t="shared" si="197"/>
        <v>0</v>
      </c>
      <c r="AP463" s="150">
        <f t="shared" si="197"/>
        <v>0</v>
      </c>
    </row>
    <row r="464" spans="1:42" x14ac:dyDescent="0.2">
      <c r="A464" s="4">
        <f>A463+1</f>
        <v>2</v>
      </c>
      <c r="B464" s="173">
        <f t="shared" si="196"/>
        <v>0</v>
      </c>
      <c r="C464" s="150">
        <f t="shared" ref="C464:AP464" si="198">LOOKUP(C452,$B$446:$AP$446,$B$447:$AP$447)*$B651/100</f>
        <v>0</v>
      </c>
      <c r="D464" s="150">
        <f t="shared" si="198"/>
        <v>0</v>
      </c>
      <c r="E464" s="150">
        <f t="shared" si="198"/>
        <v>0</v>
      </c>
      <c r="F464" s="150">
        <f t="shared" si="198"/>
        <v>0</v>
      </c>
      <c r="G464" s="150">
        <f t="shared" si="198"/>
        <v>0</v>
      </c>
      <c r="H464" s="150">
        <f t="shared" si="198"/>
        <v>0</v>
      </c>
      <c r="I464" s="150">
        <f t="shared" si="198"/>
        <v>0</v>
      </c>
      <c r="J464" s="150">
        <f t="shared" si="198"/>
        <v>0</v>
      </c>
      <c r="K464" s="150">
        <f t="shared" si="198"/>
        <v>0</v>
      </c>
      <c r="L464" s="150">
        <f t="shared" si="198"/>
        <v>0</v>
      </c>
      <c r="M464" s="150">
        <f t="shared" si="198"/>
        <v>0</v>
      </c>
      <c r="N464" s="150">
        <f t="shared" si="198"/>
        <v>0</v>
      </c>
      <c r="O464" s="150">
        <f t="shared" si="198"/>
        <v>0</v>
      </c>
      <c r="P464" s="150">
        <f t="shared" si="198"/>
        <v>0</v>
      </c>
      <c r="Q464" s="150">
        <f t="shared" si="198"/>
        <v>0</v>
      </c>
      <c r="R464" s="150">
        <f t="shared" si="198"/>
        <v>0</v>
      </c>
      <c r="S464" s="150">
        <f t="shared" si="198"/>
        <v>0</v>
      </c>
      <c r="T464" s="150">
        <f t="shared" si="198"/>
        <v>0</v>
      </c>
      <c r="U464" s="150">
        <f t="shared" si="198"/>
        <v>0</v>
      </c>
      <c r="V464" s="150">
        <f t="shared" si="198"/>
        <v>0</v>
      </c>
      <c r="W464" s="150">
        <f t="shared" si="198"/>
        <v>0</v>
      </c>
      <c r="X464" s="150">
        <f t="shared" si="198"/>
        <v>0</v>
      </c>
      <c r="Y464" s="150">
        <f t="shared" si="198"/>
        <v>0</v>
      </c>
      <c r="Z464" s="150">
        <f t="shared" si="198"/>
        <v>0</v>
      </c>
      <c r="AA464" s="150">
        <f t="shared" si="198"/>
        <v>0</v>
      </c>
      <c r="AB464" s="150">
        <f t="shared" si="198"/>
        <v>0</v>
      </c>
      <c r="AC464" s="150">
        <f t="shared" si="198"/>
        <v>0</v>
      </c>
      <c r="AD464" s="150">
        <f t="shared" si="198"/>
        <v>0</v>
      </c>
      <c r="AE464" s="150">
        <f t="shared" si="198"/>
        <v>0</v>
      </c>
      <c r="AF464" s="150">
        <f t="shared" si="198"/>
        <v>0</v>
      </c>
      <c r="AG464" s="150">
        <f t="shared" si="198"/>
        <v>0</v>
      </c>
      <c r="AH464" s="150">
        <f t="shared" si="198"/>
        <v>0</v>
      </c>
      <c r="AI464" s="150">
        <f t="shared" si="198"/>
        <v>0</v>
      </c>
      <c r="AJ464" s="150">
        <f t="shared" si="198"/>
        <v>0</v>
      </c>
      <c r="AK464" s="150">
        <f t="shared" si="198"/>
        <v>0</v>
      </c>
      <c r="AL464" s="150">
        <f t="shared" si="198"/>
        <v>0</v>
      </c>
      <c r="AM464" s="150">
        <f t="shared" si="198"/>
        <v>0</v>
      </c>
      <c r="AN464" s="150">
        <f t="shared" si="198"/>
        <v>0</v>
      </c>
      <c r="AO464" s="150">
        <f t="shared" si="198"/>
        <v>0</v>
      </c>
      <c r="AP464" s="150">
        <f t="shared" si="198"/>
        <v>0</v>
      </c>
    </row>
    <row r="465" spans="1:42" x14ac:dyDescent="0.2">
      <c r="A465" s="4">
        <f t="shared" ref="A465:A470" si="199">A464+1</f>
        <v>3</v>
      </c>
      <c r="B465" s="173">
        <f t="shared" si="196"/>
        <v>0</v>
      </c>
      <c r="C465" s="150">
        <f t="shared" ref="C465:AP465" si="200">LOOKUP(C453,$B$446:$AP$446,$B$447:$AP$447)*$B652/100</f>
        <v>0</v>
      </c>
      <c r="D465" s="150">
        <f t="shared" si="200"/>
        <v>0</v>
      </c>
      <c r="E465" s="150">
        <f t="shared" si="200"/>
        <v>0</v>
      </c>
      <c r="F465" s="150">
        <f t="shared" si="200"/>
        <v>0</v>
      </c>
      <c r="G465" s="150">
        <f t="shared" si="200"/>
        <v>0</v>
      </c>
      <c r="H465" s="150">
        <f t="shared" si="200"/>
        <v>0</v>
      </c>
      <c r="I465" s="150">
        <f t="shared" si="200"/>
        <v>0</v>
      </c>
      <c r="J465" s="150">
        <f t="shared" si="200"/>
        <v>0</v>
      </c>
      <c r="K465" s="150">
        <f t="shared" si="200"/>
        <v>0</v>
      </c>
      <c r="L465" s="150">
        <f t="shared" si="200"/>
        <v>0</v>
      </c>
      <c r="M465" s="150">
        <f t="shared" si="200"/>
        <v>0</v>
      </c>
      <c r="N465" s="150">
        <f t="shared" si="200"/>
        <v>0</v>
      </c>
      <c r="O465" s="150">
        <f t="shared" si="200"/>
        <v>0</v>
      </c>
      <c r="P465" s="150">
        <f t="shared" si="200"/>
        <v>0</v>
      </c>
      <c r="Q465" s="150">
        <f t="shared" si="200"/>
        <v>0</v>
      </c>
      <c r="R465" s="150">
        <f t="shared" si="200"/>
        <v>0</v>
      </c>
      <c r="S465" s="150">
        <f t="shared" si="200"/>
        <v>0</v>
      </c>
      <c r="T465" s="150">
        <f t="shared" si="200"/>
        <v>0</v>
      </c>
      <c r="U465" s="150">
        <f t="shared" si="200"/>
        <v>0</v>
      </c>
      <c r="V465" s="150">
        <f t="shared" si="200"/>
        <v>0</v>
      </c>
      <c r="W465" s="150">
        <f t="shared" si="200"/>
        <v>0</v>
      </c>
      <c r="X465" s="150">
        <f t="shared" si="200"/>
        <v>0</v>
      </c>
      <c r="Y465" s="150">
        <f t="shared" si="200"/>
        <v>0</v>
      </c>
      <c r="Z465" s="150">
        <f t="shared" si="200"/>
        <v>0</v>
      </c>
      <c r="AA465" s="150">
        <f t="shared" si="200"/>
        <v>0</v>
      </c>
      <c r="AB465" s="150">
        <f t="shared" si="200"/>
        <v>0</v>
      </c>
      <c r="AC465" s="150">
        <f t="shared" si="200"/>
        <v>0</v>
      </c>
      <c r="AD465" s="150">
        <f t="shared" si="200"/>
        <v>0</v>
      </c>
      <c r="AE465" s="150">
        <f t="shared" si="200"/>
        <v>0</v>
      </c>
      <c r="AF465" s="150">
        <f t="shared" si="200"/>
        <v>0</v>
      </c>
      <c r="AG465" s="150">
        <f t="shared" si="200"/>
        <v>0</v>
      </c>
      <c r="AH465" s="150">
        <f t="shared" si="200"/>
        <v>0</v>
      </c>
      <c r="AI465" s="150">
        <f t="shared" si="200"/>
        <v>0</v>
      </c>
      <c r="AJ465" s="150">
        <f t="shared" si="200"/>
        <v>0</v>
      </c>
      <c r="AK465" s="150">
        <f t="shared" si="200"/>
        <v>0</v>
      </c>
      <c r="AL465" s="150">
        <f t="shared" si="200"/>
        <v>0</v>
      </c>
      <c r="AM465" s="150">
        <f t="shared" si="200"/>
        <v>0</v>
      </c>
      <c r="AN465" s="150">
        <f t="shared" si="200"/>
        <v>0</v>
      </c>
      <c r="AO465" s="150">
        <f t="shared" si="200"/>
        <v>0</v>
      </c>
      <c r="AP465" s="150">
        <f t="shared" si="200"/>
        <v>0</v>
      </c>
    </row>
    <row r="466" spans="1:42" x14ac:dyDescent="0.2">
      <c r="A466" s="4">
        <f t="shared" si="199"/>
        <v>4</v>
      </c>
      <c r="B466" s="173">
        <f t="shared" si="196"/>
        <v>0</v>
      </c>
      <c r="C466" s="150">
        <f t="shared" ref="C466:AP466" si="201">LOOKUP(C454,$B$446:$AP$446,$B$447:$AP$447)*$B653/100</f>
        <v>0</v>
      </c>
      <c r="D466" s="150">
        <f t="shared" si="201"/>
        <v>0</v>
      </c>
      <c r="E466" s="150">
        <f t="shared" si="201"/>
        <v>0</v>
      </c>
      <c r="F466" s="150">
        <f t="shared" si="201"/>
        <v>0</v>
      </c>
      <c r="G466" s="150">
        <f t="shared" si="201"/>
        <v>0</v>
      </c>
      <c r="H466" s="150">
        <f t="shared" si="201"/>
        <v>0</v>
      </c>
      <c r="I466" s="150">
        <f t="shared" si="201"/>
        <v>0</v>
      </c>
      <c r="J466" s="150">
        <f t="shared" si="201"/>
        <v>0</v>
      </c>
      <c r="K466" s="150">
        <f t="shared" si="201"/>
        <v>0</v>
      </c>
      <c r="L466" s="150">
        <f t="shared" si="201"/>
        <v>0</v>
      </c>
      <c r="M466" s="150">
        <f t="shared" si="201"/>
        <v>0</v>
      </c>
      <c r="N466" s="150">
        <f t="shared" si="201"/>
        <v>0</v>
      </c>
      <c r="O466" s="150">
        <f t="shared" si="201"/>
        <v>0</v>
      </c>
      <c r="P466" s="150">
        <f t="shared" si="201"/>
        <v>0</v>
      </c>
      <c r="Q466" s="150">
        <f t="shared" si="201"/>
        <v>0</v>
      </c>
      <c r="R466" s="150">
        <f t="shared" si="201"/>
        <v>0</v>
      </c>
      <c r="S466" s="150">
        <f t="shared" si="201"/>
        <v>0</v>
      </c>
      <c r="T466" s="150">
        <f t="shared" si="201"/>
        <v>0</v>
      </c>
      <c r="U466" s="150">
        <f t="shared" si="201"/>
        <v>0</v>
      </c>
      <c r="V466" s="150">
        <f t="shared" si="201"/>
        <v>0</v>
      </c>
      <c r="W466" s="150">
        <f t="shared" si="201"/>
        <v>0</v>
      </c>
      <c r="X466" s="150">
        <f t="shared" si="201"/>
        <v>0</v>
      </c>
      <c r="Y466" s="150">
        <f t="shared" si="201"/>
        <v>0</v>
      </c>
      <c r="Z466" s="150">
        <f t="shared" si="201"/>
        <v>0</v>
      </c>
      <c r="AA466" s="150">
        <f t="shared" si="201"/>
        <v>0</v>
      </c>
      <c r="AB466" s="150">
        <f t="shared" si="201"/>
        <v>0</v>
      </c>
      <c r="AC466" s="150">
        <f t="shared" si="201"/>
        <v>0</v>
      </c>
      <c r="AD466" s="150">
        <f t="shared" si="201"/>
        <v>0</v>
      </c>
      <c r="AE466" s="150">
        <f t="shared" si="201"/>
        <v>0</v>
      </c>
      <c r="AF466" s="150">
        <f t="shared" si="201"/>
        <v>0</v>
      </c>
      <c r="AG466" s="150">
        <f t="shared" si="201"/>
        <v>0</v>
      </c>
      <c r="AH466" s="150">
        <f t="shared" si="201"/>
        <v>0</v>
      </c>
      <c r="AI466" s="150">
        <f t="shared" si="201"/>
        <v>0</v>
      </c>
      <c r="AJ466" s="150">
        <f t="shared" si="201"/>
        <v>0</v>
      </c>
      <c r="AK466" s="150">
        <f t="shared" si="201"/>
        <v>0</v>
      </c>
      <c r="AL466" s="150">
        <f t="shared" si="201"/>
        <v>0</v>
      </c>
      <c r="AM466" s="150">
        <f t="shared" si="201"/>
        <v>0</v>
      </c>
      <c r="AN466" s="150">
        <f t="shared" si="201"/>
        <v>0</v>
      </c>
      <c r="AO466" s="150">
        <f t="shared" si="201"/>
        <v>0</v>
      </c>
      <c r="AP466" s="150">
        <f t="shared" si="201"/>
        <v>0</v>
      </c>
    </row>
    <row r="467" spans="1:42" x14ac:dyDescent="0.2">
      <c r="A467" s="4">
        <f t="shared" si="199"/>
        <v>5</v>
      </c>
      <c r="B467" s="173">
        <f t="shared" si="196"/>
        <v>0</v>
      </c>
      <c r="C467" s="150">
        <f t="shared" ref="C467:AP467" si="202">LOOKUP(C455,$B$446:$AP$446,$B$447:$AP$447)*$B654/100</f>
        <v>0</v>
      </c>
      <c r="D467" s="150">
        <f t="shared" si="202"/>
        <v>0</v>
      </c>
      <c r="E467" s="150">
        <f t="shared" si="202"/>
        <v>0</v>
      </c>
      <c r="F467" s="150">
        <f t="shared" si="202"/>
        <v>0</v>
      </c>
      <c r="G467" s="150">
        <f t="shared" si="202"/>
        <v>0</v>
      </c>
      <c r="H467" s="150">
        <f t="shared" si="202"/>
        <v>0</v>
      </c>
      <c r="I467" s="150">
        <f t="shared" si="202"/>
        <v>0</v>
      </c>
      <c r="J467" s="150">
        <f t="shared" si="202"/>
        <v>0</v>
      </c>
      <c r="K467" s="150">
        <f t="shared" si="202"/>
        <v>0</v>
      </c>
      <c r="L467" s="150">
        <f t="shared" si="202"/>
        <v>0</v>
      </c>
      <c r="M467" s="150">
        <f t="shared" si="202"/>
        <v>0</v>
      </c>
      <c r="N467" s="150">
        <f t="shared" si="202"/>
        <v>0</v>
      </c>
      <c r="O467" s="150">
        <f t="shared" si="202"/>
        <v>0</v>
      </c>
      <c r="P467" s="150">
        <f t="shared" si="202"/>
        <v>0</v>
      </c>
      <c r="Q467" s="150">
        <f t="shared" si="202"/>
        <v>0</v>
      </c>
      <c r="R467" s="150">
        <f t="shared" si="202"/>
        <v>0</v>
      </c>
      <c r="S467" s="150">
        <f t="shared" si="202"/>
        <v>0</v>
      </c>
      <c r="T467" s="150">
        <f t="shared" si="202"/>
        <v>0</v>
      </c>
      <c r="U467" s="150">
        <f t="shared" si="202"/>
        <v>0</v>
      </c>
      <c r="V467" s="150">
        <f t="shared" si="202"/>
        <v>0</v>
      </c>
      <c r="W467" s="150">
        <f t="shared" si="202"/>
        <v>0</v>
      </c>
      <c r="X467" s="150">
        <f t="shared" si="202"/>
        <v>0</v>
      </c>
      <c r="Y467" s="150">
        <f t="shared" si="202"/>
        <v>0</v>
      </c>
      <c r="Z467" s="150">
        <f t="shared" si="202"/>
        <v>0</v>
      </c>
      <c r="AA467" s="150">
        <f t="shared" si="202"/>
        <v>0</v>
      </c>
      <c r="AB467" s="150">
        <f t="shared" si="202"/>
        <v>0</v>
      </c>
      <c r="AC467" s="150">
        <f t="shared" si="202"/>
        <v>0</v>
      </c>
      <c r="AD467" s="150">
        <f t="shared" si="202"/>
        <v>0</v>
      </c>
      <c r="AE467" s="150">
        <f t="shared" si="202"/>
        <v>0</v>
      </c>
      <c r="AF467" s="150">
        <f t="shared" si="202"/>
        <v>0</v>
      </c>
      <c r="AG467" s="150">
        <f t="shared" si="202"/>
        <v>0</v>
      </c>
      <c r="AH467" s="150">
        <f t="shared" si="202"/>
        <v>0</v>
      </c>
      <c r="AI467" s="150">
        <f t="shared" si="202"/>
        <v>0</v>
      </c>
      <c r="AJ467" s="150">
        <f t="shared" si="202"/>
        <v>0</v>
      </c>
      <c r="AK467" s="150">
        <f t="shared" si="202"/>
        <v>0</v>
      </c>
      <c r="AL467" s="150">
        <f t="shared" si="202"/>
        <v>0</v>
      </c>
      <c r="AM467" s="150">
        <f t="shared" si="202"/>
        <v>0</v>
      </c>
      <c r="AN467" s="150">
        <f t="shared" si="202"/>
        <v>0</v>
      </c>
      <c r="AO467" s="150">
        <f t="shared" si="202"/>
        <v>0</v>
      </c>
      <c r="AP467" s="150">
        <f t="shared" si="202"/>
        <v>0</v>
      </c>
    </row>
    <row r="468" spans="1:42" x14ac:dyDescent="0.2">
      <c r="A468" s="4">
        <f t="shared" si="199"/>
        <v>6</v>
      </c>
      <c r="B468" s="173">
        <f t="shared" si="196"/>
        <v>0</v>
      </c>
      <c r="C468" s="150">
        <f t="shared" ref="C468:AP468" si="203">LOOKUP(C456,$B$446:$AP$446,$B$447:$AP$447)*$B655/100</f>
        <v>0</v>
      </c>
      <c r="D468" s="150">
        <f t="shared" si="203"/>
        <v>0</v>
      </c>
      <c r="E468" s="150">
        <f t="shared" si="203"/>
        <v>0</v>
      </c>
      <c r="F468" s="150">
        <f t="shared" si="203"/>
        <v>0</v>
      </c>
      <c r="G468" s="150">
        <f t="shared" si="203"/>
        <v>0</v>
      </c>
      <c r="H468" s="150">
        <f t="shared" si="203"/>
        <v>0</v>
      </c>
      <c r="I468" s="150">
        <f t="shared" si="203"/>
        <v>0</v>
      </c>
      <c r="J468" s="150">
        <f t="shared" si="203"/>
        <v>0</v>
      </c>
      <c r="K468" s="150">
        <f t="shared" si="203"/>
        <v>0</v>
      </c>
      <c r="L468" s="150">
        <f t="shared" si="203"/>
        <v>0</v>
      </c>
      <c r="M468" s="150">
        <f t="shared" si="203"/>
        <v>0</v>
      </c>
      <c r="N468" s="150">
        <f t="shared" si="203"/>
        <v>0</v>
      </c>
      <c r="O468" s="150">
        <f t="shared" si="203"/>
        <v>0</v>
      </c>
      <c r="P468" s="150">
        <f t="shared" si="203"/>
        <v>0</v>
      </c>
      <c r="Q468" s="150">
        <f t="shared" si="203"/>
        <v>0</v>
      </c>
      <c r="R468" s="150">
        <f t="shared" si="203"/>
        <v>0</v>
      </c>
      <c r="S468" s="150">
        <f t="shared" si="203"/>
        <v>0</v>
      </c>
      <c r="T468" s="150">
        <f t="shared" si="203"/>
        <v>0</v>
      </c>
      <c r="U468" s="150">
        <f t="shared" si="203"/>
        <v>0</v>
      </c>
      <c r="V468" s="150">
        <f t="shared" si="203"/>
        <v>0</v>
      </c>
      <c r="W468" s="150">
        <f t="shared" si="203"/>
        <v>0</v>
      </c>
      <c r="X468" s="150">
        <f t="shared" si="203"/>
        <v>0</v>
      </c>
      <c r="Y468" s="150">
        <f t="shared" si="203"/>
        <v>0</v>
      </c>
      <c r="Z468" s="150">
        <f t="shared" si="203"/>
        <v>0</v>
      </c>
      <c r="AA468" s="150">
        <f t="shared" si="203"/>
        <v>0</v>
      </c>
      <c r="AB468" s="150">
        <f t="shared" si="203"/>
        <v>0</v>
      </c>
      <c r="AC468" s="150">
        <f t="shared" si="203"/>
        <v>0</v>
      </c>
      <c r="AD468" s="150">
        <f t="shared" si="203"/>
        <v>0</v>
      </c>
      <c r="AE468" s="150">
        <f t="shared" si="203"/>
        <v>0</v>
      </c>
      <c r="AF468" s="150">
        <f t="shared" si="203"/>
        <v>0</v>
      </c>
      <c r="AG468" s="150">
        <f t="shared" si="203"/>
        <v>0</v>
      </c>
      <c r="AH468" s="150">
        <f t="shared" si="203"/>
        <v>0</v>
      </c>
      <c r="AI468" s="150">
        <f t="shared" si="203"/>
        <v>0</v>
      </c>
      <c r="AJ468" s="150">
        <f t="shared" si="203"/>
        <v>0</v>
      </c>
      <c r="AK468" s="150">
        <f t="shared" si="203"/>
        <v>0</v>
      </c>
      <c r="AL468" s="150">
        <f t="shared" si="203"/>
        <v>0</v>
      </c>
      <c r="AM468" s="150">
        <f t="shared" si="203"/>
        <v>0</v>
      </c>
      <c r="AN468" s="150">
        <f t="shared" si="203"/>
        <v>0</v>
      </c>
      <c r="AO468" s="150">
        <f t="shared" si="203"/>
        <v>0</v>
      </c>
      <c r="AP468" s="150">
        <f t="shared" si="203"/>
        <v>0</v>
      </c>
    </row>
    <row r="469" spans="1:42" x14ac:dyDescent="0.2">
      <c r="A469" s="4">
        <f t="shared" si="199"/>
        <v>7</v>
      </c>
      <c r="B469" s="173">
        <f t="shared" si="196"/>
        <v>0</v>
      </c>
      <c r="C469" s="150">
        <f t="shared" ref="C469:AP469" si="204">LOOKUP(C457,$B$446:$AP$446,$B$447:$AP$447)*$B656/100</f>
        <v>0</v>
      </c>
      <c r="D469" s="150">
        <f t="shared" si="204"/>
        <v>0</v>
      </c>
      <c r="E469" s="150">
        <f t="shared" si="204"/>
        <v>0</v>
      </c>
      <c r="F469" s="150">
        <f t="shared" si="204"/>
        <v>0</v>
      </c>
      <c r="G469" s="150">
        <f t="shared" si="204"/>
        <v>0</v>
      </c>
      <c r="H469" s="150">
        <f t="shared" si="204"/>
        <v>0</v>
      </c>
      <c r="I469" s="150">
        <f t="shared" si="204"/>
        <v>0</v>
      </c>
      <c r="J469" s="150">
        <f t="shared" si="204"/>
        <v>0</v>
      </c>
      <c r="K469" s="150">
        <f t="shared" si="204"/>
        <v>0</v>
      </c>
      <c r="L469" s="150">
        <f t="shared" si="204"/>
        <v>0</v>
      </c>
      <c r="M469" s="150">
        <f t="shared" si="204"/>
        <v>0</v>
      </c>
      <c r="N469" s="150">
        <f t="shared" si="204"/>
        <v>0</v>
      </c>
      <c r="O469" s="150">
        <f t="shared" si="204"/>
        <v>0</v>
      </c>
      <c r="P469" s="150">
        <f t="shared" si="204"/>
        <v>0</v>
      </c>
      <c r="Q469" s="150">
        <f t="shared" si="204"/>
        <v>0</v>
      </c>
      <c r="R469" s="150">
        <f t="shared" si="204"/>
        <v>0</v>
      </c>
      <c r="S469" s="150">
        <f t="shared" si="204"/>
        <v>0</v>
      </c>
      <c r="T469" s="150">
        <f t="shared" si="204"/>
        <v>0</v>
      </c>
      <c r="U469" s="150">
        <f t="shared" si="204"/>
        <v>0</v>
      </c>
      <c r="V469" s="150">
        <f t="shared" si="204"/>
        <v>0</v>
      </c>
      <c r="W469" s="150">
        <f t="shared" si="204"/>
        <v>0</v>
      </c>
      <c r="X469" s="150">
        <f t="shared" si="204"/>
        <v>0</v>
      </c>
      <c r="Y469" s="150">
        <f t="shared" si="204"/>
        <v>0</v>
      </c>
      <c r="Z469" s="150">
        <f t="shared" si="204"/>
        <v>0</v>
      </c>
      <c r="AA469" s="150">
        <f t="shared" si="204"/>
        <v>0</v>
      </c>
      <c r="AB469" s="150">
        <f t="shared" si="204"/>
        <v>0</v>
      </c>
      <c r="AC469" s="150">
        <f t="shared" si="204"/>
        <v>0</v>
      </c>
      <c r="AD469" s="150">
        <f t="shared" si="204"/>
        <v>0</v>
      </c>
      <c r="AE469" s="150">
        <f t="shared" si="204"/>
        <v>0</v>
      </c>
      <c r="AF469" s="150">
        <f t="shared" si="204"/>
        <v>0</v>
      </c>
      <c r="AG469" s="150">
        <f t="shared" si="204"/>
        <v>0</v>
      </c>
      <c r="AH469" s="150">
        <f t="shared" si="204"/>
        <v>0</v>
      </c>
      <c r="AI469" s="150">
        <f t="shared" si="204"/>
        <v>0</v>
      </c>
      <c r="AJ469" s="150">
        <f t="shared" si="204"/>
        <v>0</v>
      </c>
      <c r="AK469" s="150">
        <f t="shared" si="204"/>
        <v>0</v>
      </c>
      <c r="AL469" s="150">
        <f t="shared" si="204"/>
        <v>0</v>
      </c>
      <c r="AM469" s="150">
        <f t="shared" si="204"/>
        <v>0</v>
      </c>
      <c r="AN469" s="150">
        <f t="shared" si="204"/>
        <v>0</v>
      </c>
      <c r="AO469" s="150">
        <f t="shared" si="204"/>
        <v>0</v>
      </c>
      <c r="AP469" s="150">
        <f t="shared" si="204"/>
        <v>0</v>
      </c>
    </row>
    <row r="470" spans="1:42" x14ac:dyDescent="0.2">
      <c r="A470" s="4">
        <f t="shared" si="199"/>
        <v>8</v>
      </c>
      <c r="B470" s="173">
        <f t="shared" si="196"/>
        <v>0</v>
      </c>
      <c r="C470" s="150">
        <f t="shared" ref="C470:AP470" si="205">LOOKUP(C458,$B$446:$AP$446,$B$447:$AP$447)*$B657/100</f>
        <v>0</v>
      </c>
      <c r="D470" s="150">
        <f t="shared" si="205"/>
        <v>0</v>
      </c>
      <c r="E470" s="150">
        <f t="shared" si="205"/>
        <v>0</v>
      </c>
      <c r="F470" s="150">
        <f t="shared" si="205"/>
        <v>0</v>
      </c>
      <c r="G470" s="150">
        <f t="shared" si="205"/>
        <v>0</v>
      </c>
      <c r="H470" s="150">
        <f t="shared" si="205"/>
        <v>0</v>
      </c>
      <c r="I470" s="150">
        <f t="shared" si="205"/>
        <v>0</v>
      </c>
      <c r="J470" s="150">
        <f t="shared" si="205"/>
        <v>0</v>
      </c>
      <c r="K470" s="150">
        <f t="shared" si="205"/>
        <v>0</v>
      </c>
      <c r="L470" s="150">
        <f t="shared" si="205"/>
        <v>0</v>
      </c>
      <c r="M470" s="150">
        <f t="shared" si="205"/>
        <v>0</v>
      </c>
      <c r="N470" s="150">
        <f t="shared" si="205"/>
        <v>0</v>
      </c>
      <c r="O470" s="150">
        <f t="shared" si="205"/>
        <v>0</v>
      </c>
      <c r="P470" s="150">
        <f t="shared" si="205"/>
        <v>0</v>
      </c>
      <c r="Q470" s="150">
        <f t="shared" si="205"/>
        <v>0</v>
      </c>
      <c r="R470" s="150">
        <f t="shared" si="205"/>
        <v>0</v>
      </c>
      <c r="S470" s="150">
        <f t="shared" si="205"/>
        <v>0</v>
      </c>
      <c r="T470" s="150">
        <f t="shared" si="205"/>
        <v>0</v>
      </c>
      <c r="U470" s="150">
        <f t="shared" si="205"/>
        <v>0</v>
      </c>
      <c r="V470" s="150">
        <f t="shared" si="205"/>
        <v>0</v>
      </c>
      <c r="W470" s="150">
        <f t="shared" si="205"/>
        <v>0</v>
      </c>
      <c r="X470" s="150">
        <f t="shared" si="205"/>
        <v>0</v>
      </c>
      <c r="Y470" s="150">
        <f t="shared" si="205"/>
        <v>0</v>
      </c>
      <c r="Z470" s="150">
        <f t="shared" si="205"/>
        <v>0</v>
      </c>
      <c r="AA470" s="150">
        <f t="shared" si="205"/>
        <v>0</v>
      </c>
      <c r="AB470" s="150">
        <f t="shared" si="205"/>
        <v>0</v>
      </c>
      <c r="AC470" s="150">
        <f t="shared" si="205"/>
        <v>0</v>
      </c>
      <c r="AD470" s="150">
        <f t="shared" si="205"/>
        <v>0</v>
      </c>
      <c r="AE470" s="150">
        <f t="shared" si="205"/>
        <v>0</v>
      </c>
      <c r="AF470" s="150">
        <f t="shared" si="205"/>
        <v>0</v>
      </c>
      <c r="AG470" s="150">
        <f t="shared" si="205"/>
        <v>0</v>
      </c>
      <c r="AH470" s="150">
        <f t="shared" si="205"/>
        <v>0</v>
      </c>
      <c r="AI470" s="150">
        <f t="shared" si="205"/>
        <v>0</v>
      </c>
      <c r="AJ470" s="150">
        <f t="shared" si="205"/>
        <v>0</v>
      </c>
      <c r="AK470" s="150">
        <f t="shared" si="205"/>
        <v>0</v>
      </c>
      <c r="AL470" s="150">
        <f t="shared" si="205"/>
        <v>0</v>
      </c>
      <c r="AM470" s="150">
        <f t="shared" si="205"/>
        <v>0</v>
      </c>
      <c r="AN470" s="150">
        <f t="shared" si="205"/>
        <v>0</v>
      </c>
      <c r="AO470" s="150">
        <f t="shared" si="205"/>
        <v>0</v>
      </c>
      <c r="AP470" s="150">
        <f t="shared" si="205"/>
        <v>0</v>
      </c>
    </row>
    <row r="471" spans="1:42" x14ac:dyDescent="0.2">
      <c r="A471" s="4">
        <f>A470+1</f>
        <v>9</v>
      </c>
      <c r="B471" s="173">
        <f t="shared" si="196"/>
        <v>0</v>
      </c>
      <c r="C471" s="150">
        <f t="shared" ref="C471:AP471" si="206">LOOKUP(C459,$B$446:$AP$446,$B$447:$AP$447)*$B658/100</f>
        <v>0</v>
      </c>
      <c r="D471" s="150">
        <f t="shared" si="206"/>
        <v>0</v>
      </c>
      <c r="E471" s="150">
        <f t="shared" si="206"/>
        <v>0</v>
      </c>
      <c r="F471" s="150">
        <f t="shared" si="206"/>
        <v>0</v>
      </c>
      <c r="G471" s="150">
        <f t="shared" si="206"/>
        <v>0</v>
      </c>
      <c r="H471" s="150">
        <f t="shared" si="206"/>
        <v>0</v>
      </c>
      <c r="I471" s="150">
        <f t="shared" si="206"/>
        <v>0</v>
      </c>
      <c r="J471" s="150">
        <f t="shared" si="206"/>
        <v>0</v>
      </c>
      <c r="K471" s="150">
        <f t="shared" si="206"/>
        <v>0</v>
      </c>
      <c r="L471" s="150">
        <f t="shared" si="206"/>
        <v>0</v>
      </c>
      <c r="M471" s="150">
        <f t="shared" si="206"/>
        <v>0</v>
      </c>
      <c r="N471" s="150">
        <f t="shared" si="206"/>
        <v>0</v>
      </c>
      <c r="O471" s="150">
        <f t="shared" si="206"/>
        <v>0</v>
      </c>
      <c r="P471" s="150">
        <f t="shared" si="206"/>
        <v>0</v>
      </c>
      <c r="Q471" s="150">
        <f t="shared" si="206"/>
        <v>0</v>
      </c>
      <c r="R471" s="150">
        <f t="shared" si="206"/>
        <v>0</v>
      </c>
      <c r="S471" s="150">
        <f t="shared" si="206"/>
        <v>0</v>
      </c>
      <c r="T471" s="150">
        <f t="shared" si="206"/>
        <v>0</v>
      </c>
      <c r="U471" s="150">
        <f t="shared" si="206"/>
        <v>0</v>
      </c>
      <c r="V471" s="150">
        <f t="shared" si="206"/>
        <v>0</v>
      </c>
      <c r="W471" s="150">
        <f t="shared" si="206"/>
        <v>0</v>
      </c>
      <c r="X471" s="150">
        <f t="shared" si="206"/>
        <v>0</v>
      </c>
      <c r="Y471" s="150">
        <f t="shared" si="206"/>
        <v>0</v>
      </c>
      <c r="Z471" s="150">
        <f t="shared" si="206"/>
        <v>0</v>
      </c>
      <c r="AA471" s="150">
        <f t="shared" si="206"/>
        <v>0</v>
      </c>
      <c r="AB471" s="150">
        <f t="shared" si="206"/>
        <v>0</v>
      </c>
      <c r="AC471" s="150">
        <f t="shared" si="206"/>
        <v>0</v>
      </c>
      <c r="AD471" s="150">
        <f t="shared" si="206"/>
        <v>0</v>
      </c>
      <c r="AE471" s="150">
        <f t="shared" si="206"/>
        <v>0</v>
      </c>
      <c r="AF471" s="150">
        <f t="shared" si="206"/>
        <v>0</v>
      </c>
      <c r="AG471" s="150">
        <f t="shared" si="206"/>
        <v>0</v>
      </c>
      <c r="AH471" s="150">
        <f t="shared" si="206"/>
        <v>0</v>
      </c>
      <c r="AI471" s="150">
        <f t="shared" si="206"/>
        <v>0</v>
      </c>
      <c r="AJ471" s="150">
        <f t="shared" si="206"/>
        <v>0</v>
      </c>
      <c r="AK471" s="150">
        <f t="shared" si="206"/>
        <v>0</v>
      </c>
      <c r="AL471" s="150">
        <f t="shared" si="206"/>
        <v>0</v>
      </c>
      <c r="AM471" s="150">
        <f t="shared" si="206"/>
        <v>0</v>
      </c>
      <c r="AN471" s="150">
        <f t="shared" si="206"/>
        <v>0</v>
      </c>
      <c r="AO471" s="150">
        <f t="shared" si="206"/>
        <v>0</v>
      </c>
      <c r="AP471" s="150">
        <f t="shared" si="206"/>
        <v>0</v>
      </c>
    </row>
    <row r="472" spans="1:42" x14ac:dyDescent="0.2">
      <c r="A472" s="4">
        <f t="shared" ref="A472" si="207">A471+1</f>
        <v>10</v>
      </c>
      <c r="B472" s="173">
        <f t="shared" si="196"/>
        <v>0</v>
      </c>
      <c r="C472" s="169">
        <f t="shared" ref="C472:AP472" si="208">LOOKUP(C460,$B$446:$AP$446,$B$447:$AP$447)*$B659/100</f>
        <v>0</v>
      </c>
      <c r="D472" s="151">
        <f t="shared" si="208"/>
        <v>0</v>
      </c>
      <c r="E472" s="151">
        <f t="shared" si="208"/>
        <v>0</v>
      </c>
      <c r="F472" s="151">
        <f t="shared" si="208"/>
        <v>0</v>
      </c>
      <c r="G472" s="151">
        <f t="shared" si="208"/>
        <v>0</v>
      </c>
      <c r="H472" s="151">
        <f t="shared" si="208"/>
        <v>0</v>
      </c>
      <c r="I472" s="151">
        <f t="shared" si="208"/>
        <v>0</v>
      </c>
      <c r="J472" s="151">
        <f t="shared" si="208"/>
        <v>0</v>
      </c>
      <c r="K472" s="151">
        <f t="shared" si="208"/>
        <v>0</v>
      </c>
      <c r="L472" s="151">
        <f t="shared" si="208"/>
        <v>0</v>
      </c>
      <c r="M472" s="151">
        <f t="shared" si="208"/>
        <v>0</v>
      </c>
      <c r="N472" s="151">
        <f t="shared" si="208"/>
        <v>0</v>
      </c>
      <c r="O472" s="151">
        <f t="shared" si="208"/>
        <v>0</v>
      </c>
      <c r="P472" s="151">
        <f t="shared" si="208"/>
        <v>0</v>
      </c>
      <c r="Q472" s="151">
        <f t="shared" si="208"/>
        <v>0</v>
      </c>
      <c r="R472" s="151">
        <f t="shared" si="208"/>
        <v>0</v>
      </c>
      <c r="S472" s="151">
        <f t="shared" si="208"/>
        <v>0</v>
      </c>
      <c r="T472" s="151">
        <f t="shared" si="208"/>
        <v>0</v>
      </c>
      <c r="U472" s="151">
        <f t="shared" si="208"/>
        <v>0</v>
      </c>
      <c r="V472" s="151">
        <f t="shared" si="208"/>
        <v>0</v>
      </c>
      <c r="W472" s="151">
        <f t="shared" si="208"/>
        <v>0</v>
      </c>
      <c r="X472" s="151">
        <f t="shared" si="208"/>
        <v>0</v>
      </c>
      <c r="Y472" s="151">
        <f t="shared" si="208"/>
        <v>0</v>
      </c>
      <c r="Z472" s="151">
        <f t="shared" si="208"/>
        <v>0</v>
      </c>
      <c r="AA472" s="151">
        <f t="shared" si="208"/>
        <v>0</v>
      </c>
      <c r="AB472" s="151">
        <f t="shared" si="208"/>
        <v>0</v>
      </c>
      <c r="AC472" s="151">
        <f t="shared" si="208"/>
        <v>0</v>
      </c>
      <c r="AD472" s="151">
        <f t="shared" si="208"/>
        <v>0</v>
      </c>
      <c r="AE472" s="151">
        <f t="shared" si="208"/>
        <v>0</v>
      </c>
      <c r="AF472" s="151">
        <f t="shared" si="208"/>
        <v>0</v>
      </c>
      <c r="AG472" s="151">
        <f t="shared" si="208"/>
        <v>0</v>
      </c>
      <c r="AH472" s="151">
        <f t="shared" si="208"/>
        <v>0</v>
      </c>
      <c r="AI472" s="151">
        <f t="shared" si="208"/>
        <v>0</v>
      </c>
      <c r="AJ472" s="151">
        <f t="shared" si="208"/>
        <v>0</v>
      </c>
      <c r="AK472" s="151">
        <f t="shared" si="208"/>
        <v>0</v>
      </c>
      <c r="AL472" s="151">
        <f t="shared" si="208"/>
        <v>0</v>
      </c>
      <c r="AM472" s="151">
        <f t="shared" si="208"/>
        <v>0</v>
      </c>
      <c r="AN472" s="151">
        <f t="shared" si="208"/>
        <v>0</v>
      </c>
      <c r="AO472" s="151">
        <f t="shared" si="208"/>
        <v>0</v>
      </c>
      <c r="AP472" s="151">
        <f t="shared" si="208"/>
        <v>0</v>
      </c>
    </row>
    <row r="473" spans="1:42" x14ac:dyDescent="0.2">
      <c r="A473" s="24" t="s">
        <v>12</v>
      </c>
      <c r="B473" s="14"/>
      <c r="C473" s="150">
        <f>SUM(C463:C472)</f>
        <v>0</v>
      </c>
      <c r="D473" s="150">
        <f t="shared" ref="D473:AP473" si="209">SUM(D463:D472)</f>
        <v>0</v>
      </c>
      <c r="E473" s="150">
        <f t="shared" si="209"/>
        <v>0</v>
      </c>
      <c r="F473" s="150">
        <f t="shared" si="209"/>
        <v>0</v>
      </c>
      <c r="G473" s="150">
        <f t="shared" si="209"/>
        <v>0</v>
      </c>
      <c r="H473" s="150">
        <f t="shared" si="209"/>
        <v>0</v>
      </c>
      <c r="I473" s="150">
        <f t="shared" si="209"/>
        <v>0</v>
      </c>
      <c r="J473" s="150">
        <f t="shared" si="209"/>
        <v>0</v>
      </c>
      <c r="K473" s="150">
        <f t="shared" si="209"/>
        <v>0</v>
      </c>
      <c r="L473" s="150">
        <f t="shared" si="209"/>
        <v>0</v>
      </c>
      <c r="M473" s="150">
        <f t="shared" si="209"/>
        <v>0</v>
      </c>
      <c r="N473" s="150">
        <f t="shared" si="209"/>
        <v>0</v>
      </c>
      <c r="O473" s="150">
        <f t="shared" si="209"/>
        <v>0</v>
      </c>
      <c r="P473" s="150">
        <f t="shared" si="209"/>
        <v>0</v>
      </c>
      <c r="Q473" s="150">
        <f t="shared" si="209"/>
        <v>0</v>
      </c>
      <c r="R473" s="150">
        <f t="shared" si="209"/>
        <v>0</v>
      </c>
      <c r="S473" s="150">
        <f t="shared" si="209"/>
        <v>0</v>
      </c>
      <c r="T473" s="150">
        <f t="shared" si="209"/>
        <v>0</v>
      </c>
      <c r="U473" s="150">
        <f t="shared" si="209"/>
        <v>0</v>
      </c>
      <c r="V473" s="150">
        <f t="shared" si="209"/>
        <v>0</v>
      </c>
      <c r="W473" s="150">
        <f t="shared" si="209"/>
        <v>0</v>
      </c>
      <c r="X473" s="150">
        <f t="shared" si="209"/>
        <v>0</v>
      </c>
      <c r="Y473" s="150">
        <f t="shared" si="209"/>
        <v>0</v>
      </c>
      <c r="Z473" s="150">
        <f t="shared" si="209"/>
        <v>0</v>
      </c>
      <c r="AA473" s="150">
        <f t="shared" si="209"/>
        <v>0</v>
      </c>
      <c r="AB473" s="150">
        <f t="shared" si="209"/>
        <v>0</v>
      </c>
      <c r="AC473" s="150">
        <f t="shared" si="209"/>
        <v>0</v>
      </c>
      <c r="AD473" s="150">
        <f t="shared" si="209"/>
        <v>0</v>
      </c>
      <c r="AE473" s="150">
        <f t="shared" si="209"/>
        <v>0</v>
      </c>
      <c r="AF473" s="150">
        <f t="shared" si="209"/>
        <v>0</v>
      </c>
      <c r="AG473" s="150">
        <f t="shared" si="209"/>
        <v>0</v>
      </c>
      <c r="AH473" s="150">
        <f t="shared" si="209"/>
        <v>0</v>
      </c>
      <c r="AI473" s="150">
        <f t="shared" si="209"/>
        <v>0</v>
      </c>
      <c r="AJ473" s="150">
        <f t="shared" si="209"/>
        <v>0</v>
      </c>
      <c r="AK473" s="150">
        <f t="shared" si="209"/>
        <v>0</v>
      </c>
      <c r="AL473" s="150">
        <f t="shared" si="209"/>
        <v>0</v>
      </c>
      <c r="AM473" s="150">
        <f t="shared" si="209"/>
        <v>0</v>
      </c>
      <c r="AN473" s="150">
        <f t="shared" si="209"/>
        <v>0</v>
      </c>
      <c r="AO473" s="150">
        <f t="shared" si="209"/>
        <v>0</v>
      </c>
      <c r="AP473" s="150">
        <f t="shared" si="209"/>
        <v>0</v>
      </c>
    </row>
    <row r="474" spans="1:42" x14ac:dyDescent="0.2">
      <c r="A474" s="24"/>
      <c r="B474" s="14"/>
      <c r="C474" s="150"/>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row>
    <row r="475" spans="1:42" x14ac:dyDescent="0.2">
      <c r="A475" s="21" t="s">
        <v>73</v>
      </c>
      <c r="C475" s="150"/>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row>
    <row r="476" spans="1:42" x14ac:dyDescent="0.2">
      <c r="A476" s="87" t="s">
        <v>60</v>
      </c>
      <c r="C476" s="150"/>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row>
    <row r="477" spans="1:42" x14ac:dyDescent="0.2">
      <c r="A477" s="4">
        <v>1</v>
      </c>
      <c r="C477" s="150">
        <f t="shared" ref="C477:AP477" si="210">C338</f>
        <v>0</v>
      </c>
      <c r="D477" s="150">
        <f t="shared" si="210"/>
        <v>0</v>
      </c>
      <c r="E477" s="150">
        <f t="shared" si="210"/>
        <v>0</v>
      </c>
      <c r="F477" s="150">
        <f t="shared" si="210"/>
        <v>0</v>
      </c>
      <c r="G477" s="150">
        <f t="shared" si="210"/>
        <v>0</v>
      </c>
      <c r="H477" s="150">
        <f t="shared" si="210"/>
        <v>0</v>
      </c>
      <c r="I477" s="150">
        <f t="shared" si="210"/>
        <v>0</v>
      </c>
      <c r="J477" s="150">
        <f t="shared" si="210"/>
        <v>0</v>
      </c>
      <c r="K477" s="150">
        <f t="shared" si="210"/>
        <v>0</v>
      </c>
      <c r="L477" s="150">
        <f t="shared" si="210"/>
        <v>0</v>
      </c>
      <c r="M477" s="150">
        <f t="shared" si="210"/>
        <v>0</v>
      </c>
      <c r="N477" s="150">
        <f t="shared" si="210"/>
        <v>0</v>
      </c>
      <c r="O477" s="150">
        <f t="shared" si="210"/>
        <v>0</v>
      </c>
      <c r="P477" s="150">
        <f t="shared" si="210"/>
        <v>0</v>
      </c>
      <c r="Q477" s="150">
        <f t="shared" si="210"/>
        <v>0</v>
      </c>
      <c r="R477" s="150">
        <f t="shared" si="210"/>
        <v>0</v>
      </c>
      <c r="S477" s="150">
        <f t="shared" si="210"/>
        <v>0</v>
      </c>
      <c r="T477" s="150">
        <f t="shared" si="210"/>
        <v>0</v>
      </c>
      <c r="U477" s="150">
        <f t="shared" si="210"/>
        <v>0</v>
      </c>
      <c r="V477" s="150">
        <f t="shared" si="210"/>
        <v>0</v>
      </c>
      <c r="W477" s="150">
        <f t="shared" si="210"/>
        <v>0</v>
      </c>
      <c r="X477" s="150">
        <f t="shared" si="210"/>
        <v>0</v>
      </c>
      <c r="Y477" s="150">
        <f t="shared" si="210"/>
        <v>0</v>
      </c>
      <c r="Z477" s="150">
        <f t="shared" si="210"/>
        <v>0</v>
      </c>
      <c r="AA477" s="150">
        <f t="shared" si="210"/>
        <v>0</v>
      </c>
      <c r="AB477" s="150">
        <f t="shared" si="210"/>
        <v>0</v>
      </c>
      <c r="AC477" s="150">
        <f t="shared" si="210"/>
        <v>0</v>
      </c>
      <c r="AD477" s="150">
        <f t="shared" si="210"/>
        <v>0</v>
      </c>
      <c r="AE477" s="150">
        <f t="shared" si="210"/>
        <v>0</v>
      </c>
      <c r="AF477" s="150">
        <f t="shared" si="210"/>
        <v>0</v>
      </c>
      <c r="AG477" s="150">
        <f t="shared" si="210"/>
        <v>0</v>
      </c>
      <c r="AH477" s="150">
        <f t="shared" si="210"/>
        <v>0</v>
      </c>
      <c r="AI477" s="150">
        <f t="shared" si="210"/>
        <v>0</v>
      </c>
      <c r="AJ477" s="150">
        <f t="shared" si="210"/>
        <v>0</v>
      </c>
      <c r="AK477" s="150">
        <f t="shared" si="210"/>
        <v>0</v>
      </c>
      <c r="AL477" s="150">
        <f t="shared" si="210"/>
        <v>0</v>
      </c>
      <c r="AM477" s="150">
        <f t="shared" si="210"/>
        <v>0</v>
      </c>
      <c r="AN477" s="150">
        <f t="shared" si="210"/>
        <v>0</v>
      </c>
      <c r="AO477" s="150">
        <f t="shared" si="210"/>
        <v>0</v>
      </c>
      <c r="AP477" s="150">
        <f t="shared" si="210"/>
        <v>0</v>
      </c>
    </row>
    <row r="478" spans="1:42" x14ac:dyDescent="0.2">
      <c r="A478" s="4">
        <f>A477+1</f>
        <v>2</v>
      </c>
      <c r="C478" s="150">
        <f t="shared" ref="C478:AP478" si="211">C339</f>
        <v>0</v>
      </c>
      <c r="D478" s="150">
        <f t="shared" si="211"/>
        <v>0</v>
      </c>
      <c r="E478" s="150">
        <f t="shared" si="211"/>
        <v>0</v>
      </c>
      <c r="F478" s="150">
        <f t="shared" si="211"/>
        <v>0</v>
      </c>
      <c r="G478" s="150">
        <f t="shared" si="211"/>
        <v>0</v>
      </c>
      <c r="H478" s="150">
        <f t="shared" si="211"/>
        <v>0</v>
      </c>
      <c r="I478" s="150">
        <f t="shared" si="211"/>
        <v>0</v>
      </c>
      <c r="J478" s="150">
        <f t="shared" si="211"/>
        <v>0</v>
      </c>
      <c r="K478" s="150">
        <f t="shared" si="211"/>
        <v>0</v>
      </c>
      <c r="L478" s="150">
        <f t="shared" si="211"/>
        <v>0</v>
      </c>
      <c r="M478" s="150">
        <f t="shared" si="211"/>
        <v>0</v>
      </c>
      <c r="N478" s="150">
        <f t="shared" si="211"/>
        <v>0</v>
      </c>
      <c r="O478" s="150">
        <f t="shared" si="211"/>
        <v>0</v>
      </c>
      <c r="P478" s="150">
        <f t="shared" si="211"/>
        <v>0</v>
      </c>
      <c r="Q478" s="150">
        <f t="shared" si="211"/>
        <v>0</v>
      </c>
      <c r="R478" s="150">
        <f t="shared" si="211"/>
        <v>0</v>
      </c>
      <c r="S478" s="150">
        <f t="shared" si="211"/>
        <v>0</v>
      </c>
      <c r="T478" s="150">
        <f t="shared" si="211"/>
        <v>0</v>
      </c>
      <c r="U478" s="150">
        <f t="shared" si="211"/>
        <v>0</v>
      </c>
      <c r="V478" s="150">
        <f t="shared" si="211"/>
        <v>0</v>
      </c>
      <c r="W478" s="150">
        <f t="shared" si="211"/>
        <v>0</v>
      </c>
      <c r="X478" s="150">
        <f t="shared" si="211"/>
        <v>0</v>
      </c>
      <c r="Y478" s="150">
        <f t="shared" si="211"/>
        <v>0</v>
      </c>
      <c r="Z478" s="150">
        <f t="shared" si="211"/>
        <v>0</v>
      </c>
      <c r="AA478" s="150">
        <f t="shared" si="211"/>
        <v>0</v>
      </c>
      <c r="AB478" s="150">
        <f t="shared" si="211"/>
        <v>0</v>
      </c>
      <c r="AC478" s="150">
        <f t="shared" si="211"/>
        <v>0</v>
      </c>
      <c r="AD478" s="150">
        <f t="shared" si="211"/>
        <v>0</v>
      </c>
      <c r="AE478" s="150">
        <f t="shared" si="211"/>
        <v>0</v>
      </c>
      <c r="AF478" s="150">
        <f t="shared" si="211"/>
        <v>0</v>
      </c>
      <c r="AG478" s="150">
        <f t="shared" si="211"/>
        <v>0</v>
      </c>
      <c r="AH478" s="150">
        <f t="shared" si="211"/>
        <v>0</v>
      </c>
      <c r="AI478" s="150">
        <f t="shared" si="211"/>
        <v>0</v>
      </c>
      <c r="AJ478" s="150">
        <f t="shared" si="211"/>
        <v>0</v>
      </c>
      <c r="AK478" s="150">
        <f t="shared" si="211"/>
        <v>0</v>
      </c>
      <c r="AL478" s="150">
        <f t="shared" si="211"/>
        <v>0</v>
      </c>
      <c r="AM478" s="150">
        <f t="shared" si="211"/>
        <v>0</v>
      </c>
      <c r="AN478" s="150">
        <f t="shared" si="211"/>
        <v>0</v>
      </c>
      <c r="AO478" s="150">
        <f t="shared" si="211"/>
        <v>0</v>
      </c>
      <c r="AP478" s="150">
        <f t="shared" si="211"/>
        <v>0</v>
      </c>
    </row>
    <row r="479" spans="1:42" x14ac:dyDescent="0.2">
      <c r="A479" s="4">
        <f t="shared" ref="A479:A484" si="212">A478+1</f>
        <v>3</v>
      </c>
      <c r="C479" s="150">
        <f t="shared" ref="C479:AP479" si="213">C340</f>
        <v>0</v>
      </c>
      <c r="D479" s="150">
        <f t="shared" si="213"/>
        <v>0</v>
      </c>
      <c r="E479" s="150">
        <f t="shared" si="213"/>
        <v>0</v>
      </c>
      <c r="F479" s="150">
        <f t="shared" si="213"/>
        <v>0</v>
      </c>
      <c r="G479" s="150">
        <f t="shared" si="213"/>
        <v>0</v>
      </c>
      <c r="H479" s="150">
        <f t="shared" si="213"/>
        <v>0</v>
      </c>
      <c r="I479" s="150">
        <f t="shared" si="213"/>
        <v>0</v>
      </c>
      <c r="J479" s="150">
        <f t="shared" si="213"/>
        <v>0</v>
      </c>
      <c r="K479" s="150">
        <f t="shared" si="213"/>
        <v>0</v>
      </c>
      <c r="L479" s="150">
        <f t="shared" si="213"/>
        <v>0</v>
      </c>
      <c r="M479" s="150">
        <f t="shared" si="213"/>
        <v>0</v>
      </c>
      <c r="N479" s="150">
        <f t="shared" si="213"/>
        <v>0</v>
      </c>
      <c r="O479" s="150">
        <f t="shared" si="213"/>
        <v>0</v>
      </c>
      <c r="P479" s="150">
        <f t="shared" si="213"/>
        <v>0</v>
      </c>
      <c r="Q479" s="150">
        <f t="shared" si="213"/>
        <v>0</v>
      </c>
      <c r="R479" s="150">
        <f t="shared" si="213"/>
        <v>0</v>
      </c>
      <c r="S479" s="150">
        <f t="shared" si="213"/>
        <v>0</v>
      </c>
      <c r="T479" s="150">
        <f t="shared" si="213"/>
        <v>0</v>
      </c>
      <c r="U479" s="150">
        <f t="shared" si="213"/>
        <v>0</v>
      </c>
      <c r="V479" s="150">
        <f t="shared" si="213"/>
        <v>0</v>
      </c>
      <c r="W479" s="150">
        <f t="shared" si="213"/>
        <v>0</v>
      </c>
      <c r="X479" s="150">
        <f t="shared" si="213"/>
        <v>0</v>
      </c>
      <c r="Y479" s="150">
        <f t="shared" si="213"/>
        <v>0</v>
      </c>
      <c r="Z479" s="150">
        <f t="shared" si="213"/>
        <v>0</v>
      </c>
      <c r="AA479" s="150">
        <f t="shared" si="213"/>
        <v>0</v>
      </c>
      <c r="AB479" s="150">
        <f t="shared" si="213"/>
        <v>0</v>
      </c>
      <c r="AC479" s="150">
        <f t="shared" si="213"/>
        <v>0</v>
      </c>
      <c r="AD479" s="150">
        <f t="shared" si="213"/>
        <v>0</v>
      </c>
      <c r="AE479" s="150">
        <f t="shared" si="213"/>
        <v>0</v>
      </c>
      <c r="AF479" s="150">
        <f t="shared" si="213"/>
        <v>0</v>
      </c>
      <c r="AG479" s="150">
        <f t="shared" si="213"/>
        <v>0</v>
      </c>
      <c r="AH479" s="150">
        <f t="shared" si="213"/>
        <v>0</v>
      </c>
      <c r="AI479" s="150">
        <f t="shared" si="213"/>
        <v>0</v>
      </c>
      <c r="AJ479" s="150">
        <f t="shared" si="213"/>
        <v>0</v>
      </c>
      <c r="AK479" s="150">
        <f t="shared" si="213"/>
        <v>0</v>
      </c>
      <c r="AL479" s="150">
        <f t="shared" si="213"/>
        <v>0</v>
      </c>
      <c r="AM479" s="150">
        <f t="shared" si="213"/>
        <v>0</v>
      </c>
      <c r="AN479" s="150">
        <f t="shared" si="213"/>
        <v>0</v>
      </c>
      <c r="AO479" s="150">
        <f t="shared" si="213"/>
        <v>0</v>
      </c>
      <c r="AP479" s="150">
        <f t="shared" si="213"/>
        <v>0</v>
      </c>
    </row>
    <row r="480" spans="1:42" x14ac:dyDescent="0.2">
      <c r="A480" s="4">
        <f t="shared" si="212"/>
        <v>4</v>
      </c>
      <c r="C480" s="150">
        <f t="shared" ref="C480:AP480" si="214">C341</f>
        <v>0</v>
      </c>
      <c r="D480" s="150">
        <f t="shared" si="214"/>
        <v>0</v>
      </c>
      <c r="E480" s="150">
        <f t="shared" si="214"/>
        <v>0</v>
      </c>
      <c r="F480" s="150">
        <f t="shared" si="214"/>
        <v>0</v>
      </c>
      <c r="G480" s="150">
        <f t="shared" si="214"/>
        <v>0</v>
      </c>
      <c r="H480" s="150">
        <f t="shared" si="214"/>
        <v>0</v>
      </c>
      <c r="I480" s="150">
        <f t="shared" si="214"/>
        <v>0</v>
      </c>
      <c r="J480" s="150">
        <f t="shared" si="214"/>
        <v>0</v>
      </c>
      <c r="K480" s="150">
        <f t="shared" si="214"/>
        <v>0</v>
      </c>
      <c r="L480" s="150">
        <f t="shared" si="214"/>
        <v>0</v>
      </c>
      <c r="M480" s="150">
        <f t="shared" si="214"/>
        <v>0</v>
      </c>
      <c r="N480" s="150">
        <f t="shared" si="214"/>
        <v>0</v>
      </c>
      <c r="O480" s="150">
        <f t="shared" si="214"/>
        <v>0</v>
      </c>
      <c r="P480" s="150">
        <f t="shared" si="214"/>
        <v>0</v>
      </c>
      <c r="Q480" s="150">
        <f t="shared" si="214"/>
        <v>0</v>
      </c>
      <c r="R480" s="150">
        <f t="shared" si="214"/>
        <v>0</v>
      </c>
      <c r="S480" s="150">
        <f t="shared" si="214"/>
        <v>0</v>
      </c>
      <c r="T480" s="150">
        <f t="shared" si="214"/>
        <v>0</v>
      </c>
      <c r="U480" s="150">
        <f t="shared" si="214"/>
        <v>0</v>
      </c>
      <c r="V480" s="150">
        <f t="shared" si="214"/>
        <v>0</v>
      </c>
      <c r="W480" s="150">
        <f t="shared" si="214"/>
        <v>0</v>
      </c>
      <c r="X480" s="150">
        <f t="shared" si="214"/>
        <v>0</v>
      </c>
      <c r="Y480" s="150">
        <f t="shared" si="214"/>
        <v>0</v>
      </c>
      <c r="Z480" s="150">
        <f t="shared" si="214"/>
        <v>0</v>
      </c>
      <c r="AA480" s="150">
        <f t="shared" si="214"/>
        <v>0</v>
      </c>
      <c r="AB480" s="150">
        <f t="shared" si="214"/>
        <v>0</v>
      </c>
      <c r="AC480" s="150">
        <f t="shared" si="214"/>
        <v>0</v>
      </c>
      <c r="AD480" s="150">
        <f t="shared" si="214"/>
        <v>0</v>
      </c>
      <c r="AE480" s="150">
        <f t="shared" si="214"/>
        <v>0</v>
      </c>
      <c r="AF480" s="150">
        <f t="shared" si="214"/>
        <v>0</v>
      </c>
      <c r="AG480" s="150">
        <f t="shared" si="214"/>
        <v>0</v>
      </c>
      <c r="AH480" s="150">
        <f t="shared" si="214"/>
        <v>0</v>
      </c>
      <c r="AI480" s="150">
        <f t="shared" si="214"/>
        <v>0</v>
      </c>
      <c r="AJ480" s="150">
        <f t="shared" si="214"/>
        <v>0</v>
      </c>
      <c r="AK480" s="150">
        <f t="shared" si="214"/>
        <v>0</v>
      </c>
      <c r="AL480" s="150">
        <f t="shared" si="214"/>
        <v>0</v>
      </c>
      <c r="AM480" s="150">
        <f t="shared" si="214"/>
        <v>0</v>
      </c>
      <c r="AN480" s="150">
        <f t="shared" si="214"/>
        <v>0</v>
      </c>
      <c r="AO480" s="150">
        <f t="shared" si="214"/>
        <v>0</v>
      </c>
      <c r="AP480" s="150">
        <f t="shared" si="214"/>
        <v>0</v>
      </c>
    </row>
    <row r="481" spans="1:42" x14ac:dyDescent="0.2">
      <c r="A481" s="4">
        <f t="shared" si="212"/>
        <v>5</v>
      </c>
      <c r="C481" s="150">
        <f t="shared" ref="C481:AP481" si="215">C342</f>
        <v>0</v>
      </c>
      <c r="D481" s="150">
        <f t="shared" si="215"/>
        <v>0</v>
      </c>
      <c r="E481" s="150">
        <f t="shared" si="215"/>
        <v>0</v>
      </c>
      <c r="F481" s="150">
        <f t="shared" si="215"/>
        <v>0</v>
      </c>
      <c r="G481" s="150">
        <f t="shared" si="215"/>
        <v>0</v>
      </c>
      <c r="H481" s="150">
        <f t="shared" si="215"/>
        <v>0</v>
      </c>
      <c r="I481" s="150">
        <f t="shared" si="215"/>
        <v>0</v>
      </c>
      <c r="J481" s="150">
        <f t="shared" si="215"/>
        <v>0</v>
      </c>
      <c r="K481" s="150">
        <f t="shared" si="215"/>
        <v>0</v>
      </c>
      <c r="L481" s="150">
        <f t="shared" si="215"/>
        <v>0</v>
      </c>
      <c r="M481" s="150">
        <f t="shared" si="215"/>
        <v>0</v>
      </c>
      <c r="N481" s="150">
        <f t="shared" si="215"/>
        <v>0</v>
      </c>
      <c r="O481" s="150">
        <f t="shared" si="215"/>
        <v>0</v>
      </c>
      <c r="P481" s="150">
        <f t="shared" si="215"/>
        <v>0</v>
      </c>
      <c r="Q481" s="150">
        <f t="shared" si="215"/>
        <v>0</v>
      </c>
      <c r="R481" s="150">
        <f t="shared" si="215"/>
        <v>0</v>
      </c>
      <c r="S481" s="150">
        <f t="shared" si="215"/>
        <v>0</v>
      </c>
      <c r="T481" s="150">
        <f t="shared" si="215"/>
        <v>0</v>
      </c>
      <c r="U481" s="150">
        <f t="shared" si="215"/>
        <v>0</v>
      </c>
      <c r="V481" s="150">
        <f t="shared" si="215"/>
        <v>0</v>
      </c>
      <c r="W481" s="150">
        <f t="shared" si="215"/>
        <v>0</v>
      </c>
      <c r="X481" s="150">
        <f t="shared" si="215"/>
        <v>0</v>
      </c>
      <c r="Y481" s="150">
        <f t="shared" si="215"/>
        <v>0</v>
      </c>
      <c r="Z481" s="150">
        <f t="shared" si="215"/>
        <v>0</v>
      </c>
      <c r="AA481" s="150">
        <f t="shared" si="215"/>
        <v>0</v>
      </c>
      <c r="AB481" s="150">
        <f t="shared" si="215"/>
        <v>0</v>
      </c>
      <c r="AC481" s="150">
        <f t="shared" si="215"/>
        <v>0</v>
      </c>
      <c r="AD481" s="150">
        <f t="shared" si="215"/>
        <v>0</v>
      </c>
      <c r="AE481" s="150">
        <f t="shared" si="215"/>
        <v>0</v>
      </c>
      <c r="AF481" s="150">
        <f t="shared" si="215"/>
        <v>0</v>
      </c>
      <c r="AG481" s="150">
        <f t="shared" si="215"/>
        <v>0</v>
      </c>
      <c r="AH481" s="150">
        <f t="shared" si="215"/>
        <v>0</v>
      </c>
      <c r="AI481" s="150">
        <f t="shared" si="215"/>
        <v>0</v>
      </c>
      <c r="AJ481" s="150">
        <f t="shared" si="215"/>
        <v>0</v>
      </c>
      <c r="AK481" s="150">
        <f t="shared" si="215"/>
        <v>0</v>
      </c>
      <c r="AL481" s="150">
        <f t="shared" si="215"/>
        <v>0</v>
      </c>
      <c r="AM481" s="150">
        <f t="shared" si="215"/>
        <v>0</v>
      </c>
      <c r="AN481" s="150">
        <f t="shared" si="215"/>
        <v>0</v>
      </c>
      <c r="AO481" s="150">
        <f t="shared" si="215"/>
        <v>0</v>
      </c>
      <c r="AP481" s="150">
        <f t="shared" si="215"/>
        <v>0</v>
      </c>
    </row>
    <row r="482" spans="1:42" x14ac:dyDescent="0.2">
      <c r="A482" s="4">
        <f t="shared" si="212"/>
        <v>6</v>
      </c>
      <c r="C482" s="150">
        <f t="shared" ref="C482:AP482" si="216">C343</f>
        <v>0</v>
      </c>
      <c r="D482" s="150">
        <f t="shared" si="216"/>
        <v>0</v>
      </c>
      <c r="E482" s="150">
        <f t="shared" si="216"/>
        <v>0</v>
      </c>
      <c r="F482" s="150">
        <f t="shared" si="216"/>
        <v>0</v>
      </c>
      <c r="G482" s="150">
        <f t="shared" si="216"/>
        <v>0</v>
      </c>
      <c r="H482" s="150">
        <f t="shared" si="216"/>
        <v>0</v>
      </c>
      <c r="I482" s="150">
        <f t="shared" si="216"/>
        <v>0</v>
      </c>
      <c r="J482" s="150">
        <f t="shared" si="216"/>
        <v>0</v>
      </c>
      <c r="K482" s="150">
        <f t="shared" si="216"/>
        <v>0</v>
      </c>
      <c r="L482" s="150">
        <f t="shared" si="216"/>
        <v>0</v>
      </c>
      <c r="M482" s="150">
        <f t="shared" si="216"/>
        <v>0</v>
      </c>
      <c r="N482" s="150">
        <f t="shared" si="216"/>
        <v>0</v>
      </c>
      <c r="O482" s="150">
        <f t="shared" si="216"/>
        <v>0</v>
      </c>
      <c r="P482" s="150">
        <f t="shared" si="216"/>
        <v>0</v>
      </c>
      <c r="Q482" s="150">
        <f t="shared" si="216"/>
        <v>0</v>
      </c>
      <c r="R482" s="150">
        <f t="shared" si="216"/>
        <v>0</v>
      </c>
      <c r="S482" s="150">
        <f t="shared" si="216"/>
        <v>0</v>
      </c>
      <c r="T482" s="150">
        <f t="shared" si="216"/>
        <v>0</v>
      </c>
      <c r="U482" s="150">
        <f t="shared" si="216"/>
        <v>0</v>
      </c>
      <c r="V482" s="150">
        <f t="shared" si="216"/>
        <v>0</v>
      </c>
      <c r="W482" s="150">
        <f t="shared" si="216"/>
        <v>0</v>
      </c>
      <c r="X482" s="150">
        <f t="shared" si="216"/>
        <v>0</v>
      </c>
      <c r="Y482" s="150">
        <f t="shared" si="216"/>
        <v>0</v>
      </c>
      <c r="Z482" s="150">
        <f t="shared" si="216"/>
        <v>0</v>
      </c>
      <c r="AA482" s="150">
        <f t="shared" si="216"/>
        <v>0</v>
      </c>
      <c r="AB482" s="150">
        <f t="shared" si="216"/>
        <v>0</v>
      </c>
      <c r="AC482" s="150">
        <f t="shared" si="216"/>
        <v>0</v>
      </c>
      <c r="AD482" s="150">
        <f t="shared" si="216"/>
        <v>0</v>
      </c>
      <c r="AE482" s="150">
        <f t="shared" si="216"/>
        <v>0</v>
      </c>
      <c r="AF482" s="150">
        <f t="shared" si="216"/>
        <v>0</v>
      </c>
      <c r="AG482" s="150">
        <f t="shared" si="216"/>
        <v>0</v>
      </c>
      <c r="AH482" s="150">
        <f t="shared" si="216"/>
        <v>0</v>
      </c>
      <c r="AI482" s="150">
        <f t="shared" si="216"/>
        <v>0</v>
      </c>
      <c r="AJ482" s="150">
        <f t="shared" si="216"/>
        <v>0</v>
      </c>
      <c r="AK482" s="150">
        <f t="shared" si="216"/>
        <v>0</v>
      </c>
      <c r="AL482" s="150">
        <f t="shared" si="216"/>
        <v>0</v>
      </c>
      <c r="AM482" s="150">
        <f t="shared" si="216"/>
        <v>0</v>
      </c>
      <c r="AN482" s="150">
        <f t="shared" si="216"/>
        <v>0</v>
      </c>
      <c r="AO482" s="150">
        <f t="shared" si="216"/>
        <v>0</v>
      </c>
      <c r="AP482" s="150">
        <f t="shared" si="216"/>
        <v>0</v>
      </c>
    </row>
    <row r="483" spans="1:42" x14ac:dyDescent="0.2">
      <c r="A483" s="4">
        <f t="shared" si="212"/>
        <v>7</v>
      </c>
      <c r="C483" s="150">
        <f t="shared" ref="C483:AP483" si="217">C344</f>
        <v>0</v>
      </c>
      <c r="D483" s="150">
        <f t="shared" si="217"/>
        <v>0</v>
      </c>
      <c r="E483" s="150">
        <f t="shared" si="217"/>
        <v>0</v>
      </c>
      <c r="F483" s="150">
        <f t="shared" si="217"/>
        <v>0</v>
      </c>
      <c r="G483" s="150">
        <f t="shared" si="217"/>
        <v>0</v>
      </c>
      <c r="H483" s="150">
        <f t="shared" si="217"/>
        <v>0</v>
      </c>
      <c r="I483" s="150">
        <f t="shared" si="217"/>
        <v>0</v>
      </c>
      <c r="J483" s="150">
        <f t="shared" si="217"/>
        <v>0</v>
      </c>
      <c r="K483" s="150">
        <f t="shared" si="217"/>
        <v>0</v>
      </c>
      <c r="L483" s="150">
        <f t="shared" si="217"/>
        <v>0</v>
      </c>
      <c r="M483" s="150">
        <f t="shared" si="217"/>
        <v>0</v>
      </c>
      <c r="N483" s="150">
        <f t="shared" si="217"/>
        <v>0</v>
      </c>
      <c r="O483" s="150">
        <f t="shared" si="217"/>
        <v>0</v>
      </c>
      <c r="P483" s="150">
        <f t="shared" si="217"/>
        <v>0</v>
      </c>
      <c r="Q483" s="150">
        <f t="shared" si="217"/>
        <v>0</v>
      </c>
      <c r="R483" s="150">
        <f t="shared" si="217"/>
        <v>0</v>
      </c>
      <c r="S483" s="150">
        <f t="shared" si="217"/>
        <v>0</v>
      </c>
      <c r="T483" s="150">
        <f t="shared" si="217"/>
        <v>0</v>
      </c>
      <c r="U483" s="150">
        <f t="shared" si="217"/>
        <v>0</v>
      </c>
      <c r="V483" s="150">
        <f t="shared" si="217"/>
        <v>0</v>
      </c>
      <c r="W483" s="150">
        <f t="shared" si="217"/>
        <v>0</v>
      </c>
      <c r="X483" s="150">
        <f t="shared" si="217"/>
        <v>0</v>
      </c>
      <c r="Y483" s="150">
        <f t="shared" si="217"/>
        <v>0</v>
      </c>
      <c r="Z483" s="150">
        <f t="shared" si="217"/>
        <v>0</v>
      </c>
      <c r="AA483" s="150">
        <f t="shared" si="217"/>
        <v>0</v>
      </c>
      <c r="AB483" s="150">
        <f t="shared" si="217"/>
        <v>0</v>
      </c>
      <c r="AC483" s="150">
        <f t="shared" si="217"/>
        <v>0</v>
      </c>
      <c r="AD483" s="150">
        <f t="shared" si="217"/>
        <v>0</v>
      </c>
      <c r="AE483" s="150">
        <f t="shared" si="217"/>
        <v>0</v>
      </c>
      <c r="AF483" s="150">
        <f t="shared" si="217"/>
        <v>0</v>
      </c>
      <c r="AG483" s="150">
        <f t="shared" si="217"/>
        <v>0</v>
      </c>
      <c r="AH483" s="150">
        <f t="shared" si="217"/>
        <v>0</v>
      </c>
      <c r="AI483" s="150">
        <f t="shared" si="217"/>
        <v>0</v>
      </c>
      <c r="AJ483" s="150">
        <f t="shared" si="217"/>
        <v>0</v>
      </c>
      <c r="AK483" s="150">
        <f t="shared" si="217"/>
        <v>0</v>
      </c>
      <c r="AL483" s="150">
        <f t="shared" si="217"/>
        <v>0</v>
      </c>
      <c r="AM483" s="150">
        <f t="shared" si="217"/>
        <v>0</v>
      </c>
      <c r="AN483" s="150">
        <f t="shared" si="217"/>
        <v>0</v>
      </c>
      <c r="AO483" s="150">
        <f t="shared" si="217"/>
        <v>0</v>
      </c>
      <c r="AP483" s="150">
        <f t="shared" si="217"/>
        <v>0</v>
      </c>
    </row>
    <row r="484" spans="1:42" x14ac:dyDescent="0.2">
      <c r="A484" s="4">
        <f t="shared" si="212"/>
        <v>8</v>
      </c>
      <c r="C484" s="150">
        <f t="shared" ref="C484:AP484" si="218">C345</f>
        <v>0</v>
      </c>
      <c r="D484" s="150">
        <f t="shared" si="218"/>
        <v>0</v>
      </c>
      <c r="E484" s="150">
        <f t="shared" si="218"/>
        <v>0</v>
      </c>
      <c r="F484" s="150">
        <f t="shared" si="218"/>
        <v>0</v>
      </c>
      <c r="G484" s="150">
        <f t="shared" si="218"/>
        <v>0</v>
      </c>
      <c r="H484" s="150">
        <f t="shared" si="218"/>
        <v>0</v>
      </c>
      <c r="I484" s="150">
        <f t="shared" si="218"/>
        <v>0</v>
      </c>
      <c r="J484" s="150">
        <f t="shared" si="218"/>
        <v>0</v>
      </c>
      <c r="K484" s="150">
        <f t="shared" si="218"/>
        <v>0</v>
      </c>
      <c r="L484" s="150">
        <f t="shared" si="218"/>
        <v>0</v>
      </c>
      <c r="M484" s="150">
        <f t="shared" si="218"/>
        <v>0</v>
      </c>
      <c r="N484" s="150">
        <f t="shared" si="218"/>
        <v>0</v>
      </c>
      <c r="O484" s="150">
        <f t="shared" si="218"/>
        <v>0</v>
      </c>
      <c r="P484" s="150">
        <f t="shared" si="218"/>
        <v>0</v>
      </c>
      <c r="Q484" s="150">
        <f t="shared" si="218"/>
        <v>0</v>
      </c>
      <c r="R484" s="150">
        <f t="shared" si="218"/>
        <v>0</v>
      </c>
      <c r="S484" s="150">
        <f t="shared" si="218"/>
        <v>0</v>
      </c>
      <c r="T484" s="150">
        <f t="shared" si="218"/>
        <v>0</v>
      </c>
      <c r="U484" s="150">
        <f t="shared" si="218"/>
        <v>0</v>
      </c>
      <c r="V484" s="150">
        <f t="shared" si="218"/>
        <v>0</v>
      </c>
      <c r="W484" s="150">
        <f t="shared" si="218"/>
        <v>0</v>
      </c>
      <c r="X484" s="150">
        <f t="shared" si="218"/>
        <v>0</v>
      </c>
      <c r="Y484" s="150">
        <f t="shared" si="218"/>
        <v>0</v>
      </c>
      <c r="Z484" s="150">
        <f t="shared" si="218"/>
        <v>0</v>
      </c>
      <c r="AA484" s="150">
        <f t="shared" si="218"/>
        <v>0</v>
      </c>
      <c r="AB484" s="150">
        <f t="shared" si="218"/>
        <v>0</v>
      </c>
      <c r="AC484" s="150">
        <f t="shared" si="218"/>
        <v>0</v>
      </c>
      <c r="AD484" s="150">
        <f t="shared" si="218"/>
        <v>0</v>
      </c>
      <c r="AE484" s="150">
        <f t="shared" si="218"/>
        <v>0</v>
      </c>
      <c r="AF484" s="150">
        <f t="shared" si="218"/>
        <v>0</v>
      </c>
      <c r="AG484" s="150">
        <f t="shared" si="218"/>
        <v>0</v>
      </c>
      <c r="AH484" s="150">
        <f t="shared" si="218"/>
        <v>0</v>
      </c>
      <c r="AI484" s="150">
        <f t="shared" si="218"/>
        <v>0</v>
      </c>
      <c r="AJ484" s="150">
        <f t="shared" si="218"/>
        <v>0</v>
      </c>
      <c r="AK484" s="150">
        <f t="shared" si="218"/>
        <v>0</v>
      </c>
      <c r="AL484" s="150">
        <f t="shared" si="218"/>
        <v>0</v>
      </c>
      <c r="AM484" s="150">
        <f t="shared" si="218"/>
        <v>0</v>
      </c>
      <c r="AN484" s="150">
        <f t="shared" si="218"/>
        <v>0</v>
      </c>
      <c r="AO484" s="150">
        <f t="shared" si="218"/>
        <v>0</v>
      </c>
      <c r="AP484" s="150">
        <f t="shared" si="218"/>
        <v>0</v>
      </c>
    </row>
    <row r="485" spans="1:42" x14ac:dyDescent="0.2">
      <c r="A485" s="4">
        <f>A484+1</f>
        <v>9</v>
      </c>
      <c r="C485" s="150">
        <f t="shared" ref="C485:AP485" si="219">C346</f>
        <v>0</v>
      </c>
      <c r="D485" s="150">
        <f t="shared" si="219"/>
        <v>0</v>
      </c>
      <c r="E485" s="150">
        <f t="shared" si="219"/>
        <v>0</v>
      </c>
      <c r="F485" s="150">
        <f t="shared" si="219"/>
        <v>0</v>
      </c>
      <c r="G485" s="150">
        <f t="shared" si="219"/>
        <v>0</v>
      </c>
      <c r="H485" s="150">
        <f t="shared" si="219"/>
        <v>0</v>
      </c>
      <c r="I485" s="150">
        <f t="shared" si="219"/>
        <v>0</v>
      </c>
      <c r="J485" s="150">
        <f t="shared" si="219"/>
        <v>0</v>
      </c>
      <c r="K485" s="150">
        <f t="shared" si="219"/>
        <v>0</v>
      </c>
      <c r="L485" s="150">
        <f t="shared" si="219"/>
        <v>0</v>
      </c>
      <c r="M485" s="150">
        <f t="shared" si="219"/>
        <v>0</v>
      </c>
      <c r="N485" s="150">
        <f t="shared" si="219"/>
        <v>0</v>
      </c>
      <c r="O485" s="150">
        <f t="shared" si="219"/>
        <v>0</v>
      </c>
      <c r="P485" s="150">
        <f t="shared" si="219"/>
        <v>0</v>
      </c>
      <c r="Q485" s="150">
        <f t="shared" si="219"/>
        <v>0</v>
      </c>
      <c r="R485" s="150">
        <f t="shared" si="219"/>
        <v>0</v>
      </c>
      <c r="S485" s="150">
        <f t="shared" si="219"/>
        <v>0</v>
      </c>
      <c r="T485" s="150">
        <f t="shared" si="219"/>
        <v>0</v>
      </c>
      <c r="U485" s="150">
        <f t="shared" si="219"/>
        <v>0</v>
      </c>
      <c r="V485" s="150">
        <f t="shared" si="219"/>
        <v>0</v>
      </c>
      <c r="W485" s="150">
        <f t="shared" si="219"/>
        <v>0</v>
      </c>
      <c r="X485" s="150">
        <f t="shared" si="219"/>
        <v>0</v>
      </c>
      <c r="Y485" s="150">
        <f t="shared" si="219"/>
        <v>0</v>
      </c>
      <c r="Z485" s="150">
        <f t="shared" si="219"/>
        <v>0</v>
      </c>
      <c r="AA485" s="150">
        <f t="shared" si="219"/>
        <v>0</v>
      </c>
      <c r="AB485" s="150">
        <f t="shared" si="219"/>
        <v>0</v>
      </c>
      <c r="AC485" s="150">
        <f t="shared" si="219"/>
        <v>0</v>
      </c>
      <c r="AD485" s="150">
        <f t="shared" si="219"/>
        <v>0</v>
      </c>
      <c r="AE485" s="150">
        <f t="shared" si="219"/>
        <v>0</v>
      </c>
      <c r="AF485" s="150">
        <f t="shared" si="219"/>
        <v>0</v>
      </c>
      <c r="AG485" s="150">
        <f t="shared" si="219"/>
        <v>0</v>
      </c>
      <c r="AH485" s="150">
        <f t="shared" si="219"/>
        <v>0</v>
      </c>
      <c r="AI485" s="150">
        <f t="shared" si="219"/>
        <v>0</v>
      </c>
      <c r="AJ485" s="150">
        <f t="shared" si="219"/>
        <v>0</v>
      </c>
      <c r="AK485" s="150">
        <f t="shared" si="219"/>
        <v>0</v>
      </c>
      <c r="AL485" s="150">
        <f t="shared" si="219"/>
        <v>0</v>
      </c>
      <c r="AM485" s="150">
        <f t="shared" si="219"/>
        <v>0</v>
      </c>
      <c r="AN485" s="150">
        <f t="shared" si="219"/>
        <v>0</v>
      </c>
      <c r="AO485" s="150">
        <f t="shared" si="219"/>
        <v>0</v>
      </c>
      <c r="AP485" s="150">
        <f t="shared" si="219"/>
        <v>0</v>
      </c>
    </row>
    <row r="486" spans="1:42" x14ac:dyDescent="0.2">
      <c r="A486" s="4">
        <f t="shared" ref="A486" si="220">A485+1</f>
        <v>10</v>
      </c>
      <c r="C486" s="150">
        <f t="shared" ref="C486:AP486" si="221">C347</f>
        <v>0</v>
      </c>
      <c r="D486" s="150">
        <f t="shared" si="221"/>
        <v>0</v>
      </c>
      <c r="E486" s="150">
        <f t="shared" si="221"/>
        <v>0</v>
      </c>
      <c r="F486" s="150">
        <f t="shared" si="221"/>
        <v>0</v>
      </c>
      <c r="G486" s="150">
        <f t="shared" si="221"/>
        <v>0</v>
      </c>
      <c r="H486" s="150">
        <f t="shared" si="221"/>
        <v>0</v>
      </c>
      <c r="I486" s="150">
        <f t="shared" si="221"/>
        <v>0</v>
      </c>
      <c r="J486" s="150">
        <f t="shared" si="221"/>
        <v>0</v>
      </c>
      <c r="K486" s="150">
        <f t="shared" si="221"/>
        <v>0</v>
      </c>
      <c r="L486" s="150">
        <f t="shared" si="221"/>
        <v>0</v>
      </c>
      <c r="M486" s="150">
        <f t="shared" si="221"/>
        <v>0</v>
      </c>
      <c r="N486" s="150">
        <f t="shared" si="221"/>
        <v>0</v>
      </c>
      <c r="O486" s="150">
        <f t="shared" si="221"/>
        <v>0</v>
      </c>
      <c r="P486" s="150">
        <f t="shared" si="221"/>
        <v>0</v>
      </c>
      <c r="Q486" s="150">
        <f t="shared" si="221"/>
        <v>0</v>
      </c>
      <c r="R486" s="150">
        <f t="shared" si="221"/>
        <v>0</v>
      </c>
      <c r="S486" s="150">
        <f t="shared" si="221"/>
        <v>0</v>
      </c>
      <c r="T486" s="150">
        <f t="shared" si="221"/>
        <v>0</v>
      </c>
      <c r="U486" s="150">
        <f t="shared" si="221"/>
        <v>0</v>
      </c>
      <c r="V486" s="150">
        <f t="shared" si="221"/>
        <v>0</v>
      </c>
      <c r="W486" s="150">
        <f t="shared" si="221"/>
        <v>0</v>
      </c>
      <c r="X486" s="150">
        <f t="shared" si="221"/>
        <v>0</v>
      </c>
      <c r="Y486" s="150">
        <f t="shared" si="221"/>
        <v>0</v>
      </c>
      <c r="Z486" s="150">
        <f t="shared" si="221"/>
        <v>0</v>
      </c>
      <c r="AA486" s="150">
        <f t="shared" si="221"/>
        <v>0</v>
      </c>
      <c r="AB486" s="150">
        <f t="shared" si="221"/>
        <v>0</v>
      </c>
      <c r="AC486" s="150">
        <f t="shared" si="221"/>
        <v>0</v>
      </c>
      <c r="AD486" s="150">
        <f t="shared" si="221"/>
        <v>0</v>
      </c>
      <c r="AE486" s="150">
        <f t="shared" si="221"/>
        <v>0</v>
      </c>
      <c r="AF486" s="150">
        <f t="shared" si="221"/>
        <v>0</v>
      </c>
      <c r="AG486" s="150">
        <f t="shared" si="221"/>
        <v>0</v>
      </c>
      <c r="AH486" s="150">
        <f t="shared" si="221"/>
        <v>0</v>
      </c>
      <c r="AI486" s="150">
        <f t="shared" si="221"/>
        <v>0</v>
      </c>
      <c r="AJ486" s="150">
        <f t="shared" si="221"/>
        <v>0</v>
      </c>
      <c r="AK486" s="150">
        <f t="shared" si="221"/>
        <v>0</v>
      </c>
      <c r="AL486" s="150">
        <f t="shared" si="221"/>
        <v>0</v>
      </c>
      <c r="AM486" s="150">
        <f t="shared" si="221"/>
        <v>0</v>
      </c>
      <c r="AN486" s="150">
        <f t="shared" si="221"/>
        <v>0</v>
      </c>
      <c r="AO486" s="150">
        <f t="shared" si="221"/>
        <v>0</v>
      </c>
      <c r="AP486" s="150">
        <f t="shared" si="221"/>
        <v>0</v>
      </c>
    </row>
    <row r="487" spans="1:42" x14ac:dyDescent="0.2">
      <c r="A487" s="21"/>
      <c r="C487" s="150"/>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row>
    <row r="488" spans="1:42" x14ac:dyDescent="0.2">
      <c r="A488" s="87" t="s">
        <v>63</v>
      </c>
      <c r="C488" s="150"/>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row>
    <row r="489" spans="1:42" x14ac:dyDescent="0.2">
      <c r="A489" s="4">
        <v>1</v>
      </c>
      <c r="B489" s="140">
        <f t="shared" ref="B489:B498" si="222">SUM(C489:AP489)</f>
        <v>0</v>
      </c>
      <c r="C489" s="150">
        <f t="shared" ref="C489:AP489" si="223">LOOKUP(C477,$B$446:$AP$446,$B$447:$AP$447)*$B682/100</f>
        <v>0</v>
      </c>
      <c r="D489" s="150">
        <f t="shared" si="223"/>
        <v>0</v>
      </c>
      <c r="E489" s="150">
        <f t="shared" si="223"/>
        <v>0</v>
      </c>
      <c r="F489" s="150">
        <f t="shared" si="223"/>
        <v>0</v>
      </c>
      <c r="G489" s="150">
        <f t="shared" si="223"/>
        <v>0</v>
      </c>
      <c r="H489" s="150">
        <f t="shared" si="223"/>
        <v>0</v>
      </c>
      <c r="I489" s="150">
        <f t="shared" si="223"/>
        <v>0</v>
      </c>
      <c r="J489" s="150">
        <f t="shared" si="223"/>
        <v>0</v>
      </c>
      <c r="K489" s="150">
        <f t="shared" si="223"/>
        <v>0</v>
      </c>
      <c r="L489" s="150">
        <f t="shared" si="223"/>
        <v>0</v>
      </c>
      <c r="M489" s="150">
        <f t="shared" si="223"/>
        <v>0</v>
      </c>
      <c r="N489" s="150">
        <f t="shared" si="223"/>
        <v>0</v>
      </c>
      <c r="O489" s="150">
        <f t="shared" si="223"/>
        <v>0</v>
      </c>
      <c r="P489" s="150">
        <f t="shared" si="223"/>
        <v>0</v>
      </c>
      <c r="Q489" s="150">
        <f t="shared" si="223"/>
        <v>0</v>
      </c>
      <c r="R489" s="150">
        <f t="shared" si="223"/>
        <v>0</v>
      </c>
      <c r="S489" s="150">
        <f t="shared" si="223"/>
        <v>0</v>
      </c>
      <c r="T489" s="150">
        <f t="shared" si="223"/>
        <v>0</v>
      </c>
      <c r="U489" s="150">
        <f t="shared" si="223"/>
        <v>0</v>
      </c>
      <c r="V489" s="150">
        <f t="shared" si="223"/>
        <v>0</v>
      </c>
      <c r="W489" s="150">
        <f t="shared" si="223"/>
        <v>0</v>
      </c>
      <c r="X489" s="150">
        <f t="shared" si="223"/>
        <v>0</v>
      </c>
      <c r="Y489" s="150">
        <f t="shared" si="223"/>
        <v>0</v>
      </c>
      <c r="Z489" s="150">
        <f t="shared" si="223"/>
        <v>0</v>
      </c>
      <c r="AA489" s="150">
        <f t="shared" si="223"/>
        <v>0</v>
      </c>
      <c r="AB489" s="150">
        <f t="shared" si="223"/>
        <v>0</v>
      </c>
      <c r="AC489" s="150">
        <f t="shared" si="223"/>
        <v>0</v>
      </c>
      <c r="AD489" s="150">
        <f t="shared" si="223"/>
        <v>0</v>
      </c>
      <c r="AE489" s="150">
        <f t="shared" si="223"/>
        <v>0</v>
      </c>
      <c r="AF489" s="150">
        <f t="shared" si="223"/>
        <v>0</v>
      </c>
      <c r="AG489" s="150">
        <f t="shared" si="223"/>
        <v>0</v>
      </c>
      <c r="AH489" s="150">
        <f t="shared" si="223"/>
        <v>0</v>
      </c>
      <c r="AI489" s="150">
        <f t="shared" si="223"/>
        <v>0</v>
      </c>
      <c r="AJ489" s="150">
        <f t="shared" si="223"/>
        <v>0</v>
      </c>
      <c r="AK489" s="150">
        <f t="shared" si="223"/>
        <v>0</v>
      </c>
      <c r="AL489" s="150">
        <f t="shared" si="223"/>
        <v>0</v>
      </c>
      <c r="AM489" s="150">
        <f t="shared" si="223"/>
        <v>0</v>
      </c>
      <c r="AN489" s="150">
        <f t="shared" si="223"/>
        <v>0</v>
      </c>
      <c r="AO489" s="150">
        <f t="shared" si="223"/>
        <v>0</v>
      </c>
      <c r="AP489" s="150">
        <f t="shared" si="223"/>
        <v>0</v>
      </c>
    </row>
    <row r="490" spans="1:42" x14ac:dyDescent="0.2">
      <c r="A490" s="4">
        <f>A489+1</f>
        <v>2</v>
      </c>
      <c r="B490" s="140">
        <f t="shared" si="222"/>
        <v>0</v>
      </c>
      <c r="C490" s="150">
        <f t="shared" ref="C490:AP490" si="224">LOOKUP(C478,$B$446:$AP$446,$B$447:$AP$447)*$B683/100</f>
        <v>0</v>
      </c>
      <c r="D490" s="150">
        <f t="shared" si="224"/>
        <v>0</v>
      </c>
      <c r="E490" s="150">
        <f t="shared" si="224"/>
        <v>0</v>
      </c>
      <c r="F490" s="150">
        <f t="shared" si="224"/>
        <v>0</v>
      </c>
      <c r="G490" s="150">
        <f t="shared" si="224"/>
        <v>0</v>
      </c>
      <c r="H490" s="150">
        <f t="shared" si="224"/>
        <v>0</v>
      </c>
      <c r="I490" s="150">
        <f t="shared" si="224"/>
        <v>0</v>
      </c>
      <c r="J490" s="150">
        <f t="shared" si="224"/>
        <v>0</v>
      </c>
      <c r="K490" s="150">
        <f t="shared" si="224"/>
        <v>0</v>
      </c>
      <c r="L490" s="150">
        <f t="shared" si="224"/>
        <v>0</v>
      </c>
      <c r="M490" s="150">
        <f t="shared" si="224"/>
        <v>0</v>
      </c>
      <c r="N490" s="150">
        <f t="shared" si="224"/>
        <v>0</v>
      </c>
      <c r="O490" s="150">
        <f t="shared" si="224"/>
        <v>0</v>
      </c>
      <c r="P490" s="150">
        <f t="shared" si="224"/>
        <v>0</v>
      </c>
      <c r="Q490" s="150">
        <f t="shared" si="224"/>
        <v>0</v>
      </c>
      <c r="R490" s="150">
        <f t="shared" si="224"/>
        <v>0</v>
      </c>
      <c r="S490" s="150">
        <f t="shared" si="224"/>
        <v>0</v>
      </c>
      <c r="T490" s="150">
        <f t="shared" si="224"/>
        <v>0</v>
      </c>
      <c r="U490" s="150">
        <f t="shared" si="224"/>
        <v>0</v>
      </c>
      <c r="V490" s="150">
        <f t="shared" si="224"/>
        <v>0</v>
      </c>
      <c r="W490" s="150">
        <f t="shared" si="224"/>
        <v>0</v>
      </c>
      <c r="X490" s="150">
        <f t="shared" si="224"/>
        <v>0</v>
      </c>
      <c r="Y490" s="150">
        <f t="shared" si="224"/>
        <v>0</v>
      </c>
      <c r="Z490" s="150">
        <f t="shared" si="224"/>
        <v>0</v>
      </c>
      <c r="AA490" s="150">
        <f t="shared" si="224"/>
        <v>0</v>
      </c>
      <c r="AB490" s="150">
        <f t="shared" si="224"/>
        <v>0</v>
      </c>
      <c r="AC490" s="150">
        <f t="shared" si="224"/>
        <v>0</v>
      </c>
      <c r="AD490" s="150">
        <f t="shared" si="224"/>
        <v>0</v>
      </c>
      <c r="AE490" s="150">
        <f t="shared" si="224"/>
        <v>0</v>
      </c>
      <c r="AF490" s="150">
        <f t="shared" si="224"/>
        <v>0</v>
      </c>
      <c r="AG490" s="150">
        <f t="shared" si="224"/>
        <v>0</v>
      </c>
      <c r="AH490" s="150">
        <f t="shared" si="224"/>
        <v>0</v>
      </c>
      <c r="AI490" s="150">
        <f t="shared" si="224"/>
        <v>0</v>
      </c>
      <c r="AJ490" s="150">
        <f t="shared" si="224"/>
        <v>0</v>
      </c>
      <c r="AK490" s="150">
        <f t="shared" si="224"/>
        <v>0</v>
      </c>
      <c r="AL490" s="150">
        <f t="shared" si="224"/>
        <v>0</v>
      </c>
      <c r="AM490" s="150">
        <f t="shared" si="224"/>
        <v>0</v>
      </c>
      <c r="AN490" s="150">
        <f t="shared" si="224"/>
        <v>0</v>
      </c>
      <c r="AO490" s="150">
        <f t="shared" si="224"/>
        <v>0</v>
      </c>
      <c r="AP490" s="150">
        <f t="shared" si="224"/>
        <v>0</v>
      </c>
    </row>
    <row r="491" spans="1:42" x14ac:dyDescent="0.2">
      <c r="A491" s="4">
        <f t="shared" ref="A491:A496" si="225">A490+1</f>
        <v>3</v>
      </c>
      <c r="B491" s="140">
        <f t="shared" si="222"/>
        <v>0</v>
      </c>
      <c r="C491" s="150">
        <f t="shared" ref="C491:AP491" si="226">LOOKUP(C479,$B$446:$AP$446,$B$447:$AP$447)*$B684/100</f>
        <v>0</v>
      </c>
      <c r="D491" s="150">
        <f t="shared" si="226"/>
        <v>0</v>
      </c>
      <c r="E491" s="150">
        <f t="shared" si="226"/>
        <v>0</v>
      </c>
      <c r="F491" s="150">
        <f t="shared" si="226"/>
        <v>0</v>
      </c>
      <c r="G491" s="150">
        <f t="shared" si="226"/>
        <v>0</v>
      </c>
      <c r="H491" s="150">
        <f t="shared" si="226"/>
        <v>0</v>
      </c>
      <c r="I491" s="150">
        <f t="shared" si="226"/>
        <v>0</v>
      </c>
      <c r="J491" s="150">
        <f t="shared" si="226"/>
        <v>0</v>
      </c>
      <c r="K491" s="150">
        <f t="shared" si="226"/>
        <v>0</v>
      </c>
      <c r="L491" s="150">
        <f t="shared" si="226"/>
        <v>0</v>
      </c>
      <c r="M491" s="150">
        <f t="shared" si="226"/>
        <v>0</v>
      </c>
      <c r="N491" s="150">
        <f t="shared" si="226"/>
        <v>0</v>
      </c>
      <c r="O491" s="150">
        <f t="shared" si="226"/>
        <v>0</v>
      </c>
      <c r="P491" s="150">
        <f t="shared" si="226"/>
        <v>0</v>
      </c>
      <c r="Q491" s="150">
        <f t="shared" si="226"/>
        <v>0</v>
      </c>
      <c r="R491" s="150">
        <f t="shared" si="226"/>
        <v>0</v>
      </c>
      <c r="S491" s="150">
        <f t="shared" si="226"/>
        <v>0</v>
      </c>
      <c r="T491" s="150">
        <f t="shared" si="226"/>
        <v>0</v>
      </c>
      <c r="U491" s="150">
        <f t="shared" si="226"/>
        <v>0</v>
      </c>
      <c r="V491" s="150">
        <f t="shared" si="226"/>
        <v>0</v>
      </c>
      <c r="W491" s="150">
        <f t="shared" si="226"/>
        <v>0</v>
      </c>
      <c r="X491" s="150">
        <f t="shared" si="226"/>
        <v>0</v>
      </c>
      <c r="Y491" s="150">
        <f t="shared" si="226"/>
        <v>0</v>
      </c>
      <c r="Z491" s="150">
        <f t="shared" si="226"/>
        <v>0</v>
      </c>
      <c r="AA491" s="150">
        <f t="shared" si="226"/>
        <v>0</v>
      </c>
      <c r="AB491" s="150">
        <f t="shared" si="226"/>
        <v>0</v>
      </c>
      <c r="AC491" s="150">
        <f t="shared" si="226"/>
        <v>0</v>
      </c>
      <c r="AD491" s="150">
        <f t="shared" si="226"/>
        <v>0</v>
      </c>
      <c r="AE491" s="150">
        <f t="shared" si="226"/>
        <v>0</v>
      </c>
      <c r="AF491" s="150">
        <f t="shared" si="226"/>
        <v>0</v>
      </c>
      <c r="AG491" s="150">
        <f t="shared" si="226"/>
        <v>0</v>
      </c>
      <c r="AH491" s="150">
        <f t="shared" si="226"/>
        <v>0</v>
      </c>
      <c r="AI491" s="150">
        <f t="shared" si="226"/>
        <v>0</v>
      </c>
      <c r="AJ491" s="150">
        <f t="shared" si="226"/>
        <v>0</v>
      </c>
      <c r="AK491" s="150">
        <f t="shared" si="226"/>
        <v>0</v>
      </c>
      <c r="AL491" s="150">
        <f t="shared" si="226"/>
        <v>0</v>
      </c>
      <c r="AM491" s="150">
        <f t="shared" si="226"/>
        <v>0</v>
      </c>
      <c r="AN491" s="150">
        <f t="shared" si="226"/>
        <v>0</v>
      </c>
      <c r="AO491" s="150">
        <f t="shared" si="226"/>
        <v>0</v>
      </c>
      <c r="AP491" s="150">
        <f t="shared" si="226"/>
        <v>0</v>
      </c>
    </row>
    <row r="492" spans="1:42" x14ac:dyDescent="0.2">
      <c r="A492" s="4">
        <f t="shared" si="225"/>
        <v>4</v>
      </c>
      <c r="B492" s="140">
        <f t="shared" si="222"/>
        <v>0</v>
      </c>
      <c r="C492" s="150">
        <f t="shared" ref="C492:AP492" si="227">LOOKUP(C480,$B$446:$AP$446,$B$447:$AP$447)*$B685/100</f>
        <v>0</v>
      </c>
      <c r="D492" s="150">
        <f t="shared" si="227"/>
        <v>0</v>
      </c>
      <c r="E492" s="150">
        <f t="shared" si="227"/>
        <v>0</v>
      </c>
      <c r="F492" s="150">
        <f t="shared" si="227"/>
        <v>0</v>
      </c>
      <c r="G492" s="150">
        <f t="shared" si="227"/>
        <v>0</v>
      </c>
      <c r="H492" s="150">
        <f t="shared" si="227"/>
        <v>0</v>
      </c>
      <c r="I492" s="150">
        <f t="shared" si="227"/>
        <v>0</v>
      </c>
      <c r="J492" s="150">
        <f t="shared" si="227"/>
        <v>0</v>
      </c>
      <c r="K492" s="150">
        <f t="shared" si="227"/>
        <v>0</v>
      </c>
      <c r="L492" s="150">
        <f t="shared" si="227"/>
        <v>0</v>
      </c>
      <c r="M492" s="150">
        <f t="shared" si="227"/>
        <v>0</v>
      </c>
      <c r="N492" s="150">
        <f t="shared" si="227"/>
        <v>0</v>
      </c>
      <c r="O492" s="150">
        <f t="shared" si="227"/>
        <v>0</v>
      </c>
      <c r="P492" s="150">
        <f t="shared" si="227"/>
        <v>0</v>
      </c>
      <c r="Q492" s="150">
        <f t="shared" si="227"/>
        <v>0</v>
      </c>
      <c r="R492" s="150">
        <f t="shared" si="227"/>
        <v>0</v>
      </c>
      <c r="S492" s="150">
        <f t="shared" si="227"/>
        <v>0</v>
      </c>
      <c r="T492" s="150">
        <f t="shared" si="227"/>
        <v>0</v>
      </c>
      <c r="U492" s="150">
        <f t="shared" si="227"/>
        <v>0</v>
      </c>
      <c r="V492" s="150">
        <f t="shared" si="227"/>
        <v>0</v>
      </c>
      <c r="W492" s="150">
        <f t="shared" si="227"/>
        <v>0</v>
      </c>
      <c r="X492" s="150">
        <f t="shared" si="227"/>
        <v>0</v>
      </c>
      <c r="Y492" s="150">
        <f t="shared" si="227"/>
        <v>0</v>
      </c>
      <c r="Z492" s="150">
        <f t="shared" si="227"/>
        <v>0</v>
      </c>
      <c r="AA492" s="150">
        <f t="shared" si="227"/>
        <v>0</v>
      </c>
      <c r="AB492" s="150">
        <f t="shared" si="227"/>
        <v>0</v>
      </c>
      <c r="AC492" s="150">
        <f t="shared" si="227"/>
        <v>0</v>
      </c>
      <c r="AD492" s="150">
        <f t="shared" si="227"/>
        <v>0</v>
      </c>
      <c r="AE492" s="150">
        <f t="shared" si="227"/>
        <v>0</v>
      </c>
      <c r="AF492" s="150">
        <f t="shared" si="227"/>
        <v>0</v>
      </c>
      <c r="AG492" s="150">
        <f t="shared" si="227"/>
        <v>0</v>
      </c>
      <c r="AH492" s="150">
        <f t="shared" si="227"/>
        <v>0</v>
      </c>
      <c r="AI492" s="150">
        <f t="shared" si="227"/>
        <v>0</v>
      </c>
      <c r="AJ492" s="150">
        <f t="shared" si="227"/>
        <v>0</v>
      </c>
      <c r="AK492" s="150">
        <f t="shared" si="227"/>
        <v>0</v>
      </c>
      <c r="AL492" s="150">
        <f t="shared" si="227"/>
        <v>0</v>
      </c>
      <c r="AM492" s="150">
        <f t="shared" si="227"/>
        <v>0</v>
      </c>
      <c r="AN492" s="150">
        <f t="shared" si="227"/>
        <v>0</v>
      </c>
      <c r="AO492" s="150">
        <f t="shared" si="227"/>
        <v>0</v>
      </c>
      <c r="AP492" s="150">
        <f t="shared" si="227"/>
        <v>0</v>
      </c>
    </row>
    <row r="493" spans="1:42" x14ac:dyDescent="0.2">
      <c r="A493" s="4">
        <f t="shared" si="225"/>
        <v>5</v>
      </c>
      <c r="B493" s="140">
        <f t="shared" si="222"/>
        <v>0</v>
      </c>
      <c r="C493" s="150">
        <f t="shared" ref="C493:AP493" si="228">LOOKUP(C481,$B$446:$AP$446,$B$447:$AP$447)*$B686/100</f>
        <v>0</v>
      </c>
      <c r="D493" s="150">
        <f t="shared" si="228"/>
        <v>0</v>
      </c>
      <c r="E493" s="150">
        <f t="shared" si="228"/>
        <v>0</v>
      </c>
      <c r="F493" s="150">
        <f t="shared" si="228"/>
        <v>0</v>
      </c>
      <c r="G493" s="150">
        <f t="shared" si="228"/>
        <v>0</v>
      </c>
      <c r="H493" s="150">
        <f t="shared" si="228"/>
        <v>0</v>
      </c>
      <c r="I493" s="150">
        <f t="shared" si="228"/>
        <v>0</v>
      </c>
      <c r="J493" s="150">
        <f t="shared" si="228"/>
        <v>0</v>
      </c>
      <c r="K493" s="150">
        <f t="shared" si="228"/>
        <v>0</v>
      </c>
      <c r="L493" s="150">
        <f t="shared" si="228"/>
        <v>0</v>
      </c>
      <c r="M493" s="150">
        <f t="shared" si="228"/>
        <v>0</v>
      </c>
      <c r="N493" s="150">
        <f t="shared" si="228"/>
        <v>0</v>
      </c>
      <c r="O493" s="150">
        <f t="shared" si="228"/>
        <v>0</v>
      </c>
      <c r="P493" s="150">
        <f t="shared" si="228"/>
        <v>0</v>
      </c>
      <c r="Q493" s="150">
        <f t="shared" si="228"/>
        <v>0</v>
      </c>
      <c r="R493" s="150">
        <f t="shared" si="228"/>
        <v>0</v>
      </c>
      <c r="S493" s="150">
        <f t="shared" si="228"/>
        <v>0</v>
      </c>
      <c r="T493" s="150">
        <f t="shared" si="228"/>
        <v>0</v>
      </c>
      <c r="U493" s="150">
        <f t="shared" si="228"/>
        <v>0</v>
      </c>
      <c r="V493" s="150">
        <f t="shared" si="228"/>
        <v>0</v>
      </c>
      <c r="W493" s="150">
        <f t="shared" si="228"/>
        <v>0</v>
      </c>
      <c r="X493" s="150">
        <f t="shared" si="228"/>
        <v>0</v>
      </c>
      <c r="Y493" s="150">
        <f t="shared" si="228"/>
        <v>0</v>
      </c>
      <c r="Z493" s="150">
        <f t="shared" si="228"/>
        <v>0</v>
      </c>
      <c r="AA493" s="150">
        <f t="shared" si="228"/>
        <v>0</v>
      </c>
      <c r="AB493" s="150">
        <f t="shared" si="228"/>
        <v>0</v>
      </c>
      <c r="AC493" s="150">
        <f t="shared" si="228"/>
        <v>0</v>
      </c>
      <c r="AD493" s="150">
        <f t="shared" si="228"/>
        <v>0</v>
      </c>
      <c r="AE493" s="150">
        <f t="shared" si="228"/>
        <v>0</v>
      </c>
      <c r="AF493" s="150">
        <f t="shared" si="228"/>
        <v>0</v>
      </c>
      <c r="AG493" s="150">
        <f t="shared" si="228"/>
        <v>0</v>
      </c>
      <c r="AH493" s="150">
        <f t="shared" si="228"/>
        <v>0</v>
      </c>
      <c r="AI493" s="150">
        <f t="shared" si="228"/>
        <v>0</v>
      </c>
      <c r="AJ493" s="150">
        <f t="shared" si="228"/>
        <v>0</v>
      </c>
      <c r="AK493" s="150">
        <f t="shared" si="228"/>
        <v>0</v>
      </c>
      <c r="AL493" s="150">
        <f t="shared" si="228"/>
        <v>0</v>
      </c>
      <c r="AM493" s="150">
        <f t="shared" si="228"/>
        <v>0</v>
      </c>
      <c r="AN493" s="150">
        <f t="shared" si="228"/>
        <v>0</v>
      </c>
      <c r="AO493" s="150">
        <f t="shared" si="228"/>
        <v>0</v>
      </c>
      <c r="AP493" s="150">
        <f t="shared" si="228"/>
        <v>0</v>
      </c>
    </row>
    <row r="494" spans="1:42" x14ac:dyDescent="0.2">
      <c r="A494" s="4">
        <f t="shared" si="225"/>
        <v>6</v>
      </c>
      <c r="B494" s="140">
        <f t="shared" si="222"/>
        <v>0</v>
      </c>
      <c r="C494" s="150">
        <f t="shared" ref="C494:AP494" si="229">LOOKUP(C482,$B$446:$AP$446,$B$447:$AP$447)*$B687/100</f>
        <v>0</v>
      </c>
      <c r="D494" s="150">
        <f t="shared" si="229"/>
        <v>0</v>
      </c>
      <c r="E494" s="150">
        <f t="shared" si="229"/>
        <v>0</v>
      </c>
      <c r="F494" s="150">
        <f t="shared" si="229"/>
        <v>0</v>
      </c>
      <c r="G494" s="150">
        <f t="shared" si="229"/>
        <v>0</v>
      </c>
      <c r="H494" s="150">
        <f t="shared" si="229"/>
        <v>0</v>
      </c>
      <c r="I494" s="150">
        <f t="shared" si="229"/>
        <v>0</v>
      </c>
      <c r="J494" s="150">
        <f t="shared" si="229"/>
        <v>0</v>
      </c>
      <c r="K494" s="150">
        <f t="shared" si="229"/>
        <v>0</v>
      </c>
      <c r="L494" s="150">
        <f t="shared" si="229"/>
        <v>0</v>
      </c>
      <c r="M494" s="150">
        <f t="shared" si="229"/>
        <v>0</v>
      </c>
      <c r="N494" s="150">
        <f t="shared" si="229"/>
        <v>0</v>
      </c>
      <c r="O494" s="150">
        <f t="shared" si="229"/>
        <v>0</v>
      </c>
      <c r="P494" s="150">
        <f t="shared" si="229"/>
        <v>0</v>
      </c>
      <c r="Q494" s="150">
        <f t="shared" si="229"/>
        <v>0</v>
      </c>
      <c r="R494" s="150">
        <f t="shared" si="229"/>
        <v>0</v>
      </c>
      <c r="S494" s="150">
        <f t="shared" si="229"/>
        <v>0</v>
      </c>
      <c r="T494" s="150">
        <f t="shared" si="229"/>
        <v>0</v>
      </c>
      <c r="U494" s="150">
        <f t="shared" si="229"/>
        <v>0</v>
      </c>
      <c r="V494" s="150">
        <f t="shared" si="229"/>
        <v>0</v>
      </c>
      <c r="W494" s="150">
        <f t="shared" si="229"/>
        <v>0</v>
      </c>
      <c r="X494" s="150">
        <f t="shared" si="229"/>
        <v>0</v>
      </c>
      <c r="Y494" s="150">
        <f t="shared" si="229"/>
        <v>0</v>
      </c>
      <c r="Z494" s="150">
        <f t="shared" si="229"/>
        <v>0</v>
      </c>
      <c r="AA494" s="150">
        <f t="shared" si="229"/>
        <v>0</v>
      </c>
      <c r="AB494" s="150">
        <f t="shared" si="229"/>
        <v>0</v>
      </c>
      <c r="AC494" s="150">
        <f t="shared" si="229"/>
        <v>0</v>
      </c>
      <c r="AD494" s="150">
        <f t="shared" si="229"/>
        <v>0</v>
      </c>
      <c r="AE494" s="150">
        <f t="shared" si="229"/>
        <v>0</v>
      </c>
      <c r="AF494" s="150">
        <f t="shared" si="229"/>
        <v>0</v>
      </c>
      <c r="AG494" s="150">
        <f t="shared" si="229"/>
        <v>0</v>
      </c>
      <c r="AH494" s="150">
        <f t="shared" si="229"/>
        <v>0</v>
      </c>
      <c r="AI494" s="150">
        <f t="shared" si="229"/>
        <v>0</v>
      </c>
      <c r="AJ494" s="150">
        <f t="shared" si="229"/>
        <v>0</v>
      </c>
      <c r="AK494" s="150">
        <f t="shared" si="229"/>
        <v>0</v>
      </c>
      <c r="AL494" s="150">
        <f t="shared" si="229"/>
        <v>0</v>
      </c>
      <c r="AM494" s="150">
        <f t="shared" si="229"/>
        <v>0</v>
      </c>
      <c r="AN494" s="150">
        <f t="shared" si="229"/>
        <v>0</v>
      </c>
      <c r="AO494" s="150">
        <f t="shared" si="229"/>
        <v>0</v>
      </c>
      <c r="AP494" s="150">
        <f t="shared" si="229"/>
        <v>0</v>
      </c>
    </row>
    <row r="495" spans="1:42" x14ac:dyDescent="0.2">
      <c r="A495" s="4">
        <f t="shared" si="225"/>
        <v>7</v>
      </c>
      <c r="B495" s="140">
        <f t="shared" si="222"/>
        <v>0</v>
      </c>
      <c r="C495" s="150">
        <f t="shared" ref="C495:AP495" si="230">LOOKUP(C483,$B$446:$AP$446,$B$447:$AP$447)*$B688/100</f>
        <v>0</v>
      </c>
      <c r="D495" s="150">
        <f t="shared" si="230"/>
        <v>0</v>
      </c>
      <c r="E495" s="150">
        <f t="shared" si="230"/>
        <v>0</v>
      </c>
      <c r="F495" s="150">
        <f t="shared" si="230"/>
        <v>0</v>
      </c>
      <c r="G495" s="150">
        <f t="shared" si="230"/>
        <v>0</v>
      </c>
      <c r="H495" s="150">
        <f t="shared" si="230"/>
        <v>0</v>
      </c>
      <c r="I495" s="150">
        <f t="shared" si="230"/>
        <v>0</v>
      </c>
      <c r="J495" s="150">
        <f t="shared" si="230"/>
        <v>0</v>
      </c>
      <c r="K495" s="150">
        <f t="shared" si="230"/>
        <v>0</v>
      </c>
      <c r="L495" s="150">
        <f t="shared" si="230"/>
        <v>0</v>
      </c>
      <c r="M495" s="150">
        <f t="shared" si="230"/>
        <v>0</v>
      </c>
      <c r="N495" s="150">
        <f t="shared" si="230"/>
        <v>0</v>
      </c>
      <c r="O495" s="150">
        <f t="shared" si="230"/>
        <v>0</v>
      </c>
      <c r="P495" s="150">
        <f t="shared" si="230"/>
        <v>0</v>
      </c>
      <c r="Q495" s="150">
        <f t="shared" si="230"/>
        <v>0</v>
      </c>
      <c r="R495" s="150">
        <f t="shared" si="230"/>
        <v>0</v>
      </c>
      <c r="S495" s="150">
        <f t="shared" si="230"/>
        <v>0</v>
      </c>
      <c r="T495" s="150">
        <f t="shared" si="230"/>
        <v>0</v>
      </c>
      <c r="U495" s="150">
        <f t="shared" si="230"/>
        <v>0</v>
      </c>
      <c r="V495" s="150">
        <f t="shared" si="230"/>
        <v>0</v>
      </c>
      <c r="W495" s="150">
        <f t="shared" si="230"/>
        <v>0</v>
      </c>
      <c r="X495" s="150">
        <f t="shared" si="230"/>
        <v>0</v>
      </c>
      <c r="Y495" s="150">
        <f t="shared" si="230"/>
        <v>0</v>
      </c>
      <c r="Z495" s="150">
        <f t="shared" si="230"/>
        <v>0</v>
      </c>
      <c r="AA495" s="150">
        <f t="shared" si="230"/>
        <v>0</v>
      </c>
      <c r="AB495" s="150">
        <f t="shared" si="230"/>
        <v>0</v>
      </c>
      <c r="AC495" s="150">
        <f t="shared" si="230"/>
        <v>0</v>
      </c>
      <c r="AD495" s="150">
        <f t="shared" si="230"/>
        <v>0</v>
      </c>
      <c r="AE495" s="150">
        <f t="shared" si="230"/>
        <v>0</v>
      </c>
      <c r="AF495" s="150">
        <f t="shared" si="230"/>
        <v>0</v>
      </c>
      <c r="AG495" s="150">
        <f t="shared" si="230"/>
        <v>0</v>
      </c>
      <c r="AH495" s="150">
        <f t="shared" si="230"/>
        <v>0</v>
      </c>
      <c r="AI495" s="150">
        <f t="shared" si="230"/>
        <v>0</v>
      </c>
      <c r="AJ495" s="150">
        <f t="shared" si="230"/>
        <v>0</v>
      </c>
      <c r="AK495" s="150">
        <f t="shared" si="230"/>
        <v>0</v>
      </c>
      <c r="AL495" s="150">
        <f t="shared" si="230"/>
        <v>0</v>
      </c>
      <c r="AM495" s="150">
        <f t="shared" si="230"/>
        <v>0</v>
      </c>
      <c r="AN495" s="150">
        <f t="shared" si="230"/>
        <v>0</v>
      </c>
      <c r="AO495" s="150">
        <f t="shared" si="230"/>
        <v>0</v>
      </c>
      <c r="AP495" s="150">
        <f t="shared" si="230"/>
        <v>0</v>
      </c>
    </row>
    <row r="496" spans="1:42" x14ac:dyDescent="0.2">
      <c r="A496" s="4">
        <f t="shared" si="225"/>
        <v>8</v>
      </c>
      <c r="B496" s="140">
        <f t="shared" si="222"/>
        <v>0</v>
      </c>
      <c r="C496" s="150">
        <f t="shared" ref="C496:AP496" si="231">LOOKUP(C484,$B$446:$AP$446,$B$447:$AP$447)*$B689/100</f>
        <v>0</v>
      </c>
      <c r="D496" s="150">
        <f t="shared" si="231"/>
        <v>0</v>
      </c>
      <c r="E496" s="150">
        <f t="shared" si="231"/>
        <v>0</v>
      </c>
      <c r="F496" s="150">
        <f t="shared" si="231"/>
        <v>0</v>
      </c>
      <c r="G496" s="150">
        <f t="shared" si="231"/>
        <v>0</v>
      </c>
      <c r="H496" s="150">
        <f t="shared" si="231"/>
        <v>0</v>
      </c>
      <c r="I496" s="150">
        <f t="shared" si="231"/>
        <v>0</v>
      </c>
      <c r="J496" s="150">
        <f t="shared" si="231"/>
        <v>0</v>
      </c>
      <c r="K496" s="150">
        <f t="shared" si="231"/>
        <v>0</v>
      </c>
      <c r="L496" s="150">
        <f t="shared" si="231"/>
        <v>0</v>
      </c>
      <c r="M496" s="150">
        <f t="shared" si="231"/>
        <v>0</v>
      </c>
      <c r="N496" s="150">
        <f t="shared" si="231"/>
        <v>0</v>
      </c>
      <c r="O496" s="150">
        <f t="shared" si="231"/>
        <v>0</v>
      </c>
      <c r="P496" s="150">
        <f t="shared" si="231"/>
        <v>0</v>
      </c>
      <c r="Q496" s="150">
        <f t="shared" si="231"/>
        <v>0</v>
      </c>
      <c r="R496" s="150">
        <f t="shared" si="231"/>
        <v>0</v>
      </c>
      <c r="S496" s="150">
        <f t="shared" si="231"/>
        <v>0</v>
      </c>
      <c r="T496" s="150">
        <f t="shared" si="231"/>
        <v>0</v>
      </c>
      <c r="U496" s="150">
        <f t="shared" si="231"/>
        <v>0</v>
      </c>
      <c r="V496" s="150">
        <f t="shared" si="231"/>
        <v>0</v>
      </c>
      <c r="W496" s="150">
        <f t="shared" si="231"/>
        <v>0</v>
      </c>
      <c r="X496" s="150">
        <f t="shared" si="231"/>
        <v>0</v>
      </c>
      <c r="Y496" s="150">
        <f t="shared" si="231"/>
        <v>0</v>
      </c>
      <c r="Z496" s="150">
        <f t="shared" si="231"/>
        <v>0</v>
      </c>
      <c r="AA496" s="150">
        <f t="shared" si="231"/>
        <v>0</v>
      </c>
      <c r="AB496" s="150">
        <f t="shared" si="231"/>
        <v>0</v>
      </c>
      <c r="AC496" s="150">
        <f t="shared" si="231"/>
        <v>0</v>
      </c>
      <c r="AD496" s="150">
        <f t="shared" si="231"/>
        <v>0</v>
      </c>
      <c r="AE496" s="150">
        <f t="shared" si="231"/>
        <v>0</v>
      </c>
      <c r="AF496" s="150">
        <f t="shared" si="231"/>
        <v>0</v>
      </c>
      <c r="AG496" s="150">
        <f t="shared" si="231"/>
        <v>0</v>
      </c>
      <c r="AH496" s="150">
        <f t="shared" si="231"/>
        <v>0</v>
      </c>
      <c r="AI496" s="150">
        <f t="shared" si="231"/>
        <v>0</v>
      </c>
      <c r="AJ496" s="150">
        <f t="shared" si="231"/>
        <v>0</v>
      </c>
      <c r="AK496" s="150">
        <f t="shared" si="231"/>
        <v>0</v>
      </c>
      <c r="AL496" s="150">
        <f t="shared" si="231"/>
        <v>0</v>
      </c>
      <c r="AM496" s="150">
        <f t="shared" si="231"/>
        <v>0</v>
      </c>
      <c r="AN496" s="150">
        <f t="shared" si="231"/>
        <v>0</v>
      </c>
      <c r="AO496" s="150">
        <f t="shared" si="231"/>
        <v>0</v>
      </c>
      <c r="AP496" s="150">
        <f t="shared" si="231"/>
        <v>0</v>
      </c>
    </row>
    <row r="497" spans="1:42" x14ac:dyDescent="0.2">
      <c r="A497" s="4">
        <f>A496+1</f>
        <v>9</v>
      </c>
      <c r="B497" s="140">
        <f t="shared" si="222"/>
        <v>0</v>
      </c>
      <c r="C497" s="150">
        <f t="shared" ref="C497:AP497" si="232">LOOKUP(C485,$B$446:$AP$446,$B$447:$AP$447)*$B690/100</f>
        <v>0</v>
      </c>
      <c r="D497" s="150">
        <f t="shared" si="232"/>
        <v>0</v>
      </c>
      <c r="E497" s="150">
        <f t="shared" si="232"/>
        <v>0</v>
      </c>
      <c r="F497" s="150">
        <f t="shared" si="232"/>
        <v>0</v>
      </c>
      <c r="G497" s="150">
        <f t="shared" si="232"/>
        <v>0</v>
      </c>
      <c r="H497" s="150">
        <f t="shared" si="232"/>
        <v>0</v>
      </c>
      <c r="I497" s="150">
        <f t="shared" si="232"/>
        <v>0</v>
      </c>
      <c r="J497" s="150">
        <f t="shared" si="232"/>
        <v>0</v>
      </c>
      <c r="K497" s="150">
        <f t="shared" si="232"/>
        <v>0</v>
      </c>
      <c r="L497" s="150">
        <f t="shared" si="232"/>
        <v>0</v>
      </c>
      <c r="M497" s="150">
        <f t="shared" si="232"/>
        <v>0</v>
      </c>
      <c r="N497" s="150">
        <f t="shared" si="232"/>
        <v>0</v>
      </c>
      <c r="O497" s="150">
        <f t="shared" si="232"/>
        <v>0</v>
      </c>
      <c r="P497" s="150">
        <f t="shared" si="232"/>
        <v>0</v>
      </c>
      <c r="Q497" s="150">
        <f t="shared" si="232"/>
        <v>0</v>
      </c>
      <c r="R497" s="150">
        <f t="shared" si="232"/>
        <v>0</v>
      </c>
      <c r="S497" s="150">
        <f t="shared" si="232"/>
        <v>0</v>
      </c>
      <c r="T497" s="150">
        <f t="shared" si="232"/>
        <v>0</v>
      </c>
      <c r="U497" s="150">
        <f t="shared" si="232"/>
        <v>0</v>
      </c>
      <c r="V497" s="150">
        <f t="shared" si="232"/>
        <v>0</v>
      </c>
      <c r="W497" s="150">
        <f t="shared" si="232"/>
        <v>0</v>
      </c>
      <c r="X497" s="150">
        <f t="shared" si="232"/>
        <v>0</v>
      </c>
      <c r="Y497" s="150">
        <f t="shared" si="232"/>
        <v>0</v>
      </c>
      <c r="Z497" s="150">
        <f t="shared" si="232"/>
        <v>0</v>
      </c>
      <c r="AA497" s="150">
        <f t="shared" si="232"/>
        <v>0</v>
      </c>
      <c r="AB497" s="150">
        <f t="shared" si="232"/>
        <v>0</v>
      </c>
      <c r="AC497" s="150">
        <f t="shared" si="232"/>
        <v>0</v>
      </c>
      <c r="AD497" s="150">
        <f t="shared" si="232"/>
        <v>0</v>
      </c>
      <c r="AE497" s="150">
        <f t="shared" si="232"/>
        <v>0</v>
      </c>
      <c r="AF497" s="150">
        <f t="shared" si="232"/>
        <v>0</v>
      </c>
      <c r="AG497" s="150">
        <f t="shared" si="232"/>
        <v>0</v>
      </c>
      <c r="AH497" s="150">
        <f t="shared" si="232"/>
        <v>0</v>
      </c>
      <c r="AI497" s="150">
        <f t="shared" si="232"/>
        <v>0</v>
      </c>
      <c r="AJ497" s="150">
        <f t="shared" si="232"/>
        <v>0</v>
      </c>
      <c r="AK497" s="150">
        <f t="shared" si="232"/>
        <v>0</v>
      </c>
      <c r="AL497" s="150">
        <f t="shared" si="232"/>
        <v>0</v>
      </c>
      <c r="AM497" s="150">
        <f t="shared" si="232"/>
        <v>0</v>
      </c>
      <c r="AN497" s="150">
        <f t="shared" si="232"/>
        <v>0</v>
      </c>
      <c r="AO497" s="150">
        <f t="shared" si="232"/>
        <v>0</v>
      </c>
      <c r="AP497" s="150">
        <f t="shared" si="232"/>
        <v>0</v>
      </c>
    </row>
    <row r="498" spans="1:42" x14ac:dyDescent="0.2">
      <c r="A498" s="4">
        <f t="shared" ref="A498" si="233">A497+1</f>
        <v>10</v>
      </c>
      <c r="B498" s="140">
        <f t="shared" si="222"/>
        <v>0</v>
      </c>
      <c r="C498" s="169">
        <f t="shared" ref="C498:AP498" si="234">LOOKUP(C486,$B$446:$AP$446,$B$447:$AP$447)*$B691/100</f>
        <v>0</v>
      </c>
      <c r="D498" s="151">
        <f t="shared" si="234"/>
        <v>0</v>
      </c>
      <c r="E498" s="151">
        <f t="shared" si="234"/>
        <v>0</v>
      </c>
      <c r="F498" s="151">
        <f t="shared" si="234"/>
        <v>0</v>
      </c>
      <c r="G498" s="151">
        <f t="shared" si="234"/>
        <v>0</v>
      </c>
      <c r="H498" s="151">
        <f t="shared" si="234"/>
        <v>0</v>
      </c>
      <c r="I498" s="151">
        <f t="shared" si="234"/>
        <v>0</v>
      </c>
      <c r="J498" s="151">
        <f t="shared" si="234"/>
        <v>0</v>
      </c>
      <c r="K498" s="151">
        <f t="shared" si="234"/>
        <v>0</v>
      </c>
      <c r="L498" s="151">
        <f t="shared" si="234"/>
        <v>0</v>
      </c>
      <c r="M498" s="151">
        <f t="shared" si="234"/>
        <v>0</v>
      </c>
      <c r="N498" s="151">
        <f t="shared" si="234"/>
        <v>0</v>
      </c>
      <c r="O498" s="151">
        <f t="shared" si="234"/>
        <v>0</v>
      </c>
      <c r="P498" s="151">
        <f t="shared" si="234"/>
        <v>0</v>
      </c>
      <c r="Q498" s="151">
        <f t="shared" si="234"/>
        <v>0</v>
      </c>
      <c r="R498" s="151">
        <f t="shared" si="234"/>
        <v>0</v>
      </c>
      <c r="S498" s="151">
        <f t="shared" si="234"/>
        <v>0</v>
      </c>
      <c r="T498" s="151">
        <f t="shared" si="234"/>
        <v>0</v>
      </c>
      <c r="U498" s="151">
        <f t="shared" si="234"/>
        <v>0</v>
      </c>
      <c r="V498" s="151">
        <f t="shared" si="234"/>
        <v>0</v>
      </c>
      <c r="W498" s="151">
        <f t="shared" si="234"/>
        <v>0</v>
      </c>
      <c r="X498" s="151">
        <f t="shared" si="234"/>
        <v>0</v>
      </c>
      <c r="Y498" s="151">
        <f t="shared" si="234"/>
        <v>0</v>
      </c>
      <c r="Z498" s="151">
        <f t="shared" si="234"/>
        <v>0</v>
      </c>
      <c r="AA498" s="151">
        <f t="shared" si="234"/>
        <v>0</v>
      </c>
      <c r="AB498" s="151">
        <f t="shared" si="234"/>
        <v>0</v>
      </c>
      <c r="AC498" s="151">
        <f t="shared" si="234"/>
        <v>0</v>
      </c>
      <c r="AD498" s="151">
        <f t="shared" si="234"/>
        <v>0</v>
      </c>
      <c r="AE498" s="151">
        <f t="shared" si="234"/>
        <v>0</v>
      </c>
      <c r="AF498" s="151">
        <f t="shared" si="234"/>
        <v>0</v>
      </c>
      <c r="AG498" s="151">
        <f t="shared" si="234"/>
        <v>0</v>
      </c>
      <c r="AH498" s="151">
        <f t="shared" si="234"/>
        <v>0</v>
      </c>
      <c r="AI498" s="151">
        <f t="shared" si="234"/>
        <v>0</v>
      </c>
      <c r="AJ498" s="151">
        <f t="shared" si="234"/>
        <v>0</v>
      </c>
      <c r="AK498" s="151">
        <f t="shared" si="234"/>
        <v>0</v>
      </c>
      <c r="AL498" s="151">
        <f t="shared" si="234"/>
        <v>0</v>
      </c>
      <c r="AM498" s="151">
        <f t="shared" si="234"/>
        <v>0</v>
      </c>
      <c r="AN498" s="151">
        <f t="shared" si="234"/>
        <v>0</v>
      </c>
      <c r="AO498" s="151">
        <f t="shared" si="234"/>
        <v>0</v>
      </c>
      <c r="AP498" s="151">
        <f t="shared" si="234"/>
        <v>0</v>
      </c>
    </row>
    <row r="499" spans="1:42" x14ac:dyDescent="0.2">
      <c r="A499" s="24" t="s">
        <v>12</v>
      </c>
      <c r="B499" s="14"/>
      <c r="C499" s="150">
        <f>SUM(C489:C498)</f>
        <v>0</v>
      </c>
      <c r="D499" s="150">
        <f t="shared" ref="D499:AP499" si="235">SUM(D489:D498)</f>
        <v>0</v>
      </c>
      <c r="E499" s="150">
        <f t="shared" si="235"/>
        <v>0</v>
      </c>
      <c r="F499" s="150">
        <f t="shared" si="235"/>
        <v>0</v>
      </c>
      <c r="G499" s="150">
        <f t="shared" si="235"/>
        <v>0</v>
      </c>
      <c r="H499" s="150">
        <f t="shared" si="235"/>
        <v>0</v>
      </c>
      <c r="I499" s="150">
        <f t="shared" si="235"/>
        <v>0</v>
      </c>
      <c r="J499" s="150">
        <f t="shared" si="235"/>
        <v>0</v>
      </c>
      <c r="K499" s="150">
        <f t="shared" si="235"/>
        <v>0</v>
      </c>
      <c r="L499" s="150">
        <f t="shared" si="235"/>
        <v>0</v>
      </c>
      <c r="M499" s="150">
        <f t="shared" si="235"/>
        <v>0</v>
      </c>
      <c r="N499" s="150">
        <f t="shared" si="235"/>
        <v>0</v>
      </c>
      <c r="O499" s="150">
        <f t="shared" si="235"/>
        <v>0</v>
      </c>
      <c r="P499" s="150">
        <f t="shared" si="235"/>
        <v>0</v>
      </c>
      <c r="Q499" s="150">
        <f t="shared" si="235"/>
        <v>0</v>
      </c>
      <c r="R499" s="150">
        <f t="shared" si="235"/>
        <v>0</v>
      </c>
      <c r="S499" s="150">
        <f t="shared" si="235"/>
        <v>0</v>
      </c>
      <c r="T499" s="150">
        <f t="shared" si="235"/>
        <v>0</v>
      </c>
      <c r="U499" s="150">
        <f t="shared" si="235"/>
        <v>0</v>
      </c>
      <c r="V499" s="150">
        <f t="shared" si="235"/>
        <v>0</v>
      </c>
      <c r="W499" s="150">
        <f t="shared" si="235"/>
        <v>0</v>
      </c>
      <c r="X499" s="150">
        <f t="shared" si="235"/>
        <v>0</v>
      </c>
      <c r="Y499" s="150">
        <f t="shared" si="235"/>
        <v>0</v>
      </c>
      <c r="Z499" s="150">
        <f t="shared" si="235"/>
        <v>0</v>
      </c>
      <c r="AA499" s="150">
        <f t="shared" si="235"/>
        <v>0</v>
      </c>
      <c r="AB499" s="150">
        <f t="shared" si="235"/>
        <v>0</v>
      </c>
      <c r="AC499" s="150">
        <f t="shared" si="235"/>
        <v>0</v>
      </c>
      <c r="AD499" s="150">
        <f t="shared" si="235"/>
        <v>0</v>
      </c>
      <c r="AE499" s="150">
        <f t="shared" si="235"/>
        <v>0</v>
      </c>
      <c r="AF499" s="150">
        <f t="shared" si="235"/>
        <v>0</v>
      </c>
      <c r="AG499" s="150">
        <f t="shared" si="235"/>
        <v>0</v>
      </c>
      <c r="AH499" s="150">
        <f t="shared" si="235"/>
        <v>0</v>
      </c>
      <c r="AI499" s="150">
        <f t="shared" si="235"/>
        <v>0</v>
      </c>
      <c r="AJ499" s="150">
        <f t="shared" si="235"/>
        <v>0</v>
      </c>
      <c r="AK499" s="150">
        <f t="shared" si="235"/>
        <v>0</v>
      </c>
      <c r="AL499" s="150">
        <f t="shared" si="235"/>
        <v>0</v>
      </c>
      <c r="AM499" s="150">
        <f t="shared" si="235"/>
        <v>0</v>
      </c>
      <c r="AN499" s="150">
        <f t="shared" si="235"/>
        <v>0</v>
      </c>
      <c r="AO499" s="150">
        <f t="shared" si="235"/>
        <v>0</v>
      </c>
      <c r="AP499" s="150">
        <f t="shared" si="235"/>
        <v>0</v>
      </c>
    </row>
    <row r="500" spans="1:42" x14ac:dyDescent="0.2">
      <c r="A500" s="24"/>
      <c r="B500" s="14"/>
      <c r="C500" s="150"/>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row>
    <row r="501" spans="1:42" x14ac:dyDescent="0.2">
      <c r="A501" s="21" t="s">
        <v>74</v>
      </c>
      <c r="C501" s="150"/>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row>
    <row r="502" spans="1:42" x14ac:dyDescent="0.2">
      <c r="A502" s="87" t="s">
        <v>60</v>
      </c>
      <c r="C502" s="150"/>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row>
    <row r="503" spans="1:42" x14ac:dyDescent="0.2">
      <c r="A503" s="4">
        <v>1</v>
      </c>
      <c r="C503" s="150">
        <f t="shared" ref="C503:AP503" si="236">C364</f>
        <v>0</v>
      </c>
      <c r="D503" s="150">
        <f t="shared" si="236"/>
        <v>0</v>
      </c>
      <c r="E503" s="150">
        <f t="shared" si="236"/>
        <v>0</v>
      </c>
      <c r="F503" s="150">
        <f t="shared" si="236"/>
        <v>0</v>
      </c>
      <c r="G503" s="150">
        <f t="shared" si="236"/>
        <v>0</v>
      </c>
      <c r="H503" s="150">
        <f t="shared" si="236"/>
        <v>0</v>
      </c>
      <c r="I503" s="150">
        <f t="shared" si="236"/>
        <v>0</v>
      </c>
      <c r="J503" s="150">
        <f t="shared" si="236"/>
        <v>0</v>
      </c>
      <c r="K503" s="150">
        <f t="shared" si="236"/>
        <v>0</v>
      </c>
      <c r="L503" s="150">
        <f t="shared" si="236"/>
        <v>0</v>
      </c>
      <c r="M503" s="150">
        <f t="shared" si="236"/>
        <v>0</v>
      </c>
      <c r="N503" s="150">
        <f t="shared" si="236"/>
        <v>0</v>
      </c>
      <c r="O503" s="150">
        <f t="shared" si="236"/>
        <v>0</v>
      </c>
      <c r="P503" s="150">
        <f t="shared" si="236"/>
        <v>0</v>
      </c>
      <c r="Q503" s="150">
        <f t="shared" si="236"/>
        <v>0</v>
      </c>
      <c r="R503" s="150">
        <f t="shared" si="236"/>
        <v>0</v>
      </c>
      <c r="S503" s="150">
        <f t="shared" si="236"/>
        <v>0</v>
      </c>
      <c r="T503" s="150">
        <f t="shared" si="236"/>
        <v>0</v>
      </c>
      <c r="U503" s="150">
        <f t="shared" si="236"/>
        <v>0</v>
      </c>
      <c r="V503" s="150">
        <f t="shared" si="236"/>
        <v>0</v>
      </c>
      <c r="W503" s="150">
        <f t="shared" si="236"/>
        <v>0</v>
      </c>
      <c r="X503" s="150">
        <f t="shared" si="236"/>
        <v>0</v>
      </c>
      <c r="Y503" s="150">
        <f t="shared" si="236"/>
        <v>0</v>
      </c>
      <c r="Z503" s="150">
        <f t="shared" si="236"/>
        <v>0</v>
      </c>
      <c r="AA503" s="150">
        <f t="shared" si="236"/>
        <v>0</v>
      </c>
      <c r="AB503" s="150">
        <f t="shared" si="236"/>
        <v>0</v>
      </c>
      <c r="AC503" s="150">
        <f t="shared" si="236"/>
        <v>0</v>
      </c>
      <c r="AD503" s="150">
        <f t="shared" si="236"/>
        <v>0</v>
      </c>
      <c r="AE503" s="150">
        <f t="shared" si="236"/>
        <v>0</v>
      </c>
      <c r="AF503" s="150">
        <f t="shared" si="236"/>
        <v>0</v>
      </c>
      <c r="AG503" s="150">
        <f t="shared" si="236"/>
        <v>0</v>
      </c>
      <c r="AH503" s="150">
        <f t="shared" si="236"/>
        <v>0</v>
      </c>
      <c r="AI503" s="150">
        <f t="shared" si="236"/>
        <v>0</v>
      </c>
      <c r="AJ503" s="150">
        <f t="shared" si="236"/>
        <v>0</v>
      </c>
      <c r="AK503" s="150">
        <f t="shared" si="236"/>
        <v>0</v>
      </c>
      <c r="AL503" s="150">
        <f t="shared" si="236"/>
        <v>0</v>
      </c>
      <c r="AM503" s="150">
        <f t="shared" si="236"/>
        <v>0</v>
      </c>
      <c r="AN503" s="150">
        <f t="shared" si="236"/>
        <v>0</v>
      </c>
      <c r="AO503" s="150">
        <f t="shared" si="236"/>
        <v>0</v>
      </c>
      <c r="AP503" s="150">
        <f t="shared" si="236"/>
        <v>0</v>
      </c>
    </row>
    <row r="504" spans="1:42" x14ac:dyDescent="0.2">
      <c r="A504" s="4">
        <f>A503+1</f>
        <v>2</v>
      </c>
      <c r="C504" s="150">
        <f t="shared" ref="C504:AP504" si="237">C365</f>
        <v>0</v>
      </c>
      <c r="D504" s="150">
        <f t="shared" si="237"/>
        <v>0</v>
      </c>
      <c r="E504" s="150">
        <f t="shared" si="237"/>
        <v>0</v>
      </c>
      <c r="F504" s="150">
        <f t="shared" si="237"/>
        <v>0</v>
      </c>
      <c r="G504" s="150">
        <f t="shared" si="237"/>
        <v>0</v>
      </c>
      <c r="H504" s="150">
        <f t="shared" si="237"/>
        <v>0</v>
      </c>
      <c r="I504" s="150">
        <f t="shared" si="237"/>
        <v>0</v>
      </c>
      <c r="J504" s="150">
        <f t="shared" si="237"/>
        <v>0</v>
      </c>
      <c r="K504" s="150">
        <f t="shared" si="237"/>
        <v>0</v>
      </c>
      <c r="L504" s="150">
        <f t="shared" si="237"/>
        <v>0</v>
      </c>
      <c r="M504" s="150">
        <f t="shared" si="237"/>
        <v>0</v>
      </c>
      <c r="N504" s="150">
        <f t="shared" si="237"/>
        <v>0</v>
      </c>
      <c r="O504" s="150">
        <f t="shared" si="237"/>
        <v>0</v>
      </c>
      <c r="P504" s="150">
        <f t="shared" si="237"/>
        <v>0</v>
      </c>
      <c r="Q504" s="150">
        <f t="shared" si="237"/>
        <v>0</v>
      </c>
      <c r="R504" s="150">
        <f t="shared" si="237"/>
        <v>0</v>
      </c>
      <c r="S504" s="150">
        <f t="shared" si="237"/>
        <v>0</v>
      </c>
      <c r="T504" s="150">
        <f t="shared" si="237"/>
        <v>0</v>
      </c>
      <c r="U504" s="150">
        <f t="shared" si="237"/>
        <v>0</v>
      </c>
      <c r="V504" s="150">
        <f t="shared" si="237"/>
        <v>0</v>
      </c>
      <c r="W504" s="150">
        <f t="shared" si="237"/>
        <v>0</v>
      </c>
      <c r="X504" s="150">
        <f t="shared" si="237"/>
        <v>0</v>
      </c>
      <c r="Y504" s="150">
        <f t="shared" si="237"/>
        <v>0</v>
      </c>
      <c r="Z504" s="150">
        <f t="shared" si="237"/>
        <v>0</v>
      </c>
      <c r="AA504" s="150">
        <f t="shared" si="237"/>
        <v>0</v>
      </c>
      <c r="AB504" s="150">
        <f t="shared" si="237"/>
        <v>0</v>
      </c>
      <c r="AC504" s="150">
        <f t="shared" si="237"/>
        <v>0</v>
      </c>
      <c r="AD504" s="150">
        <f t="shared" si="237"/>
        <v>0</v>
      </c>
      <c r="AE504" s="150">
        <f t="shared" si="237"/>
        <v>0</v>
      </c>
      <c r="AF504" s="150">
        <f t="shared" si="237"/>
        <v>0</v>
      </c>
      <c r="AG504" s="150">
        <f t="shared" si="237"/>
        <v>0</v>
      </c>
      <c r="AH504" s="150">
        <f t="shared" si="237"/>
        <v>0</v>
      </c>
      <c r="AI504" s="150">
        <f t="shared" si="237"/>
        <v>0</v>
      </c>
      <c r="AJ504" s="150">
        <f t="shared" si="237"/>
        <v>0</v>
      </c>
      <c r="AK504" s="150">
        <f t="shared" si="237"/>
        <v>0</v>
      </c>
      <c r="AL504" s="150">
        <f t="shared" si="237"/>
        <v>0</v>
      </c>
      <c r="AM504" s="150">
        <f t="shared" si="237"/>
        <v>0</v>
      </c>
      <c r="AN504" s="150">
        <f t="shared" si="237"/>
        <v>0</v>
      </c>
      <c r="AO504" s="150">
        <f t="shared" si="237"/>
        <v>0</v>
      </c>
      <c r="AP504" s="150">
        <f t="shared" si="237"/>
        <v>0</v>
      </c>
    </row>
    <row r="505" spans="1:42" x14ac:dyDescent="0.2">
      <c r="A505" s="4">
        <f t="shared" ref="A505:A510" si="238">A504+1</f>
        <v>3</v>
      </c>
      <c r="C505" s="150">
        <f t="shared" ref="C505:AP505" si="239">C366</f>
        <v>0</v>
      </c>
      <c r="D505" s="150">
        <f t="shared" si="239"/>
        <v>0</v>
      </c>
      <c r="E505" s="150">
        <f t="shared" si="239"/>
        <v>0</v>
      </c>
      <c r="F505" s="150">
        <f t="shared" si="239"/>
        <v>0</v>
      </c>
      <c r="G505" s="150">
        <f t="shared" si="239"/>
        <v>0</v>
      </c>
      <c r="H505" s="150">
        <f t="shared" si="239"/>
        <v>0</v>
      </c>
      <c r="I505" s="150">
        <f t="shared" si="239"/>
        <v>0</v>
      </c>
      <c r="J505" s="150">
        <f t="shared" si="239"/>
        <v>0</v>
      </c>
      <c r="K505" s="150">
        <f t="shared" si="239"/>
        <v>0</v>
      </c>
      <c r="L505" s="150">
        <f t="shared" si="239"/>
        <v>0</v>
      </c>
      <c r="M505" s="150">
        <f t="shared" si="239"/>
        <v>0</v>
      </c>
      <c r="N505" s="150">
        <f t="shared" si="239"/>
        <v>0</v>
      </c>
      <c r="O505" s="150">
        <f t="shared" si="239"/>
        <v>0</v>
      </c>
      <c r="P505" s="150">
        <f t="shared" si="239"/>
        <v>0</v>
      </c>
      <c r="Q505" s="150">
        <f t="shared" si="239"/>
        <v>0</v>
      </c>
      <c r="R505" s="150">
        <f t="shared" si="239"/>
        <v>0</v>
      </c>
      <c r="S505" s="150">
        <f t="shared" si="239"/>
        <v>0</v>
      </c>
      <c r="T505" s="150">
        <f t="shared" si="239"/>
        <v>0</v>
      </c>
      <c r="U505" s="150">
        <f t="shared" si="239"/>
        <v>0</v>
      </c>
      <c r="V505" s="150">
        <f t="shared" si="239"/>
        <v>0</v>
      </c>
      <c r="W505" s="150">
        <f t="shared" si="239"/>
        <v>0</v>
      </c>
      <c r="X505" s="150">
        <f t="shared" si="239"/>
        <v>0</v>
      </c>
      <c r="Y505" s="150">
        <f t="shared" si="239"/>
        <v>0</v>
      </c>
      <c r="Z505" s="150">
        <f t="shared" si="239"/>
        <v>0</v>
      </c>
      <c r="AA505" s="150">
        <f t="shared" si="239"/>
        <v>0</v>
      </c>
      <c r="AB505" s="150">
        <f t="shared" si="239"/>
        <v>0</v>
      </c>
      <c r="AC505" s="150">
        <f t="shared" si="239"/>
        <v>0</v>
      </c>
      <c r="AD505" s="150">
        <f t="shared" si="239"/>
        <v>0</v>
      </c>
      <c r="AE505" s="150">
        <f t="shared" si="239"/>
        <v>0</v>
      </c>
      <c r="AF505" s="150">
        <f t="shared" si="239"/>
        <v>0</v>
      </c>
      <c r="AG505" s="150">
        <f t="shared" si="239"/>
        <v>0</v>
      </c>
      <c r="AH505" s="150">
        <f t="shared" si="239"/>
        <v>0</v>
      </c>
      <c r="AI505" s="150">
        <f t="shared" si="239"/>
        <v>0</v>
      </c>
      <c r="AJ505" s="150">
        <f t="shared" si="239"/>
        <v>0</v>
      </c>
      <c r="AK505" s="150">
        <f t="shared" si="239"/>
        <v>0</v>
      </c>
      <c r="AL505" s="150">
        <f t="shared" si="239"/>
        <v>0</v>
      </c>
      <c r="AM505" s="150">
        <f t="shared" si="239"/>
        <v>0</v>
      </c>
      <c r="AN505" s="150">
        <f t="shared" si="239"/>
        <v>0</v>
      </c>
      <c r="AO505" s="150">
        <f t="shared" si="239"/>
        <v>0</v>
      </c>
      <c r="AP505" s="150">
        <f t="shared" si="239"/>
        <v>0</v>
      </c>
    </row>
    <row r="506" spans="1:42" x14ac:dyDescent="0.2">
      <c r="A506" s="4">
        <f t="shared" si="238"/>
        <v>4</v>
      </c>
      <c r="C506" s="150">
        <f t="shared" ref="C506:AP506" si="240">C367</f>
        <v>0</v>
      </c>
      <c r="D506" s="150">
        <f t="shared" si="240"/>
        <v>0</v>
      </c>
      <c r="E506" s="150">
        <f t="shared" si="240"/>
        <v>0</v>
      </c>
      <c r="F506" s="150">
        <f t="shared" si="240"/>
        <v>0</v>
      </c>
      <c r="G506" s="150">
        <f t="shared" si="240"/>
        <v>0</v>
      </c>
      <c r="H506" s="150">
        <f t="shared" si="240"/>
        <v>0</v>
      </c>
      <c r="I506" s="150">
        <f t="shared" si="240"/>
        <v>0</v>
      </c>
      <c r="J506" s="150">
        <f t="shared" si="240"/>
        <v>0</v>
      </c>
      <c r="K506" s="150">
        <f t="shared" si="240"/>
        <v>0</v>
      </c>
      <c r="L506" s="150">
        <f t="shared" si="240"/>
        <v>0</v>
      </c>
      <c r="M506" s="150">
        <f t="shared" si="240"/>
        <v>0</v>
      </c>
      <c r="N506" s="150">
        <f t="shared" si="240"/>
        <v>0</v>
      </c>
      <c r="O506" s="150">
        <f t="shared" si="240"/>
        <v>0</v>
      </c>
      <c r="P506" s="150">
        <f t="shared" si="240"/>
        <v>0</v>
      </c>
      <c r="Q506" s="150">
        <f t="shared" si="240"/>
        <v>0</v>
      </c>
      <c r="R506" s="150">
        <f t="shared" si="240"/>
        <v>0</v>
      </c>
      <c r="S506" s="150">
        <f t="shared" si="240"/>
        <v>0</v>
      </c>
      <c r="T506" s="150">
        <f t="shared" si="240"/>
        <v>0</v>
      </c>
      <c r="U506" s="150">
        <f t="shared" si="240"/>
        <v>0</v>
      </c>
      <c r="V506" s="150">
        <f t="shared" si="240"/>
        <v>0</v>
      </c>
      <c r="W506" s="150">
        <f t="shared" si="240"/>
        <v>0</v>
      </c>
      <c r="X506" s="150">
        <f t="shared" si="240"/>
        <v>0</v>
      </c>
      <c r="Y506" s="150">
        <f t="shared" si="240"/>
        <v>0</v>
      </c>
      <c r="Z506" s="150">
        <f t="shared" si="240"/>
        <v>0</v>
      </c>
      <c r="AA506" s="150">
        <f t="shared" si="240"/>
        <v>0</v>
      </c>
      <c r="AB506" s="150">
        <f t="shared" si="240"/>
        <v>0</v>
      </c>
      <c r="AC506" s="150">
        <f t="shared" si="240"/>
        <v>0</v>
      </c>
      <c r="AD506" s="150">
        <f t="shared" si="240"/>
        <v>0</v>
      </c>
      <c r="AE506" s="150">
        <f t="shared" si="240"/>
        <v>0</v>
      </c>
      <c r="AF506" s="150">
        <f t="shared" si="240"/>
        <v>0</v>
      </c>
      <c r="AG506" s="150">
        <f t="shared" si="240"/>
        <v>0</v>
      </c>
      <c r="AH506" s="150">
        <f t="shared" si="240"/>
        <v>0</v>
      </c>
      <c r="AI506" s="150">
        <f t="shared" si="240"/>
        <v>0</v>
      </c>
      <c r="AJ506" s="150">
        <f t="shared" si="240"/>
        <v>0</v>
      </c>
      <c r="AK506" s="150">
        <f t="shared" si="240"/>
        <v>0</v>
      </c>
      <c r="AL506" s="150">
        <f t="shared" si="240"/>
        <v>0</v>
      </c>
      <c r="AM506" s="150">
        <f t="shared" si="240"/>
        <v>0</v>
      </c>
      <c r="AN506" s="150">
        <f t="shared" si="240"/>
        <v>0</v>
      </c>
      <c r="AO506" s="150">
        <f t="shared" si="240"/>
        <v>0</v>
      </c>
      <c r="AP506" s="150">
        <f t="shared" si="240"/>
        <v>0</v>
      </c>
    </row>
    <row r="507" spans="1:42" x14ac:dyDescent="0.2">
      <c r="A507" s="4">
        <f t="shared" si="238"/>
        <v>5</v>
      </c>
      <c r="C507" s="150">
        <f t="shared" ref="C507:AP507" si="241">C368</f>
        <v>0</v>
      </c>
      <c r="D507" s="150">
        <f t="shared" si="241"/>
        <v>0</v>
      </c>
      <c r="E507" s="150">
        <f t="shared" si="241"/>
        <v>0</v>
      </c>
      <c r="F507" s="150">
        <f t="shared" si="241"/>
        <v>0</v>
      </c>
      <c r="G507" s="150">
        <f t="shared" si="241"/>
        <v>0</v>
      </c>
      <c r="H507" s="150">
        <f t="shared" si="241"/>
        <v>0</v>
      </c>
      <c r="I507" s="150">
        <f t="shared" si="241"/>
        <v>0</v>
      </c>
      <c r="J507" s="150">
        <f t="shared" si="241"/>
        <v>0</v>
      </c>
      <c r="K507" s="150">
        <f t="shared" si="241"/>
        <v>0</v>
      </c>
      <c r="L507" s="150">
        <f t="shared" si="241"/>
        <v>0</v>
      </c>
      <c r="M507" s="150">
        <f t="shared" si="241"/>
        <v>0</v>
      </c>
      <c r="N507" s="150">
        <f t="shared" si="241"/>
        <v>0</v>
      </c>
      <c r="O507" s="150">
        <f t="shared" si="241"/>
        <v>0</v>
      </c>
      <c r="P507" s="150">
        <f t="shared" si="241"/>
        <v>0</v>
      </c>
      <c r="Q507" s="150">
        <f t="shared" si="241"/>
        <v>0</v>
      </c>
      <c r="R507" s="150">
        <f t="shared" si="241"/>
        <v>0</v>
      </c>
      <c r="S507" s="150">
        <f t="shared" si="241"/>
        <v>0</v>
      </c>
      <c r="T507" s="150">
        <f t="shared" si="241"/>
        <v>0</v>
      </c>
      <c r="U507" s="150">
        <f t="shared" si="241"/>
        <v>0</v>
      </c>
      <c r="V507" s="150">
        <f t="shared" si="241"/>
        <v>0</v>
      </c>
      <c r="W507" s="150">
        <f t="shared" si="241"/>
        <v>0</v>
      </c>
      <c r="X507" s="150">
        <f t="shared" si="241"/>
        <v>0</v>
      </c>
      <c r="Y507" s="150">
        <f t="shared" si="241"/>
        <v>0</v>
      </c>
      <c r="Z507" s="150">
        <f t="shared" si="241"/>
        <v>0</v>
      </c>
      <c r="AA507" s="150">
        <f t="shared" si="241"/>
        <v>0</v>
      </c>
      <c r="AB507" s="150">
        <f t="shared" si="241"/>
        <v>0</v>
      </c>
      <c r="AC507" s="150">
        <f t="shared" si="241"/>
        <v>0</v>
      </c>
      <c r="AD507" s="150">
        <f t="shared" si="241"/>
        <v>0</v>
      </c>
      <c r="AE507" s="150">
        <f t="shared" si="241"/>
        <v>0</v>
      </c>
      <c r="AF507" s="150">
        <f t="shared" si="241"/>
        <v>0</v>
      </c>
      <c r="AG507" s="150">
        <f t="shared" si="241"/>
        <v>0</v>
      </c>
      <c r="AH507" s="150">
        <f t="shared" si="241"/>
        <v>0</v>
      </c>
      <c r="AI507" s="150">
        <f t="shared" si="241"/>
        <v>0</v>
      </c>
      <c r="AJ507" s="150">
        <f t="shared" si="241"/>
        <v>0</v>
      </c>
      <c r="AK507" s="150">
        <f t="shared" si="241"/>
        <v>0</v>
      </c>
      <c r="AL507" s="150">
        <f t="shared" si="241"/>
        <v>0</v>
      </c>
      <c r="AM507" s="150">
        <f t="shared" si="241"/>
        <v>0</v>
      </c>
      <c r="AN507" s="150">
        <f t="shared" si="241"/>
        <v>0</v>
      </c>
      <c r="AO507" s="150">
        <f t="shared" si="241"/>
        <v>0</v>
      </c>
      <c r="AP507" s="150">
        <f t="shared" si="241"/>
        <v>0</v>
      </c>
    </row>
    <row r="508" spans="1:42" x14ac:dyDescent="0.2">
      <c r="A508" s="4">
        <f t="shared" si="238"/>
        <v>6</v>
      </c>
      <c r="C508" s="150">
        <f t="shared" ref="C508:AP508" si="242">C369</f>
        <v>0</v>
      </c>
      <c r="D508" s="150">
        <f t="shared" si="242"/>
        <v>0</v>
      </c>
      <c r="E508" s="150">
        <f t="shared" si="242"/>
        <v>0</v>
      </c>
      <c r="F508" s="150">
        <f t="shared" si="242"/>
        <v>0</v>
      </c>
      <c r="G508" s="150">
        <f t="shared" si="242"/>
        <v>0</v>
      </c>
      <c r="H508" s="150">
        <f t="shared" si="242"/>
        <v>0</v>
      </c>
      <c r="I508" s="150">
        <f t="shared" si="242"/>
        <v>0</v>
      </c>
      <c r="J508" s="150">
        <f t="shared" si="242"/>
        <v>0</v>
      </c>
      <c r="K508" s="150">
        <f t="shared" si="242"/>
        <v>0</v>
      </c>
      <c r="L508" s="150">
        <f t="shared" si="242"/>
        <v>0</v>
      </c>
      <c r="M508" s="150">
        <f t="shared" si="242"/>
        <v>0</v>
      </c>
      <c r="N508" s="150">
        <f t="shared" si="242"/>
        <v>0</v>
      </c>
      <c r="O508" s="150">
        <f t="shared" si="242"/>
        <v>0</v>
      </c>
      <c r="P508" s="150">
        <f t="shared" si="242"/>
        <v>0</v>
      </c>
      <c r="Q508" s="150">
        <f t="shared" si="242"/>
        <v>0</v>
      </c>
      <c r="R508" s="150">
        <f t="shared" si="242"/>
        <v>0</v>
      </c>
      <c r="S508" s="150">
        <f t="shared" si="242"/>
        <v>0</v>
      </c>
      <c r="T508" s="150">
        <f t="shared" si="242"/>
        <v>0</v>
      </c>
      <c r="U508" s="150">
        <f t="shared" si="242"/>
        <v>0</v>
      </c>
      <c r="V508" s="150">
        <f t="shared" si="242"/>
        <v>0</v>
      </c>
      <c r="W508" s="150">
        <f t="shared" si="242"/>
        <v>0</v>
      </c>
      <c r="X508" s="150">
        <f t="shared" si="242"/>
        <v>0</v>
      </c>
      <c r="Y508" s="150">
        <f t="shared" si="242"/>
        <v>0</v>
      </c>
      <c r="Z508" s="150">
        <f t="shared" si="242"/>
        <v>0</v>
      </c>
      <c r="AA508" s="150">
        <f t="shared" si="242"/>
        <v>0</v>
      </c>
      <c r="AB508" s="150">
        <f t="shared" si="242"/>
        <v>0</v>
      </c>
      <c r="AC508" s="150">
        <f t="shared" si="242"/>
        <v>0</v>
      </c>
      <c r="AD508" s="150">
        <f t="shared" si="242"/>
        <v>0</v>
      </c>
      <c r="AE508" s="150">
        <f t="shared" si="242"/>
        <v>0</v>
      </c>
      <c r="AF508" s="150">
        <f t="shared" si="242"/>
        <v>0</v>
      </c>
      <c r="AG508" s="150">
        <f t="shared" si="242"/>
        <v>0</v>
      </c>
      <c r="AH508" s="150">
        <f t="shared" si="242"/>
        <v>0</v>
      </c>
      <c r="AI508" s="150">
        <f t="shared" si="242"/>
        <v>0</v>
      </c>
      <c r="AJ508" s="150">
        <f t="shared" si="242"/>
        <v>0</v>
      </c>
      <c r="AK508" s="150">
        <f t="shared" si="242"/>
        <v>0</v>
      </c>
      <c r="AL508" s="150">
        <f t="shared" si="242"/>
        <v>0</v>
      </c>
      <c r="AM508" s="150">
        <f t="shared" si="242"/>
        <v>0</v>
      </c>
      <c r="AN508" s="150">
        <f t="shared" si="242"/>
        <v>0</v>
      </c>
      <c r="AO508" s="150">
        <f t="shared" si="242"/>
        <v>0</v>
      </c>
      <c r="AP508" s="150">
        <f t="shared" si="242"/>
        <v>0</v>
      </c>
    </row>
    <row r="509" spans="1:42" x14ac:dyDescent="0.2">
      <c r="A509" s="4">
        <f t="shared" si="238"/>
        <v>7</v>
      </c>
      <c r="C509" s="150">
        <f t="shared" ref="C509:AP509" si="243">C370</f>
        <v>0</v>
      </c>
      <c r="D509" s="150">
        <f t="shared" si="243"/>
        <v>0</v>
      </c>
      <c r="E509" s="150">
        <f t="shared" si="243"/>
        <v>0</v>
      </c>
      <c r="F509" s="150">
        <f t="shared" si="243"/>
        <v>0</v>
      </c>
      <c r="G509" s="150">
        <f t="shared" si="243"/>
        <v>0</v>
      </c>
      <c r="H509" s="150">
        <f t="shared" si="243"/>
        <v>0</v>
      </c>
      <c r="I509" s="150">
        <f t="shared" si="243"/>
        <v>0</v>
      </c>
      <c r="J509" s="150">
        <f t="shared" si="243"/>
        <v>0</v>
      </c>
      <c r="K509" s="150">
        <f t="shared" si="243"/>
        <v>0</v>
      </c>
      <c r="L509" s="150">
        <f t="shared" si="243"/>
        <v>0</v>
      </c>
      <c r="M509" s="150">
        <f t="shared" si="243"/>
        <v>0</v>
      </c>
      <c r="N509" s="150">
        <f t="shared" si="243"/>
        <v>0</v>
      </c>
      <c r="O509" s="150">
        <f t="shared" si="243"/>
        <v>0</v>
      </c>
      <c r="P509" s="150">
        <f t="shared" si="243"/>
        <v>0</v>
      </c>
      <c r="Q509" s="150">
        <f t="shared" si="243"/>
        <v>0</v>
      </c>
      <c r="R509" s="150">
        <f t="shared" si="243"/>
        <v>0</v>
      </c>
      <c r="S509" s="150">
        <f t="shared" si="243"/>
        <v>0</v>
      </c>
      <c r="T509" s="150">
        <f t="shared" si="243"/>
        <v>0</v>
      </c>
      <c r="U509" s="150">
        <f t="shared" si="243"/>
        <v>0</v>
      </c>
      <c r="V509" s="150">
        <f t="shared" si="243"/>
        <v>0</v>
      </c>
      <c r="W509" s="150">
        <f t="shared" si="243"/>
        <v>0</v>
      </c>
      <c r="X509" s="150">
        <f t="shared" si="243"/>
        <v>0</v>
      </c>
      <c r="Y509" s="150">
        <f t="shared" si="243"/>
        <v>0</v>
      </c>
      <c r="Z509" s="150">
        <f t="shared" si="243"/>
        <v>0</v>
      </c>
      <c r="AA509" s="150">
        <f t="shared" si="243"/>
        <v>0</v>
      </c>
      <c r="AB509" s="150">
        <f t="shared" si="243"/>
        <v>0</v>
      </c>
      <c r="AC509" s="150">
        <f t="shared" si="243"/>
        <v>0</v>
      </c>
      <c r="AD509" s="150">
        <f t="shared" si="243"/>
        <v>0</v>
      </c>
      <c r="AE509" s="150">
        <f t="shared" si="243"/>
        <v>0</v>
      </c>
      <c r="AF509" s="150">
        <f t="shared" si="243"/>
        <v>0</v>
      </c>
      <c r="AG509" s="150">
        <f t="shared" si="243"/>
        <v>0</v>
      </c>
      <c r="AH509" s="150">
        <f t="shared" si="243"/>
        <v>0</v>
      </c>
      <c r="AI509" s="150">
        <f t="shared" si="243"/>
        <v>0</v>
      </c>
      <c r="AJ509" s="150">
        <f t="shared" si="243"/>
        <v>0</v>
      </c>
      <c r="AK509" s="150">
        <f t="shared" si="243"/>
        <v>0</v>
      </c>
      <c r="AL509" s="150">
        <f t="shared" si="243"/>
        <v>0</v>
      </c>
      <c r="AM509" s="150">
        <f t="shared" si="243"/>
        <v>0</v>
      </c>
      <c r="AN509" s="150">
        <f t="shared" si="243"/>
        <v>0</v>
      </c>
      <c r="AO509" s="150">
        <f t="shared" si="243"/>
        <v>0</v>
      </c>
      <c r="AP509" s="150">
        <f t="shared" si="243"/>
        <v>0</v>
      </c>
    </row>
    <row r="510" spans="1:42" x14ac:dyDescent="0.2">
      <c r="A510" s="4">
        <f t="shared" si="238"/>
        <v>8</v>
      </c>
      <c r="C510" s="150">
        <f t="shared" ref="C510:AP510" si="244">C371</f>
        <v>0</v>
      </c>
      <c r="D510" s="150">
        <f t="shared" si="244"/>
        <v>0</v>
      </c>
      <c r="E510" s="150">
        <f t="shared" si="244"/>
        <v>0</v>
      </c>
      <c r="F510" s="150">
        <f t="shared" si="244"/>
        <v>0</v>
      </c>
      <c r="G510" s="150">
        <f t="shared" si="244"/>
        <v>0</v>
      </c>
      <c r="H510" s="150">
        <f t="shared" si="244"/>
        <v>0</v>
      </c>
      <c r="I510" s="150">
        <f t="shared" si="244"/>
        <v>0</v>
      </c>
      <c r="J510" s="150">
        <f t="shared" si="244"/>
        <v>0</v>
      </c>
      <c r="K510" s="150">
        <f t="shared" si="244"/>
        <v>0</v>
      </c>
      <c r="L510" s="150">
        <f t="shared" si="244"/>
        <v>0</v>
      </c>
      <c r="M510" s="150">
        <f t="shared" si="244"/>
        <v>0</v>
      </c>
      <c r="N510" s="150">
        <f t="shared" si="244"/>
        <v>0</v>
      </c>
      <c r="O510" s="150">
        <f t="shared" si="244"/>
        <v>0</v>
      </c>
      <c r="P510" s="150">
        <f t="shared" si="244"/>
        <v>0</v>
      </c>
      <c r="Q510" s="150">
        <f t="shared" si="244"/>
        <v>0</v>
      </c>
      <c r="R510" s="150">
        <f t="shared" si="244"/>
        <v>0</v>
      </c>
      <c r="S510" s="150">
        <f t="shared" si="244"/>
        <v>0</v>
      </c>
      <c r="T510" s="150">
        <f t="shared" si="244"/>
        <v>0</v>
      </c>
      <c r="U510" s="150">
        <f t="shared" si="244"/>
        <v>0</v>
      </c>
      <c r="V510" s="150">
        <f t="shared" si="244"/>
        <v>0</v>
      </c>
      <c r="W510" s="150">
        <f t="shared" si="244"/>
        <v>0</v>
      </c>
      <c r="X510" s="150">
        <f t="shared" si="244"/>
        <v>0</v>
      </c>
      <c r="Y510" s="150">
        <f t="shared" si="244"/>
        <v>0</v>
      </c>
      <c r="Z510" s="150">
        <f t="shared" si="244"/>
        <v>0</v>
      </c>
      <c r="AA510" s="150">
        <f t="shared" si="244"/>
        <v>0</v>
      </c>
      <c r="AB510" s="150">
        <f t="shared" si="244"/>
        <v>0</v>
      </c>
      <c r="AC510" s="150">
        <f t="shared" si="244"/>
        <v>0</v>
      </c>
      <c r="AD510" s="150">
        <f t="shared" si="244"/>
        <v>0</v>
      </c>
      <c r="AE510" s="150">
        <f t="shared" si="244"/>
        <v>0</v>
      </c>
      <c r="AF510" s="150">
        <f t="shared" si="244"/>
        <v>0</v>
      </c>
      <c r="AG510" s="150">
        <f t="shared" si="244"/>
        <v>0</v>
      </c>
      <c r="AH510" s="150">
        <f t="shared" si="244"/>
        <v>0</v>
      </c>
      <c r="AI510" s="150">
        <f t="shared" si="244"/>
        <v>0</v>
      </c>
      <c r="AJ510" s="150">
        <f t="shared" si="244"/>
        <v>0</v>
      </c>
      <c r="AK510" s="150">
        <f t="shared" si="244"/>
        <v>0</v>
      </c>
      <c r="AL510" s="150">
        <f t="shared" si="244"/>
        <v>0</v>
      </c>
      <c r="AM510" s="150">
        <f t="shared" si="244"/>
        <v>0</v>
      </c>
      <c r="AN510" s="150">
        <f t="shared" si="244"/>
        <v>0</v>
      </c>
      <c r="AO510" s="150">
        <f t="shared" si="244"/>
        <v>0</v>
      </c>
      <c r="AP510" s="150">
        <f t="shared" si="244"/>
        <v>0</v>
      </c>
    </row>
    <row r="511" spans="1:42" x14ac:dyDescent="0.2">
      <c r="A511" s="4">
        <f>A510+1</f>
        <v>9</v>
      </c>
      <c r="C511" s="150">
        <f t="shared" ref="C511:AP511" si="245">C372</f>
        <v>0</v>
      </c>
      <c r="D511" s="150">
        <f t="shared" si="245"/>
        <v>0</v>
      </c>
      <c r="E511" s="150">
        <f t="shared" si="245"/>
        <v>0</v>
      </c>
      <c r="F511" s="150">
        <f t="shared" si="245"/>
        <v>0</v>
      </c>
      <c r="G511" s="150">
        <f t="shared" si="245"/>
        <v>0</v>
      </c>
      <c r="H511" s="150">
        <f t="shared" si="245"/>
        <v>0</v>
      </c>
      <c r="I511" s="150">
        <f t="shared" si="245"/>
        <v>0</v>
      </c>
      <c r="J511" s="150">
        <f t="shared" si="245"/>
        <v>0</v>
      </c>
      <c r="K511" s="150">
        <f t="shared" si="245"/>
        <v>0</v>
      </c>
      <c r="L511" s="150">
        <f t="shared" si="245"/>
        <v>0</v>
      </c>
      <c r="M511" s="150">
        <f t="shared" si="245"/>
        <v>0</v>
      </c>
      <c r="N511" s="150">
        <f t="shared" si="245"/>
        <v>0</v>
      </c>
      <c r="O511" s="150">
        <f t="shared" si="245"/>
        <v>0</v>
      </c>
      <c r="P511" s="150">
        <f t="shared" si="245"/>
        <v>0</v>
      </c>
      <c r="Q511" s="150">
        <f t="shared" si="245"/>
        <v>0</v>
      </c>
      <c r="R511" s="150">
        <f t="shared" si="245"/>
        <v>0</v>
      </c>
      <c r="S511" s="150">
        <f t="shared" si="245"/>
        <v>0</v>
      </c>
      <c r="T511" s="150">
        <f t="shared" si="245"/>
        <v>0</v>
      </c>
      <c r="U511" s="150">
        <f t="shared" si="245"/>
        <v>0</v>
      </c>
      <c r="V511" s="150">
        <f t="shared" si="245"/>
        <v>0</v>
      </c>
      <c r="W511" s="150">
        <f t="shared" si="245"/>
        <v>0</v>
      </c>
      <c r="X511" s="150">
        <f t="shared" si="245"/>
        <v>0</v>
      </c>
      <c r="Y511" s="150">
        <f t="shared" si="245"/>
        <v>0</v>
      </c>
      <c r="Z511" s="150">
        <f t="shared" si="245"/>
        <v>0</v>
      </c>
      <c r="AA511" s="150">
        <f t="shared" si="245"/>
        <v>0</v>
      </c>
      <c r="AB511" s="150">
        <f t="shared" si="245"/>
        <v>0</v>
      </c>
      <c r="AC511" s="150">
        <f t="shared" si="245"/>
        <v>0</v>
      </c>
      <c r="AD511" s="150">
        <f t="shared" si="245"/>
        <v>0</v>
      </c>
      <c r="AE511" s="150">
        <f t="shared" si="245"/>
        <v>0</v>
      </c>
      <c r="AF511" s="150">
        <f t="shared" si="245"/>
        <v>0</v>
      </c>
      <c r="AG511" s="150">
        <f t="shared" si="245"/>
        <v>0</v>
      </c>
      <c r="AH511" s="150">
        <f t="shared" si="245"/>
        <v>0</v>
      </c>
      <c r="AI511" s="150">
        <f t="shared" si="245"/>
        <v>0</v>
      </c>
      <c r="AJ511" s="150">
        <f t="shared" si="245"/>
        <v>0</v>
      </c>
      <c r="AK511" s="150">
        <f t="shared" si="245"/>
        <v>0</v>
      </c>
      <c r="AL511" s="150">
        <f t="shared" si="245"/>
        <v>0</v>
      </c>
      <c r="AM511" s="150">
        <f t="shared" si="245"/>
        <v>0</v>
      </c>
      <c r="AN511" s="150">
        <f t="shared" si="245"/>
        <v>0</v>
      </c>
      <c r="AO511" s="150">
        <f t="shared" si="245"/>
        <v>0</v>
      </c>
      <c r="AP511" s="150">
        <f t="shared" si="245"/>
        <v>0</v>
      </c>
    </row>
    <row r="512" spans="1:42" x14ac:dyDescent="0.2">
      <c r="A512" s="4">
        <f t="shared" ref="A512" si="246">A511+1</f>
        <v>10</v>
      </c>
      <c r="C512" s="150">
        <f t="shared" ref="C512:AP512" si="247">C373</f>
        <v>0</v>
      </c>
      <c r="D512" s="150">
        <f t="shared" si="247"/>
        <v>0</v>
      </c>
      <c r="E512" s="150">
        <f t="shared" si="247"/>
        <v>0</v>
      </c>
      <c r="F512" s="150">
        <f t="shared" si="247"/>
        <v>0</v>
      </c>
      <c r="G512" s="150">
        <f t="shared" si="247"/>
        <v>0</v>
      </c>
      <c r="H512" s="150">
        <f t="shared" si="247"/>
        <v>0</v>
      </c>
      <c r="I512" s="150">
        <f t="shared" si="247"/>
        <v>0</v>
      </c>
      <c r="J512" s="150">
        <f t="shared" si="247"/>
        <v>0</v>
      </c>
      <c r="K512" s="150">
        <f t="shared" si="247"/>
        <v>0</v>
      </c>
      <c r="L512" s="150">
        <f t="shared" si="247"/>
        <v>0</v>
      </c>
      <c r="M512" s="150">
        <f t="shared" si="247"/>
        <v>0</v>
      </c>
      <c r="N512" s="150">
        <f t="shared" si="247"/>
        <v>0</v>
      </c>
      <c r="O512" s="150">
        <f t="shared" si="247"/>
        <v>0</v>
      </c>
      <c r="P512" s="150">
        <f t="shared" si="247"/>
        <v>0</v>
      </c>
      <c r="Q512" s="150">
        <f t="shared" si="247"/>
        <v>0</v>
      </c>
      <c r="R512" s="150">
        <f t="shared" si="247"/>
        <v>0</v>
      </c>
      <c r="S512" s="150">
        <f t="shared" si="247"/>
        <v>0</v>
      </c>
      <c r="T512" s="150">
        <f t="shared" si="247"/>
        <v>0</v>
      </c>
      <c r="U512" s="150">
        <f t="shared" si="247"/>
        <v>0</v>
      </c>
      <c r="V512" s="150">
        <f t="shared" si="247"/>
        <v>0</v>
      </c>
      <c r="W512" s="150">
        <f t="shared" si="247"/>
        <v>0</v>
      </c>
      <c r="X512" s="150">
        <f t="shared" si="247"/>
        <v>0</v>
      </c>
      <c r="Y512" s="150">
        <f t="shared" si="247"/>
        <v>0</v>
      </c>
      <c r="Z512" s="150">
        <f t="shared" si="247"/>
        <v>0</v>
      </c>
      <c r="AA512" s="150">
        <f t="shared" si="247"/>
        <v>0</v>
      </c>
      <c r="AB512" s="150">
        <f t="shared" si="247"/>
        <v>0</v>
      </c>
      <c r="AC512" s="150">
        <f t="shared" si="247"/>
        <v>0</v>
      </c>
      <c r="AD512" s="150">
        <f t="shared" si="247"/>
        <v>0</v>
      </c>
      <c r="AE512" s="150">
        <f t="shared" si="247"/>
        <v>0</v>
      </c>
      <c r="AF512" s="150">
        <f t="shared" si="247"/>
        <v>0</v>
      </c>
      <c r="AG512" s="150">
        <f t="shared" si="247"/>
        <v>0</v>
      </c>
      <c r="AH512" s="150">
        <f t="shared" si="247"/>
        <v>0</v>
      </c>
      <c r="AI512" s="150">
        <f t="shared" si="247"/>
        <v>0</v>
      </c>
      <c r="AJ512" s="150">
        <f t="shared" si="247"/>
        <v>0</v>
      </c>
      <c r="AK512" s="150">
        <f t="shared" si="247"/>
        <v>0</v>
      </c>
      <c r="AL512" s="150">
        <f t="shared" si="247"/>
        <v>0</v>
      </c>
      <c r="AM512" s="150">
        <f t="shared" si="247"/>
        <v>0</v>
      </c>
      <c r="AN512" s="150">
        <f t="shared" si="247"/>
        <v>0</v>
      </c>
      <c r="AO512" s="150">
        <f t="shared" si="247"/>
        <v>0</v>
      </c>
      <c r="AP512" s="150">
        <f t="shared" si="247"/>
        <v>0</v>
      </c>
    </row>
    <row r="513" spans="1:42" x14ac:dyDescent="0.2">
      <c r="A513" s="21"/>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row>
    <row r="514" spans="1:42" x14ac:dyDescent="0.2">
      <c r="A514" s="87" t="s">
        <v>63</v>
      </c>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row>
    <row r="515" spans="1:42" x14ac:dyDescent="0.2">
      <c r="A515" s="4">
        <v>1</v>
      </c>
      <c r="B515" s="173">
        <f t="shared" ref="B515:B524" si="248">SUM(C515:AP515)</f>
        <v>0</v>
      </c>
      <c r="C515" s="150">
        <f t="shared" ref="C515:AP515" si="249">LOOKUP(C503,$B$446:$AP$446,$B$447:$AP$447)*$B714/100</f>
        <v>0</v>
      </c>
      <c r="D515" s="150">
        <f t="shared" si="249"/>
        <v>0</v>
      </c>
      <c r="E515" s="150">
        <f t="shared" si="249"/>
        <v>0</v>
      </c>
      <c r="F515" s="150">
        <f t="shared" si="249"/>
        <v>0</v>
      </c>
      <c r="G515" s="150">
        <f t="shared" si="249"/>
        <v>0</v>
      </c>
      <c r="H515" s="150">
        <f t="shared" si="249"/>
        <v>0</v>
      </c>
      <c r="I515" s="150">
        <f t="shared" si="249"/>
        <v>0</v>
      </c>
      <c r="J515" s="150">
        <f t="shared" si="249"/>
        <v>0</v>
      </c>
      <c r="K515" s="150">
        <f t="shared" si="249"/>
        <v>0</v>
      </c>
      <c r="L515" s="150">
        <f t="shared" si="249"/>
        <v>0</v>
      </c>
      <c r="M515" s="150">
        <f t="shared" si="249"/>
        <v>0</v>
      </c>
      <c r="N515" s="150">
        <f t="shared" si="249"/>
        <v>0</v>
      </c>
      <c r="O515" s="150">
        <f t="shared" si="249"/>
        <v>0</v>
      </c>
      <c r="P515" s="150">
        <f t="shared" si="249"/>
        <v>0</v>
      </c>
      <c r="Q515" s="150">
        <f t="shared" si="249"/>
        <v>0</v>
      </c>
      <c r="R515" s="150">
        <f t="shared" si="249"/>
        <v>0</v>
      </c>
      <c r="S515" s="150">
        <f t="shared" si="249"/>
        <v>0</v>
      </c>
      <c r="T515" s="150">
        <f t="shared" si="249"/>
        <v>0</v>
      </c>
      <c r="U515" s="150">
        <f t="shared" si="249"/>
        <v>0</v>
      </c>
      <c r="V515" s="150">
        <f t="shared" si="249"/>
        <v>0</v>
      </c>
      <c r="W515" s="150">
        <f t="shared" si="249"/>
        <v>0</v>
      </c>
      <c r="X515" s="150">
        <f t="shared" si="249"/>
        <v>0</v>
      </c>
      <c r="Y515" s="150">
        <f t="shared" si="249"/>
        <v>0</v>
      </c>
      <c r="Z515" s="150">
        <f t="shared" si="249"/>
        <v>0</v>
      </c>
      <c r="AA515" s="150">
        <f t="shared" si="249"/>
        <v>0</v>
      </c>
      <c r="AB515" s="150">
        <f t="shared" si="249"/>
        <v>0</v>
      </c>
      <c r="AC515" s="150">
        <f t="shared" si="249"/>
        <v>0</v>
      </c>
      <c r="AD515" s="150">
        <f t="shared" si="249"/>
        <v>0</v>
      </c>
      <c r="AE515" s="150">
        <f t="shared" si="249"/>
        <v>0</v>
      </c>
      <c r="AF515" s="150">
        <f t="shared" si="249"/>
        <v>0</v>
      </c>
      <c r="AG515" s="150">
        <f t="shared" si="249"/>
        <v>0</v>
      </c>
      <c r="AH515" s="150">
        <f t="shared" si="249"/>
        <v>0</v>
      </c>
      <c r="AI515" s="150">
        <f t="shared" si="249"/>
        <v>0</v>
      </c>
      <c r="AJ515" s="150">
        <f t="shared" si="249"/>
        <v>0</v>
      </c>
      <c r="AK515" s="150">
        <f t="shared" si="249"/>
        <v>0</v>
      </c>
      <c r="AL515" s="150">
        <f t="shared" si="249"/>
        <v>0</v>
      </c>
      <c r="AM515" s="150">
        <f t="shared" si="249"/>
        <v>0</v>
      </c>
      <c r="AN515" s="150">
        <f t="shared" si="249"/>
        <v>0</v>
      </c>
      <c r="AO515" s="150">
        <f t="shared" si="249"/>
        <v>0</v>
      </c>
      <c r="AP515" s="150">
        <f t="shared" si="249"/>
        <v>0</v>
      </c>
    </row>
    <row r="516" spans="1:42" x14ac:dyDescent="0.2">
      <c r="A516" s="4">
        <f>A515+1</f>
        <v>2</v>
      </c>
      <c r="B516" s="173">
        <f t="shared" si="248"/>
        <v>0</v>
      </c>
      <c r="C516" s="150">
        <f t="shared" ref="C516:AP516" si="250">LOOKUP(C504,$B$446:$AP$446,$B$447:$AP$447)*$B715/100</f>
        <v>0</v>
      </c>
      <c r="D516" s="150">
        <f t="shared" si="250"/>
        <v>0</v>
      </c>
      <c r="E516" s="150">
        <f t="shared" si="250"/>
        <v>0</v>
      </c>
      <c r="F516" s="150">
        <f t="shared" si="250"/>
        <v>0</v>
      </c>
      <c r="G516" s="150">
        <f t="shared" si="250"/>
        <v>0</v>
      </c>
      <c r="H516" s="150">
        <f t="shared" si="250"/>
        <v>0</v>
      </c>
      <c r="I516" s="150">
        <f t="shared" si="250"/>
        <v>0</v>
      </c>
      <c r="J516" s="150">
        <f t="shared" si="250"/>
        <v>0</v>
      </c>
      <c r="K516" s="150">
        <f t="shared" si="250"/>
        <v>0</v>
      </c>
      <c r="L516" s="150">
        <f t="shared" si="250"/>
        <v>0</v>
      </c>
      <c r="M516" s="150">
        <f t="shared" si="250"/>
        <v>0</v>
      </c>
      <c r="N516" s="150">
        <f t="shared" si="250"/>
        <v>0</v>
      </c>
      <c r="O516" s="150">
        <f t="shared" si="250"/>
        <v>0</v>
      </c>
      <c r="P516" s="150">
        <f t="shared" si="250"/>
        <v>0</v>
      </c>
      <c r="Q516" s="150">
        <f t="shared" si="250"/>
        <v>0</v>
      </c>
      <c r="R516" s="150">
        <f t="shared" si="250"/>
        <v>0</v>
      </c>
      <c r="S516" s="150">
        <f t="shared" si="250"/>
        <v>0</v>
      </c>
      <c r="T516" s="150">
        <f t="shared" si="250"/>
        <v>0</v>
      </c>
      <c r="U516" s="150">
        <f t="shared" si="250"/>
        <v>0</v>
      </c>
      <c r="V516" s="150">
        <f t="shared" si="250"/>
        <v>0</v>
      </c>
      <c r="W516" s="150">
        <f t="shared" si="250"/>
        <v>0</v>
      </c>
      <c r="X516" s="150">
        <f t="shared" si="250"/>
        <v>0</v>
      </c>
      <c r="Y516" s="150">
        <f t="shared" si="250"/>
        <v>0</v>
      </c>
      <c r="Z516" s="150">
        <f t="shared" si="250"/>
        <v>0</v>
      </c>
      <c r="AA516" s="150">
        <f t="shared" si="250"/>
        <v>0</v>
      </c>
      <c r="AB516" s="150">
        <f t="shared" si="250"/>
        <v>0</v>
      </c>
      <c r="AC516" s="150">
        <f t="shared" si="250"/>
        <v>0</v>
      </c>
      <c r="AD516" s="150">
        <f t="shared" si="250"/>
        <v>0</v>
      </c>
      <c r="AE516" s="150">
        <f t="shared" si="250"/>
        <v>0</v>
      </c>
      <c r="AF516" s="150">
        <f t="shared" si="250"/>
        <v>0</v>
      </c>
      <c r="AG516" s="150">
        <f t="shared" si="250"/>
        <v>0</v>
      </c>
      <c r="AH516" s="150">
        <f t="shared" si="250"/>
        <v>0</v>
      </c>
      <c r="AI516" s="150">
        <f t="shared" si="250"/>
        <v>0</v>
      </c>
      <c r="AJ516" s="150">
        <f t="shared" si="250"/>
        <v>0</v>
      </c>
      <c r="AK516" s="150">
        <f t="shared" si="250"/>
        <v>0</v>
      </c>
      <c r="AL516" s="150">
        <f t="shared" si="250"/>
        <v>0</v>
      </c>
      <c r="AM516" s="150">
        <f t="shared" si="250"/>
        <v>0</v>
      </c>
      <c r="AN516" s="150">
        <f t="shared" si="250"/>
        <v>0</v>
      </c>
      <c r="AO516" s="150">
        <f t="shared" si="250"/>
        <v>0</v>
      </c>
      <c r="AP516" s="150">
        <f t="shared" si="250"/>
        <v>0</v>
      </c>
    </row>
    <row r="517" spans="1:42" x14ac:dyDescent="0.2">
      <c r="A517" s="4">
        <f t="shared" ref="A517:A522" si="251">A516+1</f>
        <v>3</v>
      </c>
      <c r="B517" s="173">
        <f t="shared" si="248"/>
        <v>0</v>
      </c>
      <c r="C517" s="150">
        <f t="shared" ref="C517:AP517" si="252">LOOKUP(C505,$B$446:$AP$446,$B$447:$AP$447)*$B716/100</f>
        <v>0</v>
      </c>
      <c r="D517" s="150">
        <f t="shared" si="252"/>
        <v>0</v>
      </c>
      <c r="E517" s="150">
        <f t="shared" si="252"/>
        <v>0</v>
      </c>
      <c r="F517" s="150">
        <f t="shared" si="252"/>
        <v>0</v>
      </c>
      <c r="G517" s="150">
        <f t="shared" si="252"/>
        <v>0</v>
      </c>
      <c r="H517" s="150">
        <f t="shared" si="252"/>
        <v>0</v>
      </c>
      <c r="I517" s="150">
        <f t="shared" si="252"/>
        <v>0</v>
      </c>
      <c r="J517" s="150">
        <f t="shared" si="252"/>
        <v>0</v>
      </c>
      <c r="K517" s="150">
        <f t="shared" si="252"/>
        <v>0</v>
      </c>
      <c r="L517" s="150">
        <f t="shared" si="252"/>
        <v>0</v>
      </c>
      <c r="M517" s="150">
        <f t="shared" si="252"/>
        <v>0</v>
      </c>
      <c r="N517" s="150">
        <f t="shared" si="252"/>
        <v>0</v>
      </c>
      <c r="O517" s="150">
        <f t="shared" si="252"/>
        <v>0</v>
      </c>
      <c r="P517" s="150">
        <f t="shared" si="252"/>
        <v>0</v>
      </c>
      <c r="Q517" s="150">
        <f t="shared" si="252"/>
        <v>0</v>
      </c>
      <c r="R517" s="150">
        <f t="shared" si="252"/>
        <v>0</v>
      </c>
      <c r="S517" s="150">
        <f t="shared" si="252"/>
        <v>0</v>
      </c>
      <c r="T517" s="150">
        <f t="shared" si="252"/>
        <v>0</v>
      </c>
      <c r="U517" s="150">
        <f t="shared" si="252"/>
        <v>0</v>
      </c>
      <c r="V517" s="150">
        <f t="shared" si="252"/>
        <v>0</v>
      </c>
      <c r="W517" s="150">
        <f t="shared" si="252"/>
        <v>0</v>
      </c>
      <c r="X517" s="150">
        <f t="shared" si="252"/>
        <v>0</v>
      </c>
      <c r="Y517" s="150">
        <f t="shared" si="252"/>
        <v>0</v>
      </c>
      <c r="Z517" s="150">
        <f t="shared" si="252"/>
        <v>0</v>
      </c>
      <c r="AA517" s="150">
        <f t="shared" si="252"/>
        <v>0</v>
      </c>
      <c r="AB517" s="150">
        <f t="shared" si="252"/>
        <v>0</v>
      </c>
      <c r="AC517" s="150">
        <f t="shared" si="252"/>
        <v>0</v>
      </c>
      <c r="AD517" s="150">
        <f t="shared" si="252"/>
        <v>0</v>
      </c>
      <c r="AE517" s="150">
        <f t="shared" si="252"/>
        <v>0</v>
      </c>
      <c r="AF517" s="150">
        <f t="shared" si="252"/>
        <v>0</v>
      </c>
      <c r="AG517" s="150">
        <f t="shared" si="252"/>
        <v>0</v>
      </c>
      <c r="AH517" s="150">
        <f t="shared" si="252"/>
        <v>0</v>
      </c>
      <c r="AI517" s="150">
        <f t="shared" si="252"/>
        <v>0</v>
      </c>
      <c r="AJ517" s="150">
        <f t="shared" si="252"/>
        <v>0</v>
      </c>
      <c r="AK517" s="150">
        <f t="shared" si="252"/>
        <v>0</v>
      </c>
      <c r="AL517" s="150">
        <f t="shared" si="252"/>
        <v>0</v>
      </c>
      <c r="AM517" s="150">
        <f t="shared" si="252"/>
        <v>0</v>
      </c>
      <c r="AN517" s="150">
        <f t="shared" si="252"/>
        <v>0</v>
      </c>
      <c r="AO517" s="150">
        <f t="shared" si="252"/>
        <v>0</v>
      </c>
      <c r="AP517" s="150">
        <f t="shared" si="252"/>
        <v>0</v>
      </c>
    </row>
    <row r="518" spans="1:42" x14ac:dyDescent="0.2">
      <c r="A518" s="4">
        <f t="shared" si="251"/>
        <v>4</v>
      </c>
      <c r="B518" s="173">
        <f t="shared" si="248"/>
        <v>0</v>
      </c>
      <c r="C518" s="150">
        <f t="shared" ref="C518:AP518" si="253">LOOKUP(C506,$B$446:$AP$446,$B$447:$AP$447)*$B717/100</f>
        <v>0</v>
      </c>
      <c r="D518" s="150">
        <f t="shared" si="253"/>
        <v>0</v>
      </c>
      <c r="E518" s="150">
        <f t="shared" si="253"/>
        <v>0</v>
      </c>
      <c r="F518" s="150">
        <f t="shared" si="253"/>
        <v>0</v>
      </c>
      <c r="G518" s="150">
        <f t="shared" si="253"/>
        <v>0</v>
      </c>
      <c r="H518" s="150">
        <f t="shared" si="253"/>
        <v>0</v>
      </c>
      <c r="I518" s="150">
        <f t="shared" si="253"/>
        <v>0</v>
      </c>
      <c r="J518" s="150">
        <f t="shared" si="253"/>
        <v>0</v>
      </c>
      <c r="K518" s="150">
        <f t="shared" si="253"/>
        <v>0</v>
      </c>
      <c r="L518" s="150">
        <f t="shared" si="253"/>
        <v>0</v>
      </c>
      <c r="M518" s="150">
        <f t="shared" si="253"/>
        <v>0</v>
      </c>
      <c r="N518" s="150">
        <f t="shared" si="253"/>
        <v>0</v>
      </c>
      <c r="O518" s="150">
        <f t="shared" si="253"/>
        <v>0</v>
      </c>
      <c r="P518" s="150">
        <f t="shared" si="253"/>
        <v>0</v>
      </c>
      <c r="Q518" s="150">
        <f t="shared" si="253"/>
        <v>0</v>
      </c>
      <c r="R518" s="150">
        <f t="shared" si="253"/>
        <v>0</v>
      </c>
      <c r="S518" s="150">
        <f t="shared" si="253"/>
        <v>0</v>
      </c>
      <c r="T518" s="150">
        <f t="shared" si="253"/>
        <v>0</v>
      </c>
      <c r="U518" s="150">
        <f t="shared" si="253"/>
        <v>0</v>
      </c>
      <c r="V518" s="150">
        <f t="shared" si="253"/>
        <v>0</v>
      </c>
      <c r="W518" s="150">
        <f t="shared" si="253"/>
        <v>0</v>
      </c>
      <c r="X518" s="150">
        <f t="shared" si="253"/>
        <v>0</v>
      </c>
      <c r="Y518" s="150">
        <f t="shared" si="253"/>
        <v>0</v>
      </c>
      <c r="Z518" s="150">
        <f t="shared" si="253"/>
        <v>0</v>
      </c>
      <c r="AA518" s="150">
        <f t="shared" si="253"/>
        <v>0</v>
      </c>
      <c r="AB518" s="150">
        <f t="shared" si="253"/>
        <v>0</v>
      </c>
      <c r="AC518" s="150">
        <f t="shared" si="253"/>
        <v>0</v>
      </c>
      <c r="AD518" s="150">
        <f t="shared" si="253"/>
        <v>0</v>
      </c>
      <c r="AE518" s="150">
        <f t="shared" si="253"/>
        <v>0</v>
      </c>
      <c r="AF518" s="150">
        <f t="shared" si="253"/>
        <v>0</v>
      </c>
      <c r="AG518" s="150">
        <f t="shared" si="253"/>
        <v>0</v>
      </c>
      <c r="AH518" s="150">
        <f t="shared" si="253"/>
        <v>0</v>
      </c>
      <c r="AI518" s="150">
        <f t="shared" si="253"/>
        <v>0</v>
      </c>
      <c r="AJ518" s="150">
        <f t="shared" si="253"/>
        <v>0</v>
      </c>
      <c r="AK518" s="150">
        <f t="shared" si="253"/>
        <v>0</v>
      </c>
      <c r="AL518" s="150">
        <f t="shared" si="253"/>
        <v>0</v>
      </c>
      <c r="AM518" s="150">
        <f t="shared" si="253"/>
        <v>0</v>
      </c>
      <c r="AN518" s="150">
        <f t="shared" si="253"/>
        <v>0</v>
      </c>
      <c r="AO518" s="150">
        <f t="shared" si="253"/>
        <v>0</v>
      </c>
      <c r="AP518" s="150">
        <f t="shared" si="253"/>
        <v>0</v>
      </c>
    </row>
    <row r="519" spans="1:42" x14ac:dyDescent="0.2">
      <c r="A519" s="4">
        <f t="shared" si="251"/>
        <v>5</v>
      </c>
      <c r="B519" s="173">
        <f t="shared" si="248"/>
        <v>0</v>
      </c>
      <c r="C519" s="150">
        <f t="shared" ref="C519:AP519" si="254">LOOKUP(C507,$B$446:$AP$446,$B$447:$AP$447)*$B718/100</f>
        <v>0</v>
      </c>
      <c r="D519" s="150">
        <f t="shared" si="254"/>
        <v>0</v>
      </c>
      <c r="E519" s="150">
        <f t="shared" si="254"/>
        <v>0</v>
      </c>
      <c r="F519" s="150">
        <f t="shared" si="254"/>
        <v>0</v>
      </c>
      <c r="G519" s="150">
        <f t="shared" si="254"/>
        <v>0</v>
      </c>
      <c r="H519" s="150">
        <f t="shared" si="254"/>
        <v>0</v>
      </c>
      <c r="I519" s="150">
        <f t="shared" si="254"/>
        <v>0</v>
      </c>
      <c r="J519" s="150">
        <f t="shared" si="254"/>
        <v>0</v>
      </c>
      <c r="K519" s="150">
        <f t="shared" si="254"/>
        <v>0</v>
      </c>
      <c r="L519" s="150">
        <f t="shared" si="254"/>
        <v>0</v>
      </c>
      <c r="M519" s="150">
        <f t="shared" si="254"/>
        <v>0</v>
      </c>
      <c r="N519" s="150">
        <f t="shared" si="254"/>
        <v>0</v>
      </c>
      <c r="O519" s="150">
        <f t="shared" si="254"/>
        <v>0</v>
      </c>
      <c r="P519" s="150">
        <f t="shared" si="254"/>
        <v>0</v>
      </c>
      <c r="Q519" s="150">
        <f t="shared" si="254"/>
        <v>0</v>
      </c>
      <c r="R519" s="150">
        <f t="shared" si="254"/>
        <v>0</v>
      </c>
      <c r="S519" s="150">
        <f t="shared" si="254"/>
        <v>0</v>
      </c>
      <c r="T519" s="150">
        <f t="shared" si="254"/>
        <v>0</v>
      </c>
      <c r="U519" s="150">
        <f t="shared" si="254"/>
        <v>0</v>
      </c>
      <c r="V519" s="150">
        <f t="shared" si="254"/>
        <v>0</v>
      </c>
      <c r="W519" s="150">
        <f t="shared" si="254"/>
        <v>0</v>
      </c>
      <c r="X519" s="150">
        <f t="shared" si="254"/>
        <v>0</v>
      </c>
      <c r="Y519" s="150">
        <f t="shared" si="254"/>
        <v>0</v>
      </c>
      <c r="Z519" s="150">
        <f t="shared" si="254"/>
        <v>0</v>
      </c>
      <c r="AA519" s="150">
        <f t="shared" si="254"/>
        <v>0</v>
      </c>
      <c r="AB519" s="150">
        <f t="shared" si="254"/>
        <v>0</v>
      </c>
      <c r="AC519" s="150">
        <f t="shared" si="254"/>
        <v>0</v>
      </c>
      <c r="AD519" s="150">
        <f t="shared" si="254"/>
        <v>0</v>
      </c>
      <c r="AE519" s="150">
        <f t="shared" si="254"/>
        <v>0</v>
      </c>
      <c r="AF519" s="150">
        <f t="shared" si="254"/>
        <v>0</v>
      </c>
      <c r="AG519" s="150">
        <f t="shared" si="254"/>
        <v>0</v>
      </c>
      <c r="AH519" s="150">
        <f t="shared" si="254"/>
        <v>0</v>
      </c>
      <c r="AI519" s="150">
        <f t="shared" si="254"/>
        <v>0</v>
      </c>
      <c r="AJ519" s="150">
        <f t="shared" si="254"/>
        <v>0</v>
      </c>
      <c r="AK519" s="150">
        <f t="shared" si="254"/>
        <v>0</v>
      </c>
      <c r="AL519" s="150">
        <f t="shared" si="254"/>
        <v>0</v>
      </c>
      <c r="AM519" s="150">
        <f t="shared" si="254"/>
        <v>0</v>
      </c>
      <c r="AN519" s="150">
        <f t="shared" si="254"/>
        <v>0</v>
      </c>
      <c r="AO519" s="150">
        <f t="shared" si="254"/>
        <v>0</v>
      </c>
      <c r="AP519" s="150">
        <f t="shared" si="254"/>
        <v>0</v>
      </c>
    </row>
    <row r="520" spans="1:42" x14ac:dyDescent="0.2">
      <c r="A520" s="4">
        <f t="shared" si="251"/>
        <v>6</v>
      </c>
      <c r="B520" s="173">
        <f t="shared" si="248"/>
        <v>0</v>
      </c>
      <c r="C520" s="150">
        <f t="shared" ref="C520:AP520" si="255">LOOKUP(C508,$B$446:$AP$446,$B$447:$AP$447)*$B719/100</f>
        <v>0</v>
      </c>
      <c r="D520" s="150">
        <f t="shared" si="255"/>
        <v>0</v>
      </c>
      <c r="E520" s="150">
        <f t="shared" si="255"/>
        <v>0</v>
      </c>
      <c r="F520" s="150">
        <f t="shared" si="255"/>
        <v>0</v>
      </c>
      <c r="G520" s="150">
        <f t="shared" si="255"/>
        <v>0</v>
      </c>
      <c r="H520" s="150">
        <f t="shared" si="255"/>
        <v>0</v>
      </c>
      <c r="I520" s="150">
        <f t="shared" si="255"/>
        <v>0</v>
      </c>
      <c r="J520" s="150">
        <f t="shared" si="255"/>
        <v>0</v>
      </c>
      <c r="K520" s="150">
        <f t="shared" si="255"/>
        <v>0</v>
      </c>
      <c r="L520" s="150">
        <f t="shared" si="255"/>
        <v>0</v>
      </c>
      <c r="M520" s="150">
        <f t="shared" si="255"/>
        <v>0</v>
      </c>
      <c r="N520" s="150">
        <f t="shared" si="255"/>
        <v>0</v>
      </c>
      <c r="O520" s="150">
        <f t="shared" si="255"/>
        <v>0</v>
      </c>
      <c r="P520" s="150">
        <f t="shared" si="255"/>
        <v>0</v>
      </c>
      <c r="Q520" s="150">
        <f t="shared" si="255"/>
        <v>0</v>
      </c>
      <c r="R520" s="150">
        <f t="shared" si="255"/>
        <v>0</v>
      </c>
      <c r="S520" s="150">
        <f t="shared" si="255"/>
        <v>0</v>
      </c>
      <c r="T520" s="150">
        <f t="shared" si="255"/>
        <v>0</v>
      </c>
      <c r="U520" s="150">
        <f t="shared" si="255"/>
        <v>0</v>
      </c>
      <c r="V520" s="150">
        <f t="shared" si="255"/>
        <v>0</v>
      </c>
      <c r="W520" s="150">
        <f t="shared" si="255"/>
        <v>0</v>
      </c>
      <c r="X520" s="150">
        <f t="shared" si="255"/>
        <v>0</v>
      </c>
      <c r="Y520" s="150">
        <f t="shared" si="255"/>
        <v>0</v>
      </c>
      <c r="Z520" s="150">
        <f t="shared" si="255"/>
        <v>0</v>
      </c>
      <c r="AA520" s="150">
        <f t="shared" si="255"/>
        <v>0</v>
      </c>
      <c r="AB520" s="150">
        <f t="shared" si="255"/>
        <v>0</v>
      </c>
      <c r="AC520" s="150">
        <f t="shared" si="255"/>
        <v>0</v>
      </c>
      <c r="AD520" s="150">
        <f t="shared" si="255"/>
        <v>0</v>
      </c>
      <c r="AE520" s="150">
        <f t="shared" si="255"/>
        <v>0</v>
      </c>
      <c r="AF520" s="150">
        <f t="shared" si="255"/>
        <v>0</v>
      </c>
      <c r="AG520" s="150">
        <f t="shared" si="255"/>
        <v>0</v>
      </c>
      <c r="AH520" s="150">
        <f t="shared" si="255"/>
        <v>0</v>
      </c>
      <c r="AI520" s="150">
        <f t="shared" si="255"/>
        <v>0</v>
      </c>
      <c r="AJ520" s="150">
        <f t="shared" si="255"/>
        <v>0</v>
      </c>
      <c r="AK520" s="150">
        <f t="shared" si="255"/>
        <v>0</v>
      </c>
      <c r="AL520" s="150">
        <f t="shared" si="255"/>
        <v>0</v>
      </c>
      <c r="AM520" s="150">
        <f t="shared" si="255"/>
        <v>0</v>
      </c>
      <c r="AN520" s="150">
        <f t="shared" si="255"/>
        <v>0</v>
      </c>
      <c r="AO520" s="150">
        <f t="shared" si="255"/>
        <v>0</v>
      </c>
      <c r="AP520" s="150">
        <f t="shared" si="255"/>
        <v>0</v>
      </c>
    </row>
    <row r="521" spans="1:42" x14ac:dyDescent="0.2">
      <c r="A521" s="4">
        <f t="shared" si="251"/>
        <v>7</v>
      </c>
      <c r="B521" s="173">
        <f t="shared" si="248"/>
        <v>0</v>
      </c>
      <c r="C521" s="150">
        <f t="shared" ref="C521:AP521" si="256">LOOKUP(C509,$B$446:$AP$446,$B$447:$AP$447)*$B720/100</f>
        <v>0</v>
      </c>
      <c r="D521" s="150">
        <f t="shared" si="256"/>
        <v>0</v>
      </c>
      <c r="E521" s="150">
        <f t="shared" si="256"/>
        <v>0</v>
      </c>
      <c r="F521" s="150">
        <f t="shared" si="256"/>
        <v>0</v>
      </c>
      <c r="G521" s="150">
        <f t="shared" si="256"/>
        <v>0</v>
      </c>
      <c r="H521" s="150">
        <f t="shared" si="256"/>
        <v>0</v>
      </c>
      <c r="I521" s="150">
        <f t="shared" si="256"/>
        <v>0</v>
      </c>
      <c r="J521" s="150">
        <f t="shared" si="256"/>
        <v>0</v>
      </c>
      <c r="K521" s="150">
        <f t="shared" si="256"/>
        <v>0</v>
      </c>
      <c r="L521" s="150">
        <f t="shared" si="256"/>
        <v>0</v>
      </c>
      <c r="M521" s="150">
        <f t="shared" si="256"/>
        <v>0</v>
      </c>
      <c r="N521" s="150">
        <f t="shared" si="256"/>
        <v>0</v>
      </c>
      <c r="O521" s="150">
        <f t="shared" si="256"/>
        <v>0</v>
      </c>
      <c r="P521" s="150">
        <f t="shared" si="256"/>
        <v>0</v>
      </c>
      <c r="Q521" s="150">
        <f t="shared" si="256"/>
        <v>0</v>
      </c>
      <c r="R521" s="150">
        <f t="shared" si="256"/>
        <v>0</v>
      </c>
      <c r="S521" s="150">
        <f t="shared" si="256"/>
        <v>0</v>
      </c>
      <c r="T521" s="150">
        <f t="shared" si="256"/>
        <v>0</v>
      </c>
      <c r="U521" s="150">
        <f t="shared" si="256"/>
        <v>0</v>
      </c>
      <c r="V521" s="150">
        <f t="shared" si="256"/>
        <v>0</v>
      </c>
      <c r="W521" s="150">
        <f t="shared" si="256"/>
        <v>0</v>
      </c>
      <c r="X521" s="150">
        <f t="shared" si="256"/>
        <v>0</v>
      </c>
      <c r="Y521" s="150">
        <f t="shared" si="256"/>
        <v>0</v>
      </c>
      <c r="Z521" s="150">
        <f t="shared" si="256"/>
        <v>0</v>
      </c>
      <c r="AA521" s="150">
        <f t="shared" si="256"/>
        <v>0</v>
      </c>
      <c r="AB521" s="150">
        <f t="shared" si="256"/>
        <v>0</v>
      </c>
      <c r="AC521" s="150">
        <f t="shared" si="256"/>
        <v>0</v>
      </c>
      <c r="AD521" s="150">
        <f t="shared" si="256"/>
        <v>0</v>
      </c>
      <c r="AE521" s="150">
        <f t="shared" si="256"/>
        <v>0</v>
      </c>
      <c r="AF521" s="150">
        <f t="shared" si="256"/>
        <v>0</v>
      </c>
      <c r="AG521" s="150">
        <f t="shared" si="256"/>
        <v>0</v>
      </c>
      <c r="AH521" s="150">
        <f t="shared" si="256"/>
        <v>0</v>
      </c>
      <c r="AI521" s="150">
        <f t="shared" si="256"/>
        <v>0</v>
      </c>
      <c r="AJ521" s="150">
        <f t="shared" si="256"/>
        <v>0</v>
      </c>
      <c r="AK521" s="150">
        <f t="shared" si="256"/>
        <v>0</v>
      </c>
      <c r="AL521" s="150">
        <f t="shared" si="256"/>
        <v>0</v>
      </c>
      <c r="AM521" s="150">
        <f t="shared" si="256"/>
        <v>0</v>
      </c>
      <c r="AN521" s="150">
        <f t="shared" si="256"/>
        <v>0</v>
      </c>
      <c r="AO521" s="150">
        <f t="shared" si="256"/>
        <v>0</v>
      </c>
      <c r="AP521" s="150">
        <f t="shared" si="256"/>
        <v>0</v>
      </c>
    </row>
    <row r="522" spans="1:42" x14ac:dyDescent="0.2">
      <c r="A522" s="4">
        <f t="shared" si="251"/>
        <v>8</v>
      </c>
      <c r="B522" s="173">
        <f t="shared" si="248"/>
        <v>0</v>
      </c>
      <c r="C522" s="150">
        <f t="shared" ref="C522:AP522" si="257">LOOKUP(C510,$B$446:$AP$446,$B$447:$AP$447)*$B721/100</f>
        <v>0</v>
      </c>
      <c r="D522" s="150">
        <f t="shared" si="257"/>
        <v>0</v>
      </c>
      <c r="E522" s="150">
        <f t="shared" si="257"/>
        <v>0</v>
      </c>
      <c r="F522" s="150">
        <f t="shared" si="257"/>
        <v>0</v>
      </c>
      <c r="G522" s="150">
        <f t="shared" si="257"/>
        <v>0</v>
      </c>
      <c r="H522" s="150">
        <f t="shared" si="257"/>
        <v>0</v>
      </c>
      <c r="I522" s="150">
        <f t="shared" si="257"/>
        <v>0</v>
      </c>
      <c r="J522" s="150">
        <f t="shared" si="257"/>
        <v>0</v>
      </c>
      <c r="K522" s="150">
        <f t="shared" si="257"/>
        <v>0</v>
      </c>
      <c r="L522" s="150">
        <f t="shared" si="257"/>
        <v>0</v>
      </c>
      <c r="M522" s="150">
        <f t="shared" si="257"/>
        <v>0</v>
      </c>
      <c r="N522" s="150">
        <f t="shared" si="257"/>
        <v>0</v>
      </c>
      <c r="O522" s="150">
        <f t="shared" si="257"/>
        <v>0</v>
      </c>
      <c r="P522" s="150">
        <f t="shared" si="257"/>
        <v>0</v>
      </c>
      <c r="Q522" s="150">
        <f t="shared" si="257"/>
        <v>0</v>
      </c>
      <c r="R522" s="150">
        <f t="shared" si="257"/>
        <v>0</v>
      </c>
      <c r="S522" s="150">
        <f t="shared" si="257"/>
        <v>0</v>
      </c>
      <c r="T522" s="150">
        <f t="shared" si="257"/>
        <v>0</v>
      </c>
      <c r="U522" s="150">
        <f t="shared" si="257"/>
        <v>0</v>
      </c>
      <c r="V522" s="150">
        <f t="shared" si="257"/>
        <v>0</v>
      </c>
      <c r="W522" s="150">
        <f t="shared" si="257"/>
        <v>0</v>
      </c>
      <c r="X522" s="150">
        <f t="shared" si="257"/>
        <v>0</v>
      </c>
      <c r="Y522" s="150">
        <f t="shared" si="257"/>
        <v>0</v>
      </c>
      <c r="Z522" s="150">
        <f t="shared" si="257"/>
        <v>0</v>
      </c>
      <c r="AA522" s="150">
        <f t="shared" si="257"/>
        <v>0</v>
      </c>
      <c r="AB522" s="150">
        <f t="shared" si="257"/>
        <v>0</v>
      </c>
      <c r="AC522" s="150">
        <f t="shared" si="257"/>
        <v>0</v>
      </c>
      <c r="AD522" s="150">
        <f t="shared" si="257"/>
        <v>0</v>
      </c>
      <c r="AE522" s="150">
        <f t="shared" si="257"/>
        <v>0</v>
      </c>
      <c r="AF522" s="150">
        <f t="shared" si="257"/>
        <v>0</v>
      </c>
      <c r="AG522" s="150">
        <f t="shared" si="257"/>
        <v>0</v>
      </c>
      <c r="AH522" s="150">
        <f t="shared" si="257"/>
        <v>0</v>
      </c>
      <c r="AI522" s="150">
        <f t="shared" si="257"/>
        <v>0</v>
      </c>
      <c r="AJ522" s="150">
        <f t="shared" si="257"/>
        <v>0</v>
      </c>
      <c r="AK522" s="150">
        <f t="shared" si="257"/>
        <v>0</v>
      </c>
      <c r="AL522" s="150">
        <f t="shared" si="257"/>
        <v>0</v>
      </c>
      <c r="AM522" s="150">
        <f t="shared" si="257"/>
        <v>0</v>
      </c>
      <c r="AN522" s="150">
        <f t="shared" si="257"/>
        <v>0</v>
      </c>
      <c r="AO522" s="150">
        <f t="shared" si="257"/>
        <v>0</v>
      </c>
      <c r="AP522" s="150">
        <f t="shared" si="257"/>
        <v>0</v>
      </c>
    </row>
    <row r="523" spans="1:42" x14ac:dyDescent="0.2">
      <c r="A523" s="4">
        <f>A522+1</f>
        <v>9</v>
      </c>
      <c r="B523" s="173">
        <f t="shared" si="248"/>
        <v>0</v>
      </c>
      <c r="C523" s="150">
        <f t="shared" ref="C523:AP523" si="258">LOOKUP(C511,$B$446:$AP$446,$B$447:$AP$447)*$B722/100</f>
        <v>0</v>
      </c>
      <c r="D523" s="150">
        <f t="shared" si="258"/>
        <v>0</v>
      </c>
      <c r="E523" s="150">
        <f t="shared" si="258"/>
        <v>0</v>
      </c>
      <c r="F523" s="150">
        <f t="shared" si="258"/>
        <v>0</v>
      </c>
      <c r="G523" s="150">
        <f t="shared" si="258"/>
        <v>0</v>
      </c>
      <c r="H523" s="150">
        <f t="shared" si="258"/>
        <v>0</v>
      </c>
      <c r="I523" s="150">
        <f t="shared" si="258"/>
        <v>0</v>
      </c>
      <c r="J523" s="150">
        <f t="shared" si="258"/>
        <v>0</v>
      </c>
      <c r="K523" s="150">
        <f t="shared" si="258"/>
        <v>0</v>
      </c>
      <c r="L523" s="150">
        <f t="shared" si="258"/>
        <v>0</v>
      </c>
      <c r="M523" s="150">
        <f t="shared" si="258"/>
        <v>0</v>
      </c>
      <c r="N523" s="150">
        <f t="shared" si="258"/>
        <v>0</v>
      </c>
      <c r="O523" s="150">
        <f t="shared" si="258"/>
        <v>0</v>
      </c>
      <c r="P523" s="150">
        <f t="shared" si="258"/>
        <v>0</v>
      </c>
      <c r="Q523" s="150">
        <f t="shared" si="258"/>
        <v>0</v>
      </c>
      <c r="R523" s="150">
        <f t="shared" si="258"/>
        <v>0</v>
      </c>
      <c r="S523" s="150">
        <f t="shared" si="258"/>
        <v>0</v>
      </c>
      <c r="T523" s="150">
        <f t="shared" si="258"/>
        <v>0</v>
      </c>
      <c r="U523" s="150">
        <f t="shared" si="258"/>
        <v>0</v>
      </c>
      <c r="V523" s="150">
        <f t="shared" si="258"/>
        <v>0</v>
      </c>
      <c r="W523" s="150">
        <f t="shared" si="258"/>
        <v>0</v>
      </c>
      <c r="X523" s="150">
        <f t="shared" si="258"/>
        <v>0</v>
      </c>
      <c r="Y523" s="150">
        <f t="shared" si="258"/>
        <v>0</v>
      </c>
      <c r="Z523" s="150">
        <f t="shared" si="258"/>
        <v>0</v>
      </c>
      <c r="AA523" s="150">
        <f t="shared" si="258"/>
        <v>0</v>
      </c>
      <c r="AB523" s="150">
        <f t="shared" si="258"/>
        <v>0</v>
      </c>
      <c r="AC523" s="150">
        <f t="shared" si="258"/>
        <v>0</v>
      </c>
      <c r="AD523" s="150">
        <f t="shared" si="258"/>
        <v>0</v>
      </c>
      <c r="AE523" s="150">
        <f t="shared" si="258"/>
        <v>0</v>
      </c>
      <c r="AF523" s="150">
        <f t="shared" si="258"/>
        <v>0</v>
      </c>
      <c r="AG523" s="150">
        <f t="shared" si="258"/>
        <v>0</v>
      </c>
      <c r="AH523" s="150">
        <f t="shared" si="258"/>
        <v>0</v>
      </c>
      <c r="AI523" s="150">
        <f t="shared" si="258"/>
        <v>0</v>
      </c>
      <c r="AJ523" s="150">
        <f t="shared" si="258"/>
        <v>0</v>
      </c>
      <c r="AK523" s="150">
        <f t="shared" si="258"/>
        <v>0</v>
      </c>
      <c r="AL523" s="150">
        <f t="shared" si="258"/>
        <v>0</v>
      </c>
      <c r="AM523" s="150">
        <f t="shared" si="258"/>
        <v>0</v>
      </c>
      <c r="AN523" s="150">
        <f t="shared" si="258"/>
        <v>0</v>
      </c>
      <c r="AO523" s="150">
        <f t="shared" si="258"/>
        <v>0</v>
      </c>
      <c r="AP523" s="150">
        <f t="shared" si="258"/>
        <v>0</v>
      </c>
    </row>
    <row r="524" spans="1:42" x14ac:dyDescent="0.2">
      <c r="A524" s="4">
        <f t="shared" ref="A524" si="259">A523+1</f>
        <v>10</v>
      </c>
      <c r="B524" s="173">
        <f t="shared" si="248"/>
        <v>0</v>
      </c>
      <c r="C524" s="169">
        <f t="shared" ref="C524:AP524" si="260">LOOKUP(C512,$B$446:$AP$446,$B$447:$AP$447)*$B723/100</f>
        <v>0</v>
      </c>
      <c r="D524" s="151">
        <f t="shared" si="260"/>
        <v>0</v>
      </c>
      <c r="E524" s="151">
        <f t="shared" si="260"/>
        <v>0</v>
      </c>
      <c r="F524" s="151">
        <f t="shared" si="260"/>
        <v>0</v>
      </c>
      <c r="G524" s="151">
        <f t="shared" si="260"/>
        <v>0</v>
      </c>
      <c r="H524" s="151">
        <f t="shared" si="260"/>
        <v>0</v>
      </c>
      <c r="I524" s="151">
        <f t="shared" si="260"/>
        <v>0</v>
      </c>
      <c r="J524" s="151">
        <f t="shared" si="260"/>
        <v>0</v>
      </c>
      <c r="K524" s="151">
        <f t="shared" si="260"/>
        <v>0</v>
      </c>
      <c r="L524" s="151">
        <f t="shared" si="260"/>
        <v>0</v>
      </c>
      <c r="M524" s="151">
        <f t="shared" si="260"/>
        <v>0</v>
      </c>
      <c r="N524" s="151">
        <f t="shared" si="260"/>
        <v>0</v>
      </c>
      <c r="O524" s="151">
        <f t="shared" si="260"/>
        <v>0</v>
      </c>
      <c r="P524" s="151">
        <f t="shared" si="260"/>
        <v>0</v>
      </c>
      <c r="Q524" s="151">
        <f t="shared" si="260"/>
        <v>0</v>
      </c>
      <c r="R524" s="151">
        <f t="shared" si="260"/>
        <v>0</v>
      </c>
      <c r="S524" s="151">
        <f t="shared" si="260"/>
        <v>0</v>
      </c>
      <c r="T524" s="151">
        <f t="shared" si="260"/>
        <v>0</v>
      </c>
      <c r="U524" s="151">
        <f t="shared" si="260"/>
        <v>0</v>
      </c>
      <c r="V524" s="151">
        <f t="shared" si="260"/>
        <v>0</v>
      </c>
      <c r="W524" s="151">
        <f t="shared" si="260"/>
        <v>0</v>
      </c>
      <c r="X524" s="151">
        <f t="shared" si="260"/>
        <v>0</v>
      </c>
      <c r="Y524" s="151">
        <f t="shared" si="260"/>
        <v>0</v>
      </c>
      <c r="Z524" s="151">
        <f t="shared" si="260"/>
        <v>0</v>
      </c>
      <c r="AA524" s="151">
        <f t="shared" si="260"/>
        <v>0</v>
      </c>
      <c r="AB524" s="151">
        <f t="shared" si="260"/>
        <v>0</v>
      </c>
      <c r="AC524" s="151">
        <f t="shared" si="260"/>
        <v>0</v>
      </c>
      <c r="AD524" s="151">
        <f t="shared" si="260"/>
        <v>0</v>
      </c>
      <c r="AE524" s="151">
        <f t="shared" si="260"/>
        <v>0</v>
      </c>
      <c r="AF524" s="151">
        <f t="shared" si="260"/>
        <v>0</v>
      </c>
      <c r="AG524" s="151">
        <f t="shared" si="260"/>
        <v>0</v>
      </c>
      <c r="AH524" s="151">
        <f t="shared" si="260"/>
        <v>0</v>
      </c>
      <c r="AI524" s="151">
        <f t="shared" si="260"/>
        <v>0</v>
      </c>
      <c r="AJ524" s="151">
        <f t="shared" si="260"/>
        <v>0</v>
      </c>
      <c r="AK524" s="151">
        <f t="shared" si="260"/>
        <v>0</v>
      </c>
      <c r="AL524" s="151">
        <f t="shared" si="260"/>
        <v>0</v>
      </c>
      <c r="AM524" s="151">
        <f t="shared" si="260"/>
        <v>0</v>
      </c>
      <c r="AN524" s="151">
        <f t="shared" si="260"/>
        <v>0</v>
      </c>
      <c r="AO524" s="151">
        <f t="shared" si="260"/>
        <v>0</v>
      </c>
      <c r="AP524" s="151">
        <f t="shared" si="260"/>
        <v>0</v>
      </c>
    </row>
    <row r="525" spans="1:42" x14ac:dyDescent="0.2">
      <c r="A525" s="24" t="s">
        <v>12</v>
      </c>
      <c r="B525" s="14"/>
      <c r="C525" s="150">
        <f>SUM(C515:C524)</f>
        <v>0</v>
      </c>
      <c r="D525" s="150">
        <f t="shared" ref="D525:AP525" si="261">SUM(D515:D524)</f>
        <v>0</v>
      </c>
      <c r="E525" s="150">
        <f t="shared" si="261"/>
        <v>0</v>
      </c>
      <c r="F525" s="150">
        <f t="shared" si="261"/>
        <v>0</v>
      </c>
      <c r="G525" s="150">
        <f t="shared" si="261"/>
        <v>0</v>
      </c>
      <c r="H525" s="150">
        <f t="shared" si="261"/>
        <v>0</v>
      </c>
      <c r="I525" s="150">
        <f t="shared" si="261"/>
        <v>0</v>
      </c>
      <c r="J525" s="150">
        <f t="shared" si="261"/>
        <v>0</v>
      </c>
      <c r="K525" s="150">
        <f t="shared" si="261"/>
        <v>0</v>
      </c>
      <c r="L525" s="150">
        <f t="shared" si="261"/>
        <v>0</v>
      </c>
      <c r="M525" s="150">
        <f t="shared" si="261"/>
        <v>0</v>
      </c>
      <c r="N525" s="150">
        <f t="shared" si="261"/>
        <v>0</v>
      </c>
      <c r="O525" s="150">
        <f t="shared" si="261"/>
        <v>0</v>
      </c>
      <c r="P525" s="150">
        <f t="shared" si="261"/>
        <v>0</v>
      </c>
      <c r="Q525" s="150">
        <f t="shared" si="261"/>
        <v>0</v>
      </c>
      <c r="R525" s="150">
        <f t="shared" si="261"/>
        <v>0</v>
      </c>
      <c r="S525" s="150">
        <f t="shared" si="261"/>
        <v>0</v>
      </c>
      <c r="T525" s="150">
        <f t="shared" si="261"/>
        <v>0</v>
      </c>
      <c r="U525" s="150">
        <f t="shared" si="261"/>
        <v>0</v>
      </c>
      <c r="V525" s="150">
        <f t="shared" si="261"/>
        <v>0</v>
      </c>
      <c r="W525" s="150">
        <f t="shared" si="261"/>
        <v>0</v>
      </c>
      <c r="X525" s="150">
        <f t="shared" si="261"/>
        <v>0</v>
      </c>
      <c r="Y525" s="150">
        <f t="shared" si="261"/>
        <v>0</v>
      </c>
      <c r="Z525" s="150">
        <f t="shared" si="261"/>
        <v>0</v>
      </c>
      <c r="AA525" s="150">
        <f t="shared" si="261"/>
        <v>0</v>
      </c>
      <c r="AB525" s="150">
        <f t="shared" si="261"/>
        <v>0</v>
      </c>
      <c r="AC525" s="150">
        <f t="shared" si="261"/>
        <v>0</v>
      </c>
      <c r="AD525" s="150">
        <f t="shared" si="261"/>
        <v>0</v>
      </c>
      <c r="AE525" s="150">
        <f t="shared" si="261"/>
        <v>0</v>
      </c>
      <c r="AF525" s="150">
        <f t="shared" si="261"/>
        <v>0</v>
      </c>
      <c r="AG525" s="150">
        <f t="shared" si="261"/>
        <v>0</v>
      </c>
      <c r="AH525" s="150">
        <f t="shared" si="261"/>
        <v>0</v>
      </c>
      <c r="AI525" s="150">
        <f t="shared" si="261"/>
        <v>0</v>
      </c>
      <c r="AJ525" s="150">
        <f t="shared" si="261"/>
        <v>0</v>
      </c>
      <c r="AK525" s="150">
        <f t="shared" si="261"/>
        <v>0</v>
      </c>
      <c r="AL525" s="150">
        <f t="shared" si="261"/>
        <v>0</v>
      </c>
      <c r="AM525" s="150">
        <f t="shared" si="261"/>
        <v>0</v>
      </c>
      <c r="AN525" s="150">
        <f t="shared" si="261"/>
        <v>0</v>
      </c>
      <c r="AO525" s="150">
        <f t="shared" si="261"/>
        <v>0</v>
      </c>
      <c r="AP525" s="150">
        <f t="shared" si="261"/>
        <v>0</v>
      </c>
    </row>
    <row r="526" spans="1:42" x14ac:dyDescent="0.2">
      <c r="A526" s="24"/>
      <c r="B526" s="14"/>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c r="AH526" s="150"/>
      <c r="AI526" s="150"/>
      <c r="AJ526" s="150"/>
      <c r="AK526" s="150"/>
      <c r="AL526" s="150"/>
      <c r="AM526" s="150"/>
      <c r="AN526" s="150"/>
      <c r="AO526" s="150"/>
      <c r="AP526" s="150"/>
    </row>
    <row r="527" spans="1:42" x14ac:dyDescent="0.2">
      <c r="A527" s="80" t="s">
        <v>187</v>
      </c>
      <c r="B527" s="207"/>
      <c r="C527" s="207"/>
      <c r="D527" s="207"/>
      <c r="E527" s="207"/>
      <c r="F527" s="207"/>
      <c r="G527" s="207"/>
      <c r="H527" s="207"/>
      <c r="I527" s="207"/>
      <c r="J527" s="207"/>
      <c r="K527" s="207"/>
      <c r="L527" s="207"/>
      <c r="M527" s="207"/>
      <c r="N527" s="207"/>
      <c r="O527" s="207"/>
      <c r="P527" s="207"/>
      <c r="Q527" s="207"/>
      <c r="R527" s="207"/>
      <c r="S527" s="207"/>
      <c r="T527" s="207"/>
      <c r="U527" s="207"/>
      <c r="V527" s="207"/>
      <c r="W527" s="207"/>
      <c r="X527" s="207"/>
      <c r="Y527" s="207"/>
      <c r="Z527" s="207"/>
      <c r="AA527" s="207"/>
      <c r="AB527" s="207"/>
      <c r="AC527" s="207"/>
      <c r="AD527" s="207"/>
      <c r="AE527" s="207"/>
      <c r="AF527" s="207"/>
      <c r="AG527" s="207"/>
      <c r="AH527" s="207"/>
      <c r="AI527" s="207"/>
      <c r="AJ527" s="207"/>
      <c r="AK527" s="207"/>
      <c r="AL527" s="207"/>
      <c r="AM527" s="207"/>
      <c r="AN527" s="207"/>
      <c r="AO527" s="207"/>
      <c r="AP527" s="207"/>
    </row>
    <row r="528" spans="1:42" x14ac:dyDescent="0.2">
      <c r="A528" s="19" t="s">
        <v>392</v>
      </c>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row>
    <row r="529" spans="1:42" x14ac:dyDescent="0.2">
      <c r="A529" s="17" t="s">
        <v>5</v>
      </c>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row>
    <row r="530" spans="1:42" x14ac:dyDescent="0.2">
      <c r="A530" s="86" t="s">
        <v>393</v>
      </c>
      <c r="B530" s="119"/>
      <c r="C530" s="119">
        <f t="array" ref="C530:AP530">Inputs!D173:AQ173</f>
        <v>0</v>
      </c>
      <c r="D530" s="119">
        <v>0</v>
      </c>
      <c r="E530" s="119">
        <v>0</v>
      </c>
      <c r="F530" s="119">
        <v>0</v>
      </c>
      <c r="G530" s="119">
        <v>0</v>
      </c>
      <c r="H530" s="119">
        <v>0</v>
      </c>
      <c r="I530" s="119">
        <v>0</v>
      </c>
      <c r="J530" s="119">
        <v>0</v>
      </c>
      <c r="K530" s="119">
        <v>0</v>
      </c>
      <c r="L530" s="119">
        <v>0</v>
      </c>
      <c r="M530" s="119">
        <v>0</v>
      </c>
      <c r="N530" s="119">
        <v>0</v>
      </c>
      <c r="O530" s="119">
        <v>0</v>
      </c>
      <c r="P530" s="119">
        <v>0</v>
      </c>
      <c r="Q530" s="119">
        <v>0</v>
      </c>
      <c r="R530" s="119">
        <v>0</v>
      </c>
      <c r="S530" s="119">
        <v>0</v>
      </c>
      <c r="T530" s="119">
        <v>0</v>
      </c>
      <c r="U530" s="119">
        <v>0</v>
      </c>
      <c r="V530" s="119">
        <v>0</v>
      </c>
      <c r="W530" s="119">
        <v>0</v>
      </c>
      <c r="X530" s="119">
        <v>0</v>
      </c>
      <c r="Y530" s="119">
        <v>0</v>
      </c>
      <c r="Z530" s="119">
        <v>0</v>
      </c>
      <c r="AA530" s="119">
        <v>0</v>
      </c>
      <c r="AB530" s="119">
        <v>0</v>
      </c>
      <c r="AC530" s="119">
        <v>0</v>
      </c>
      <c r="AD530" s="119">
        <v>0</v>
      </c>
      <c r="AE530" s="119">
        <v>0</v>
      </c>
      <c r="AF530" s="119">
        <v>0</v>
      </c>
      <c r="AG530" s="119">
        <v>0</v>
      </c>
      <c r="AH530" s="119">
        <v>0</v>
      </c>
      <c r="AI530" s="119">
        <v>0</v>
      </c>
      <c r="AJ530" s="119">
        <v>0</v>
      </c>
      <c r="AK530" s="119">
        <v>0</v>
      </c>
      <c r="AL530" s="119">
        <v>0</v>
      </c>
      <c r="AM530" s="119">
        <v>0</v>
      </c>
      <c r="AN530" s="119">
        <v>0</v>
      </c>
      <c r="AO530" s="119">
        <v>0</v>
      </c>
      <c r="AP530" s="119">
        <v>0</v>
      </c>
    </row>
    <row r="531" spans="1:42" x14ac:dyDescent="0.2">
      <c r="A531" s="86" t="s">
        <v>394</v>
      </c>
      <c r="B531" s="119"/>
      <c r="C531" s="119">
        <f t="array" ref="C531:AP531">Inputs!D176:AQ176</f>
        <v>0</v>
      </c>
      <c r="D531" s="119">
        <v>0</v>
      </c>
      <c r="E531" s="119">
        <v>0</v>
      </c>
      <c r="F531" s="119">
        <v>0</v>
      </c>
      <c r="G531" s="119">
        <v>0</v>
      </c>
      <c r="H531" s="119">
        <v>0</v>
      </c>
      <c r="I531" s="119">
        <v>0</v>
      </c>
      <c r="J531" s="119">
        <v>0</v>
      </c>
      <c r="K531" s="119">
        <v>0</v>
      </c>
      <c r="L531" s="119">
        <v>0</v>
      </c>
      <c r="M531" s="119">
        <v>0</v>
      </c>
      <c r="N531" s="119">
        <v>0</v>
      </c>
      <c r="O531" s="119">
        <v>0</v>
      </c>
      <c r="P531" s="119">
        <v>0</v>
      </c>
      <c r="Q531" s="119">
        <v>0</v>
      </c>
      <c r="R531" s="119">
        <v>0</v>
      </c>
      <c r="S531" s="119">
        <v>0</v>
      </c>
      <c r="T531" s="119">
        <v>0</v>
      </c>
      <c r="U531" s="119">
        <v>0</v>
      </c>
      <c r="V531" s="119">
        <v>0</v>
      </c>
      <c r="W531" s="119">
        <v>0</v>
      </c>
      <c r="X531" s="119">
        <v>0</v>
      </c>
      <c r="Y531" s="119">
        <v>0</v>
      </c>
      <c r="Z531" s="119">
        <v>0</v>
      </c>
      <c r="AA531" s="119">
        <v>0</v>
      </c>
      <c r="AB531" s="119">
        <v>0</v>
      </c>
      <c r="AC531" s="119">
        <v>0</v>
      </c>
      <c r="AD531" s="119">
        <v>0</v>
      </c>
      <c r="AE531" s="119">
        <v>0</v>
      </c>
      <c r="AF531" s="119">
        <v>0</v>
      </c>
      <c r="AG531" s="119">
        <v>0</v>
      </c>
      <c r="AH531" s="119">
        <v>0</v>
      </c>
      <c r="AI531" s="119">
        <v>0</v>
      </c>
      <c r="AJ531" s="119">
        <v>0</v>
      </c>
      <c r="AK531" s="119">
        <v>0</v>
      </c>
      <c r="AL531" s="119">
        <v>0</v>
      </c>
      <c r="AM531" s="119">
        <v>0</v>
      </c>
      <c r="AN531" s="119">
        <v>0</v>
      </c>
      <c r="AO531" s="119">
        <v>0</v>
      </c>
      <c r="AP531" s="119">
        <v>0</v>
      </c>
    </row>
    <row r="532" spans="1:42" x14ac:dyDescent="0.2">
      <c r="A532" s="21" t="s">
        <v>395</v>
      </c>
      <c r="B532" s="119"/>
      <c r="C532" s="313">
        <f t="array" ref="C532:AP532">Inputs!D177:AQ177</f>
        <v>0</v>
      </c>
      <c r="D532" s="313">
        <v>0</v>
      </c>
      <c r="E532" s="313">
        <v>0</v>
      </c>
      <c r="F532" s="313">
        <v>0</v>
      </c>
      <c r="G532" s="313">
        <v>0</v>
      </c>
      <c r="H532" s="313">
        <v>0</v>
      </c>
      <c r="I532" s="313">
        <v>0</v>
      </c>
      <c r="J532" s="313">
        <v>0</v>
      </c>
      <c r="K532" s="313">
        <v>0</v>
      </c>
      <c r="L532" s="313">
        <v>0</v>
      </c>
      <c r="M532" s="313">
        <v>0</v>
      </c>
      <c r="N532" s="313">
        <v>0</v>
      </c>
      <c r="O532" s="313">
        <v>0</v>
      </c>
      <c r="P532" s="313">
        <v>0</v>
      </c>
      <c r="Q532" s="313">
        <v>0</v>
      </c>
      <c r="R532" s="313">
        <v>0</v>
      </c>
      <c r="S532" s="313">
        <v>0</v>
      </c>
      <c r="T532" s="313">
        <v>0</v>
      </c>
      <c r="U532" s="313">
        <v>0</v>
      </c>
      <c r="V532" s="313">
        <v>0</v>
      </c>
      <c r="W532" s="313">
        <v>0</v>
      </c>
      <c r="X532" s="313">
        <v>0</v>
      </c>
      <c r="Y532" s="313">
        <v>0</v>
      </c>
      <c r="Z532" s="313">
        <v>0</v>
      </c>
      <c r="AA532" s="313">
        <v>0</v>
      </c>
      <c r="AB532" s="313">
        <v>0</v>
      </c>
      <c r="AC532" s="313">
        <v>0</v>
      </c>
      <c r="AD532" s="313">
        <v>0</v>
      </c>
      <c r="AE532" s="313">
        <v>0</v>
      </c>
      <c r="AF532" s="313">
        <v>0</v>
      </c>
      <c r="AG532" s="313">
        <v>0</v>
      </c>
      <c r="AH532" s="313">
        <v>0</v>
      </c>
      <c r="AI532" s="313">
        <v>0</v>
      </c>
      <c r="AJ532" s="313">
        <v>0</v>
      </c>
      <c r="AK532" s="313">
        <v>0</v>
      </c>
      <c r="AL532" s="313">
        <v>0</v>
      </c>
      <c r="AM532" s="313">
        <v>0</v>
      </c>
      <c r="AN532" s="313">
        <v>0</v>
      </c>
      <c r="AO532" s="313">
        <v>0</v>
      </c>
      <c r="AP532" s="313">
        <v>0</v>
      </c>
    </row>
    <row r="533" spans="1:42" x14ac:dyDescent="0.2">
      <c r="A533" s="21" t="s">
        <v>396</v>
      </c>
      <c r="B533" s="119"/>
      <c r="C533" s="119">
        <f t="shared" ref="C533:AP533" si="262">MIN(C$532,C$531/100*$B$262)</f>
        <v>0</v>
      </c>
      <c r="D533" s="119">
        <f t="shared" si="262"/>
        <v>0</v>
      </c>
      <c r="E533" s="119">
        <f t="shared" si="262"/>
        <v>0</v>
      </c>
      <c r="F533" s="119">
        <f t="shared" si="262"/>
        <v>0</v>
      </c>
      <c r="G533" s="119">
        <f t="shared" si="262"/>
        <v>0</v>
      </c>
      <c r="H533" s="119">
        <f t="shared" si="262"/>
        <v>0</v>
      </c>
      <c r="I533" s="119">
        <f t="shared" si="262"/>
        <v>0</v>
      </c>
      <c r="J533" s="119">
        <f t="shared" si="262"/>
        <v>0</v>
      </c>
      <c r="K533" s="119">
        <f t="shared" si="262"/>
        <v>0</v>
      </c>
      <c r="L533" s="119">
        <f t="shared" si="262"/>
        <v>0</v>
      </c>
      <c r="M533" s="119">
        <f t="shared" si="262"/>
        <v>0</v>
      </c>
      <c r="N533" s="119">
        <f t="shared" si="262"/>
        <v>0</v>
      </c>
      <c r="O533" s="119">
        <f t="shared" si="262"/>
        <v>0</v>
      </c>
      <c r="P533" s="119">
        <f t="shared" si="262"/>
        <v>0</v>
      </c>
      <c r="Q533" s="119">
        <f t="shared" si="262"/>
        <v>0</v>
      </c>
      <c r="R533" s="119">
        <f t="shared" si="262"/>
        <v>0</v>
      </c>
      <c r="S533" s="119">
        <f t="shared" si="262"/>
        <v>0</v>
      </c>
      <c r="T533" s="119">
        <f t="shared" si="262"/>
        <v>0</v>
      </c>
      <c r="U533" s="119">
        <f t="shared" si="262"/>
        <v>0</v>
      </c>
      <c r="V533" s="119">
        <f t="shared" si="262"/>
        <v>0</v>
      </c>
      <c r="W533" s="119">
        <f t="shared" si="262"/>
        <v>0</v>
      </c>
      <c r="X533" s="119">
        <f t="shared" si="262"/>
        <v>0</v>
      </c>
      <c r="Y533" s="119">
        <f t="shared" si="262"/>
        <v>0</v>
      </c>
      <c r="Z533" s="119">
        <f t="shared" si="262"/>
        <v>0</v>
      </c>
      <c r="AA533" s="119">
        <f t="shared" si="262"/>
        <v>0</v>
      </c>
      <c r="AB533" s="119">
        <f t="shared" si="262"/>
        <v>0</v>
      </c>
      <c r="AC533" s="119">
        <f t="shared" si="262"/>
        <v>0</v>
      </c>
      <c r="AD533" s="119">
        <f t="shared" si="262"/>
        <v>0</v>
      </c>
      <c r="AE533" s="119">
        <f t="shared" si="262"/>
        <v>0</v>
      </c>
      <c r="AF533" s="119">
        <f t="shared" si="262"/>
        <v>0</v>
      </c>
      <c r="AG533" s="119">
        <f t="shared" si="262"/>
        <v>0</v>
      </c>
      <c r="AH533" s="119">
        <f t="shared" si="262"/>
        <v>0</v>
      </c>
      <c r="AI533" s="119">
        <f t="shared" si="262"/>
        <v>0</v>
      </c>
      <c r="AJ533" s="119">
        <f t="shared" si="262"/>
        <v>0</v>
      </c>
      <c r="AK533" s="119">
        <f t="shared" si="262"/>
        <v>0</v>
      </c>
      <c r="AL533" s="119">
        <f t="shared" si="262"/>
        <v>0</v>
      </c>
      <c r="AM533" s="119">
        <f t="shared" si="262"/>
        <v>0</v>
      </c>
      <c r="AN533" s="119">
        <f t="shared" si="262"/>
        <v>0</v>
      </c>
      <c r="AO533" s="119">
        <f t="shared" si="262"/>
        <v>0</v>
      </c>
      <c r="AP533" s="119">
        <f t="shared" si="262"/>
        <v>0</v>
      </c>
    </row>
    <row r="534" spans="1:42" x14ac:dyDescent="0.2">
      <c r="A534" s="86" t="s">
        <v>12</v>
      </c>
      <c r="B534" s="119"/>
      <c r="C534" s="119">
        <f>C$530+C$533</f>
        <v>0</v>
      </c>
      <c r="D534" s="119">
        <f t="shared" ref="D534:AP534" si="263">D$530+D$533</f>
        <v>0</v>
      </c>
      <c r="E534" s="119">
        <f t="shared" si="263"/>
        <v>0</v>
      </c>
      <c r="F534" s="119">
        <f t="shared" si="263"/>
        <v>0</v>
      </c>
      <c r="G534" s="119">
        <f t="shared" si="263"/>
        <v>0</v>
      </c>
      <c r="H534" s="119">
        <f t="shared" si="263"/>
        <v>0</v>
      </c>
      <c r="I534" s="119">
        <f t="shared" si="263"/>
        <v>0</v>
      </c>
      <c r="J534" s="119">
        <f t="shared" si="263"/>
        <v>0</v>
      </c>
      <c r="K534" s="119">
        <f t="shared" si="263"/>
        <v>0</v>
      </c>
      <c r="L534" s="119">
        <f t="shared" si="263"/>
        <v>0</v>
      </c>
      <c r="M534" s="119">
        <f t="shared" si="263"/>
        <v>0</v>
      </c>
      <c r="N534" s="119">
        <f t="shared" si="263"/>
        <v>0</v>
      </c>
      <c r="O534" s="119">
        <f t="shared" si="263"/>
        <v>0</v>
      </c>
      <c r="P534" s="119">
        <f t="shared" si="263"/>
        <v>0</v>
      </c>
      <c r="Q534" s="119">
        <f t="shared" si="263"/>
        <v>0</v>
      </c>
      <c r="R534" s="119">
        <f t="shared" si="263"/>
        <v>0</v>
      </c>
      <c r="S534" s="119">
        <f t="shared" si="263"/>
        <v>0</v>
      </c>
      <c r="T534" s="119">
        <f t="shared" si="263"/>
        <v>0</v>
      </c>
      <c r="U534" s="119">
        <f t="shared" si="263"/>
        <v>0</v>
      </c>
      <c r="V534" s="119">
        <f t="shared" si="263"/>
        <v>0</v>
      </c>
      <c r="W534" s="119">
        <f t="shared" si="263"/>
        <v>0</v>
      </c>
      <c r="X534" s="119">
        <f t="shared" si="263"/>
        <v>0</v>
      </c>
      <c r="Y534" s="119">
        <f t="shared" si="263"/>
        <v>0</v>
      </c>
      <c r="Z534" s="119">
        <f t="shared" si="263"/>
        <v>0</v>
      </c>
      <c r="AA534" s="119">
        <f t="shared" si="263"/>
        <v>0</v>
      </c>
      <c r="AB534" s="119">
        <f t="shared" si="263"/>
        <v>0</v>
      </c>
      <c r="AC534" s="119">
        <f t="shared" si="263"/>
        <v>0</v>
      </c>
      <c r="AD534" s="119">
        <f t="shared" si="263"/>
        <v>0</v>
      </c>
      <c r="AE534" s="119">
        <f t="shared" si="263"/>
        <v>0</v>
      </c>
      <c r="AF534" s="119">
        <f t="shared" si="263"/>
        <v>0</v>
      </c>
      <c r="AG534" s="119">
        <f t="shared" si="263"/>
        <v>0</v>
      </c>
      <c r="AH534" s="119">
        <f t="shared" si="263"/>
        <v>0</v>
      </c>
      <c r="AI534" s="119">
        <f t="shared" si="263"/>
        <v>0</v>
      </c>
      <c r="AJ534" s="119">
        <f t="shared" si="263"/>
        <v>0</v>
      </c>
      <c r="AK534" s="119">
        <f t="shared" si="263"/>
        <v>0</v>
      </c>
      <c r="AL534" s="119">
        <f t="shared" si="263"/>
        <v>0</v>
      </c>
      <c r="AM534" s="119">
        <f t="shared" si="263"/>
        <v>0</v>
      </c>
      <c r="AN534" s="119">
        <f t="shared" si="263"/>
        <v>0</v>
      </c>
      <c r="AO534" s="119">
        <f t="shared" si="263"/>
        <v>0</v>
      </c>
      <c r="AP534" s="119">
        <f t="shared" si="263"/>
        <v>0</v>
      </c>
    </row>
    <row r="535" spans="1:42" x14ac:dyDescent="0.2">
      <c r="A535" s="17" t="s">
        <v>4</v>
      </c>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row>
    <row r="536" spans="1:42" x14ac:dyDescent="0.2">
      <c r="A536" s="86" t="s">
        <v>393</v>
      </c>
      <c r="B536" s="119"/>
      <c r="C536" s="119">
        <f t="array" ref="C536:AP536">Inputs!D172:AQ172</f>
        <v>0</v>
      </c>
      <c r="D536" s="119">
        <v>0</v>
      </c>
      <c r="E536" s="119">
        <v>0</v>
      </c>
      <c r="F536" s="119">
        <v>0</v>
      </c>
      <c r="G536" s="119">
        <v>0</v>
      </c>
      <c r="H536" s="119">
        <v>0</v>
      </c>
      <c r="I536" s="119">
        <v>0</v>
      </c>
      <c r="J536" s="119">
        <v>0</v>
      </c>
      <c r="K536" s="119">
        <v>0</v>
      </c>
      <c r="L536" s="119">
        <v>0</v>
      </c>
      <c r="M536" s="119">
        <v>0</v>
      </c>
      <c r="N536" s="119">
        <v>0</v>
      </c>
      <c r="O536" s="119">
        <v>0</v>
      </c>
      <c r="P536" s="119">
        <v>0</v>
      </c>
      <c r="Q536" s="119">
        <v>0</v>
      </c>
      <c r="R536" s="119">
        <v>0</v>
      </c>
      <c r="S536" s="119">
        <v>0</v>
      </c>
      <c r="T536" s="119">
        <v>0</v>
      </c>
      <c r="U536" s="119">
        <v>0</v>
      </c>
      <c r="V536" s="119">
        <v>0</v>
      </c>
      <c r="W536" s="119">
        <v>0</v>
      </c>
      <c r="X536" s="119">
        <v>0</v>
      </c>
      <c r="Y536" s="119">
        <v>0</v>
      </c>
      <c r="Z536" s="119">
        <v>0</v>
      </c>
      <c r="AA536" s="119">
        <v>0</v>
      </c>
      <c r="AB536" s="119">
        <v>0</v>
      </c>
      <c r="AC536" s="119">
        <v>0</v>
      </c>
      <c r="AD536" s="119">
        <v>0</v>
      </c>
      <c r="AE536" s="119">
        <v>0</v>
      </c>
      <c r="AF536" s="119">
        <v>0</v>
      </c>
      <c r="AG536" s="119">
        <v>0</v>
      </c>
      <c r="AH536" s="119">
        <v>0</v>
      </c>
      <c r="AI536" s="119">
        <v>0</v>
      </c>
      <c r="AJ536" s="119">
        <v>0</v>
      </c>
      <c r="AK536" s="119">
        <v>0</v>
      </c>
      <c r="AL536" s="119">
        <v>0</v>
      </c>
      <c r="AM536" s="119">
        <v>0</v>
      </c>
      <c r="AN536" s="119">
        <v>0</v>
      </c>
      <c r="AO536" s="119">
        <v>0</v>
      </c>
      <c r="AP536" s="119">
        <v>0</v>
      </c>
    </row>
    <row r="537" spans="1:42" x14ac:dyDescent="0.2">
      <c r="A537" s="86" t="s">
        <v>397</v>
      </c>
      <c r="B537" s="119"/>
      <c r="C537" s="119">
        <f t="array" ref="C537:AP537">Inputs!D174:AQ174</f>
        <v>0</v>
      </c>
      <c r="D537" s="119">
        <v>0</v>
      </c>
      <c r="E537" s="119">
        <v>0</v>
      </c>
      <c r="F537" s="119">
        <v>0</v>
      </c>
      <c r="G537" s="119">
        <v>0</v>
      </c>
      <c r="H537" s="119">
        <v>0</v>
      </c>
      <c r="I537" s="119">
        <v>0</v>
      </c>
      <c r="J537" s="119">
        <v>0</v>
      </c>
      <c r="K537" s="119">
        <v>0</v>
      </c>
      <c r="L537" s="119">
        <v>0</v>
      </c>
      <c r="M537" s="119">
        <v>0</v>
      </c>
      <c r="N537" s="119">
        <v>0</v>
      </c>
      <c r="O537" s="119">
        <v>0</v>
      </c>
      <c r="P537" s="119">
        <v>0</v>
      </c>
      <c r="Q537" s="119">
        <v>0</v>
      </c>
      <c r="R537" s="119">
        <v>0</v>
      </c>
      <c r="S537" s="119">
        <v>0</v>
      </c>
      <c r="T537" s="119">
        <v>0</v>
      </c>
      <c r="U537" s="119">
        <v>0</v>
      </c>
      <c r="V537" s="119">
        <v>0</v>
      </c>
      <c r="W537" s="119">
        <v>0</v>
      </c>
      <c r="X537" s="119">
        <v>0</v>
      </c>
      <c r="Y537" s="119">
        <v>0</v>
      </c>
      <c r="Z537" s="119">
        <v>0</v>
      </c>
      <c r="AA537" s="119">
        <v>0</v>
      </c>
      <c r="AB537" s="119">
        <v>0</v>
      </c>
      <c r="AC537" s="119">
        <v>0</v>
      </c>
      <c r="AD537" s="119">
        <v>0</v>
      </c>
      <c r="AE537" s="119">
        <v>0</v>
      </c>
      <c r="AF537" s="119">
        <v>0</v>
      </c>
      <c r="AG537" s="119">
        <v>0</v>
      </c>
      <c r="AH537" s="119">
        <v>0</v>
      </c>
      <c r="AI537" s="119">
        <v>0</v>
      </c>
      <c r="AJ537" s="119">
        <v>0</v>
      </c>
      <c r="AK537" s="119">
        <v>0</v>
      </c>
      <c r="AL537" s="119">
        <v>0</v>
      </c>
      <c r="AM537" s="119">
        <v>0</v>
      </c>
      <c r="AN537" s="119">
        <v>0</v>
      </c>
      <c r="AO537" s="119">
        <v>0</v>
      </c>
      <c r="AP537" s="119">
        <v>0</v>
      </c>
    </row>
    <row r="538" spans="1:42" x14ac:dyDescent="0.2">
      <c r="A538" s="21" t="s">
        <v>395</v>
      </c>
      <c r="B538" s="119"/>
      <c r="C538" s="313">
        <f t="array" ref="C538:AP538">Inputs!D175:AQ175</f>
        <v>0</v>
      </c>
      <c r="D538" s="313">
        <v>0</v>
      </c>
      <c r="E538" s="313">
        <v>0</v>
      </c>
      <c r="F538" s="313">
        <v>0</v>
      </c>
      <c r="G538" s="313">
        <v>0</v>
      </c>
      <c r="H538" s="313">
        <v>0</v>
      </c>
      <c r="I538" s="313">
        <v>0</v>
      </c>
      <c r="J538" s="313">
        <v>0</v>
      </c>
      <c r="K538" s="313">
        <v>0</v>
      </c>
      <c r="L538" s="313">
        <v>0</v>
      </c>
      <c r="M538" s="313">
        <v>0</v>
      </c>
      <c r="N538" s="313">
        <v>0</v>
      </c>
      <c r="O538" s="313">
        <v>0</v>
      </c>
      <c r="P538" s="313">
        <v>0</v>
      </c>
      <c r="Q538" s="313">
        <v>0</v>
      </c>
      <c r="R538" s="313">
        <v>0</v>
      </c>
      <c r="S538" s="313">
        <v>0</v>
      </c>
      <c r="T538" s="313">
        <v>0</v>
      </c>
      <c r="U538" s="313">
        <v>0</v>
      </c>
      <c r="V538" s="313">
        <v>0</v>
      </c>
      <c r="W538" s="313">
        <v>0</v>
      </c>
      <c r="X538" s="313">
        <v>0</v>
      </c>
      <c r="Y538" s="313">
        <v>0</v>
      </c>
      <c r="Z538" s="313">
        <v>0</v>
      </c>
      <c r="AA538" s="313">
        <v>0</v>
      </c>
      <c r="AB538" s="313">
        <v>0</v>
      </c>
      <c r="AC538" s="313">
        <v>0</v>
      </c>
      <c r="AD538" s="313">
        <v>0</v>
      </c>
      <c r="AE538" s="313">
        <v>0</v>
      </c>
      <c r="AF538" s="313">
        <v>0</v>
      </c>
      <c r="AG538" s="313">
        <v>0</v>
      </c>
      <c r="AH538" s="313">
        <v>0</v>
      </c>
      <c r="AI538" s="313">
        <v>0</v>
      </c>
      <c r="AJ538" s="313">
        <v>0</v>
      </c>
      <c r="AK538" s="313">
        <v>0</v>
      </c>
      <c r="AL538" s="313">
        <v>0</v>
      </c>
      <c r="AM538" s="313">
        <v>0</v>
      </c>
      <c r="AN538" s="313">
        <v>0</v>
      </c>
      <c r="AO538" s="313">
        <v>0</v>
      </c>
      <c r="AP538" s="313">
        <v>0</v>
      </c>
    </row>
    <row r="539" spans="1:42" x14ac:dyDescent="0.2">
      <c r="A539" s="86" t="s">
        <v>396</v>
      </c>
      <c r="B539" s="119"/>
      <c r="C539" s="119">
        <f t="shared" ref="C539:AP539" si="264">MIN(C$538,C$537/100*$B$400)</f>
        <v>0</v>
      </c>
      <c r="D539" s="119">
        <f t="shared" si="264"/>
        <v>0</v>
      </c>
      <c r="E539" s="119">
        <f t="shared" si="264"/>
        <v>0</v>
      </c>
      <c r="F539" s="119">
        <f t="shared" si="264"/>
        <v>0</v>
      </c>
      <c r="G539" s="119">
        <f t="shared" si="264"/>
        <v>0</v>
      </c>
      <c r="H539" s="119">
        <f t="shared" si="264"/>
        <v>0</v>
      </c>
      <c r="I539" s="119">
        <f t="shared" si="264"/>
        <v>0</v>
      </c>
      <c r="J539" s="119">
        <f t="shared" si="264"/>
        <v>0</v>
      </c>
      <c r="K539" s="119">
        <f t="shared" si="264"/>
        <v>0</v>
      </c>
      <c r="L539" s="119">
        <f t="shared" si="264"/>
        <v>0</v>
      </c>
      <c r="M539" s="119">
        <f t="shared" si="264"/>
        <v>0</v>
      </c>
      <c r="N539" s="119">
        <f t="shared" si="264"/>
        <v>0</v>
      </c>
      <c r="O539" s="119">
        <f t="shared" si="264"/>
        <v>0</v>
      </c>
      <c r="P539" s="119">
        <f t="shared" si="264"/>
        <v>0</v>
      </c>
      <c r="Q539" s="119">
        <f t="shared" si="264"/>
        <v>0</v>
      </c>
      <c r="R539" s="119">
        <f t="shared" si="264"/>
        <v>0</v>
      </c>
      <c r="S539" s="119">
        <f t="shared" si="264"/>
        <v>0</v>
      </c>
      <c r="T539" s="119">
        <f t="shared" si="264"/>
        <v>0</v>
      </c>
      <c r="U539" s="119">
        <f t="shared" si="264"/>
        <v>0</v>
      </c>
      <c r="V539" s="119">
        <f t="shared" si="264"/>
        <v>0</v>
      </c>
      <c r="W539" s="119">
        <f t="shared" si="264"/>
        <v>0</v>
      </c>
      <c r="X539" s="119">
        <f t="shared" si="264"/>
        <v>0</v>
      </c>
      <c r="Y539" s="119">
        <f t="shared" si="264"/>
        <v>0</v>
      </c>
      <c r="Z539" s="119">
        <f t="shared" si="264"/>
        <v>0</v>
      </c>
      <c r="AA539" s="119">
        <f t="shared" si="264"/>
        <v>0</v>
      </c>
      <c r="AB539" s="119">
        <f t="shared" si="264"/>
        <v>0</v>
      </c>
      <c r="AC539" s="119">
        <f t="shared" si="264"/>
        <v>0</v>
      </c>
      <c r="AD539" s="119">
        <f t="shared" si="264"/>
        <v>0</v>
      </c>
      <c r="AE539" s="119">
        <f t="shared" si="264"/>
        <v>0</v>
      </c>
      <c r="AF539" s="119">
        <f t="shared" si="264"/>
        <v>0</v>
      </c>
      <c r="AG539" s="119">
        <f t="shared" si="264"/>
        <v>0</v>
      </c>
      <c r="AH539" s="119">
        <f t="shared" si="264"/>
        <v>0</v>
      </c>
      <c r="AI539" s="119">
        <f t="shared" si="264"/>
        <v>0</v>
      </c>
      <c r="AJ539" s="119">
        <f t="shared" si="264"/>
        <v>0</v>
      </c>
      <c r="AK539" s="119">
        <f t="shared" si="264"/>
        <v>0</v>
      </c>
      <c r="AL539" s="119">
        <f t="shared" si="264"/>
        <v>0</v>
      </c>
      <c r="AM539" s="119">
        <f t="shared" si="264"/>
        <v>0</v>
      </c>
      <c r="AN539" s="119">
        <f t="shared" si="264"/>
        <v>0</v>
      </c>
      <c r="AO539" s="119">
        <f t="shared" si="264"/>
        <v>0</v>
      </c>
      <c r="AP539" s="119">
        <f t="shared" si="264"/>
        <v>0</v>
      </c>
    </row>
    <row r="540" spans="1:42" x14ac:dyDescent="0.2">
      <c r="A540" s="86" t="s">
        <v>12</v>
      </c>
      <c r="B540" s="119"/>
      <c r="C540" s="119">
        <f>C$536+C$539</f>
        <v>0</v>
      </c>
      <c r="D540" s="119">
        <f t="shared" ref="D540:AP540" si="265">D$536+D$539</f>
        <v>0</v>
      </c>
      <c r="E540" s="119">
        <f t="shared" si="265"/>
        <v>0</v>
      </c>
      <c r="F540" s="119">
        <f t="shared" si="265"/>
        <v>0</v>
      </c>
      <c r="G540" s="119">
        <f t="shared" si="265"/>
        <v>0</v>
      </c>
      <c r="H540" s="119">
        <f t="shared" si="265"/>
        <v>0</v>
      </c>
      <c r="I540" s="119">
        <f t="shared" si="265"/>
        <v>0</v>
      </c>
      <c r="J540" s="119">
        <f t="shared" si="265"/>
        <v>0</v>
      </c>
      <c r="K540" s="119">
        <f t="shared" si="265"/>
        <v>0</v>
      </c>
      <c r="L540" s="119">
        <f t="shared" si="265"/>
        <v>0</v>
      </c>
      <c r="M540" s="119">
        <f t="shared" si="265"/>
        <v>0</v>
      </c>
      <c r="N540" s="119">
        <f t="shared" si="265"/>
        <v>0</v>
      </c>
      <c r="O540" s="119">
        <f t="shared" si="265"/>
        <v>0</v>
      </c>
      <c r="P540" s="119">
        <f t="shared" si="265"/>
        <v>0</v>
      </c>
      <c r="Q540" s="119">
        <f t="shared" si="265"/>
        <v>0</v>
      </c>
      <c r="R540" s="119">
        <f t="shared" si="265"/>
        <v>0</v>
      </c>
      <c r="S540" s="119">
        <f t="shared" si="265"/>
        <v>0</v>
      </c>
      <c r="T540" s="119">
        <f t="shared" si="265"/>
        <v>0</v>
      </c>
      <c r="U540" s="119">
        <f t="shared" si="265"/>
        <v>0</v>
      </c>
      <c r="V540" s="119">
        <f t="shared" si="265"/>
        <v>0</v>
      </c>
      <c r="W540" s="119">
        <f t="shared" si="265"/>
        <v>0</v>
      </c>
      <c r="X540" s="119">
        <f t="shared" si="265"/>
        <v>0</v>
      </c>
      <c r="Y540" s="119">
        <f t="shared" si="265"/>
        <v>0</v>
      </c>
      <c r="Z540" s="119">
        <f t="shared" si="265"/>
        <v>0</v>
      </c>
      <c r="AA540" s="119">
        <f t="shared" si="265"/>
        <v>0</v>
      </c>
      <c r="AB540" s="119">
        <f t="shared" si="265"/>
        <v>0</v>
      </c>
      <c r="AC540" s="119">
        <f t="shared" si="265"/>
        <v>0</v>
      </c>
      <c r="AD540" s="119">
        <f t="shared" si="265"/>
        <v>0</v>
      </c>
      <c r="AE540" s="119">
        <f t="shared" si="265"/>
        <v>0</v>
      </c>
      <c r="AF540" s="119">
        <f t="shared" si="265"/>
        <v>0</v>
      </c>
      <c r="AG540" s="119">
        <f t="shared" si="265"/>
        <v>0</v>
      </c>
      <c r="AH540" s="119">
        <f t="shared" si="265"/>
        <v>0</v>
      </c>
      <c r="AI540" s="119">
        <f t="shared" si="265"/>
        <v>0</v>
      </c>
      <c r="AJ540" s="119">
        <f t="shared" si="265"/>
        <v>0</v>
      </c>
      <c r="AK540" s="119">
        <f t="shared" si="265"/>
        <v>0</v>
      </c>
      <c r="AL540" s="119">
        <f t="shared" si="265"/>
        <v>0</v>
      </c>
      <c r="AM540" s="119">
        <f t="shared" si="265"/>
        <v>0</v>
      </c>
      <c r="AN540" s="119">
        <f t="shared" si="265"/>
        <v>0</v>
      </c>
      <c r="AO540" s="119">
        <f t="shared" si="265"/>
        <v>0</v>
      </c>
      <c r="AP540" s="119">
        <f t="shared" si="265"/>
        <v>0</v>
      </c>
    </row>
    <row r="541" spans="1:42" x14ac:dyDescent="0.2">
      <c r="A541" s="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row>
    <row r="542" spans="1:42" x14ac:dyDescent="0.2">
      <c r="A542" s="19" t="s">
        <v>54</v>
      </c>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row>
    <row r="543" spans="1:42" x14ac:dyDescent="0.2">
      <c r="A543" s="17" t="s">
        <v>5</v>
      </c>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row>
    <row r="544" spans="1:42" x14ac:dyDescent="0.2">
      <c r="A544" s="86" t="s">
        <v>258</v>
      </c>
      <c r="C544" s="108">
        <f>IF(ptc_sta_amount="n/a",Inputs!D185,IF(C$2&lt;=ptc_sta_term,ptc_sta_amount*(1+ptc_sta_escal/100)^B$2,0))</f>
        <v>0</v>
      </c>
      <c r="D544" s="108">
        <f>IF(ptc_sta_amount="n/a",Inputs!E185,IF(D$2&lt;=ptc_sta_term,ptc_sta_amount*(1+ptc_sta_escal/100)^C$2,0))</f>
        <v>0</v>
      </c>
      <c r="E544" s="108">
        <f>IF(ptc_sta_amount="n/a",Inputs!F185,IF(E$2&lt;=ptc_sta_term,ptc_sta_amount*(1+ptc_sta_escal/100)^D$2,0))</f>
        <v>0</v>
      </c>
      <c r="F544" s="108">
        <f>IF(ptc_sta_amount="n/a",Inputs!G185,IF(F$2&lt;=ptc_sta_term,ptc_sta_amount*(1+ptc_sta_escal/100)^E$2,0))</f>
        <v>0</v>
      </c>
      <c r="G544" s="108">
        <f>IF(ptc_sta_amount="n/a",Inputs!H185,IF(G$2&lt;=ptc_sta_term,ptc_sta_amount*(1+ptc_sta_escal/100)^F$2,0))</f>
        <v>0</v>
      </c>
      <c r="H544" s="108">
        <f>IF(ptc_sta_amount="n/a",Inputs!I185,IF(H$2&lt;=ptc_sta_term,ptc_sta_amount*(1+ptc_sta_escal/100)^G$2,0))</f>
        <v>0</v>
      </c>
      <c r="I544" s="108">
        <f>IF(ptc_sta_amount="n/a",Inputs!J185,IF(I$2&lt;=ptc_sta_term,ptc_sta_amount*(1+ptc_sta_escal/100)^H$2,0))</f>
        <v>0</v>
      </c>
      <c r="J544" s="108">
        <f>IF(ptc_sta_amount="n/a",Inputs!K185,IF(J$2&lt;=ptc_sta_term,ptc_sta_amount*(1+ptc_sta_escal/100)^I$2,0))</f>
        <v>0</v>
      </c>
      <c r="K544" s="108">
        <f>IF(ptc_sta_amount="n/a",Inputs!L185,IF(K$2&lt;=ptc_sta_term,ptc_sta_amount*(1+ptc_sta_escal/100)^J$2,0))</f>
        <v>0</v>
      </c>
      <c r="L544" s="108">
        <f>IF(ptc_sta_amount="n/a",Inputs!M185,IF(L$2&lt;=ptc_sta_term,ptc_sta_amount*(1+ptc_sta_escal/100)^K$2,0))</f>
        <v>0</v>
      </c>
      <c r="M544" s="108">
        <f>IF(ptc_sta_amount="n/a",Inputs!N185,IF(M$2&lt;=ptc_sta_term,ptc_sta_amount*(1+ptc_sta_escal/100)^L$2,0))</f>
        <v>0</v>
      </c>
      <c r="N544" s="108">
        <f>IF(ptc_sta_amount="n/a",Inputs!O185,IF(N$2&lt;=ptc_sta_term,ptc_sta_amount*(1+ptc_sta_escal/100)^M$2,0))</f>
        <v>0</v>
      </c>
      <c r="O544" s="108">
        <f>IF(ptc_sta_amount="n/a",Inputs!P185,IF(O$2&lt;=ptc_sta_term,ptc_sta_amount*(1+ptc_sta_escal/100)^N$2,0))</f>
        <v>0</v>
      </c>
      <c r="P544" s="108">
        <f>IF(ptc_sta_amount="n/a",Inputs!Q185,IF(P$2&lt;=ptc_sta_term,ptc_sta_amount*(1+ptc_sta_escal/100)^O$2,0))</f>
        <v>0</v>
      </c>
      <c r="Q544" s="108">
        <f>IF(ptc_sta_amount="n/a",Inputs!R185,IF(Q$2&lt;=ptc_sta_term,ptc_sta_amount*(1+ptc_sta_escal/100)^P$2,0))</f>
        <v>0</v>
      </c>
      <c r="R544" s="108">
        <f>IF(ptc_sta_amount="n/a",Inputs!S185,IF(R$2&lt;=ptc_sta_term,ptc_sta_amount*(1+ptc_sta_escal/100)^Q$2,0))</f>
        <v>0</v>
      </c>
      <c r="S544" s="108">
        <f>IF(ptc_sta_amount="n/a",Inputs!T185,IF(S$2&lt;=ptc_sta_term,ptc_sta_amount*(1+ptc_sta_escal/100)^R$2,0))</f>
        <v>0</v>
      </c>
      <c r="T544" s="108">
        <f>IF(ptc_sta_amount="n/a",Inputs!U185,IF(T$2&lt;=ptc_sta_term,ptc_sta_amount*(1+ptc_sta_escal/100)^S$2,0))</f>
        <v>0</v>
      </c>
      <c r="U544" s="108">
        <f>IF(ptc_sta_amount="n/a",Inputs!V185,IF(U$2&lt;=ptc_sta_term,ptc_sta_amount*(1+ptc_sta_escal/100)^T$2,0))</f>
        <v>0</v>
      </c>
      <c r="V544" s="108">
        <f>IF(ptc_sta_amount="n/a",Inputs!W185,IF(V$2&lt;=ptc_sta_term,ptc_sta_amount*(1+ptc_sta_escal/100)^U$2,0))</f>
        <v>0</v>
      </c>
      <c r="W544" s="108">
        <f>IF(ptc_sta_amount="n/a",Inputs!X185,IF(W$2&lt;=ptc_sta_term,ptc_sta_amount*(1+ptc_sta_escal/100)^V$2,0))</f>
        <v>0</v>
      </c>
      <c r="X544" s="108">
        <f>IF(ptc_sta_amount="n/a",Inputs!Y185,IF(X$2&lt;=ptc_sta_term,ptc_sta_amount*(1+ptc_sta_escal/100)^W$2,0))</f>
        <v>0</v>
      </c>
      <c r="Y544" s="108">
        <f>IF(ptc_sta_amount="n/a",Inputs!Z185,IF(Y$2&lt;=ptc_sta_term,ptc_sta_amount*(1+ptc_sta_escal/100)^X$2,0))</f>
        <v>0</v>
      </c>
      <c r="Z544" s="108">
        <f>IF(ptc_sta_amount="n/a",Inputs!AA185,IF(Z$2&lt;=ptc_sta_term,ptc_sta_amount*(1+ptc_sta_escal/100)^Y$2,0))</f>
        <v>0</v>
      </c>
      <c r="AA544" s="108">
        <f>IF(ptc_sta_amount="n/a",Inputs!AB185,IF(AA$2&lt;=ptc_sta_term,ptc_sta_amount*(1+ptc_sta_escal/100)^Z$2,0))</f>
        <v>0</v>
      </c>
      <c r="AB544" s="108">
        <f>IF(ptc_sta_amount="n/a",Inputs!AC185,IF(AB$2&lt;=ptc_sta_term,ptc_sta_amount*(1+ptc_sta_escal/100)^AA$2,0))</f>
        <v>0</v>
      </c>
      <c r="AC544" s="108">
        <f>IF(ptc_sta_amount="n/a",Inputs!AD185,IF(AC$2&lt;=ptc_sta_term,ptc_sta_amount*(1+ptc_sta_escal/100)^AB$2,0))</f>
        <v>0</v>
      </c>
      <c r="AD544" s="108">
        <f>IF(ptc_sta_amount="n/a",Inputs!AE185,IF(AD$2&lt;=ptc_sta_term,ptc_sta_amount*(1+ptc_sta_escal/100)^AC$2,0))</f>
        <v>0</v>
      </c>
      <c r="AE544" s="108">
        <f>IF(ptc_sta_amount="n/a",Inputs!AF185,IF(AE$2&lt;=ptc_sta_term,ptc_sta_amount*(1+ptc_sta_escal/100)^AD$2,0))</f>
        <v>0</v>
      </c>
      <c r="AF544" s="108">
        <f>IF(ptc_sta_amount="n/a",Inputs!AG185,IF(AF$2&lt;=ptc_sta_term,ptc_sta_amount*(1+ptc_sta_escal/100)^AE$2,0))</f>
        <v>0</v>
      </c>
      <c r="AG544" s="108">
        <f>IF(ptc_sta_amount="n/a",Inputs!AH185,IF(AG$2&lt;=ptc_sta_term,ptc_sta_amount*(1+ptc_sta_escal/100)^AF$2,0))</f>
        <v>0</v>
      </c>
      <c r="AH544" s="108">
        <f>IF(ptc_sta_amount="n/a",Inputs!AI185,IF(AH$2&lt;=ptc_sta_term,ptc_sta_amount*(1+ptc_sta_escal/100)^AG$2,0))</f>
        <v>0</v>
      </c>
      <c r="AI544" s="108">
        <f>IF(ptc_sta_amount="n/a",Inputs!AJ185,IF(AI$2&lt;=ptc_sta_term,ptc_sta_amount*(1+ptc_sta_escal/100)^AH$2,0))</f>
        <v>0</v>
      </c>
      <c r="AJ544" s="108">
        <f>IF(ptc_sta_amount="n/a",Inputs!AK185,IF(AJ$2&lt;=ptc_sta_term,ptc_sta_amount*(1+ptc_sta_escal/100)^AI$2,0))</f>
        <v>0</v>
      </c>
      <c r="AK544" s="108">
        <f>IF(ptc_sta_amount="n/a",Inputs!AL185,IF(AK$2&lt;=ptc_sta_term,ptc_sta_amount*(1+ptc_sta_escal/100)^AJ$2,0))</f>
        <v>0</v>
      </c>
      <c r="AL544" s="108">
        <f>IF(ptc_sta_amount="n/a",Inputs!AM185,IF(AL$2&lt;=ptc_sta_term,ptc_sta_amount*(1+ptc_sta_escal/100)^AK$2,0))</f>
        <v>0</v>
      </c>
      <c r="AM544" s="108">
        <f>IF(ptc_sta_amount="n/a",Inputs!AN185,IF(AM$2&lt;=ptc_sta_term,ptc_sta_amount*(1+ptc_sta_escal/100)^AL$2,0))</f>
        <v>0</v>
      </c>
      <c r="AN544" s="108">
        <f>IF(ptc_sta_amount="n/a",Inputs!AO185,IF(AN$2&lt;=ptc_sta_term,ptc_sta_amount*(1+ptc_sta_escal/100)^AM$2,0))</f>
        <v>0</v>
      </c>
      <c r="AO544" s="108">
        <f>IF(ptc_sta_amount="n/a",Inputs!AP185,IF(AO$2&lt;=ptc_sta_term,ptc_sta_amount*(1+ptc_sta_escal/100)^AN$2,0))</f>
        <v>0</v>
      </c>
      <c r="AP544" s="108">
        <f>IF(ptc_sta_amount="n/a",Inputs!AQ185,IF(AP$2&lt;=ptc_sta_term,ptc_sta_amount*(1+ptc_sta_escal/100)^AO$2,0))</f>
        <v>0</v>
      </c>
    </row>
    <row r="545" spans="1:42" x14ac:dyDescent="0.2">
      <c r="A545" s="86" t="s">
        <v>259</v>
      </c>
      <c r="C545" s="108">
        <f>ROUND(C544*1000,0)</f>
        <v>0</v>
      </c>
      <c r="D545" s="108">
        <f>ROUND(D544*1000,0)</f>
        <v>0</v>
      </c>
      <c r="E545" s="108">
        <f t="shared" ref="E545:AP545" si="266">ROUND(E544*1000,0)</f>
        <v>0</v>
      </c>
      <c r="F545" s="108">
        <f t="shared" si="266"/>
        <v>0</v>
      </c>
      <c r="G545" s="108">
        <f t="shared" si="266"/>
        <v>0</v>
      </c>
      <c r="H545" s="108">
        <f t="shared" si="266"/>
        <v>0</v>
      </c>
      <c r="I545" s="108">
        <f t="shared" si="266"/>
        <v>0</v>
      </c>
      <c r="J545" s="108">
        <f t="shared" si="266"/>
        <v>0</v>
      </c>
      <c r="K545" s="108">
        <f t="shared" si="266"/>
        <v>0</v>
      </c>
      <c r="L545" s="108">
        <f t="shared" si="266"/>
        <v>0</v>
      </c>
      <c r="M545" s="108">
        <f t="shared" si="266"/>
        <v>0</v>
      </c>
      <c r="N545" s="108">
        <f t="shared" si="266"/>
        <v>0</v>
      </c>
      <c r="O545" s="108">
        <f t="shared" si="266"/>
        <v>0</v>
      </c>
      <c r="P545" s="108">
        <f t="shared" si="266"/>
        <v>0</v>
      </c>
      <c r="Q545" s="108">
        <f t="shared" si="266"/>
        <v>0</v>
      </c>
      <c r="R545" s="108">
        <f t="shared" si="266"/>
        <v>0</v>
      </c>
      <c r="S545" s="108">
        <f t="shared" si="266"/>
        <v>0</v>
      </c>
      <c r="T545" s="108">
        <f t="shared" si="266"/>
        <v>0</v>
      </c>
      <c r="U545" s="108">
        <f t="shared" si="266"/>
        <v>0</v>
      </c>
      <c r="V545" s="108">
        <f t="shared" si="266"/>
        <v>0</v>
      </c>
      <c r="W545" s="108">
        <f t="shared" si="266"/>
        <v>0</v>
      </c>
      <c r="X545" s="108">
        <f t="shared" si="266"/>
        <v>0</v>
      </c>
      <c r="Y545" s="108">
        <f t="shared" si="266"/>
        <v>0</v>
      </c>
      <c r="Z545" s="108">
        <f t="shared" si="266"/>
        <v>0</v>
      </c>
      <c r="AA545" s="108">
        <f t="shared" si="266"/>
        <v>0</v>
      </c>
      <c r="AB545" s="108">
        <f t="shared" si="266"/>
        <v>0</v>
      </c>
      <c r="AC545" s="108">
        <f t="shared" si="266"/>
        <v>0</v>
      </c>
      <c r="AD545" s="108">
        <f t="shared" si="266"/>
        <v>0</v>
      </c>
      <c r="AE545" s="108">
        <f t="shared" si="266"/>
        <v>0</v>
      </c>
      <c r="AF545" s="108">
        <f t="shared" si="266"/>
        <v>0</v>
      </c>
      <c r="AG545" s="108">
        <f t="shared" si="266"/>
        <v>0</v>
      </c>
      <c r="AH545" s="108">
        <f t="shared" si="266"/>
        <v>0</v>
      </c>
      <c r="AI545" s="108">
        <f t="shared" si="266"/>
        <v>0</v>
      </c>
      <c r="AJ545" s="108">
        <f t="shared" si="266"/>
        <v>0</v>
      </c>
      <c r="AK545" s="108">
        <f t="shared" si="266"/>
        <v>0</v>
      </c>
      <c r="AL545" s="108">
        <f t="shared" si="266"/>
        <v>0</v>
      </c>
      <c r="AM545" s="108">
        <f t="shared" si="266"/>
        <v>0</v>
      </c>
      <c r="AN545" s="108">
        <f t="shared" si="266"/>
        <v>0</v>
      </c>
      <c r="AO545" s="108">
        <f t="shared" si="266"/>
        <v>0</v>
      </c>
      <c r="AP545" s="108">
        <f t="shared" si="266"/>
        <v>0</v>
      </c>
    </row>
    <row r="546" spans="1:42" x14ac:dyDescent="0.2">
      <c r="A546" s="86" t="s">
        <v>55</v>
      </c>
      <c r="C546" s="120">
        <f>C$5/1000</f>
        <v>0</v>
      </c>
      <c r="D546" s="120">
        <f t="shared" ref="D546:AP546" si="267">D$5/1000</f>
        <v>0</v>
      </c>
      <c r="E546" s="120">
        <f t="shared" si="267"/>
        <v>0</v>
      </c>
      <c r="F546" s="120">
        <f t="shared" si="267"/>
        <v>0</v>
      </c>
      <c r="G546" s="120">
        <f t="shared" si="267"/>
        <v>0</v>
      </c>
      <c r="H546" s="120">
        <f t="shared" si="267"/>
        <v>0</v>
      </c>
      <c r="I546" s="120">
        <f t="shared" si="267"/>
        <v>0</v>
      </c>
      <c r="J546" s="120">
        <f t="shared" si="267"/>
        <v>0</v>
      </c>
      <c r="K546" s="120">
        <f t="shared" si="267"/>
        <v>0</v>
      </c>
      <c r="L546" s="120">
        <f t="shared" si="267"/>
        <v>0</v>
      </c>
      <c r="M546" s="120">
        <f t="shared" si="267"/>
        <v>0</v>
      </c>
      <c r="N546" s="120">
        <f t="shared" si="267"/>
        <v>0</v>
      </c>
      <c r="O546" s="120">
        <f t="shared" si="267"/>
        <v>0</v>
      </c>
      <c r="P546" s="120">
        <f t="shared" si="267"/>
        <v>0</v>
      </c>
      <c r="Q546" s="120">
        <f t="shared" si="267"/>
        <v>0</v>
      </c>
      <c r="R546" s="120">
        <f t="shared" si="267"/>
        <v>0</v>
      </c>
      <c r="S546" s="120">
        <f t="shared" si="267"/>
        <v>0</v>
      </c>
      <c r="T546" s="120">
        <f t="shared" si="267"/>
        <v>0</v>
      </c>
      <c r="U546" s="120">
        <f t="shared" si="267"/>
        <v>0</v>
      </c>
      <c r="V546" s="120">
        <f t="shared" si="267"/>
        <v>0</v>
      </c>
      <c r="W546" s="120">
        <f t="shared" si="267"/>
        <v>0</v>
      </c>
      <c r="X546" s="120">
        <f t="shared" si="267"/>
        <v>0</v>
      </c>
      <c r="Y546" s="120">
        <f t="shared" si="267"/>
        <v>0</v>
      </c>
      <c r="Z546" s="120">
        <f t="shared" si="267"/>
        <v>0</v>
      </c>
      <c r="AA546" s="120">
        <f t="shared" si="267"/>
        <v>0</v>
      </c>
      <c r="AB546" s="120">
        <f t="shared" si="267"/>
        <v>0</v>
      </c>
      <c r="AC546" s="120">
        <f t="shared" si="267"/>
        <v>0</v>
      </c>
      <c r="AD546" s="120">
        <f t="shared" si="267"/>
        <v>0</v>
      </c>
      <c r="AE546" s="120">
        <f t="shared" si="267"/>
        <v>0</v>
      </c>
      <c r="AF546" s="120">
        <f t="shared" si="267"/>
        <v>0</v>
      </c>
      <c r="AG546" s="120">
        <f t="shared" si="267"/>
        <v>0</v>
      </c>
      <c r="AH546" s="120">
        <f t="shared" si="267"/>
        <v>0</v>
      </c>
      <c r="AI546" s="120">
        <f t="shared" si="267"/>
        <v>0</v>
      </c>
      <c r="AJ546" s="120">
        <f t="shared" si="267"/>
        <v>0</v>
      </c>
      <c r="AK546" s="120">
        <f t="shared" si="267"/>
        <v>0</v>
      </c>
      <c r="AL546" s="120">
        <f t="shared" si="267"/>
        <v>0</v>
      </c>
      <c r="AM546" s="120">
        <f t="shared" si="267"/>
        <v>0</v>
      </c>
      <c r="AN546" s="120">
        <f t="shared" si="267"/>
        <v>0</v>
      </c>
      <c r="AO546" s="120">
        <f t="shared" si="267"/>
        <v>0</v>
      </c>
      <c r="AP546" s="120">
        <f t="shared" si="267"/>
        <v>0</v>
      </c>
    </row>
    <row r="547" spans="1:42" x14ac:dyDescent="0.2">
      <c r="A547" s="86" t="s">
        <v>12</v>
      </c>
      <c r="C547" s="119">
        <f>C545*C546</f>
        <v>0</v>
      </c>
      <c r="D547" s="119">
        <f>D545*D546</f>
        <v>0</v>
      </c>
      <c r="E547" s="119">
        <f t="shared" ref="E547:AP547" si="268">E545*E546</f>
        <v>0</v>
      </c>
      <c r="F547" s="119">
        <f t="shared" si="268"/>
        <v>0</v>
      </c>
      <c r="G547" s="119">
        <f t="shared" si="268"/>
        <v>0</v>
      </c>
      <c r="H547" s="119">
        <f t="shared" si="268"/>
        <v>0</v>
      </c>
      <c r="I547" s="119">
        <f t="shared" si="268"/>
        <v>0</v>
      </c>
      <c r="J547" s="119">
        <f t="shared" si="268"/>
        <v>0</v>
      </c>
      <c r="K547" s="119">
        <f t="shared" si="268"/>
        <v>0</v>
      </c>
      <c r="L547" s="119">
        <f t="shared" si="268"/>
        <v>0</v>
      </c>
      <c r="M547" s="119">
        <f t="shared" si="268"/>
        <v>0</v>
      </c>
      <c r="N547" s="119">
        <f t="shared" si="268"/>
        <v>0</v>
      </c>
      <c r="O547" s="119">
        <f t="shared" si="268"/>
        <v>0</v>
      </c>
      <c r="P547" s="119">
        <f t="shared" si="268"/>
        <v>0</v>
      </c>
      <c r="Q547" s="119">
        <f t="shared" si="268"/>
        <v>0</v>
      </c>
      <c r="R547" s="119">
        <f t="shared" si="268"/>
        <v>0</v>
      </c>
      <c r="S547" s="119">
        <f t="shared" si="268"/>
        <v>0</v>
      </c>
      <c r="T547" s="119">
        <f t="shared" si="268"/>
        <v>0</v>
      </c>
      <c r="U547" s="119">
        <f t="shared" si="268"/>
        <v>0</v>
      </c>
      <c r="V547" s="119">
        <f t="shared" si="268"/>
        <v>0</v>
      </c>
      <c r="W547" s="119">
        <f t="shared" si="268"/>
        <v>0</v>
      </c>
      <c r="X547" s="119">
        <f t="shared" si="268"/>
        <v>0</v>
      </c>
      <c r="Y547" s="119">
        <f t="shared" si="268"/>
        <v>0</v>
      </c>
      <c r="Z547" s="119">
        <f t="shared" si="268"/>
        <v>0</v>
      </c>
      <c r="AA547" s="119">
        <f t="shared" si="268"/>
        <v>0</v>
      </c>
      <c r="AB547" s="119">
        <f t="shared" si="268"/>
        <v>0</v>
      </c>
      <c r="AC547" s="119">
        <f t="shared" si="268"/>
        <v>0</v>
      </c>
      <c r="AD547" s="119">
        <f t="shared" si="268"/>
        <v>0</v>
      </c>
      <c r="AE547" s="119">
        <f t="shared" si="268"/>
        <v>0</v>
      </c>
      <c r="AF547" s="119">
        <f t="shared" si="268"/>
        <v>0</v>
      </c>
      <c r="AG547" s="119">
        <f t="shared" si="268"/>
        <v>0</v>
      </c>
      <c r="AH547" s="119">
        <f t="shared" si="268"/>
        <v>0</v>
      </c>
      <c r="AI547" s="119">
        <f t="shared" si="268"/>
        <v>0</v>
      </c>
      <c r="AJ547" s="119">
        <f t="shared" si="268"/>
        <v>0</v>
      </c>
      <c r="AK547" s="119">
        <f t="shared" si="268"/>
        <v>0</v>
      </c>
      <c r="AL547" s="119">
        <f t="shared" si="268"/>
        <v>0</v>
      </c>
      <c r="AM547" s="119">
        <f t="shared" si="268"/>
        <v>0</v>
      </c>
      <c r="AN547" s="119">
        <f t="shared" si="268"/>
        <v>0</v>
      </c>
      <c r="AO547" s="119">
        <f t="shared" si="268"/>
        <v>0</v>
      </c>
      <c r="AP547" s="119">
        <f t="shared" si="268"/>
        <v>0</v>
      </c>
    </row>
    <row r="548" spans="1:42" x14ac:dyDescent="0.2">
      <c r="A548" s="17"/>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row>
    <row r="549" spans="1:42" x14ac:dyDescent="0.2">
      <c r="A549" s="17" t="s">
        <v>4</v>
      </c>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row>
    <row r="550" spans="1:42" x14ac:dyDescent="0.2">
      <c r="A550" s="86" t="s">
        <v>258</v>
      </c>
      <c r="C550" s="108">
        <f>IF(ptc_fed_amount="n/a",Inputs!D184,IF(C$2&lt;=ptc_fed_term,ptc_fed_amount*(1+ptc_fed_escal/100)^B$2,0))</f>
        <v>0</v>
      </c>
      <c r="D550" s="108">
        <f>IF(ptc_fed_amount="n/a",Inputs!E184,IF(D$2&lt;=ptc_fed_term,ptc_fed_amount*(1+ptc_fed_escal/100)^C$2,0))</f>
        <v>0</v>
      </c>
      <c r="E550" s="108">
        <f>IF(ptc_fed_amount="n/a",Inputs!F184,IF(E$2&lt;=ptc_fed_term,ptc_fed_amount*(1+ptc_fed_escal/100)^D$2,0))</f>
        <v>0</v>
      </c>
      <c r="F550" s="108">
        <f>IF(ptc_fed_amount="n/a",Inputs!G184,IF(F$2&lt;=ptc_fed_term,ptc_fed_amount*(1+ptc_fed_escal/100)^E$2,0))</f>
        <v>0</v>
      </c>
      <c r="G550" s="108">
        <f>IF(ptc_fed_amount="n/a",Inputs!H184,IF(G$2&lt;=ptc_fed_term,ptc_fed_amount*(1+ptc_fed_escal/100)^F$2,0))</f>
        <v>0</v>
      </c>
      <c r="H550" s="108">
        <f>IF(ptc_fed_amount="n/a",Inputs!I184,IF(H$2&lt;=ptc_fed_term,ptc_fed_amount*(1+ptc_fed_escal/100)^G$2,0))</f>
        <v>0</v>
      </c>
      <c r="I550" s="108">
        <f>IF(ptc_fed_amount="n/a",Inputs!J184,IF(I$2&lt;=ptc_fed_term,ptc_fed_amount*(1+ptc_fed_escal/100)^H$2,0))</f>
        <v>0</v>
      </c>
      <c r="J550" s="108">
        <f>IF(ptc_fed_amount="n/a",Inputs!K184,IF(J$2&lt;=ptc_fed_term,ptc_fed_amount*(1+ptc_fed_escal/100)^I$2,0))</f>
        <v>0</v>
      </c>
      <c r="K550" s="108">
        <f>IF(ptc_fed_amount="n/a",Inputs!L184,IF(K$2&lt;=ptc_fed_term,ptc_fed_amount*(1+ptc_fed_escal/100)^J$2,0))</f>
        <v>0</v>
      </c>
      <c r="L550" s="108">
        <f>IF(ptc_fed_amount="n/a",Inputs!M184,IF(L$2&lt;=ptc_fed_term,ptc_fed_amount*(1+ptc_fed_escal/100)^K$2,0))</f>
        <v>0</v>
      </c>
      <c r="M550" s="108">
        <f>IF(ptc_fed_amount="n/a",Inputs!N184,IF(M$2&lt;=ptc_fed_term,ptc_fed_amount*(1+ptc_fed_escal/100)^L$2,0))</f>
        <v>0</v>
      </c>
      <c r="N550" s="108">
        <f>IF(ptc_fed_amount="n/a",Inputs!O184,IF(N$2&lt;=ptc_fed_term,ptc_fed_amount*(1+ptc_fed_escal/100)^M$2,0))</f>
        <v>0</v>
      </c>
      <c r="O550" s="108">
        <f>IF(ptc_fed_amount="n/a",Inputs!P184,IF(O$2&lt;=ptc_fed_term,ptc_fed_amount*(1+ptc_fed_escal/100)^N$2,0))</f>
        <v>0</v>
      </c>
      <c r="P550" s="108">
        <f>IF(ptc_fed_amount="n/a",Inputs!Q184,IF(P$2&lt;=ptc_fed_term,ptc_fed_amount*(1+ptc_fed_escal/100)^O$2,0))</f>
        <v>0</v>
      </c>
      <c r="Q550" s="108">
        <f>IF(ptc_fed_amount="n/a",Inputs!R184,IF(Q$2&lt;=ptc_fed_term,ptc_fed_amount*(1+ptc_fed_escal/100)^P$2,0))</f>
        <v>0</v>
      </c>
      <c r="R550" s="108">
        <f>IF(ptc_fed_amount="n/a",Inputs!S184,IF(R$2&lt;=ptc_fed_term,ptc_fed_amount*(1+ptc_fed_escal/100)^Q$2,0))</f>
        <v>0</v>
      </c>
      <c r="S550" s="108">
        <f>IF(ptc_fed_amount="n/a",Inputs!T184,IF(S$2&lt;=ptc_fed_term,ptc_fed_amount*(1+ptc_fed_escal/100)^R$2,0))</f>
        <v>0</v>
      </c>
      <c r="T550" s="108">
        <f>IF(ptc_fed_amount="n/a",Inputs!U184,IF(T$2&lt;=ptc_fed_term,ptc_fed_amount*(1+ptc_fed_escal/100)^S$2,0))</f>
        <v>0</v>
      </c>
      <c r="U550" s="108">
        <f>IF(ptc_fed_amount="n/a",Inputs!V184,IF(U$2&lt;=ptc_fed_term,ptc_fed_amount*(1+ptc_fed_escal/100)^T$2,0))</f>
        <v>0</v>
      </c>
      <c r="V550" s="108">
        <f>IF(ptc_fed_amount="n/a",Inputs!W184,IF(V$2&lt;=ptc_fed_term,ptc_fed_amount*(1+ptc_fed_escal/100)^U$2,0))</f>
        <v>0</v>
      </c>
      <c r="W550" s="108">
        <f>IF(ptc_fed_amount="n/a",Inputs!X184,IF(W$2&lt;=ptc_fed_term,ptc_fed_amount*(1+ptc_fed_escal/100)^V$2,0))</f>
        <v>0</v>
      </c>
      <c r="X550" s="108">
        <f>IF(ptc_fed_amount="n/a",Inputs!Y184,IF(X$2&lt;=ptc_fed_term,ptc_fed_amount*(1+ptc_fed_escal/100)^W$2,0))</f>
        <v>0</v>
      </c>
      <c r="Y550" s="108">
        <f>IF(ptc_fed_amount="n/a",Inputs!Z184,IF(Y$2&lt;=ptc_fed_term,ptc_fed_amount*(1+ptc_fed_escal/100)^X$2,0))</f>
        <v>0</v>
      </c>
      <c r="Z550" s="108">
        <f>IF(ptc_fed_amount="n/a",Inputs!AA184,IF(Z$2&lt;=ptc_fed_term,ptc_fed_amount*(1+ptc_fed_escal/100)^Y$2,0))</f>
        <v>0</v>
      </c>
      <c r="AA550" s="108">
        <f>IF(ptc_fed_amount="n/a",Inputs!AB184,IF(AA$2&lt;=ptc_fed_term,ptc_fed_amount*(1+ptc_fed_escal/100)^Z$2,0))</f>
        <v>0</v>
      </c>
      <c r="AB550" s="108">
        <f>IF(ptc_fed_amount="n/a",Inputs!AC184,IF(AB$2&lt;=ptc_fed_term,ptc_fed_amount*(1+ptc_fed_escal/100)^AA$2,0))</f>
        <v>0</v>
      </c>
      <c r="AC550" s="108">
        <f>IF(ptc_fed_amount="n/a",Inputs!AD184,IF(AC$2&lt;=ptc_fed_term,ptc_fed_amount*(1+ptc_fed_escal/100)^AB$2,0))</f>
        <v>0</v>
      </c>
      <c r="AD550" s="108">
        <f>IF(ptc_fed_amount="n/a",Inputs!AE184,IF(AD$2&lt;=ptc_fed_term,ptc_fed_amount*(1+ptc_fed_escal/100)^AC$2,0))</f>
        <v>0</v>
      </c>
      <c r="AE550" s="108">
        <f>IF(ptc_fed_amount="n/a",Inputs!AF184,IF(AE$2&lt;=ptc_fed_term,ptc_fed_amount*(1+ptc_fed_escal/100)^AD$2,0))</f>
        <v>0</v>
      </c>
      <c r="AF550" s="108">
        <f>IF(ptc_fed_amount="n/a",Inputs!AG184,IF(AF$2&lt;=ptc_fed_term,ptc_fed_amount*(1+ptc_fed_escal/100)^AE$2,0))</f>
        <v>0</v>
      </c>
      <c r="AG550" s="108">
        <f>IF(ptc_fed_amount="n/a",Inputs!AH184,IF(AG$2&lt;=ptc_fed_term,ptc_fed_amount*(1+ptc_fed_escal/100)^AF$2,0))</f>
        <v>0</v>
      </c>
      <c r="AH550" s="108">
        <f>IF(ptc_fed_amount="n/a",Inputs!AI184,IF(AH$2&lt;=ptc_fed_term,ptc_fed_amount*(1+ptc_fed_escal/100)^AG$2,0))</f>
        <v>0</v>
      </c>
      <c r="AI550" s="108">
        <f>IF(ptc_fed_amount="n/a",Inputs!AJ184,IF(AI$2&lt;=ptc_fed_term,ptc_fed_amount*(1+ptc_fed_escal/100)^AH$2,0))</f>
        <v>0</v>
      </c>
      <c r="AJ550" s="108">
        <f>IF(ptc_fed_amount="n/a",Inputs!AK184,IF(AJ$2&lt;=ptc_fed_term,ptc_fed_amount*(1+ptc_fed_escal/100)^AI$2,0))</f>
        <v>0</v>
      </c>
      <c r="AK550" s="108">
        <f>IF(ptc_fed_amount="n/a",Inputs!AL184,IF(AK$2&lt;=ptc_fed_term,ptc_fed_amount*(1+ptc_fed_escal/100)^AJ$2,0))</f>
        <v>0</v>
      </c>
      <c r="AL550" s="108">
        <f>IF(ptc_fed_amount="n/a",Inputs!AM184,IF(AL$2&lt;=ptc_fed_term,ptc_fed_amount*(1+ptc_fed_escal/100)^AK$2,0))</f>
        <v>0</v>
      </c>
      <c r="AM550" s="108">
        <f>IF(ptc_fed_amount="n/a",Inputs!AN184,IF(AM$2&lt;=ptc_fed_term,ptc_fed_amount*(1+ptc_fed_escal/100)^AL$2,0))</f>
        <v>0</v>
      </c>
      <c r="AN550" s="108">
        <f>IF(ptc_fed_amount="n/a",Inputs!AO184,IF(AN$2&lt;=ptc_fed_term,ptc_fed_amount*(1+ptc_fed_escal/100)^AM$2,0))</f>
        <v>0</v>
      </c>
      <c r="AO550" s="108">
        <f>IF(ptc_fed_amount="n/a",Inputs!AP184,IF(AO$2&lt;=ptc_fed_term,ptc_fed_amount*(1+ptc_fed_escal/100)^AN$2,0))</f>
        <v>0</v>
      </c>
      <c r="AP550" s="108">
        <f>IF(ptc_fed_amount="n/a",Inputs!AQ184,IF(AP$2&lt;=ptc_fed_term,ptc_fed_amount*(1+ptc_fed_escal/100)^AO$2,0))</f>
        <v>0</v>
      </c>
    </row>
    <row r="551" spans="1:42" x14ac:dyDescent="0.2">
      <c r="A551" s="86" t="s">
        <v>259</v>
      </c>
      <c r="C551" s="108">
        <f>ROUND(C550*1000,0)</f>
        <v>0</v>
      </c>
      <c r="D551" s="108">
        <f>ROUND(D550*1000,0)</f>
        <v>0</v>
      </c>
      <c r="E551" s="108">
        <f t="shared" ref="E551:AP551" si="269">ROUND(E550*1000,0)</f>
        <v>0</v>
      </c>
      <c r="F551" s="108">
        <f t="shared" si="269"/>
        <v>0</v>
      </c>
      <c r="G551" s="108">
        <f t="shared" si="269"/>
        <v>0</v>
      </c>
      <c r="H551" s="108">
        <f t="shared" si="269"/>
        <v>0</v>
      </c>
      <c r="I551" s="108">
        <f t="shared" si="269"/>
        <v>0</v>
      </c>
      <c r="J551" s="108">
        <f t="shared" si="269"/>
        <v>0</v>
      </c>
      <c r="K551" s="108">
        <f t="shared" si="269"/>
        <v>0</v>
      </c>
      <c r="L551" s="108">
        <f t="shared" si="269"/>
        <v>0</v>
      </c>
      <c r="M551" s="108">
        <f t="shared" si="269"/>
        <v>0</v>
      </c>
      <c r="N551" s="108">
        <f t="shared" si="269"/>
        <v>0</v>
      </c>
      <c r="O551" s="108">
        <f t="shared" si="269"/>
        <v>0</v>
      </c>
      <c r="P551" s="108">
        <f t="shared" si="269"/>
        <v>0</v>
      </c>
      <c r="Q551" s="108">
        <f t="shared" si="269"/>
        <v>0</v>
      </c>
      <c r="R551" s="108">
        <f t="shared" si="269"/>
        <v>0</v>
      </c>
      <c r="S551" s="108">
        <f t="shared" si="269"/>
        <v>0</v>
      </c>
      <c r="T551" s="108">
        <f t="shared" si="269"/>
        <v>0</v>
      </c>
      <c r="U551" s="108">
        <f t="shared" si="269"/>
        <v>0</v>
      </c>
      <c r="V551" s="108">
        <f t="shared" si="269"/>
        <v>0</v>
      </c>
      <c r="W551" s="108">
        <f t="shared" si="269"/>
        <v>0</v>
      </c>
      <c r="X551" s="108">
        <f t="shared" si="269"/>
        <v>0</v>
      </c>
      <c r="Y551" s="108">
        <f t="shared" si="269"/>
        <v>0</v>
      </c>
      <c r="Z551" s="108">
        <f t="shared" si="269"/>
        <v>0</v>
      </c>
      <c r="AA551" s="108">
        <f t="shared" si="269"/>
        <v>0</v>
      </c>
      <c r="AB551" s="108">
        <f t="shared" si="269"/>
        <v>0</v>
      </c>
      <c r="AC551" s="108">
        <f t="shared" si="269"/>
        <v>0</v>
      </c>
      <c r="AD551" s="108">
        <f t="shared" si="269"/>
        <v>0</v>
      </c>
      <c r="AE551" s="108">
        <f t="shared" si="269"/>
        <v>0</v>
      </c>
      <c r="AF551" s="108">
        <f t="shared" si="269"/>
        <v>0</v>
      </c>
      <c r="AG551" s="108">
        <f t="shared" si="269"/>
        <v>0</v>
      </c>
      <c r="AH551" s="108">
        <f t="shared" si="269"/>
        <v>0</v>
      </c>
      <c r="AI551" s="108">
        <f t="shared" si="269"/>
        <v>0</v>
      </c>
      <c r="AJ551" s="108">
        <f t="shared" si="269"/>
        <v>0</v>
      </c>
      <c r="AK551" s="108">
        <f t="shared" si="269"/>
        <v>0</v>
      </c>
      <c r="AL551" s="108">
        <f t="shared" si="269"/>
        <v>0</v>
      </c>
      <c r="AM551" s="108">
        <f t="shared" si="269"/>
        <v>0</v>
      </c>
      <c r="AN551" s="108">
        <f t="shared" si="269"/>
        <v>0</v>
      </c>
      <c r="AO551" s="108">
        <f t="shared" si="269"/>
        <v>0</v>
      </c>
      <c r="AP551" s="108">
        <f t="shared" si="269"/>
        <v>0</v>
      </c>
    </row>
    <row r="552" spans="1:42" x14ac:dyDescent="0.2">
      <c r="A552" s="86" t="s">
        <v>55</v>
      </c>
      <c r="C552" s="120">
        <f>C$5/1000</f>
        <v>0</v>
      </c>
      <c r="D552" s="120">
        <f t="shared" ref="D552:AP552" si="270">D$5/1000</f>
        <v>0</v>
      </c>
      <c r="E552" s="120">
        <f t="shared" si="270"/>
        <v>0</v>
      </c>
      <c r="F552" s="120">
        <f t="shared" si="270"/>
        <v>0</v>
      </c>
      <c r="G552" s="120">
        <f t="shared" si="270"/>
        <v>0</v>
      </c>
      <c r="H552" s="120">
        <f t="shared" si="270"/>
        <v>0</v>
      </c>
      <c r="I552" s="120">
        <f t="shared" si="270"/>
        <v>0</v>
      </c>
      <c r="J552" s="120">
        <f t="shared" si="270"/>
        <v>0</v>
      </c>
      <c r="K552" s="120">
        <f t="shared" si="270"/>
        <v>0</v>
      </c>
      <c r="L552" s="120">
        <f t="shared" si="270"/>
        <v>0</v>
      </c>
      <c r="M552" s="120">
        <f t="shared" si="270"/>
        <v>0</v>
      </c>
      <c r="N552" s="120">
        <f t="shared" si="270"/>
        <v>0</v>
      </c>
      <c r="O552" s="120">
        <f t="shared" si="270"/>
        <v>0</v>
      </c>
      <c r="P552" s="120">
        <f t="shared" si="270"/>
        <v>0</v>
      </c>
      <c r="Q552" s="120">
        <f t="shared" si="270"/>
        <v>0</v>
      </c>
      <c r="R552" s="120">
        <f t="shared" si="270"/>
        <v>0</v>
      </c>
      <c r="S552" s="120">
        <f t="shared" si="270"/>
        <v>0</v>
      </c>
      <c r="T552" s="120">
        <f t="shared" si="270"/>
        <v>0</v>
      </c>
      <c r="U552" s="120">
        <f t="shared" si="270"/>
        <v>0</v>
      </c>
      <c r="V552" s="120">
        <f t="shared" si="270"/>
        <v>0</v>
      </c>
      <c r="W552" s="120">
        <f t="shared" si="270"/>
        <v>0</v>
      </c>
      <c r="X552" s="120">
        <f t="shared" si="270"/>
        <v>0</v>
      </c>
      <c r="Y552" s="120">
        <f t="shared" si="270"/>
        <v>0</v>
      </c>
      <c r="Z552" s="120">
        <f t="shared" si="270"/>
        <v>0</v>
      </c>
      <c r="AA552" s="120">
        <f t="shared" si="270"/>
        <v>0</v>
      </c>
      <c r="AB552" s="120">
        <f t="shared" si="270"/>
        <v>0</v>
      </c>
      <c r="AC552" s="120">
        <f t="shared" si="270"/>
        <v>0</v>
      </c>
      <c r="AD552" s="120">
        <f t="shared" si="270"/>
        <v>0</v>
      </c>
      <c r="AE552" s="120">
        <f t="shared" si="270"/>
        <v>0</v>
      </c>
      <c r="AF552" s="120">
        <f t="shared" si="270"/>
        <v>0</v>
      </c>
      <c r="AG552" s="120">
        <f t="shared" si="270"/>
        <v>0</v>
      </c>
      <c r="AH552" s="120">
        <f t="shared" si="270"/>
        <v>0</v>
      </c>
      <c r="AI552" s="120">
        <f t="shared" si="270"/>
        <v>0</v>
      </c>
      <c r="AJ552" s="120">
        <f t="shared" si="270"/>
        <v>0</v>
      </c>
      <c r="AK552" s="120">
        <f t="shared" si="270"/>
        <v>0</v>
      </c>
      <c r="AL552" s="120">
        <f t="shared" si="270"/>
        <v>0</v>
      </c>
      <c r="AM552" s="120">
        <f t="shared" si="270"/>
        <v>0</v>
      </c>
      <c r="AN552" s="120">
        <f t="shared" si="270"/>
        <v>0</v>
      </c>
      <c r="AO552" s="120">
        <f t="shared" si="270"/>
        <v>0</v>
      </c>
      <c r="AP552" s="120">
        <f t="shared" si="270"/>
        <v>0</v>
      </c>
    </row>
    <row r="553" spans="1:42" x14ac:dyDescent="0.2">
      <c r="A553" s="86" t="s">
        <v>12</v>
      </c>
      <c r="C553" s="119">
        <f>C551*C552</f>
        <v>0</v>
      </c>
      <c r="D553" s="119">
        <f>D551*D552</f>
        <v>0</v>
      </c>
      <c r="E553" s="119">
        <f t="shared" ref="E553:AP553" si="271">E551*E552</f>
        <v>0</v>
      </c>
      <c r="F553" s="119">
        <f t="shared" si="271"/>
        <v>0</v>
      </c>
      <c r="G553" s="119">
        <f t="shared" si="271"/>
        <v>0</v>
      </c>
      <c r="H553" s="119">
        <f t="shared" si="271"/>
        <v>0</v>
      </c>
      <c r="I553" s="119">
        <f t="shared" si="271"/>
        <v>0</v>
      </c>
      <c r="J553" s="119">
        <f t="shared" si="271"/>
        <v>0</v>
      </c>
      <c r="K553" s="119">
        <f t="shared" si="271"/>
        <v>0</v>
      </c>
      <c r="L553" s="119">
        <f t="shared" si="271"/>
        <v>0</v>
      </c>
      <c r="M553" s="119">
        <f t="shared" si="271"/>
        <v>0</v>
      </c>
      <c r="N553" s="119">
        <f t="shared" si="271"/>
        <v>0</v>
      </c>
      <c r="O553" s="119">
        <f t="shared" si="271"/>
        <v>0</v>
      </c>
      <c r="P553" s="119">
        <f t="shared" si="271"/>
        <v>0</v>
      </c>
      <c r="Q553" s="119">
        <f t="shared" si="271"/>
        <v>0</v>
      </c>
      <c r="R553" s="119">
        <f t="shared" si="271"/>
        <v>0</v>
      </c>
      <c r="S553" s="119">
        <f t="shared" si="271"/>
        <v>0</v>
      </c>
      <c r="T553" s="119">
        <f t="shared" si="271"/>
        <v>0</v>
      </c>
      <c r="U553" s="119">
        <f t="shared" si="271"/>
        <v>0</v>
      </c>
      <c r="V553" s="119">
        <f t="shared" si="271"/>
        <v>0</v>
      </c>
      <c r="W553" s="119">
        <f t="shared" si="271"/>
        <v>0</v>
      </c>
      <c r="X553" s="119">
        <f t="shared" si="271"/>
        <v>0</v>
      </c>
      <c r="Y553" s="119">
        <f t="shared" si="271"/>
        <v>0</v>
      </c>
      <c r="Z553" s="119">
        <f t="shared" si="271"/>
        <v>0</v>
      </c>
      <c r="AA553" s="119">
        <f t="shared" si="271"/>
        <v>0</v>
      </c>
      <c r="AB553" s="119">
        <f t="shared" si="271"/>
        <v>0</v>
      </c>
      <c r="AC553" s="119">
        <f t="shared" si="271"/>
        <v>0</v>
      </c>
      <c r="AD553" s="119">
        <f t="shared" si="271"/>
        <v>0</v>
      </c>
      <c r="AE553" s="119">
        <f t="shared" si="271"/>
        <v>0</v>
      </c>
      <c r="AF553" s="119">
        <f t="shared" si="271"/>
        <v>0</v>
      </c>
      <c r="AG553" s="119">
        <f t="shared" si="271"/>
        <v>0</v>
      </c>
      <c r="AH553" s="119">
        <f t="shared" si="271"/>
        <v>0</v>
      </c>
      <c r="AI553" s="119">
        <f t="shared" si="271"/>
        <v>0</v>
      </c>
      <c r="AJ553" s="119">
        <f t="shared" si="271"/>
        <v>0</v>
      </c>
      <c r="AK553" s="119">
        <f t="shared" si="271"/>
        <v>0</v>
      </c>
      <c r="AL553" s="119">
        <f t="shared" si="271"/>
        <v>0</v>
      </c>
      <c r="AM553" s="119">
        <f t="shared" si="271"/>
        <v>0</v>
      </c>
      <c r="AN553" s="119">
        <f t="shared" si="271"/>
        <v>0</v>
      </c>
      <c r="AO553" s="119">
        <f t="shared" si="271"/>
        <v>0</v>
      </c>
      <c r="AP553" s="119">
        <f t="shared" si="271"/>
        <v>0</v>
      </c>
    </row>
    <row r="554" spans="1:42" x14ac:dyDescent="0.2">
      <c r="A554" s="21"/>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row>
    <row r="555" spans="1:42" x14ac:dyDescent="0.2">
      <c r="A555" s="19" t="s">
        <v>15</v>
      </c>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row>
    <row r="556" spans="1:42" x14ac:dyDescent="0.2">
      <c r="A556" s="17" t="str">
        <f>Inputs!B114</f>
        <v>As fixed amount</v>
      </c>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row>
    <row r="557" spans="1:42" x14ac:dyDescent="0.2">
      <c r="A557" s="21" t="str">
        <f>Inputs!B115</f>
        <v>Federal ($)</v>
      </c>
      <c r="C557" s="119">
        <f>ibi_fed_amount</f>
        <v>0</v>
      </c>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row>
    <row r="558" spans="1:42" x14ac:dyDescent="0.2">
      <c r="A558" s="21" t="str">
        <f>Inputs!B116</f>
        <v>State ($)</v>
      </c>
      <c r="C558" s="119">
        <f>ibi_sta_amount</f>
        <v>0</v>
      </c>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row>
    <row r="559" spans="1:42" x14ac:dyDescent="0.2">
      <c r="A559" s="21" t="str">
        <f>Inputs!B117</f>
        <v>Utility ($)</v>
      </c>
      <c r="C559" s="119">
        <f>ibi_uti_amount</f>
        <v>0</v>
      </c>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row>
    <row r="560" spans="1:42" x14ac:dyDescent="0.2">
      <c r="A560" s="21" t="str">
        <f>Inputs!B118</f>
        <v>Other ($)</v>
      </c>
      <c r="C560" s="120">
        <f>ibi_oth_amount</f>
        <v>0</v>
      </c>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row>
    <row r="561" spans="1:42" x14ac:dyDescent="0.2">
      <c r="A561" s="21" t="s">
        <v>12</v>
      </c>
      <c r="C561" s="119">
        <f>SUM(C557:C560)</f>
        <v>0</v>
      </c>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row>
    <row r="562" spans="1:42" x14ac:dyDescent="0.2">
      <c r="A562" s="17" t="str">
        <f>Inputs!B119</f>
        <v>As percentage</v>
      </c>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row>
    <row r="563" spans="1:42" x14ac:dyDescent="0.2">
      <c r="A563" s="21" t="str">
        <f>Inputs!B120</f>
        <v>Federal (% of total installed cost)</v>
      </c>
      <c r="C563" s="148">
        <f>MIN(ibi_fed_percent/100*total_installed_cost,Inputs!D120)</f>
        <v>0</v>
      </c>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row>
    <row r="564" spans="1:42" x14ac:dyDescent="0.2">
      <c r="A564" s="21" t="str">
        <f>Inputs!B121</f>
        <v>State (% of total installed cost)</v>
      </c>
      <c r="C564" s="148">
        <f>MIN(ibi_sta_percent/100*total_installed_cost,Inputs!D121)</f>
        <v>0</v>
      </c>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row>
    <row r="565" spans="1:42" x14ac:dyDescent="0.2">
      <c r="A565" s="21" t="str">
        <f>Inputs!B122</f>
        <v>Utility (% of total installed cost)</v>
      </c>
      <c r="C565" s="148">
        <f>MIN(ibi_uti_percent/100*total_installed_cost,Inputs!D122)</f>
        <v>0</v>
      </c>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row>
    <row r="566" spans="1:42" x14ac:dyDescent="0.2">
      <c r="A566" s="21" t="str">
        <f>Inputs!B123</f>
        <v>Other (% of total installed cost)</v>
      </c>
      <c r="C566" s="148">
        <f>MIN(ibi_oth_percent/100*total_installed_cost,Inputs!D123)</f>
        <v>0</v>
      </c>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spans="1:42" x14ac:dyDescent="0.2">
      <c r="A567" s="21" t="s">
        <v>12</v>
      </c>
      <c r="C567" s="123">
        <f>SUM(C563:C566)</f>
        <v>0</v>
      </c>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spans="1:42" x14ac:dyDescent="0.2">
      <c r="A568" s="21"/>
      <c r="C568" s="119"/>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spans="1:42" x14ac:dyDescent="0.2">
      <c r="A569" s="19" t="s">
        <v>35</v>
      </c>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spans="1:42" x14ac:dyDescent="0.2">
      <c r="A570" s="17" t="str">
        <f>Inputs!B125</f>
        <v>Federal ($/W)</v>
      </c>
      <c r="C570" s="148">
        <f>MIN(cbi_fed_amount*system_capacity*1000,cbi_fed_maxvalue)</f>
        <v>0</v>
      </c>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spans="1:42" x14ac:dyDescent="0.2">
      <c r="A571" s="17" t="str">
        <f>Inputs!B126</f>
        <v>State ($/W)</v>
      </c>
      <c r="C571" s="148">
        <f>MIN(cbi_sta_amount*system_capacity*1000,cbi_sta_maxvalue)</f>
        <v>0</v>
      </c>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spans="1:42" x14ac:dyDescent="0.2">
      <c r="A572" s="17" t="str">
        <f>Inputs!B127</f>
        <v>Utility ($/W)</v>
      </c>
      <c r="C572" s="148">
        <f>MIN(cbi_uti_amount*system_capacity*1000,cbi_uti_maxvalue)</f>
        <v>0</v>
      </c>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row>
    <row r="573" spans="1:42" x14ac:dyDescent="0.2">
      <c r="A573" s="17" t="str">
        <f>Inputs!B128</f>
        <v>Other ($/W)</v>
      </c>
      <c r="C573" s="148">
        <f>MIN(cbi_oth_amount*system_capacity*1000,cbi_oth_maxvalue)</f>
        <v>0</v>
      </c>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row>
    <row r="574" spans="1:42" x14ac:dyDescent="0.2">
      <c r="A574" s="17" t="s">
        <v>12</v>
      </c>
      <c r="C574" s="123">
        <f>SUM(C570:C573)</f>
        <v>0</v>
      </c>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row>
    <row r="575" spans="1:42" x14ac:dyDescent="0.2">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row>
    <row r="576" spans="1:42" x14ac:dyDescent="0.2">
      <c r="A576" s="19" t="s">
        <v>32</v>
      </c>
    </row>
    <row r="577" spans="1:42" x14ac:dyDescent="0.2">
      <c r="A577" s="17" t="str">
        <f>Inputs!B130</f>
        <v>Federal ($/kWh)</v>
      </c>
    </row>
    <row r="578" spans="1:42" x14ac:dyDescent="0.2">
      <c r="A578" s="21" t="s">
        <v>33</v>
      </c>
      <c r="C578" s="108">
        <f>IF(pbi_fed_amount="n/a",Inputs!D179,IF(AND(C$2&lt;=pbi_fed_term,C$2&lt;=analysis_period),pbi_fed_amount*(1+pbi_fed_escal/100)^B$2,0))</f>
        <v>0</v>
      </c>
      <c r="D578" s="108">
        <f>IF(pbi_fed_amount="n/a",Inputs!E179,IF(AND(D$2&lt;=pbi_fed_term,D$2&lt;=analysis_period),pbi_fed_amount*(1+pbi_fed_escal/100)^C$2,0))</f>
        <v>0</v>
      </c>
      <c r="E578" s="108">
        <f>IF(pbi_fed_amount="n/a",Inputs!F179,IF(AND(E$2&lt;=pbi_fed_term,E$2&lt;=analysis_period),pbi_fed_amount*(1+pbi_fed_escal/100)^D$2,0))</f>
        <v>0</v>
      </c>
      <c r="F578" s="108">
        <f>IF(pbi_fed_amount="n/a",Inputs!G179,IF(AND(F$2&lt;=pbi_fed_term,F$2&lt;=analysis_period),pbi_fed_amount*(1+pbi_fed_escal/100)^E$2,0))</f>
        <v>0</v>
      </c>
      <c r="G578" s="108">
        <f>IF(pbi_fed_amount="n/a",Inputs!H179,IF(AND(G$2&lt;=pbi_fed_term,G$2&lt;=analysis_period),pbi_fed_amount*(1+pbi_fed_escal/100)^F$2,0))</f>
        <v>0</v>
      </c>
      <c r="H578" s="108">
        <f>IF(pbi_fed_amount="n/a",Inputs!I179,IF(AND(H$2&lt;=pbi_fed_term,H$2&lt;=analysis_period),pbi_fed_amount*(1+pbi_fed_escal/100)^G$2,0))</f>
        <v>0</v>
      </c>
      <c r="I578" s="108">
        <f>IF(pbi_fed_amount="n/a",Inputs!J179,IF(AND(I$2&lt;=pbi_fed_term,I$2&lt;=analysis_period),pbi_fed_amount*(1+pbi_fed_escal/100)^H$2,0))</f>
        <v>0</v>
      </c>
      <c r="J578" s="108">
        <f>IF(pbi_fed_amount="n/a",Inputs!K179,IF(AND(J$2&lt;=pbi_fed_term,J$2&lt;=analysis_period),pbi_fed_amount*(1+pbi_fed_escal/100)^I$2,0))</f>
        <v>0</v>
      </c>
      <c r="K578" s="108">
        <f>IF(pbi_fed_amount="n/a",Inputs!L179,IF(AND(K$2&lt;=pbi_fed_term,K$2&lt;=analysis_period),pbi_fed_amount*(1+pbi_fed_escal/100)^J$2,0))</f>
        <v>0</v>
      </c>
      <c r="L578" s="108">
        <f>IF(pbi_fed_amount="n/a",Inputs!M179,IF(AND(L$2&lt;=pbi_fed_term,L$2&lt;=analysis_period),pbi_fed_amount*(1+pbi_fed_escal/100)^K$2,0))</f>
        <v>0</v>
      </c>
      <c r="M578" s="108">
        <f>IF(pbi_fed_amount="n/a",Inputs!N179,IF(AND(M$2&lt;=pbi_fed_term,M$2&lt;=analysis_period),pbi_fed_amount*(1+pbi_fed_escal/100)^L$2,0))</f>
        <v>0</v>
      </c>
      <c r="N578" s="108">
        <f>IF(pbi_fed_amount="n/a",Inputs!O179,IF(AND(N$2&lt;=pbi_fed_term,N$2&lt;=analysis_period),pbi_fed_amount*(1+pbi_fed_escal/100)^M$2,0))</f>
        <v>0</v>
      </c>
      <c r="O578" s="108">
        <f>IF(pbi_fed_amount="n/a",Inputs!P179,IF(AND(O$2&lt;=pbi_fed_term,O$2&lt;=analysis_period),pbi_fed_amount*(1+pbi_fed_escal/100)^N$2,0))</f>
        <v>0</v>
      </c>
      <c r="P578" s="108">
        <f>IF(pbi_fed_amount="n/a",Inputs!Q179,IF(AND(P$2&lt;=pbi_fed_term,P$2&lt;=analysis_period),pbi_fed_amount*(1+pbi_fed_escal/100)^O$2,0))</f>
        <v>0</v>
      </c>
      <c r="Q578" s="108">
        <f>IF(pbi_fed_amount="n/a",Inputs!R179,IF(AND(Q$2&lt;=pbi_fed_term,Q$2&lt;=analysis_period),pbi_fed_amount*(1+pbi_fed_escal/100)^P$2,0))</f>
        <v>0</v>
      </c>
      <c r="R578" s="108">
        <f>IF(pbi_fed_amount="n/a",Inputs!S179,IF(AND(R$2&lt;=pbi_fed_term,R$2&lt;=analysis_period),pbi_fed_amount*(1+pbi_fed_escal/100)^Q$2,0))</f>
        <v>0</v>
      </c>
      <c r="S578" s="108">
        <f>IF(pbi_fed_amount="n/a",Inputs!T179,IF(AND(S$2&lt;=pbi_fed_term,S$2&lt;=analysis_period),pbi_fed_amount*(1+pbi_fed_escal/100)^R$2,0))</f>
        <v>0</v>
      </c>
      <c r="T578" s="108">
        <f>IF(pbi_fed_amount="n/a",Inputs!U179,IF(AND(T$2&lt;=pbi_fed_term,T$2&lt;=analysis_period),pbi_fed_amount*(1+pbi_fed_escal/100)^S$2,0))</f>
        <v>0</v>
      </c>
      <c r="U578" s="108">
        <f>IF(pbi_fed_amount="n/a",Inputs!V179,IF(AND(U$2&lt;=pbi_fed_term,U$2&lt;=analysis_period),pbi_fed_amount*(1+pbi_fed_escal/100)^T$2,0))</f>
        <v>0</v>
      </c>
      <c r="V578" s="108">
        <f>IF(pbi_fed_amount="n/a",Inputs!W179,IF(AND(V$2&lt;=pbi_fed_term,V$2&lt;=analysis_period),pbi_fed_amount*(1+pbi_fed_escal/100)^U$2,0))</f>
        <v>0</v>
      </c>
      <c r="W578" s="108">
        <f>IF(pbi_fed_amount="n/a",Inputs!X179,IF(AND(W$2&lt;=pbi_fed_term,W$2&lt;=analysis_period),pbi_fed_amount*(1+pbi_fed_escal/100)^V$2,0))</f>
        <v>0</v>
      </c>
      <c r="X578" s="108">
        <f>IF(pbi_fed_amount="n/a",Inputs!Y179,IF(AND(X$2&lt;=pbi_fed_term,X$2&lt;=analysis_period),pbi_fed_amount*(1+pbi_fed_escal/100)^W$2,0))</f>
        <v>0</v>
      </c>
      <c r="Y578" s="108">
        <f>IF(pbi_fed_amount="n/a",Inputs!Z179,IF(AND(Y$2&lt;=pbi_fed_term,Y$2&lt;=analysis_period),pbi_fed_amount*(1+pbi_fed_escal/100)^X$2,0))</f>
        <v>0</v>
      </c>
      <c r="Z578" s="108">
        <f>IF(pbi_fed_amount="n/a",Inputs!AA179,IF(AND(Z$2&lt;=pbi_fed_term,Z$2&lt;=analysis_period),pbi_fed_amount*(1+pbi_fed_escal/100)^Y$2,0))</f>
        <v>0</v>
      </c>
      <c r="AA578" s="108">
        <f>IF(pbi_fed_amount="n/a",Inputs!AB179,IF(AND(AA$2&lt;=pbi_fed_term,AA$2&lt;=analysis_period),pbi_fed_amount*(1+pbi_fed_escal/100)^Z$2,0))</f>
        <v>0</v>
      </c>
      <c r="AB578" s="108">
        <f>IF(pbi_fed_amount="n/a",Inputs!AC179,IF(AND(AB$2&lt;=pbi_fed_term,AB$2&lt;=analysis_period),pbi_fed_amount*(1+pbi_fed_escal/100)^AA$2,0))</f>
        <v>0</v>
      </c>
      <c r="AC578" s="108">
        <f>IF(pbi_fed_amount="n/a",Inputs!AD179,IF(AND(AC$2&lt;=pbi_fed_term,AC$2&lt;=analysis_period),pbi_fed_amount*(1+pbi_fed_escal/100)^AB$2,0))</f>
        <v>0</v>
      </c>
      <c r="AD578" s="108">
        <f>IF(pbi_fed_amount="n/a",Inputs!AE179,IF(AND(AD$2&lt;=pbi_fed_term,AD$2&lt;=analysis_period),pbi_fed_amount*(1+pbi_fed_escal/100)^AC$2,0))</f>
        <v>0</v>
      </c>
      <c r="AE578" s="108">
        <f>IF(pbi_fed_amount="n/a",Inputs!AF179,IF(AND(AE$2&lt;=pbi_fed_term,AE$2&lt;=analysis_period),pbi_fed_amount*(1+pbi_fed_escal/100)^AD$2,0))</f>
        <v>0</v>
      </c>
      <c r="AF578" s="108">
        <f>IF(pbi_fed_amount="n/a",Inputs!AG179,IF(AND(AF$2&lt;=pbi_fed_term,AF$2&lt;=analysis_period),pbi_fed_amount*(1+pbi_fed_escal/100)^AE$2,0))</f>
        <v>0</v>
      </c>
      <c r="AG578" s="108">
        <f>IF(pbi_fed_amount="n/a",Inputs!AH179,IF(AND(AG$2&lt;=pbi_fed_term,AG$2&lt;=analysis_period),pbi_fed_amount*(1+pbi_fed_escal/100)^AF$2,0))</f>
        <v>0</v>
      </c>
      <c r="AH578" s="108">
        <f>IF(pbi_fed_amount="n/a",Inputs!AI179,IF(AND(AH$2&lt;=pbi_fed_term,AH$2&lt;=analysis_period),pbi_fed_amount*(1+pbi_fed_escal/100)^AG$2,0))</f>
        <v>0</v>
      </c>
      <c r="AI578" s="108">
        <f>IF(pbi_fed_amount="n/a",Inputs!AJ179,IF(AND(AI$2&lt;=pbi_fed_term,AI$2&lt;=analysis_period),pbi_fed_amount*(1+pbi_fed_escal/100)^AH$2,0))</f>
        <v>0</v>
      </c>
      <c r="AJ578" s="108">
        <f>IF(pbi_fed_amount="n/a",Inputs!AK179,IF(AND(AJ$2&lt;=pbi_fed_term,AJ$2&lt;=analysis_period),pbi_fed_amount*(1+pbi_fed_escal/100)^AI$2,0))</f>
        <v>0</v>
      </c>
      <c r="AK578" s="108">
        <f>IF(pbi_fed_amount="n/a",Inputs!AL179,IF(AND(AK$2&lt;=pbi_fed_term,AK$2&lt;=analysis_period),pbi_fed_amount*(1+pbi_fed_escal/100)^AJ$2,0))</f>
        <v>0</v>
      </c>
      <c r="AL578" s="108">
        <f>IF(pbi_fed_amount="n/a",Inputs!AM179,IF(AND(AL$2&lt;=pbi_fed_term,AL$2&lt;=analysis_period),pbi_fed_amount*(1+pbi_fed_escal/100)^AK$2,0))</f>
        <v>0</v>
      </c>
      <c r="AM578" s="108">
        <f>IF(pbi_fed_amount="n/a",Inputs!AN179,IF(AND(AM$2&lt;=pbi_fed_term,AM$2&lt;=analysis_period),pbi_fed_amount*(1+pbi_fed_escal/100)^AL$2,0))</f>
        <v>0</v>
      </c>
      <c r="AN578" s="108">
        <f>IF(pbi_fed_amount="n/a",Inputs!AO179,IF(AND(AN$2&lt;=pbi_fed_term,AN$2&lt;=analysis_period),pbi_fed_amount*(1+pbi_fed_escal/100)^AM$2,0))</f>
        <v>0</v>
      </c>
      <c r="AO578" s="108">
        <f>IF(pbi_fed_amount="n/a",Inputs!AP179,IF(AND(AO$2&lt;=pbi_fed_term,AO$2&lt;=analysis_period),pbi_fed_amount*(1+pbi_fed_escal/100)^AN$2,0))</f>
        <v>0</v>
      </c>
      <c r="AP578" s="108">
        <f>IF(pbi_fed_amount="n/a",Inputs!AQ179,IF(AND(AP$2&lt;=pbi_fed_term,AP$2&lt;=analysis_period),pbi_fed_amount*(1+pbi_fed_escal/100)^AO$2,0))</f>
        <v>0</v>
      </c>
    </row>
    <row r="579" spans="1:42" x14ac:dyDescent="0.2">
      <c r="A579" s="21" t="s">
        <v>34</v>
      </c>
      <c r="C579" s="120">
        <f>C$5</f>
        <v>0</v>
      </c>
      <c r="D579" s="120">
        <f t="shared" ref="D579:AP579" si="272">D$5</f>
        <v>0</v>
      </c>
      <c r="E579" s="120">
        <f t="shared" si="272"/>
        <v>0</v>
      </c>
      <c r="F579" s="120">
        <f t="shared" si="272"/>
        <v>0</v>
      </c>
      <c r="G579" s="120">
        <f t="shared" si="272"/>
        <v>0</v>
      </c>
      <c r="H579" s="120">
        <f t="shared" si="272"/>
        <v>0</v>
      </c>
      <c r="I579" s="120">
        <f t="shared" si="272"/>
        <v>0</v>
      </c>
      <c r="J579" s="120">
        <f t="shared" si="272"/>
        <v>0</v>
      </c>
      <c r="K579" s="120">
        <f t="shared" si="272"/>
        <v>0</v>
      </c>
      <c r="L579" s="120">
        <f t="shared" si="272"/>
        <v>0</v>
      </c>
      <c r="M579" s="120">
        <f t="shared" si="272"/>
        <v>0</v>
      </c>
      <c r="N579" s="120">
        <f t="shared" si="272"/>
        <v>0</v>
      </c>
      <c r="O579" s="120">
        <f t="shared" si="272"/>
        <v>0</v>
      </c>
      <c r="P579" s="120">
        <f t="shared" si="272"/>
        <v>0</v>
      </c>
      <c r="Q579" s="120">
        <f t="shared" si="272"/>
        <v>0</v>
      </c>
      <c r="R579" s="120">
        <f t="shared" si="272"/>
        <v>0</v>
      </c>
      <c r="S579" s="120">
        <f t="shared" si="272"/>
        <v>0</v>
      </c>
      <c r="T579" s="120">
        <f t="shared" si="272"/>
        <v>0</v>
      </c>
      <c r="U579" s="120">
        <f t="shared" si="272"/>
        <v>0</v>
      </c>
      <c r="V579" s="120">
        <f t="shared" si="272"/>
        <v>0</v>
      </c>
      <c r="W579" s="120">
        <f t="shared" si="272"/>
        <v>0</v>
      </c>
      <c r="X579" s="120">
        <f t="shared" si="272"/>
        <v>0</v>
      </c>
      <c r="Y579" s="120">
        <f t="shared" si="272"/>
        <v>0</v>
      </c>
      <c r="Z579" s="120">
        <f t="shared" si="272"/>
        <v>0</v>
      </c>
      <c r="AA579" s="120">
        <f t="shared" si="272"/>
        <v>0</v>
      </c>
      <c r="AB579" s="120">
        <f t="shared" si="272"/>
        <v>0</v>
      </c>
      <c r="AC579" s="120">
        <f t="shared" si="272"/>
        <v>0</v>
      </c>
      <c r="AD579" s="120">
        <f t="shared" si="272"/>
        <v>0</v>
      </c>
      <c r="AE579" s="120">
        <f t="shared" si="272"/>
        <v>0</v>
      </c>
      <c r="AF579" s="120">
        <f t="shared" si="272"/>
        <v>0</v>
      </c>
      <c r="AG579" s="120">
        <f t="shared" si="272"/>
        <v>0</v>
      </c>
      <c r="AH579" s="120">
        <f t="shared" si="272"/>
        <v>0</v>
      </c>
      <c r="AI579" s="120">
        <f t="shared" si="272"/>
        <v>0</v>
      </c>
      <c r="AJ579" s="120">
        <f t="shared" si="272"/>
        <v>0</v>
      </c>
      <c r="AK579" s="120">
        <f t="shared" si="272"/>
        <v>0</v>
      </c>
      <c r="AL579" s="120">
        <f t="shared" si="272"/>
        <v>0</v>
      </c>
      <c r="AM579" s="120">
        <f t="shared" si="272"/>
        <v>0</v>
      </c>
      <c r="AN579" s="120">
        <f t="shared" si="272"/>
        <v>0</v>
      </c>
      <c r="AO579" s="120">
        <f t="shared" si="272"/>
        <v>0</v>
      </c>
      <c r="AP579" s="120">
        <f t="shared" si="272"/>
        <v>0</v>
      </c>
    </row>
    <row r="580" spans="1:42" x14ac:dyDescent="0.2">
      <c r="A580" s="21" t="s">
        <v>12</v>
      </c>
      <c r="C580" s="119">
        <f>C578*C579</f>
        <v>0</v>
      </c>
      <c r="D580" s="119">
        <f t="shared" ref="D580:AP580" si="273">D578*D579</f>
        <v>0</v>
      </c>
      <c r="E580" s="119">
        <f t="shared" si="273"/>
        <v>0</v>
      </c>
      <c r="F580" s="119">
        <f t="shared" si="273"/>
        <v>0</v>
      </c>
      <c r="G580" s="119">
        <f t="shared" si="273"/>
        <v>0</v>
      </c>
      <c r="H580" s="119">
        <f t="shared" si="273"/>
        <v>0</v>
      </c>
      <c r="I580" s="119">
        <f t="shared" si="273"/>
        <v>0</v>
      </c>
      <c r="J580" s="119">
        <f t="shared" si="273"/>
        <v>0</v>
      </c>
      <c r="K580" s="119">
        <f t="shared" si="273"/>
        <v>0</v>
      </c>
      <c r="L580" s="119">
        <f t="shared" si="273"/>
        <v>0</v>
      </c>
      <c r="M580" s="119">
        <f t="shared" si="273"/>
        <v>0</v>
      </c>
      <c r="N580" s="119">
        <f t="shared" si="273"/>
        <v>0</v>
      </c>
      <c r="O580" s="119">
        <f t="shared" si="273"/>
        <v>0</v>
      </c>
      <c r="P580" s="119">
        <f t="shared" si="273"/>
        <v>0</v>
      </c>
      <c r="Q580" s="119">
        <f t="shared" si="273"/>
        <v>0</v>
      </c>
      <c r="R580" s="119">
        <f t="shared" si="273"/>
        <v>0</v>
      </c>
      <c r="S580" s="119">
        <f t="shared" si="273"/>
        <v>0</v>
      </c>
      <c r="T580" s="119">
        <f t="shared" si="273"/>
        <v>0</v>
      </c>
      <c r="U580" s="119">
        <f t="shared" si="273"/>
        <v>0</v>
      </c>
      <c r="V580" s="119">
        <f t="shared" si="273"/>
        <v>0</v>
      </c>
      <c r="W580" s="119">
        <f t="shared" si="273"/>
        <v>0</v>
      </c>
      <c r="X580" s="119">
        <f t="shared" si="273"/>
        <v>0</v>
      </c>
      <c r="Y580" s="119">
        <f t="shared" si="273"/>
        <v>0</v>
      </c>
      <c r="Z580" s="119">
        <f t="shared" si="273"/>
        <v>0</v>
      </c>
      <c r="AA580" s="119">
        <f t="shared" si="273"/>
        <v>0</v>
      </c>
      <c r="AB580" s="119">
        <f t="shared" si="273"/>
        <v>0</v>
      </c>
      <c r="AC580" s="119">
        <f t="shared" si="273"/>
        <v>0</v>
      </c>
      <c r="AD580" s="119">
        <f t="shared" si="273"/>
        <v>0</v>
      </c>
      <c r="AE580" s="119">
        <f t="shared" si="273"/>
        <v>0</v>
      </c>
      <c r="AF580" s="119">
        <f t="shared" si="273"/>
        <v>0</v>
      </c>
      <c r="AG580" s="119">
        <f t="shared" si="273"/>
        <v>0</v>
      </c>
      <c r="AH580" s="119">
        <f t="shared" si="273"/>
        <v>0</v>
      </c>
      <c r="AI580" s="119">
        <f t="shared" si="273"/>
        <v>0</v>
      </c>
      <c r="AJ580" s="119">
        <f t="shared" si="273"/>
        <v>0</v>
      </c>
      <c r="AK580" s="119">
        <f t="shared" si="273"/>
        <v>0</v>
      </c>
      <c r="AL580" s="119">
        <f t="shared" si="273"/>
        <v>0</v>
      </c>
      <c r="AM580" s="119">
        <f t="shared" si="273"/>
        <v>0</v>
      </c>
      <c r="AN580" s="119">
        <f t="shared" si="273"/>
        <v>0</v>
      </c>
      <c r="AO580" s="119">
        <f t="shared" si="273"/>
        <v>0</v>
      </c>
      <c r="AP580" s="119">
        <f t="shared" si="273"/>
        <v>0</v>
      </c>
    </row>
    <row r="581" spans="1:42" x14ac:dyDescent="0.2">
      <c r="A581" s="17" t="str">
        <f>Inputs!B131</f>
        <v>State ($/kWh)</v>
      </c>
    </row>
    <row r="582" spans="1:42" x14ac:dyDescent="0.2">
      <c r="A582" s="21" t="s">
        <v>33</v>
      </c>
      <c r="C582" s="97">
        <f>IF(pbi_sta_amount="n/a",Inputs!D180,IF(AND(C$2&lt;=pbi_sta_term,C$2&lt;=analysis_period),pbi_sta_amount*(1+pbi_sta_escal/100)^B$2,0))</f>
        <v>0</v>
      </c>
      <c r="D582" s="97">
        <f>IF(pbi_sta_amount="n/a",Inputs!E180,IF(AND(D$2&lt;=pbi_sta_term,D$2&lt;=analysis_period),pbi_sta_amount*(1+pbi_sta_escal/100)^C$2,0))</f>
        <v>0</v>
      </c>
      <c r="E582" s="97">
        <f>IF(pbi_sta_amount="n/a",Inputs!F180,IF(AND(E$2&lt;=pbi_sta_term,E$2&lt;=analysis_period),pbi_sta_amount*(1+pbi_sta_escal/100)^D$2,0))</f>
        <v>0</v>
      </c>
      <c r="F582" s="97">
        <f>IF(pbi_sta_amount="n/a",Inputs!G180,IF(AND(F$2&lt;=pbi_sta_term,F$2&lt;=analysis_period),pbi_sta_amount*(1+pbi_sta_escal/100)^E$2,0))</f>
        <v>0</v>
      </c>
      <c r="G582" s="97">
        <f>IF(pbi_sta_amount="n/a",Inputs!H180,IF(AND(G$2&lt;=pbi_sta_term,G$2&lt;=analysis_period),pbi_sta_amount*(1+pbi_sta_escal/100)^F$2,0))</f>
        <v>0</v>
      </c>
      <c r="H582" s="97">
        <f>IF(pbi_sta_amount="n/a",Inputs!I180,IF(AND(H$2&lt;=pbi_sta_term,H$2&lt;=analysis_period),pbi_sta_amount*(1+pbi_sta_escal/100)^G$2,0))</f>
        <v>0</v>
      </c>
      <c r="I582" s="97">
        <f>IF(pbi_sta_amount="n/a",Inputs!J180,IF(AND(I$2&lt;=pbi_sta_term,I$2&lt;=analysis_period),pbi_sta_amount*(1+pbi_sta_escal/100)^H$2,0))</f>
        <v>0</v>
      </c>
      <c r="J582" s="97">
        <f>IF(pbi_sta_amount="n/a",Inputs!K180,IF(AND(J$2&lt;=pbi_sta_term,J$2&lt;=analysis_period),pbi_sta_amount*(1+pbi_sta_escal/100)^I$2,0))</f>
        <v>0</v>
      </c>
      <c r="K582" s="97">
        <f>IF(pbi_sta_amount="n/a",Inputs!L180,IF(AND(K$2&lt;=pbi_sta_term,K$2&lt;=analysis_period),pbi_sta_amount*(1+pbi_sta_escal/100)^J$2,0))</f>
        <v>0</v>
      </c>
      <c r="L582" s="97">
        <f>IF(pbi_sta_amount="n/a",Inputs!M180,IF(AND(L$2&lt;=pbi_sta_term,L$2&lt;=analysis_period),pbi_sta_amount*(1+pbi_sta_escal/100)^K$2,0))</f>
        <v>0</v>
      </c>
      <c r="M582" s="97">
        <f>IF(pbi_sta_amount="n/a",Inputs!N180,IF(AND(M$2&lt;=pbi_sta_term,M$2&lt;=analysis_period),pbi_sta_amount*(1+pbi_sta_escal/100)^L$2,0))</f>
        <v>0</v>
      </c>
      <c r="N582" s="97">
        <f>IF(pbi_sta_amount="n/a",Inputs!O180,IF(AND(N$2&lt;=pbi_sta_term,N$2&lt;=analysis_period),pbi_sta_amount*(1+pbi_sta_escal/100)^M$2,0))</f>
        <v>0</v>
      </c>
      <c r="O582" s="97">
        <f>IF(pbi_sta_amount="n/a",Inputs!P180,IF(AND(O$2&lt;=pbi_sta_term,O$2&lt;=analysis_period),pbi_sta_amount*(1+pbi_sta_escal/100)^N$2,0))</f>
        <v>0</v>
      </c>
      <c r="P582" s="97">
        <f>IF(pbi_sta_amount="n/a",Inputs!Q180,IF(AND(P$2&lt;=pbi_sta_term,P$2&lt;=analysis_period),pbi_sta_amount*(1+pbi_sta_escal/100)^O$2,0))</f>
        <v>0</v>
      </c>
      <c r="Q582" s="97">
        <f>IF(pbi_sta_amount="n/a",Inputs!R180,IF(AND(Q$2&lt;=pbi_sta_term,Q$2&lt;=analysis_period),pbi_sta_amount*(1+pbi_sta_escal/100)^P$2,0))</f>
        <v>0</v>
      </c>
      <c r="R582" s="97">
        <f>IF(pbi_sta_amount="n/a",Inputs!S180,IF(AND(R$2&lt;=pbi_sta_term,R$2&lt;=analysis_period),pbi_sta_amount*(1+pbi_sta_escal/100)^Q$2,0))</f>
        <v>0</v>
      </c>
      <c r="S582" s="97">
        <f>IF(pbi_sta_amount="n/a",Inputs!T180,IF(AND(S$2&lt;=pbi_sta_term,S$2&lt;=analysis_period),pbi_sta_amount*(1+pbi_sta_escal/100)^R$2,0))</f>
        <v>0</v>
      </c>
      <c r="T582" s="97">
        <f>IF(pbi_sta_amount="n/a",Inputs!U180,IF(AND(T$2&lt;=pbi_sta_term,T$2&lt;=analysis_period),pbi_sta_amount*(1+pbi_sta_escal/100)^S$2,0))</f>
        <v>0</v>
      </c>
      <c r="U582" s="97">
        <f>IF(pbi_sta_amount="n/a",Inputs!V180,IF(AND(U$2&lt;=pbi_sta_term,U$2&lt;=analysis_period),pbi_sta_amount*(1+pbi_sta_escal/100)^T$2,0))</f>
        <v>0</v>
      </c>
      <c r="V582" s="97">
        <f>IF(pbi_sta_amount="n/a",Inputs!W180,IF(AND(V$2&lt;=pbi_sta_term,V$2&lt;=analysis_period),pbi_sta_amount*(1+pbi_sta_escal/100)^U$2,0))</f>
        <v>0</v>
      </c>
      <c r="W582" s="97">
        <f>IF(pbi_sta_amount="n/a",Inputs!X180,IF(AND(W$2&lt;=pbi_sta_term,W$2&lt;=analysis_period),pbi_sta_amount*(1+pbi_sta_escal/100)^V$2,0))</f>
        <v>0</v>
      </c>
      <c r="X582" s="97">
        <f>IF(pbi_sta_amount="n/a",Inputs!Y180,IF(AND(X$2&lt;=pbi_sta_term,X$2&lt;=analysis_period),pbi_sta_amount*(1+pbi_sta_escal/100)^W$2,0))</f>
        <v>0</v>
      </c>
      <c r="Y582" s="97">
        <f>IF(pbi_sta_amount="n/a",Inputs!Z180,IF(AND(Y$2&lt;=pbi_sta_term,Y$2&lt;=analysis_period),pbi_sta_amount*(1+pbi_sta_escal/100)^X$2,0))</f>
        <v>0</v>
      </c>
      <c r="Z582" s="97">
        <f>IF(pbi_sta_amount="n/a",Inputs!AA180,IF(AND(Z$2&lt;=pbi_sta_term,Z$2&lt;=analysis_period),pbi_sta_amount*(1+pbi_sta_escal/100)^Y$2,0))</f>
        <v>0</v>
      </c>
      <c r="AA582" s="97">
        <f>IF(pbi_sta_amount="n/a",Inputs!AB180,IF(AND(AA$2&lt;=pbi_sta_term,AA$2&lt;=analysis_period),pbi_sta_amount*(1+pbi_sta_escal/100)^Z$2,0))</f>
        <v>0</v>
      </c>
      <c r="AB582" s="97">
        <f>IF(pbi_sta_amount="n/a",Inputs!AC180,IF(AND(AB$2&lt;=pbi_sta_term,AB$2&lt;=analysis_period),pbi_sta_amount*(1+pbi_sta_escal/100)^AA$2,0))</f>
        <v>0</v>
      </c>
      <c r="AC582" s="97">
        <f>IF(pbi_sta_amount="n/a",Inputs!AD180,IF(AND(AC$2&lt;=pbi_sta_term,AC$2&lt;=analysis_period),pbi_sta_amount*(1+pbi_sta_escal/100)^AB$2,0))</f>
        <v>0</v>
      </c>
      <c r="AD582" s="97">
        <f>IF(pbi_sta_amount="n/a",Inputs!AE180,IF(AND(AD$2&lt;=pbi_sta_term,AD$2&lt;=analysis_period),pbi_sta_amount*(1+pbi_sta_escal/100)^AC$2,0))</f>
        <v>0</v>
      </c>
      <c r="AE582" s="97">
        <f>IF(pbi_sta_amount="n/a",Inputs!AF180,IF(AND(AE$2&lt;=pbi_sta_term,AE$2&lt;=analysis_period),pbi_sta_amount*(1+pbi_sta_escal/100)^AD$2,0))</f>
        <v>0</v>
      </c>
      <c r="AF582" s="97">
        <f>IF(pbi_sta_amount="n/a",Inputs!AG180,IF(AND(AF$2&lt;=pbi_sta_term,AF$2&lt;=analysis_period),pbi_sta_amount*(1+pbi_sta_escal/100)^AE$2,0))</f>
        <v>0</v>
      </c>
      <c r="AG582" s="97">
        <f>IF(pbi_sta_amount="n/a",Inputs!AH180,IF(AND(AG$2&lt;=pbi_sta_term,AG$2&lt;=analysis_period),pbi_sta_amount*(1+pbi_sta_escal/100)^AF$2,0))</f>
        <v>0</v>
      </c>
      <c r="AH582" s="97">
        <f>IF(pbi_sta_amount="n/a",Inputs!AI180,IF(AND(AH$2&lt;=pbi_sta_term,AH$2&lt;=analysis_period),pbi_sta_amount*(1+pbi_sta_escal/100)^AG$2,0))</f>
        <v>0</v>
      </c>
      <c r="AI582" s="97">
        <f>IF(pbi_sta_amount="n/a",Inputs!AJ180,IF(AND(AI$2&lt;=pbi_sta_term,AI$2&lt;=analysis_period),pbi_sta_amount*(1+pbi_sta_escal/100)^AH$2,0))</f>
        <v>0</v>
      </c>
      <c r="AJ582" s="97">
        <f>IF(pbi_sta_amount="n/a",Inputs!AK180,IF(AND(AJ$2&lt;=pbi_sta_term,AJ$2&lt;=analysis_period),pbi_sta_amount*(1+pbi_sta_escal/100)^AI$2,0))</f>
        <v>0</v>
      </c>
      <c r="AK582" s="97">
        <f>IF(pbi_sta_amount="n/a",Inputs!AL180,IF(AND(AK$2&lt;=pbi_sta_term,AK$2&lt;=analysis_period),pbi_sta_amount*(1+pbi_sta_escal/100)^AJ$2,0))</f>
        <v>0</v>
      </c>
      <c r="AL582" s="97">
        <f>IF(pbi_sta_amount="n/a",Inputs!AM180,IF(AND(AL$2&lt;=pbi_sta_term,AL$2&lt;=analysis_period),pbi_sta_amount*(1+pbi_sta_escal/100)^AK$2,0))</f>
        <v>0</v>
      </c>
      <c r="AM582" s="97">
        <f>IF(pbi_sta_amount="n/a",Inputs!AN180,IF(AND(AM$2&lt;=pbi_sta_term,AM$2&lt;=analysis_period),pbi_sta_amount*(1+pbi_sta_escal/100)^AL$2,0))</f>
        <v>0</v>
      </c>
      <c r="AN582" s="97">
        <f>IF(pbi_sta_amount="n/a",Inputs!AO180,IF(AND(AN$2&lt;=pbi_sta_term,AN$2&lt;=analysis_period),pbi_sta_amount*(1+pbi_sta_escal/100)^AM$2,0))</f>
        <v>0</v>
      </c>
      <c r="AO582" s="97">
        <f>IF(pbi_sta_amount="n/a",Inputs!AP180,IF(AND(AO$2&lt;=pbi_sta_term,AO$2&lt;=analysis_period),pbi_sta_amount*(1+pbi_sta_escal/100)^AN$2,0))</f>
        <v>0</v>
      </c>
      <c r="AP582" s="97">
        <f>IF(pbi_sta_amount="n/a",Inputs!AQ180,IF(AND(AP$2&lt;=pbi_sta_term,AP$2&lt;=analysis_period),pbi_sta_amount*(1+pbi_sta_escal/100)^AO$2,0))</f>
        <v>0</v>
      </c>
    </row>
    <row r="583" spans="1:42" x14ac:dyDescent="0.2">
      <c r="A583" s="21" t="s">
        <v>34</v>
      </c>
      <c r="C583" s="120">
        <f>C$5</f>
        <v>0</v>
      </c>
      <c r="D583" s="120">
        <f t="shared" ref="D583:AP583" si="274">D$5</f>
        <v>0</v>
      </c>
      <c r="E583" s="120">
        <f t="shared" si="274"/>
        <v>0</v>
      </c>
      <c r="F583" s="120">
        <f t="shared" si="274"/>
        <v>0</v>
      </c>
      <c r="G583" s="120">
        <f t="shared" si="274"/>
        <v>0</v>
      </c>
      <c r="H583" s="120">
        <f t="shared" si="274"/>
        <v>0</v>
      </c>
      <c r="I583" s="120">
        <f t="shared" si="274"/>
        <v>0</v>
      </c>
      <c r="J583" s="120">
        <f t="shared" si="274"/>
        <v>0</v>
      </c>
      <c r="K583" s="120">
        <f t="shared" si="274"/>
        <v>0</v>
      </c>
      <c r="L583" s="120">
        <f t="shared" si="274"/>
        <v>0</v>
      </c>
      <c r="M583" s="120">
        <f t="shared" si="274"/>
        <v>0</v>
      </c>
      <c r="N583" s="120">
        <f t="shared" si="274"/>
        <v>0</v>
      </c>
      <c r="O583" s="120">
        <f t="shared" si="274"/>
        <v>0</v>
      </c>
      <c r="P583" s="120">
        <f t="shared" si="274"/>
        <v>0</v>
      </c>
      <c r="Q583" s="120">
        <f t="shared" si="274"/>
        <v>0</v>
      </c>
      <c r="R583" s="120">
        <f t="shared" si="274"/>
        <v>0</v>
      </c>
      <c r="S583" s="120">
        <f t="shared" si="274"/>
        <v>0</v>
      </c>
      <c r="T583" s="120">
        <f t="shared" si="274"/>
        <v>0</v>
      </c>
      <c r="U583" s="120">
        <f t="shared" si="274"/>
        <v>0</v>
      </c>
      <c r="V583" s="120">
        <f t="shared" si="274"/>
        <v>0</v>
      </c>
      <c r="W583" s="120">
        <f t="shared" si="274"/>
        <v>0</v>
      </c>
      <c r="X583" s="120">
        <f t="shared" si="274"/>
        <v>0</v>
      </c>
      <c r="Y583" s="120">
        <f t="shared" si="274"/>
        <v>0</v>
      </c>
      <c r="Z583" s="120">
        <f t="shared" si="274"/>
        <v>0</v>
      </c>
      <c r="AA583" s="120">
        <f t="shared" si="274"/>
        <v>0</v>
      </c>
      <c r="AB583" s="120">
        <f t="shared" si="274"/>
        <v>0</v>
      </c>
      <c r="AC583" s="120">
        <f t="shared" si="274"/>
        <v>0</v>
      </c>
      <c r="AD583" s="120">
        <f t="shared" si="274"/>
        <v>0</v>
      </c>
      <c r="AE583" s="120">
        <f t="shared" si="274"/>
        <v>0</v>
      </c>
      <c r="AF583" s="120">
        <f t="shared" si="274"/>
        <v>0</v>
      </c>
      <c r="AG583" s="120">
        <f t="shared" si="274"/>
        <v>0</v>
      </c>
      <c r="AH583" s="120">
        <f t="shared" si="274"/>
        <v>0</v>
      </c>
      <c r="AI583" s="120">
        <f t="shared" si="274"/>
        <v>0</v>
      </c>
      <c r="AJ583" s="120">
        <f t="shared" si="274"/>
        <v>0</v>
      </c>
      <c r="AK583" s="120">
        <f t="shared" si="274"/>
        <v>0</v>
      </c>
      <c r="AL583" s="120">
        <f t="shared" si="274"/>
        <v>0</v>
      </c>
      <c r="AM583" s="120">
        <f t="shared" si="274"/>
        <v>0</v>
      </c>
      <c r="AN583" s="120">
        <f t="shared" si="274"/>
        <v>0</v>
      </c>
      <c r="AO583" s="120">
        <f t="shared" si="274"/>
        <v>0</v>
      </c>
      <c r="AP583" s="120">
        <f t="shared" si="274"/>
        <v>0</v>
      </c>
    </row>
    <row r="584" spans="1:42" x14ac:dyDescent="0.2">
      <c r="A584" s="21" t="s">
        <v>12</v>
      </c>
      <c r="C584" s="119">
        <f>C582*C583</f>
        <v>0</v>
      </c>
      <c r="D584" s="119">
        <f t="shared" ref="D584:AP584" si="275">D582*D583</f>
        <v>0</v>
      </c>
      <c r="E584" s="119">
        <f t="shared" si="275"/>
        <v>0</v>
      </c>
      <c r="F584" s="119">
        <f t="shared" si="275"/>
        <v>0</v>
      </c>
      <c r="G584" s="119">
        <f t="shared" si="275"/>
        <v>0</v>
      </c>
      <c r="H584" s="119">
        <f t="shared" si="275"/>
        <v>0</v>
      </c>
      <c r="I584" s="119">
        <f t="shared" si="275"/>
        <v>0</v>
      </c>
      <c r="J584" s="119">
        <f t="shared" si="275"/>
        <v>0</v>
      </c>
      <c r="K584" s="119">
        <f t="shared" si="275"/>
        <v>0</v>
      </c>
      <c r="L584" s="119">
        <f t="shared" si="275"/>
        <v>0</v>
      </c>
      <c r="M584" s="119">
        <f t="shared" si="275"/>
        <v>0</v>
      </c>
      <c r="N584" s="119">
        <f t="shared" si="275"/>
        <v>0</v>
      </c>
      <c r="O584" s="119">
        <f t="shared" si="275"/>
        <v>0</v>
      </c>
      <c r="P584" s="119">
        <f t="shared" si="275"/>
        <v>0</v>
      </c>
      <c r="Q584" s="119">
        <f t="shared" si="275"/>
        <v>0</v>
      </c>
      <c r="R584" s="119">
        <f t="shared" si="275"/>
        <v>0</v>
      </c>
      <c r="S584" s="119">
        <f t="shared" si="275"/>
        <v>0</v>
      </c>
      <c r="T584" s="119">
        <f t="shared" si="275"/>
        <v>0</v>
      </c>
      <c r="U584" s="119">
        <f t="shared" si="275"/>
        <v>0</v>
      </c>
      <c r="V584" s="119">
        <f t="shared" si="275"/>
        <v>0</v>
      </c>
      <c r="W584" s="119">
        <f t="shared" si="275"/>
        <v>0</v>
      </c>
      <c r="X584" s="119">
        <f t="shared" si="275"/>
        <v>0</v>
      </c>
      <c r="Y584" s="119">
        <f t="shared" si="275"/>
        <v>0</v>
      </c>
      <c r="Z584" s="119">
        <f t="shared" si="275"/>
        <v>0</v>
      </c>
      <c r="AA584" s="119">
        <f t="shared" si="275"/>
        <v>0</v>
      </c>
      <c r="AB584" s="119">
        <f t="shared" si="275"/>
        <v>0</v>
      </c>
      <c r="AC584" s="119">
        <f t="shared" si="275"/>
        <v>0</v>
      </c>
      <c r="AD584" s="119">
        <f t="shared" si="275"/>
        <v>0</v>
      </c>
      <c r="AE584" s="119">
        <f t="shared" si="275"/>
        <v>0</v>
      </c>
      <c r="AF584" s="119">
        <f t="shared" si="275"/>
        <v>0</v>
      </c>
      <c r="AG584" s="119">
        <f t="shared" si="275"/>
        <v>0</v>
      </c>
      <c r="AH584" s="119">
        <f t="shared" si="275"/>
        <v>0</v>
      </c>
      <c r="AI584" s="119">
        <f t="shared" si="275"/>
        <v>0</v>
      </c>
      <c r="AJ584" s="119">
        <f t="shared" si="275"/>
        <v>0</v>
      </c>
      <c r="AK584" s="119">
        <f t="shared" si="275"/>
        <v>0</v>
      </c>
      <c r="AL584" s="119">
        <f t="shared" si="275"/>
        <v>0</v>
      </c>
      <c r="AM584" s="119">
        <f t="shared" si="275"/>
        <v>0</v>
      </c>
      <c r="AN584" s="119">
        <f t="shared" si="275"/>
        <v>0</v>
      </c>
      <c r="AO584" s="119">
        <f t="shared" si="275"/>
        <v>0</v>
      </c>
      <c r="AP584" s="119">
        <f t="shared" si="275"/>
        <v>0</v>
      </c>
    </row>
    <row r="585" spans="1:42" x14ac:dyDescent="0.2">
      <c r="A585" s="17" t="str">
        <f>Inputs!B132</f>
        <v>Utility ($/kWh)</v>
      </c>
    </row>
    <row r="586" spans="1:42" x14ac:dyDescent="0.2">
      <c r="A586" s="21" t="s">
        <v>33</v>
      </c>
      <c r="C586" s="97">
        <f>IF(pbi_uti_amount="n/a",Inputs!D181,IF(AND(C$2&lt;=pbi_uti_term,C$2&lt;=analysis_period),pbi_uti_amount*(1+pbi_uti_escal/100)^B$2,0))</f>
        <v>0</v>
      </c>
      <c r="D586" s="97">
        <f>IF(pbi_uti_amount="n/a",Inputs!E181,IF(AND(D$2&lt;=pbi_uti_term,D$2&lt;=analysis_period),pbi_uti_amount*(1+pbi_uti_escal/100)^C$2,0))</f>
        <v>0</v>
      </c>
      <c r="E586" s="97">
        <f>IF(pbi_uti_amount="n/a",Inputs!F181,IF(AND(E$2&lt;=pbi_uti_term,E$2&lt;=analysis_period),pbi_uti_amount*(1+pbi_uti_escal/100)^D$2,0))</f>
        <v>0</v>
      </c>
      <c r="F586" s="97">
        <f>IF(pbi_uti_amount="n/a",Inputs!G181,IF(AND(F$2&lt;=pbi_uti_term,F$2&lt;=analysis_period),pbi_uti_amount*(1+pbi_uti_escal/100)^E$2,0))</f>
        <v>0</v>
      </c>
      <c r="G586" s="97">
        <f>IF(pbi_uti_amount="n/a",Inputs!H181,IF(AND(G$2&lt;=pbi_uti_term,G$2&lt;=analysis_period),pbi_uti_amount*(1+pbi_uti_escal/100)^F$2,0))</f>
        <v>0</v>
      </c>
      <c r="H586" s="97">
        <f>IF(pbi_uti_amount="n/a",Inputs!I181,IF(AND(H$2&lt;=pbi_uti_term,H$2&lt;=analysis_period),pbi_uti_amount*(1+pbi_uti_escal/100)^G$2,0))</f>
        <v>0</v>
      </c>
      <c r="I586" s="97">
        <f>IF(pbi_uti_amount="n/a",Inputs!J181,IF(AND(I$2&lt;=pbi_uti_term,I$2&lt;=analysis_period),pbi_uti_amount*(1+pbi_uti_escal/100)^H$2,0))</f>
        <v>0</v>
      </c>
      <c r="J586" s="97">
        <f>IF(pbi_uti_amount="n/a",Inputs!K181,IF(AND(J$2&lt;=pbi_uti_term,J$2&lt;=analysis_period),pbi_uti_amount*(1+pbi_uti_escal/100)^I$2,0))</f>
        <v>0</v>
      </c>
      <c r="K586" s="97">
        <f>IF(pbi_uti_amount="n/a",Inputs!L181,IF(AND(K$2&lt;=pbi_uti_term,K$2&lt;=analysis_period),pbi_uti_amount*(1+pbi_uti_escal/100)^J$2,0))</f>
        <v>0</v>
      </c>
      <c r="L586" s="97">
        <f>IF(pbi_uti_amount="n/a",Inputs!M181,IF(AND(L$2&lt;=pbi_uti_term,L$2&lt;=analysis_period),pbi_uti_amount*(1+pbi_uti_escal/100)^K$2,0))</f>
        <v>0</v>
      </c>
      <c r="M586" s="97">
        <f>IF(pbi_uti_amount="n/a",Inputs!N181,IF(AND(M$2&lt;=pbi_uti_term,M$2&lt;=analysis_period),pbi_uti_amount*(1+pbi_uti_escal/100)^L$2,0))</f>
        <v>0</v>
      </c>
      <c r="N586" s="97">
        <f>IF(pbi_uti_amount="n/a",Inputs!O181,IF(AND(N$2&lt;=pbi_uti_term,N$2&lt;=analysis_period),pbi_uti_amount*(1+pbi_uti_escal/100)^M$2,0))</f>
        <v>0</v>
      </c>
      <c r="O586" s="97">
        <f>IF(pbi_uti_amount="n/a",Inputs!P181,IF(AND(O$2&lt;=pbi_uti_term,O$2&lt;=analysis_period),pbi_uti_amount*(1+pbi_uti_escal/100)^N$2,0))</f>
        <v>0</v>
      </c>
      <c r="P586" s="97">
        <f>IF(pbi_uti_amount="n/a",Inputs!Q181,IF(AND(P$2&lt;=pbi_uti_term,P$2&lt;=analysis_period),pbi_uti_amount*(1+pbi_uti_escal/100)^O$2,0))</f>
        <v>0</v>
      </c>
      <c r="Q586" s="97">
        <f>IF(pbi_uti_amount="n/a",Inputs!R181,IF(AND(Q$2&lt;=pbi_uti_term,Q$2&lt;=analysis_period),pbi_uti_amount*(1+pbi_uti_escal/100)^P$2,0))</f>
        <v>0</v>
      </c>
      <c r="R586" s="97">
        <f>IF(pbi_uti_amount="n/a",Inputs!S181,IF(AND(R$2&lt;=pbi_uti_term,R$2&lt;=analysis_period),pbi_uti_amount*(1+pbi_uti_escal/100)^Q$2,0))</f>
        <v>0</v>
      </c>
      <c r="S586" s="97">
        <f>IF(pbi_uti_amount="n/a",Inputs!T181,IF(AND(S$2&lt;=pbi_uti_term,S$2&lt;=analysis_period),pbi_uti_amount*(1+pbi_uti_escal/100)^R$2,0))</f>
        <v>0</v>
      </c>
      <c r="T586" s="97">
        <f>IF(pbi_uti_amount="n/a",Inputs!U181,IF(AND(T$2&lt;=pbi_uti_term,T$2&lt;=analysis_period),pbi_uti_amount*(1+pbi_uti_escal/100)^S$2,0))</f>
        <v>0</v>
      </c>
      <c r="U586" s="97">
        <f>IF(pbi_uti_amount="n/a",Inputs!V181,IF(AND(U$2&lt;=pbi_uti_term,U$2&lt;=analysis_period),pbi_uti_amount*(1+pbi_uti_escal/100)^T$2,0))</f>
        <v>0</v>
      </c>
      <c r="V586" s="97">
        <f>IF(pbi_uti_amount="n/a",Inputs!W181,IF(AND(V$2&lt;=pbi_uti_term,V$2&lt;=analysis_period),pbi_uti_amount*(1+pbi_uti_escal/100)^U$2,0))</f>
        <v>0</v>
      </c>
      <c r="W586" s="97">
        <f>IF(pbi_uti_amount="n/a",Inputs!X181,IF(AND(W$2&lt;=pbi_uti_term,W$2&lt;=analysis_period),pbi_uti_amount*(1+pbi_uti_escal/100)^V$2,0))</f>
        <v>0</v>
      </c>
      <c r="X586" s="97">
        <f>IF(pbi_uti_amount="n/a",Inputs!Y181,IF(AND(X$2&lt;=pbi_uti_term,X$2&lt;=analysis_period),pbi_uti_amount*(1+pbi_uti_escal/100)^W$2,0))</f>
        <v>0</v>
      </c>
      <c r="Y586" s="97">
        <f>IF(pbi_uti_amount="n/a",Inputs!Z181,IF(AND(Y$2&lt;=pbi_uti_term,Y$2&lt;=analysis_period),pbi_uti_amount*(1+pbi_uti_escal/100)^X$2,0))</f>
        <v>0</v>
      </c>
      <c r="Z586" s="97">
        <f>IF(pbi_uti_amount="n/a",Inputs!AA181,IF(AND(Z$2&lt;=pbi_uti_term,Z$2&lt;=analysis_period),pbi_uti_amount*(1+pbi_uti_escal/100)^Y$2,0))</f>
        <v>0</v>
      </c>
      <c r="AA586" s="97">
        <f>IF(pbi_uti_amount="n/a",Inputs!AB181,IF(AND(AA$2&lt;=pbi_uti_term,AA$2&lt;=analysis_period),pbi_uti_amount*(1+pbi_uti_escal/100)^Z$2,0))</f>
        <v>0</v>
      </c>
      <c r="AB586" s="97">
        <f>IF(pbi_uti_amount="n/a",Inputs!AC181,IF(AND(AB$2&lt;=pbi_uti_term,AB$2&lt;=analysis_period),pbi_uti_amount*(1+pbi_uti_escal/100)^AA$2,0))</f>
        <v>0</v>
      </c>
      <c r="AC586" s="97">
        <f>IF(pbi_uti_amount="n/a",Inputs!AD181,IF(AND(AC$2&lt;=pbi_uti_term,AC$2&lt;=analysis_period),pbi_uti_amount*(1+pbi_uti_escal/100)^AB$2,0))</f>
        <v>0</v>
      </c>
      <c r="AD586" s="97">
        <f>IF(pbi_uti_amount="n/a",Inputs!AE181,IF(AND(AD$2&lt;=pbi_uti_term,AD$2&lt;=analysis_period),pbi_uti_amount*(1+pbi_uti_escal/100)^AC$2,0))</f>
        <v>0</v>
      </c>
      <c r="AE586" s="97">
        <f>IF(pbi_uti_amount="n/a",Inputs!AF181,IF(AND(AE$2&lt;=pbi_uti_term,AE$2&lt;=analysis_period),pbi_uti_amount*(1+pbi_uti_escal/100)^AD$2,0))</f>
        <v>0</v>
      </c>
      <c r="AF586" s="97">
        <f>IF(pbi_uti_amount="n/a",Inputs!AG181,IF(AND(AF$2&lt;=pbi_uti_term,AF$2&lt;=analysis_period),pbi_uti_amount*(1+pbi_uti_escal/100)^AE$2,0))</f>
        <v>0</v>
      </c>
      <c r="AG586" s="97">
        <f>IF(pbi_uti_amount="n/a",Inputs!AH181,IF(AND(AG$2&lt;=pbi_uti_term,AG$2&lt;=analysis_period),pbi_uti_amount*(1+pbi_uti_escal/100)^AF$2,0))</f>
        <v>0</v>
      </c>
      <c r="AH586" s="97">
        <f>IF(pbi_uti_amount="n/a",Inputs!AI181,IF(AND(AH$2&lt;=pbi_uti_term,AH$2&lt;=analysis_period),pbi_uti_amount*(1+pbi_uti_escal/100)^AG$2,0))</f>
        <v>0</v>
      </c>
      <c r="AI586" s="97">
        <f>IF(pbi_uti_amount="n/a",Inputs!AJ181,IF(AND(AI$2&lt;=pbi_uti_term,AI$2&lt;=analysis_period),pbi_uti_amount*(1+pbi_uti_escal/100)^AH$2,0))</f>
        <v>0</v>
      </c>
      <c r="AJ586" s="97">
        <f>IF(pbi_uti_amount="n/a",Inputs!AK181,IF(AND(AJ$2&lt;=pbi_uti_term,AJ$2&lt;=analysis_period),pbi_uti_amount*(1+pbi_uti_escal/100)^AI$2,0))</f>
        <v>0</v>
      </c>
      <c r="AK586" s="97">
        <f>IF(pbi_uti_amount="n/a",Inputs!AL181,IF(AND(AK$2&lt;=pbi_uti_term,AK$2&lt;=analysis_period),pbi_uti_amount*(1+pbi_uti_escal/100)^AJ$2,0))</f>
        <v>0</v>
      </c>
      <c r="AL586" s="97">
        <f>IF(pbi_uti_amount="n/a",Inputs!AM181,IF(AND(AL$2&lt;=pbi_uti_term,AL$2&lt;=analysis_period),pbi_uti_amount*(1+pbi_uti_escal/100)^AK$2,0))</f>
        <v>0</v>
      </c>
      <c r="AM586" s="97">
        <f>IF(pbi_uti_amount="n/a",Inputs!AN181,IF(AND(AM$2&lt;=pbi_uti_term,AM$2&lt;=analysis_period),pbi_uti_amount*(1+pbi_uti_escal/100)^AL$2,0))</f>
        <v>0</v>
      </c>
      <c r="AN586" s="97">
        <f>IF(pbi_uti_amount="n/a",Inputs!AO181,IF(AND(AN$2&lt;=pbi_uti_term,AN$2&lt;=analysis_period),pbi_uti_amount*(1+pbi_uti_escal/100)^AM$2,0))</f>
        <v>0</v>
      </c>
      <c r="AO586" s="97">
        <f>IF(pbi_uti_amount="n/a",Inputs!AP181,IF(AND(AO$2&lt;=pbi_uti_term,AO$2&lt;=analysis_period),pbi_uti_amount*(1+pbi_uti_escal/100)^AN$2,0))</f>
        <v>0</v>
      </c>
      <c r="AP586" s="97">
        <f>IF(pbi_uti_amount="n/a",Inputs!AQ181,IF(AND(AP$2&lt;=pbi_uti_term,AP$2&lt;=analysis_period),pbi_uti_amount*(1+pbi_uti_escal/100)^AO$2,0))</f>
        <v>0</v>
      </c>
    </row>
    <row r="587" spans="1:42" x14ac:dyDescent="0.2">
      <c r="A587" s="21" t="s">
        <v>34</v>
      </c>
      <c r="C587" s="120">
        <f>C$5</f>
        <v>0</v>
      </c>
      <c r="D587" s="120">
        <f t="shared" ref="D587:AP587" si="276">D$5</f>
        <v>0</v>
      </c>
      <c r="E587" s="120">
        <f t="shared" si="276"/>
        <v>0</v>
      </c>
      <c r="F587" s="120">
        <f t="shared" si="276"/>
        <v>0</v>
      </c>
      <c r="G587" s="120">
        <f t="shared" si="276"/>
        <v>0</v>
      </c>
      <c r="H587" s="120">
        <f t="shared" si="276"/>
        <v>0</v>
      </c>
      <c r="I587" s="120">
        <f t="shared" si="276"/>
        <v>0</v>
      </c>
      <c r="J587" s="120">
        <f t="shared" si="276"/>
        <v>0</v>
      </c>
      <c r="K587" s="120">
        <f t="shared" si="276"/>
        <v>0</v>
      </c>
      <c r="L587" s="120">
        <f t="shared" si="276"/>
        <v>0</v>
      </c>
      <c r="M587" s="120">
        <f t="shared" si="276"/>
        <v>0</v>
      </c>
      <c r="N587" s="120">
        <f t="shared" si="276"/>
        <v>0</v>
      </c>
      <c r="O587" s="120">
        <f t="shared" si="276"/>
        <v>0</v>
      </c>
      <c r="P587" s="120">
        <f t="shared" si="276"/>
        <v>0</v>
      </c>
      <c r="Q587" s="120">
        <f t="shared" si="276"/>
        <v>0</v>
      </c>
      <c r="R587" s="120">
        <f t="shared" si="276"/>
        <v>0</v>
      </c>
      <c r="S587" s="120">
        <f t="shared" si="276"/>
        <v>0</v>
      </c>
      <c r="T587" s="120">
        <f t="shared" si="276"/>
        <v>0</v>
      </c>
      <c r="U587" s="120">
        <f t="shared" si="276"/>
        <v>0</v>
      </c>
      <c r="V587" s="120">
        <f t="shared" si="276"/>
        <v>0</v>
      </c>
      <c r="W587" s="120">
        <f t="shared" si="276"/>
        <v>0</v>
      </c>
      <c r="X587" s="120">
        <f t="shared" si="276"/>
        <v>0</v>
      </c>
      <c r="Y587" s="120">
        <f t="shared" si="276"/>
        <v>0</v>
      </c>
      <c r="Z587" s="120">
        <f t="shared" si="276"/>
        <v>0</v>
      </c>
      <c r="AA587" s="120">
        <f t="shared" si="276"/>
        <v>0</v>
      </c>
      <c r="AB587" s="120">
        <f t="shared" si="276"/>
        <v>0</v>
      </c>
      <c r="AC587" s="120">
        <f t="shared" si="276"/>
        <v>0</v>
      </c>
      <c r="AD587" s="120">
        <f t="shared" si="276"/>
        <v>0</v>
      </c>
      <c r="AE587" s="120">
        <f t="shared" si="276"/>
        <v>0</v>
      </c>
      <c r="AF587" s="120">
        <f t="shared" si="276"/>
        <v>0</v>
      </c>
      <c r="AG587" s="120">
        <f t="shared" si="276"/>
        <v>0</v>
      </c>
      <c r="AH587" s="120">
        <f t="shared" si="276"/>
        <v>0</v>
      </c>
      <c r="AI587" s="120">
        <f t="shared" si="276"/>
        <v>0</v>
      </c>
      <c r="AJ587" s="120">
        <f t="shared" si="276"/>
        <v>0</v>
      </c>
      <c r="AK587" s="120">
        <f t="shared" si="276"/>
        <v>0</v>
      </c>
      <c r="AL587" s="120">
        <f t="shared" si="276"/>
        <v>0</v>
      </c>
      <c r="AM587" s="120">
        <f t="shared" si="276"/>
        <v>0</v>
      </c>
      <c r="AN587" s="120">
        <f t="shared" si="276"/>
        <v>0</v>
      </c>
      <c r="AO587" s="120">
        <f t="shared" si="276"/>
        <v>0</v>
      </c>
      <c r="AP587" s="120">
        <f t="shared" si="276"/>
        <v>0</v>
      </c>
    </row>
    <row r="588" spans="1:42" x14ac:dyDescent="0.2">
      <c r="A588" s="21" t="s">
        <v>12</v>
      </c>
      <c r="C588" s="119">
        <f>C586*C587</f>
        <v>0</v>
      </c>
      <c r="D588" s="119">
        <f t="shared" ref="D588:AP588" si="277">D586*D587</f>
        <v>0</v>
      </c>
      <c r="E588" s="119">
        <f t="shared" si="277"/>
        <v>0</v>
      </c>
      <c r="F588" s="119">
        <f t="shared" si="277"/>
        <v>0</v>
      </c>
      <c r="G588" s="119">
        <f t="shared" si="277"/>
        <v>0</v>
      </c>
      <c r="H588" s="119">
        <f t="shared" si="277"/>
        <v>0</v>
      </c>
      <c r="I588" s="119">
        <f t="shared" si="277"/>
        <v>0</v>
      </c>
      <c r="J588" s="119">
        <f t="shared" si="277"/>
        <v>0</v>
      </c>
      <c r="K588" s="119">
        <f t="shared" si="277"/>
        <v>0</v>
      </c>
      <c r="L588" s="119">
        <f t="shared" si="277"/>
        <v>0</v>
      </c>
      <c r="M588" s="119">
        <f t="shared" si="277"/>
        <v>0</v>
      </c>
      <c r="N588" s="119">
        <f t="shared" si="277"/>
        <v>0</v>
      </c>
      <c r="O588" s="119">
        <f t="shared" si="277"/>
        <v>0</v>
      </c>
      <c r="P588" s="119">
        <f t="shared" si="277"/>
        <v>0</v>
      </c>
      <c r="Q588" s="119">
        <f t="shared" si="277"/>
        <v>0</v>
      </c>
      <c r="R588" s="119">
        <f t="shared" si="277"/>
        <v>0</v>
      </c>
      <c r="S588" s="119">
        <f t="shared" si="277"/>
        <v>0</v>
      </c>
      <c r="T588" s="119">
        <f t="shared" si="277"/>
        <v>0</v>
      </c>
      <c r="U588" s="119">
        <f t="shared" si="277"/>
        <v>0</v>
      </c>
      <c r="V588" s="119">
        <f t="shared" si="277"/>
        <v>0</v>
      </c>
      <c r="W588" s="119">
        <f t="shared" si="277"/>
        <v>0</v>
      </c>
      <c r="X588" s="119">
        <f t="shared" si="277"/>
        <v>0</v>
      </c>
      <c r="Y588" s="119">
        <f t="shared" si="277"/>
        <v>0</v>
      </c>
      <c r="Z588" s="119">
        <f t="shared" si="277"/>
        <v>0</v>
      </c>
      <c r="AA588" s="119">
        <f t="shared" si="277"/>
        <v>0</v>
      </c>
      <c r="AB588" s="119">
        <f t="shared" si="277"/>
        <v>0</v>
      </c>
      <c r="AC588" s="119">
        <f t="shared" si="277"/>
        <v>0</v>
      </c>
      <c r="AD588" s="119">
        <f t="shared" si="277"/>
        <v>0</v>
      </c>
      <c r="AE588" s="119">
        <f t="shared" si="277"/>
        <v>0</v>
      </c>
      <c r="AF588" s="119">
        <f t="shared" si="277"/>
        <v>0</v>
      </c>
      <c r="AG588" s="119">
        <f t="shared" si="277"/>
        <v>0</v>
      </c>
      <c r="AH588" s="119">
        <f t="shared" si="277"/>
        <v>0</v>
      </c>
      <c r="AI588" s="119">
        <f t="shared" si="277"/>
        <v>0</v>
      </c>
      <c r="AJ588" s="119">
        <f t="shared" si="277"/>
        <v>0</v>
      </c>
      <c r="AK588" s="119">
        <f t="shared" si="277"/>
        <v>0</v>
      </c>
      <c r="AL588" s="119">
        <f t="shared" si="277"/>
        <v>0</v>
      </c>
      <c r="AM588" s="119">
        <f t="shared" si="277"/>
        <v>0</v>
      </c>
      <c r="AN588" s="119">
        <f t="shared" si="277"/>
        <v>0</v>
      </c>
      <c r="AO588" s="119">
        <f t="shared" si="277"/>
        <v>0</v>
      </c>
      <c r="AP588" s="119">
        <f t="shared" si="277"/>
        <v>0</v>
      </c>
    </row>
    <row r="589" spans="1:42" x14ac:dyDescent="0.2">
      <c r="A589" s="17" t="str">
        <f>Inputs!B133</f>
        <v>Other ($/kWh)</v>
      </c>
    </row>
    <row r="590" spans="1:42" x14ac:dyDescent="0.2">
      <c r="A590" s="21" t="s">
        <v>33</v>
      </c>
      <c r="C590" s="97">
        <f>IF(pbi_oth_amount="n/a",Inputs!D182,IF(AND(C$2&lt;=pbi_oth_term,C$2&lt;=analysis_period),pbi_oth_amount*(1+pbi_oth_escal/100)^B$2,0))</f>
        <v>0</v>
      </c>
      <c r="D590" s="97">
        <f>IF(pbi_oth_amount="n/a",Inputs!E182,IF(AND(D$2&lt;=pbi_oth_term,D$2&lt;=analysis_period),pbi_oth_amount*(1+pbi_oth_escal/100)^C$2,0))</f>
        <v>0</v>
      </c>
      <c r="E590" s="97">
        <f>IF(pbi_oth_amount="n/a",Inputs!F182,IF(AND(E$2&lt;=pbi_oth_term,E$2&lt;=analysis_period),pbi_oth_amount*(1+pbi_oth_escal/100)^D$2,0))</f>
        <v>0</v>
      </c>
      <c r="F590" s="97">
        <f>IF(pbi_oth_amount="n/a",Inputs!G182,IF(AND(F$2&lt;=pbi_oth_term,F$2&lt;=analysis_period),pbi_oth_amount*(1+pbi_oth_escal/100)^E$2,0))</f>
        <v>0</v>
      </c>
      <c r="G590" s="97">
        <f>IF(pbi_oth_amount="n/a",Inputs!H182,IF(AND(G$2&lt;=pbi_oth_term,G$2&lt;=analysis_period),pbi_oth_amount*(1+pbi_oth_escal/100)^F$2,0))</f>
        <v>0</v>
      </c>
      <c r="H590" s="97">
        <f>IF(pbi_oth_amount="n/a",Inputs!I182,IF(AND(H$2&lt;=pbi_oth_term,H$2&lt;=analysis_period),pbi_oth_amount*(1+pbi_oth_escal/100)^G$2,0))</f>
        <v>0</v>
      </c>
      <c r="I590" s="97">
        <f>IF(pbi_oth_amount="n/a",Inputs!J182,IF(AND(I$2&lt;=pbi_oth_term,I$2&lt;=analysis_period),pbi_oth_amount*(1+pbi_oth_escal/100)^H$2,0))</f>
        <v>0</v>
      </c>
      <c r="J590" s="97">
        <f>IF(pbi_oth_amount="n/a",Inputs!K182,IF(AND(J$2&lt;=pbi_oth_term,J$2&lt;=analysis_period),pbi_oth_amount*(1+pbi_oth_escal/100)^I$2,0))</f>
        <v>0</v>
      </c>
      <c r="K590" s="97">
        <f>IF(pbi_oth_amount="n/a",Inputs!L182,IF(AND(K$2&lt;=pbi_oth_term,K$2&lt;=analysis_period),pbi_oth_amount*(1+pbi_oth_escal/100)^J$2,0))</f>
        <v>0</v>
      </c>
      <c r="L590" s="97">
        <f>IF(pbi_oth_amount="n/a",Inputs!M182,IF(AND(L$2&lt;=pbi_oth_term,L$2&lt;=analysis_period),pbi_oth_amount*(1+pbi_oth_escal/100)^K$2,0))</f>
        <v>0</v>
      </c>
      <c r="M590" s="97">
        <f>IF(pbi_oth_amount="n/a",Inputs!N182,IF(AND(M$2&lt;=pbi_oth_term,M$2&lt;=analysis_period),pbi_oth_amount*(1+pbi_oth_escal/100)^L$2,0))</f>
        <v>0</v>
      </c>
      <c r="N590" s="97">
        <f>IF(pbi_oth_amount="n/a",Inputs!O182,IF(AND(N$2&lt;=pbi_oth_term,N$2&lt;=analysis_period),pbi_oth_amount*(1+pbi_oth_escal/100)^M$2,0))</f>
        <v>0</v>
      </c>
      <c r="O590" s="97">
        <f>IF(pbi_oth_amount="n/a",Inputs!P182,IF(AND(O$2&lt;=pbi_oth_term,O$2&lt;=analysis_period),pbi_oth_amount*(1+pbi_oth_escal/100)^N$2,0))</f>
        <v>0</v>
      </c>
      <c r="P590" s="97">
        <f>IF(pbi_oth_amount="n/a",Inputs!Q182,IF(AND(P$2&lt;=pbi_oth_term,P$2&lt;=analysis_period),pbi_oth_amount*(1+pbi_oth_escal/100)^O$2,0))</f>
        <v>0</v>
      </c>
      <c r="Q590" s="97">
        <f>IF(pbi_oth_amount="n/a",Inputs!R182,IF(AND(Q$2&lt;=pbi_oth_term,Q$2&lt;=analysis_period),pbi_oth_amount*(1+pbi_oth_escal/100)^P$2,0))</f>
        <v>0</v>
      </c>
      <c r="R590" s="97">
        <f>IF(pbi_oth_amount="n/a",Inputs!S182,IF(AND(R$2&lt;=pbi_oth_term,R$2&lt;=analysis_period),pbi_oth_amount*(1+pbi_oth_escal/100)^Q$2,0))</f>
        <v>0</v>
      </c>
      <c r="S590" s="97">
        <f>IF(pbi_oth_amount="n/a",Inputs!T182,IF(AND(S$2&lt;=pbi_oth_term,S$2&lt;=analysis_period),pbi_oth_amount*(1+pbi_oth_escal/100)^R$2,0))</f>
        <v>0</v>
      </c>
      <c r="T590" s="97">
        <f>IF(pbi_oth_amount="n/a",Inputs!U182,IF(AND(T$2&lt;=pbi_oth_term,T$2&lt;=analysis_period),pbi_oth_amount*(1+pbi_oth_escal/100)^S$2,0))</f>
        <v>0</v>
      </c>
      <c r="U590" s="97">
        <f>IF(pbi_oth_amount="n/a",Inputs!V182,IF(AND(U$2&lt;=pbi_oth_term,U$2&lt;=analysis_period),pbi_oth_amount*(1+pbi_oth_escal/100)^T$2,0))</f>
        <v>0</v>
      </c>
      <c r="V590" s="97">
        <f>IF(pbi_oth_amount="n/a",Inputs!W182,IF(AND(V$2&lt;=pbi_oth_term,V$2&lt;=analysis_period),pbi_oth_amount*(1+pbi_oth_escal/100)^U$2,0))</f>
        <v>0</v>
      </c>
      <c r="W590" s="97">
        <f>IF(pbi_oth_amount="n/a",Inputs!X182,IF(AND(W$2&lt;=pbi_oth_term,W$2&lt;=analysis_period),pbi_oth_amount*(1+pbi_oth_escal/100)^V$2,0))</f>
        <v>0</v>
      </c>
      <c r="X590" s="97">
        <f>IF(pbi_oth_amount="n/a",Inputs!Y182,IF(AND(X$2&lt;=pbi_oth_term,X$2&lt;=analysis_period),pbi_oth_amount*(1+pbi_oth_escal/100)^W$2,0))</f>
        <v>0</v>
      </c>
      <c r="Y590" s="97">
        <f>IF(pbi_oth_amount="n/a",Inputs!Z182,IF(AND(Y$2&lt;=pbi_oth_term,Y$2&lt;=analysis_period),pbi_oth_amount*(1+pbi_oth_escal/100)^X$2,0))</f>
        <v>0</v>
      </c>
      <c r="Z590" s="97">
        <f>IF(pbi_oth_amount="n/a",Inputs!AA182,IF(AND(Z$2&lt;=pbi_oth_term,Z$2&lt;=analysis_period),pbi_oth_amount*(1+pbi_oth_escal/100)^Y$2,0))</f>
        <v>0</v>
      </c>
      <c r="AA590" s="97">
        <f>IF(pbi_oth_amount="n/a",Inputs!AB182,IF(AND(AA$2&lt;=pbi_oth_term,AA$2&lt;=analysis_period),pbi_oth_amount*(1+pbi_oth_escal/100)^Z$2,0))</f>
        <v>0</v>
      </c>
      <c r="AB590" s="97">
        <f>IF(pbi_oth_amount="n/a",Inputs!AC182,IF(AND(AB$2&lt;=pbi_oth_term,AB$2&lt;=analysis_period),pbi_oth_amount*(1+pbi_oth_escal/100)^AA$2,0))</f>
        <v>0</v>
      </c>
      <c r="AC590" s="97">
        <f>IF(pbi_oth_amount="n/a",Inputs!AD182,IF(AND(AC$2&lt;=pbi_oth_term,AC$2&lt;=analysis_period),pbi_oth_amount*(1+pbi_oth_escal/100)^AB$2,0))</f>
        <v>0</v>
      </c>
      <c r="AD590" s="97">
        <f>IF(pbi_oth_amount="n/a",Inputs!AE182,IF(AND(AD$2&lt;=pbi_oth_term,AD$2&lt;=analysis_period),pbi_oth_amount*(1+pbi_oth_escal/100)^AC$2,0))</f>
        <v>0</v>
      </c>
      <c r="AE590" s="97">
        <f>IF(pbi_oth_amount="n/a",Inputs!AF182,IF(AND(AE$2&lt;=pbi_oth_term,AE$2&lt;=analysis_period),pbi_oth_amount*(1+pbi_oth_escal/100)^AD$2,0))</f>
        <v>0</v>
      </c>
      <c r="AF590" s="97">
        <f>IF(pbi_oth_amount="n/a",Inputs!AG182,IF(AND(AF$2&lt;=pbi_oth_term,AF$2&lt;=analysis_period),pbi_oth_amount*(1+pbi_oth_escal/100)^AE$2,0))</f>
        <v>0</v>
      </c>
      <c r="AG590" s="97">
        <f>IF(pbi_oth_amount="n/a",Inputs!AH182,IF(AND(AG$2&lt;=pbi_oth_term,AG$2&lt;=analysis_period),pbi_oth_amount*(1+pbi_oth_escal/100)^AF$2,0))</f>
        <v>0</v>
      </c>
      <c r="AH590" s="97">
        <f>IF(pbi_oth_amount="n/a",Inputs!AI182,IF(AND(AH$2&lt;=pbi_oth_term,AH$2&lt;=analysis_period),pbi_oth_amount*(1+pbi_oth_escal/100)^AG$2,0))</f>
        <v>0</v>
      </c>
      <c r="AI590" s="97">
        <f>IF(pbi_oth_amount="n/a",Inputs!AJ182,IF(AND(AI$2&lt;=pbi_oth_term,AI$2&lt;=analysis_period),pbi_oth_amount*(1+pbi_oth_escal/100)^AH$2,0))</f>
        <v>0</v>
      </c>
      <c r="AJ590" s="97">
        <f>IF(pbi_oth_amount="n/a",Inputs!AK182,IF(AND(AJ$2&lt;=pbi_oth_term,AJ$2&lt;=analysis_period),pbi_oth_amount*(1+pbi_oth_escal/100)^AI$2,0))</f>
        <v>0</v>
      </c>
      <c r="AK590" s="97">
        <f>IF(pbi_oth_amount="n/a",Inputs!AL182,IF(AND(AK$2&lt;=pbi_oth_term,AK$2&lt;=analysis_period),pbi_oth_amount*(1+pbi_oth_escal/100)^AJ$2,0))</f>
        <v>0</v>
      </c>
      <c r="AL590" s="97">
        <f>IF(pbi_oth_amount="n/a",Inputs!AM182,IF(AND(AL$2&lt;=pbi_oth_term,AL$2&lt;=analysis_period),pbi_oth_amount*(1+pbi_oth_escal/100)^AK$2,0))</f>
        <v>0</v>
      </c>
      <c r="AM590" s="97">
        <f>IF(pbi_oth_amount="n/a",Inputs!AN182,IF(AND(AM$2&lt;=pbi_oth_term,AM$2&lt;=analysis_period),pbi_oth_amount*(1+pbi_oth_escal/100)^AL$2,0))</f>
        <v>0</v>
      </c>
      <c r="AN590" s="97">
        <f>IF(pbi_oth_amount="n/a",Inputs!AO182,IF(AND(AN$2&lt;=pbi_oth_term,AN$2&lt;=analysis_period),pbi_oth_amount*(1+pbi_oth_escal/100)^AM$2,0))</f>
        <v>0</v>
      </c>
      <c r="AO590" s="97">
        <f>IF(pbi_oth_amount="n/a",Inputs!AP182,IF(AND(AO$2&lt;=pbi_oth_term,AO$2&lt;=analysis_period),pbi_oth_amount*(1+pbi_oth_escal/100)^AN$2,0))</f>
        <v>0</v>
      </c>
      <c r="AP590" s="97">
        <f>IF(pbi_oth_amount="n/a",Inputs!AQ182,IF(AND(AP$2&lt;=pbi_oth_term,AP$2&lt;=analysis_period),pbi_oth_amount*(1+pbi_oth_escal/100)^AO$2,0))</f>
        <v>0</v>
      </c>
    </row>
    <row r="591" spans="1:42" x14ac:dyDescent="0.2">
      <c r="A591" s="21" t="s">
        <v>34</v>
      </c>
      <c r="C591" s="120">
        <f>C$5</f>
        <v>0</v>
      </c>
      <c r="D591" s="120">
        <f t="shared" ref="D591:AP591" si="278">D$5</f>
        <v>0</v>
      </c>
      <c r="E591" s="120">
        <f t="shared" si="278"/>
        <v>0</v>
      </c>
      <c r="F591" s="120">
        <f t="shared" si="278"/>
        <v>0</v>
      </c>
      <c r="G591" s="120">
        <f t="shared" si="278"/>
        <v>0</v>
      </c>
      <c r="H591" s="120">
        <f t="shared" si="278"/>
        <v>0</v>
      </c>
      <c r="I591" s="120">
        <f t="shared" si="278"/>
        <v>0</v>
      </c>
      <c r="J591" s="120">
        <f t="shared" si="278"/>
        <v>0</v>
      </c>
      <c r="K591" s="120">
        <f t="shared" si="278"/>
        <v>0</v>
      </c>
      <c r="L591" s="120">
        <f t="shared" si="278"/>
        <v>0</v>
      </c>
      <c r="M591" s="120">
        <f t="shared" si="278"/>
        <v>0</v>
      </c>
      <c r="N591" s="120">
        <f t="shared" si="278"/>
        <v>0</v>
      </c>
      <c r="O591" s="120">
        <f t="shared" si="278"/>
        <v>0</v>
      </c>
      <c r="P591" s="120">
        <f t="shared" si="278"/>
        <v>0</v>
      </c>
      <c r="Q591" s="120">
        <f t="shared" si="278"/>
        <v>0</v>
      </c>
      <c r="R591" s="120">
        <f t="shared" si="278"/>
        <v>0</v>
      </c>
      <c r="S591" s="120">
        <f t="shared" si="278"/>
        <v>0</v>
      </c>
      <c r="T591" s="120">
        <f t="shared" si="278"/>
        <v>0</v>
      </c>
      <c r="U591" s="120">
        <f t="shared" si="278"/>
        <v>0</v>
      </c>
      <c r="V591" s="120">
        <f t="shared" si="278"/>
        <v>0</v>
      </c>
      <c r="W591" s="120">
        <f t="shared" si="278"/>
        <v>0</v>
      </c>
      <c r="X591" s="120">
        <f t="shared" si="278"/>
        <v>0</v>
      </c>
      <c r="Y591" s="120">
        <f t="shared" si="278"/>
        <v>0</v>
      </c>
      <c r="Z591" s="120">
        <f t="shared" si="278"/>
        <v>0</v>
      </c>
      <c r="AA591" s="120">
        <f t="shared" si="278"/>
        <v>0</v>
      </c>
      <c r="AB591" s="120">
        <f t="shared" si="278"/>
        <v>0</v>
      </c>
      <c r="AC591" s="120">
        <f t="shared" si="278"/>
        <v>0</v>
      </c>
      <c r="AD591" s="120">
        <f t="shared" si="278"/>
        <v>0</v>
      </c>
      <c r="AE591" s="120">
        <f t="shared" si="278"/>
        <v>0</v>
      </c>
      <c r="AF591" s="120">
        <f t="shared" si="278"/>
        <v>0</v>
      </c>
      <c r="AG591" s="120">
        <f t="shared" si="278"/>
        <v>0</v>
      </c>
      <c r="AH591" s="120">
        <f t="shared" si="278"/>
        <v>0</v>
      </c>
      <c r="AI591" s="120">
        <f t="shared" si="278"/>
        <v>0</v>
      </c>
      <c r="AJ591" s="120">
        <f t="shared" si="278"/>
        <v>0</v>
      </c>
      <c r="AK591" s="120">
        <f t="shared" si="278"/>
        <v>0</v>
      </c>
      <c r="AL591" s="120">
        <f t="shared" si="278"/>
        <v>0</v>
      </c>
      <c r="AM591" s="120">
        <f t="shared" si="278"/>
        <v>0</v>
      </c>
      <c r="AN591" s="120">
        <f t="shared" si="278"/>
        <v>0</v>
      </c>
      <c r="AO591" s="120">
        <f t="shared" si="278"/>
        <v>0</v>
      </c>
      <c r="AP591" s="120">
        <f t="shared" si="278"/>
        <v>0</v>
      </c>
    </row>
    <row r="592" spans="1:42" x14ac:dyDescent="0.2">
      <c r="A592" s="21" t="s">
        <v>12</v>
      </c>
      <c r="C592" s="119">
        <f>C590*C591</f>
        <v>0</v>
      </c>
      <c r="D592" s="119">
        <f t="shared" ref="D592:AP592" si="279">D590*D591</f>
        <v>0</v>
      </c>
      <c r="E592" s="119">
        <f t="shared" si="279"/>
        <v>0</v>
      </c>
      <c r="F592" s="119">
        <f t="shared" si="279"/>
        <v>0</v>
      </c>
      <c r="G592" s="119">
        <f t="shared" si="279"/>
        <v>0</v>
      </c>
      <c r="H592" s="119">
        <f t="shared" si="279"/>
        <v>0</v>
      </c>
      <c r="I592" s="119">
        <f t="shared" si="279"/>
        <v>0</v>
      </c>
      <c r="J592" s="119">
        <f t="shared" si="279"/>
        <v>0</v>
      </c>
      <c r="K592" s="119">
        <f t="shared" si="279"/>
        <v>0</v>
      </c>
      <c r="L592" s="119">
        <f t="shared" si="279"/>
        <v>0</v>
      </c>
      <c r="M592" s="119">
        <f t="shared" si="279"/>
        <v>0</v>
      </c>
      <c r="N592" s="119">
        <f t="shared" si="279"/>
        <v>0</v>
      </c>
      <c r="O592" s="119">
        <f t="shared" si="279"/>
        <v>0</v>
      </c>
      <c r="P592" s="119">
        <f t="shared" si="279"/>
        <v>0</v>
      </c>
      <c r="Q592" s="119">
        <f t="shared" si="279"/>
        <v>0</v>
      </c>
      <c r="R592" s="119">
        <f t="shared" si="279"/>
        <v>0</v>
      </c>
      <c r="S592" s="119">
        <f t="shared" si="279"/>
        <v>0</v>
      </c>
      <c r="T592" s="119">
        <f t="shared" si="279"/>
        <v>0</v>
      </c>
      <c r="U592" s="119">
        <f t="shared" si="279"/>
        <v>0</v>
      </c>
      <c r="V592" s="119">
        <f t="shared" si="279"/>
        <v>0</v>
      </c>
      <c r="W592" s="119">
        <f t="shared" si="279"/>
        <v>0</v>
      </c>
      <c r="X592" s="119">
        <f t="shared" si="279"/>
        <v>0</v>
      </c>
      <c r="Y592" s="119">
        <f t="shared" si="279"/>
        <v>0</v>
      </c>
      <c r="Z592" s="119">
        <f t="shared" si="279"/>
        <v>0</v>
      </c>
      <c r="AA592" s="119">
        <f t="shared" si="279"/>
        <v>0</v>
      </c>
      <c r="AB592" s="119">
        <f t="shared" si="279"/>
        <v>0</v>
      </c>
      <c r="AC592" s="119">
        <f t="shared" si="279"/>
        <v>0</v>
      </c>
      <c r="AD592" s="119">
        <f t="shared" si="279"/>
        <v>0</v>
      </c>
      <c r="AE592" s="119">
        <f t="shared" si="279"/>
        <v>0</v>
      </c>
      <c r="AF592" s="119">
        <f t="shared" si="279"/>
        <v>0</v>
      </c>
      <c r="AG592" s="119">
        <f t="shared" si="279"/>
        <v>0</v>
      </c>
      <c r="AH592" s="119">
        <f t="shared" si="279"/>
        <v>0</v>
      </c>
      <c r="AI592" s="119">
        <f t="shared" si="279"/>
        <v>0</v>
      </c>
      <c r="AJ592" s="119">
        <f t="shared" si="279"/>
        <v>0</v>
      </c>
      <c r="AK592" s="119">
        <f t="shared" si="279"/>
        <v>0</v>
      </c>
      <c r="AL592" s="119">
        <f t="shared" si="279"/>
        <v>0</v>
      </c>
      <c r="AM592" s="119">
        <f t="shared" si="279"/>
        <v>0</v>
      </c>
      <c r="AN592" s="119">
        <f t="shared" si="279"/>
        <v>0</v>
      </c>
      <c r="AO592" s="119">
        <f t="shared" si="279"/>
        <v>0</v>
      </c>
      <c r="AP592" s="119">
        <f t="shared" si="279"/>
        <v>0</v>
      </c>
    </row>
    <row r="593" spans="1:42" x14ac:dyDescent="0.2">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row>
    <row r="594" spans="1:42" x14ac:dyDescent="0.2">
      <c r="A594" s="4" t="s">
        <v>12</v>
      </c>
      <c r="C594" s="139">
        <f>C580+C584+C588+C592</f>
        <v>0</v>
      </c>
      <c r="D594" s="139">
        <f t="shared" ref="D594:AP594" si="280">D580+D584+D588+D592</f>
        <v>0</v>
      </c>
      <c r="E594" s="139">
        <f t="shared" si="280"/>
        <v>0</v>
      </c>
      <c r="F594" s="139">
        <f t="shared" si="280"/>
        <v>0</v>
      </c>
      <c r="G594" s="139">
        <f t="shared" si="280"/>
        <v>0</v>
      </c>
      <c r="H594" s="139">
        <f t="shared" si="280"/>
        <v>0</v>
      </c>
      <c r="I594" s="139">
        <f t="shared" si="280"/>
        <v>0</v>
      </c>
      <c r="J594" s="139">
        <f t="shared" si="280"/>
        <v>0</v>
      </c>
      <c r="K594" s="139">
        <f t="shared" si="280"/>
        <v>0</v>
      </c>
      <c r="L594" s="139">
        <f t="shared" si="280"/>
        <v>0</v>
      </c>
      <c r="M594" s="139">
        <f t="shared" si="280"/>
        <v>0</v>
      </c>
      <c r="N594" s="139">
        <f t="shared" si="280"/>
        <v>0</v>
      </c>
      <c r="O594" s="139">
        <f t="shared" si="280"/>
        <v>0</v>
      </c>
      <c r="P594" s="139">
        <f t="shared" si="280"/>
        <v>0</v>
      </c>
      <c r="Q594" s="139">
        <f t="shared" si="280"/>
        <v>0</v>
      </c>
      <c r="R594" s="139">
        <f t="shared" si="280"/>
        <v>0</v>
      </c>
      <c r="S594" s="139">
        <f t="shared" si="280"/>
        <v>0</v>
      </c>
      <c r="T594" s="139">
        <f t="shared" si="280"/>
        <v>0</v>
      </c>
      <c r="U594" s="139">
        <f t="shared" si="280"/>
        <v>0</v>
      </c>
      <c r="V594" s="139">
        <f t="shared" si="280"/>
        <v>0</v>
      </c>
      <c r="W594" s="139">
        <f t="shared" si="280"/>
        <v>0</v>
      </c>
      <c r="X594" s="139">
        <f t="shared" si="280"/>
        <v>0</v>
      </c>
      <c r="Y594" s="139">
        <f t="shared" si="280"/>
        <v>0</v>
      </c>
      <c r="Z594" s="139">
        <f t="shared" si="280"/>
        <v>0</v>
      </c>
      <c r="AA594" s="139">
        <f t="shared" si="280"/>
        <v>0</v>
      </c>
      <c r="AB594" s="139">
        <f t="shared" si="280"/>
        <v>0</v>
      </c>
      <c r="AC594" s="139">
        <f t="shared" si="280"/>
        <v>0</v>
      </c>
      <c r="AD594" s="139">
        <f t="shared" si="280"/>
        <v>0</v>
      </c>
      <c r="AE594" s="139">
        <f t="shared" si="280"/>
        <v>0</v>
      </c>
      <c r="AF594" s="139">
        <f t="shared" si="280"/>
        <v>0</v>
      </c>
      <c r="AG594" s="139">
        <f t="shared" si="280"/>
        <v>0</v>
      </c>
      <c r="AH594" s="139">
        <f t="shared" si="280"/>
        <v>0</v>
      </c>
      <c r="AI594" s="139">
        <f t="shared" si="280"/>
        <v>0</v>
      </c>
      <c r="AJ594" s="139">
        <f t="shared" si="280"/>
        <v>0</v>
      </c>
      <c r="AK594" s="139">
        <f t="shared" si="280"/>
        <v>0</v>
      </c>
      <c r="AL594" s="139">
        <f t="shared" si="280"/>
        <v>0</v>
      </c>
      <c r="AM594" s="139">
        <f t="shared" si="280"/>
        <v>0</v>
      </c>
      <c r="AN594" s="139">
        <f t="shared" si="280"/>
        <v>0</v>
      </c>
      <c r="AO594" s="139">
        <f t="shared" si="280"/>
        <v>0</v>
      </c>
      <c r="AP594" s="139">
        <f t="shared" si="280"/>
        <v>0</v>
      </c>
    </row>
    <row r="596" spans="1:42" x14ac:dyDescent="0.2">
      <c r="A596" s="80" t="s">
        <v>20</v>
      </c>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row>
    <row r="597" spans="1:42" x14ac:dyDescent="0.2">
      <c r="A597" s="17" t="s">
        <v>22</v>
      </c>
    </row>
    <row r="598" spans="1:42" x14ac:dyDescent="0.2">
      <c r="A598" s="21" t="s">
        <v>25</v>
      </c>
      <c r="B598" s="122"/>
      <c r="C598" s="119">
        <f>IF(C$616="N/A",IF(C$617="N/A",C$618+C$599,C$617),C$616)</f>
        <v>0</v>
      </c>
      <c r="D598" s="119">
        <f t="shared" ref="D598:AP598" si="281">IF(D$616="N/A",IF(D$617="N/A",D$618+D$599,D$617),D$616)</f>
        <v>0</v>
      </c>
      <c r="E598" s="119">
        <f t="shared" si="281"/>
        <v>0</v>
      </c>
      <c r="F598" s="119">
        <f t="shared" si="281"/>
        <v>0</v>
      </c>
      <c r="G598" s="119">
        <f t="shared" si="281"/>
        <v>0</v>
      </c>
      <c r="H598" s="119">
        <f t="shared" si="281"/>
        <v>0</v>
      </c>
      <c r="I598" s="119">
        <f t="shared" si="281"/>
        <v>0</v>
      </c>
      <c r="J598" s="119">
        <f t="shared" si="281"/>
        <v>0</v>
      </c>
      <c r="K598" s="119">
        <f t="shared" si="281"/>
        <v>0</v>
      </c>
      <c r="L598" s="119">
        <f t="shared" si="281"/>
        <v>0</v>
      </c>
      <c r="M598" s="119">
        <f t="shared" si="281"/>
        <v>0</v>
      </c>
      <c r="N598" s="119">
        <f t="shared" si="281"/>
        <v>0</v>
      </c>
      <c r="O598" s="119">
        <f t="shared" si="281"/>
        <v>0</v>
      </c>
      <c r="P598" s="119">
        <f t="shared" si="281"/>
        <v>0</v>
      </c>
      <c r="Q598" s="119">
        <f t="shared" si="281"/>
        <v>0</v>
      </c>
      <c r="R598" s="119">
        <f t="shared" si="281"/>
        <v>0</v>
      </c>
      <c r="S598" s="119">
        <f t="shared" si="281"/>
        <v>0</v>
      </c>
      <c r="T598" s="119">
        <f t="shared" si="281"/>
        <v>0</v>
      </c>
      <c r="U598" s="119">
        <f t="shared" si="281"/>
        <v>0</v>
      </c>
      <c r="V598" s="119">
        <f t="shared" si="281"/>
        <v>0</v>
      </c>
      <c r="W598" s="119">
        <f t="shared" si="281"/>
        <v>0</v>
      </c>
      <c r="X598" s="119">
        <f t="shared" si="281"/>
        <v>0</v>
      </c>
      <c r="Y598" s="119">
        <f t="shared" si="281"/>
        <v>0</v>
      </c>
      <c r="Z598" s="119">
        <f t="shared" si="281"/>
        <v>0</v>
      </c>
      <c r="AA598" s="119">
        <f t="shared" si="281"/>
        <v>0</v>
      </c>
      <c r="AB598" s="119">
        <f t="shared" si="281"/>
        <v>0</v>
      </c>
      <c r="AC598" s="119">
        <f t="shared" si="281"/>
        <v>0</v>
      </c>
      <c r="AD598" s="119">
        <f t="shared" si="281"/>
        <v>0</v>
      </c>
      <c r="AE598" s="119">
        <f t="shared" si="281"/>
        <v>0</v>
      </c>
      <c r="AF598" s="119">
        <f t="shared" si="281"/>
        <v>0</v>
      </c>
      <c r="AG598" s="119">
        <f t="shared" si="281"/>
        <v>0</v>
      </c>
      <c r="AH598" s="119">
        <f t="shared" si="281"/>
        <v>0</v>
      </c>
      <c r="AI598" s="119">
        <f t="shared" si="281"/>
        <v>0</v>
      </c>
      <c r="AJ598" s="119">
        <f t="shared" si="281"/>
        <v>0</v>
      </c>
      <c r="AK598" s="119">
        <f t="shared" si="281"/>
        <v>0</v>
      </c>
      <c r="AL598" s="119">
        <f t="shared" si="281"/>
        <v>0</v>
      </c>
      <c r="AM598" s="119">
        <f t="shared" si="281"/>
        <v>0</v>
      </c>
      <c r="AN598" s="119">
        <f t="shared" si="281"/>
        <v>0</v>
      </c>
      <c r="AO598" s="119">
        <f t="shared" si="281"/>
        <v>0</v>
      </c>
      <c r="AP598" s="119">
        <f t="shared" si="281"/>
        <v>0</v>
      </c>
    </row>
    <row r="599" spans="1:42" x14ac:dyDescent="0.2">
      <c r="A599" s="21" t="s">
        <v>168</v>
      </c>
      <c r="B599" s="119"/>
      <c r="C599" s="119">
        <f t="shared" ref="C599:AP599" si="282">IF(AND(C$2&lt;=term_tenor,C$2&lt;=analysis_period),B$601*term_int_rate/100,0)</f>
        <v>0</v>
      </c>
      <c r="D599" s="119">
        <f t="shared" si="282"/>
        <v>0</v>
      </c>
      <c r="E599" s="119">
        <f t="shared" si="282"/>
        <v>0</v>
      </c>
      <c r="F599" s="119">
        <f t="shared" si="282"/>
        <v>0</v>
      </c>
      <c r="G599" s="119">
        <f t="shared" si="282"/>
        <v>0</v>
      </c>
      <c r="H599" s="119">
        <f t="shared" si="282"/>
        <v>0</v>
      </c>
      <c r="I599" s="119">
        <f t="shared" si="282"/>
        <v>0</v>
      </c>
      <c r="J599" s="119">
        <f t="shared" si="282"/>
        <v>0</v>
      </c>
      <c r="K599" s="119">
        <f t="shared" si="282"/>
        <v>0</v>
      </c>
      <c r="L599" s="119">
        <f t="shared" si="282"/>
        <v>0</v>
      </c>
      <c r="M599" s="119">
        <f t="shared" si="282"/>
        <v>0</v>
      </c>
      <c r="N599" s="119">
        <f t="shared" si="282"/>
        <v>0</v>
      </c>
      <c r="O599" s="119">
        <f t="shared" si="282"/>
        <v>0</v>
      </c>
      <c r="P599" s="119">
        <f t="shared" si="282"/>
        <v>0</v>
      </c>
      <c r="Q599" s="119">
        <f t="shared" si="282"/>
        <v>0</v>
      </c>
      <c r="R599" s="119">
        <f t="shared" si="282"/>
        <v>0</v>
      </c>
      <c r="S599" s="119">
        <f t="shared" si="282"/>
        <v>0</v>
      </c>
      <c r="T599" s="119">
        <f t="shared" si="282"/>
        <v>0</v>
      </c>
      <c r="U599" s="119">
        <f t="shared" si="282"/>
        <v>0</v>
      </c>
      <c r="V599" s="119">
        <f t="shared" si="282"/>
        <v>0</v>
      </c>
      <c r="W599" s="119">
        <f t="shared" si="282"/>
        <v>0</v>
      </c>
      <c r="X599" s="119">
        <f t="shared" si="282"/>
        <v>0</v>
      </c>
      <c r="Y599" s="119">
        <f t="shared" si="282"/>
        <v>0</v>
      </c>
      <c r="Z599" s="119">
        <f t="shared" si="282"/>
        <v>0</v>
      </c>
      <c r="AA599" s="119">
        <f t="shared" si="282"/>
        <v>0</v>
      </c>
      <c r="AB599" s="119">
        <f t="shared" si="282"/>
        <v>0</v>
      </c>
      <c r="AC599" s="119">
        <f t="shared" si="282"/>
        <v>0</v>
      </c>
      <c r="AD599" s="119">
        <f t="shared" si="282"/>
        <v>0</v>
      </c>
      <c r="AE599" s="119">
        <f t="shared" si="282"/>
        <v>0</v>
      </c>
      <c r="AF599" s="119">
        <f t="shared" si="282"/>
        <v>0</v>
      </c>
      <c r="AG599" s="119">
        <f t="shared" si="282"/>
        <v>0</v>
      </c>
      <c r="AH599" s="119">
        <f t="shared" si="282"/>
        <v>0</v>
      </c>
      <c r="AI599" s="119">
        <f t="shared" si="282"/>
        <v>0</v>
      </c>
      <c r="AJ599" s="119">
        <f t="shared" si="282"/>
        <v>0</v>
      </c>
      <c r="AK599" s="119">
        <f t="shared" si="282"/>
        <v>0</v>
      </c>
      <c r="AL599" s="119">
        <f t="shared" si="282"/>
        <v>0</v>
      </c>
      <c r="AM599" s="119">
        <f t="shared" si="282"/>
        <v>0</v>
      </c>
      <c r="AN599" s="119">
        <f t="shared" si="282"/>
        <v>0</v>
      </c>
      <c r="AO599" s="119">
        <f t="shared" si="282"/>
        <v>0</v>
      </c>
      <c r="AP599" s="119">
        <f t="shared" si="282"/>
        <v>0</v>
      </c>
    </row>
    <row r="600" spans="1:42" x14ac:dyDescent="0.2">
      <c r="A600" s="21" t="s">
        <v>167</v>
      </c>
      <c r="B600" s="122"/>
      <c r="C600" s="119">
        <f t="shared" ref="C600:AP600" si="283">IF(C$618="N/A",IF(C$2&gt;loan_moratorium,C$598-C$599,0),C$618)</f>
        <v>0</v>
      </c>
      <c r="D600" s="119">
        <f t="shared" si="283"/>
        <v>0</v>
      </c>
      <c r="E600" s="119">
        <f t="shared" si="283"/>
        <v>0</v>
      </c>
      <c r="F600" s="119">
        <f t="shared" si="283"/>
        <v>0</v>
      </c>
      <c r="G600" s="119">
        <f t="shared" si="283"/>
        <v>0</v>
      </c>
      <c r="H600" s="119">
        <f t="shared" si="283"/>
        <v>0</v>
      </c>
      <c r="I600" s="119">
        <f t="shared" si="283"/>
        <v>0</v>
      </c>
      <c r="J600" s="119">
        <f t="shared" si="283"/>
        <v>0</v>
      </c>
      <c r="K600" s="119">
        <f t="shared" si="283"/>
        <v>0</v>
      </c>
      <c r="L600" s="119">
        <f t="shared" si="283"/>
        <v>0</v>
      </c>
      <c r="M600" s="119">
        <f t="shared" si="283"/>
        <v>0</v>
      </c>
      <c r="N600" s="119">
        <f t="shared" si="283"/>
        <v>0</v>
      </c>
      <c r="O600" s="119">
        <f t="shared" si="283"/>
        <v>0</v>
      </c>
      <c r="P600" s="119">
        <f t="shared" si="283"/>
        <v>0</v>
      </c>
      <c r="Q600" s="119">
        <f t="shared" si="283"/>
        <v>0</v>
      </c>
      <c r="R600" s="119">
        <f t="shared" si="283"/>
        <v>0</v>
      </c>
      <c r="S600" s="119">
        <f t="shared" si="283"/>
        <v>0</v>
      </c>
      <c r="T600" s="119">
        <f t="shared" si="283"/>
        <v>0</v>
      </c>
      <c r="U600" s="119">
        <f t="shared" si="283"/>
        <v>0</v>
      </c>
      <c r="V600" s="119">
        <f t="shared" si="283"/>
        <v>0</v>
      </c>
      <c r="W600" s="119">
        <f t="shared" si="283"/>
        <v>0</v>
      </c>
      <c r="X600" s="119">
        <f t="shared" si="283"/>
        <v>0</v>
      </c>
      <c r="Y600" s="119">
        <f t="shared" si="283"/>
        <v>0</v>
      </c>
      <c r="Z600" s="119">
        <f t="shared" si="283"/>
        <v>0</v>
      </c>
      <c r="AA600" s="119">
        <f t="shared" si="283"/>
        <v>0</v>
      </c>
      <c r="AB600" s="119">
        <f t="shared" si="283"/>
        <v>0</v>
      </c>
      <c r="AC600" s="119">
        <f t="shared" si="283"/>
        <v>0</v>
      </c>
      <c r="AD600" s="119">
        <f t="shared" si="283"/>
        <v>0</v>
      </c>
      <c r="AE600" s="119">
        <f t="shared" si="283"/>
        <v>0</v>
      </c>
      <c r="AF600" s="119">
        <f t="shared" si="283"/>
        <v>0</v>
      </c>
      <c r="AG600" s="119">
        <f t="shared" si="283"/>
        <v>0</v>
      </c>
      <c r="AH600" s="119">
        <f t="shared" si="283"/>
        <v>0</v>
      </c>
      <c r="AI600" s="119">
        <f t="shared" si="283"/>
        <v>0</v>
      </c>
      <c r="AJ600" s="119">
        <f t="shared" si="283"/>
        <v>0</v>
      </c>
      <c r="AK600" s="119">
        <f t="shared" si="283"/>
        <v>0</v>
      </c>
      <c r="AL600" s="119">
        <f t="shared" si="283"/>
        <v>0</v>
      </c>
      <c r="AM600" s="119">
        <f t="shared" si="283"/>
        <v>0</v>
      </c>
      <c r="AN600" s="119">
        <f t="shared" si="283"/>
        <v>0</v>
      </c>
      <c r="AO600" s="119">
        <f t="shared" si="283"/>
        <v>0</v>
      </c>
      <c r="AP600" s="119">
        <f t="shared" si="283"/>
        <v>0</v>
      </c>
    </row>
    <row r="601" spans="1:42" x14ac:dyDescent="0.2">
      <c r="A601" s="21" t="s">
        <v>232</v>
      </c>
      <c r="B601" s="119">
        <f>$B$613</f>
        <v>0</v>
      </c>
      <c r="C601" s="119">
        <f>B$601-C$600</f>
        <v>0</v>
      </c>
      <c r="D601" s="119">
        <f t="shared" ref="D601:AP601" si="284">C$601-D$600</f>
        <v>0</v>
      </c>
      <c r="E601" s="119">
        <f t="shared" si="284"/>
        <v>0</v>
      </c>
      <c r="F601" s="119">
        <f t="shared" si="284"/>
        <v>0</v>
      </c>
      <c r="G601" s="119">
        <f t="shared" si="284"/>
        <v>0</v>
      </c>
      <c r="H601" s="119">
        <f t="shared" si="284"/>
        <v>0</v>
      </c>
      <c r="I601" s="119">
        <f t="shared" si="284"/>
        <v>0</v>
      </c>
      <c r="J601" s="119">
        <f t="shared" si="284"/>
        <v>0</v>
      </c>
      <c r="K601" s="119">
        <f t="shared" si="284"/>
        <v>0</v>
      </c>
      <c r="L601" s="119">
        <f t="shared" si="284"/>
        <v>0</v>
      </c>
      <c r="M601" s="119">
        <f t="shared" si="284"/>
        <v>0</v>
      </c>
      <c r="N601" s="119">
        <f t="shared" si="284"/>
        <v>0</v>
      </c>
      <c r="O601" s="119">
        <f t="shared" si="284"/>
        <v>0</v>
      </c>
      <c r="P601" s="119">
        <f t="shared" si="284"/>
        <v>0</v>
      </c>
      <c r="Q601" s="119">
        <f t="shared" si="284"/>
        <v>0</v>
      </c>
      <c r="R601" s="119">
        <f t="shared" si="284"/>
        <v>0</v>
      </c>
      <c r="S601" s="119">
        <f t="shared" si="284"/>
        <v>0</v>
      </c>
      <c r="T601" s="119">
        <f t="shared" si="284"/>
        <v>0</v>
      </c>
      <c r="U601" s="119">
        <f t="shared" si="284"/>
        <v>0</v>
      </c>
      <c r="V601" s="119">
        <f t="shared" si="284"/>
        <v>0</v>
      </c>
      <c r="W601" s="119">
        <f t="shared" si="284"/>
        <v>0</v>
      </c>
      <c r="X601" s="119">
        <f t="shared" si="284"/>
        <v>0</v>
      </c>
      <c r="Y601" s="119">
        <f t="shared" si="284"/>
        <v>0</v>
      </c>
      <c r="Z601" s="119">
        <f t="shared" si="284"/>
        <v>0</v>
      </c>
      <c r="AA601" s="119">
        <f t="shared" si="284"/>
        <v>0</v>
      </c>
      <c r="AB601" s="119">
        <f t="shared" si="284"/>
        <v>0</v>
      </c>
      <c r="AC601" s="119">
        <f t="shared" si="284"/>
        <v>0</v>
      </c>
      <c r="AD601" s="119">
        <f t="shared" si="284"/>
        <v>0</v>
      </c>
      <c r="AE601" s="119">
        <f t="shared" si="284"/>
        <v>0</v>
      </c>
      <c r="AF601" s="119">
        <f t="shared" si="284"/>
        <v>0</v>
      </c>
      <c r="AG601" s="119">
        <f t="shared" si="284"/>
        <v>0</v>
      </c>
      <c r="AH601" s="119">
        <f t="shared" si="284"/>
        <v>0</v>
      </c>
      <c r="AI601" s="119">
        <f t="shared" si="284"/>
        <v>0</v>
      </c>
      <c r="AJ601" s="119">
        <f t="shared" si="284"/>
        <v>0</v>
      </c>
      <c r="AK601" s="119">
        <f t="shared" si="284"/>
        <v>0</v>
      </c>
      <c r="AL601" s="119">
        <f t="shared" si="284"/>
        <v>0</v>
      </c>
      <c r="AM601" s="119">
        <f t="shared" si="284"/>
        <v>0</v>
      </c>
      <c r="AN601" s="119">
        <f t="shared" si="284"/>
        <v>0</v>
      </c>
      <c r="AO601" s="119">
        <f t="shared" si="284"/>
        <v>0</v>
      </c>
      <c r="AP601" s="119">
        <f t="shared" si="284"/>
        <v>0</v>
      </c>
    </row>
    <row r="602" spans="1:42" x14ac:dyDescent="0.2">
      <c r="B602" s="119"/>
      <c r="C602" s="119"/>
    </row>
    <row r="603" spans="1:42" x14ac:dyDescent="0.2">
      <c r="A603" s="17" t="s">
        <v>240</v>
      </c>
    </row>
    <row r="604" spans="1:42" x14ac:dyDescent="0.2">
      <c r="A604" s="21" t="s">
        <v>27</v>
      </c>
      <c r="B604" s="122"/>
      <c r="C604" s="119">
        <f t="shared" ref="C604:AP604" si="285">IF(AND(C$2&lt;=term_tenor,C$2&lt;=analysis_period),C66,0)</f>
        <v>0</v>
      </c>
      <c r="D604" s="119">
        <f t="shared" si="285"/>
        <v>0</v>
      </c>
      <c r="E604" s="119">
        <f t="shared" si="285"/>
        <v>0</v>
      </c>
      <c r="F604" s="119">
        <f t="shared" si="285"/>
        <v>0</v>
      </c>
      <c r="G604" s="119">
        <f t="shared" si="285"/>
        <v>0</v>
      </c>
      <c r="H604" s="119">
        <f t="shared" si="285"/>
        <v>0</v>
      </c>
      <c r="I604" s="119">
        <f t="shared" si="285"/>
        <v>0</v>
      </c>
      <c r="J604" s="119">
        <f t="shared" si="285"/>
        <v>0</v>
      </c>
      <c r="K604" s="119">
        <f t="shared" si="285"/>
        <v>0</v>
      </c>
      <c r="L604" s="119">
        <f t="shared" si="285"/>
        <v>0</v>
      </c>
      <c r="M604" s="119">
        <f t="shared" si="285"/>
        <v>0</v>
      </c>
      <c r="N604" s="119">
        <f t="shared" si="285"/>
        <v>0</v>
      </c>
      <c r="O604" s="119">
        <f t="shared" si="285"/>
        <v>0</v>
      </c>
      <c r="P604" s="119">
        <f t="shared" si="285"/>
        <v>0</v>
      </c>
      <c r="Q604" s="119">
        <f t="shared" si="285"/>
        <v>0</v>
      </c>
      <c r="R604" s="119">
        <f t="shared" si="285"/>
        <v>0</v>
      </c>
      <c r="S604" s="119">
        <f t="shared" si="285"/>
        <v>0</v>
      </c>
      <c r="T604" s="119">
        <f t="shared" si="285"/>
        <v>0</v>
      </c>
      <c r="U604" s="119">
        <f t="shared" si="285"/>
        <v>0</v>
      </c>
      <c r="V604" s="119">
        <f t="shared" si="285"/>
        <v>0</v>
      </c>
      <c r="W604" s="119">
        <f t="shared" si="285"/>
        <v>0</v>
      </c>
      <c r="X604" s="119">
        <f t="shared" si="285"/>
        <v>0</v>
      </c>
      <c r="Y604" s="119">
        <f t="shared" si="285"/>
        <v>0</v>
      </c>
      <c r="Z604" s="119">
        <f t="shared" si="285"/>
        <v>0</v>
      </c>
      <c r="AA604" s="119">
        <f t="shared" si="285"/>
        <v>0</v>
      </c>
      <c r="AB604" s="119">
        <f t="shared" si="285"/>
        <v>0</v>
      </c>
      <c r="AC604" s="119">
        <f t="shared" si="285"/>
        <v>0</v>
      </c>
      <c r="AD604" s="119">
        <f t="shared" si="285"/>
        <v>0</v>
      </c>
      <c r="AE604" s="119">
        <f t="shared" si="285"/>
        <v>0</v>
      </c>
      <c r="AF604" s="119">
        <f t="shared" si="285"/>
        <v>0</v>
      </c>
      <c r="AG604" s="119">
        <f t="shared" si="285"/>
        <v>0</v>
      </c>
      <c r="AH604" s="119">
        <f t="shared" si="285"/>
        <v>0</v>
      </c>
      <c r="AI604" s="119">
        <f t="shared" si="285"/>
        <v>0</v>
      </c>
      <c r="AJ604" s="119">
        <f t="shared" si="285"/>
        <v>0</v>
      </c>
      <c r="AK604" s="119">
        <f t="shared" si="285"/>
        <v>0</v>
      </c>
      <c r="AL604" s="119">
        <f t="shared" si="285"/>
        <v>0</v>
      </c>
      <c r="AM604" s="119">
        <f t="shared" si="285"/>
        <v>0</v>
      </c>
      <c r="AN604" s="119">
        <f t="shared" si="285"/>
        <v>0</v>
      </c>
      <c r="AO604" s="119">
        <f t="shared" si="285"/>
        <v>0</v>
      </c>
      <c r="AP604" s="119">
        <f t="shared" si="285"/>
        <v>0</v>
      </c>
    </row>
    <row r="605" spans="1:42" x14ac:dyDescent="0.2">
      <c r="A605" s="21" t="s">
        <v>291</v>
      </c>
      <c r="B605" s="119">
        <f t="shared" ref="B605:AP605" si="286">IF(AND(B$2&lt;=term_tenor,B$2&lt;=analysis_period),-B638-B644-B676-B708,0)</f>
        <v>0</v>
      </c>
      <c r="C605" s="119">
        <f t="shared" si="286"/>
        <v>0</v>
      </c>
      <c r="D605" s="119">
        <f t="shared" si="286"/>
        <v>0</v>
      </c>
      <c r="E605" s="119">
        <f t="shared" si="286"/>
        <v>0</v>
      </c>
      <c r="F605" s="119">
        <f t="shared" si="286"/>
        <v>0</v>
      </c>
      <c r="G605" s="119">
        <f t="shared" si="286"/>
        <v>0</v>
      </c>
      <c r="H605" s="119">
        <f t="shared" si="286"/>
        <v>0</v>
      </c>
      <c r="I605" s="119">
        <f t="shared" si="286"/>
        <v>0</v>
      </c>
      <c r="J605" s="119">
        <f t="shared" si="286"/>
        <v>0</v>
      </c>
      <c r="K605" s="119">
        <f t="shared" si="286"/>
        <v>0</v>
      </c>
      <c r="L605" s="119">
        <f t="shared" si="286"/>
        <v>0</v>
      </c>
      <c r="M605" s="119">
        <f t="shared" si="286"/>
        <v>0</v>
      </c>
      <c r="N605" s="119">
        <f t="shared" si="286"/>
        <v>0</v>
      </c>
      <c r="O605" s="119">
        <f t="shared" si="286"/>
        <v>0</v>
      </c>
      <c r="P605" s="119">
        <f t="shared" si="286"/>
        <v>0</v>
      </c>
      <c r="Q605" s="119">
        <f t="shared" si="286"/>
        <v>0</v>
      </c>
      <c r="R605" s="119">
        <f t="shared" si="286"/>
        <v>0</v>
      </c>
      <c r="S605" s="119">
        <f t="shared" si="286"/>
        <v>0</v>
      </c>
      <c r="T605" s="119">
        <f t="shared" si="286"/>
        <v>0</v>
      </c>
      <c r="U605" s="119">
        <f t="shared" si="286"/>
        <v>0</v>
      </c>
      <c r="V605" s="119">
        <f t="shared" si="286"/>
        <v>0</v>
      </c>
      <c r="W605" s="119">
        <f t="shared" si="286"/>
        <v>0</v>
      </c>
      <c r="X605" s="119">
        <f t="shared" si="286"/>
        <v>0</v>
      </c>
      <c r="Y605" s="119">
        <f t="shared" si="286"/>
        <v>0</v>
      </c>
      <c r="Z605" s="119">
        <f t="shared" si="286"/>
        <v>0</v>
      </c>
      <c r="AA605" s="119">
        <f t="shared" si="286"/>
        <v>0</v>
      </c>
      <c r="AB605" s="119">
        <f t="shared" si="286"/>
        <v>0</v>
      </c>
      <c r="AC605" s="119">
        <f t="shared" si="286"/>
        <v>0</v>
      </c>
      <c r="AD605" s="119">
        <f t="shared" si="286"/>
        <v>0</v>
      </c>
      <c r="AE605" s="119">
        <f t="shared" si="286"/>
        <v>0</v>
      </c>
      <c r="AF605" s="119">
        <f t="shared" si="286"/>
        <v>0</v>
      </c>
      <c r="AG605" s="119">
        <f t="shared" si="286"/>
        <v>0</v>
      </c>
      <c r="AH605" s="119">
        <f t="shared" si="286"/>
        <v>0</v>
      </c>
      <c r="AI605" s="119">
        <f t="shared" si="286"/>
        <v>0</v>
      </c>
      <c r="AJ605" s="119">
        <f t="shared" si="286"/>
        <v>0</v>
      </c>
      <c r="AK605" s="119">
        <f t="shared" si="286"/>
        <v>0</v>
      </c>
      <c r="AL605" s="119">
        <f t="shared" si="286"/>
        <v>0</v>
      </c>
      <c r="AM605" s="119">
        <f t="shared" si="286"/>
        <v>0</v>
      </c>
      <c r="AN605" s="119">
        <f t="shared" si="286"/>
        <v>0</v>
      </c>
      <c r="AO605" s="119">
        <f t="shared" si="286"/>
        <v>0</v>
      </c>
      <c r="AP605" s="119">
        <f t="shared" si="286"/>
        <v>0</v>
      </c>
    </row>
    <row r="606" spans="1:42" x14ac:dyDescent="0.2">
      <c r="A606" s="21" t="s">
        <v>242</v>
      </c>
      <c r="B606" s="119">
        <f>SUM(B604:B605)</f>
        <v>0</v>
      </c>
      <c r="C606" s="119">
        <f>SUM(C604:C605)</f>
        <v>0</v>
      </c>
      <c r="D606" s="119">
        <f t="shared" ref="D606:AP606" si="287">SUM(D604:D605)</f>
        <v>0</v>
      </c>
      <c r="E606" s="119">
        <f t="shared" si="287"/>
        <v>0</v>
      </c>
      <c r="F606" s="119">
        <f t="shared" si="287"/>
        <v>0</v>
      </c>
      <c r="G606" s="119">
        <f t="shared" si="287"/>
        <v>0</v>
      </c>
      <c r="H606" s="119">
        <f t="shared" si="287"/>
        <v>0</v>
      </c>
      <c r="I606" s="119">
        <f t="shared" si="287"/>
        <v>0</v>
      </c>
      <c r="J606" s="119">
        <f t="shared" si="287"/>
        <v>0</v>
      </c>
      <c r="K606" s="119">
        <f t="shared" si="287"/>
        <v>0</v>
      </c>
      <c r="L606" s="119">
        <f t="shared" si="287"/>
        <v>0</v>
      </c>
      <c r="M606" s="119">
        <f t="shared" si="287"/>
        <v>0</v>
      </c>
      <c r="N606" s="119">
        <f t="shared" si="287"/>
        <v>0</v>
      </c>
      <c r="O606" s="119">
        <f t="shared" si="287"/>
        <v>0</v>
      </c>
      <c r="P606" s="119">
        <f t="shared" si="287"/>
        <v>0</v>
      </c>
      <c r="Q606" s="119">
        <f t="shared" si="287"/>
        <v>0</v>
      </c>
      <c r="R606" s="119">
        <f t="shared" si="287"/>
        <v>0</v>
      </c>
      <c r="S606" s="119">
        <f t="shared" si="287"/>
        <v>0</v>
      </c>
      <c r="T606" s="119">
        <f t="shared" si="287"/>
        <v>0</v>
      </c>
      <c r="U606" s="119">
        <f t="shared" si="287"/>
        <v>0</v>
      </c>
      <c r="V606" s="119">
        <f t="shared" si="287"/>
        <v>0</v>
      </c>
      <c r="W606" s="119">
        <f t="shared" si="287"/>
        <v>0</v>
      </c>
      <c r="X606" s="119">
        <f t="shared" si="287"/>
        <v>0</v>
      </c>
      <c r="Y606" s="119">
        <f t="shared" si="287"/>
        <v>0</v>
      </c>
      <c r="Z606" s="119">
        <f t="shared" si="287"/>
        <v>0</v>
      </c>
      <c r="AA606" s="119">
        <f t="shared" si="287"/>
        <v>0</v>
      </c>
      <c r="AB606" s="119">
        <f t="shared" si="287"/>
        <v>0</v>
      </c>
      <c r="AC606" s="119">
        <f t="shared" si="287"/>
        <v>0</v>
      </c>
      <c r="AD606" s="119">
        <f t="shared" si="287"/>
        <v>0</v>
      </c>
      <c r="AE606" s="119">
        <f t="shared" si="287"/>
        <v>0</v>
      </c>
      <c r="AF606" s="119">
        <f t="shared" si="287"/>
        <v>0</v>
      </c>
      <c r="AG606" s="119">
        <f t="shared" si="287"/>
        <v>0</v>
      </c>
      <c r="AH606" s="119">
        <f t="shared" si="287"/>
        <v>0</v>
      </c>
      <c r="AI606" s="119">
        <f t="shared" si="287"/>
        <v>0</v>
      </c>
      <c r="AJ606" s="119">
        <f t="shared" si="287"/>
        <v>0</v>
      </c>
      <c r="AK606" s="119">
        <f t="shared" si="287"/>
        <v>0</v>
      </c>
      <c r="AL606" s="119">
        <f t="shared" si="287"/>
        <v>0</v>
      </c>
      <c r="AM606" s="119">
        <f t="shared" si="287"/>
        <v>0</v>
      </c>
      <c r="AN606" s="119">
        <f t="shared" si="287"/>
        <v>0</v>
      </c>
      <c r="AO606" s="119">
        <f t="shared" si="287"/>
        <v>0</v>
      </c>
      <c r="AP606" s="119">
        <f t="shared" si="287"/>
        <v>0</v>
      </c>
    </row>
    <row r="607" spans="1:42" x14ac:dyDescent="0.2">
      <c r="A607" s="21" t="s">
        <v>243</v>
      </c>
      <c r="B607" s="195">
        <f>IF(AND(B$2&lt;=term_tenor,B$2&lt;=analysis_period),1/(1+term_int_rate/100),0)</f>
        <v>1</v>
      </c>
      <c r="C607" s="195">
        <f>IF(AND(C$2&lt;=term_tenor,C$2&lt;=analysis_period),1/(1+term_int_rate/100),0)</f>
        <v>0</v>
      </c>
      <c r="D607" s="195">
        <f t="shared" ref="D607:AP607" si="288">IF(AND(C$2&lt;=term_tenor,C$2&lt;=analysis_period),C607/(1+term_int_rate/100),0)</f>
        <v>0</v>
      </c>
      <c r="E607" s="195">
        <f t="shared" si="288"/>
        <v>0</v>
      </c>
      <c r="F607" s="195">
        <f t="shared" si="288"/>
        <v>0</v>
      </c>
      <c r="G607" s="195">
        <f t="shared" si="288"/>
        <v>0</v>
      </c>
      <c r="H607" s="195">
        <f t="shared" si="288"/>
        <v>0</v>
      </c>
      <c r="I607" s="195">
        <f t="shared" si="288"/>
        <v>0</v>
      </c>
      <c r="J607" s="195">
        <f t="shared" si="288"/>
        <v>0</v>
      </c>
      <c r="K607" s="195">
        <f t="shared" si="288"/>
        <v>0</v>
      </c>
      <c r="L607" s="195">
        <f t="shared" si="288"/>
        <v>0</v>
      </c>
      <c r="M607" s="195">
        <f t="shared" si="288"/>
        <v>0</v>
      </c>
      <c r="N607" s="195">
        <f t="shared" si="288"/>
        <v>0</v>
      </c>
      <c r="O607" s="195">
        <f t="shared" si="288"/>
        <v>0</v>
      </c>
      <c r="P607" s="195">
        <f t="shared" si="288"/>
        <v>0</v>
      </c>
      <c r="Q607" s="195">
        <f t="shared" si="288"/>
        <v>0</v>
      </c>
      <c r="R607" s="195">
        <f t="shared" si="288"/>
        <v>0</v>
      </c>
      <c r="S607" s="195">
        <f t="shared" si="288"/>
        <v>0</v>
      </c>
      <c r="T607" s="195">
        <f t="shared" si="288"/>
        <v>0</v>
      </c>
      <c r="U607" s="195">
        <f t="shared" si="288"/>
        <v>0</v>
      </c>
      <c r="V607" s="195">
        <f t="shared" si="288"/>
        <v>0</v>
      </c>
      <c r="W607" s="195">
        <f t="shared" si="288"/>
        <v>0</v>
      </c>
      <c r="X607" s="195">
        <f t="shared" si="288"/>
        <v>0</v>
      </c>
      <c r="Y607" s="195">
        <f t="shared" si="288"/>
        <v>0</v>
      </c>
      <c r="Z607" s="195">
        <f t="shared" si="288"/>
        <v>0</v>
      </c>
      <c r="AA607" s="195">
        <f t="shared" si="288"/>
        <v>0</v>
      </c>
      <c r="AB607" s="195">
        <f t="shared" si="288"/>
        <v>0</v>
      </c>
      <c r="AC607" s="195">
        <f t="shared" si="288"/>
        <v>0</v>
      </c>
      <c r="AD607" s="195">
        <f t="shared" si="288"/>
        <v>0</v>
      </c>
      <c r="AE607" s="195">
        <f t="shared" si="288"/>
        <v>0</v>
      </c>
      <c r="AF607" s="195">
        <f t="shared" si="288"/>
        <v>0</v>
      </c>
      <c r="AG607" s="195">
        <f t="shared" si="288"/>
        <v>0</v>
      </c>
      <c r="AH607" s="195">
        <f t="shared" si="288"/>
        <v>0</v>
      </c>
      <c r="AI607" s="195">
        <f t="shared" si="288"/>
        <v>0</v>
      </c>
      <c r="AJ607" s="195">
        <f t="shared" si="288"/>
        <v>0</v>
      </c>
      <c r="AK607" s="195">
        <f t="shared" si="288"/>
        <v>0</v>
      </c>
      <c r="AL607" s="195">
        <f t="shared" si="288"/>
        <v>0</v>
      </c>
      <c r="AM607" s="195">
        <f t="shared" si="288"/>
        <v>0</v>
      </c>
      <c r="AN607" s="195">
        <f t="shared" si="288"/>
        <v>0</v>
      </c>
      <c r="AO607" s="195">
        <f t="shared" si="288"/>
        <v>0</v>
      </c>
      <c r="AP607" s="195">
        <f t="shared" si="288"/>
        <v>0</v>
      </c>
    </row>
    <row r="608" spans="1:42" x14ac:dyDescent="0.2">
      <c r="A608" s="21" t="s">
        <v>241</v>
      </c>
      <c r="B608" s="119">
        <f>B606*B607</f>
        <v>0</v>
      </c>
      <c r="C608" s="119">
        <f>C606*C607</f>
        <v>0</v>
      </c>
      <c r="D608" s="119">
        <f t="shared" ref="D608:AP608" si="289">D606*D607</f>
        <v>0</v>
      </c>
      <c r="E608" s="119">
        <f t="shared" si="289"/>
        <v>0</v>
      </c>
      <c r="F608" s="119">
        <f t="shared" si="289"/>
        <v>0</v>
      </c>
      <c r="G608" s="119">
        <f t="shared" si="289"/>
        <v>0</v>
      </c>
      <c r="H608" s="119">
        <f t="shared" si="289"/>
        <v>0</v>
      </c>
      <c r="I608" s="119">
        <f t="shared" si="289"/>
        <v>0</v>
      </c>
      <c r="J608" s="119">
        <f t="shared" si="289"/>
        <v>0</v>
      </c>
      <c r="K608" s="119">
        <f t="shared" si="289"/>
        <v>0</v>
      </c>
      <c r="L608" s="119">
        <f t="shared" si="289"/>
        <v>0</v>
      </c>
      <c r="M608" s="119">
        <f t="shared" si="289"/>
        <v>0</v>
      </c>
      <c r="N608" s="119">
        <f t="shared" si="289"/>
        <v>0</v>
      </c>
      <c r="O608" s="119">
        <f t="shared" si="289"/>
        <v>0</v>
      </c>
      <c r="P608" s="119">
        <f t="shared" si="289"/>
        <v>0</v>
      </c>
      <c r="Q608" s="119">
        <f t="shared" si="289"/>
        <v>0</v>
      </c>
      <c r="R608" s="119">
        <f t="shared" si="289"/>
        <v>0</v>
      </c>
      <c r="S608" s="119">
        <f t="shared" si="289"/>
        <v>0</v>
      </c>
      <c r="T608" s="119">
        <f t="shared" si="289"/>
        <v>0</v>
      </c>
      <c r="U608" s="119">
        <f t="shared" si="289"/>
        <v>0</v>
      </c>
      <c r="V608" s="119">
        <f t="shared" si="289"/>
        <v>0</v>
      </c>
      <c r="W608" s="119">
        <f t="shared" si="289"/>
        <v>0</v>
      </c>
      <c r="X608" s="119">
        <f t="shared" si="289"/>
        <v>0</v>
      </c>
      <c r="Y608" s="119">
        <f t="shared" si="289"/>
        <v>0</v>
      </c>
      <c r="Z608" s="119">
        <f t="shared" si="289"/>
        <v>0</v>
      </c>
      <c r="AA608" s="119">
        <f t="shared" si="289"/>
        <v>0</v>
      </c>
      <c r="AB608" s="119">
        <f t="shared" si="289"/>
        <v>0</v>
      </c>
      <c r="AC608" s="119">
        <f t="shared" si="289"/>
        <v>0</v>
      </c>
      <c r="AD608" s="119">
        <f t="shared" si="289"/>
        <v>0</v>
      </c>
      <c r="AE608" s="119">
        <f t="shared" si="289"/>
        <v>0</v>
      </c>
      <c r="AF608" s="119">
        <f t="shared" si="289"/>
        <v>0</v>
      </c>
      <c r="AG608" s="119">
        <f t="shared" si="289"/>
        <v>0</v>
      </c>
      <c r="AH608" s="119">
        <f t="shared" si="289"/>
        <v>0</v>
      </c>
      <c r="AI608" s="119">
        <f t="shared" si="289"/>
        <v>0</v>
      </c>
      <c r="AJ608" s="119">
        <f t="shared" si="289"/>
        <v>0</v>
      </c>
      <c r="AK608" s="119">
        <f t="shared" si="289"/>
        <v>0</v>
      </c>
      <c r="AL608" s="119">
        <f t="shared" si="289"/>
        <v>0</v>
      </c>
      <c r="AM608" s="119">
        <f t="shared" si="289"/>
        <v>0</v>
      </c>
      <c r="AN608" s="119">
        <f t="shared" si="289"/>
        <v>0</v>
      </c>
      <c r="AO608" s="119">
        <f t="shared" si="289"/>
        <v>0</v>
      </c>
      <c r="AP608" s="119">
        <f t="shared" si="289"/>
        <v>0</v>
      </c>
    </row>
    <row r="609" spans="1:42" x14ac:dyDescent="0.2">
      <c r="A609" s="21"/>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row>
    <row r="610" spans="1:42" x14ac:dyDescent="0.2">
      <c r="A610" s="17" t="s">
        <v>233</v>
      </c>
      <c r="B610" s="119"/>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row>
    <row r="611" spans="1:42" x14ac:dyDescent="0.2">
      <c r="A611" s="21" t="s">
        <v>267</v>
      </c>
      <c r="B611" s="119">
        <f t="shared" ref="B611:AP611" si="290">IF(DebtServiceCoverageRatio="Calculated","N/A",IF(AND(B$2&lt;=term_tenor,B$2&lt;=analysis_period),IF(B$620=0,0,B$608/B$620),0))</f>
        <v>0</v>
      </c>
      <c r="C611" s="119">
        <f t="shared" si="290"/>
        <v>0</v>
      </c>
      <c r="D611" s="119">
        <f t="shared" si="290"/>
        <v>0</v>
      </c>
      <c r="E611" s="119">
        <f t="shared" si="290"/>
        <v>0</v>
      </c>
      <c r="F611" s="119">
        <f t="shared" si="290"/>
        <v>0</v>
      </c>
      <c r="G611" s="119">
        <f t="shared" si="290"/>
        <v>0</v>
      </c>
      <c r="H611" s="119">
        <f t="shared" si="290"/>
        <v>0</v>
      </c>
      <c r="I611" s="119">
        <f t="shared" si="290"/>
        <v>0</v>
      </c>
      <c r="J611" s="119">
        <f t="shared" si="290"/>
        <v>0</v>
      </c>
      <c r="K611" s="119">
        <f t="shared" si="290"/>
        <v>0</v>
      </c>
      <c r="L611" s="119">
        <f t="shared" si="290"/>
        <v>0</v>
      </c>
      <c r="M611" s="119">
        <f t="shared" si="290"/>
        <v>0</v>
      </c>
      <c r="N611" s="119">
        <f t="shared" si="290"/>
        <v>0</v>
      </c>
      <c r="O611" s="119">
        <f t="shared" si="290"/>
        <v>0</v>
      </c>
      <c r="P611" s="119">
        <f t="shared" si="290"/>
        <v>0</v>
      </c>
      <c r="Q611" s="119">
        <f t="shared" si="290"/>
        <v>0</v>
      </c>
      <c r="R611" s="119">
        <f t="shared" si="290"/>
        <v>0</v>
      </c>
      <c r="S611" s="119">
        <f t="shared" si="290"/>
        <v>0</v>
      </c>
      <c r="T611" s="119">
        <f t="shared" si="290"/>
        <v>0</v>
      </c>
      <c r="U611" s="119">
        <f t="shared" si="290"/>
        <v>0</v>
      </c>
      <c r="V611" s="119">
        <f t="shared" si="290"/>
        <v>0</v>
      </c>
      <c r="W611" s="119">
        <f t="shared" si="290"/>
        <v>0</v>
      </c>
      <c r="X611" s="119">
        <f t="shared" si="290"/>
        <v>0</v>
      </c>
      <c r="Y611" s="119">
        <f t="shared" si="290"/>
        <v>0</v>
      </c>
      <c r="Z611" s="119">
        <f t="shared" si="290"/>
        <v>0</v>
      </c>
      <c r="AA611" s="119">
        <f t="shared" si="290"/>
        <v>0</v>
      </c>
      <c r="AB611" s="119">
        <f t="shared" si="290"/>
        <v>0</v>
      </c>
      <c r="AC611" s="119">
        <f t="shared" si="290"/>
        <v>0</v>
      </c>
      <c r="AD611" s="119">
        <f t="shared" si="290"/>
        <v>0</v>
      </c>
      <c r="AE611" s="119">
        <f t="shared" si="290"/>
        <v>0</v>
      </c>
      <c r="AF611" s="119">
        <f t="shared" si="290"/>
        <v>0</v>
      </c>
      <c r="AG611" s="119">
        <f t="shared" si="290"/>
        <v>0</v>
      </c>
      <c r="AH611" s="119">
        <f t="shared" si="290"/>
        <v>0</v>
      </c>
      <c r="AI611" s="119">
        <f t="shared" si="290"/>
        <v>0</v>
      </c>
      <c r="AJ611" s="119">
        <f t="shared" si="290"/>
        <v>0</v>
      </c>
      <c r="AK611" s="119">
        <f t="shared" si="290"/>
        <v>0</v>
      </c>
      <c r="AL611" s="119">
        <f t="shared" si="290"/>
        <v>0</v>
      </c>
      <c r="AM611" s="119">
        <f t="shared" si="290"/>
        <v>0</v>
      </c>
      <c r="AN611" s="119">
        <f t="shared" si="290"/>
        <v>0</v>
      </c>
      <c r="AO611" s="119">
        <f t="shared" si="290"/>
        <v>0</v>
      </c>
      <c r="AP611" s="119">
        <f t="shared" si="290"/>
        <v>0</v>
      </c>
    </row>
    <row r="612" spans="1:42" x14ac:dyDescent="0.2">
      <c r="A612" s="87" t="s">
        <v>353</v>
      </c>
      <c r="B612" s="119">
        <f t="shared" ref="B612:AP612" si="291">IF(dscr_limit_debt_fraction="Yes",B$608/B$621,B$611)</f>
        <v>0</v>
      </c>
      <c r="C612" s="119">
        <f t="shared" si="291"/>
        <v>0</v>
      </c>
      <c r="D612" s="119">
        <f t="shared" si="291"/>
        <v>0</v>
      </c>
      <c r="E612" s="119">
        <f t="shared" si="291"/>
        <v>0</v>
      </c>
      <c r="F612" s="119">
        <f t="shared" si="291"/>
        <v>0</v>
      </c>
      <c r="G612" s="119">
        <f t="shared" si="291"/>
        <v>0</v>
      </c>
      <c r="H612" s="119">
        <f t="shared" si="291"/>
        <v>0</v>
      </c>
      <c r="I612" s="119">
        <f t="shared" si="291"/>
        <v>0</v>
      </c>
      <c r="J612" s="119">
        <f t="shared" si="291"/>
        <v>0</v>
      </c>
      <c r="K612" s="119">
        <f t="shared" si="291"/>
        <v>0</v>
      </c>
      <c r="L612" s="119">
        <f t="shared" si="291"/>
        <v>0</v>
      </c>
      <c r="M612" s="119">
        <f t="shared" si="291"/>
        <v>0</v>
      </c>
      <c r="N612" s="119">
        <f t="shared" si="291"/>
        <v>0</v>
      </c>
      <c r="O612" s="119">
        <f t="shared" si="291"/>
        <v>0</v>
      </c>
      <c r="P612" s="119">
        <f t="shared" si="291"/>
        <v>0</v>
      </c>
      <c r="Q612" s="119">
        <f t="shared" si="291"/>
        <v>0</v>
      </c>
      <c r="R612" s="119">
        <f t="shared" si="291"/>
        <v>0</v>
      </c>
      <c r="S612" s="119">
        <f t="shared" si="291"/>
        <v>0</v>
      </c>
      <c r="T612" s="119">
        <f t="shared" si="291"/>
        <v>0</v>
      </c>
      <c r="U612" s="119">
        <f t="shared" si="291"/>
        <v>0</v>
      </c>
      <c r="V612" s="119">
        <f t="shared" si="291"/>
        <v>0</v>
      </c>
      <c r="W612" s="119">
        <f t="shared" si="291"/>
        <v>0</v>
      </c>
      <c r="X612" s="119">
        <f t="shared" si="291"/>
        <v>0</v>
      </c>
      <c r="Y612" s="119">
        <f t="shared" si="291"/>
        <v>0</v>
      </c>
      <c r="Z612" s="119">
        <f t="shared" si="291"/>
        <v>0</v>
      </c>
      <c r="AA612" s="119">
        <f t="shared" si="291"/>
        <v>0</v>
      </c>
      <c r="AB612" s="119">
        <f t="shared" si="291"/>
        <v>0</v>
      </c>
      <c r="AC612" s="119">
        <f t="shared" si="291"/>
        <v>0</v>
      </c>
      <c r="AD612" s="119">
        <f t="shared" si="291"/>
        <v>0</v>
      </c>
      <c r="AE612" s="119">
        <f t="shared" si="291"/>
        <v>0</v>
      </c>
      <c r="AF612" s="119">
        <f t="shared" si="291"/>
        <v>0</v>
      </c>
      <c r="AG612" s="119">
        <f t="shared" si="291"/>
        <v>0</v>
      </c>
      <c r="AH612" s="119">
        <f t="shared" si="291"/>
        <v>0</v>
      </c>
      <c r="AI612" s="119">
        <f t="shared" si="291"/>
        <v>0</v>
      </c>
      <c r="AJ612" s="119">
        <f t="shared" si="291"/>
        <v>0</v>
      </c>
      <c r="AK612" s="119">
        <f t="shared" si="291"/>
        <v>0</v>
      </c>
      <c r="AL612" s="119">
        <f t="shared" si="291"/>
        <v>0</v>
      </c>
      <c r="AM612" s="119">
        <f t="shared" si="291"/>
        <v>0</v>
      </c>
      <c r="AN612" s="119">
        <f t="shared" si="291"/>
        <v>0</v>
      </c>
      <c r="AO612" s="119">
        <f t="shared" si="291"/>
        <v>0</v>
      </c>
      <c r="AP612" s="119">
        <f t="shared" si="291"/>
        <v>0</v>
      </c>
    </row>
    <row r="613" spans="1:42" x14ac:dyDescent="0.2">
      <c r="A613" s="21" t="s">
        <v>198</v>
      </c>
      <c r="B613" s="172" cm="1">
        <f t="array" ref="B613">IF(MortgageSizeOfDebt="N/A",IF(dscr_limit_debt_fraction="Yes",SUM(B612:AP612),SUM(B611:AP611)),MortgageSizeOfDebt)</f>
        <v>0</v>
      </c>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row>
    <row r="614" spans="1:42" x14ac:dyDescent="0.2">
      <c r="A614" s="17"/>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row>
    <row r="615" spans="1:42" x14ac:dyDescent="0.2">
      <c r="A615" s="17" t="s">
        <v>268</v>
      </c>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row>
    <row r="616" spans="1:42" x14ac:dyDescent="0.2">
      <c r="A616" s="21" t="s">
        <v>269</v>
      </c>
      <c r="B616" s="119"/>
      <c r="C616" s="119">
        <f t="shared" ref="C616:AP616" si="292">IF(C$2&gt;term_tenor,0,IF(DebtPercent="Calculated",IF(C$620=0,0,C$606/C$620),"N/A"))</f>
        <v>0</v>
      </c>
      <c r="D616" s="119">
        <f t="shared" si="292"/>
        <v>0</v>
      </c>
      <c r="E616" s="119">
        <f t="shared" si="292"/>
        <v>0</v>
      </c>
      <c r="F616" s="119">
        <f t="shared" si="292"/>
        <v>0</v>
      </c>
      <c r="G616" s="119">
        <f t="shared" si="292"/>
        <v>0</v>
      </c>
      <c r="H616" s="119">
        <f t="shared" si="292"/>
        <v>0</v>
      </c>
      <c r="I616" s="119">
        <f t="shared" si="292"/>
        <v>0</v>
      </c>
      <c r="J616" s="119">
        <f t="shared" si="292"/>
        <v>0</v>
      </c>
      <c r="K616" s="119">
        <f t="shared" si="292"/>
        <v>0</v>
      </c>
      <c r="L616" s="119">
        <f t="shared" si="292"/>
        <v>0</v>
      </c>
      <c r="M616" s="119">
        <f t="shared" si="292"/>
        <v>0</v>
      </c>
      <c r="N616" s="119">
        <f t="shared" si="292"/>
        <v>0</v>
      </c>
      <c r="O616" s="119">
        <f t="shared" si="292"/>
        <v>0</v>
      </c>
      <c r="P616" s="119">
        <f t="shared" si="292"/>
        <v>0</v>
      </c>
      <c r="Q616" s="119">
        <f t="shared" si="292"/>
        <v>0</v>
      </c>
      <c r="R616" s="119">
        <f t="shared" si="292"/>
        <v>0</v>
      </c>
      <c r="S616" s="119">
        <f t="shared" si="292"/>
        <v>0</v>
      </c>
      <c r="T616" s="119">
        <f t="shared" si="292"/>
        <v>0</v>
      </c>
      <c r="U616" s="119">
        <f t="shared" si="292"/>
        <v>0</v>
      </c>
      <c r="V616" s="119">
        <f t="shared" si="292"/>
        <v>0</v>
      </c>
      <c r="W616" s="119">
        <f t="shared" si="292"/>
        <v>0</v>
      </c>
      <c r="X616" s="119">
        <f t="shared" si="292"/>
        <v>0</v>
      </c>
      <c r="Y616" s="119">
        <f t="shared" si="292"/>
        <v>0</v>
      </c>
      <c r="Z616" s="119">
        <f t="shared" si="292"/>
        <v>0</v>
      </c>
      <c r="AA616" s="119">
        <f t="shared" si="292"/>
        <v>0</v>
      </c>
      <c r="AB616" s="119">
        <f t="shared" si="292"/>
        <v>0</v>
      </c>
      <c r="AC616" s="119">
        <f t="shared" si="292"/>
        <v>0</v>
      </c>
      <c r="AD616" s="119">
        <f t="shared" si="292"/>
        <v>0</v>
      </c>
      <c r="AE616" s="119">
        <f t="shared" si="292"/>
        <v>0</v>
      </c>
      <c r="AF616" s="119">
        <f t="shared" si="292"/>
        <v>0</v>
      </c>
      <c r="AG616" s="119">
        <f t="shared" si="292"/>
        <v>0</v>
      </c>
      <c r="AH616" s="119">
        <f t="shared" si="292"/>
        <v>0</v>
      </c>
      <c r="AI616" s="119">
        <f t="shared" si="292"/>
        <v>0</v>
      </c>
      <c r="AJ616" s="119">
        <f t="shared" si="292"/>
        <v>0</v>
      </c>
      <c r="AK616" s="119">
        <f t="shared" si="292"/>
        <v>0</v>
      </c>
      <c r="AL616" s="119">
        <f t="shared" si="292"/>
        <v>0</v>
      </c>
      <c r="AM616" s="119">
        <f t="shared" si="292"/>
        <v>0</v>
      </c>
      <c r="AN616" s="119">
        <f t="shared" si="292"/>
        <v>0</v>
      </c>
      <c r="AO616" s="119">
        <f t="shared" si="292"/>
        <v>0</v>
      </c>
      <c r="AP616" s="119">
        <f t="shared" si="292"/>
        <v>0</v>
      </c>
    </row>
    <row r="617" spans="1:42" x14ac:dyDescent="0.2">
      <c r="A617" s="21" t="s">
        <v>270</v>
      </c>
      <c r="B617" s="119"/>
      <c r="C617" s="119">
        <f t="shared" ref="C617:AP617" si="293">IF(C$2&gt;term_tenor,0,IF(DebtPayment="Fixed principal","N/A",IF(DebtPercent="Calculated","N/A",IF(C$2&lt;loan_moratorium,C$599,IF(AND(C$2&lt;=term_tenor,C$2&lt;=analysis_period),-PMT(term_int_rate/100,term_tenor-loan_moratorium,$B$613),0)))))</f>
        <v>0</v>
      </c>
      <c r="D617" s="119">
        <f t="shared" si="293"/>
        <v>0</v>
      </c>
      <c r="E617" s="119">
        <f t="shared" si="293"/>
        <v>0</v>
      </c>
      <c r="F617" s="119">
        <f t="shared" si="293"/>
        <v>0</v>
      </c>
      <c r="G617" s="119">
        <f t="shared" si="293"/>
        <v>0</v>
      </c>
      <c r="H617" s="119">
        <f t="shared" si="293"/>
        <v>0</v>
      </c>
      <c r="I617" s="119">
        <f t="shared" si="293"/>
        <v>0</v>
      </c>
      <c r="J617" s="119">
        <f t="shared" si="293"/>
        <v>0</v>
      </c>
      <c r="K617" s="119">
        <f t="shared" si="293"/>
        <v>0</v>
      </c>
      <c r="L617" s="119">
        <f t="shared" si="293"/>
        <v>0</v>
      </c>
      <c r="M617" s="119">
        <f t="shared" si="293"/>
        <v>0</v>
      </c>
      <c r="N617" s="119">
        <f t="shared" si="293"/>
        <v>0</v>
      </c>
      <c r="O617" s="119">
        <f t="shared" si="293"/>
        <v>0</v>
      </c>
      <c r="P617" s="119">
        <f t="shared" si="293"/>
        <v>0</v>
      </c>
      <c r="Q617" s="119">
        <f t="shared" si="293"/>
        <v>0</v>
      </c>
      <c r="R617" s="119">
        <f t="shared" si="293"/>
        <v>0</v>
      </c>
      <c r="S617" s="119">
        <f t="shared" si="293"/>
        <v>0</v>
      </c>
      <c r="T617" s="119">
        <f t="shared" si="293"/>
        <v>0</v>
      </c>
      <c r="U617" s="119">
        <f t="shared" si="293"/>
        <v>0</v>
      </c>
      <c r="V617" s="119">
        <f t="shared" si="293"/>
        <v>0</v>
      </c>
      <c r="W617" s="119">
        <f t="shared" si="293"/>
        <v>0</v>
      </c>
      <c r="X617" s="119">
        <f t="shared" si="293"/>
        <v>0</v>
      </c>
      <c r="Y617" s="119">
        <f t="shared" si="293"/>
        <v>0</v>
      </c>
      <c r="Z617" s="119">
        <f t="shared" si="293"/>
        <v>0</v>
      </c>
      <c r="AA617" s="119">
        <f t="shared" si="293"/>
        <v>0</v>
      </c>
      <c r="AB617" s="119">
        <f t="shared" si="293"/>
        <v>0</v>
      </c>
      <c r="AC617" s="119">
        <f t="shared" si="293"/>
        <v>0</v>
      </c>
      <c r="AD617" s="119">
        <f t="shared" si="293"/>
        <v>0</v>
      </c>
      <c r="AE617" s="119">
        <f t="shared" si="293"/>
        <v>0</v>
      </c>
      <c r="AF617" s="119">
        <f t="shared" si="293"/>
        <v>0</v>
      </c>
      <c r="AG617" s="119">
        <f t="shared" si="293"/>
        <v>0</v>
      </c>
      <c r="AH617" s="119">
        <f t="shared" si="293"/>
        <v>0</v>
      </c>
      <c r="AI617" s="119">
        <f t="shared" si="293"/>
        <v>0</v>
      </c>
      <c r="AJ617" s="119">
        <f t="shared" si="293"/>
        <v>0</v>
      </c>
      <c r="AK617" s="119">
        <f t="shared" si="293"/>
        <v>0</v>
      </c>
      <c r="AL617" s="119">
        <f t="shared" si="293"/>
        <v>0</v>
      </c>
      <c r="AM617" s="119">
        <f t="shared" si="293"/>
        <v>0</v>
      </c>
      <c r="AN617" s="119">
        <f t="shared" si="293"/>
        <v>0</v>
      </c>
      <c r="AO617" s="119">
        <f t="shared" si="293"/>
        <v>0</v>
      </c>
      <c r="AP617" s="119">
        <f t="shared" si="293"/>
        <v>0</v>
      </c>
    </row>
    <row r="618" spans="1:42" x14ac:dyDescent="0.2">
      <c r="A618" s="21" t="s">
        <v>271</v>
      </c>
      <c r="B618" s="119"/>
      <c r="C618" s="119">
        <f t="shared" ref="C618:AP618" si="294">IF(C$2&gt;term_tenor,0,IF(DebtPayment="Equal Payments","N/A",IF(DebtPercent="Calculated","N/A",IF(C$2&lt;=loan_moratorium,0,$B$613/(term_tenor-loan_moratorium)))))</f>
        <v>0</v>
      </c>
      <c r="D618" s="119">
        <f t="shared" si="294"/>
        <v>0</v>
      </c>
      <c r="E618" s="119">
        <f t="shared" si="294"/>
        <v>0</v>
      </c>
      <c r="F618" s="119">
        <f t="shared" si="294"/>
        <v>0</v>
      </c>
      <c r="G618" s="119">
        <f t="shared" si="294"/>
        <v>0</v>
      </c>
      <c r="H618" s="119">
        <f t="shared" si="294"/>
        <v>0</v>
      </c>
      <c r="I618" s="119">
        <f t="shared" si="294"/>
        <v>0</v>
      </c>
      <c r="J618" s="119">
        <f t="shared" si="294"/>
        <v>0</v>
      </c>
      <c r="K618" s="119">
        <f t="shared" si="294"/>
        <v>0</v>
      </c>
      <c r="L618" s="119">
        <f t="shared" si="294"/>
        <v>0</v>
      </c>
      <c r="M618" s="119">
        <f t="shared" si="294"/>
        <v>0</v>
      </c>
      <c r="N618" s="119">
        <f t="shared" si="294"/>
        <v>0</v>
      </c>
      <c r="O618" s="119">
        <f t="shared" si="294"/>
        <v>0</v>
      </c>
      <c r="P618" s="119">
        <f t="shared" si="294"/>
        <v>0</v>
      </c>
      <c r="Q618" s="119">
        <f t="shared" si="294"/>
        <v>0</v>
      </c>
      <c r="R618" s="119">
        <f t="shared" si="294"/>
        <v>0</v>
      </c>
      <c r="S618" s="119">
        <f t="shared" si="294"/>
        <v>0</v>
      </c>
      <c r="T618" s="119">
        <f t="shared" si="294"/>
        <v>0</v>
      </c>
      <c r="U618" s="119">
        <f t="shared" si="294"/>
        <v>0</v>
      </c>
      <c r="V618" s="119">
        <f t="shared" si="294"/>
        <v>0</v>
      </c>
      <c r="W618" s="119">
        <f t="shared" si="294"/>
        <v>0</v>
      </c>
      <c r="X618" s="119">
        <f t="shared" si="294"/>
        <v>0</v>
      </c>
      <c r="Y618" s="119">
        <f t="shared" si="294"/>
        <v>0</v>
      </c>
      <c r="Z618" s="119">
        <f t="shared" si="294"/>
        <v>0</v>
      </c>
      <c r="AA618" s="119">
        <f t="shared" si="294"/>
        <v>0</v>
      </c>
      <c r="AB618" s="119">
        <f t="shared" si="294"/>
        <v>0</v>
      </c>
      <c r="AC618" s="119">
        <f t="shared" si="294"/>
        <v>0</v>
      </c>
      <c r="AD618" s="119">
        <f t="shared" si="294"/>
        <v>0</v>
      </c>
      <c r="AE618" s="119">
        <f t="shared" si="294"/>
        <v>0</v>
      </c>
      <c r="AF618" s="119">
        <f t="shared" si="294"/>
        <v>0</v>
      </c>
      <c r="AG618" s="119">
        <f t="shared" si="294"/>
        <v>0</v>
      </c>
      <c r="AH618" s="119">
        <f t="shared" si="294"/>
        <v>0</v>
      </c>
      <c r="AI618" s="119">
        <f t="shared" si="294"/>
        <v>0</v>
      </c>
      <c r="AJ618" s="119">
        <f t="shared" si="294"/>
        <v>0</v>
      </c>
      <c r="AK618" s="119">
        <f t="shared" si="294"/>
        <v>0</v>
      </c>
      <c r="AL618" s="119">
        <f t="shared" si="294"/>
        <v>0</v>
      </c>
      <c r="AM618" s="119">
        <f t="shared" si="294"/>
        <v>0</v>
      </c>
      <c r="AN618" s="119">
        <f t="shared" si="294"/>
        <v>0</v>
      </c>
      <c r="AO618" s="119">
        <f t="shared" si="294"/>
        <v>0</v>
      </c>
      <c r="AP618" s="119">
        <f t="shared" si="294"/>
        <v>0</v>
      </c>
    </row>
    <row r="619" spans="1:42" x14ac:dyDescent="0.2">
      <c r="A619" s="21"/>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row>
    <row r="620" spans="1:42" x14ac:dyDescent="0.2">
      <c r="A620" s="17" t="s">
        <v>231</v>
      </c>
      <c r="B620" s="106">
        <f>MIN(C620:AP620)</f>
        <v>0</v>
      </c>
      <c r="C620" s="108" t="str">
        <f t="shared" ref="C620:AP620" si="295">IF(DebtServiceCoverageRatio="Calculated",IF(AND(C$2&lt;=term_tenor,C$2&lt;=analysis_period),C$606/C$598,"N/A"),IF(AND(C$2&lt;=term_tenor,C$2&lt;=analysis_period),DebtServiceCoverageRatio,"N/A"))</f>
        <v>N/A</v>
      </c>
      <c r="D620" s="108" t="str">
        <f t="shared" si="295"/>
        <v>N/A</v>
      </c>
      <c r="E620" s="108" t="str">
        <f t="shared" si="295"/>
        <v>N/A</v>
      </c>
      <c r="F620" s="108" t="str">
        <f t="shared" si="295"/>
        <v>N/A</v>
      </c>
      <c r="G620" s="108" t="str">
        <f t="shared" si="295"/>
        <v>N/A</v>
      </c>
      <c r="H620" s="108" t="str">
        <f t="shared" si="295"/>
        <v>N/A</v>
      </c>
      <c r="I620" s="108" t="str">
        <f t="shared" si="295"/>
        <v>N/A</v>
      </c>
      <c r="J620" s="108" t="str">
        <f t="shared" si="295"/>
        <v>N/A</v>
      </c>
      <c r="K620" s="108" t="str">
        <f t="shared" si="295"/>
        <v>N/A</v>
      </c>
      <c r="L620" s="108" t="str">
        <f t="shared" si="295"/>
        <v>N/A</v>
      </c>
      <c r="M620" s="108" t="str">
        <f t="shared" si="295"/>
        <v>N/A</v>
      </c>
      <c r="N620" s="108" t="str">
        <f t="shared" si="295"/>
        <v>N/A</v>
      </c>
      <c r="O620" s="108" t="str">
        <f t="shared" si="295"/>
        <v>N/A</v>
      </c>
      <c r="P620" s="108" t="str">
        <f t="shared" si="295"/>
        <v>N/A</v>
      </c>
      <c r="Q620" s="108" t="str">
        <f t="shared" si="295"/>
        <v>N/A</v>
      </c>
      <c r="R620" s="108" t="str">
        <f t="shared" si="295"/>
        <v>N/A</v>
      </c>
      <c r="S620" s="108" t="str">
        <f t="shared" si="295"/>
        <v>N/A</v>
      </c>
      <c r="T620" s="108" t="str">
        <f t="shared" si="295"/>
        <v>N/A</v>
      </c>
      <c r="U620" s="108" t="str">
        <f t="shared" si="295"/>
        <v>N/A</v>
      </c>
      <c r="V620" s="108" t="str">
        <f t="shared" si="295"/>
        <v>N/A</v>
      </c>
      <c r="W620" s="108" t="str">
        <f t="shared" si="295"/>
        <v>N/A</v>
      </c>
      <c r="X620" s="108" t="str">
        <f t="shared" si="295"/>
        <v>N/A</v>
      </c>
      <c r="Y620" s="108" t="str">
        <f t="shared" si="295"/>
        <v>N/A</v>
      </c>
      <c r="Z620" s="108" t="str">
        <f t="shared" si="295"/>
        <v>N/A</v>
      </c>
      <c r="AA620" s="108" t="str">
        <f t="shared" si="295"/>
        <v>N/A</v>
      </c>
      <c r="AB620" s="108" t="str">
        <f t="shared" si="295"/>
        <v>N/A</v>
      </c>
      <c r="AC620" s="108" t="str">
        <f t="shared" si="295"/>
        <v>N/A</v>
      </c>
      <c r="AD620" s="108" t="str">
        <f t="shared" si="295"/>
        <v>N/A</v>
      </c>
      <c r="AE620" s="108" t="str">
        <f t="shared" si="295"/>
        <v>N/A</v>
      </c>
      <c r="AF620" s="108" t="str">
        <f t="shared" si="295"/>
        <v>N/A</v>
      </c>
      <c r="AG620" s="108" t="str">
        <f t="shared" si="295"/>
        <v>N/A</v>
      </c>
      <c r="AH620" s="108" t="str">
        <f t="shared" si="295"/>
        <v>N/A</v>
      </c>
      <c r="AI620" s="108" t="str">
        <f t="shared" si="295"/>
        <v>N/A</v>
      </c>
      <c r="AJ620" s="108" t="str">
        <f t="shared" si="295"/>
        <v>N/A</v>
      </c>
      <c r="AK620" s="108" t="str">
        <f t="shared" si="295"/>
        <v>N/A</v>
      </c>
      <c r="AL620" s="108" t="str">
        <f t="shared" si="295"/>
        <v>N/A</v>
      </c>
      <c r="AM620" s="108" t="str">
        <f t="shared" si="295"/>
        <v>N/A</v>
      </c>
      <c r="AN620" s="108" t="str">
        <f t="shared" si="295"/>
        <v>N/A</v>
      </c>
      <c r="AO620" s="108" t="str">
        <f t="shared" si="295"/>
        <v>N/A</v>
      </c>
      <c r="AP620" s="108" t="str">
        <f t="shared" si="295"/>
        <v>N/A</v>
      </c>
    </row>
    <row r="621" spans="1:42" x14ac:dyDescent="0.2">
      <c r="A621" s="86" t="s">
        <v>353</v>
      </c>
      <c r="B621" s="106">
        <f>IF(dscr_limit_debt_fraction="Yes",SUM(B611:AP611)/(-$B$104*dscr_maximum_debt_fraction/100)*DebtServiceCoverageRatio,B620)</f>
        <v>0</v>
      </c>
      <c r="C621" s="108" t="str">
        <f t="shared" ref="C621:AP621" si="296">IF(dscr_limit_debt_fraction="Yes",$B$621,C$620)</f>
        <v>N/A</v>
      </c>
      <c r="D621" s="108" t="str">
        <f t="shared" si="296"/>
        <v>N/A</v>
      </c>
      <c r="E621" s="108" t="str">
        <f t="shared" si="296"/>
        <v>N/A</v>
      </c>
      <c r="F621" s="108" t="str">
        <f t="shared" si="296"/>
        <v>N/A</v>
      </c>
      <c r="G621" s="108" t="str">
        <f t="shared" si="296"/>
        <v>N/A</v>
      </c>
      <c r="H621" s="108" t="str">
        <f t="shared" si="296"/>
        <v>N/A</v>
      </c>
      <c r="I621" s="108" t="str">
        <f t="shared" si="296"/>
        <v>N/A</v>
      </c>
      <c r="J621" s="108" t="str">
        <f t="shared" si="296"/>
        <v>N/A</v>
      </c>
      <c r="K621" s="108" t="str">
        <f t="shared" si="296"/>
        <v>N/A</v>
      </c>
      <c r="L621" s="108" t="str">
        <f t="shared" si="296"/>
        <v>N/A</v>
      </c>
      <c r="M621" s="108" t="str">
        <f t="shared" si="296"/>
        <v>N/A</v>
      </c>
      <c r="N621" s="108" t="str">
        <f t="shared" si="296"/>
        <v>N/A</v>
      </c>
      <c r="O621" s="108" t="str">
        <f t="shared" si="296"/>
        <v>N/A</v>
      </c>
      <c r="P621" s="108" t="str">
        <f t="shared" si="296"/>
        <v>N/A</v>
      </c>
      <c r="Q621" s="108" t="str">
        <f t="shared" si="296"/>
        <v>N/A</v>
      </c>
      <c r="R621" s="108" t="str">
        <f t="shared" si="296"/>
        <v>N/A</v>
      </c>
      <c r="S621" s="108" t="str">
        <f t="shared" si="296"/>
        <v>N/A</v>
      </c>
      <c r="T621" s="108" t="str">
        <f t="shared" si="296"/>
        <v>N/A</v>
      </c>
      <c r="U621" s="108" t="str">
        <f t="shared" si="296"/>
        <v>N/A</v>
      </c>
      <c r="V621" s="108" t="str">
        <f t="shared" si="296"/>
        <v>N/A</v>
      </c>
      <c r="W621" s="108" t="str">
        <f t="shared" si="296"/>
        <v>N/A</v>
      </c>
      <c r="X621" s="108" t="str">
        <f t="shared" si="296"/>
        <v>N/A</v>
      </c>
      <c r="Y621" s="108" t="str">
        <f t="shared" si="296"/>
        <v>N/A</v>
      </c>
      <c r="Z621" s="108" t="str">
        <f t="shared" si="296"/>
        <v>N/A</v>
      </c>
      <c r="AA621" s="108" t="str">
        <f t="shared" si="296"/>
        <v>N/A</v>
      </c>
      <c r="AB621" s="108" t="str">
        <f t="shared" si="296"/>
        <v>N/A</v>
      </c>
      <c r="AC621" s="108" t="str">
        <f t="shared" si="296"/>
        <v>N/A</v>
      </c>
      <c r="AD621" s="108" t="str">
        <f t="shared" si="296"/>
        <v>N/A</v>
      </c>
      <c r="AE621" s="108" t="str">
        <f t="shared" si="296"/>
        <v>N/A</v>
      </c>
      <c r="AF621" s="108" t="str">
        <f t="shared" si="296"/>
        <v>N/A</v>
      </c>
      <c r="AG621" s="108" t="str">
        <f t="shared" si="296"/>
        <v>N/A</v>
      </c>
      <c r="AH621" s="108" t="str">
        <f t="shared" si="296"/>
        <v>N/A</v>
      </c>
      <c r="AI621" s="108" t="str">
        <f t="shared" si="296"/>
        <v>N/A</v>
      </c>
      <c r="AJ621" s="108" t="str">
        <f t="shared" si="296"/>
        <v>N/A</v>
      </c>
      <c r="AK621" s="108" t="str">
        <f t="shared" si="296"/>
        <v>N/A</v>
      </c>
      <c r="AL621" s="108" t="str">
        <f t="shared" si="296"/>
        <v>N/A</v>
      </c>
      <c r="AM621" s="108" t="str">
        <f t="shared" si="296"/>
        <v>N/A</v>
      </c>
      <c r="AN621" s="108" t="str">
        <f t="shared" si="296"/>
        <v>N/A</v>
      </c>
      <c r="AO621" s="108" t="str">
        <f t="shared" si="296"/>
        <v>N/A</v>
      </c>
      <c r="AP621" s="108" t="str">
        <f t="shared" si="296"/>
        <v>N/A</v>
      </c>
    </row>
    <row r="622" spans="1:42" x14ac:dyDescent="0.2">
      <c r="A622" s="22"/>
      <c r="B622" s="175"/>
    </row>
    <row r="623" spans="1:42" x14ac:dyDescent="0.2">
      <c r="A623" s="80" t="s">
        <v>58</v>
      </c>
      <c r="B623" s="207"/>
      <c r="C623" s="207"/>
      <c r="D623" s="207"/>
      <c r="E623" s="207"/>
      <c r="F623" s="207"/>
      <c r="G623" s="207"/>
      <c r="H623" s="207"/>
      <c r="I623" s="207"/>
      <c r="J623" s="207"/>
      <c r="K623" s="207"/>
      <c r="L623" s="207"/>
      <c r="M623" s="207"/>
      <c r="N623" s="207"/>
      <c r="O623" s="207"/>
      <c r="P623" s="207"/>
      <c r="Q623" s="207"/>
      <c r="R623" s="207"/>
      <c r="S623" s="207"/>
      <c r="T623" s="207"/>
      <c r="U623" s="207"/>
      <c r="V623" s="207"/>
      <c r="W623" s="207"/>
      <c r="X623" s="207"/>
      <c r="Y623" s="207"/>
      <c r="Z623" s="207"/>
      <c r="AA623" s="207"/>
      <c r="AB623" s="207"/>
      <c r="AC623" s="207"/>
      <c r="AD623" s="207"/>
      <c r="AE623" s="207"/>
      <c r="AF623" s="207"/>
      <c r="AG623" s="207"/>
      <c r="AH623" s="207"/>
      <c r="AI623" s="207"/>
      <c r="AJ623" s="207"/>
      <c r="AK623" s="207"/>
      <c r="AL623" s="207"/>
      <c r="AM623" s="207"/>
      <c r="AN623" s="207"/>
      <c r="AO623" s="207"/>
      <c r="AP623" s="207"/>
    </row>
    <row r="624" spans="1:42" x14ac:dyDescent="0.2">
      <c r="A624" s="19" t="s">
        <v>273</v>
      </c>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row>
    <row r="625" spans="1:42" x14ac:dyDescent="0.2">
      <c r="A625" s="4" t="s">
        <v>274</v>
      </c>
      <c r="B625" s="150">
        <v>0</v>
      </c>
      <c r="C625" s="150">
        <f>B628</f>
        <v>0</v>
      </c>
      <c r="D625" s="150">
        <f t="shared" ref="D625:AP625" si="297">C628</f>
        <v>0</v>
      </c>
      <c r="E625" s="150">
        <f t="shared" si="297"/>
        <v>0</v>
      </c>
      <c r="F625" s="150">
        <f t="shared" si="297"/>
        <v>0</v>
      </c>
      <c r="G625" s="150">
        <f t="shared" si="297"/>
        <v>0</v>
      </c>
      <c r="H625" s="150">
        <f t="shared" si="297"/>
        <v>0</v>
      </c>
      <c r="I625" s="150">
        <f t="shared" si="297"/>
        <v>0</v>
      </c>
      <c r="J625" s="150">
        <f t="shared" si="297"/>
        <v>0</v>
      </c>
      <c r="K625" s="150">
        <f t="shared" si="297"/>
        <v>0</v>
      </c>
      <c r="L625" s="150">
        <f t="shared" si="297"/>
        <v>0</v>
      </c>
      <c r="M625" s="150">
        <f t="shared" si="297"/>
        <v>0</v>
      </c>
      <c r="N625" s="150">
        <f t="shared" si="297"/>
        <v>0</v>
      </c>
      <c r="O625" s="150">
        <f t="shared" si="297"/>
        <v>0</v>
      </c>
      <c r="P625" s="150">
        <f t="shared" si="297"/>
        <v>0</v>
      </c>
      <c r="Q625" s="150">
        <f t="shared" si="297"/>
        <v>0</v>
      </c>
      <c r="R625" s="150">
        <f t="shared" si="297"/>
        <v>0</v>
      </c>
      <c r="S625" s="150">
        <f t="shared" si="297"/>
        <v>0</v>
      </c>
      <c r="T625" s="150">
        <f t="shared" si="297"/>
        <v>0</v>
      </c>
      <c r="U625" s="150">
        <f t="shared" si="297"/>
        <v>0</v>
      </c>
      <c r="V625" s="150">
        <f t="shared" si="297"/>
        <v>0</v>
      </c>
      <c r="W625" s="150">
        <f t="shared" si="297"/>
        <v>0</v>
      </c>
      <c r="X625" s="150">
        <f t="shared" si="297"/>
        <v>0</v>
      </c>
      <c r="Y625" s="150">
        <f t="shared" si="297"/>
        <v>0</v>
      </c>
      <c r="Z625" s="150">
        <f t="shared" si="297"/>
        <v>0</v>
      </c>
      <c r="AA625" s="150">
        <f t="shared" si="297"/>
        <v>0</v>
      </c>
      <c r="AB625" s="150">
        <f t="shared" si="297"/>
        <v>0</v>
      </c>
      <c r="AC625" s="150">
        <f t="shared" si="297"/>
        <v>0</v>
      </c>
      <c r="AD625" s="150">
        <f t="shared" si="297"/>
        <v>0</v>
      </c>
      <c r="AE625" s="150">
        <f t="shared" si="297"/>
        <v>0</v>
      </c>
      <c r="AF625" s="150">
        <f t="shared" si="297"/>
        <v>0</v>
      </c>
      <c r="AG625" s="150">
        <f t="shared" si="297"/>
        <v>0</v>
      </c>
      <c r="AH625" s="150">
        <f t="shared" si="297"/>
        <v>0</v>
      </c>
      <c r="AI625" s="150">
        <f t="shared" si="297"/>
        <v>0</v>
      </c>
      <c r="AJ625" s="150">
        <f t="shared" si="297"/>
        <v>0</v>
      </c>
      <c r="AK625" s="150">
        <f t="shared" si="297"/>
        <v>0</v>
      </c>
      <c r="AL625" s="150">
        <f t="shared" si="297"/>
        <v>0</v>
      </c>
      <c r="AM625" s="150">
        <f t="shared" si="297"/>
        <v>0</v>
      </c>
      <c r="AN625" s="150">
        <f t="shared" si="297"/>
        <v>0</v>
      </c>
      <c r="AO625" s="150">
        <f t="shared" si="297"/>
        <v>0</v>
      </c>
      <c r="AP625" s="150">
        <f t="shared" si="297"/>
        <v>0</v>
      </c>
    </row>
    <row r="626" spans="1:42" x14ac:dyDescent="0.2">
      <c r="A626" s="4" t="s">
        <v>21</v>
      </c>
      <c r="B626" s="150">
        <f t="array" ref="B626:AP626">Inputs!C206:AQ206</f>
        <v>0</v>
      </c>
      <c r="C626" s="150">
        <v>0</v>
      </c>
      <c r="D626" s="150">
        <v>0</v>
      </c>
      <c r="E626" s="150">
        <v>0</v>
      </c>
      <c r="F626" s="150">
        <v>0</v>
      </c>
      <c r="G626" s="150">
        <v>0</v>
      </c>
      <c r="H626" s="150">
        <v>0</v>
      </c>
      <c r="I626" s="150">
        <v>0</v>
      </c>
      <c r="J626" s="150">
        <v>0</v>
      </c>
      <c r="K626" s="150">
        <v>0</v>
      </c>
      <c r="L626" s="150">
        <v>0</v>
      </c>
      <c r="M626" s="150">
        <v>0</v>
      </c>
      <c r="N626" s="150">
        <v>0</v>
      </c>
      <c r="O626" s="150">
        <v>0</v>
      </c>
      <c r="P626" s="150">
        <v>0</v>
      </c>
      <c r="Q626" s="150">
        <v>0</v>
      </c>
      <c r="R626" s="150">
        <v>0</v>
      </c>
      <c r="S626" s="150">
        <v>0</v>
      </c>
      <c r="T626" s="150">
        <v>0</v>
      </c>
      <c r="U626" s="150">
        <v>0</v>
      </c>
      <c r="V626" s="150">
        <v>0</v>
      </c>
      <c r="W626" s="150">
        <v>0</v>
      </c>
      <c r="X626" s="150">
        <v>0</v>
      </c>
      <c r="Y626" s="150">
        <v>0</v>
      </c>
      <c r="Z626" s="150">
        <v>0</v>
      </c>
      <c r="AA626" s="150">
        <v>0</v>
      </c>
      <c r="AB626" s="150">
        <v>0</v>
      </c>
      <c r="AC626" s="150">
        <v>0</v>
      </c>
      <c r="AD626" s="150">
        <v>0</v>
      </c>
      <c r="AE626" s="150">
        <v>0</v>
      </c>
      <c r="AF626" s="150">
        <v>0</v>
      </c>
      <c r="AG626" s="150">
        <v>0</v>
      </c>
      <c r="AH626" s="150">
        <v>0</v>
      </c>
      <c r="AI626" s="150">
        <v>0</v>
      </c>
      <c r="AJ626" s="150">
        <v>0</v>
      </c>
      <c r="AK626" s="150">
        <v>0</v>
      </c>
      <c r="AL626" s="150">
        <v>0</v>
      </c>
      <c r="AM626" s="150">
        <v>0</v>
      </c>
      <c r="AN626" s="150">
        <v>0</v>
      </c>
      <c r="AO626" s="150">
        <v>0</v>
      </c>
      <c r="AP626" s="150">
        <v>0</v>
      </c>
    </row>
    <row r="627" spans="1:42" x14ac:dyDescent="0.2">
      <c r="A627" s="4" t="s">
        <v>275</v>
      </c>
      <c r="B627" s="151">
        <f t="array" ref="B627:AP627">Inputs!C207:AQ207</f>
        <v>0</v>
      </c>
      <c r="C627" s="151">
        <v>0</v>
      </c>
      <c r="D627" s="151">
        <v>0</v>
      </c>
      <c r="E627" s="151">
        <v>0</v>
      </c>
      <c r="F627" s="151">
        <v>0</v>
      </c>
      <c r="G627" s="151">
        <v>0</v>
      </c>
      <c r="H627" s="151">
        <v>0</v>
      </c>
      <c r="I627" s="151">
        <v>0</v>
      </c>
      <c r="J627" s="151">
        <v>0</v>
      </c>
      <c r="K627" s="151">
        <v>0</v>
      </c>
      <c r="L627" s="151">
        <v>0</v>
      </c>
      <c r="M627" s="151">
        <v>0</v>
      </c>
      <c r="N627" s="151">
        <v>0</v>
      </c>
      <c r="O627" s="151">
        <v>0</v>
      </c>
      <c r="P627" s="151">
        <v>0</v>
      </c>
      <c r="Q627" s="151">
        <v>0</v>
      </c>
      <c r="R627" s="151">
        <v>0</v>
      </c>
      <c r="S627" s="151">
        <v>0</v>
      </c>
      <c r="T627" s="151">
        <v>0</v>
      </c>
      <c r="U627" s="151">
        <v>0</v>
      </c>
      <c r="V627" s="151">
        <v>0</v>
      </c>
      <c r="W627" s="151">
        <v>0</v>
      </c>
      <c r="X627" s="151">
        <v>0</v>
      </c>
      <c r="Y627" s="151">
        <v>0</v>
      </c>
      <c r="Z627" s="151">
        <v>0</v>
      </c>
      <c r="AA627" s="151">
        <v>0</v>
      </c>
      <c r="AB627" s="151">
        <v>0</v>
      </c>
      <c r="AC627" s="151">
        <v>0</v>
      </c>
      <c r="AD627" s="151">
        <v>0</v>
      </c>
      <c r="AE627" s="151">
        <v>0</v>
      </c>
      <c r="AF627" s="151">
        <v>0</v>
      </c>
      <c r="AG627" s="151">
        <v>0</v>
      </c>
      <c r="AH627" s="151">
        <v>0</v>
      </c>
      <c r="AI627" s="151">
        <v>0</v>
      </c>
      <c r="AJ627" s="151">
        <v>0</v>
      </c>
      <c r="AK627" s="151">
        <v>0</v>
      </c>
      <c r="AL627" s="151">
        <v>0</v>
      </c>
      <c r="AM627" s="151">
        <v>0</v>
      </c>
      <c r="AN627" s="151">
        <v>0</v>
      </c>
      <c r="AO627" s="151">
        <v>0</v>
      </c>
      <c r="AP627" s="151">
        <v>0</v>
      </c>
    </row>
    <row r="628" spans="1:42" x14ac:dyDescent="0.2">
      <c r="A628" s="4" t="s">
        <v>232</v>
      </c>
      <c r="B628" s="150">
        <f t="array" ref="B628:AP628">Inputs!C208:AQ208</f>
        <v>0</v>
      </c>
      <c r="C628" s="150">
        <v>0</v>
      </c>
      <c r="D628" s="150">
        <v>0</v>
      </c>
      <c r="E628" s="150">
        <v>0</v>
      </c>
      <c r="F628" s="150">
        <v>0</v>
      </c>
      <c r="G628" s="150">
        <v>0</v>
      </c>
      <c r="H628" s="150">
        <v>0</v>
      </c>
      <c r="I628" s="150">
        <v>0</v>
      </c>
      <c r="J628" s="150">
        <v>0</v>
      </c>
      <c r="K628" s="150">
        <v>0</v>
      </c>
      <c r="L628" s="150">
        <v>0</v>
      </c>
      <c r="M628" s="150">
        <v>0</v>
      </c>
      <c r="N628" s="150">
        <v>0</v>
      </c>
      <c r="O628" s="150">
        <v>0</v>
      </c>
      <c r="P628" s="150">
        <v>0</v>
      </c>
      <c r="Q628" s="150">
        <v>0</v>
      </c>
      <c r="R628" s="150">
        <v>0</v>
      </c>
      <c r="S628" s="150">
        <v>0</v>
      </c>
      <c r="T628" s="150">
        <v>0</v>
      </c>
      <c r="U628" s="150">
        <v>0</v>
      </c>
      <c r="V628" s="150">
        <v>0</v>
      </c>
      <c r="W628" s="150">
        <v>0</v>
      </c>
      <c r="X628" s="150">
        <v>0</v>
      </c>
      <c r="Y628" s="150">
        <v>0</v>
      </c>
      <c r="Z628" s="150">
        <v>0</v>
      </c>
      <c r="AA628" s="150">
        <v>0</v>
      </c>
      <c r="AB628" s="150">
        <v>0</v>
      </c>
      <c r="AC628" s="150">
        <v>0</v>
      </c>
      <c r="AD628" s="150">
        <v>0</v>
      </c>
      <c r="AE628" s="150">
        <v>0</v>
      </c>
      <c r="AF628" s="150">
        <v>0</v>
      </c>
      <c r="AG628" s="150">
        <v>0</v>
      </c>
      <c r="AH628" s="150">
        <v>0</v>
      </c>
      <c r="AI628" s="150">
        <v>0</v>
      </c>
      <c r="AJ628" s="150">
        <v>0</v>
      </c>
      <c r="AK628" s="150">
        <v>0</v>
      </c>
      <c r="AL628" s="150">
        <v>0</v>
      </c>
      <c r="AM628" s="150">
        <v>0</v>
      </c>
      <c r="AN628" s="150">
        <v>0</v>
      </c>
      <c r="AO628" s="150">
        <v>0</v>
      </c>
      <c r="AP628" s="150">
        <v>0</v>
      </c>
    </row>
    <row r="629" spans="1:42" x14ac:dyDescent="0.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row>
    <row r="630" spans="1:42" x14ac:dyDescent="0.2">
      <c r="A630" s="19" t="s">
        <v>272</v>
      </c>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row>
    <row r="631" spans="1:42" x14ac:dyDescent="0.2">
      <c r="A631" s="4" t="s">
        <v>274</v>
      </c>
      <c r="B631" s="150">
        <v>0</v>
      </c>
      <c r="C631" s="150">
        <f>B634</f>
        <v>0</v>
      </c>
      <c r="D631" s="150">
        <f t="shared" ref="D631:AP631" si="298">C634</f>
        <v>0</v>
      </c>
      <c r="E631" s="150">
        <f t="shared" si="298"/>
        <v>0</v>
      </c>
      <c r="F631" s="150">
        <f t="shared" si="298"/>
        <v>0</v>
      </c>
      <c r="G631" s="150">
        <f t="shared" si="298"/>
        <v>0</v>
      </c>
      <c r="H631" s="150">
        <f t="shared" si="298"/>
        <v>0</v>
      </c>
      <c r="I631" s="150">
        <f t="shared" si="298"/>
        <v>0</v>
      </c>
      <c r="J631" s="150">
        <f t="shared" si="298"/>
        <v>0</v>
      </c>
      <c r="K631" s="150">
        <f t="shared" si="298"/>
        <v>0</v>
      </c>
      <c r="L631" s="150">
        <f t="shared" si="298"/>
        <v>0</v>
      </c>
      <c r="M631" s="150">
        <f t="shared" si="298"/>
        <v>0</v>
      </c>
      <c r="N631" s="150">
        <f t="shared" si="298"/>
        <v>0</v>
      </c>
      <c r="O631" s="150">
        <f t="shared" si="298"/>
        <v>0</v>
      </c>
      <c r="P631" s="150">
        <f t="shared" si="298"/>
        <v>0</v>
      </c>
      <c r="Q631" s="150">
        <f t="shared" si="298"/>
        <v>0</v>
      </c>
      <c r="R631" s="150">
        <f t="shared" si="298"/>
        <v>0</v>
      </c>
      <c r="S631" s="150">
        <f t="shared" si="298"/>
        <v>0</v>
      </c>
      <c r="T631" s="150">
        <f t="shared" si="298"/>
        <v>0</v>
      </c>
      <c r="U631" s="150">
        <f t="shared" si="298"/>
        <v>0</v>
      </c>
      <c r="V631" s="150">
        <f t="shared" si="298"/>
        <v>0</v>
      </c>
      <c r="W631" s="150">
        <f t="shared" si="298"/>
        <v>0</v>
      </c>
      <c r="X631" s="150">
        <f t="shared" si="298"/>
        <v>0</v>
      </c>
      <c r="Y631" s="150">
        <f t="shared" si="298"/>
        <v>0</v>
      </c>
      <c r="Z631" s="150">
        <f t="shared" si="298"/>
        <v>0</v>
      </c>
      <c r="AA631" s="150">
        <f t="shared" si="298"/>
        <v>0</v>
      </c>
      <c r="AB631" s="150">
        <f t="shared" si="298"/>
        <v>0</v>
      </c>
      <c r="AC631" s="150">
        <f t="shared" si="298"/>
        <v>0</v>
      </c>
      <c r="AD631" s="150">
        <f t="shared" si="298"/>
        <v>0</v>
      </c>
      <c r="AE631" s="150">
        <f t="shared" si="298"/>
        <v>0</v>
      </c>
      <c r="AF631" s="150">
        <f t="shared" si="298"/>
        <v>0</v>
      </c>
      <c r="AG631" s="150">
        <f t="shared" si="298"/>
        <v>0</v>
      </c>
      <c r="AH631" s="150">
        <f t="shared" si="298"/>
        <v>0</v>
      </c>
      <c r="AI631" s="150">
        <f t="shared" si="298"/>
        <v>0</v>
      </c>
      <c r="AJ631" s="150">
        <f t="shared" si="298"/>
        <v>0</v>
      </c>
      <c r="AK631" s="150">
        <f t="shared" si="298"/>
        <v>0</v>
      </c>
      <c r="AL631" s="150">
        <f t="shared" si="298"/>
        <v>0</v>
      </c>
      <c r="AM631" s="150">
        <f t="shared" si="298"/>
        <v>0</v>
      </c>
      <c r="AN631" s="150">
        <f t="shared" si="298"/>
        <v>0</v>
      </c>
      <c r="AO631" s="150">
        <f t="shared" si="298"/>
        <v>0</v>
      </c>
      <c r="AP631" s="150">
        <f t="shared" si="298"/>
        <v>0</v>
      </c>
    </row>
    <row r="632" spans="1:42" x14ac:dyDescent="0.2">
      <c r="A632" s="4" t="s">
        <v>21</v>
      </c>
      <c r="B632" s="150">
        <f t="shared" ref="B632:AP632" si="299">IF(B$2&lt;analysis_period,B634-B631,0)</f>
        <v>0</v>
      </c>
      <c r="C632" s="150">
        <f t="shared" si="299"/>
        <v>0</v>
      </c>
      <c r="D632" s="150">
        <f t="shared" si="299"/>
        <v>0</v>
      </c>
      <c r="E632" s="150">
        <f t="shared" si="299"/>
        <v>0</v>
      </c>
      <c r="F632" s="150">
        <f t="shared" si="299"/>
        <v>0</v>
      </c>
      <c r="G632" s="150">
        <f t="shared" si="299"/>
        <v>0</v>
      </c>
      <c r="H632" s="150">
        <f t="shared" si="299"/>
        <v>0</v>
      </c>
      <c r="I632" s="150">
        <f t="shared" si="299"/>
        <v>0</v>
      </c>
      <c r="J632" s="150">
        <f t="shared" si="299"/>
        <v>0</v>
      </c>
      <c r="K632" s="150">
        <f t="shared" si="299"/>
        <v>0</v>
      </c>
      <c r="L632" s="150">
        <f t="shared" si="299"/>
        <v>0</v>
      </c>
      <c r="M632" s="150">
        <f t="shared" si="299"/>
        <v>0</v>
      </c>
      <c r="N632" s="150">
        <f t="shared" si="299"/>
        <v>0</v>
      </c>
      <c r="O632" s="150">
        <f t="shared" si="299"/>
        <v>0</v>
      </c>
      <c r="P632" s="150">
        <f t="shared" si="299"/>
        <v>0</v>
      </c>
      <c r="Q632" s="150">
        <f t="shared" si="299"/>
        <v>0</v>
      </c>
      <c r="R632" s="150">
        <f t="shared" si="299"/>
        <v>0</v>
      </c>
      <c r="S632" s="150">
        <f t="shared" si="299"/>
        <v>0</v>
      </c>
      <c r="T632" s="150">
        <f t="shared" si="299"/>
        <v>0</v>
      </c>
      <c r="U632" s="150">
        <f t="shared" si="299"/>
        <v>0</v>
      </c>
      <c r="V632" s="150">
        <f t="shared" si="299"/>
        <v>0</v>
      </c>
      <c r="W632" s="150">
        <f t="shared" si="299"/>
        <v>0</v>
      </c>
      <c r="X632" s="150">
        <f t="shared" si="299"/>
        <v>0</v>
      </c>
      <c r="Y632" s="150">
        <f t="shared" si="299"/>
        <v>0</v>
      </c>
      <c r="Z632" s="150">
        <f t="shared" si="299"/>
        <v>0</v>
      </c>
      <c r="AA632" s="150">
        <f t="shared" si="299"/>
        <v>0</v>
      </c>
      <c r="AB632" s="150">
        <f t="shared" si="299"/>
        <v>0</v>
      </c>
      <c r="AC632" s="150">
        <f t="shared" si="299"/>
        <v>0</v>
      </c>
      <c r="AD632" s="150">
        <f t="shared" si="299"/>
        <v>0</v>
      </c>
      <c r="AE632" s="150">
        <f t="shared" si="299"/>
        <v>0</v>
      </c>
      <c r="AF632" s="150">
        <f t="shared" si="299"/>
        <v>0</v>
      </c>
      <c r="AG632" s="150">
        <f t="shared" si="299"/>
        <v>0</v>
      </c>
      <c r="AH632" s="150">
        <f t="shared" si="299"/>
        <v>0</v>
      </c>
      <c r="AI632" s="150">
        <f t="shared" si="299"/>
        <v>0</v>
      </c>
      <c r="AJ632" s="150">
        <f t="shared" si="299"/>
        <v>0</v>
      </c>
      <c r="AK632" s="150">
        <f t="shared" si="299"/>
        <v>0</v>
      </c>
      <c r="AL632" s="150">
        <f t="shared" si="299"/>
        <v>0</v>
      </c>
      <c r="AM632" s="150">
        <f t="shared" si="299"/>
        <v>0</v>
      </c>
      <c r="AN632" s="150">
        <f t="shared" si="299"/>
        <v>0</v>
      </c>
      <c r="AO632" s="150">
        <f t="shared" si="299"/>
        <v>0</v>
      </c>
      <c r="AP632" s="150">
        <f t="shared" si="299"/>
        <v>0</v>
      </c>
    </row>
    <row r="633" spans="1:42" x14ac:dyDescent="0.2">
      <c r="A633" s="4" t="s">
        <v>275</v>
      </c>
      <c r="B633" s="151">
        <v>0</v>
      </c>
      <c r="C633" s="151">
        <f t="shared" ref="C633:AP633" si="300">IF(C$2=analysis_period,-C631,0)</f>
        <v>0</v>
      </c>
      <c r="D633" s="151">
        <f t="shared" si="300"/>
        <v>0</v>
      </c>
      <c r="E633" s="151">
        <f t="shared" si="300"/>
        <v>0</v>
      </c>
      <c r="F633" s="151">
        <f t="shared" si="300"/>
        <v>0</v>
      </c>
      <c r="G633" s="151">
        <f t="shared" si="300"/>
        <v>0</v>
      </c>
      <c r="H633" s="151">
        <f t="shared" si="300"/>
        <v>0</v>
      </c>
      <c r="I633" s="151">
        <f t="shared" si="300"/>
        <v>0</v>
      </c>
      <c r="J633" s="151">
        <f t="shared" si="300"/>
        <v>0</v>
      </c>
      <c r="K633" s="151">
        <f t="shared" si="300"/>
        <v>0</v>
      </c>
      <c r="L633" s="151">
        <f t="shared" si="300"/>
        <v>0</v>
      </c>
      <c r="M633" s="151">
        <f t="shared" si="300"/>
        <v>0</v>
      </c>
      <c r="N633" s="151">
        <f t="shared" si="300"/>
        <v>0</v>
      </c>
      <c r="O633" s="151">
        <f t="shared" si="300"/>
        <v>0</v>
      </c>
      <c r="P633" s="151">
        <f t="shared" si="300"/>
        <v>0</v>
      </c>
      <c r="Q633" s="151">
        <f t="shared" si="300"/>
        <v>0</v>
      </c>
      <c r="R633" s="151">
        <f t="shared" si="300"/>
        <v>0</v>
      </c>
      <c r="S633" s="151">
        <f t="shared" si="300"/>
        <v>0</v>
      </c>
      <c r="T633" s="151">
        <f t="shared" si="300"/>
        <v>0</v>
      </c>
      <c r="U633" s="151">
        <f t="shared" si="300"/>
        <v>0</v>
      </c>
      <c r="V633" s="151">
        <f t="shared" si="300"/>
        <v>0</v>
      </c>
      <c r="W633" s="151">
        <f t="shared" si="300"/>
        <v>0</v>
      </c>
      <c r="X633" s="151">
        <f t="shared" si="300"/>
        <v>0</v>
      </c>
      <c r="Y633" s="151">
        <f t="shared" si="300"/>
        <v>0</v>
      </c>
      <c r="Z633" s="151">
        <f t="shared" si="300"/>
        <v>0</v>
      </c>
      <c r="AA633" s="151">
        <f t="shared" si="300"/>
        <v>0</v>
      </c>
      <c r="AB633" s="151">
        <f t="shared" si="300"/>
        <v>0</v>
      </c>
      <c r="AC633" s="151">
        <f t="shared" si="300"/>
        <v>0</v>
      </c>
      <c r="AD633" s="151">
        <f t="shared" si="300"/>
        <v>0</v>
      </c>
      <c r="AE633" s="151">
        <f t="shared" si="300"/>
        <v>0</v>
      </c>
      <c r="AF633" s="151">
        <f t="shared" si="300"/>
        <v>0</v>
      </c>
      <c r="AG633" s="151">
        <f t="shared" si="300"/>
        <v>0</v>
      </c>
      <c r="AH633" s="151">
        <f t="shared" si="300"/>
        <v>0</v>
      </c>
      <c r="AI633" s="151">
        <f t="shared" si="300"/>
        <v>0</v>
      </c>
      <c r="AJ633" s="151">
        <f t="shared" si="300"/>
        <v>0</v>
      </c>
      <c r="AK633" s="151">
        <f t="shared" si="300"/>
        <v>0</v>
      </c>
      <c r="AL633" s="151">
        <f t="shared" si="300"/>
        <v>0</v>
      </c>
      <c r="AM633" s="151">
        <f t="shared" si="300"/>
        <v>0</v>
      </c>
      <c r="AN633" s="151">
        <f t="shared" si="300"/>
        <v>0</v>
      </c>
      <c r="AO633" s="151">
        <f t="shared" si="300"/>
        <v>0</v>
      </c>
      <c r="AP633" s="151">
        <f t="shared" si="300"/>
        <v>0</v>
      </c>
    </row>
    <row r="634" spans="1:42" x14ac:dyDescent="0.2">
      <c r="A634" s="4" t="s">
        <v>232</v>
      </c>
      <c r="B634" s="150">
        <f t="shared" ref="B634:AP634" si="301">C$64*(months_working_reserve/12)</f>
        <v>0</v>
      </c>
      <c r="C634" s="150">
        <f t="shared" si="301"/>
        <v>0</v>
      </c>
      <c r="D634" s="150">
        <f t="shared" si="301"/>
        <v>0</v>
      </c>
      <c r="E634" s="150">
        <f t="shared" si="301"/>
        <v>0</v>
      </c>
      <c r="F634" s="150">
        <f t="shared" si="301"/>
        <v>0</v>
      </c>
      <c r="G634" s="150">
        <f t="shared" si="301"/>
        <v>0</v>
      </c>
      <c r="H634" s="150">
        <f t="shared" si="301"/>
        <v>0</v>
      </c>
      <c r="I634" s="150">
        <f t="shared" si="301"/>
        <v>0</v>
      </c>
      <c r="J634" s="150">
        <f t="shared" si="301"/>
        <v>0</v>
      </c>
      <c r="K634" s="150">
        <f t="shared" si="301"/>
        <v>0</v>
      </c>
      <c r="L634" s="150">
        <f t="shared" si="301"/>
        <v>0</v>
      </c>
      <c r="M634" s="150">
        <f t="shared" si="301"/>
        <v>0</v>
      </c>
      <c r="N634" s="150">
        <f t="shared" si="301"/>
        <v>0</v>
      </c>
      <c r="O634" s="150">
        <f t="shared" si="301"/>
        <v>0</v>
      </c>
      <c r="P634" s="150">
        <f t="shared" si="301"/>
        <v>0</v>
      </c>
      <c r="Q634" s="150">
        <f t="shared" si="301"/>
        <v>0</v>
      </c>
      <c r="R634" s="150">
        <f t="shared" si="301"/>
        <v>0</v>
      </c>
      <c r="S634" s="150">
        <f t="shared" si="301"/>
        <v>0</v>
      </c>
      <c r="T634" s="150">
        <f t="shared" si="301"/>
        <v>0</v>
      </c>
      <c r="U634" s="150">
        <f t="shared" si="301"/>
        <v>0</v>
      </c>
      <c r="V634" s="150">
        <f t="shared" si="301"/>
        <v>0</v>
      </c>
      <c r="W634" s="150">
        <f t="shared" si="301"/>
        <v>0</v>
      </c>
      <c r="X634" s="150">
        <f t="shared" si="301"/>
        <v>0</v>
      </c>
      <c r="Y634" s="150">
        <f t="shared" si="301"/>
        <v>0</v>
      </c>
      <c r="Z634" s="150">
        <f t="shared" si="301"/>
        <v>0</v>
      </c>
      <c r="AA634" s="150">
        <f t="shared" si="301"/>
        <v>0</v>
      </c>
      <c r="AB634" s="150">
        <f t="shared" si="301"/>
        <v>0</v>
      </c>
      <c r="AC634" s="150">
        <f t="shared" si="301"/>
        <v>0</v>
      </c>
      <c r="AD634" s="150">
        <f t="shared" si="301"/>
        <v>0</v>
      </c>
      <c r="AE634" s="150">
        <f t="shared" si="301"/>
        <v>0</v>
      </c>
      <c r="AF634" s="150">
        <f t="shared" si="301"/>
        <v>0</v>
      </c>
      <c r="AG634" s="150">
        <f t="shared" si="301"/>
        <v>0</v>
      </c>
      <c r="AH634" s="150">
        <f t="shared" si="301"/>
        <v>0</v>
      </c>
      <c r="AI634" s="150">
        <f t="shared" si="301"/>
        <v>0</v>
      </c>
      <c r="AJ634" s="150">
        <f t="shared" si="301"/>
        <v>0</v>
      </c>
      <c r="AK634" s="150">
        <f t="shared" si="301"/>
        <v>0</v>
      </c>
      <c r="AL634" s="150">
        <f t="shared" si="301"/>
        <v>0</v>
      </c>
      <c r="AM634" s="150">
        <f t="shared" si="301"/>
        <v>0</v>
      </c>
      <c r="AN634" s="150">
        <f t="shared" si="301"/>
        <v>0</v>
      </c>
      <c r="AO634" s="150">
        <f t="shared" si="301"/>
        <v>0</v>
      </c>
      <c r="AP634" s="150">
        <f t="shared" si="301"/>
        <v>0</v>
      </c>
    </row>
    <row r="635" spans="1:42" x14ac:dyDescent="0.2">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c r="AH635" s="150"/>
      <c r="AI635" s="150"/>
      <c r="AJ635" s="150"/>
      <c r="AK635" s="150"/>
      <c r="AL635" s="150"/>
      <c r="AM635" s="150"/>
      <c r="AN635" s="150"/>
      <c r="AO635" s="150"/>
      <c r="AP635" s="150"/>
    </row>
    <row r="636" spans="1:42" x14ac:dyDescent="0.2">
      <c r="A636" s="19" t="s">
        <v>284</v>
      </c>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c r="AH636" s="150"/>
      <c r="AI636" s="150"/>
      <c r="AJ636" s="150"/>
      <c r="AK636" s="150"/>
      <c r="AL636" s="150"/>
      <c r="AM636" s="150"/>
      <c r="AN636" s="150"/>
      <c r="AO636" s="150"/>
      <c r="AP636" s="150"/>
    </row>
    <row r="637" spans="1:42" x14ac:dyDescent="0.2">
      <c r="A637" s="4" t="s">
        <v>274</v>
      </c>
      <c r="B637" s="150">
        <v>0</v>
      </c>
      <c r="C637" s="150">
        <f>B640</f>
        <v>0</v>
      </c>
      <c r="D637" s="150">
        <f t="shared" ref="D637" si="302">C640</f>
        <v>0</v>
      </c>
      <c r="E637" s="150">
        <f t="shared" ref="E637" si="303">D640</f>
        <v>0</v>
      </c>
      <c r="F637" s="150">
        <f t="shared" ref="F637" si="304">E640</f>
        <v>0</v>
      </c>
      <c r="G637" s="150">
        <f t="shared" ref="G637" si="305">F640</f>
        <v>0</v>
      </c>
      <c r="H637" s="150">
        <f t="shared" ref="H637" si="306">G640</f>
        <v>0</v>
      </c>
      <c r="I637" s="150">
        <f t="shared" ref="I637" si="307">H640</f>
        <v>0</v>
      </c>
      <c r="J637" s="150">
        <f t="shared" ref="J637" si="308">I640</f>
        <v>0</v>
      </c>
      <c r="K637" s="150">
        <f t="shared" ref="K637" si="309">J640</f>
        <v>0</v>
      </c>
      <c r="L637" s="150">
        <f t="shared" ref="L637" si="310">K640</f>
        <v>0</v>
      </c>
      <c r="M637" s="150">
        <f t="shared" ref="M637" si="311">L640</f>
        <v>0</v>
      </c>
      <c r="N637" s="150">
        <f t="shared" ref="N637" si="312">M640</f>
        <v>0</v>
      </c>
      <c r="O637" s="150">
        <f t="shared" ref="O637" si="313">N640</f>
        <v>0</v>
      </c>
      <c r="P637" s="150">
        <f t="shared" ref="P637" si="314">O640</f>
        <v>0</v>
      </c>
      <c r="Q637" s="150">
        <f t="shared" ref="Q637" si="315">P640</f>
        <v>0</v>
      </c>
      <c r="R637" s="150">
        <f t="shared" ref="R637" si="316">Q640</f>
        <v>0</v>
      </c>
      <c r="S637" s="150">
        <f t="shared" ref="S637" si="317">R640</f>
        <v>0</v>
      </c>
      <c r="T637" s="150">
        <f t="shared" ref="T637" si="318">S640</f>
        <v>0</v>
      </c>
      <c r="U637" s="150">
        <f t="shared" ref="U637" si="319">T640</f>
        <v>0</v>
      </c>
      <c r="V637" s="150">
        <f t="shared" ref="V637" si="320">U640</f>
        <v>0</v>
      </c>
      <c r="W637" s="150">
        <f t="shared" ref="W637" si="321">V640</f>
        <v>0</v>
      </c>
      <c r="X637" s="150">
        <f t="shared" ref="X637" si="322">W640</f>
        <v>0</v>
      </c>
      <c r="Y637" s="150">
        <f t="shared" ref="Y637" si="323">X640</f>
        <v>0</v>
      </c>
      <c r="Z637" s="150">
        <f t="shared" ref="Z637" si="324">Y640</f>
        <v>0</v>
      </c>
      <c r="AA637" s="150">
        <f t="shared" ref="AA637" si="325">Z640</f>
        <v>0</v>
      </c>
      <c r="AB637" s="150">
        <f t="shared" ref="AB637" si="326">AA640</f>
        <v>0</v>
      </c>
      <c r="AC637" s="150">
        <f t="shared" ref="AC637" si="327">AB640</f>
        <v>0</v>
      </c>
      <c r="AD637" s="150">
        <f t="shared" ref="AD637" si="328">AC640</f>
        <v>0</v>
      </c>
      <c r="AE637" s="150">
        <f t="shared" ref="AE637" si="329">AD640</f>
        <v>0</v>
      </c>
      <c r="AF637" s="150">
        <f t="shared" ref="AF637" si="330">AE640</f>
        <v>0</v>
      </c>
      <c r="AG637" s="150">
        <f t="shared" ref="AG637" si="331">AF640</f>
        <v>0</v>
      </c>
      <c r="AH637" s="150">
        <f t="shared" ref="AH637" si="332">AG640</f>
        <v>0</v>
      </c>
      <c r="AI637" s="150">
        <f t="shared" ref="AI637" si="333">AH640</f>
        <v>0</v>
      </c>
      <c r="AJ637" s="150">
        <f t="shared" ref="AJ637" si="334">AI640</f>
        <v>0</v>
      </c>
      <c r="AK637" s="150">
        <f t="shared" ref="AK637" si="335">AJ640</f>
        <v>0</v>
      </c>
      <c r="AL637" s="150">
        <f t="shared" ref="AL637" si="336">AK640</f>
        <v>0</v>
      </c>
      <c r="AM637" s="150">
        <f t="shared" ref="AM637" si="337">AL640</f>
        <v>0</v>
      </c>
      <c r="AN637" s="150">
        <f t="shared" ref="AN637" si="338">AM640</f>
        <v>0</v>
      </c>
      <c r="AO637" s="150">
        <f t="shared" ref="AO637" si="339">AN640</f>
        <v>0</v>
      </c>
      <c r="AP637" s="150">
        <f t="shared" ref="AP637" si="340">AO640</f>
        <v>0</v>
      </c>
    </row>
    <row r="638" spans="1:42" x14ac:dyDescent="0.2">
      <c r="A638" s="4" t="s">
        <v>21</v>
      </c>
      <c r="B638" s="150">
        <f t="shared" ref="B638:AP638" si="341">IF(B$2&lt;analysis_period,B640-B637,0)</f>
        <v>0</v>
      </c>
      <c r="C638" s="150">
        <f t="shared" si="341"/>
        <v>0</v>
      </c>
      <c r="D638" s="150">
        <f t="shared" si="341"/>
        <v>0</v>
      </c>
      <c r="E638" s="150">
        <f t="shared" si="341"/>
        <v>0</v>
      </c>
      <c r="F638" s="150">
        <f t="shared" si="341"/>
        <v>0</v>
      </c>
      <c r="G638" s="150">
        <f t="shared" si="341"/>
        <v>0</v>
      </c>
      <c r="H638" s="150">
        <f t="shared" si="341"/>
        <v>0</v>
      </c>
      <c r="I638" s="150">
        <f t="shared" si="341"/>
        <v>0</v>
      </c>
      <c r="J638" s="150">
        <f t="shared" si="341"/>
        <v>0</v>
      </c>
      <c r="K638" s="150">
        <f t="shared" si="341"/>
        <v>0</v>
      </c>
      <c r="L638" s="150">
        <f t="shared" si="341"/>
        <v>0</v>
      </c>
      <c r="M638" s="150">
        <f t="shared" si="341"/>
        <v>0</v>
      </c>
      <c r="N638" s="150">
        <f t="shared" si="341"/>
        <v>0</v>
      </c>
      <c r="O638" s="150">
        <f t="shared" si="341"/>
        <v>0</v>
      </c>
      <c r="P638" s="150">
        <f t="shared" si="341"/>
        <v>0</v>
      </c>
      <c r="Q638" s="150">
        <f t="shared" si="341"/>
        <v>0</v>
      </c>
      <c r="R638" s="150">
        <f t="shared" si="341"/>
        <v>0</v>
      </c>
      <c r="S638" s="150">
        <f t="shared" si="341"/>
        <v>0</v>
      </c>
      <c r="T638" s="150">
        <f t="shared" si="341"/>
        <v>0</v>
      </c>
      <c r="U638" s="150">
        <f t="shared" si="341"/>
        <v>0</v>
      </c>
      <c r="V638" s="150">
        <f t="shared" si="341"/>
        <v>0</v>
      </c>
      <c r="W638" s="150">
        <f t="shared" si="341"/>
        <v>0</v>
      </c>
      <c r="X638" s="150">
        <f t="shared" si="341"/>
        <v>0</v>
      </c>
      <c r="Y638" s="150">
        <f t="shared" si="341"/>
        <v>0</v>
      </c>
      <c r="Z638" s="150">
        <f t="shared" si="341"/>
        <v>0</v>
      </c>
      <c r="AA638" s="150">
        <f t="shared" si="341"/>
        <v>0</v>
      </c>
      <c r="AB638" s="150">
        <f t="shared" si="341"/>
        <v>0</v>
      </c>
      <c r="AC638" s="150">
        <f t="shared" si="341"/>
        <v>0</v>
      </c>
      <c r="AD638" s="150">
        <f t="shared" si="341"/>
        <v>0</v>
      </c>
      <c r="AE638" s="150">
        <f t="shared" si="341"/>
        <v>0</v>
      </c>
      <c r="AF638" s="150">
        <f t="shared" si="341"/>
        <v>0</v>
      </c>
      <c r="AG638" s="150">
        <f t="shared" si="341"/>
        <v>0</v>
      </c>
      <c r="AH638" s="150">
        <f t="shared" si="341"/>
        <v>0</v>
      </c>
      <c r="AI638" s="150">
        <f t="shared" si="341"/>
        <v>0</v>
      </c>
      <c r="AJ638" s="150">
        <f t="shared" si="341"/>
        <v>0</v>
      </c>
      <c r="AK638" s="150">
        <f t="shared" si="341"/>
        <v>0</v>
      </c>
      <c r="AL638" s="150">
        <f t="shared" si="341"/>
        <v>0</v>
      </c>
      <c r="AM638" s="150">
        <f t="shared" si="341"/>
        <v>0</v>
      </c>
      <c r="AN638" s="150">
        <f t="shared" si="341"/>
        <v>0</v>
      </c>
      <c r="AO638" s="150">
        <f t="shared" si="341"/>
        <v>0</v>
      </c>
      <c r="AP638" s="150">
        <f t="shared" si="341"/>
        <v>0</v>
      </c>
    </row>
    <row r="639" spans="1:42" x14ac:dyDescent="0.2">
      <c r="A639" s="4" t="s">
        <v>275</v>
      </c>
      <c r="B639" s="151">
        <v>0</v>
      </c>
      <c r="C639" s="151">
        <f t="shared" ref="C639:AP639" si="342">IF(C$2=analysis_period,-C637,0)</f>
        <v>0</v>
      </c>
      <c r="D639" s="151">
        <f t="shared" si="342"/>
        <v>0</v>
      </c>
      <c r="E639" s="151">
        <f t="shared" si="342"/>
        <v>0</v>
      </c>
      <c r="F639" s="151">
        <f t="shared" si="342"/>
        <v>0</v>
      </c>
      <c r="G639" s="151">
        <f t="shared" si="342"/>
        <v>0</v>
      </c>
      <c r="H639" s="151">
        <f t="shared" si="342"/>
        <v>0</v>
      </c>
      <c r="I639" s="151">
        <f t="shared" si="342"/>
        <v>0</v>
      </c>
      <c r="J639" s="151">
        <f t="shared" si="342"/>
        <v>0</v>
      </c>
      <c r="K639" s="151">
        <f t="shared" si="342"/>
        <v>0</v>
      </c>
      <c r="L639" s="151">
        <f t="shared" si="342"/>
        <v>0</v>
      </c>
      <c r="M639" s="151">
        <f t="shared" si="342"/>
        <v>0</v>
      </c>
      <c r="N639" s="151">
        <f t="shared" si="342"/>
        <v>0</v>
      </c>
      <c r="O639" s="151">
        <f t="shared" si="342"/>
        <v>0</v>
      </c>
      <c r="P639" s="151">
        <f t="shared" si="342"/>
        <v>0</v>
      </c>
      <c r="Q639" s="151">
        <f t="shared" si="342"/>
        <v>0</v>
      </c>
      <c r="R639" s="151">
        <f t="shared" si="342"/>
        <v>0</v>
      </c>
      <c r="S639" s="151">
        <f t="shared" si="342"/>
        <v>0</v>
      </c>
      <c r="T639" s="151">
        <f t="shared" si="342"/>
        <v>0</v>
      </c>
      <c r="U639" s="151">
        <f t="shared" si="342"/>
        <v>0</v>
      </c>
      <c r="V639" s="151">
        <f t="shared" si="342"/>
        <v>0</v>
      </c>
      <c r="W639" s="151">
        <f t="shared" si="342"/>
        <v>0</v>
      </c>
      <c r="X639" s="151">
        <f t="shared" si="342"/>
        <v>0</v>
      </c>
      <c r="Y639" s="151">
        <f t="shared" si="342"/>
        <v>0</v>
      </c>
      <c r="Z639" s="151">
        <f t="shared" si="342"/>
        <v>0</v>
      </c>
      <c r="AA639" s="151">
        <f t="shared" si="342"/>
        <v>0</v>
      </c>
      <c r="AB639" s="151">
        <f t="shared" si="342"/>
        <v>0</v>
      </c>
      <c r="AC639" s="151">
        <f t="shared" si="342"/>
        <v>0</v>
      </c>
      <c r="AD639" s="151">
        <f t="shared" si="342"/>
        <v>0</v>
      </c>
      <c r="AE639" s="151">
        <f t="shared" si="342"/>
        <v>0</v>
      </c>
      <c r="AF639" s="151">
        <f t="shared" si="342"/>
        <v>0</v>
      </c>
      <c r="AG639" s="151">
        <f t="shared" si="342"/>
        <v>0</v>
      </c>
      <c r="AH639" s="151">
        <f t="shared" si="342"/>
        <v>0</v>
      </c>
      <c r="AI639" s="151">
        <f t="shared" si="342"/>
        <v>0</v>
      </c>
      <c r="AJ639" s="151">
        <f t="shared" si="342"/>
        <v>0</v>
      </c>
      <c r="AK639" s="151">
        <f t="shared" si="342"/>
        <v>0</v>
      </c>
      <c r="AL639" s="151">
        <f t="shared" si="342"/>
        <v>0</v>
      </c>
      <c r="AM639" s="151">
        <f t="shared" si="342"/>
        <v>0</v>
      </c>
      <c r="AN639" s="151">
        <f t="shared" si="342"/>
        <v>0</v>
      </c>
      <c r="AO639" s="151">
        <f t="shared" si="342"/>
        <v>0</v>
      </c>
      <c r="AP639" s="151">
        <f t="shared" si="342"/>
        <v>0</v>
      </c>
    </row>
    <row r="640" spans="1:42" x14ac:dyDescent="0.2">
      <c r="A640" s="4" t="s">
        <v>232</v>
      </c>
      <c r="B640" s="150">
        <f>C$22*(months_receivables_reserve/12)</f>
        <v>0</v>
      </c>
      <c r="C640" s="150">
        <f t="shared" ref="C640:AP640" si="343">D$22*(months_receivables_reserve/12)</f>
        <v>0</v>
      </c>
      <c r="D640" s="150">
        <f t="shared" si="343"/>
        <v>0</v>
      </c>
      <c r="E640" s="150">
        <f t="shared" si="343"/>
        <v>0</v>
      </c>
      <c r="F640" s="150">
        <f t="shared" si="343"/>
        <v>0</v>
      </c>
      <c r="G640" s="150">
        <f t="shared" si="343"/>
        <v>0</v>
      </c>
      <c r="H640" s="150">
        <f t="shared" si="343"/>
        <v>0</v>
      </c>
      <c r="I640" s="150">
        <f t="shared" si="343"/>
        <v>0</v>
      </c>
      <c r="J640" s="150">
        <f t="shared" si="343"/>
        <v>0</v>
      </c>
      <c r="K640" s="150">
        <f t="shared" si="343"/>
        <v>0</v>
      </c>
      <c r="L640" s="150">
        <f t="shared" si="343"/>
        <v>0</v>
      </c>
      <c r="M640" s="150">
        <f t="shared" si="343"/>
        <v>0</v>
      </c>
      <c r="N640" s="150">
        <f t="shared" si="343"/>
        <v>0</v>
      </c>
      <c r="O640" s="150">
        <f t="shared" si="343"/>
        <v>0</v>
      </c>
      <c r="P640" s="150">
        <f t="shared" si="343"/>
        <v>0</v>
      </c>
      <c r="Q640" s="150">
        <f t="shared" si="343"/>
        <v>0</v>
      </c>
      <c r="R640" s="150">
        <f t="shared" si="343"/>
        <v>0</v>
      </c>
      <c r="S640" s="150">
        <f t="shared" si="343"/>
        <v>0</v>
      </c>
      <c r="T640" s="150">
        <f t="shared" si="343"/>
        <v>0</v>
      </c>
      <c r="U640" s="150">
        <f t="shared" si="343"/>
        <v>0</v>
      </c>
      <c r="V640" s="150">
        <f t="shared" si="343"/>
        <v>0</v>
      </c>
      <c r="W640" s="150">
        <f t="shared" si="343"/>
        <v>0</v>
      </c>
      <c r="X640" s="150">
        <f t="shared" si="343"/>
        <v>0</v>
      </c>
      <c r="Y640" s="150">
        <f t="shared" si="343"/>
        <v>0</v>
      </c>
      <c r="Z640" s="150">
        <f t="shared" si="343"/>
        <v>0</v>
      </c>
      <c r="AA640" s="150">
        <f t="shared" si="343"/>
        <v>0</v>
      </c>
      <c r="AB640" s="150">
        <f t="shared" si="343"/>
        <v>0</v>
      </c>
      <c r="AC640" s="150">
        <f t="shared" si="343"/>
        <v>0</v>
      </c>
      <c r="AD640" s="150">
        <f t="shared" si="343"/>
        <v>0</v>
      </c>
      <c r="AE640" s="150">
        <f t="shared" si="343"/>
        <v>0</v>
      </c>
      <c r="AF640" s="150">
        <f t="shared" si="343"/>
        <v>0</v>
      </c>
      <c r="AG640" s="150">
        <f t="shared" si="343"/>
        <v>0</v>
      </c>
      <c r="AH640" s="150">
        <f t="shared" si="343"/>
        <v>0</v>
      </c>
      <c r="AI640" s="150">
        <f t="shared" si="343"/>
        <v>0</v>
      </c>
      <c r="AJ640" s="150">
        <f t="shared" si="343"/>
        <v>0</v>
      </c>
      <c r="AK640" s="150">
        <f t="shared" si="343"/>
        <v>0</v>
      </c>
      <c r="AL640" s="150">
        <f t="shared" si="343"/>
        <v>0</v>
      </c>
      <c r="AM640" s="150">
        <f t="shared" si="343"/>
        <v>0</v>
      </c>
      <c r="AN640" s="150">
        <f t="shared" si="343"/>
        <v>0</v>
      </c>
      <c r="AO640" s="150">
        <f t="shared" si="343"/>
        <v>0</v>
      </c>
      <c r="AP640" s="150">
        <f t="shared" si="343"/>
        <v>0</v>
      </c>
    </row>
    <row r="641" spans="1:42" x14ac:dyDescent="0.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row>
    <row r="642" spans="1:42" x14ac:dyDescent="0.2">
      <c r="A642" s="19" t="s">
        <v>276</v>
      </c>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row>
    <row r="643" spans="1:42" x14ac:dyDescent="0.2">
      <c r="A643" s="4" t="s">
        <v>274</v>
      </c>
      <c r="B643" s="150">
        <v>0</v>
      </c>
      <c r="C643" s="150">
        <f>B646</f>
        <v>0</v>
      </c>
      <c r="D643" s="150">
        <f t="shared" ref="D643:AP643" si="344">C646</f>
        <v>0</v>
      </c>
      <c r="E643" s="150">
        <f t="shared" si="344"/>
        <v>0</v>
      </c>
      <c r="F643" s="150">
        <f t="shared" si="344"/>
        <v>0</v>
      </c>
      <c r="G643" s="150">
        <f t="shared" si="344"/>
        <v>0</v>
      </c>
      <c r="H643" s="150">
        <f t="shared" si="344"/>
        <v>0</v>
      </c>
      <c r="I643" s="150">
        <f t="shared" si="344"/>
        <v>0</v>
      </c>
      <c r="J643" s="150">
        <f t="shared" si="344"/>
        <v>0</v>
      </c>
      <c r="K643" s="150">
        <f t="shared" si="344"/>
        <v>0</v>
      </c>
      <c r="L643" s="150">
        <f t="shared" si="344"/>
        <v>0</v>
      </c>
      <c r="M643" s="150">
        <f t="shared" si="344"/>
        <v>0</v>
      </c>
      <c r="N643" s="150">
        <f t="shared" si="344"/>
        <v>0</v>
      </c>
      <c r="O643" s="150">
        <f t="shared" si="344"/>
        <v>0</v>
      </c>
      <c r="P643" s="150">
        <f t="shared" si="344"/>
        <v>0</v>
      </c>
      <c r="Q643" s="150">
        <f t="shared" si="344"/>
        <v>0</v>
      </c>
      <c r="R643" s="150">
        <f t="shared" si="344"/>
        <v>0</v>
      </c>
      <c r="S643" s="150">
        <f t="shared" si="344"/>
        <v>0</v>
      </c>
      <c r="T643" s="150">
        <f t="shared" si="344"/>
        <v>0</v>
      </c>
      <c r="U643" s="150">
        <f t="shared" si="344"/>
        <v>0</v>
      </c>
      <c r="V643" s="150">
        <f t="shared" si="344"/>
        <v>0</v>
      </c>
      <c r="W643" s="150">
        <f t="shared" si="344"/>
        <v>0</v>
      </c>
      <c r="X643" s="150">
        <f t="shared" si="344"/>
        <v>0</v>
      </c>
      <c r="Y643" s="150">
        <f t="shared" si="344"/>
        <v>0</v>
      </c>
      <c r="Z643" s="150">
        <f t="shared" si="344"/>
        <v>0</v>
      </c>
      <c r="AA643" s="150">
        <f t="shared" si="344"/>
        <v>0</v>
      </c>
      <c r="AB643" s="150">
        <f t="shared" si="344"/>
        <v>0</v>
      </c>
      <c r="AC643" s="150">
        <f t="shared" si="344"/>
        <v>0</v>
      </c>
      <c r="AD643" s="150">
        <f t="shared" si="344"/>
        <v>0</v>
      </c>
      <c r="AE643" s="150">
        <f t="shared" si="344"/>
        <v>0</v>
      </c>
      <c r="AF643" s="150">
        <f t="shared" si="344"/>
        <v>0</v>
      </c>
      <c r="AG643" s="150">
        <f t="shared" si="344"/>
        <v>0</v>
      </c>
      <c r="AH643" s="150">
        <f t="shared" si="344"/>
        <v>0</v>
      </c>
      <c r="AI643" s="150">
        <f t="shared" si="344"/>
        <v>0</v>
      </c>
      <c r="AJ643" s="150">
        <f t="shared" si="344"/>
        <v>0</v>
      </c>
      <c r="AK643" s="150">
        <f t="shared" si="344"/>
        <v>0</v>
      </c>
      <c r="AL643" s="150">
        <f t="shared" si="344"/>
        <v>0</v>
      </c>
      <c r="AM643" s="150">
        <f t="shared" si="344"/>
        <v>0</v>
      </c>
      <c r="AN643" s="150">
        <f t="shared" si="344"/>
        <v>0</v>
      </c>
      <c r="AO643" s="150">
        <f t="shared" si="344"/>
        <v>0</v>
      </c>
      <c r="AP643" s="150">
        <f t="shared" si="344"/>
        <v>0</v>
      </c>
    </row>
    <row r="644" spans="1:42" x14ac:dyDescent="0.2">
      <c r="A644" s="4" t="s">
        <v>59</v>
      </c>
      <c r="B644" s="150">
        <v>0</v>
      </c>
      <c r="C644" s="150">
        <f>C672</f>
        <v>0</v>
      </c>
      <c r="D644" s="150">
        <f t="shared" ref="D644:AP644" si="345">D672</f>
        <v>0</v>
      </c>
      <c r="E644" s="150">
        <f t="shared" si="345"/>
        <v>0</v>
      </c>
      <c r="F644" s="150">
        <f t="shared" si="345"/>
        <v>0</v>
      </c>
      <c r="G644" s="150">
        <f t="shared" si="345"/>
        <v>0</v>
      </c>
      <c r="H644" s="150">
        <f t="shared" si="345"/>
        <v>0</v>
      </c>
      <c r="I644" s="150">
        <f t="shared" si="345"/>
        <v>0</v>
      </c>
      <c r="J644" s="150">
        <f t="shared" si="345"/>
        <v>0</v>
      </c>
      <c r="K644" s="150">
        <f t="shared" si="345"/>
        <v>0</v>
      </c>
      <c r="L644" s="150">
        <f t="shared" si="345"/>
        <v>0</v>
      </c>
      <c r="M644" s="150">
        <f t="shared" si="345"/>
        <v>0</v>
      </c>
      <c r="N644" s="150">
        <f t="shared" si="345"/>
        <v>0</v>
      </c>
      <c r="O644" s="150">
        <f t="shared" si="345"/>
        <v>0</v>
      </c>
      <c r="P644" s="150">
        <f t="shared" si="345"/>
        <v>0</v>
      </c>
      <c r="Q644" s="150">
        <f t="shared" si="345"/>
        <v>0</v>
      </c>
      <c r="R644" s="150">
        <f t="shared" si="345"/>
        <v>0</v>
      </c>
      <c r="S644" s="150">
        <f t="shared" si="345"/>
        <v>0</v>
      </c>
      <c r="T644" s="150">
        <f t="shared" si="345"/>
        <v>0</v>
      </c>
      <c r="U644" s="150">
        <f t="shared" si="345"/>
        <v>0</v>
      </c>
      <c r="V644" s="150">
        <f t="shared" si="345"/>
        <v>0</v>
      </c>
      <c r="W644" s="150">
        <f t="shared" si="345"/>
        <v>0</v>
      </c>
      <c r="X644" s="150">
        <f t="shared" si="345"/>
        <v>0</v>
      </c>
      <c r="Y644" s="150">
        <f t="shared" si="345"/>
        <v>0</v>
      </c>
      <c r="Z644" s="150">
        <f t="shared" si="345"/>
        <v>0</v>
      </c>
      <c r="AA644" s="150">
        <f t="shared" si="345"/>
        <v>0</v>
      </c>
      <c r="AB644" s="150">
        <f t="shared" si="345"/>
        <v>0</v>
      </c>
      <c r="AC644" s="150">
        <f t="shared" si="345"/>
        <v>0</v>
      </c>
      <c r="AD644" s="150">
        <f t="shared" si="345"/>
        <v>0</v>
      </c>
      <c r="AE644" s="150">
        <f t="shared" si="345"/>
        <v>0</v>
      </c>
      <c r="AF644" s="150">
        <f t="shared" si="345"/>
        <v>0</v>
      </c>
      <c r="AG644" s="150">
        <f t="shared" si="345"/>
        <v>0</v>
      </c>
      <c r="AH644" s="150">
        <f t="shared" si="345"/>
        <v>0</v>
      </c>
      <c r="AI644" s="150">
        <f t="shared" si="345"/>
        <v>0</v>
      </c>
      <c r="AJ644" s="150">
        <f t="shared" si="345"/>
        <v>0</v>
      </c>
      <c r="AK644" s="150">
        <f t="shared" si="345"/>
        <v>0</v>
      </c>
      <c r="AL644" s="150">
        <f t="shared" si="345"/>
        <v>0</v>
      </c>
      <c r="AM644" s="150">
        <f t="shared" si="345"/>
        <v>0</v>
      </c>
      <c r="AN644" s="150">
        <f t="shared" si="345"/>
        <v>0</v>
      </c>
      <c r="AO644" s="150">
        <f t="shared" si="345"/>
        <v>0</v>
      </c>
      <c r="AP644" s="150">
        <f t="shared" si="345"/>
        <v>0</v>
      </c>
    </row>
    <row r="645" spans="1:42" x14ac:dyDescent="0.2">
      <c r="A645" s="4" t="s">
        <v>275</v>
      </c>
      <c r="B645" s="151">
        <v>0</v>
      </c>
      <c r="C645" s="151">
        <f>-C660</f>
        <v>0</v>
      </c>
      <c r="D645" s="151">
        <f t="shared" ref="D645:AP645" si="346">-D660</f>
        <v>0</v>
      </c>
      <c r="E645" s="151">
        <f t="shared" si="346"/>
        <v>0</v>
      </c>
      <c r="F645" s="151">
        <f t="shared" si="346"/>
        <v>0</v>
      </c>
      <c r="G645" s="151">
        <f t="shared" si="346"/>
        <v>0</v>
      </c>
      <c r="H645" s="151">
        <f t="shared" si="346"/>
        <v>0</v>
      </c>
      <c r="I645" s="151">
        <f t="shared" si="346"/>
        <v>0</v>
      </c>
      <c r="J645" s="151">
        <f t="shared" si="346"/>
        <v>0</v>
      </c>
      <c r="K645" s="151">
        <f t="shared" si="346"/>
        <v>0</v>
      </c>
      <c r="L645" s="151">
        <f t="shared" si="346"/>
        <v>0</v>
      </c>
      <c r="M645" s="151">
        <f t="shared" si="346"/>
        <v>0</v>
      </c>
      <c r="N645" s="151">
        <f t="shared" si="346"/>
        <v>0</v>
      </c>
      <c r="O645" s="151">
        <f t="shared" si="346"/>
        <v>0</v>
      </c>
      <c r="P645" s="151">
        <f t="shared" si="346"/>
        <v>0</v>
      </c>
      <c r="Q645" s="151">
        <f t="shared" si="346"/>
        <v>0</v>
      </c>
      <c r="R645" s="151">
        <f t="shared" si="346"/>
        <v>0</v>
      </c>
      <c r="S645" s="151">
        <f t="shared" si="346"/>
        <v>0</v>
      </c>
      <c r="T645" s="151">
        <f t="shared" si="346"/>
        <v>0</v>
      </c>
      <c r="U645" s="151">
        <f t="shared" si="346"/>
        <v>0</v>
      </c>
      <c r="V645" s="151">
        <f t="shared" si="346"/>
        <v>0</v>
      </c>
      <c r="W645" s="151">
        <f t="shared" si="346"/>
        <v>0</v>
      </c>
      <c r="X645" s="151">
        <f t="shared" si="346"/>
        <v>0</v>
      </c>
      <c r="Y645" s="151">
        <f t="shared" si="346"/>
        <v>0</v>
      </c>
      <c r="Z645" s="151">
        <f t="shared" si="346"/>
        <v>0</v>
      </c>
      <c r="AA645" s="151">
        <f t="shared" si="346"/>
        <v>0</v>
      </c>
      <c r="AB645" s="151">
        <f t="shared" si="346"/>
        <v>0</v>
      </c>
      <c r="AC645" s="151">
        <f t="shared" si="346"/>
        <v>0</v>
      </c>
      <c r="AD645" s="151">
        <f t="shared" si="346"/>
        <v>0</v>
      </c>
      <c r="AE645" s="151">
        <f t="shared" si="346"/>
        <v>0</v>
      </c>
      <c r="AF645" s="151">
        <f t="shared" si="346"/>
        <v>0</v>
      </c>
      <c r="AG645" s="151">
        <f t="shared" si="346"/>
        <v>0</v>
      </c>
      <c r="AH645" s="151">
        <f t="shared" si="346"/>
        <v>0</v>
      </c>
      <c r="AI645" s="151">
        <f t="shared" si="346"/>
        <v>0</v>
      </c>
      <c r="AJ645" s="151">
        <f t="shared" si="346"/>
        <v>0</v>
      </c>
      <c r="AK645" s="151">
        <f t="shared" si="346"/>
        <v>0</v>
      </c>
      <c r="AL645" s="151">
        <f t="shared" si="346"/>
        <v>0</v>
      </c>
      <c r="AM645" s="151">
        <f t="shared" si="346"/>
        <v>0</v>
      </c>
      <c r="AN645" s="151">
        <f t="shared" si="346"/>
        <v>0</v>
      </c>
      <c r="AO645" s="151">
        <f t="shared" si="346"/>
        <v>0</v>
      </c>
      <c r="AP645" s="151">
        <f t="shared" si="346"/>
        <v>0</v>
      </c>
    </row>
    <row r="646" spans="1:42" x14ac:dyDescent="0.2">
      <c r="A646" s="4" t="s">
        <v>232</v>
      </c>
      <c r="B646" s="150">
        <f>SUM(B643:B645)</f>
        <v>0</v>
      </c>
      <c r="C646" s="150">
        <f>SUM(C643:C645)</f>
        <v>0</v>
      </c>
      <c r="D646" s="150">
        <f t="shared" ref="D646:AP646" si="347">SUM(D643:D645)</f>
        <v>0</v>
      </c>
      <c r="E646" s="150">
        <f t="shared" si="347"/>
        <v>0</v>
      </c>
      <c r="F646" s="150">
        <f t="shared" si="347"/>
        <v>0</v>
      </c>
      <c r="G646" s="150">
        <f t="shared" si="347"/>
        <v>0</v>
      </c>
      <c r="H646" s="150">
        <f t="shared" si="347"/>
        <v>0</v>
      </c>
      <c r="I646" s="150">
        <f t="shared" si="347"/>
        <v>0</v>
      </c>
      <c r="J646" s="150">
        <f t="shared" si="347"/>
        <v>0</v>
      </c>
      <c r="K646" s="150">
        <f t="shared" si="347"/>
        <v>0</v>
      </c>
      <c r="L646" s="150">
        <f t="shared" si="347"/>
        <v>0</v>
      </c>
      <c r="M646" s="150">
        <f t="shared" si="347"/>
        <v>0</v>
      </c>
      <c r="N646" s="150">
        <f t="shared" si="347"/>
        <v>0</v>
      </c>
      <c r="O646" s="150">
        <f t="shared" si="347"/>
        <v>0</v>
      </c>
      <c r="P646" s="150">
        <f t="shared" si="347"/>
        <v>0</v>
      </c>
      <c r="Q646" s="150">
        <f t="shared" si="347"/>
        <v>0</v>
      </c>
      <c r="R646" s="150">
        <f t="shared" si="347"/>
        <v>0</v>
      </c>
      <c r="S646" s="150">
        <f t="shared" si="347"/>
        <v>0</v>
      </c>
      <c r="T646" s="150">
        <f t="shared" si="347"/>
        <v>0</v>
      </c>
      <c r="U646" s="150">
        <f t="shared" si="347"/>
        <v>0</v>
      </c>
      <c r="V646" s="150">
        <f t="shared" si="347"/>
        <v>0</v>
      </c>
      <c r="W646" s="150">
        <f t="shared" si="347"/>
        <v>0</v>
      </c>
      <c r="X646" s="150">
        <f t="shared" si="347"/>
        <v>0</v>
      </c>
      <c r="Y646" s="150">
        <f t="shared" si="347"/>
        <v>0</v>
      </c>
      <c r="Z646" s="150">
        <f t="shared" si="347"/>
        <v>0</v>
      </c>
      <c r="AA646" s="150">
        <f t="shared" si="347"/>
        <v>0</v>
      </c>
      <c r="AB646" s="150">
        <f t="shared" si="347"/>
        <v>0</v>
      </c>
      <c r="AC646" s="150">
        <f t="shared" si="347"/>
        <v>0</v>
      </c>
      <c r="AD646" s="150">
        <f t="shared" si="347"/>
        <v>0</v>
      </c>
      <c r="AE646" s="150">
        <f t="shared" si="347"/>
        <v>0</v>
      </c>
      <c r="AF646" s="150">
        <f t="shared" si="347"/>
        <v>0</v>
      </c>
      <c r="AG646" s="150">
        <f t="shared" si="347"/>
        <v>0</v>
      </c>
      <c r="AH646" s="150">
        <f t="shared" si="347"/>
        <v>0</v>
      </c>
      <c r="AI646" s="150">
        <f t="shared" si="347"/>
        <v>0</v>
      </c>
      <c r="AJ646" s="150">
        <f t="shared" si="347"/>
        <v>0</v>
      </c>
      <c r="AK646" s="150">
        <f t="shared" si="347"/>
        <v>0</v>
      </c>
      <c r="AL646" s="150">
        <f t="shared" si="347"/>
        <v>0</v>
      </c>
      <c r="AM646" s="150">
        <f t="shared" si="347"/>
        <v>0</v>
      </c>
      <c r="AN646" s="150">
        <f t="shared" si="347"/>
        <v>0</v>
      </c>
      <c r="AO646" s="150">
        <f t="shared" si="347"/>
        <v>0</v>
      </c>
      <c r="AP646" s="150">
        <f t="shared" si="347"/>
        <v>0</v>
      </c>
    </row>
    <row r="647" spans="1:42" x14ac:dyDescent="0.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row>
    <row r="648" spans="1:42" x14ac:dyDescent="0.2">
      <c r="A648" s="4" t="s">
        <v>277</v>
      </c>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row>
    <row r="649" spans="1:42" x14ac:dyDescent="0.2">
      <c r="A649" s="4" t="s">
        <v>278</v>
      </c>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row>
    <row r="650" spans="1:42" x14ac:dyDescent="0.2">
      <c r="A650" s="4">
        <v>1</v>
      </c>
      <c r="B650" s="168">
        <f t="shared" ref="B650:B659" si="348">SUM(C650:AP650)</f>
        <v>0</v>
      </c>
      <c r="C650" s="150">
        <f t="shared" ref="C650:AP650" si="349">IF(C$2&gt;analysis_period,0,IF(C$2=equip1_reserve_freq*$A650,equip1_reserve_cost*system_capacity*1000*(1+inflation_rate/100)^B$2,0))</f>
        <v>0</v>
      </c>
      <c r="D650" s="150">
        <f t="shared" si="349"/>
        <v>0</v>
      </c>
      <c r="E650" s="150">
        <f t="shared" si="349"/>
        <v>0</v>
      </c>
      <c r="F650" s="150">
        <f t="shared" si="349"/>
        <v>0</v>
      </c>
      <c r="G650" s="150">
        <f t="shared" si="349"/>
        <v>0</v>
      </c>
      <c r="H650" s="150">
        <f t="shared" si="349"/>
        <v>0</v>
      </c>
      <c r="I650" s="150">
        <f t="shared" si="349"/>
        <v>0</v>
      </c>
      <c r="J650" s="150">
        <f t="shared" si="349"/>
        <v>0</v>
      </c>
      <c r="K650" s="150">
        <f t="shared" si="349"/>
        <v>0</v>
      </c>
      <c r="L650" s="150">
        <f t="shared" si="349"/>
        <v>0</v>
      </c>
      <c r="M650" s="150">
        <f t="shared" si="349"/>
        <v>0</v>
      </c>
      <c r="N650" s="150">
        <f t="shared" si="349"/>
        <v>0</v>
      </c>
      <c r="O650" s="150">
        <f t="shared" si="349"/>
        <v>0</v>
      </c>
      <c r="P650" s="150">
        <f t="shared" si="349"/>
        <v>0</v>
      </c>
      <c r="Q650" s="150">
        <f t="shared" si="349"/>
        <v>0</v>
      </c>
      <c r="R650" s="150">
        <f t="shared" si="349"/>
        <v>0</v>
      </c>
      <c r="S650" s="150">
        <f t="shared" si="349"/>
        <v>0</v>
      </c>
      <c r="T650" s="150">
        <f t="shared" si="349"/>
        <v>0</v>
      </c>
      <c r="U650" s="150">
        <f t="shared" si="349"/>
        <v>0</v>
      </c>
      <c r="V650" s="150">
        <f t="shared" si="349"/>
        <v>0</v>
      </c>
      <c r="W650" s="150">
        <f t="shared" si="349"/>
        <v>0</v>
      </c>
      <c r="X650" s="150">
        <f t="shared" si="349"/>
        <v>0</v>
      </c>
      <c r="Y650" s="150">
        <f t="shared" si="349"/>
        <v>0</v>
      </c>
      <c r="Z650" s="150">
        <f t="shared" si="349"/>
        <v>0</v>
      </c>
      <c r="AA650" s="150">
        <f t="shared" si="349"/>
        <v>0</v>
      </c>
      <c r="AB650" s="150">
        <f t="shared" si="349"/>
        <v>0</v>
      </c>
      <c r="AC650" s="150">
        <f t="shared" si="349"/>
        <v>0</v>
      </c>
      <c r="AD650" s="150">
        <f t="shared" si="349"/>
        <v>0</v>
      </c>
      <c r="AE650" s="150">
        <f t="shared" si="349"/>
        <v>0</v>
      </c>
      <c r="AF650" s="150">
        <f t="shared" si="349"/>
        <v>0</v>
      </c>
      <c r="AG650" s="150">
        <f t="shared" si="349"/>
        <v>0</v>
      </c>
      <c r="AH650" s="150">
        <f t="shared" si="349"/>
        <v>0</v>
      </c>
      <c r="AI650" s="150">
        <f t="shared" si="349"/>
        <v>0</v>
      </c>
      <c r="AJ650" s="150">
        <f t="shared" si="349"/>
        <v>0</v>
      </c>
      <c r="AK650" s="150">
        <f t="shared" si="349"/>
        <v>0</v>
      </c>
      <c r="AL650" s="150">
        <f t="shared" si="349"/>
        <v>0</v>
      </c>
      <c r="AM650" s="150">
        <f t="shared" si="349"/>
        <v>0</v>
      </c>
      <c r="AN650" s="150">
        <f t="shared" si="349"/>
        <v>0</v>
      </c>
      <c r="AO650" s="150">
        <f t="shared" si="349"/>
        <v>0</v>
      </c>
      <c r="AP650" s="150">
        <f t="shared" si="349"/>
        <v>0</v>
      </c>
    </row>
    <row r="651" spans="1:42" x14ac:dyDescent="0.2">
      <c r="A651" s="4">
        <f>A650+1</f>
        <v>2</v>
      </c>
      <c r="B651" s="168">
        <f t="shared" si="348"/>
        <v>0</v>
      </c>
      <c r="C651" s="150">
        <f t="shared" ref="C651:AP651" si="350">IF(C$2&gt;analysis_period,0,IF(C$2=equip1_reserve_freq*$A651,equip1_reserve_cost*system_capacity*1000*(1+inflation_rate/100)^B$2,0))</f>
        <v>0</v>
      </c>
      <c r="D651" s="150">
        <f t="shared" si="350"/>
        <v>0</v>
      </c>
      <c r="E651" s="150">
        <f t="shared" si="350"/>
        <v>0</v>
      </c>
      <c r="F651" s="150">
        <f t="shared" si="350"/>
        <v>0</v>
      </c>
      <c r="G651" s="150">
        <f t="shared" si="350"/>
        <v>0</v>
      </c>
      <c r="H651" s="150">
        <f t="shared" si="350"/>
        <v>0</v>
      </c>
      <c r="I651" s="150">
        <f t="shared" si="350"/>
        <v>0</v>
      </c>
      <c r="J651" s="150">
        <f t="shared" si="350"/>
        <v>0</v>
      </c>
      <c r="K651" s="150">
        <f t="shared" si="350"/>
        <v>0</v>
      </c>
      <c r="L651" s="150">
        <f t="shared" si="350"/>
        <v>0</v>
      </c>
      <c r="M651" s="150">
        <f t="shared" si="350"/>
        <v>0</v>
      </c>
      <c r="N651" s="150">
        <f t="shared" si="350"/>
        <v>0</v>
      </c>
      <c r="O651" s="150">
        <f t="shared" si="350"/>
        <v>0</v>
      </c>
      <c r="P651" s="150">
        <f t="shared" si="350"/>
        <v>0</v>
      </c>
      <c r="Q651" s="150">
        <f t="shared" si="350"/>
        <v>0</v>
      </c>
      <c r="R651" s="150">
        <f t="shared" si="350"/>
        <v>0</v>
      </c>
      <c r="S651" s="150">
        <f t="shared" si="350"/>
        <v>0</v>
      </c>
      <c r="T651" s="150">
        <f t="shared" si="350"/>
        <v>0</v>
      </c>
      <c r="U651" s="150">
        <f t="shared" si="350"/>
        <v>0</v>
      </c>
      <c r="V651" s="150">
        <f t="shared" si="350"/>
        <v>0</v>
      </c>
      <c r="W651" s="150">
        <f t="shared" si="350"/>
        <v>0</v>
      </c>
      <c r="X651" s="150">
        <f t="shared" si="350"/>
        <v>0</v>
      </c>
      <c r="Y651" s="150">
        <f t="shared" si="350"/>
        <v>0</v>
      </c>
      <c r="Z651" s="150">
        <f t="shared" si="350"/>
        <v>0</v>
      </c>
      <c r="AA651" s="150">
        <f t="shared" si="350"/>
        <v>0</v>
      </c>
      <c r="AB651" s="150">
        <f t="shared" si="350"/>
        <v>0</v>
      </c>
      <c r="AC651" s="150">
        <f t="shared" si="350"/>
        <v>0</v>
      </c>
      <c r="AD651" s="150">
        <f t="shared" si="350"/>
        <v>0</v>
      </c>
      <c r="AE651" s="150">
        <f t="shared" si="350"/>
        <v>0</v>
      </c>
      <c r="AF651" s="150">
        <f t="shared" si="350"/>
        <v>0</v>
      </c>
      <c r="AG651" s="150">
        <f t="shared" si="350"/>
        <v>0</v>
      </c>
      <c r="AH651" s="150">
        <f t="shared" si="350"/>
        <v>0</v>
      </c>
      <c r="AI651" s="150">
        <f t="shared" si="350"/>
        <v>0</v>
      </c>
      <c r="AJ651" s="150">
        <f t="shared" si="350"/>
        <v>0</v>
      </c>
      <c r="AK651" s="150">
        <f t="shared" si="350"/>
        <v>0</v>
      </c>
      <c r="AL651" s="150">
        <f t="shared" si="350"/>
        <v>0</v>
      </c>
      <c r="AM651" s="150">
        <f t="shared" si="350"/>
        <v>0</v>
      </c>
      <c r="AN651" s="150">
        <f t="shared" si="350"/>
        <v>0</v>
      </c>
      <c r="AO651" s="150">
        <f t="shared" si="350"/>
        <v>0</v>
      </c>
      <c r="AP651" s="150">
        <f t="shared" si="350"/>
        <v>0</v>
      </c>
    </row>
    <row r="652" spans="1:42" x14ac:dyDescent="0.2">
      <c r="A652" s="4">
        <f t="shared" ref="A652:A659" si="351">A651+1</f>
        <v>3</v>
      </c>
      <c r="B652" s="168">
        <f t="shared" si="348"/>
        <v>0</v>
      </c>
      <c r="C652" s="150">
        <f t="shared" ref="C652:AP652" si="352">IF(C$2&gt;analysis_period,0,IF(C$2=equip1_reserve_freq*$A652,equip1_reserve_cost*system_capacity*1000*(1+inflation_rate/100)^B$2,0))</f>
        <v>0</v>
      </c>
      <c r="D652" s="150">
        <f t="shared" si="352"/>
        <v>0</v>
      </c>
      <c r="E652" s="150">
        <f t="shared" si="352"/>
        <v>0</v>
      </c>
      <c r="F652" s="150">
        <f t="shared" si="352"/>
        <v>0</v>
      </c>
      <c r="G652" s="150">
        <f t="shared" si="352"/>
        <v>0</v>
      </c>
      <c r="H652" s="150">
        <f t="shared" si="352"/>
        <v>0</v>
      </c>
      <c r="I652" s="150">
        <f t="shared" si="352"/>
        <v>0</v>
      </c>
      <c r="J652" s="150">
        <f t="shared" si="352"/>
        <v>0</v>
      </c>
      <c r="K652" s="150">
        <f t="shared" si="352"/>
        <v>0</v>
      </c>
      <c r="L652" s="150">
        <f t="shared" si="352"/>
        <v>0</v>
      </c>
      <c r="M652" s="150">
        <f t="shared" si="352"/>
        <v>0</v>
      </c>
      <c r="N652" s="150">
        <f t="shared" si="352"/>
        <v>0</v>
      </c>
      <c r="O652" s="150">
        <f t="shared" si="352"/>
        <v>0</v>
      </c>
      <c r="P652" s="150">
        <f t="shared" si="352"/>
        <v>0</v>
      </c>
      <c r="Q652" s="150">
        <f t="shared" si="352"/>
        <v>0</v>
      </c>
      <c r="R652" s="150">
        <f t="shared" si="352"/>
        <v>0</v>
      </c>
      <c r="S652" s="150">
        <f t="shared" si="352"/>
        <v>0</v>
      </c>
      <c r="T652" s="150">
        <f t="shared" si="352"/>
        <v>0</v>
      </c>
      <c r="U652" s="150">
        <f t="shared" si="352"/>
        <v>0</v>
      </c>
      <c r="V652" s="150">
        <f t="shared" si="352"/>
        <v>0</v>
      </c>
      <c r="W652" s="150">
        <f t="shared" si="352"/>
        <v>0</v>
      </c>
      <c r="X652" s="150">
        <f t="shared" si="352"/>
        <v>0</v>
      </c>
      <c r="Y652" s="150">
        <f t="shared" si="352"/>
        <v>0</v>
      </c>
      <c r="Z652" s="150">
        <f t="shared" si="352"/>
        <v>0</v>
      </c>
      <c r="AA652" s="150">
        <f t="shared" si="352"/>
        <v>0</v>
      </c>
      <c r="AB652" s="150">
        <f t="shared" si="352"/>
        <v>0</v>
      </c>
      <c r="AC652" s="150">
        <f t="shared" si="352"/>
        <v>0</v>
      </c>
      <c r="AD652" s="150">
        <f t="shared" si="352"/>
        <v>0</v>
      </c>
      <c r="AE652" s="150">
        <f t="shared" si="352"/>
        <v>0</v>
      </c>
      <c r="AF652" s="150">
        <f t="shared" si="352"/>
        <v>0</v>
      </c>
      <c r="AG652" s="150">
        <f t="shared" si="352"/>
        <v>0</v>
      </c>
      <c r="AH652" s="150">
        <f t="shared" si="352"/>
        <v>0</v>
      </c>
      <c r="AI652" s="150">
        <f t="shared" si="352"/>
        <v>0</v>
      </c>
      <c r="AJ652" s="150">
        <f t="shared" si="352"/>
        <v>0</v>
      </c>
      <c r="AK652" s="150">
        <f t="shared" si="352"/>
        <v>0</v>
      </c>
      <c r="AL652" s="150">
        <f t="shared" si="352"/>
        <v>0</v>
      </c>
      <c r="AM652" s="150">
        <f t="shared" si="352"/>
        <v>0</v>
      </c>
      <c r="AN652" s="150">
        <f t="shared" si="352"/>
        <v>0</v>
      </c>
      <c r="AO652" s="150">
        <f t="shared" si="352"/>
        <v>0</v>
      </c>
      <c r="AP652" s="150">
        <f t="shared" si="352"/>
        <v>0</v>
      </c>
    </row>
    <row r="653" spans="1:42" x14ac:dyDescent="0.2">
      <c r="A653" s="4">
        <f t="shared" si="351"/>
        <v>4</v>
      </c>
      <c r="B653" s="168">
        <f t="shared" si="348"/>
        <v>0</v>
      </c>
      <c r="C653" s="150">
        <f t="shared" ref="C653:AP653" si="353">IF(C$2&gt;analysis_period,0,IF(C$2=equip1_reserve_freq*$A653,equip1_reserve_cost*system_capacity*1000*(1+inflation_rate/100)^B$2,0))</f>
        <v>0</v>
      </c>
      <c r="D653" s="150">
        <f t="shared" si="353"/>
        <v>0</v>
      </c>
      <c r="E653" s="150">
        <f t="shared" si="353"/>
        <v>0</v>
      </c>
      <c r="F653" s="150">
        <f t="shared" si="353"/>
        <v>0</v>
      </c>
      <c r="G653" s="150">
        <f t="shared" si="353"/>
        <v>0</v>
      </c>
      <c r="H653" s="150">
        <f t="shared" si="353"/>
        <v>0</v>
      </c>
      <c r="I653" s="150">
        <f t="shared" si="353"/>
        <v>0</v>
      </c>
      <c r="J653" s="150">
        <f t="shared" si="353"/>
        <v>0</v>
      </c>
      <c r="K653" s="150">
        <f t="shared" si="353"/>
        <v>0</v>
      </c>
      <c r="L653" s="150">
        <f t="shared" si="353"/>
        <v>0</v>
      </c>
      <c r="M653" s="150">
        <f t="shared" si="353"/>
        <v>0</v>
      </c>
      <c r="N653" s="150">
        <f t="shared" si="353"/>
        <v>0</v>
      </c>
      <c r="O653" s="150">
        <f t="shared" si="353"/>
        <v>0</v>
      </c>
      <c r="P653" s="150">
        <f t="shared" si="353"/>
        <v>0</v>
      </c>
      <c r="Q653" s="150">
        <f t="shared" si="353"/>
        <v>0</v>
      </c>
      <c r="R653" s="150">
        <f t="shared" si="353"/>
        <v>0</v>
      </c>
      <c r="S653" s="150">
        <f t="shared" si="353"/>
        <v>0</v>
      </c>
      <c r="T653" s="150">
        <f t="shared" si="353"/>
        <v>0</v>
      </c>
      <c r="U653" s="150">
        <f t="shared" si="353"/>
        <v>0</v>
      </c>
      <c r="V653" s="150">
        <f t="shared" si="353"/>
        <v>0</v>
      </c>
      <c r="W653" s="150">
        <f t="shared" si="353"/>
        <v>0</v>
      </c>
      <c r="X653" s="150">
        <f t="shared" si="353"/>
        <v>0</v>
      </c>
      <c r="Y653" s="150">
        <f t="shared" si="353"/>
        <v>0</v>
      </c>
      <c r="Z653" s="150">
        <f t="shared" si="353"/>
        <v>0</v>
      </c>
      <c r="AA653" s="150">
        <f t="shared" si="353"/>
        <v>0</v>
      </c>
      <c r="AB653" s="150">
        <f t="shared" si="353"/>
        <v>0</v>
      </c>
      <c r="AC653" s="150">
        <f t="shared" si="353"/>
        <v>0</v>
      </c>
      <c r="AD653" s="150">
        <f t="shared" si="353"/>
        <v>0</v>
      </c>
      <c r="AE653" s="150">
        <f t="shared" si="353"/>
        <v>0</v>
      </c>
      <c r="AF653" s="150">
        <f t="shared" si="353"/>
        <v>0</v>
      </c>
      <c r="AG653" s="150">
        <f t="shared" si="353"/>
        <v>0</v>
      </c>
      <c r="AH653" s="150">
        <f t="shared" si="353"/>
        <v>0</v>
      </c>
      <c r="AI653" s="150">
        <f t="shared" si="353"/>
        <v>0</v>
      </c>
      <c r="AJ653" s="150">
        <f t="shared" si="353"/>
        <v>0</v>
      </c>
      <c r="AK653" s="150">
        <f t="shared" si="353"/>
        <v>0</v>
      </c>
      <c r="AL653" s="150">
        <f t="shared" si="353"/>
        <v>0</v>
      </c>
      <c r="AM653" s="150">
        <f t="shared" si="353"/>
        <v>0</v>
      </c>
      <c r="AN653" s="150">
        <f t="shared" si="353"/>
        <v>0</v>
      </c>
      <c r="AO653" s="150">
        <f t="shared" si="353"/>
        <v>0</v>
      </c>
      <c r="AP653" s="150">
        <f t="shared" si="353"/>
        <v>0</v>
      </c>
    </row>
    <row r="654" spans="1:42" x14ac:dyDescent="0.2">
      <c r="A654" s="4">
        <f t="shared" si="351"/>
        <v>5</v>
      </c>
      <c r="B654" s="168">
        <f t="shared" si="348"/>
        <v>0</v>
      </c>
      <c r="C654" s="150">
        <f t="shared" ref="C654:AP654" si="354">IF(C$2&gt;analysis_period,0,IF(C$2=equip1_reserve_freq*$A654,equip1_reserve_cost*system_capacity*1000*(1+inflation_rate/100)^B$2,0))</f>
        <v>0</v>
      </c>
      <c r="D654" s="150">
        <f t="shared" si="354"/>
        <v>0</v>
      </c>
      <c r="E654" s="150">
        <f t="shared" si="354"/>
        <v>0</v>
      </c>
      <c r="F654" s="150">
        <f t="shared" si="354"/>
        <v>0</v>
      </c>
      <c r="G654" s="150">
        <f t="shared" si="354"/>
        <v>0</v>
      </c>
      <c r="H654" s="150">
        <f t="shared" si="354"/>
        <v>0</v>
      </c>
      <c r="I654" s="150">
        <f t="shared" si="354"/>
        <v>0</v>
      </c>
      <c r="J654" s="150">
        <f t="shared" si="354"/>
        <v>0</v>
      </c>
      <c r="K654" s="150">
        <f t="shared" si="354"/>
        <v>0</v>
      </c>
      <c r="L654" s="150">
        <f t="shared" si="354"/>
        <v>0</v>
      </c>
      <c r="M654" s="150">
        <f t="shared" si="354"/>
        <v>0</v>
      </c>
      <c r="N654" s="150">
        <f t="shared" si="354"/>
        <v>0</v>
      </c>
      <c r="O654" s="150">
        <f t="shared" si="354"/>
        <v>0</v>
      </c>
      <c r="P654" s="150">
        <f t="shared" si="354"/>
        <v>0</v>
      </c>
      <c r="Q654" s="150">
        <f t="shared" si="354"/>
        <v>0</v>
      </c>
      <c r="R654" s="150">
        <f t="shared" si="354"/>
        <v>0</v>
      </c>
      <c r="S654" s="150">
        <f t="shared" si="354"/>
        <v>0</v>
      </c>
      <c r="T654" s="150">
        <f t="shared" si="354"/>
        <v>0</v>
      </c>
      <c r="U654" s="150">
        <f t="shared" si="354"/>
        <v>0</v>
      </c>
      <c r="V654" s="150">
        <f t="shared" si="354"/>
        <v>0</v>
      </c>
      <c r="W654" s="150">
        <f t="shared" si="354"/>
        <v>0</v>
      </c>
      <c r="X654" s="150">
        <f t="shared" si="354"/>
        <v>0</v>
      </c>
      <c r="Y654" s="150">
        <f t="shared" si="354"/>
        <v>0</v>
      </c>
      <c r="Z654" s="150">
        <f t="shared" si="354"/>
        <v>0</v>
      </c>
      <c r="AA654" s="150">
        <f t="shared" si="354"/>
        <v>0</v>
      </c>
      <c r="AB654" s="150">
        <f t="shared" si="354"/>
        <v>0</v>
      </c>
      <c r="AC654" s="150">
        <f t="shared" si="354"/>
        <v>0</v>
      </c>
      <c r="AD654" s="150">
        <f t="shared" si="354"/>
        <v>0</v>
      </c>
      <c r="AE654" s="150">
        <f t="shared" si="354"/>
        <v>0</v>
      </c>
      <c r="AF654" s="150">
        <f t="shared" si="354"/>
        <v>0</v>
      </c>
      <c r="AG654" s="150">
        <f t="shared" si="354"/>
        <v>0</v>
      </c>
      <c r="AH654" s="150">
        <f t="shared" si="354"/>
        <v>0</v>
      </c>
      <c r="AI654" s="150">
        <f t="shared" si="354"/>
        <v>0</v>
      </c>
      <c r="AJ654" s="150">
        <f t="shared" si="354"/>
        <v>0</v>
      </c>
      <c r="AK654" s="150">
        <f t="shared" si="354"/>
        <v>0</v>
      </c>
      <c r="AL654" s="150">
        <f t="shared" si="354"/>
        <v>0</v>
      </c>
      <c r="AM654" s="150">
        <f t="shared" si="354"/>
        <v>0</v>
      </c>
      <c r="AN654" s="150">
        <f t="shared" si="354"/>
        <v>0</v>
      </c>
      <c r="AO654" s="150">
        <f t="shared" si="354"/>
        <v>0</v>
      </c>
      <c r="AP654" s="150">
        <f t="shared" si="354"/>
        <v>0</v>
      </c>
    </row>
    <row r="655" spans="1:42" x14ac:dyDescent="0.2">
      <c r="A655" s="4">
        <f t="shared" si="351"/>
        <v>6</v>
      </c>
      <c r="B655" s="168">
        <f t="shared" si="348"/>
        <v>0</v>
      </c>
      <c r="C655" s="150">
        <f t="shared" ref="C655:AP655" si="355">IF(C$2&gt;analysis_period,0,IF(C$2=equip1_reserve_freq*$A655,equip1_reserve_cost*system_capacity*1000*(1+inflation_rate/100)^B$2,0))</f>
        <v>0</v>
      </c>
      <c r="D655" s="150">
        <f t="shared" si="355"/>
        <v>0</v>
      </c>
      <c r="E655" s="150">
        <f t="shared" si="355"/>
        <v>0</v>
      </c>
      <c r="F655" s="150">
        <f t="shared" si="355"/>
        <v>0</v>
      </c>
      <c r="G655" s="150">
        <f t="shared" si="355"/>
        <v>0</v>
      </c>
      <c r="H655" s="150">
        <f t="shared" si="355"/>
        <v>0</v>
      </c>
      <c r="I655" s="150">
        <f t="shared" si="355"/>
        <v>0</v>
      </c>
      <c r="J655" s="150">
        <f t="shared" si="355"/>
        <v>0</v>
      </c>
      <c r="K655" s="150">
        <f t="shared" si="355"/>
        <v>0</v>
      </c>
      <c r="L655" s="150">
        <f t="shared" si="355"/>
        <v>0</v>
      </c>
      <c r="M655" s="150">
        <f t="shared" si="355"/>
        <v>0</v>
      </c>
      <c r="N655" s="150">
        <f t="shared" si="355"/>
        <v>0</v>
      </c>
      <c r="O655" s="150">
        <f t="shared" si="355"/>
        <v>0</v>
      </c>
      <c r="P655" s="150">
        <f t="shared" si="355"/>
        <v>0</v>
      </c>
      <c r="Q655" s="150">
        <f t="shared" si="355"/>
        <v>0</v>
      </c>
      <c r="R655" s="150">
        <f t="shared" si="355"/>
        <v>0</v>
      </c>
      <c r="S655" s="150">
        <f t="shared" si="355"/>
        <v>0</v>
      </c>
      <c r="T655" s="150">
        <f t="shared" si="355"/>
        <v>0</v>
      </c>
      <c r="U655" s="150">
        <f t="shared" si="355"/>
        <v>0</v>
      </c>
      <c r="V655" s="150">
        <f t="shared" si="355"/>
        <v>0</v>
      </c>
      <c r="W655" s="150">
        <f t="shared" si="355"/>
        <v>0</v>
      </c>
      <c r="X655" s="150">
        <f t="shared" si="355"/>
        <v>0</v>
      </c>
      <c r="Y655" s="150">
        <f t="shared" si="355"/>
        <v>0</v>
      </c>
      <c r="Z655" s="150">
        <f t="shared" si="355"/>
        <v>0</v>
      </c>
      <c r="AA655" s="150">
        <f t="shared" si="355"/>
        <v>0</v>
      </c>
      <c r="AB655" s="150">
        <f t="shared" si="355"/>
        <v>0</v>
      </c>
      <c r="AC655" s="150">
        <f t="shared" si="355"/>
        <v>0</v>
      </c>
      <c r="AD655" s="150">
        <f t="shared" si="355"/>
        <v>0</v>
      </c>
      <c r="AE655" s="150">
        <f t="shared" si="355"/>
        <v>0</v>
      </c>
      <c r="AF655" s="150">
        <f t="shared" si="355"/>
        <v>0</v>
      </c>
      <c r="AG655" s="150">
        <f t="shared" si="355"/>
        <v>0</v>
      </c>
      <c r="AH655" s="150">
        <f t="shared" si="355"/>
        <v>0</v>
      </c>
      <c r="AI655" s="150">
        <f t="shared" si="355"/>
        <v>0</v>
      </c>
      <c r="AJ655" s="150">
        <f t="shared" si="355"/>
        <v>0</v>
      </c>
      <c r="AK655" s="150">
        <f t="shared" si="355"/>
        <v>0</v>
      </c>
      <c r="AL655" s="150">
        <f t="shared" si="355"/>
        <v>0</v>
      </c>
      <c r="AM655" s="150">
        <f t="shared" si="355"/>
        <v>0</v>
      </c>
      <c r="AN655" s="150">
        <f t="shared" si="355"/>
        <v>0</v>
      </c>
      <c r="AO655" s="150">
        <f t="shared" si="355"/>
        <v>0</v>
      </c>
      <c r="AP655" s="150">
        <f t="shared" si="355"/>
        <v>0</v>
      </c>
    </row>
    <row r="656" spans="1:42" x14ac:dyDescent="0.2">
      <c r="A656" s="4">
        <f t="shared" si="351"/>
        <v>7</v>
      </c>
      <c r="B656" s="168">
        <f t="shared" si="348"/>
        <v>0</v>
      </c>
      <c r="C656" s="150">
        <f t="shared" ref="C656:AP656" si="356">IF(C$2&gt;analysis_period,0,IF(C$2=equip1_reserve_freq*$A656,equip1_reserve_cost*system_capacity*1000*(1+inflation_rate/100)^B$2,0))</f>
        <v>0</v>
      </c>
      <c r="D656" s="150">
        <f t="shared" si="356"/>
        <v>0</v>
      </c>
      <c r="E656" s="150">
        <f t="shared" si="356"/>
        <v>0</v>
      </c>
      <c r="F656" s="150">
        <f t="shared" si="356"/>
        <v>0</v>
      </c>
      <c r="G656" s="150">
        <f t="shared" si="356"/>
        <v>0</v>
      </c>
      <c r="H656" s="150">
        <f t="shared" si="356"/>
        <v>0</v>
      </c>
      <c r="I656" s="150">
        <f t="shared" si="356"/>
        <v>0</v>
      </c>
      <c r="J656" s="150">
        <f t="shared" si="356"/>
        <v>0</v>
      </c>
      <c r="K656" s="150">
        <f t="shared" si="356"/>
        <v>0</v>
      </c>
      <c r="L656" s="150">
        <f t="shared" si="356"/>
        <v>0</v>
      </c>
      <c r="M656" s="150">
        <f t="shared" si="356"/>
        <v>0</v>
      </c>
      <c r="N656" s="150">
        <f t="shared" si="356"/>
        <v>0</v>
      </c>
      <c r="O656" s="150">
        <f t="shared" si="356"/>
        <v>0</v>
      </c>
      <c r="P656" s="150">
        <f t="shared" si="356"/>
        <v>0</v>
      </c>
      <c r="Q656" s="150">
        <f t="shared" si="356"/>
        <v>0</v>
      </c>
      <c r="R656" s="150">
        <f t="shared" si="356"/>
        <v>0</v>
      </c>
      <c r="S656" s="150">
        <f t="shared" si="356"/>
        <v>0</v>
      </c>
      <c r="T656" s="150">
        <f t="shared" si="356"/>
        <v>0</v>
      </c>
      <c r="U656" s="150">
        <f t="shared" si="356"/>
        <v>0</v>
      </c>
      <c r="V656" s="150">
        <f t="shared" si="356"/>
        <v>0</v>
      </c>
      <c r="W656" s="150">
        <f t="shared" si="356"/>
        <v>0</v>
      </c>
      <c r="X656" s="150">
        <f t="shared" si="356"/>
        <v>0</v>
      </c>
      <c r="Y656" s="150">
        <f t="shared" si="356"/>
        <v>0</v>
      </c>
      <c r="Z656" s="150">
        <f t="shared" si="356"/>
        <v>0</v>
      </c>
      <c r="AA656" s="150">
        <f t="shared" si="356"/>
        <v>0</v>
      </c>
      <c r="AB656" s="150">
        <f t="shared" si="356"/>
        <v>0</v>
      </c>
      <c r="AC656" s="150">
        <f t="shared" si="356"/>
        <v>0</v>
      </c>
      <c r="AD656" s="150">
        <f t="shared" si="356"/>
        <v>0</v>
      </c>
      <c r="AE656" s="150">
        <f t="shared" si="356"/>
        <v>0</v>
      </c>
      <c r="AF656" s="150">
        <f t="shared" si="356"/>
        <v>0</v>
      </c>
      <c r="AG656" s="150">
        <f t="shared" si="356"/>
        <v>0</v>
      </c>
      <c r="AH656" s="150">
        <f t="shared" si="356"/>
        <v>0</v>
      </c>
      <c r="AI656" s="150">
        <f t="shared" si="356"/>
        <v>0</v>
      </c>
      <c r="AJ656" s="150">
        <f t="shared" si="356"/>
        <v>0</v>
      </c>
      <c r="AK656" s="150">
        <f t="shared" si="356"/>
        <v>0</v>
      </c>
      <c r="AL656" s="150">
        <f t="shared" si="356"/>
        <v>0</v>
      </c>
      <c r="AM656" s="150">
        <f t="shared" si="356"/>
        <v>0</v>
      </c>
      <c r="AN656" s="150">
        <f t="shared" si="356"/>
        <v>0</v>
      </c>
      <c r="AO656" s="150">
        <f t="shared" si="356"/>
        <v>0</v>
      </c>
      <c r="AP656" s="150">
        <f t="shared" si="356"/>
        <v>0</v>
      </c>
    </row>
    <row r="657" spans="1:42" x14ac:dyDescent="0.2">
      <c r="A657" s="4">
        <f t="shared" si="351"/>
        <v>8</v>
      </c>
      <c r="B657" s="168">
        <f t="shared" si="348"/>
        <v>0</v>
      </c>
      <c r="C657" s="150">
        <f t="shared" ref="C657:AP657" si="357">IF(C$2&gt;analysis_period,0,IF(C$2=equip1_reserve_freq*$A657,equip1_reserve_cost*system_capacity*1000*(1+inflation_rate/100)^B$2,0))</f>
        <v>0</v>
      </c>
      <c r="D657" s="150">
        <f t="shared" si="357"/>
        <v>0</v>
      </c>
      <c r="E657" s="150">
        <f t="shared" si="357"/>
        <v>0</v>
      </c>
      <c r="F657" s="150">
        <f t="shared" si="357"/>
        <v>0</v>
      </c>
      <c r="G657" s="150">
        <f t="shared" si="357"/>
        <v>0</v>
      </c>
      <c r="H657" s="150">
        <f t="shared" si="357"/>
        <v>0</v>
      </c>
      <c r="I657" s="150">
        <f t="shared" si="357"/>
        <v>0</v>
      </c>
      <c r="J657" s="150">
        <f t="shared" si="357"/>
        <v>0</v>
      </c>
      <c r="K657" s="150">
        <f t="shared" si="357"/>
        <v>0</v>
      </c>
      <c r="L657" s="150">
        <f t="shared" si="357"/>
        <v>0</v>
      </c>
      <c r="M657" s="150">
        <f t="shared" si="357"/>
        <v>0</v>
      </c>
      <c r="N657" s="150">
        <f t="shared" si="357"/>
        <v>0</v>
      </c>
      <c r="O657" s="150">
        <f t="shared" si="357"/>
        <v>0</v>
      </c>
      <c r="P657" s="150">
        <f t="shared" si="357"/>
        <v>0</v>
      </c>
      <c r="Q657" s="150">
        <f t="shared" si="357"/>
        <v>0</v>
      </c>
      <c r="R657" s="150">
        <f t="shared" si="357"/>
        <v>0</v>
      </c>
      <c r="S657" s="150">
        <f t="shared" si="357"/>
        <v>0</v>
      </c>
      <c r="T657" s="150">
        <f t="shared" si="357"/>
        <v>0</v>
      </c>
      <c r="U657" s="150">
        <f t="shared" si="357"/>
        <v>0</v>
      </c>
      <c r="V657" s="150">
        <f t="shared" si="357"/>
        <v>0</v>
      </c>
      <c r="W657" s="150">
        <f t="shared" si="357"/>
        <v>0</v>
      </c>
      <c r="X657" s="150">
        <f t="shared" si="357"/>
        <v>0</v>
      </c>
      <c r="Y657" s="150">
        <f t="shared" si="357"/>
        <v>0</v>
      </c>
      <c r="Z657" s="150">
        <f t="shared" si="357"/>
        <v>0</v>
      </c>
      <c r="AA657" s="150">
        <f t="shared" si="357"/>
        <v>0</v>
      </c>
      <c r="AB657" s="150">
        <f t="shared" si="357"/>
        <v>0</v>
      </c>
      <c r="AC657" s="150">
        <f t="shared" si="357"/>
        <v>0</v>
      </c>
      <c r="AD657" s="150">
        <f t="shared" si="357"/>
        <v>0</v>
      </c>
      <c r="AE657" s="150">
        <f t="shared" si="357"/>
        <v>0</v>
      </c>
      <c r="AF657" s="150">
        <f t="shared" si="357"/>
        <v>0</v>
      </c>
      <c r="AG657" s="150">
        <f t="shared" si="357"/>
        <v>0</v>
      </c>
      <c r="AH657" s="150">
        <f t="shared" si="357"/>
        <v>0</v>
      </c>
      <c r="AI657" s="150">
        <f t="shared" si="357"/>
        <v>0</v>
      </c>
      <c r="AJ657" s="150">
        <f t="shared" si="357"/>
        <v>0</v>
      </c>
      <c r="AK657" s="150">
        <f t="shared" si="357"/>
        <v>0</v>
      </c>
      <c r="AL657" s="150">
        <f t="shared" si="357"/>
        <v>0</v>
      </c>
      <c r="AM657" s="150">
        <f t="shared" si="357"/>
        <v>0</v>
      </c>
      <c r="AN657" s="150">
        <f t="shared" si="357"/>
        <v>0</v>
      </c>
      <c r="AO657" s="150">
        <f t="shared" si="357"/>
        <v>0</v>
      </c>
      <c r="AP657" s="150">
        <f t="shared" si="357"/>
        <v>0</v>
      </c>
    </row>
    <row r="658" spans="1:42" x14ac:dyDescent="0.2">
      <c r="A658" s="4">
        <f>A657+1</f>
        <v>9</v>
      </c>
      <c r="B658" s="168">
        <f t="shared" si="348"/>
        <v>0</v>
      </c>
      <c r="C658" s="150">
        <f t="shared" ref="C658:AP658" si="358">IF(C$2&gt;analysis_period,0,IF(C$2=equip1_reserve_freq*$A658,equip1_reserve_cost*system_capacity*1000*(1+inflation_rate/100)^B$2,0))</f>
        <v>0</v>
      </c>
      <c r="D658" s="150">
        <f t="shared" si="358"/>
        <v>0</v>
      </c>
      <c r="E658" s="150">
        <f t="shared" si="358"/>
        <v>0</v>
      </c>
      <c r="F658" s="150">
        <f t="shared" si="358"/>
        <v>0</v>
      </c>
      <c r="G658" s="150">
        <f t="shared" si="358"/>
        <v>0</v>
      </c>
      <c r="H658" s="150">
        <f t="shared" si="358"/>
        <v>0</v>
      </c>
      <c r="I658" s="150">
        <f t="shared" si="358"/>
        <v>0</v>
      </c>
      <c r="J658" s="150">
        <f t="shared" si="358"/>
        <v>0</v>
      </c>
      <c r="K658" s="150">
        <f t="shared" si="358"/>
        <v>0</v>
      </c>
      <c r="L658" s="150">
        <f t="shared" si="358"/>
        <v>0</v>
      </c>
      <c r="M658" s="150">
        <f t="shared" si="358"/>
        <v>0</v>
      </c>
      <c r="N658" s="150">
        <f t="shared" si="358"/>
        <v>0</v>
      </c>
      <c r="O658" s="150">
        <f t="shared" si="358"/>
        <v>0</v>
      </c>
      <c r="P658" s="150">
        <f t="shared" si="358"/>
        <v>0</v>
      </c>
      <c r="Q658" s="150">
        <f t="shared" si="358"/>
        <v>0</v>
      </c>
      <c r="R658" s="150">
        <f t="shared" si="358"/>
        <v>0</v>
      </c>
      <c r="S658" s="150">
        <f t="shared" si="358"/>
        <v>0</v>
      </c>
      <c r="T658" s="150">
        <f t="shared" si="358"/>
        <v>0</v>
      </c>
      <c r="U658" s="150">
        <f t="shared" si="358"/>
        <v>0</v>
      </c>
      <c r="V658" s="150">
        <f t="shared" si="358"/>
        <v>0</v>
      </c>
      <c r="W658" s="150">
        <f t="shared" si="358"/>
        <v>0</v>
      </c>
      <c r="X658" s="150">
        <f t="shared" si="358"/>
        <v>0</v>
      </c>
      <c r="Y658" s="150">
        <f t="shared" si="358"/>
        <v>0</v>
      </c>
      <c r="Z658" s="150">
        <f t="shared" si="358"/>
        <v>0</v>
      </c>
      <c r="AA658" s="150">
        <f t="shared" si="358"/>
        <v>0</v>
      </c>
      <c r="AB658" s="150">
        <f t="shared" si="358"/>
        <v>0</v>
      </c>
      <c r="AC658" s="150">
        <f t="shared" si="358"/>
        <v>0</v>
      </c>
      <c r="AD658" s="150">
        <f t="shared" si="358"/>
        <v>0</v>
      </c>
      <c r="AE658" s="150">
        <f t="shared" si="358"/>
        <v>0</v>
      </c>
      <c r="AF658" s="150">
        <f t="shared" si="358"/>
        <v>0</v>
      </c>
      <c r="AG658" s="150">
        <f t="shared" si="358"/>
        <v>0</v>
      </c>
      <c r="AH658" s="150">
        <f t="shared" si="358"/>
        <v>0</v>
      </c>
      <c r="AI658" s="150">
        <f t="shared" si="358"/>
        <v>0</v>
      </c>
      <c r="AJ658" s="150">
        <f t="shared" si="358"/>
        <v>0</v>
      </c>
      <c r="AK658" s="150">
        <f t="shared" si="358"/>
        <v>0</v>
      </c>
      <c r="AL658" s="150">
        <f t="shared" si="358"/>
        <v>0</v>
      </c>
      <c r="AM658" s="150">
        <f t="shared" si="358"/>
        <v>0</v>
      </c>
      <c r="AN658" s="150">
        <f t="shared" si="358"/>
        <v>0</v>
      </c>
      <c r="AO658" s="150">
        <f t="shared" si="358"/>
        <v>0</v>
      </c>
      <c r="AP658" s="150">
        <f t="shared" si="358"/>
        <v>0</v>
      </c>
    </row>
    <row r="659" spans="1:42" x14ac:dyDescent="0.2">
      <c r="A659" s="4">
        <f t="shared" si="351"/>
        <v>10</v>
      </c>
      <c r="B659" s="168">
        <f t="shared" si="348"/>
        <v>0</v>
      </c>
      <c r="C659" s="150">
        <f t="shared" ref="C659:AP659" si="359">IF(C$2&gt;analysis_period,0,IF(C$2=equip1_reserve_freq*$A659,equip1_reserve_cost*system_capacity*1000*(1+inflation_rate/100)^B$2,0))</f>
        <v>0</v>
      </c>
      <c r="D659" s="150">
        <f t="shared" si="359"/>
        <v>0</v>
      </c>
      <c r="E659" s="150">
        <f t="shared" si="359"/>
        <v>0</v>
      </c>
      <c r="F659" s="150">
        <f t="shared" si="359"/>
        <v>0</v>
      </c>
      <c r="G659" s="150">
        <f t="shared" si="359"/>
        <v>0</v>
      </c>
      <c r="H659" s="150">
        <f t="shared" si="359"/>
        <v>0</v>
      </c>
      <c r="I659" s="150">
        <f t="shared" si="359"/>
        <v>0</v>
      </c>
      <c r="J659" s="150">
        <f t="shared" si="359"/>
        <v>0</v>
      </c>
      <c r="K659" s="150">
        <f t="shared" si="359"/>
        <v>0</v>
      </c>
      <c r="L659" s="150">
        <f t="shared" si="359"/>
        <v>0</v>
      </c>
      <c r="M659" s="150">
        <f t="shared" si="359"/>
        <v>0</v>
      </c>
      <c r="N659" s="150">
        <f t="shared" si="359"/>
        <v>0</v>
      </c>
      <c r="O659" s="150">
        <f t="shared" si="359"/>
        <v>0</v>
      </c>
      <c r="P659" s="150">
        <f t="shared" si="359"/>
        <v>0</v>
      </c>
      <c r="Q659" s="150">
        <f t="shared" si="359"/>
        <v>0</v>
      </c>
      <c r="R659" s="150">
        <f t="shared" si="359"/>
        <v>0</v>
      </c>
      <c r="S659" s="150">
        <f t="shared" si="359"/>
        <v>0</v>
      </c>
      <c r="T659" s="150">
        <f t="shared" si="359"/>
        <v>0</v>
      </c>
      <c r="U659" s="150">
        <f t="shared" si="359"/>
        <v>0</v>
      </c>
      <c r="V659" s="150">
        <f t="shared" si="359"/>
        <v>0</v>
      </c>
      <c r="W659" s="150">
        <f t="shared" si="359"/>
        <v>0</v>
      </c>
      <c r="X659" s="150">
        <f t="shared" si="359"/>
        <v>0</v>
      </c>
      <c r="Y659" s="150">
        <f t="shared" si="359"/>
        <v>0</v>
      </c>
      <c r="Z659" s="150">
        <f t="shared" si="359"/>
        <v>0</v>
      </c>
      <c r="AA659" s="150">
        <f t="shared" si="359"/>
        <v>0</v>
      </c>
      <c r="AB659" s="150">
        <f t="shared" si="359"/>
        <v>0</v>
      </c>
      <c r="AC659" s="150">
        <f t="shared" si="359"/>
        <v>0</v>
      </c>
      <c r="AD659" s="150">
        <f t="shared" si="359"/>
        <v>0</v>
      </c>
      <c r="AE659" s="150">
        <f t="shared" si="359"/>
        <v>0</v>
      </c>
      <c r="AF659" s="150">
        <f t="shared" si="359"/>
        <v>0</v>
      </c>
      <c r="AG659" s="150">
        <f t="shared" si="359"/>
        <v>0</v>
      </c>
      <c r="AH659" s="150">
        <f t="shared" si="359"/>
        <v>0</v>
      </c>
      <c r="AI659" s="150">
        <f t="shared" si="359"/>
        <v>0</v>
      </c>
      <c r="AJ659" s="150">
        <f t="shared" si="359"/>
        <v>0</v>
      </c>
      <c r="AK659" s="150">
        <f t="shared" si="359"/>
        <v>0</v>
      </c>
      <c r="AL659" s="150">
        <f t="shared" si="359"/>
        <v>0</v>
      </c>
      <c r="AM659" s="150">
        <f t="shared" si="359"/>
        <v>0</v>
      </c>
      <c r="AN659" s="150">
        <f t="shared" si="359"/>
        <v>0</v>
      </c>
      <c r="AO659" s="150">
        <f t="shared" si="359"/>
        <v>0</v>
      </c>
      <c r="AP659" s="150">
        <f t="shared" si="359"/>
        <v>0</v>
      </c>
    </row>
    <row r="660" spans="1:42" x14ac:dyDescent="0.2">
      <c r="A660" s="24" t="s">
        <v>12</v>
      </c>
      <c r="B660" s="14"/>
      <c r="C660" s="150">
        <f>SUM(C650:C659)</f>
        <v>0</v>
      </c>
      <c r="D660" s="150">
        <f t="shared" ref="D660:AD660" si="360">SUM(D650:D659)</f>
        <v>0</v>
      </c>
      <c r="E660" s="150">
        <f t="shared" si="360"/>
        <v>0</v>
      </c>
      <c r="F660" s="150">
        <f t="shared" si="360"/>
        <v>0</v>
      </c>
      <c r="G660" s="150">
        <f t="shared" si="360"/>
        <v>0</v>
      </c>
      <c r="H660" s="150">
        <f t="shared" si="360"/>
        <v>0</v>
      </c>
      <c r="I660" s="150">
        <f t="shared" si="360"/>
        <v>0</v>
      </c>
      <c r="J660" s="150">
        <f t="shared" si="360"/>
        <v>0</v>
      </c>
      <c r="K660" s="150">
        <f t="shared" si="360"/>
        <v>0</v>
      </c>
      <c r="L660" s="150">
        <f t="shared" si="360"/>
        <v>0</v>
      </c>
      <c r="M660" s="150">
        <f t="shared" si="360"/>
        <v>0</v>
      </c>
      <c r="N660" s="150">
        <f t="shared" si="360"/>
        <v>0</v>
      </c>
      <c r="O660" s="150">
        <f t="shared" si="360"/>
        <v>0</v>
      </c>
      <c r="P660" s="150">
        <f t="shared" si="360"/>
        <v>0</v>
      </c>
      <c r="Q660" s="150">
        <f t="shared" si="360"/>
        <v>0</v>
      </c>
      <c r="R660" s="150">
        <f t="shared" si="360"/>
        <v>0</v>
      </c>
      <c r="S660" s="150">
        <f t="shared" si="360"/>
        <v>0</v>
      </c>
      <c r="T660" s="150">
        <f t="shared" si="360"/>
        <v>0</v>
      </c>
      <c r="U660" s="150">
        <f t="shared" si="360"/>
        <v>0</v>
      </c>
      <c r="V660" s="150">
        <f t="shared" si="360"/>
        <v>0</v>
      </c>
      <c r="W660" s="150">
        <f t="shared" si="360"/>
        <v>0</v>
      </c>
      <c r="X660" s="150">
        <f t="shared" si="360"/>
        <v>0</v>
      </c>
      <c r="Y660" s="150">
        <f t="shared" si="360"/>
        <v>0</v>
      </c>
      <c r="Z660" s="150">
        <f t="shared" si="360"/>
        <v>0</v>
      </c>
      <c r="AA660" s="150">
        <f t="shared" si="360"/>
        <v>0</v>
      </c>
      <c r="AB660" s="150">
        <f t="shared" si="360"/>
        <v>0</v>
      </c>
      <c r="AC660" s="150">
        <f t="shared" si="360"/>
        <v>0</v>
      </c>
      <c r="AD660" s="150">
        <f t="shared" si="360"/>
        <v>0</v>
      </c>
      <c r="AE660" s="150">
        <f t="shared" ref="AE660" si="361">SUM(AE650:AE659)</f>
        <v>0</v>
      </c>
      <c r="AF660" s="150">
        <f t="shared" ref="AF660:AP660" si="362">SUM(AF650:AF659)</f>
        <v>0</v>
      </c>
      <c r="AG660" s="150">
        <f t="shared" si="362"/>
        <v>0</v>
      </c>
      <c r="AH660" s="150">
        <f t="shared" si="362"/>
        <v>0</v>
      </c>
      <c r="AI660" s="150">
        <f t="shared" si="362"/>
        <v>0</v>
      </c>
      <c r="AJ660" s="150">
        <f t="shared" si="362"/>
        <v>0</v>
      </c>
      <c r="AK660" s="150">
        <f t="shared" si="362"/>
        <v>0</v>
      </c>
      <c r="AL660" s="150">
        <f t="shared" si="362"/>
        <v>0</v>
      </c>
      <c r="AM660" s="150">
        <f t="shared" si="362"/>
        <v>0</v>
      </c>
      <c r="AN660" s="150">
        <f t="shared" si="362"/>
        <v>0</v>
      </c>
      <c r="AO660" s="150">
        <f t="shared" si="362"/>
        <v>0</v>
      </c>
      <c r="AP660" s="150">
        <f t="shared" si="362"/>
        <v>0</v>
      </c>
    </row>
    <row r="661" spans="1:42" x14ac:dyDescent="0.2">
      <c r="A661" s="4" t="s">
        <v>279</v>
      </c>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row>
    <row r="662" spans="1:42" x14ac:dyDescent="0.2">
      <c r="A662" s="4">
        <v>1</v>
      </c>
      <c r="B662" s="168">
        <f t="shared" ref="B662:B671" si="363">SUM(C662:AP662)</f>
        <v>0</v>
      </c>
      <c r="C662" s="150">
        <f t="shared" ref="C662:AP662" si="364">IF(C$2&lt;=equip1_reserve_freq*$A$650,$B$650/(equip1_reserve_freq),0)</f>
        <v>0</v>
      </c>
      <c r="D662" s="150">
        <f t="shared" si="364"/>
        <v>0</v>
      </c>
      <c r="E662" s="150">
        <f t="shared" si="364"/>
        <v>0</v>
      </c>
      <c r="F662" s="150">
        <f t="shared" si="364"/>
        <v>0</v>
      </c>
      <c r="G662" s="150">
        <f t="shared" si="364"/>
        <v>0</v>
      </c>
      <c r="H662" s="150">
        <f t="shared" si="364"/>
        <v>0</v>
      </c>
      <c r="I662" s="150">
        <f t="shared" si="364"/>
        <v>0</v>
      </c>
      <c r="J662" s="150">
        <f t="shared" si="364"/>
        <v>0</v>
      </c>
      <c r="K662" s="150">
        <f t="shared" si="364"/>
        <v>0</v>
      </c>
      <c r="L662" s="150">
        <f t="shared" si="364"/>
        <v>0</v>
      </c>
      <c r="M662" s="150">
        <f t="shared" si="364"/>
        <v>0</v>
      </c>
      <c r="N662" s="150">
        <f t="shared" si="364"/>
        <v>0</v>
      </c>
      <c r="O662" s="150">
        <f t="shared" si="364"/>
        <v>0</v>
      </c>
      <c r="P662" s="150">
        <f t="shared" si="364"/>
        <v>0</v>
      </c>
      <c r="Q662" s="150">
        <f t="shared" si="364"/>
        <v>0</v>
      </c>
      <c r="R662" s="150">
        <f t="shared" si="364"/>
        <v>0</v>
      </c>
      <c r="S662" s="150">
        <f t="shared" si="364"/>
        <v>0</v>
      </c>
      <c r="T662" s="150">
        <f t="shared" si="364"/>
        <v>0</v>
      </c>
      <c r="U662" s="150">
        <f t="shared" si="364"/>
        <v>0</v>
      </c>
      <c r="V662" s="150">
        <f t="shared" si="364"/>
        <v>0</v>
      </c>
      <c r="W662" s="150">
        <f t="shared" si="364"/>
        <v>0</v>
      </c>
      <c r="X662" s="150">
        <f t="shared" si="364"/>
        <v>0</v>
      </c>
      <c r="Y662" s="150">
        <f t="shared" si="364"/>
        <v>0</v>
      </c>
      <c r="Z662" s="150">
        <f t="shared" si="364"/>
        <v>0</v>
      </c>
      <c r="AA662" s="150">
        <f t="shared" si="364"/>
        <v>0</v>
      </c>
      <c r="AB662" s="150">
        <f t="shared" si="364"/>
        <v>0</v>
      </c>
      <c r="AC662" s="150">
        <f t="shared" si="364"/>
        <v>0</v>
      </c>
      <c r="AD662" s="150">
        <f t="shared" si="364"/>
        <v>0</v>
      </c>
      <c r="AE662" s="150">
        <f t="shared" si="364"/>
        <v>0</v>
      </c>
      <c r="AF662" s="150">
        <f t="shared" si="364"/>
        <v>0</v>
      </c>
      <c r="AG662" s="150">
        <f t="shared" si="364"/>
        <v>0</v>
      </c>
      <c r="AH662" s="150">
        <f t="shared" si="364"/>
        <v>0</v>
      </c>
      <c r="AI662" s="150">
        <f t="shared" si="364"/>
        <v>0</v>
      </c>
      <c r="AJ662" s="150">
        <f t="shared" si="364"/>
        <v>0</v>
      </c>
      <c r="AK662" s="150">
        <f t="shared" si="364"/>
        <v>0</v>
      </c>
      <c r="AL662" s="150">
        <f t="shared" si="364"/>
        <v>0</v>
      </c>
      <c r="AM662" s="150">
        <f t="shared" si="364"/>
        <v>0</v>
      </c>
      <c r="AN662" s="150">
        <f t="shared" si="364"/>
        <v>0</v>
      </c>
      <c r="AO662" s="150">
        <f t="shared" si="364"/>
        <v>0</v>
      </c>
      <c r="AP662" s="150">
        <f t="shared" si="364"/>
        <v>0</v>
      </c>
    </row>
    <row r="663" spans="1:42" x14ac:dyDescent="0.2">
      <c r="A663" s="4">
        <f>A662+1</f>
        <v>2</v>
      </c>
      <c r="B663" s="168">
        <f t="shared" si="363"/>
        <v>0</v>
      </c>
      <c r="C663" s="170">
        <f t="shared" ref="C663:AP663" si="365">IF(AND(C$2&gt;equip1_reserve_freq*$A650,C$2&lt;=equip1_reserve_freq*$A651),$B651/(equip1_reserve_freq),0)</f>
        <v>0</v>
      </c>
      <c r="D663" s="150">
        <f t="shared" si="365"/>
        <v>0</v>
      </c>
      <c r="E663" s="150">
        <f t="shared" si="365"/>
        <v>0</v>
      </c>
      <c r="F663" s="150">
        <f t="shared" si="365"/>
        <v>0</v>
      </c>
      <c r="G663" s="150">
        <f t="shared" si="365"/>
        <v>0</v>
      </c>
      <c r="H663" s="150">
        <f t="shared" si="365"/>
        <v>0</v>
      </c>
      <c r="I663" s="150">
        <f t="shared" si="365"/>
        <v>0</v>
      </c>
      <c r="J663" s="150">
        <f t="shared" si="365"/>
        <v>0</v>
      </c>
      <c r="K663" s="150">
        <f t="shared" si="365"/>
        <v>0</v>
      </c>
      <c r="L663" s="150">
        <f t="shared" si="365"/>
        <v>0</v>
      </c>
      <c r="M663" s="150">
        <f t="shared" si="365"/>
        <v>0</v>
      </c>
      <c r="N663" s="150">
        <f t="shared" si="365"/>
        <v>0</v>
      </c>
      <c r="O663" s="150">
        <f t="shared" si="365"/>
        <v>0</v>
      </c>
      <c r="P663" s="150">
        <f t="shared" si="365"/>
        <v>0</v>
      </c>
      <c r="Q663" s="150">
        <f t="shared" si="365"/>
        <v>0</v>
      </c>
      <c r="R663" s="150">
        <f t="shared" si="365"/>
        <v>0</v>
      </c>
      <c r="S663" s="150">
        <f t="shared" si="365"/>
        <v>0</v>
      </c>
      <c r="T663" s="150">
        <f t="shared" si="365"/>
        <v>0</v>
      </c>
      <c r="U663" s="150">
        <f t="shared" si="365"/>
        <v>0</v>
      </c>
      <c r="V663" s="150">
        <f t="shared" si="365"/>
        <v>0</v>
      </c>
      <c r="W663" s="150">
        <f t="shared" si="365"/>
        <v>0</v>
      </c>
      <c r="X663" s="150">
        <f t="shared" si="365"/>
        <v>0</v>
      </c>
      <c r="Y663" s="150">
        <f t="shared" si="365"/>
        <v>0</v>
      </c>
      <c r="Z663" s="150">
        <f t="shared" si="365"/>
        <v>0</v>
      </c>
      <c r="AA663" s="150">
        <f t="shared" si="365"/>
        <v>0</v>
      </c>
      <c r="AB663" s="150">
        <f t="shared" si="365"/>
        <v>0</v>
      </c>
      <c r="AC663" s="150">
        <f t="shared" si="365"/>
        <v>0</v>
      </c>
      <c r="AD663" s="150">
        <f t="shared" si="365"/>
        <v>0</v>
      </c>
      <c r="AE663" s="150">
        <f t="shared" si="365"/>
        <v>0</v>
      </c>
      <c r="AF663" s="150">
        <f t="shared" si="365"/>
        <v>0</v>
      </c>
      <c r="AG663" s="150">
        <f t="shared" si="365"/>
        <v>0</v>
      </c>
      <c r="AH663" s="150">
        <f t="shared" si="365"/>
        <v>0</v>
      </c>
      <c r="AI663" s="150">
        <f t="shared" si="365"/>
        <v>0</v>
      </c>
      <c r="AJ663" s="150">
        <f t="shared" si="365"/>
        <v>0</v>
      </c>
      <c r="AK663" s="150">
        <f t="shared" si="365"/>
        <v>0</v>
      </c>
      <c r="AL663" s="150">
        <f t="shared" si="365"/>
        <v>0</v>
      </c>
      <c r="AM663" s="150">
        <f t="shared" si="365"/>
        <v>0</v>
      </c>
      <c r="AN663" s="150">
        <f t="shared" si="365"/>
        <v>0</v>
      </c>
      <c r="AO663" s="150">
        <f t="shared" si="365"/>
        <v>0</v>
      </c>
      <c r="AP663" s="150">
        <f t="shared" si="365"/>
        <v>0</v>
      </c>
    </row>
    <row r="664" spans="1:42" x14ac:dyDescent="0.2">
      <c r="A664" s="4">
        <f t="shared" ref="A664:A669" si="366">A663+1</f>
        <v>3</v>
      </c>
      <c r="B664" s="168">
        <f t="shared" si="363"/>
        <v>0</v>
      </c>
      <c r="C664" s="170">
        <f t="shared" ref="C664:AP664" si="367">IF(AND(C$2&gt;equip1_reserve_freq*$A651,C$2&lt;=equip1_reserve_freq*$A652),$B652/(equip1_reserve_freq),0)</f>
        <v>0</v>
      </c>
      <c r="D664" s="150">
        <f t="shared" si="367"/>
        <v>0</v>
      </c>
      <c r="E664" s="150">
        <f t="shared" si="367"/>
        <v>0</v>
      </c>
      <c r="F664" s="150">
        <f t="shared" si="367"/>
        <v>0</v>
      </c>
      <c r="G664" s="150">
        <f t="shared" si="367"/>
        <v>0</v>
      </c>
      <c r="H664" s="150">
        <f t="shared" si="367"/>
        <v>0</v>
      </c>
      <c r="I664" s="150">
        <f t="shared" si="367"/>
        <v>0</v>
      </c>
      <c r="J664" s="150">
        <f t="shared" si="367"/>
        <v>0</v>
      </c>
      <c r="K664" s="150">
        <f t="shared" si="367"/>
        <v>0</v>
      </c>
      <c r="L664" s="150">
        <f t="shared" si="367"/>
        <v>0</v>
      </c>
      <c r="M664" s="150">
        <f t="shared" si="367"/>
        <v>0</v>
      </c>
      <c r="N664" s="150">
        <f t="shared" si="367"/>
        <v>0</v>
      </c>
      <c r="O664" s="150">
        <f t="shared" si="367"/>
        <v>0</v>
      </c>
      <c r="P664" s="150">
        <f t="shared" si="367"/>
        <v>0</v>
      </c>
      <c r="Q664" s="150">
        <f t="shared" si="367"/>
        <v>0</v>
      </c>
      <c r="R664" s="150">
        <f t="shared" si="367"/>
        <v>0</v>
      </c>
      <c r="S664" s="150">
        <f t="shared" si="367"/>
        <v>0</v>
      </c>
      <c r="T664" s="150">
        <f t="shared" si="367"/>
        <v>0</v>
      </c>
      <c r="U664" s="150">
        <f t="shared" si="367"/>
        <v>0</v>
      </c>
      <c r="V664" s="150">
        <f t="shared" si="367"/>
        <v>0</v>
      </c>
      <c r="W664" s="150">
        <f t="shared" si="367"/>
        <v>0</v>
      </c>
      <c r="X664" s="150">
        <f t="shared" si="367"/>
        <v>0</v>
      </c>
      <c r="Y664" s="150">
        <f t="shared" si="367"/>
        <v>0</v>
      </c>
      <c r="Z664" s="150">
        <f t="shared" si="367"/>
        <v>0</v>
      </c>
      <c r="AA664" s="150">
        <f t="shared" si="367"/>
        <v>0</v>
      </c>
      <c r="AB664" s="150">
        <f t="shared" si="367"/>
        <v>0</v>
      </c>
      <c r="AC664" s="150">
        <f t="shared" si="367"/>
        <v>0</v>
      </c>
      <c r="AD664" s="150">
        <f t="shared" si="367"/>
        <v>0</v>
      </c>
      <c r="AE664" s="150">
        <f t="shared" si="367"/>
        <v>0</v>
      </c>
      <c r="AF664" s="150">
        <f t="shared" si="367"/>
        <v>0</v>
      </c>
      <c r="AG664" s="150">
        <f t="shared" si="367"/>
        <v>0</v>
      </c>
      <c r="AH664" s="150">
        <f t="shared" si="367"/>
        <v>0</v>
      </c>
      <c r="AI664" s="150">
        <f t="shared" si="367"/>
        <v>0</v>
      </c>
      <c r="AJ664" s="150">
        <f t="shared" si="367"/>
        <v>0</v>
      </c>
      <c r="AK664" s="150">
        <f t="shared" si="367"/>
        <v>0</v>
      </c>
      <c r="AL664" s="150">
        <f t="shared" si="367"/>
        <v>0</v>
      </c>
      <c r="AM664" s="150">
        <f t="shared" si="367"/>
        <v>0</v>
      </c>
      <c r="AN664" s="150">
        <f t="shared" si="367"/>
        <v>0</v>
      </c>
      <c r="AO664" s="150">
        <f t="shared" si="367"/>
        <v>0</v>
      </c>
      <c r="AP664" s="150">
        <f t="shared" si="367"/>
        <v>0</v>
      </c>
    </row>
    <row r="665" spans="1:42" x14ac:dyDescent="0.2">
      <c r="A665" s="4">
        <f t="shared" si="366"/>
        <v>4</v>
      </c>
      <c r="B665" s="168">
        <f t="shared" si="363"/>
        <v>0</v>
      </c>
      <c r="C665" s="170">
        <f t="shared" ref="C665:AP665" si="368">IF(AND(C$2&gt;equip1_reserve_freq*$A652,C$2&lt;=equip1_reserve_freq*$A653),$B653/(equip1_reserve_freq),0)</f>
        <v>0</v>
      </c>
      <c r="D665" s="150">
        <f t="shared" si="368"/>
        <v>0</v>
      </c>
      <c r="E665" s="150">
        <f t="shared" si="368"/>
        <v>0</v>
      </c>
      <c r="F665" s="150">
        <f t="shared" si="368"/>
        <v>0</v>
      </c>
      <c r="G665" s="150">
        <f t="shared" si="368"/>
        <v>0</v>
      </c>
      <c r="H665" s="150">
        <f t="shared" si="368"/>
        <v>0</v>
      </c>
      <c r="I665" s="150">
        <f t="shared" si="368"/>
        <v>0</v>
      </c>
      <c r="J665" s="150">
        <f t="shared" si="368"/>
        <v>0</v>
      </c>
      <c r="K665" s="150">
        <f t="shared" si="368"/>
        <v>0</v>
      </c>
      <c r="L665" s="150">
        <f t="shared" si="368"/>
        <v>0</v>
      </c>
      <c r="M665" s="150">
        <f t="shared" si="368"/>
        <v>0</v>
      </c>
      <c r="N665" s="150">
        <f t="shared" si="368"/>
        <v>0</v>
      </c>
      <c r="O665" s="150">
        <f t="shared" si="368"/>
        <v>0</v>
      </c>
      <c r="P665" s="150">
        <f t="shared" si="368"/>
        <v>0</v>
      </c>
      <c r="Q665" s="150">
        <f t="shared" si="368"/>
        <v>0</v>
      </c>
      <c r="R665" s="150">
        <f t="shared" si="368"/>
        <v>0</v>
      </c>
      <c r="S665" s="150">
        <f t="shared" si="368"/>
        <v>0</v>
      </c>
      <c r="T665" s="150">
        <f t="shared" si="368"/>
        <v>0</v>
      </c>
      <c r="U665" s="150">
        <f t="shared" si="368"/>
        <v>0</v>
      </c>
      <c r="V665" s="150">
        <f t="shared" si="368"/>
        <v>0</v>
      </c>
      <c r="W665" s="150">
        <f t="shared" si="368"/>
        <v>0</v>
      </c>
      <c r="X665" s="150">
        <f t="shared" si="368"/>
        <v>0</v>
      </c>
      <c r="Y665" s="150">
        <f t="shared" si="368"/>
        <v>0</v>
      </c>
      <c r="Z665" s="150">
        <f t="shared" si="368"/>
        <v>0</v>
      </c>
      <c r="AA665" s="150">
        <f t="shared" si="368"/>
        <v>0</v>
      </c>
      <c r="AB665" s="150">
        <f t="shared" si="368"/>
        <v>0</v>
      </c>
      <c r="AC665" s="150">
        <f t="shared" si="368"/>
        <v>0</v>
      </c>
      <c r="AD665" s="150">
        <f t="shared" si="368"/>
        <v>0</v>
      </c>
      <c r="AE665" s="150">
        <f t="shared" si="368"/>
        <v>0</v>
      </c>
      <c r="AF665" s="150">
        <f t="shared" si="368"/>
        <v>0</v>
      </c>
      <c r="AG665" s="150">
        <f t="shared" si="368"/>
        <v>0</v>
      </c>
      <c r="AH665" s="150">
        <f t="shared" si="368"/>
        <v>0</v>
      </c>
      <c r="AI665" s="150">
        <f t="shared" si="368"/>
        <v>0</v>
      </c>
      <c r="AJ665" s="150">
        <f t="shared" si="368"/>
        <v>0</v>
      </c>
      <c r="AK665" s="150">
        <f t="shared" si="368"/>
        <v>0</v>
      </c>
      <c r="AL665" s="150">
        <f t="shared" si="368"/>
        <v>0</v>
      </c>
      <c r="AM665" s="150">
        <f t="shared" si="368"/>
        <v>0</v>
      </c>
      <c r="AN665" s="150">
        <f t="shared" si="368"/>
        <v>0</v>
      </c>
      <c r="AO665" s="150">
        <f t="shared" si="368"/>
        <v>0</v>
      </c>
      <c r="AP665" s="150">
        <f t="shared" si="368"/>
        <v>0</v>
      </c>
    </row>
    <row r="666" spans="1:42" x14ac:dyDescent="0.2">
      <c r="A666" s="4">
        <f t="shared" si="366"/>
        <v>5</v>
      </c>
      <c r="B666" s="168">
        <f t="shared" si="363"/>
        <v>0</v>
      </c>
      <c r="C666" s="170">
        <f t="shared" ref="C666:AP666" si="369">IF(AND(C$2&gt;equip1_reserve_freq*$A653,C$2&lt;=equip1_reserve_freq*$A654),$B654/(equip1_reserve_freq),0)</f>
        <v>0</v>
      </c>
      <c r="D666" s="150">
        <f t="shared" si="369"/>
        <v>0</v>
      </c>
      <c r="E666" s="150">
        <f t="shared" si="369"/>
        <v>0</v>
      </c>
      <c r="F666" s="150">
        <f t="shared" si="369"/>
        <v>0</v>
      </c>
      <c r="G666" s="150">
        <f t="shared" si="369"/>
        <v>0</v>
      </c>
      <c r="H666" s="150">
        <f t="shared" si="369"/>
        <v>0</v>
      </c>
      <c r="I666" s="150">
        <f t="shared" si="369"/>
        <v>0</v>
      </c>
      <c r="J666" s="150">
        <f t="shared" si="369"/>
        <v>0</v>
      </c>
      <c r="K666" s="150">
        <f t="shared" si="369"/>
        <v>0</v>
      </c>
      <c r="L666" s="150">
        <f t="shared" si="369"/>
        <v>0</v>
      </c>
      <c r="M666" s="150">
        <f t="shared" si="369"/>
        <v>0</v>
      </c>
      <c r="N666" s="150">
        <f t="shared" si="369"/>
        <v>0</v>
      </c>
      <c r="O666" s="150">
        <f t="shared" si="369"/>
        <v>0</v>
      </c>
      <c r="P666" s="150">
        <f t="shared" si="369"/>
        <v>0</v>
      </c>
      <c r="Q666" s="150">
        <f t="shared" si="369"/>
        <v>0</v>
      </c>
      <c r="R666" s="150">
        <f t="shared" si="369"/>
        <v>0</v>
      </c>
      <c r="S666" s="150">
        <f t="shared" si="369"/>
        <v>0</v>
      </c>
      <c r="T666" s="150">
        <f t="shared" si="369"/>
        <v>0</v>
      </c>
      <c r="U666" s="150">
        <f t="shared" si="369"/>
        <v>0</v>
      </c>
      <c r="V666" s="150">
        <f t="shared" si="369"/>
        <v>0</v>
      </c>
      <c r="W666" s="150">
        <f t="shared" si="369"/>
        <v>0</v>
      </c>
      <c r="X666" s="150">
        <f t="shared" si="369"/>
        <v>0</v>
      </c>
      <c r="Y666" s="150">
        <f t="shared" si="369"/>
        <v>0</v>
      </c>
      <c r="Z666" s="150">
        <f t="shared" si="369"/>
        <v>0</v>
      </c>
      <c r="AA666" s="150">
        <f t="shared" si="369"/>
        <v>0</v>
      </c>
      <c r="AB666" s="150">
        <f t="shared" si="369"/>
        <v>0</v>
      </c>
      <c r="AC666" s="150">
        <f t="shared" si="369"/>
        <v>0</v>
      </c>
      <c r="AD666" s="150">
        <f t="shared" si="369"/>
        <v>0</v>
      </c>
      <c r="AE666" s="150">
        <f t="shared" si="369"/>
        <v>0</v>
      </c>
      <c r="AF666" s="150">
        <f t="shared" si="369"/>
        <v>0</v>
      </c>
      <c r="AG666" s="150">
        <f t="shared" si="369"/>
        <v>0</v>
      </c>
      <c r="AH666" s="150">
        <f t="shared" si="369"/>
        <v>0</v>
      </c>
      <c r="AI666" s="150">
        <f t="shared" si="369"/>
        <v>0</v>
      </c>
      <c r="AJ666" s="150">
        <f t="shared" si="369"/>
        <v>0</v>
      </c>
      <c r="AK666" s="150">
        <f t="shared" si="369"/>
        <v>0</v>
      </c>
      <c r="AL666" s="150">
        <f t="shared" si="369"/>
        <v>0</v>
      </c>
      <c r="AM666" s="150">
        <f t="shared" si="369"/>
        <v>0</v>
      </c>
      <c r="AN666" s="150">
        <f t="shared" si="369"/>
        <v>0</v>
      </c>
      <c r="AO666" s="150">
        <f t="shared" si="369"/>
        <v>0</v>
      </c>
      <c r="AP666" s="150">
        <f t="shared" si="369"/>
        <v>0</v>
      </c>
    </row>
    <row r="667" spans="1:42" x14ac:dyDescent="0.2">
      <c r="A667" s="4">
        <f t="shared" si="366"/>
        <v>6</v>
      </c>
      <c r="B667" s="168">
        <f t="shared" si="363"/>
        <v>0</v>
      </c>
      <c r="C667" s="170">
        <f t="shared" ref="C667:AP667" si="370">IF(AND(C$2&gt;equip1_reserve_freq*$A654,C$2&lt;=equip1_reserve_freq*$A655),$B655/(equip1_reserve_freq),0)</f>
        <v>0</v>
      </c>
      <c r="D667" s="150">
        <f t="shared" si="370"/>
        <v>0</v>
      </c>
      <c r="E667" s="150">
        <f t="shared" si="370"/>
        <v>0</v>
      </c>
      <c r="F667" s="150">
        <f t="shared" si="370"/>
        <v>0</v>
      </c>
      <c r="G667" s="150">
        <f t="shared" si="370"/>
        <v>0</v>
      </c>
      <c r="H667" s="150">
        <f t="shared" si="370"/>
        <v>0</v>
      </c>
      <c r="I667" s="150">
        <f t="shared" si="370"/>
        <v>0</v>
      </c>
      <c r="J667" s="150">
        <f t="shared" si="370"/>
        <v>0</v>
      </c>
      <c r="K667" s="150">
        <f t="shared" si="370"/>
        <v>0</v>
      </c>
      <c r="L667" s="150">
        <f t="shared" si="370"/>
        <v>0</v>
      </c>
      <c r="M667" s="150">
        <f t="shared" si="370"/>
        <v>0</v>
      </c>
      <c r="N667" s="150">
        <f t="shared" si="370"/>
        <v>0</v>
      </c>
      <c r="O667" s="150">
        <f t="shared" si="370"/>
        <v>0</v>
      </c>
      <c r="P667" s="150">
        <f t="shared" si="370"/>
        <v>0</v>
      </c>
      <c r="Q667" s="150">
        <f t="shared" si="370"/>
        <v>0</v>
      </c>
      <c r="R667" s="150">
        <f t="shared" si="370"/>
        <v>0</v>
      </c>
      <c r="S667" s="150">
        <f t="shared" si="370"/>
        <v>0</v>
      </c>
      <c r="T667" s="150">
        <f t="shared" si="370"/>
        <v>0</v>
      </c>
      <c r="U667" s="150">
        <f t="shared" si="370"/>
        <v>0</v>
      </c>
      <c r="V667" s="150">
        <f t="shared" si="370"/>
        <v>0</v>
      </c>
      <c r="W667" s="150">
        <f t="shared" si="370"/>
        <v>0</v>
      </c>
      <c r="X667" s="150">
        <f t="shared" si="370"/>
        <v>0</v>
      </c>
      <c r="Y667" s="150">
        <f t="shared" si="370"/>
        <v>0</v>
      </c>
      <c r="Z667" s="150">
        <f t="shared" si="370"/>
        <v>0</v>
      </c>
      <c r="AA667" s="150">
        <f t="shared" si="370"/>
        <v>0</v>
      </c>
      <c r="AB667" s="150">
        <f t="shared" si="370"/>
        <v>0</v>
      </c>
      <c r="AC667" s="150">
        <f t="shared" si="370"/>
        <v>0</v>
      </c>
      <c r="AD667" s="150">
        <f t="shared" si="370"/>
        <v>0</v>
      </c>
      <c r="AE667" s="150">
        <f t="shared" si="370"/>
        <v>0</v>
      </c>
      <c r="AF667" s="150">
        <f t="shared" si="370"/>
        <v>0</v>
      </c>
      <c r="AG667" s="150">
        <f t="shared" si="370"/>
        <v>0</v>
      </c>
      <c r="AH667" s="150">
        <f t="shared" si="370"/>
        <v>0</v>
      </c>
      <c r="AI667" s="150">
        <f t="shared" si="370"/>
        <v>0</v>
      </c>
      <c r="AJ667" s="150">
        <f t="shared" si="370"/>
        <v>0</v>
      </c>
      <c r="AK667" s="150">
        <f t="shared" si="370"/>
        <v>0</v>
      </c>
      <c r="AL667" s="150">
        <f t="shared" si="370"/>
        <v>0</v>
      </c>
      <c r="AM667" s="150">
        <f t="shared" si="370"/>
        <v>0</v>
      </c>
      <c r="AN667" s="150">
        <f t="shared" si="370"/>
        <v>0</v>
      </c>
      <c r="AO667" s="150">
        <f t="shared" si="370"/>
        <v>0</v>
      </c>
      <c r="AP667" s="150">
        <f t="shared" si="370"/>
        <v>0</v>
      </c>
    </row>
    <row r="668" spans="1:42" x14ac:dyDescent="0.2">
      <c r="A668" s="4">
        <f t="shared" si="366"/>
        <v>7</v>
      </c>
      <c r="B668" s="168">
        <f t="shared" si="363"/>
        <v>0</v>
      </c>
      <c r="C668" s="170">
        <f t="shared" ref="C668:AP668" si="371">IF(AND(C$2&gt;equip1_reserve_freq*$A655,C$2&lt;=equip1_reserve_freq*$A656),$B656/(equip1_reserve_freq),0)</f>
        <v>0</v>
      </c>
      <c r="D668" s="150">
        <f t="shared" si="371"/>
        <v>0</v>
      </c>
      <c r="E668" s="150">
        <f t="shared" si="371"/>
        <v>0</v>
      </c>
      <c r="F668" s="150">
        <f t="shared" si="371"/>
        <v>0</v>
      </c>
      <c r="G668" s="150">
        <f t="shared" si="371"/>
        <v>0</v>
      </c>
      <c r="H668" s="150">
        <f t="shared" si="371"/>
        <v>0</v>
      </c>
      <c r="I668" s="150">
        <f t="shared" si="371"/>
        <v>0</v>
      </c>
      <c r="J668" s="150">
        <f t="shared" si="371"/>
        <v>0</v>
      </c>
      <c r="K668" s="150">
        <f t="shared" si="371"/>
        <v>0</v>
      </c>
      <c r="L668" s="150">
        <f t="shared" si="371"/>
        <v>0</v>
      </c>
      <c r="M668" s="150">
        <f t="shared" si="371"/>
        <v>0</v>
      </c>
      <c r="N668" s="150">
        <f t="shared" si="371"/>
        <v>0</v>
      </c>
      <c r="O668" s="150">
        <f t="shared" si="371"/>
        <v>0</v>
      </c>
      <c r="P668" s="150">
        <f t="shared" si="371"/>
        <v>0</v>
      </c>
      <c r="Q668" s="150">
        <f t="shared" si="371"/>
        <v>0</v>
      </c>
      <c r="R668" s="150">
        <f t="shared" si="371"/>
        <v>0</v>
      </c>
      <c r="S668" s="150">
        <f t="shared" si="371"/>
        <v>0</v>
      </c>
      <c r="T668" s="150">
        <f t="shared" si="371"/>
        <v>0</v>
      </c>
      <c r="U668" s="150">
        <f t="shared" si="371"/>
        <v>0</v>
      </c>
      <c r="V668" s="150">
        <f t="shared" si="371"/>
        <v>0</v>
      </c>
      <c r="W668" s="150">
        <f t="shared" si="371"/>
        <v>0</v>
      </c>
      <c r="X668" s="150">
        <f t="shared" si="371"/>
        <v>0</v>
      </c>
      <c r="Y668" s="150">
        <f t="shared" si="371"/>
        <v>0</v>
      </c>
      <c r="Z668" s="150">
        <f t="shared" si="371"/>
        <v>0</v>
      </c>
      <c r="AA668" s="150">
        <f t="shared" si="371"/>
        <v>0</v>
      </c>
      <c r="AB668" s="150">
        <f t="shared" si="371"/>
        <v>0</v>
      </c>
      <c r="AC668" s="150">
        <f t="shared" si="371"/>
        <v>0</v>
      </c>
      <c r="AD668" s="150">
        <f t="shared" si="371"/>
        <v>0</v>
      </c>
      <c r="AE668" s="150">
        <f t="shared" si="371"/>
        <v>0</v>
      </c>
      <c r="AF668" s="150">
        <f t="shared" si="371"/>
        <v>0</v>
      </c>
      <c r="AG668" s="150">
        <f t="shared" si="371"/>
        <v>0</v>
      </c>
      <c r="AH668" s="150">
        <f t="shared" si="371"/>
        <v>0</v>
      </c>
      <c r="AI668" s="150">
        <f t="shared" si="371"/>
        <v>0</v>
      </c>
      <c r="AJ668" s="150">
        <f t="shared" si="371"/>
        <v>0</v>
      </c>
      <c r="AK668" s="150">
        <f t="shared" si="371"/>
        <v>0</v>
      </c>
      <c r="AL668" s="150">
        <f t="shared" si="371"/>
        <v>0</v>
      </c>
      <c r="AM668" s="150">
        <f t="shared" si="371"/>
        <v>0</v>
      </c>
      <c r="AN668" s="150">
        <f t="shared" si="371"/>
        <v>0</v>
      </c>
      <c r="AO668" s="150">
        <f t="shared" si="371"/>
        <v>0</v>
      </c>
      <c r="AP668" s="150">
        <f t="shared" si="371"/>
        <v>0</v>
      </c>
    </row>
    <row r="669" spans="1:42" x14ac:dyDescent="0.2">
      <c r="A669" s="4">
        <f t="shared" si="366"/>
        <v>8</v>
      </c>
      <c r="B669" s="168">
        <f t="shared" si="363"/>
        <v>0</v>
      </c>
      <c r="C669" s="170">
        <f t="shared" ref="C669:AP669" si="372">IF(AND(C$2&gt;equip1_reserve_freq*$A656,C$2&lt;=equip1_reserve_freq*$A657),$B657/(equip1_reserve_freq),0)</f>
        <v>0</v>
      </c>
      <c r="D669" s="150">
        <f t="shared" si="372"/>
        <v>0</v>
      </c>
      <c r="E669" s="150">
        <f t="shared" si="372"/>
        <v>0</v>
      </c>
      <c r="F669" s="150">
        <f t="shared" si="372"/>
        <v>0</v>
      </c>
      <c r="G669" s="150">
        <f t="shared" si="372"/>
        <v>0</v>
      </c>
      <c r="H669" s="150">
        <f t="shared" si="372"/>
        <v>0</v>
      </c>
      <c r="I669" s="150">
        <f t="shared" si="372"/>
        <v>0</v>
      </c>
      <c r="J669" s="150">
        <f t="shared" si="372"/>
        <v>0</v>
      </c>
      <c r="K669" s="150">
        <f t="shared" si="372"/>
        <v>0</v>
      </c>
      <c r="L669" s="150">
        <f t="shared" si="372"/>
        <v>0</v>
      </c>
      <c r="M669" s="150">
        <f t="shared" si="372"/>
        <v>0</v>
      </c>
      <c r="N669" s="150">
        <f t="shared" si="372"/>
        <v>0</v>
      </c>
      <c r="O669" s="150">
        <f t="shared" si="372"/>
        <v>0</v>
      </c>
      <c r="P669" s="150">
        <f t="shared" si="372"/>
        <v>0</v>
      </c>
      <c r="Q669" s="150">
        <f t="shared" si="372"/>
        <v>0</v>
      </c>
      <c r="R669" s="150">
        <f t="shared" si="372"/>
        <v>0</v>
      </c>
      <c r="S669" s="150">
        <f t="shared" si="372"/>
        <v>0</v>
      </c>
      <c r="T669" s="150">
        <f t="shared" si="372"/>
        <v>0</v>
      </c>
      <c r="U669" s="150">
        <f t="shared" si="372"/>
        <v>0</v>
      </c>
      <c r="V669" s="150">
        <f t="shared" si="372"/>
        <v>0</v>
      </c>
      <c r="W669" s="150">
        <f t="shared" si="372"/>
        <v>0</v>
      </c>
      <c r="X669" s="150">
        <f t="shared" si="372"/>
        <v>0</v>
      </c>
      <c r="Y669" s="150">
        <f t="shared" si="372"/>
        <v>0</v>
      </c>
      <c r="Z669" s="150">
        <f t="shared" si="372"/>
        <v>0</v>
      </c>
      <c r="AA669" s="150">
        <f t="shared" si="372"/>
        <v>0</v>
      </c>
      <c r="AB669" s="150">
        <f t="shared" si="372"/>
        <v>0</v>
      </c>
      <c r="AC669" s="150">
        <f t="shared" si="372"/>
        <v>0</v>
      </c>
      <c r="AD669" s="150">
        <f t="shared" si="372"/>
        <v>0</v>
      </c>
      <c r="AE669" s="150">
        <f t="shared" si="372"/>
        <v>0</v>
      </c>
      <c r="AF669" s="150">
        <f t="shared" si="372"/>
        <v>0</v>
      </c>
      <c r="AG669" s="150">
        <f t="shared" si="372"/>
        <v>0</v>
      </c>
      <c r="AH669" s="150">
        <f t="shared" si="372"/>
        <v>0</v>
      </c>
      <c r="AI669" s="150">
        <f t="shared" si="372"/>
        <v>0</v>
      </c>
      <c r="AJ669" s="150">
        <f t="shared" si="372"/>
        <v>0</v>
      </c>
      <c r="AK669" s="150">
        <f t="shared" si="372"/>
        <v>0</v>
      </c>
      <c r="AL669" s="150">
        <f t="shared" si="372"/>
        <v>0</v>
      </c>
      <c r="AM669" s="150">
        <f t="shared" si="372"/>
        <v>0</v>
      </c>
      <c r="AN669" s="150">
        <f t="shared" si="372"/>
        <v>0</v>
      </c>
      <c r="AO669" s="150">
        <f t="shared" si="372"/>
        <v>0</v>
      </c>
      <c r="AP669" s="150">
        <f t="shared" si="372"/>
        <v>0</v>
      </c>
    </row>
    <row r="670" spans="1:42" x14ac:dyDescent="0.2">
      <c r="A670" s="4">
        <f>A669+1</f>
        <v>9</v>
      </c>
      <c r="B670" s="168">
        <f t="shared" si="363"/>
        <v>0</v>
      </c>
      <c r="C670" s="170">
        <f t="shared" ref="C670:AP670" si="373">IF(AND(C$2&gt;equip1_reserve_freq*$A657,C$2&lt;=equip1_reserve_freq*$A658),$B658/(equip1_reserve_freq),0)</f>
        <v>0</v>
      </c>
      <c r="D670" s="150">
        <f t="shared" si="373"/>
        <v>0</v>
      </c>
      <c r="E670" s="150">
        <f t="shared" si="373"/>
        <v>0</v>
      </c>
      <c r="F670" s="150">
        <f t="shared" si="373"/>
        <v>0</v>
      </c>
      <c r="G670" s="150">
        <f t="shared" si="373"/>
        <v>0</v>
      </c>
      <c r="H670" s="150">
        <f t="shared" si="373"/>
        <v>0</v>
      </c>
      <c r="I670" s="150">
        <f t="shared" si="373"/>
        <v>0</v>
      </c>
      <c r="J670" s="150">
        <f t="shared" si="373"/>
        <v>0</v>
      </c>
      <c r="K670" s="150">
        <f t="shared" si="373"/>
        <v>0</v>
      </c>
      <c r="L670" s="150">
        <f t="shared" si="373"/>
        <v>0</v>
      </c>
      <c r="M670" s="150">
        <f t="shared" si="373"/>
        <v>0</v>
      </c>
      <c r="N670" s="150">
        <f t="shared" si="373"/>
        <v>0</v>
      </c>
      <c r="O670" s="150">
        <f t="shared" si="373"/>
        <v>0</v>
      </c>
      <c r="P670" s="150">
        <f t="shared" si="373"/>
        <v>0</v>
      </c>
      <c r="Q670" s="150">
        <f t="shared" si="373"/>
        <v>0</v>
      </c>
      <c r="R670" s="150">
        <f t="shared" si="373"/>
        <v>0</v>
      </c>
      <c r="S670" s="150">
        <f t="shared" si="373"/>
        <v>0</v>
      </c>
      <c r="T670" s="150">
        <f t="shared" si="373"/>
        <v>0</v>
      </c>
      <c r="U670" s="150">
        <f t="shared" si="373"/>
        <v>0</v>
      </c>
      <c r="V670" s="150">
        <f t="shared" si="373"/>
        <v>0</v>
      </c>
      <c r="W670" s="150">
        <f t="shared" si="373"/>
        <v>0</v>
      </c>
      <c r="X670" s="150">
        <f t="shared" si="373"/>
        <v>0</v>
      </c>
      <c r="Y670" s="150">
        <f t="shared" si="373"/>
        <v>0</v>
      </c>
      <c r="Z670" s="150">
        <f t="shared" si="373"/>
        <v>0</v>
      </c>
      <c r="AA670" s="150">
        <f t="shared" si="373"/>
        <v>0</v>
      </c>
      <c r="AB670" s="150">
        <f t="shared" si="373"/>
        <v>0</v>
      </c>
      <c r="AC670" s="150">
        <f t="shared" si="373"/>
        <v>0</v>
      </c>
      <c r="AD670" s="150">
        <f t="shared" si="373"/>
        <v>0</v>
      </c>
      <c r="AE670" s="150">
        <f t="shared" si="373"/>
        <v>0</v>
      </c>
      <c r="AF670" s="150">
        <f t="shared" si="373"/>
        <v>0</v>
      </c>
      <c r="AG670" s="150">
        <f t="shared" si="373"/>
        <v>0</v>
      </c>
      <c r="AH670" s="150">
        <f t="shared" si="373"/>
        <v>0</v>
      </c>
      <c r="AI670" s="150">
        <f t="shared" si="373"/>
        <v>0</v>
      </c>
      <c r="AJ670" s="150">
        <f t="shared" si="373"/>
        <v>0</v>
      </c>
      <c r="AK670" s="150">
        <f t="shared" si="373"/>
        <v>0</v>
      </c>
      <c r="AL670" s="150">
        <f t="shared" si="373"/>
        <v>0</v>
      </c>
      <c r="AM670" s="150">
        <f t="shared" si="373"/>
        <v>0</v>
      </c>
      <c r="AN670" s="150">
        <f t="shared" si="373"/>
        <v>0</v>
      </c>
      <c r="AO670" s="150">
        <f t="shared" si="373"/>
        <v>0</v>
      </c>
      <c r="AP670" s="150">
        <f t="shared" si="373"/>
        <v>0</v>
      </c>
    </row>
    <row r="671" spans="1:42" x14ac:dyDescent="0.2">
      <c r="A671" s="4">
        <f t="shared" ref="A671" si="374">A670+1</f>
        <v>10</v>
      </c>
      <c r="B671" s="168">
        <f t="shared" si="363"/>
        <v>0</v>
      </c>
      <c r="C671" s="169">
        <f t="shared" ref="C671:AP671" si="375">IF(AND(C$2&gt;equip1_reserve_freq*$A658,C$2&lt;=equip1_reserve_freq*$A659),$B659/(equip1_reserve_freq),0)</f>
        <v>0</v>
      </c>
      <c r="D671" s="151">
        <f t="shared" si="375"/>
        <v>0</v>
      </c>
      <c r="E671" s="151">
        <f t="shared" si="375"/>
        <v>0</v>
      </c>
      <c r="F671" s="151">
        <f t="shared" si="375"/>
        <v>0</v>
      </c>
      <c r="G671" s="151">
        <f t="shared" si="375"/>
        <v>0</v>
      </c>
      <c r="H671" s="151">
        <f t="shared" si="375"/>
        <v>0</v>
      </c>
      <c r="I671" s="151">
        <f t="shared" si="375"/>
        <v>0</v>
      </c>
      <c r="J671" s="151">
        <f t="shared" si="375"/>
        <v>0</v>
      </c>
      <c r="K671" s="151">
        <f t="shared" si="375"/>
        <v>0</v>
      </c>
      <c r="L671" s="151">
        <f t="shared" si="375"/>
        <v>0</v>
      </c>
      <c r="M671" s="151">
        <f t="shared" si="375"/>
        <v>0</v>
      </c>
      <c r="N671" s="151">
        <f t="shared" si="375"/>
        <v>0</v>
      </c>
      <c r="O671" s="151">
        <f t="shared" si="375"/>
        <v>0</v>
      </c>
      <c r="P671" s="151">
        <f t="shared" si="375"/>
        <v>0</v>
      </c>
      <c r="Q671" s="151">
        <f t="shared" si="375"/>
        <v>0</v>
      </c>
      <c r="R671" s="151">
        <f t="shared" si="375"/>
        <v>0</v>
      </c>
      <c r="S671" s="151">
        <f t="shared" si="375"/>
        <v>0</v>
      </c>
      <c r="T671" s="151">
        <f t="shared" si="375"/>
        <v>0</v>
      </c>
      <c r="U671" s="151">
        <f t="shared" si="375"/>
        <v>0</v>
      </c>
      <c r="V671" s="151">
        <f t="shared" si="375"/>
        <v>0</v>
      </c>
      <c r="W671" s="151">
        <f t="shared" si="375"/>
        <v>0</v>
      </c>
      <c r="X671" s="151">
        <f t="shared" si="375"/>
        <v>0</v>
      </c>
      <c r="Y671" s="151">
        <f t="shared" si="375"/>
        <v>0</v>
      </c>
      <c r="Z671" s="151">
        <f t="shared" si="375"/>
        <v>0</v>
      </c>
      <c r="AA671" s="151">
        <f t="shared" si="375"/>
        <v>0</v>
      </c>
      <c r="AB671" s="151">
        <f t="shared" si="375"/>
        <v>0</v>
      </c>
      <c r="AC671" s="151">
        <f t="shared" si="375"/>
        <v>0</v>
      </c>
      <c r="AD671" s="151">
        <f t="shared" si="375"/>
        <v>0</v>
      </c>
      <c r="AE671" s="151">
        <f t="shared" si="375"/>
        <v>0</v>
      </c>
      <c r="AF671" s="151">
        <f t="shared" si="375"/>
        <v>0</v>
      </c>
      <c r="AG671" s="151">
        <f t="shared" si="375"/>
        <v>0</v>
      </c>
      <c r="AH671" s="151">
        <f t="shared" si="375"/>
        <v>0</v>
      </c>
      <c r="AI671" s="151">
        <f t="shared" si="375"/>
        <v>0</v>
      </c>
      <c r="AJ671" s="151">
        <f t="shared" si="375"/>
        <v>0</v>
      </c>
      <c r="AK671" s="151">
        <f t="shared" si="375"/>
        <v>0</v>
      </c>
      <c r="AL671" s="151">
        <f t="shared" si="375"/>
        <v>0</v>
      </c>
      <c r="AM671" s="151">
        <f t="shared" si="375"/>
        <v>0</v>
      </c>
      <c r="AN671" s="151">
        <f t="shared" si="375"/>
        <v>0</v>
      </c>
      <c r="AO671" s="151">
        <f t="shared" si="375"/>
        <v>0</v>
      </c>
      <c r="AP671" s="151">
        <f t="shared" si="375"/>
        <v>0</v>
      </c>
    </row>
    <row r="672" spans="1:42" x14ac:dyDescent="0.2">
      <c r="A672" s="24" t="s">
        <v>12</v>
      </c>
      <c r="B672" s="14"/>
      <c r="C672" s="14">
        <f>SUM(C662:C671)</f>
        <v>0</v>
      </c>
      <c r="D672" s="14">
        <f t="shared" ref="D672:AP672" si="376">SUM(D662:D671)</f>
        <v>0</v>
      </c>
      <c r="E672" s="14">
        <f t="shared" si="376"/>
        <v>0</v>
      </c>
      <c r="F672" s="14">
        <f t="shared" si="376"/>
        <v>0</v>
      </c>
      <c r="G672" s="14">
        <f t="shared" si="376"/>
        <v>0</v>
      </c>
      <c r="H672" s="14">
        <f t="shared" si="376"/>
        <v>0</v>
      </c>
      <c r="I672" s="14">
        <f t="shared" si="376"/>
        <v>0</v>
      </c>
      <c r="J672" s="14">
        <f t="shared" si="376"/>
        <v>0</v>
      </c>
      <c r="K672" s="14">
        <f t="shared" si="376"/>
        <v>0</v>
      </c>
      <c r="L672" s="14">
        <f t="shared" si="376"/>
        <v>0</v>
      </c>
      <c r="M672" s="14">
        <f t="shared" si="376"/>
        <v>0</v>
      </c>
      <c r="N672" s="14">
        <f t="shared" si="376"/>
        <v>0</v>
      </c>
      <c r="O672" s="14">
        <f t="shared" si="376"/>
        <v>0</v>
      </c>
      <c r="P672" s="14">
        <f t="shared" si="376"/>
        <v>0</v>
      </c>
      <c r="Q672" s="14">
        <f t="shared" si="376"/>
        <v>0</v>
      </c>
      <c r="R672" s="14">
        <f t="shared" si="376"/>
        <v>0</v>
      </c>
      <c r="S672" s="14">
        <f t="shared" si="376"/>
        <v>0</v>
      </c>
      <c r="T672" s="14">
        <f t="shared" si="376"/>
        <v>0</v>
      </c>
      <c r="U672" s="14">
        <f t="shared" si="376"/>
        <v>0</v>
      </c>
      <c r="V672" s="14">
        <f t="shared" si="376"/>
        <v>0</v>
      </c>
      <c r="W672" s="14">
        <f t="shared" si="376"/>
        <v>0</v>
      </c>
      <c r="X672" s="14">
        <f t="shared" si="376"/>
        <v>0</v>
      </c>
      <c r="Y672" s="14">
        <f t="shared" si="376"/>
        <v>0</v>
      </c>
      <c r="Z672" s="14">
        <f t="shared" si="376"/>
        <v>0</v>
      </c>
      <c r="AA672" s="14">
        <f t="shared" si="376"/>
        <v>0</v>
      </c>
      <c r="AB672" s="14">
        <f t="shared" si="376"/>
        <v>0</v>
      </c>
      <c r="AC672" s="14">
        <f t="shared" si="376"/>
        <v>0</v>
      </c>
      <c r="AD672" s="14">
        <f t="shared" si="376"/>
        <v>0</v>
      </c>
      <c r="AE672" s="14">
        <f t="shared" si="376"/>
        <v>0</v>
      </c>
      <c r="AF672" s="14">
        <f t="shared" si="376"/>
        <v>0</v>
      </c>
      <c r="AG672" s="14">
        <f t="shared" si="376"/>
        <v>0</v>
      </c>
      <c r="AH672" s="14">
        <f t="shared" si="376"/>
        <v>0</v>
      </c>
      <c r="AI672" s="14">
        <f t="shared" si="376"/>
        <v>0</v>
      </c>
      <c r="AJ672" s="14">
        <f t="shared" si="376"/>
        <v>0</v>
      </c>
      <c r="AK672" s="14">
        <f t="shared" si="376"/>
        <v>0</v>
      </c>
      <c r="AL672" s="14">
        <f t="shared" si="376"/>
        <v>0</v>
      </c>
      <c r="AM672" s="14">
        <f t="shared" si="376"/>
        <v>0</v>
      </c>
      <c r="AN672" s="14">
        <f t="shared" si="376"/>
        <v>0</v>
      </c>
      <c r="AO672" s="14">
        <f t="shared" si="376"/>
        <v>0</v>
      </c>
      <c r="AP672" s="14">
        <f t="shared" si="376"/>
        <v>0</v>
      </c>
    </row>
    <row r="673" spans="1:42" x14ac:dyDescent="0.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row>
    <row r="674" spans="1:42" x14ac:dyDescent="0.2">
      <c r="A674" s="19" t="s">
        <v>282</v>
      </c>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row>
    <row r="675" spans="1:42" x14ac:dyDescent="0.2">
      <c r="A675" s="4" t="s">
        <v>274</v>
      </c>
      <c r="B675" s="150">
        <v>0</v>
      </c>
      <c r="C675" s="150">
        <f>B678</f>
        <v>0</v>
      </c>
      <c r="D675" s="150">
        <f t="shared" ref="D675:AP675" si="377">C678</f>
        <v>0</v>
      </c>
      <c r="E675" s="150">
        <f t="shared" si="377"/>
        <v>0</v>
      </c>
      <c r="F675" s="150">
        <f t="shared" si="377"/>
        <v>0</v>
      </c>
      <c r="G675" s="150">
        <f t="shared" si="377"/>
        <v>0</v>
      </c>
      <c r="H675" s="150">
        <f t="shared" si="377"/>
        <v>0</v>
      </c>
      <c r="I675" s="150">
        <f t="shared" si="377"/>
        <v>0</v>
      </c>
      <c r="J675" s="150">
        <f t="shared" si="377"/>
        <v>0</v>
      </c>
      <c r="K675" s="150">
        <f t="shared" si="377"/>
        <v>0</v>
      </c>
      <c r="L675" s="150">
        <f t="shared" si="377"/>
        <v>0</v>
      </c>
      <c r="M675" s="150">
        <f t="shared" si="377"/>
        <v>0</v>
      </c>
      <c r="N675" s="150">
        <f t="shared" si="377"/>
        <v>0</v>
      </c>
      <c r="O675" s="150">
        <f t="shared" si="377"/>
        <v>0</v>
      </c>
      <c r="P675" s="150">
        <f t="shared" si="377"/>
        <v>0</v>
      </c>
      <c r="Q675" s="150">
        <f t="shared" si="377"/>
        <v>0</v>
      </c>
      <c r="R675" s="150">
        <f t="shared" si="377"/>
        <v>0</v>
      </c>
      <c r="S675" s="150">
        <f t="shared" si="377"/>
        <v>0</v>
      </c>
      <c r="T675" s="150">
        <f t="shared" si="377"/>
        <v>0</v>
      </c>
      <c r="U675" s="150">
        <f t="shared" si="377"/>
        <v>0</v>
      </c>
      <c r="V675" s="150">
        <f t="shared" si="377"/>
        <v>0</v>
      </c>
      <c r="W675" s="150">
        <f t="shared" si="377"/>
        <v>0</v>
      </c>
      <c r="X675" s="150">
        <f t="shared" si="377"/>
        <v>0</v>
      </c>
      <c r="Y675" s="150">
        <f t="shared" si="377"/>
        <v>0</v>
      </c>
      <c r="Z675" s="150">
        <f t="shared" si="377"/>
        <v>0</v>
      </c>
      <c r="AA675" s="150">
        <f t="shared" si="377"/>
        <v>0</v>
      </c>
      <c r="AB675" s="150">
        <f t="shared" si="377"/>
        <v>0</v>
      </c>
      <c r="AC675" s="150">
        <f t="shared" si="377"/>
        <v>0</v>
      </c>
      <c r="AD675" s="150">
        <f t="shared" si="377"/>
        <v>0</v>
      </c>
      <c r="AE675" s="150">
        <f t="shared" si="377"/>
        <v>0</v>
      </c>
      <c r="AF675" s="150">
        <f t="shared" si="377"/>
        <v>0</v>
      </c>
      <c r="AG675" s="150">
        <f t="shared" si="377"/>
        <v>0</v>
      </c>
      <c r="AH675" s="150">
        <f t="shared" si="377"/>
        <v>0</v>
      </c>
      <c r="AI675" s="150">
        <f t="shared" si="377"/>
        <v>0</v>
      </c>
      <c r="AJ675" s="150">
        <f t="shared" si="377"/>
        <v>0</v>
      </c>
      <c r="AK675" s="150">
        <f t="shared" si="377"/>
        <v>0</v>
      </c>
      <c r="AL675" s="150">
        <f t="shared" si="377"/>
        <v>0</v>
      </c>
      <c r="AM675" s="150">
        <f t="shared" si="377"/>
        <v>0</v>
      </c>
      <c r="AN675" s="150">
        <f t="shared" si="377"/>
        <v>0</v>
      </c>
      <c r="AO675" s="150">
        <f t="shared" si="377"/>
        <v>0</v>
      </c>
      <c r="AP675" s="150">
        <f t="shared" si="377"/>
        <v>0</v>
      </c>
    </row>
    <row r="676" spans="1:42" x14ac:dyDescent="0.2">
      <c r="A676" s="4" t="s">
        <v>59</v>
      </c>
      <c r="B676" s="150">
        <v>0</v>
      </c>
      <c r="C676" s="150">
        <f>C704</f>
        <v>0</v>
      </c>
      <c r="D676" s="150">
        <f t="shared" ref="D676:AP676" si="378">D704</f>
        <v>0</v>
      </c>
      <c r="E676" s="150">
        <f t="shared" si="378"/>
        <v>0</v>
      </c>
      <c r="F676" s="150">
        <f t="shared" si="378"/>
        <v>0</v>
      </c>
      <c r="G676" s="150">
        <f t="shared" si="378"/>
        <v>0</v>
      </c>
      <c r="H676" s="150">
        <f t="shared" si="378"/>
        <v>0</v>
      </c>
      <c r="I676" s="150">
        <f t="shared" si="378"/>
        <v>0</v>
      </c>
      <c r="J676" s="150">
        <f t="shared" si="378"/>
        <v>0</v>
      </c>
      <c r="K676" s="150">
        <f t="shared" si="378"/>
        <v>0</v>
      </c>
      <c r="L676" s="150">
        <f t="shared" si="378"/>
        <v>0</v>
      </c>
      <c r="M676" s="150">
        <f t="shared" si="378"/>
        <v>0</v>
      </c>
      <c r="N676" s="150">
        <f t="shared" si="378"/>
        <v>0</v>
      </c>
      <c r="O676" s="150">
        <f t="shared" si="378"/>
        <v>0</v>
      </c>
      <c r="P676" s="150">
        <f t="shared" si="378"/>
        <v>0</v>
      </c>
      <c r="Q676" s="150">
        <f t="shared" si="378"/>
        <v>0</v>
      </c>
      <c r="R676" s="150">
        <f t="shared" si="378"/>
        <v>0</v>
      </c>
      <c r="S676" s="150">
        <f t="shared" si="378"/>
        <v>0</v>
      </c>
      <c r="T676" s="150">
        <f t="shared" si="378"/>
        <v>0</v>
      </c>
      <c r="U676" s="150">
        <f t="shared" si="378"/>
        <v>0</v>
      </c>
      <c r="V676" s="150">
        <f t="shared" si="378"/>
        <v>0</v>
      </c>
      <c r="W676" s="150">
        <f t="shared" si="378"/>
        <v>0</v>
      </c>
      <c r="X676" s="150">
        <f t="shared" si="378"/>
        <v>0</v>
      </c>
      <c r="Y676" s="150">
        <f t="shared" si="378"/>
        <v>0</v>
      </c>
      <c r="Z676" s="150">
        <f t="shared" si="378"/>
        <v>0</v>
      </c>
      <c r="AA676" s="150">
        <f t="shared" si="378"/>
        <v>0</v>
      </c>
      <c r="AB676" s="150">
        <f t="shared" si="378"/>
        <v>0</v>
      </c>
      <c r="AC676" s="150">
        <f t="shared" si="378"/>
        <v>0</v>
      </c>
      <c r="AD676" s="150">
        <f t="shared" si="378"/>
        <v>0</v>
      </c>
      <c r="AE676" s="150">
        <f t="shared" si="378"/>
        <v>0</v>
      </c>
      <c r="AF676" s="150">
        <f t="shared" si="378"/>
        <v>0</v>
      </c>
      <c r="AG676" s="150">
        <f t="shared" si="378"/>
        <v>0</v>
      </c>
      <c r="AH676" s="150">
        <f t="shared" si="378"/>
        <v>0</v>
      </c>
      <c r="AI676" s="150">
        <f t="shared" si="378"/>
        <v>0</v>
      </c>
      <c r="AJ676" s="150">
        <f t="shared" si="378"/>
        <v>0</v>
      </c>
      <c r="AK676" s="150">
        <f t="shared" si="378"/>
        <v>0</v>
      </c>
      <c r="AL676" s="150">
        <f t="shared" si="378"/>
        <v>0</v>
      </c>
      <c r="AM676" s="150">
        <f t="shared" si="378"/>
        <v>0</v>
      </c>
      <c r="AN676" s="150">
        <f t="shared" si="378"/>
        <v>0</v>
      </c>
      <c r="AO676" s="150">
        <f t="shared" si="378"/>
        <v>0</v>
      </c>
      <c r="AP676" s="150">
        <f t="shared" si="378"/>
        <v>0</v>
      </c>
    </row>
    <row r="677" spans="1:42" x14ac:dyDescent="0.2">
      <c r="A677" s="4" t="s">
        <v>275</v>
      </c>
      <c r="B677" s="151">
        <v>0</v>
      </c>
      <c r="C677" s="151">
        <f>-C692</f>
        <v>0</v>
      </c>
      <c r="D677" s="151">
        <f t="shared" ref="D677:AP677" si="379">-D692</f>
        <v>0</v>
      </c>
      <c r="E677" s="151">
        <f t="shared" si="379"/>
        <v>0</v>
      </c>
      <c r="F677" s="151">
        <f t="shared" si="379"/>
        <v>0</v>
      </c>
      <c r="G677" s="151">
        <f t="shared" si="379"/>
        <v>0</v>
      </c>
      <c r="H677" s="151">
        <f t="shared" si="379"/>
        <v>0</v>
      </c>
      <c r="I677" s="151">
        <f t="shared" si="379"/>
        <v>0</v>
      </c>
      <c r="J677" s="151">
        <f t="shared" si="379"/>
        <v>0</v>
      </c>
      <c r="K677" s="151">
        <f t="shared" si="379"/>
        <v>0</v>
      </c>
      <c r="L677" s="151">
        <f t="shared" si="379"/>
        <v>0</v>
      </c>
      <c r="M677" s="151">
        <f t="shared" si="379"/>
        <v>0</v>
      </c>
      <c r="N677" s="151">
        <f t="shared" si="379"/>
        <v>0</v>
      </c>
      <c r="O677" s="151">
        <f t="shared" si="379"/>
        <v>0</v>
      </c>
      <c r="P677" s="151">
        <f t="shared" si="379"/>
        <v>0</v>
      </c>
      <c r="Q677" s="151">
        <f t="shared" si="379"/>
        <v>0</v>
      </c>
      <c r="R677" s="151">
        <f t="shared" si="379"/>
        <v>0</v>
      </c>
      <c r="S677" s="151">
        <f t="shared" si="379"/>
        <v>0</v>
      </c>
      <c r="T677" s="151">
        <f t="shared" si="379"/>
        <v>0</v>
      </c>
      <c r="U677" s="151">
        <f t="shared" si="379"/>
        <v>0</v>
      </c>
      <c r="V677" s="151">
        <f t="shared" si="379"/>
        <v>0</v>
      </c>
      <c r="W677" s="151">
        <f t="shared" si="379"/>
        <v>0</v>
      </c>
      <c r="X677" s="151">
        <f t="shared" si="379"/>
        <v>0</v>
      </c>
      <c r="Y677" s="151">
        <f t="shared" si="379"/>
        <v>0</v>
      </c>
      <c r="Z677" s="151">
        <f t="shared" si="379"/>
        <v>0</v>
      </c>
      <c r="AA677" s="151">
        <f t="shared" si="379"/>
        <v>0</v>
      </c>
      <c r="AB677" s="151">
        <f t="shared" si="379"/>
        <v>0</v>
      </c>
      <c r="AC677" s="151">
        <f t="shared" si="379"/>
        <v>0</v>
      </c>
      <c r="AD677" s="151">
        <f t="shared" si="379"/>
        <v>0</v>
      </c>
      <c r="AE677" s="151">
        <f t="shared" si="379"/>
        <v>0</v>
      </c>
      <c r="AF677" s="151">
        <f t="shared" si="379"/>
        <v>0</v>
      </c>
      <c r="AG677" s="151">
        <f t="shared" si="379"/>
        <v>0</v>
      </c>
      <c r="AH677" s="151">
        <f t="shared" si="379"/>
        <v>0</v>
      </c>
      <c r="AI677" s="151">
        <f t="shared" si="379"/>
        <v>0</v>
      </c>
      <c r="AJ677" s="151">
        <f t="shared" si="379"/>
        <v>0</v>
      </c>
      <c r="AK677" s="151">
        <f t="shared" si="379"/>
        <v>0</v>
      </c>
      <c r="AL677" s="151">
        <f t="shared" si="379"/>
        <v>0</v>
      </c>
      <c r="AM677" s="151">
        <f t="shared" si="379"/>
        <v>0</v>
      </c>
      <c r="AN677" s="151">
        <f t="shared" si="379"/>
        <v>0</v>
      </c>
      <c r="AO677" s="151">
        <f t="shared" si="379"/>
        <v>0</v>
      </c>
      <c r="AP677" s="151">
        <f t="shared" si="379"/>
        <v>0</v>
      </c>
    </row>
    <row r="678" spans="1:42" x14ac:dyDescent="0.2">
      <c r="A678" s="4" t="s">
        <v>232</v>
      </c>
      <c r="B678" s="150">
        <f>SUM(B675:B677)</f>
        <v>0</v>
      </c>
      <c r="C678" s="150">
        <f>SUM(C675:C677)</f>
        <v>0</v>
      </c>
      <c r="D678" s="150">
        <f t="shared" ref="D678:AP678" si="380">SUM(D675:D677)</f>
        <v>0</v>
      </c>
      <c r="E678" s="150">
        <f t="shared" si="380"/>
        <v>0</v>
      </c>
      <c r="F678" s="150">
        <f t="shared" si="380"/>
        <v>0</v>
      </c>
      <c r="G678" s="150">
        <f t="shared" si="380"/>
        <v>0</v>
      </c>
      <c r="H678" s="150">
        <f t="shared" si="380"/>
        <v>0</v>
      </c>
      <c r="I678" s="150">
        <f t="shared" si="380"/>
        <v>0</v>
      </c>
      <c r="J678" s="150">
        <f t="shared" si="380"/>
        <v>0</v>
      </c>
      <c r="K678" s="150">
        <f t="shared" si="380"/>
        <v>0</v>
      </c>
      <c r="L678" s="150">
        <f t="shared" si="380"/>
        <v>0</v>
      </c>
      <c r="M678" s="150">
        <f t="shared" si="380"/>
        <v>0</v>
      </c>
      <c r="N678" s="150">
        <f t="shared" si="380"/>
        <v>0</v>
      </c>
      <c r="O678" s="150">
        <f t="shared" si="380"/>
        <v>0</v>
      </c>
      <c r="P678" s="150">
        <f t="shared" si="380"/>
        <v>0</v>
      </c>
      <c r="Q678" s="150">
        <f t="shared" si="380"/>
        <v>0</v>
      </c>
      <c r="R678" s="150">
        <f t="shared" si="380"/>
        <v>0</v>
      </c>
      <c r="S678" s="150">
        <f t="shared" si="380"/>
        <v>0</v>
      </c>
      <c r="T678" s="150">
        <f t="shared" si="380"/>
        <v>0</v>
      </c>
      <c r="U678" s="150">
        <f t="shared" si="380"/>
        <v>0</v>
      </c>
      <c r="V678" s="150">
        <f t="shared" si="380"/>
        <v>0</v>
      </c>
      <c r="W678" s="150">
        <f t="shared" si="380"/>
        <v>0</v>
      </c>
      <c r="X678" s="150">
        <f t="shared" si="380"/>
        <v>0</v>
      </c>
      <c r="Y678" s="150">
        <f t="shared" si="380"/>
        <v>0</v>
      </c>
      <c r="Z678" s="150">
        <f t="shared" si="380"/>
        <v>0</v>
      </c>
      <c r="AA678" s="150">
        <f t="shared" si="380"/>
        <v>0</v>
      </c>
      <c r="AB678" s="150">
        <f t="shared" si="380"/>
        <v>0</v>
      </c>
      <c r="AC678" s="150">
        <f t="shared" si="380"/>
        <v>0</v>
      </c>
      <c r="AD678" s="150">
        <f t="shared" si="380"/>
        <v>0</v>
      </c>
      <c r="AE678" s="150">
        <f t="shared" si="380"/>
        <v>0</v>
      </c>
      <c r="AF678" s="150">
        <f t="shared" si="380"/>
        <v>0</v>
      </c>
      <c r="AG678" s="150">
        <f t="shared" si="380"/>
        <v>0</v>
      </c>
      <c r="AH678" s="150">
        <f t="shared" si="380"/>
        <v>0</v>
      </c>
      <c r="AI678" s="150">
        <f t="shared" si="380"/>
        <v>0</v>
      </c>
      <c r="AJ678" s="150">
        <f t="shared" si="380"/>
        <v>0</v>
      </c>
      <c r="AK678" s="150">
        <f t="shared" si="380"/>
        <v>0</v>
      </c>
      <c r="AL678" s="150">
        <f t="shared" si="380"/>
        <v>0</v>
      </c>
      <c r="AM678" s="150">
        <f t="shared" si="380"/>
        <v>0</v>
      </c>
      <c r="AN678" s="150">
        <f t="shared" si="380"/>
        <v>0</v>
      </c>
      <c r="AO678" s="150">
        <f t="shared" si="380"/>
        <v>0</v>
      </c>
      <c r="AP678" s="150">
        <f t="shared" si="380"/>
        <v>0</v>
      </c>
    </row>
    <row r="680" spans="1:42" x14ac:dyDescent="0.2">
      <c r="A680" s="4" t="s">
        <v>277</v>
      </c>
    </row>
    <row r="681" spans="1:42" x14ac:dyDescent="0.2">
      <c r="A681" s="4" t="s">
        <v>278</v>
      </c>
    </row>
    <row r="682" spans="1:42" x14ac:dyDescent="0.2">
      <c r="A682" s="4">
        <v>1</v>
      </c>
      <c r="B682" s="168">
        <f t="shared" ref="B682:B691" si="381">SUM(C682:AP682)</f>
        <v>0</v>
      </c>
      <c r="C682" s="150">
        <f t="shared" ref="C682:AP682" si="382">IF(C$2&gt;analysis_period,0,IF(C$2=equip2_reserve_freq*$A682,equip2_reserve_cost*system_capacity*1000*(1+inflation_rate/100)^B$2,0))</f>
        <v>0</v>
      </c>
      <c r="D682" s="150">
        <f t="shared" si="382"/>
        <v>0</v>
      </c>
      <c r="E682" s="150">
        <f t="shared" si="382"/>
        <v>0</v>
      </c>
      <c r="F682" s="150">
        <f t="shared" si="382"/>
        <v>0</v>
      </c>
      <c r="G682" s="150">
        <f t="shared" si="382"/>
        <v>0</v>
      </c>
      <c r="H682" s="150">
        <f t="shared" si="382"/>
        <v>0</v>
      </c>
      <c r="I682" s="150">
        <f t="shared" si="382"/>
        <v>0</v>
      </c>
      <c r="J682" s="150">
        <f t="shared" si="382"/>
        <v>0</v>
      </c>
      <c r="K682" s="150">
        <f t="shared" si="382"/>
        <v>0</v>
      </c>
      <c r="L682" s="150">
        <f t="shared" si="382"/>
        <v>0</v>
      </c>
      <c r="M682" s="150">
        <f t="shared" si="382"/>
        <v>0</v>
      </c>
      <c r="N682" s="150">
        <f t="shared" si="382"/>
        <v>0</v>
      </c>
      <c r="O682" s="150">
        <f t="shared" si="382"/>
        <v>0</v>
      </c>
      <c r="P682" s="150">
        <f t="shared" si="382"/>
        <v>0</v>
      </c>
      <c r="Q682" s="150">
        <f t="shared" si="382"/>
        <v>0</v>
      </c>
      <c r="R682" s="150">
        <f t="shared" si="382"/>
        <v>0</v>
      </c>
      <c r="S682" s="150">
        <f t="shared" si="382"/>
        <v>0</v>
      </c>
      <c r="T682" s="150">
        <f t="shared" si="382"/>
        <v>0</v>
      </c>
      <c r="U682" s="150">
        <f t="shared" si="382"/>
        <v>0</v>
      </c>
      <c r="V682" s="150">
        <f t="shared" si="382"/>
        <v>0</v>
      </c>
      <c r="W682" s="150">
        <f t="shared" si="382"/>
        <v>0</v>
      </c>
      <c r="X682" s="150">
        <f t="shared" si="382"/>
        <v>0</v>
      </c>
      <c r="Y682" s="150">
        <f t="shared" si="382"/>
        <v>0</v>
      </c>
      <c r="Z682" s="150">
        <f t="shared" si="382"/>
        <v>0</v>
      </c>
      <c r="AA682" s="150">
        <f t="shared" si="382"/>
        <v>0</v>
      </c>
      <c r="AB682" s="150">
        <f t="shared" si="382"/>
        <v>0</v>
      </c>
      <c r="AC682" s="150">
        <f t="shared" si="382"/>
        <v>0</v>
      </c>
      <c r="AD682" s="150">
        <f t="shared" si="382"/>
        <v>0</v>
      </c>
      <c r="AE682" s="150">
        <f t="shared" si="382"/>
        <v>0</v>
      </c>
      <c r="AF682" s="150">
        <f t="shared" si="382"/>
        <v>0</v>
      </c>
      <c r="AG682" s="150">
        <f t="shared" si="382"/>
        <v>0</v>
      </c>
      <c r="AH682" s="150">
        <f t="shared" si="382"/>
        <v>0</v>
      </c>
      <c r="AI682" s="150">
        <f t="shared" si="382"/>
        <v>0</v>
      </c>
      <c r="AJ682" s="150">
        <f t="shared" si="382"/>
        <v>0</v>
      </c>
      <c r="AK682" s="150">
        <f t="shared" si="382"/>
        <v>0</v>
      </c>
      <c r="AL682" s="150">
        <f t="shared" si="382"/>
        <v>0</v>
      </c>
      <c r="AM682" s="150">
        <f t="shared" si="382"/>
        <v>0</v>
      </c>
      <c r="AN682" s="150">
        <f t="shared" si="382"/>
        <v>0</v>
      </c>
      <c r="AO682" s="150">
        <f t="shared" si="382"/>
        <v>0</v>
      </c>
      <c r="AP682" s="150">
        <f t="shared" si="382"/>
        <v>0</v>
      </c>
    </row>
    <row r="683" spans="1:42" x14ac:dyDescent="0.2">
      <c r="A683" s="4">
        <f>A682+1</f>
        <v>2</v>
      </c>
      <c r="B683" s="168">
        <f t="shared" si="381"/>
        <v>0</v>
      </c>
      <c r="C683" s="150">
        <f t="shared" ref="C683:AP683" si="383">IF(C$2&gt;analysis_period,0,IF(C$2=equip2_reserve_freq*$A683,equip2_reserve_cost*system_capacity*1000*(1+inflation_rate/100)^B$2,0))</f>
        <v>0</v>
      </c>
      <c r="D683" s="150">
        <f t="shared" si="383"/>
        <v>0</v>
      </c>
      <c r="E683" s="150">
        <f t="shared" si="383"/>
        <v>0</v>
      </c>
      <c r="F683" s="150">
        <f t="shared" si="383"/>
        <v>0</v>
      </c>
      <c r="G683" s="150">
        <f t="shared" si="383"/>
        <v>0</v>
      </c>
      <c r="H683" s="150">
        <f t="shared" si="383"/>
        <v>0</v>
      </c>
      <c r="I683" s="150">
        <f t="shared" si="383"/>
        <v>0</v>
      </c>
      <c r="J683" s="150">
        <f t="shared" si="383"/>
        <v>0</v>
      </c>
      <c r="K683" s="150">
        <f t="shared" si="383"/>
        <v>0</v>
      </c>
      <c r="L683" s="150">
        <f t="shared" si="383"/>
        <v>0</v>
      </c>
      <c r="M683" s="150">
        <f t="shared" si="383"/>
        <v>0</v>
      </c>
      <c r="N683" s="150">
        <f t="shared" si="383"/>
        <v>0</v>
      </c>
      <c r="O683" s="150">
        <f t="shared" si="383"/>
        <v>0</v>
      </c>
      <c r="P683" s="150">
        <f t="shared" si="383"/>
        <v>0</v>
      </c>
      <c r="Q683" s="150">
        <f t="shared" si="383"/>
        <v>0</v>
      </c>
      <c r="R683" s="150">
        <f t="shared" si="383"/>
        <v>0</v>
      </c>
      <c r="S683" s="150">
        <f t="shared" si="383"/>
        <v>0</v>
      </c>
      <c r="T683" s="150">
        <f t="shared" si="383"/>
        <v>0</v>
      </c>
      <c r="U683" s="150">
        <f t="shared" si="383"/>
        <v>0</v>
      </c>
      <c r="V683" s="150">
        <f t="shared" si="383"/>
        <v>0</v>
      </c>
      <c r="W683" s="150">
        <f t="shared" si="383"/>
        <v>0</v>
      </c>
      <c r="X683" s="150">
        <f t="shared" si="383"/>
        <v>0</v>
      </c>
      <c r="Y683" s="150">
        <f t="shared" si="383"/>
        <v>0</v>
      </c>
      <c r="Z683" s="150">
        <f t="shared" si="383"/>
        <v>0</v>
      </c>
      <c r="AA683" s="150">
        <f t="shared" si="383"/>
        <v>0</v>
      </c>
      <c r="AB683" s="150">
        <f t="shared" si="383"/>
        <v>0</v>
      </c>
      <c r="AC683" s="150">
        <f t="shared" si="383"/>
        <v>0</v>
      </c>
      <c r="AD683" s="150">
        <f t="shared" si="383"/>
        <v>0</v>
      </c>
      <c r="AE683" s="150">
        <f t="shared" si="383"/>
        <v>0</v>
      </c>
      <c r="AF683" s="150">
        <f t="shared" si="383"/>
        <v>0</v>
      </c>
      <c r="AG683" s="150">
        <f t="shared" si="383"/>
        <v>0</v>
      </c>
      <c r="AH683" s="150">
        <f t="shared" si="383"/>
        <v>0</v>
      </c>
      <c r="AI683" s="150">
        <f t="shared" si="383"/>
        <v>0</v>
      </c>
      <c r="AJ683" s="150">
        <f t="shared" si="383"/>
        <v>0</v>
      </c>
      <c r="AK683" s="150">
        <f t="shared" si="383"/>
        <v>0</v>
      </c>
      <c r="AL683" s="150">
        <f t="shared" si="383"/>
        <v>0</v>
      </c>
      <c r="AM683" s="150">
        <f t="shared" si="383"/>
        <v>0</v>
      </c>
      <c r="AN683" s="150">
        <f t="shared" si="383"/>
        <v>0</v>
      </c>
      <c r="AO683" s="150">
        <f t="shared" si="383"/>
        <v>0</v>
      </c>
      <c r="AP683" s="150">
        <f t="shared" si="383"/>
        <v>0</v>
      </c>
    </row>
    <row r="684" spans="1:42" x14ac:dyDescent="0.2">
      <c r="A684" s="4">
        <f t="shared" ref="A684:A691" si="384">A683+1</f>
        <v>3</v>
      </c>
      <c r="B684" s="168">
        <f t="shared" si="381"/>
        <v>0</v>
      </c>
      <c r="C684" s="150">
        <f t="shared" ref="C684:AP684" si="385">IF(C$2&gt;analysis_period,0,IF(C$2=equip2_reserve_freq*$A684,equip2_reserve_cost*system_capacity*1000*(1+inflation_rate/100)^B$2,0))</f>
        <v>0</v>
      </c>
      <c r="D684" s="150">
        <f t="shared" si="385"/>
        <v>0</v>
      </c>
      <c r="E684" s="150">
        <f t="shared" si="385"/>
        <v>0</v>
      </c>
      <c r="F684" s="150">
        <f t="shared" si="385"/>
        <v>0</v>
      </c>
      <c r="G684" s="150">
        <f t="shared" si="385"/>
        <v>0</v>
      </c>
      <c r="H684" s="150">
        <f t="shared" si="385"/>
        <v>0</v>
      </c>
      <c r="I684" s="150">
        <f t="shared" si="385"/>
        <v>0</v>
      </c>
      <c r="J684" s="150">
        <f t="shared" si="385"/>
        <v>0</v>
      </c>
      <c r="K684" s="150">
        <f t="shared" si="385"/>
        <v>0</v>
      </c>
      <c r="L684" s="150">
        <f t="shared" si="385"/>
        <v>0</v>
      </c>
      <c r="M684" s="150">
        <f t="shared" si="385"/>
        <v>0</v>
      </c>
      <c r="N684" s="150">
        <f t="shared" si="385"/>
        <v>0</v>
      </c>
      <c r="O684" s="150">
        <f t="shared" si="385"/>
        <v>0</v>
      </c>
      <c r="P684" s="150">
        <f t="shared" si="385"/>
        <v>0</v>
      </c>
      <c r="Q684" s="150">
        <f t="shared" si="385"/>
        <v>0</v>
      </c>
      <c r="R684" s="150">
        <f t="shared" si="385"/>
        <v>0</v>
      </c>
      <c r="S684" s="150">
        <f t="shared" si="385"/>
        <v>0</v>
      </c>
      <c r="T684" s="150">
        <f t="shared" si="385"/>
        <v>0</v>
      </c>
      <c r="U684" s="150">
        <f t="shared" si="385"/>
        <v>0</v>
      </c>
      <c r="V684" s="150">
        <f t="shared" si="385"/>
        <v>0</v>
      </c>
      <c r="W684" s="150">
        <f t="shared" si="385"/>
        <v>0</v>
      </c>
      <c r="X684" s="150">
        <f t="shared" si="385"/>
        <v>0</v>
      </c>
      <c r="Y684" s="150">
        <f t="shared" si="385"/>
        <v>0</v>
      </c>
      <c r="Z684" s="150">
        <f t="shared" si="385"/>
        <v>0</v>
      </c>
      <c r="AA684" s="150">
        <f t="shared" si="385"/>
        <v>0</v>
      </c>
      <c r="AB684" s="150">
        <f t="shared" si="385"/>
        <v>0</v>
      </c>
      <c r="AC684" s="150">
        <f t="shared" si="385"/>
        <v>0</v>
      </c>
      <c r="AD684" s="150">
        <f t="shared" si="385"/>
        <v>0</v>
      </c>
      <c r="AE684" s="150">
        <f t="shared" si="385"/>
        <v>0</v>
      </c>
      <c r="AF684" s="150">
        <f t="shared" si="385"/>
        <v>0</v>
      </c>
      <c r="AG684" s="150">
        <f t="shared" si="385"/>
        <v>0</v>
      </c>
      <c r="AH684" s="150">
        <f t="shared" si="385"/>
        <v>0</v>
      </c>
      <c r="AI684" s="150">
        <f t="shared" si="385"/>
        <v>0</v>
      </c>
      <c r="AJ684" s="150">
        <f t="shared" si="385"/>
        <v>0</v>
      </c>
      <c r="AK684" s="150">
        <f t="shared" si="385"/>
        <v>0</v>
      </c>
      <c r="AL684" s="150">
        <f t="shared" si="385"/>
        <v>0</v>
      </c>
      <c r="AM684" s="150">
        <f t="shared" si="385"/>
        <v>0</v>
      </c>
      <c r="AN684" s="150">
        <f t="shared" si="385"/>
        <v>0</v>
      </c>
      <c r="AO684" s="150">
        <f t="shared" si="385"/>
        <v>0</v>
      </c>
      <c r="AP684" s="150">
        <f t="shared" si="385"/>
        <v>0</v>
      </c>
    </row>
    <row r="685" spans="1:42" x14ac:dyDescent="0.2">
      <c r="A685" s="4">
        <f t="shared" si="384"/>
        <v>4</v>
      </c>
      <c r="B685" s="168">
        <f t="shared" si="381"/>
        <v>0</v>
      </c>
      <c r="C685" s="150">
        <f t="shared" ref="C685:AP685" si="386">IF(C$2&gt;analysis_period,0,IF(C$2=equip2_reserve_freq*$A685,equip2_reserve_cost*system_capacity*1000*(1+inflation_rate/100)^B$2,0))</f>
        <v>0</v>
      </c>
      <c r="D685" s="150">
        <f t="shared" si="386"/>
        <v>0</v>
      </c>
      <c r="E685" s="150">
        <f t="shared" si="386"/>
        <v>0</v>
      </c>
      <c r="F685" s="150">
        <f t="shared" si="386"/>
        <v>0</v>
      </c>
      <c r="G685" s="150">
        <f t="shared" si="386"/>
        <v>0</v>
      </c>
      <c r="H685" s="150">
        <f t="shared" si="386"/>
        <v>0</v>
      </c>
      <c r="I685" s="150">
        <f t="shared" si="386"/>
        <v>0</v>
      </c>
      <c r="J685" s="150">
        <f t="shared" si="386"/>
        <v>0</v>
      </c>
      <c r="K685" s="150">
        <f t="shared" si="386"/>
        <v>0</v>
      </c>
      <c r="L685" s="150">
        <f t="shared" si="386"/>
        <v>0</v>
      </c>
      <c r="M685" s="150">
        <f t="shared" si="386"/>
        <v>0</v>
      </c>
      <c r="N685" s="150">
        <f t="shared" si="386"/>
        <v>0</v>
      </c>
      <c r="O685" s="150">
        <f t="shared" si="386"/>
        <v>0</v>
      </c>
      <c r="P685" s="150">
        <f t="shared" si="386"/>
        <v>0</v>
      </c>
      <c r="Q685" s="150">
        <f t="shared" si="386"/>
        <v>0</v>
      </c>
      <c r="R685" s="150">
        <f t="shared" si="386"/>
        <v>0</v>
      </c>
      <c r="S685" s="150">
        <f t="shared" si="386"/>
        <v>0</v>
      </c>
      <c r="T685" s="150">
        <f t="shared" si="386"/>
        <v>0</v>
      </c>
      <c r="U685" s="150">
        <f t="shared" si="386"/>
        <v>0</v>
      </c>
      <c r="V685" s="150">
        <f t="shared" si="386"/>
        <v>0</v>
      </c>
      <c r="W685" s="150">
        <f t="shared" si="386"/>
        <v>0</v>
      </c>
      <c r="X685" s="150">
        <f t="shared" si="386"/>
        <v>0</v>
      </c>
      <c r="Y685" s="150">
        <f t="shared" si="386"/>
        <v>0</v>
      </c>
      <c r="Z685" s="150">
        <f t="shared" si="386"/>
        <v>0</v>
      </c>
      <c r="AA685" s="150">
        <f t="shared" si="386"/>
        <v>0</v>
      </c>
      <c r="AB685" s="150">
        <f t="shared" si="386"/>
        <v>0</v>
      </c>
      <c r="AC685" s="150">
        <f t="shared" si="386"/>
        <v>0</v>
      </c>
      <c r="AD685" s="150">
        <f t="shared" si="386"/>
        <v>0</v>
      </c>
      <c r="AE685" s="150">
        <f t="shared" si="386"/>
        <v>0</v>
      </c>
      <c r="AF685" s="150">
        <f t="shared" si="386"/>
        <v>0</v>
      </c>
      <c r="AG685" s="150">
        <f t="shared" si="386"/>
        <v>0</v>
      </c>
      <c r="AH685" s="150">
        <f t="shared" si="386"/>
        <v>0</v>
      </c>
      <c r="AI685" s="150">
        <f t="shared" si="386"/>
        <v>0</v>
      </c>
      <c r="AJ685" s="150">
        <f t="shared" si="386"/>
        <v>0</v>
      </c>
      <c r="AK685" s="150">
        <f t="shared" si="386"/>
        <v>0</v>
      </c>
      <c r="AL685" s="150">
        <f t="shared" si="386"/>
        <v>0</v>
      </c>
      <c r="AM685" s="150">
        <f t="shared" si="386"/>
        <v>0</v>
      </c>
      <c r="AN685" s="150">
        <f t="shared" si="386"/>
        <v>0</v>
      </c>
      <c r="AO685" s="150">
        <f t="shared" si="386"/>
        <v>0</v>
      </c>
      <c r="AP685" s="150">
        <f t="shared" si="386"/>
        <v>0</v>
      </c>
    </row>
    <row r="686" spans="1:42" x14ac:dyDescent="0.2">
      <c r="A686" s="4">
        <f t="shared" si="384"/>
        <v>5</v>
      </c>
      <c r="B686" s="168">
        <f t="shared" si="381"/>
        <v>0</v>
      </c>
      <c r="C686" s="150">
        <f t="shared" ref="C686:AP686" si="387">IF(C$2&gt;analysis_period,0,IF(C$2=equip2_reserve_freq*$A686,equip2_reserve_cost*system_capacity*1000*(1+inflation_rate/100)^B$2,0))</f>
        <v>0</v>
      </c>
      <c r="D686" s="150">
        <f t="shared" si="387"/>
        <v>0</v>
      </c>
      <c r="E686" s="150">
        <f t="shared" si="387"/>
        <v>0</v>
      </c>
      <c r="F686" s="150">
        <f t="shared" si="387"/>
        <v>0</v>
      </c>
      <c r="G686" s="150">
        <f t="shared" si="387"/>
        <v>0</v>
      </c>
      <c r="H686" s="150">
        <f t="shared" si="387"/>
        <v>0</v>
      </c>
      <c r="I686" s="150">
        <f t="shared" si="387"/>
        <v>0</v>
      </c>
      <c r="J686" s="150">
        <f t="shared" si="387"/>
        <v>0</v>
      </c>
      <c r="K686" s="150">
        <f t="shared" si="387"/>
        <v>0</v>
      </c>
      <c r="L686" s="150">
        <f t="shared" si="387"/>
        <v>0</v>
      </c>
      <c r="M686" s="150">
        <f t="shared" si="387"/>
        <v>0</v>
      </c>
      <c r="N686" s="150">
        <f t="shared" si="387"/>
        <v>0</v>
      </c>
      <c r="O686" s="150">
        <f t="shared" si="387"/>
        <v>0</v>
      </c>
      <c r="P686" s="150">
        <f t="shared" si="387"/>
        <v>0</v>
      </c>
      <c r="Q686" s="150">
        <f t="shared" si="387"/>
        <v>0</v>
      </c>
      <c r="R686" s="150">
        <f t="shared" si="387"/>
        <v>0</v>
      </c>
      <c r="S686" s="150">
        <f t="shared" si="387"/>
        <v>0</v>
      </c>
      <c r="T686" s="150">
        <f t="shared" si="387"/>
        <v>0</v>
      </c>
      <c r="U686" s="150">
        <f t="shared" si="387"/>
        <v>0</v>
      </c>
      <c r="V686" s="150">
        <f t="shared" si="387"/>
        <v>0</v>
      </c>
      <c r="W686" s="150">
        <f t="shared" si="387"/>
        <v>0</v>
      </c>
      <c r="X686" s="150">
        <f t="shared" si="387"/>
        <v>0</v>
      </c>
      <c r="Y686" s="150">
        <f t="shared" si="387"/>
        <v>0</v>
      </c>
      <c r="Z686" s="150">
        <f t="shared" si="387"/>
        <v>0</v>
      </c>
      <c r="AA686" s="150">
        <f t="shared" si="387"/>
        <v>0</v>
      </c>
      <c r="AB686" s="150">
        <f t="shared" si="387"/>
        <v>0</v>
      </c>
      <c r="AC686" s="150">
        <f t="shared" si="387"/>
        <v>0</v>
      </c>
      <c r="AD686" s="150">
        <f t="shared" si="387"/>
        <v>0</v>
      </c>
      <c r="AE686" s="150">
        <f t="shared" si="387"/>
        <v>0</v>
      </c>
      <c r="AF686" s="150">
        <f t="shared" si="387"/>
        <v>0</v>
      </c>
      <c r="AG686" s="150">
        <f t="shared" si="387"/>
        <v>0</v>
      </c>
      <c r="AH686" s="150">
        <f t="shared" si="387"/>
        <v>0</v>
      </c>
      <c r="AI686" s="150">
        <f t="shared" si="387"/>
        <v>0</v>
      </c>
      <c r="AJ686" s="150">
        <f t="shared" si="387"/>
        <v>0</v>
      </c>
      <c r="AK686" s="150">
        <f t="shared" si="387"/>
        <v>0</v>
      </c>
      <c r="AL686" s="150">
        <f t="shared" si="387"/>
        <v>0</v>
      </c>
      <c r="AM686" s="150">
        <f t="shared" si="387"/>
        <v>0</v>
      </c>
      <c r="AN686" s="150">
        <f t="shared" si="387"/>
        <v>0</v>
      </c>
      <c r="AO686" s="150">
        <f t="shared" si="387"/>
        <v>0</v>
      </c>
      <c r="AP686" s="150">
        <f t="shared" si="387"/>
        <v>0</v>
      </c>
    </row>
    <row r="687" spans="1:42" x14ac:dyDescent="0.2">
      <c r="A687" s="4">
        <f t="shared" si="384"/>
        <v>6</v>
      </c>
      <c r="B687" s="168">
        <f t="shared" si="381"/>
        <v>0</v>
      </c>
      <c r="C687" s="150">
        <f t="shared" ref="C687:AP687" si="388">IF(C$2&gt;analysis_period,0,IF(C$2=equip2_reserve_freq*$A687,equip2_reserve_cost*system_capacity*1000*(1+inflation_rate/100)^B$2,0))</f>
        <v>0</v>
      </c>
      <c r="D687" s="150">
        <f t="shared" si="388"/>
        <v>0</v>
      </c>
      <c r="E687" s="150">
        <f t="shared" si="388"/>
        <v>0</v>
      </c>
      <c r="F687" s="150">
        <f t="shared" si="388"/>
        <v>0</v>
      </c>
      <c r="G687" s="150">
        <f t="shared" si="388"/>
        <v>0</v>
      </c>
      <c r="H687" s="150">
        <f t="shared" si="388"/>
        <v>0</v>
      </c>
      <c r="I687" s="150">
        <f t="shared" si="388"/>
        <v>0</v>
      </c>
      <c r="J687" s="150">
        <f t="shared" si="388"/>
        <v>0</v>
      </c>
      <c r="K687" s="150">
        <f t="shared" si="388"/>
        <v>0</v>
      </c>
      <c r="L687" s="150">
        <f t="shared" si="388"/>
        <v>0</v>
      </c>
      <c r="M687" s="150">
        <f t="shared" si="388"/>
        <v>0</v>
      </c>
      <c r="N687" s="150">
        <f t="shared" si="388"/>
        <v>0</v>
      </c>
      <c r="O687" s="150">
        <f t="shared" si="388"/>
        <v>0</v>
      </c>
      <c r="P687" s="150">
        <f t="shared" si="388"/>
        <v>0</v>
      </c>
      <c r="Q687" s="150">
        <f t="shared" si="388"/>
        <v>0</v>
      </c>
      <c r="R687" s="150">
        <f t="shared" si="388"/>
        <v>0</v>
      </c>
      <c r="S687" s="150">
        <f t="shared" si="388"/>
        <v>0</v>
      </c>
      <c r="T687" s="150">
        <f t="shared" si="388"/>
        <v>0</v>
      </c>
      <c r="U687" s="150">
        <f t="shared" si="388"/>
        <v>0</v>
      </c>
      <c r="V687" s="150">
        <f t="shared" si="388"/>
        <v>0</v>
      </c>
      <c r="W687" s="150">
        <f t="shared" si="388"/>
        <v>0</v>
      </c>
      <c r="X687" s="150">
        <f t="shared" si="388"/>
        <v>0</v>
      </c>
      <c r="Y687" s="150">
        <f t="shared" si="388"/>
        <v>0</v>
      </c>
      <c r="Z687" s="150">
        <f t="shared" si="388"/>
        <v>0</v>
      </c>
      <c r="AA687" s="150">
        <f t="shared" si="388"/>
        <v>0</v>
      </c>
      <c r="AB687" s="150">
        <f t="shared" si="388"/>
        <v>0</v>
      </c>
      <c r="AC687" s="150">
        <f t="shared" si="388"/>
        <v>0</v>
      </c>
      <c r="AD687" s="150">
        <f t="shared" si="388"/>
        <v>0</v>
      </c>
      <c r="AE687" s="150">
        <f t="shared" si="388"/>
        <v>0</v>
      </c>
      <c r="AF687" s="150">
        <f t="shared" si="388"/>
        <v>0</v>
      </c>
      <c r="AG687" s="150">
        <f t="shared" si="388"/>
        <v>0</v>
      </c>
      <c r="AH687" s="150">
        <f t="shared" si="388"/>
        <v>0</v>
      </c>
      <c r="AI687" s="150">
        <f t="shared" si="388"/>
        <v>0</v>
      </c>
      <c r="AJ687" s="150">
        <f t="shared" si="388"/>
        <v>0</v>
      </c>
      <c r="AK687" s="150">
        <f t="shared" si="388"/>
        <v>0</v>
      </c>
      <c r="AL687" s="150">
        <f t="shared" si="388"/>
        <v>0</v>
      </c>
      <c r="AM687" s="150">
        <f t="shared" si="388"/>
        <v>0</v>
      </c>
      <c r="AN687" s="150">
        <f t="shared" si="388"/>
        <v>0</v>
      </c>
      <c r="AO687" s="150">
        <f t="shared" si="388"/>
        <v>0</v>
      </c>
      <c r="AP687" s="150">
        <f t="shared" si="388"/>
        <v>0</v>
      </c>
    </row>
    <row r="688" spans="1:42" x14ac:dyDescent="0.2">
      <c r="A688" s="4">
        <f t="shared" si="384"/>
        <v>7</v>
      </c>
      <c r="B688" s="168">
        <f t="shared" si="381"/>
        <v>0</v>
      </c>
      <c r="C688" s="150">
        <f t="shared" ref="C688:AP688" si="389">IF(C$2&gt;analysis_period,0,IF(C$2=equip2_reserve_freq*$A688,equip2_reserve_cost*system_capacity*1000*(1+inflation_rate/100)^B$2,0))</f>
        <v>0</v>
      </c>
      <c r="D688" s="150">
        <f t="shared" si="389"/>
        <v>0</v>
      </c>
      <c r="E688" s="150">
        <f t="shared" si="389"/>
        <v>0</v>
      </c>
      <c r="F688" s="150">
        <f t="shared" si="389"/>
        <v>0</v>
      </c>
      <c r="G688" s="150">
        <f t="shared" si="389"/>
        <v>0</v>
      </c>
      <c r="H688" s="150">
        <f t="shared" si="389"/>
        <v>0</v>
      </c>
      <c r="I688" s="150">
        <f t="shared" si="389"/>
        <v>0</v>
      </c>
      <c r="J688" s="150">
        <f t="shared" si="389"/>
        <v>0</v>
      </c>
      <c r="K688" s="150">
        <f t="shared" si="389"/>
        <v>0</v>
      </c>
      <c r="L688" s="150">
        <f t="shared" si="389"/>
        <v>0</v>
      </c>
      <c r="M688" s="150">
        <f t="shared" si="389"/>
        <v>0</v>
      </c>
      <c r="N688" s="150">
        <f t="shared" si="389"/>
        <v>0</v>
      </c>
      <c r="O688" s="150">
        <f t="shared" si="389"/>
        <v>0</v>
      </c>
      <c r="P688" s="150">
        <f t="shared" si="389"/>
        <v>0</v>
      </c>
      <c r="Q688" s="150">
        <f t="shared" si="389"/>
        <v>0</v>
      </c>
      <c r="R688" s="150">
        <f t="shared" si="389"/>
        <v>0</v>
      </c>
      <c r="S688" s="150">
        <f t="shared" si="389"/>
        <v>0</v>
      </c>
      <c r="T688" s="150">
        <f t="shared" si="389"/>
        <v>0</v>
      </c>
      <c r="U688" s="150">
        <f t="shared" si="389"/>
        <v>0</v>
      </c>
      <c r="V688" s="150">
        <f t="shared" si="389"/>
        <v>0</v>
      </c>
      <c r="W688" s="150">
        <f t="shared" si="389"/>
        <v>0</v>
      </c>
      <c r="X688" s="150">
        <f t="shared" si="389"/>
        <v>0</v>
      </c>
      <c r="Y688" s="150">
        <f t="shared" si="389"/>
        <v>0</v>
      </c>
      <c r="Z688" s="150">
        <f t="shared" si="389"/>
        <v>0</v>
      </c>
      <c r="AA688" s="150">
        <f t="shared" si="389"/>
        <v>0</v>
      </c>
      <c r="AB688" s="150">
        <f t="shared" si="389"/>
        <v>0</v>
      </c>
      <c r="AC688" s="150">
        <f t="shared" si="389"/>
        <v>0</v>
      </c>
      <c r="AD688" s="150">
        <f t="shared" si="389"/>
        <v>0</v>
      </c>
      <c r="AE688" s="150">
        <f t="shared" si="389"/>
        <v>0</v>
      </c>
      <c r="AF688" s="150">
        <f t="shared" si="389"/>
        <v>0</v>
      </c>
      <c r="AG688" s="150">
        <f t="shared" si="389"/>
        <v>0</v>
      </c>
      <c r="AH688" s="150">
        <f t="shared" si="389"/>
        <v>0</v>
      </c>
      <c r="AI688" s="150">
        <f t="shared" si="389"/>
        <v>0</v>
      </c>
      <c r="AJ688" s="150">
        <f t="shared" si="389"/>
        <v>0</v>
      </c>
      <c r="AK688" s="150">
        <f t="shared" si="389"/>
        <v>0</v>
      </c>
      <c r="AL688" s="150">
        <f t="shared" si="389"/>
        <v>0</v>
      </c>
      <c r="AM688" s="150">
        <f t="shared" si="389"/>
        <v>0</v>
      </c>
      <c r="AN688" s="150">
        <f t="shared" si="389"/>
        <v>0</v>
      </c>
      <c r="AO688" s="150">
        <f t="shared" si="389"/>
        <v>0</v>
      </c>
      <c r="AP688" s="150">
        <f t="shared" si="389"/>
        <v>0</v>
      </c>
    </row>
    <row r="689" spans="1:42" x14ac:dyDescent="0.2">
      <c r="A689" s="4">
        <f t="shared" si="384"/>
        <v>8</v>
      </c>
      <c r="B689" s="168">
        <f t="shared" si="381"/>
        <v>0</v>
      </c>
      <c r="C689" s="150">
        <f t="shared" ref="C689:AP689" si="390">IF(C$2&gt;analysis_period,0,IF(C$2=equip2_reserve_freq*$A689,equip2_reserve_cost*system_capacity*1000*(1+inflation_rate/100)^B$2,0))</f>
        <v>0</v>
      </c>
      <c r="D689" s="150">
        <f t="shared" si="390"/>
        <v>0</v>
      </c>
      <c r="E689" s="150">
        <f t="shared" si="390"/>
        <v>0</v>
      </c>
      <c r="F689" s="150">
        <f t="shared" si="390"/>
        <v>0</v>
      </c>
      <c r="G689" s="150">
        <f t="shared" si="390"/>
        <v>0</v>
      </c>
      <c r="H689" s="150">
        <f t="shared" si="390"/>
        <v>0</v>
      </c>
      <c r="I689" s="150">
        <f t="shared" si="390"/>
        <v>0</v>
      </c>
      <c r="J689" s="150">
        <f t="shared" si="390"/>
        <v>0</v>
      </c>
      <c r="K689" s="150">
        <f t="shared" si="390"/>
        <v>0</v>
      </c>
      <c r="L689" s="150">
        <f t="shared" si="390"/>
        <v>0</v>
      </c>
      <c r="M689" s="150">
        <f t="shared" si="390"/>
        <v>0</v>
      </c>
      <c r="N689" s="150">
        <f t="shared" si="390"/>
        <v>0</v>
      </c>
      <c r="O689" s="150">
        <f t="shared" si="390"/>
        <v>0</v>
      </c>
      <c r="P689" s="150">
        <f t="shared" si="390"/>
        <v>0</v>
      </c>
      <c r="Q689" s="150">
        <f t="shared" si="390"/>
        <v>0</v>
      </c>
      <c r="R689" s="150">
        <f t="shared" si="390"/>
        <v>0</v>
      </c>
      <c r="S689" s="150">
        <f t="shared" si="390"/>
        <v>0</v>
      </c>
      <c r="T689" s="150">
        <f t="shared" si="390"/>
        <v>0</v>
      </c>
      <c r="U689" s="150">
        <f t="shared" si="390"/>
        <v>0</v>
      </c>
      <c r="V689" s="150">
        <f t="shared" si="390"/>
        <v>0</v>
      </c>
      <c r="W689" s="150">
        <f t="shared" si="390"/>
        <v>0</v>
      </c>
      <c r="X689" s="150">
        <f t="shared" si="390"/>
        <v>0</v>
      </c>
      <c r="Y689" s="150">
        <f t="shared" si="390"/>
        <v>0</v>
      </c>
      <c r="Z689" s="150">
        <f t="shared" si="390"/>
        <v>0</v>
      </c>
      <c r="AA689" s="150">
        <f t="shared" si="390"/>
        <v>0</v>
      </c>
      <c r="AB689" s="150">
        <f t="shared" si="390"/>
        <v>0</v>
      </c>
      <c r="AC689" s="150">
        <f t="shared" si="390"/>
        <v>0</v>
      </c>
      <c r="AD689" s="150">
        <f t="shared" si="390"/>
        <v>0</v>
      </c>
      <c r="AE689" s="150">
        <f t="shared" si="390"/>
        <v>0</v>
      </c>
      <c r="AF689" s="150">
        <f t="shared" si="390"/>
        <v>0</v>
      </c>
      <c r="AG689" s="150">
        <f t="shared" si="390"/>
        <v>0</v>
      </c>
      <c r="AH689" s="150">
        <f t="shared" si="390"/>
        <v>0</v>
      </c>
      <c r="AI689" s="150">
        <f t="shared" si="390"/>
        <v>0</v>
      </c>
      <c r="AJ689" s="150">
        <f t="shared" si="390"/>
        <v>0</v>
      </c>
      <c r="AK689" s="150">
        <f t="shared" si="390"/>
        <v>0</v>
      </c>
      <c r="AL689" s="150">
        <f t="shared" si="390"/>
        <v>0</v>
      </c>
      <c r="AM689" s="150">
        <f t="shared" si="390"/>
        <v>0</v>
      </c>
      <c r="AN689" s="150">
        <f t="shared" si="390"/>
        <v>0</v>
      </c>
      <c r="AO689" s="150">
        <f t="shared" si="390"/>
        <v>0</v>
      </c>
      <c r="AP689" s="150">
        <f t="shared" si="390"/>
        <v>0</v>
      </c>
    </row>
    <row r="690" spans="1:42" x14ac:dyDescent="0.2">
      <c r="A690" s="4">
        <f>A689+1</f>
        <v>9</v>
      </c>
      <c r="B690" s="168">
        <f t="shared" si="381"/>
        <v>0</v>
      </c>
      <c r="C690" s="150">
        <f t="shared" ref="C690:AP690" si="391">IF(C$2&gt;analysis_period,0,IF(C$2=equip2_reserve_freq*$A690,equip2_reserve_cost*system_capacity*1000*(1+inflation_rate/100)^B$2,0))</f>
        <v>0</v>
      </c>
      <c r="D690" s="150">
        <f t="shared" si="391"/>
        <v>0</v>
      </c>
      <c r="E690" s="150">
        <f t="shared" si="391"/>
        <v>0</v>
      </c>
      <c r="F690" s="150">
        <f t="shared" si="391"/>
        <v>0</v>
      </c>
      <c r="G690" s="150">
        <f t="shared" si="391"/>
        <v>0</v>
      </c>
      <c r="H690" s="150">
        <f t="shared" si="391"/>
        <v>0</v>
      </c>
      <c r="I690" s="150">
        <f t="shared" si="391"/>
        <v>0</v>
      </c>
      <c r="J690" s="150">
        <f t="shared" si="391"/>
        <v>0</v>
      </c>
      <c r="K690" s="150">
        <f t="shared" si="391"/>
        <v>0</v>
      </c>
      <c r="L690" s="150">
        <f t="shared" si="391"/>
        <v>0</v>
      </c>
      <c r="M690" s="150">
        <f t="shared" si="391"/>
        <v>0</v>
      </c>
      <c r="N690" s="150">
        <f t="shared" si="391"/>
        <v>0</v>
      </c>
      <c r="O690" s="150">
        <f t="shared" si="391"/>
        <v>0</v>
      </c>
      <c r="P690" s="150">
        <f t="shared" si="391"/>
        <v>0</v>
      </c>
      <c r="Q690" s="150">
        <f t="shared" si="391"/>
        <v>0</v>
      </c>
      <c r="R690" s="150">
        <f t="shared" si="391"/>
        <v>0</v>
      </c>
      <c r="S690" s="150">
        <f t="shared" si="391"/>
        <v>0</v>
      </c>
      <c r="T690" s="150">
        <f t="shared" si="391"/>
        <v>0</v>
      </c>
      <c r="U690" s="150">
        <f t="shared" si="391"/>
        <v>0</v>
      </c>
      <c r="V690" s="150">
        <f t="shared" si="391"/>
        <v>0</v>
      </c>
      <c r="W690" s="150">
        <f t="shared" si="391"/>
        <v>0</v>
      </c>
      <c r="X690" s="150">
        <f t="shared" si="391"/>
        <v>0</v>
      </c>
      <c r="Y690" s="150">
        <f t="shared" si="391"/>
        <v>0</v>
      </c>
      <c r="Z690" s="150">
        <f t="shared" si="391"/>
        <v>0</v>
      </c>
      <c r="AA690" s="150">
        <f t="shared" si="391"/>
        <v>0</v>
      </c>
      <c r="AB690" s="150">
        <f t="shared" si="391"/>
        <v>0</v>
      </c>
      <c r="AC690" s="150">
        <f t="shared" si="391"/>
        <v>0</v>
      </c>
      <c r="AD690" s="150">
        <f t="shared" si="391"/>
        <v>0</v>
      </c>
      <c r="AE690" s="150">
        <f t="shared" si="391"/>
        <v>0</v>
      </c>
      <c r="AF690" s="150">
        <f t="shared" si="391"/>
        <v>0</v>
      </c>
      <c r="AG690" s="150">
        <f t="shared" si="391"/>
        <v>0</v>
      </c>
      <c r="AH690" s="150">
        <f t="shared" si="391"/>
        <v>0</v>
      </c>
      <c r="AI690" s="150">
        <f t="shared" si="391"/>
        <v>0</v>
      </c>
      <c r="AJ690" s="150">
        <f t="shared" si="391"/>
        <v>0</v>
      </c>
      <c r="AK690" s="150">
        <f t="shared" si="391"/>
        <v>0</v>
      </c>
      <c r="AL690" s="150">
        <f t="shared" si="391"/>
        <v>0</v>
      </c>
      <c r="AM690" s="150">
        <f t="shared" si="391"/>
        <v>0</v>
      </c>
      <c r="AN690" s="150">
        <f t="shared" si="391"/>
        <v>0</v>
      </c>
      <c r="AO690" s="150">
        <f t="shared" si="391"/>
        <v>0</v>
      </c>
      <c r="AP690" s="150">
        <f t="shared" si="391"/>
        <v>0</v>
      </c>
    </row>
    <row r="691" spans="1:42" x14ac:dyDescent="0.2">
      <c r="A691" s="4">
        <f t="shared" si="384"/>
        <v>10</v>
      </c>
      <c r="B691" s="168">
        <f t="shared" si="381"/>
        <v>0</v>
      </c>
      <c r="C691" s="150">
        <f t="shared" ref="C691:AP691" si="392">IF(C$2&gt;analysis_period,0,IF(C$2=equip2_reserve_freq*$A691,equip2_reserve_cost*system_capacity*1000*(1+inflation_rate/100)^B$2,0))</f>
        <v>0</v>
      </c>
      <c r="D691" s="150">
        <f t="shared" si="392"/>
        <v>0</v>
      </c>
      <c r="E691" s="150">
        <f t="shared" si="392"/>
        <v>0</v>
      </c>
      <c r="F691" s="150">
        <f t="shared" si="392"/>
        <v>0</v>
      </c>
      <c r="G691" s="150">
        <f t="shared" si="392"/>
        <v>0</v>
      </c>
      <c r="H691" s="150">
        <f t="shared" si="392"/>
        <v>0</v>
      </c>
      <c r="I691" s="150">
        <f t="shared" si="392"/>
        <v>0</v>
      </c>
      <c r="J691" s="150">
        <f t="shared" si="392"/>
        <v>0</v>
      </c>
      <c r="K691" s="150">
        <f t="shared" si="392"/>
        <v>0</v>
      </c>
      <c r="L691" s="150">
        <f t="shared" si="392"/>
        <v>0</v>
      </c>
      <c r="M691" s="150">
        <f t="shared" si="392"/>
        <v>0</v>
      </c>
      <c r="N691" s="150">
        <f t="shared" si="392"/>
        <v>0</v>
      </c>
      <c r="O691" s="150">
        <f t="shared" si="392"/>
        <v>0</v>
      </c>
      <c r="P691" s="150">
        <f t="shared" si="392"/>
        <v>0</v>
      </c>
      <c r="Q691" s="150">
        <f t="shared" si="392"/>
        <v>0</v>
      </c>
      <c r="R691" s="150">
        <f t="shared" si="392"/>
        <v>0</v>
      </c>
      <c r="S691" s="150">
        <f t="shared" si="392"/>
        <v>0</v>
      </c>
      <c r="T691" s="150">
        <f t="shared" si="392"/>
        <v>0</v>
      </c>
      <c r="U691" s="150">
        <f t="shared" si="392"/>
        <v>0</v>
      </c>
      <c r="V691" s="150">
        <f t="shared" si="392"/>
        <v>0</v>
      </c>
      <c r="W691" s="150">
        <f t="shared" si="392"/>
        <v>0</v>
      </c>
      <c r="X691" s="150">
        <f t="shared" si="392"/>
        <v>0</v>
      </c>
      <c r="Y691" s="150">
        <f t="shared" si="392"/>
        <v>0</v>
      </c>
      <c r="Z691" s="150">
        <f t="shared" si="392"/>
        <v>0</v>
      </c>
      <c r="AA691" s="150">
        <f t="shared" si="392"/>
        <v>0</v>
      </c>
      <c r="AB691" s="150">
        <f t="shared" si="392"/>
        <v>0</v>
      </c>
      <c r="AC691" s="150">
        <f t="shared" si="392"/>
        <v>0</v>
      </c>
      <c r="AD691" s="150">
        <f t="shared" si="392"/>
        <v>0</v>
      </c>
      <c r="AE691" s="150">
        <f t="shared" si="392"/>
        <v>0</v>
      </c>
      <c r="AF691" s="150">
        <f t="shared" si="392"/>
        <v>0</v>
      </c>
      <c r="AG691" s="150">
        <f t="shared" si="392"/>
        <v>0</v>
      </c>
      <c r="AH691" s="150">
        <f t="shared" si="392"/>
        <v>0</v>
      </c>
      <c r="AI691" s="150">
        <f t="shared" si="392"/>
        <v>0</v>
      </c>
      <c r="AJ691" s="150">
        <f t="shared" si="392"/>
        <v>0</v>
      </c>
      <c r="AK691" s="150">
        <f t="shared" si="392"/>
        <v>0</v>
      </c>
      <c r="AL691" s="150">
        <f t="shared" si="392"/>
        <v>0</v>
      </c>
      <c r="AM691" s="150">
        <f t="shared" si="392"/>
        <v>0</v>
      </c>
      <c r="AN691" s="150">
        <f t="shared" si="392"/>
        <v>0</v>
      </c>
      <c r="AO691" s="150">
        <f t="shared" si="392"/>
        <v>0</v>
      </c>
      <c r="AP691" s="150">
        <f t="shared" si="392"/>
        <v>0</v>
      </c>
    </row>
    <row r="692" spans="1:42" x14ac:dyDescent="0.2">
      <c r="A692" s="24" t="s">
        <v>12</v>
      </c>
      <c r="B692" s="14"/>
      <c r="C692" s="150">
        <f>SUM(C682:C691)</f>
        <v>0</v>
      </c>
      <c r="D692" s="150">
        <f t="shared" ref="D692:AP692" si="393">SUM(D682:D691)</f>
        <v>0</v>
      </c>
      <c r="E692" s="150">
        <f t="shared" si="393"/>
        <v>0</v>
      </c>
      <c r="F692" s="150">
        <f t="shared" si="393"/>
        <v>0</v>
      </c>
      <c r="G692" s="150">
        <f t="shared" si="393"/>
        <v>0</v>
      </c>
      <c r="H692" s="150">
        <f t="shared" si="393"/>
        <v>0</v>
      </c>
      <c r="I692" s="150">
        <f t="shared" si="393"/>
        <v>0</v>
      </c>
      <c r="J692" s="150">
        <f t="shared" si="393"/>
        <v>0</v>
      </c>
      <c r="K692" s="150">
        <f t="shared" si="393"/>
        <v>0</v>
      </c>
      <c r="L692" s="150">
        <f t="shared" si="393"/>
        <v>0</v>
      </c>
      <c r="M692" s="150">
        <f t="shared" si="393"/>
        <v>0</v>
      </c>
      <c r="N692" s="150">
        <f t="shared" si="393"/>
        <v>0</v>
      </c>
      <c r="O692" s="150">
        <f t="shared" si="393"/>
        <v>0</v>
      </c>
      <c r="P692" s="150">
        <f t="shared" si="393"/>
        <v>0</v>
      </c>
      <c r="Q692" s="150">
        <f t="shared" si="393"/>
        <v>0</v>
      </c>
      <c r="R692" s="150">
        <f t="shared" si="393"/>
        <v>0</v>
      </c>
      <c r="S692" s="150">
        <f t="shared" si="393"/>
        <v>0</v>
      </c>
      <c r="T692" s="150">
        <f t="shared" si="393"/>
        <v>0</v>
      </c>
      <c r="U692" s="150">
        <f t="shared" si="393"/>
        <v>0</v>
      </c>
      <c r="V692" s="150">
        <f t="shared" si="393"/>
        <v>0</v>
      </c>
      <c r="W692" s="150">
        <f t="shared" si="393"/>
        <v>0</v>
      </c>
      <c r="X692" s="150">
        <f t="shared" si="393"/>
        <v>0</v>
      </c>
      <c r="Y692" s="150">
        <f t="shared" si="393"/>
        <v>0</v>
      </c>
      <c r="Z692" s="150">
        <f t="shared" si="393"/>
        <v>0</v>
      </c>
      <c r="AA692" s="150">
        <f t="shared" si="393"/>
        <v>0</v>
      </c>
      <c r="AB692" s="150">
        <f t="shared" si="393"/>
        <v>0</v>
      </c>
      <c r="AC692" s="150">
        <f t="shared" si="393"/>
        <v>0</v>
      </c>
      <c r="AD692" s="150">
        <f t="shared" si="393"/>
        <v>0</v>
      </c>
      <c r="AE692" s="150">
        <f t="shared" si="393"/>
        <v>0</v>
      </c>
      <c r="AF692" s="150">
        <f t="shared" si="393"/>
        <v>0</v>
      </c>
      <c r="AG692" s="150">
        <f t="shared" si="393"/>
        <v>0</v>
      </c>
      <c r="AH692" s="150">
        <f t="shared" si="393"/>
        <v>0</v>
      </c>
      <c r="AI692" s="150">
        <f t="shared" si="393"/>
        <v>0</v>
      </c>
      <c r="AJ692" s="150">
        <f t="shared" si="393"/>
        <v>0</v>
      </c>
      <c r="AK692" s="150">
        <f t="shared" si="393"/>
        <v>0</v>
      </c>
      <c r="AL692" s="150">
        <f t="shared" si="393"/>
        <v>0</v>
      </c>
      <c r="AM692" s="150">
        <f t="shared" si="393"/>
        <v>0</v>
      </c>
      <c r="AN692" s="150">
        <f t="shared" si="393"/>
        <v>0</v>
      </c>
      <c r="AO692" s="150">
        <f t="shared" si="393"/>
        <v>0</v>
      </c>
      <c r="AP692" s="150">
        <f t="shared" si="393"/>
        <v>0</v>
      </c>
    </row>
    <row r="693" spans="1:42" x14ac:dyDescent="0.2">
      <c r="A693" s="4" t="s">
        <v>279</v>
      </c>
    </row>
    <row r="694" spans="1:42" x14ac:dyDescent="0.2">
      <c r="A694" s="4">
        <v>1</v>
      </c>
      <c r="B694" s="173">
        <f t="shared" ref="B694:B703" si="394">SUM(C694:AP694)</f>
        <v>0</v>
      </c>
      <c r="C694" s="150">
        <f t="shared" ref="C694:AP694" si="395">IF(C$2&lt;=equip2_reserve_freq*$A$682,$B$682/(equip2_reserve_freq),0)</f>
        <v>0</v>
      </c>
      <c r="D694" s="150">
        <f t="shared" si="395"/>
        <v>0</v>
      </c>
      <c r="E694" s="150">
        <f t="shared" si="395"/>
        <v>0</v>
      </c>
      <c r="F694" s="150">
        <f t="shared" si="395"/>
        <v>0</v>
      </c>
      <c r="G694" s="150">
        <f t="shared" si="395"/>
        <v>0</v>
      </c>
      <c r="H694" s="150">
        <f t="shared" si="395"/>
        <v>0</v>
      </c>
      <c r="I694" s="150">
        <f t="shared" si="395"/>
        <v>0</v>
      </c>
      <c r="J694" s="150">
        <f t="shared" si="395"/>
        <v>0</v>
      </c>
      <c r="K694" s="150">
        <f t="shared" si="395"/>
        <v>0</v>
      </c>
      <c r="L694" s="150">
        <f t="shared" si="395"/>
        <v>0</v>
      </c>
      <c r="M694" s="150">
        <f t="shared" si="395"/>
        <v>0</v>
      </c>
      <c r="N694" s="150">
        <f t="shared" si="395"/>
        <v>0</v>
      </c>
      <c r="O694" s="150">
        <f t="shared" si="395"/>
        <v>0</v>
      </c>
      <c r="P694" s="150">
        <f t="shared" si="395"/>
        <v>0</v>
      </c>
      <c r="Q694" s="150">
        <f t="shared" si="395"/>
        <v>0</v>
      </c>
      <c r="R694" s="150">
        <f t="shared" si="395"/>
        <v>0</v>
      </c>
      <c r="S694" s="150">
        <f t="shared" si="395"/>
        <v>0</v>
      </c>
      <c r="T694" s="150">
        <f t="shared" si="395"/>
        <v>0</v>
      </c>
      <c r="U694" s="150">
        <f t="shared" si="395"/>
        <v>0</v>
      </c>
      <c r="V694" s="150">
        <f t="shared" si="395"/>
        <v>0</v>
      </c>
      <c r="W694" s="150">
        <f t="shared" si="395"/>
        <v>0</v>
      </c>
      <c r="X694" s="150">
        <f t="shared" si="395"/>
        <v>0</v>
      </c>
      <c r="Y694" s="150">
        <f t="shared" si="395"/>
        <v>0</v>
      </c>
      <c r="Z694" s="150">
        <f t="shared" si="395"/>
        <v>0</v>
      </c>
      <c r="AA694" s="150">
        <f t="shared" si="395"/>
        <v>0</v>
      </c>
      <c r="AB694" s="150">
        <f t="shared" si="395"/>
        <v>0</v>
      </c>
      <c r="AC694" s="150">
        <f t="shared" si="395"/>
        <v>0</v>
      </c>
      <c r="AD694" s="150">
        <f t="shared" si="395"/>
        <v>0</v>
      </c>
      <c r="AE694" s="150">
        <f t="shared" si="395"/>
        <v>0</v>
      </c>
      <c r="AF694" s="150">
        <f t="shared" si="395"/>
        <v>0</v>
      </c>
      <c r="AG694" s="150">
        <f t="shared" si="395"/>
        <v>0</v>
      </c>
      <c r="AH694" s="150">
        <f t="shared" si="395"/>
        <v>0</v>
      </c>
      <c r="AI694" s="150">
        <f t="shared" si="395"/>
        <v>0</v>
      </c>
      <c r="AJ694" s="150">
        <f t="shared" si="395"/>
        <v>0</v>
      </c>
      <c r="AK694" s="150">
        <f t="shared" si="395"/>
        <v>0</v>
      </c>
      <c r="AL694" s="150">
        <f t="shared" si="395"/>
        <v>0</v>
      </c>
      <c r="AM694" s="150">
        <f t="shared" si="395"/>
        <v>0</v>
      </c>
      <c r="AN694" s="150">
        <f t="shared" si="395"/>
        <v>0</v>
      </c>
      <c r="AO694" s="150">
        <f t="shared" si="395"/>
        <v>0</v>
      </c>
      <c r="AP694" s="150">
        <f t="shared" si="395"/>
        <v>0</v>
      </c>
    </row>
    <row r="695" spans="1:42" x14ac:dyDescent="0.2">
      <c r="A695" s="4">
        <f>A694+1</f>
        <v>2</v>
      </c>
      <c r="B695" s="173">
        <f t="shared" si="394"/>
        <v>0</v>
      </c>
      <c r="C695" s="150">
        <f t="shared" ref="C695:AP695" si="396">IF(AND(C$2&gt;equip2_reserve_freq*$A682,C$2&lt;=equip2_reserve_freq*$A683),$B683/(equip2_reserve_freq),0)</f>
        <v>0</v>
      </c>
      <c r="D695" s="150">
        <f t="shared" si="396"/>
        <v>0</v>
      </c>
      <c r="E695" s="150">
        <f t="shared" si="396"/>
        <v>0</v>
      </c>
      <c r="F695" s="150">
        <f t="shared" si="396"/>
        <v>0</v>
      </c>
      <c r="G695" s="150">
        <f t="shared" si="396"/>
        <v>0</v>
      </c>
      <c r="H695" s="150">
        <f t="shared" si="396"/>
        <v>0</v>
      </c>
      <c r="I695" s="150">
        <f t="shared" si="396"/>
        <v>0</v>
      </c>
      <c r="J695" s="150">
        <f t="shared" si="396"/>
        <v>0</v>
      </c>
      <c r="K695" s="150">
        <f t="shared" si="396"/>
        <v>0</v>
      </c>
      <c r="L695" s="150">
        <f t="shared" si="396"/>
        <v>0</v>
      </c>
      <c r="M695" s="150">
        <f t="shared" si="396"/>
        <v>0</v>
      </c>
      <c r="N695" s="150">
        <f t="shared" si="396"/>
        <v>0</v>
      </c>
      <c r="O695" s="150">
        <f t="shared" si="396"/>
        <v>0</v>
      </c>
      <c r="P695" s="150">
        <f t="shared" si="396"/>
        <v>0</v>
      </c>
      <c r="Q695" s="150">
        <f t="shared" si="396"/>
        <v>0</v>
      </c>
      <c r="R695" s="150">
        <f t="shared" si="396"/>
        <v>0</v>
      </c>
      <c r="S695" s="150">
        <f t="shared" si="396"/>
        <v>0</v>
      </c>
      <c r="T695" s="150">
        <f t="shared" si="396"/>
        <v>0</v>
      </c>
      <c r="U695" s="150">
        <f t="shared" si="396"/>
        <v>0</v>
      </c>
      <c r="V695" s="150">
        <f t="shared" si="396"/>
        <v>0</v>
      </c>
      <c r="W695" s="150">
        <f t="shared" si="396"/>
        <v>0</v>
      </c>
      <c r="X695" s="150">
        <f t="shared" si="396"/>
        <v>0</v>
      </c>
      <c r="Y695" s="150">
        <f t="shared" si="396"/>
        <v>0</v>
      </c>
      <c r="Z695" s="150">
        <f t="shared" si="396"/>
        <v>0</v>
      </c>
      <c r="AA695" s="150">
        <f t="shared" si="396"/>
        <v>0</v>
      </c>
      <c r="AB695" s="150">
        <f t="shared" si="396"/>
        <v>0</v>
      </c>
      <c r="AC695" s="150">
        <f t="shared" si="396"/>
        <v>0</v>
      </c>
      <c r="AD695" s="150">
        <f t="shared" si="396"/>
        <v>0</v>
      </c>
      <c r="AE695" s="150">
        <f t="shared" si="396"/>
        <v>0</v>
      </c>
      <c r="AF695" s="150">
        <f t="shared" si="396"/>
        <v>0</v>
      </c>
      <c r="AG695" s="150">
        <f t="shared" si="396"/>
        <v>0</v>
      </c>
      <c r="AH695" s="150">
        <f t="shared" si="396"/>
        <v>0</v>
      </c>
      <c r="AI695" s="150">
        <f t="shared" si="396"/>
        <v>0</v>
      </c>
      <c r="AJ695" s="150">
        <f t="shared" si="396"/>
        <v>0</v>
      </c>
      <c r="AK695" s="150">
        <f t="shared" si="396"/>
        <v>0</v>
      </c>
      <c r="AL695" s="150">
        <f t="shared" si="396"/>
        <v>0</v>
      </c>
      <c r="AM695" s="150">
        <f t="shared" si="396"/>
        <v>0</v>
      </c>
      <c r="AN695" s="150">
        <f t="shared" si="396"/>
        <v>0</v>
      </c>
      <c r="AO695" s="150">
        <f t="shared" si="396"/>
        <v>0</v>
      </c>
      <c r="AP695" s="150">
        <f t="shared" si="396"/>
        <v>0</v>
      </c>
    </row>
    <row r="696" spans="1:42" x14ac:dyDescent="0.2">
      <c r="A696" s="4">
        <f t="shared" ref="A696:A701" si="397">A695+1</f>
        <v>3</v>
      </c>
      <c r="B696" s="173">
        <f t="shared" si="394"/>
        <v>0</v>
      </c>
      <c r="C696" s="150">
        <f t="shared" ref="C696:AP696" si="398">IF(AND(C$2&gt;equip2_reserve_freq*$A683,C$2&lt;=equip2_reserve_freq*$A684),$B684/(equip2_reserve_freq),0)</f>
        <v>0</v>
      </c>
      <c r="D696" s="150">
        <f t="shared" si="398"/>
        <v>0</v>
      </c>
      <c r="E696" s="150">
        <f t="shared" si="398"/>
        <v>0</v>
      </c>
      <c r="F696" s="150">
        <f t="shared" si="398"/>
        <v>0</v>
      </c>
      <c r="G696" s="150">
        <f t="shared" si="398"/>
        <v>0</v>
      </c>
      <c r="H696" s="150">
        <f t="shared" si="398"/>
        <v>0</v>
      </c>
      <c r="I696" s="150">
        <f t="shared" si="398"/>
        <v>0</v>
      </c>
      <c r="J696" s="150">
        <f t="shared" si="398"/>
        <v>0</v>
      </c>
      <c r="K696" s="150">
        <f t="shared" si="398"/>
        <v>0</v>
      </c>
      <c r="L696" s="150">
        <f t="shared" si="398"/>
        <v>0</v>
      </c>
      <c r="M696" s="150">
        <f t="shared" si="398"/>
        <v>0</v>
      </c>
      <c r="N696" s="150">
        <f t="shared" si="398"/>
        <v>0</v>
      </c>
      <c r="O696" s="150">
        <f t="shared" si="398"/>
        <v>0</v>
      </c>
      <c r="P696" s="150">
        <f t="shared" si="398"/>
        <v>0</v>
      </c>
      <c r="Q696" s="150">
        <f t="shared" si="398"/>
        <v>0</v>
      </c>
      <c r="R696" s="150">
        <f t="shared" si="398"/>
        <v>0</v>
      </c>
      <c r="S696" s="150">
        <f t="shared" si="398"/>
        <v>0</v>
      </c>
      <c r="T696" s="150">
        <f t="shared" si="398"/>
        <v>0</v>
      </c>
      <c r="U696" s="150">
        <f t="shared" si="398"/>
        <v>0</v>
      </c>
      <c r="V696" s="150">
        <f t="shared" si="398"/>
        <v>0</v>
      </c>
      <c r="W696" s="150">
        <f t="shared" si="398"/>
        <v>0</v>
      </c>
      <c r="X696" s="150">
        <f t="shared" si="398"/>
        <v>0</v>
      </c>
      <c r="Y696" s="150">
        <f t="shared" si="398"/>
        <v>0</v>
      </c>
      <c r="Z696" s="150">
        <f t="shared" si="398"/>
        <v>0</v>
      </c>
      <c r="AA696" s="150">
        <f t="shared" si="398"/>
        <v>0</v>
      </c>
      <c r="AB696" s="150">
        <f t="shared" si="398"/>
        <v>0</v>
      </c>
      <c r="AC696" s="150">
        <f t="shared" si="398"/>
        <v>0</v>
      </c>
      <c r="AD696" s="150">
        <f t="shared" si="398"/>
        <v>0</v>
      </c>
      <c r="AE696" s="150">
        <f t="shared" si="398"/>
        <v>0</v>
      </c>
      <c r="AF696" s="150">
        <f t="shared" si="398"/>
        <v>0</v>
      </c>
      <c r="AG696" s="150">
        <f t="shared" si="398"/>
        <v>0</v>
      </c>
      <c r="AH696" s="150">
        <f t="shared" si="398"/>
        <v>0</v>
      </c>
      <c r="AI696" s="150">
        <f t="shared" si="398"/>
        <v>0</v>
      </c>
      <c r="AJ696" s="150">
        <f t="shared" si="398"/>
        <v>0</v>
      </c>
      <c r="AK696" s="150">
        <f t="shared" si="398"/>
        <v>0</v>
      </c>
      <c r="AL696" s="150">
        <f t="shared" si="398"/>
        <v>0</v>
      </c>
      <c r="AM696" s="150">
        <f t="shared" si="398"/>
        <v>0</v>
      </c>
      <c r="AN696" s="150">
        <f t="shared" si="398"/>
        <v>0</v>
      </c>
      <c r="AO696" s="150">
        <f t="shared" si="398"/>
        <v>0</v>
      </c>
      <c r="AP696" s="150">
        <f t="shared" si="398"/>
        <v>0</v>
      </c>
    </row>
    <row r="697" spans="1:42" x14ac:dyDescent="0.2">
      <c r="A697" s="4">
        <f t="shared" si="397"/>
        <v>4</v>
      </c>
      <c r="B697" s="173">
        <f t="shared" si="394"/>
        <v>0</v>
      </c>
      <c r="C697" s="150">
        <f t="shared" ref="C697:AP697" si="399">IF(AND(C$2&gt;equip2_reserve_freq*$A684,C$2&lt;=equip2_reserve_freq*$A685),$B685/(equip2_reserve_freq),0)</f>
        <v>0</v>
      </c>
      <c r="D697" s="150">
        <f t="shared" si="399"/>
        <v>0</v>
      </c>
      <c r="E697" s="150">
        <f t="shared" si="399"/>
        <v>0</v>
      </c>
      <c r="F697" s="150">
        <f t="shared" si="399"/>
        <v>0</v>
      </c>
      <c r="G697" s="150">
        <f t="shared" si="399"/>
        <v>0</v>
      </c>
      <c r="H697" s="150">
        <f t="shared" si="399"/>
        <v>0</v>
      </c>
      <c r="I697" s="150">
        <f t="shared" si="399"/>
        <v>0</v>
      </c>
      <c r="J697" s="150">
        <f t="shared" si="399"/>
        <v>0</v>
      </c>
      <c r="K697" s="150">
        <f t="shared" si="399"/>
        <v>0</v>
      </c>
      <c r="L697" s="150">
        <f t="shared" si="399"/>
        <v>0</v>
      </c>
      <c r="M697" s="150">
        <f t="shared" si="399"/>
        <v>0</v>
      </c>
      <c r="N697" s="150">
        <f t="shared" si="399"/>
        <v>0</v>
      </c>
      <c r="O697" s="150">
        <f t="shared" si="399"/>
        <v>0</v>
      </c>
      <c r="P697" s="150">
        <f t="shared" si="399"/>
        <v>0</v>
      </c>
      <c r="Q697" s="150">
        <f t="shared" si="399"/>
        <v>0</v>
      </c>
      <c r="R697" s="150">
        <f t="shared" si="399"/>
        <v>0</v>
      </c>
      <c r="S697" s="150">
        <f t="shared" si="399"/>
        <v>0</v>
      </c>
      <c r="T697" s="150">
        <f t="shared" si="399"/>
        <v>0</v>
      </c>
      <c r="U697" s="150">
        <f t="shared" si="399"/>
        <v>0</v>
      </c>
      <c r="V697" s="150">
        <f t="shared" si="399"/>
        <v>0</v>
      </c>
      <c r="W697" s="150">
        <f t="shared" si="399"/>
        <v>0</v>
      </c>
      <c r="X697" s="150">
        <f t="shared" si="399"/>
        <v>0</v>
      </c>
      <c r="Y697" s="150">
        <f t="shared" si="399"/>
        <v>0</v>
      </c>
      <c r="Z697" s="150">
        <f t="shared" si="399"/>
        <v>0</v>
      </c>
      <c r="AA697" s="150">
        <f t="shared" si="399"/>
        <v>0</v>
      </c>
      <c r="AB697" s="150">
        <f t="shared" si="399"/>
        <v>0</v>
      </c>
      <c r="AC697" s="150">
        <f t="shared" si="399"/>
        <v>0</v>
      </c>
      <c r="AD697" s="150">
        <f t="shared" si="399"/>
        <v>0</v>
      </c>
      <c r="AE697" s="150">
        <f t="shared" si="399"/>
        <v>0</v>
      </c>
      <c r="AF697" s="150">
        <f t="shared" si="399"/>
        <v>0</v>
      </c>
      <c r="AG697" s="150">
        <f t="shared" si="399"/>
        <v>0</v>
      </c>
      <c r="AH697" s="150">
        <f t="shared" si="399"/>
        <v>0</v>
      </c>
      <c r="AI697" s="150">
        <f t="shared" si="399"/>
        <v>0</v>
      </c>
      <c r="AJ697" s="150">
        <f t="shared" si="399"/>
        <v>0</v>
      </c>
      <c r="AK697" s="150">
        <f t="shared" si="399"/>
        <v>0</v>
      </c>
      <c r="AL697" s="150">
        <f t="shared" si="399"/>
        <v>0</v>
      </c>
      <c r="AM697" s="150">
        <f t="shared" si="399"/>
        <v>0</v>
      </c>
      <c r="AN697" s="150">
        <f t="shared" si="399"/>
        <v>0</v>
      </c>
      <c r="AO697" s="150">
        <f t="shared" si="399"/>
        <v>0</v>
      </c>
      <c r="AP697" s="150">
        <f t="shared" si="399"/>
        <v>0</v>
      </c>
    </row>
    <row r="698" spans="1:42" x14ac:dyDescent="0.2">
      <c r="A698" s="4">
        <f t="shared" si="397"/>
        <v>5</v>
      </c>
      <c r="B698" s="173">
        <f t="shared" si="394"/>
        <v>0</v>
      </c>
      <c r="C698" s="150">
        <f t="shared" ref="C698:AP698" si="400">IF(AND(C$2&gt;equip2_reserve_freq*$A685,C$2&lt;=equip2_reserve_freq*$A686),$B686/(equip2_reserve_freq),0)</f>
        <v>0</v>
      </c>
      <c r="D698" s="150">
        <f t="shared" si="400"/>
        <v>0</v>
      </c>
      <c r="E698" s="150">
        <f t="shared" si="400"/>
        <v>0</v>
      </c>
      <c r="F698" s="150">
        <f t="shared" si="400"/>
        <v>0</v>
      </c>
      <c r="G698" s="150">
        <f t="shared" si="400"/>
        <v>0</v>
      </c>
      <c r="H698" s="150">
        <f t="shared" si="400"/>
        <v>0</v>
      </c>
      <c r="I698" s="150">
        <f t="shared" si="400"/>
        <v>0</v>
      </c>
      <c r="J698" s="150">
        <f t="shared" si="400"/>
        <v>0</v>
      </c>
      <c r="K698" s="150">
        <f t="shared" si="400"/>
        <v>0</v>
      </c>
      <c r="L698" s="150">
        <f t="shared" si="400"/>
        <v>0</v>
      </c>
      <c r="M698" s="150">
        <f t="shared" si="400"/>
        <v>0</v>
      </c>
      <c r="N698" s="150">
        <f t="shared" si="400"/>
        <v>0</v>
      </c>
      <c r="O698" s="150">
        <f t="shared" si="400"/>
        <v>0</v>
      </c>
      <c r="P698" s="150">
        <f t="shared" si="400"/>
        <v>0</v>
      </c>
      <c r="Q698" s="150">
        <f t="shared" si="400"/>
        <v>0</v>
      </c>
      <c r="R698" s="150">
        <f t="shared" si="400"/>
        <v>0</v>
      </c>
      <c r="S698" s="150">
        <f t="shared" si="400"/>
        <v>0</v>
      </c>
      <c r="T698" s="150">
        <f t="shared" si="400"/>
        <v>0</v>
      </c>
      <c r="U698" s="150">
        <f t="shared" si="400"/>
        <v>0</v>
      </c>
      <c r="V698" s="150">
        <f t="shared" si="400"/>
        <v>0</v>
      </c>
      <c r="W698" s="150">
        <f t="shared" si="400"/>
        <v>0</v>
      </c>
      <c r="X698" s="150">
        <f t="shared" si="400"/>
        <v>0</v>
      </c>
      <c r="Y698" s="150">
        <f t="shared" si="400"/>
        <v>0</v>
      </c>
      <c r="Z698" s="150">
        <f t="shared" si="400"/>
        <v>0</v>
      </c>
      <c r="AA698" s="150">
        <f t="shared" si="400"/>
        <v>0</v>
      </c>
      <c r="AB698" s="150">
        <f t="shared" si="400"/>
        <v>0</v>
      </c>
      <c r="AC698" s="150">
        <f t="shared" si="400"/>
        <v>0</v>
      </c>
      <c r="AD698" s="150">
        <f t="shared" si="400"/>
        <v>0</v>
      </c>
      <c r="AE698" s="150">
        <f t="shared" si="400"/>
        <v>0</v>
      </c>
      <c r="AF698" s="150">
        <f t="shared" si="400"/>
        <v>0</v>
      </c>
      <c r="AG698" s="150">
        <f t="shared" si="400"/>
        <v>0</v>
      </c>
      <c r="AH698" s="150">
        <f t="shared" si="400"/>
        <v>0</v>
      </c>
      <c r="AI698" s="150">
        <f t="shared" si="400"/>
        <v>0</v>
      </c>
      <c r="AJ698" s="150">
        <f t="shared" si="400"/>
        <v>0</v>
      </c>
      <c r="AK698" s="150">
        <f t="shared" si="400"/>
        <v>0</v>
      </c>
      <c r="AL698" s="150">
        <f t="shared" si="400"/>
        <v>0</v>
      </c>
      <c r="AM698" s="150">
        <f t="shared" si="400"/>
        <v>0</v>
      </c>
      <c r="AN698" s="150">
        <f t="shared" si="400"/>
        <v>0</v>
      </c>
      <c r="AO698" s="150">
        <f t="shared" si="400"/>
        <v>0</v>
      </c>
      <c r="AP698" s="150">
        <f t="shared" si="400"/>
        <v>0</v>
      </c>
    </row>
    <row r="699" spans="1:42" x14ac:dyDescent="0.2">
      <c r="A699" s="4">
        <f t="shared" si="397"/>
        <v>6</v>
      </c>
      <c r="B699" s="173">
        <f t="shared" si="394"/>
        <v>0</v>
      </c>
      <c r="C699" s="150">
        <f t="shared" ref="C699:AP699" si="401">IF(AND(C$2&gt;equip2_reserve_freq*$A686,C$2&lt;=equip2_reserve_freq*$A687),$B687/(equip2_reserve_freq),0)</f>
        <v>0</v>
      </c>
      <c r="D699" s="150">
        <f t="shared" si="401"/>
        <v>0</v>
      </c>
      <c r="E699" s="150">
        <f t="shared" si="401"/>
        <v>0</v>
      </c>
      <c r="F699" s="150">
        <f t="shared" si="401"/>
        <v>0</v>
      </c>
      <c r="G699" s="150">
        <f t="shared" si="401"/>
        <v>0</v>
      </c>
      <c r="H699" s="150">
        <f t="shared" si="401"/>
        <v>0</v>
      </c>
      <c r="I699" s="150">
        <f t="shared" si="401"/>
        <v>0</v>
      </c>
      <c r="J699" s="150">
        <f t="shared" si="401"/>
        <v>0</v>
      </c>
      <c r="K699" s="150">
        <f t="shared" si="401"/>
        <v>0</v>
      </c>
      <c r="L699" s="150">
        <f t="shared" si="401"/>
        <v>0</v>
      </c>
      <c r="M699" s="150">
        <f t="shared" si="401"/>
        <v>0</v>
      </c>
      <c r="N699" s="150">
        <f t="shared" si="401"/>
        <v>0</v>
      </c>
      <c r="O699" s="150">
        <f t="shared" si="401"/>
        <v>0</v>
      </c>
      <c r="P699" s="150">
        <f t="shared" si="401"/>
        <v>0</v>
      </c>
      <c r="Q699" s="150">
        <f t="shared" si="401"/>
        <v>0</v>
      </c>
      <c r="R699" s="150">
        <f t="shared" si="401"/>
        <v>0</v>
      </c>
      <c r="S699" s="150">
        <f t="shared" si="401"/>
        <v>0</v>
      </c>
      <c r="T699" s="150">
        <f t="shared" si="401"/>
        <v>0</v>
      </c>
      <c r="U699" s="150">
        <f t="shared" si="401"/>
        <v>0</v>
      </c>
      <c r="V699" s="150">
        <f t="shared" si="401"/>
        <v>0</v>
      </c>
      <c r="W699" s="150">
        <f t="shared" si="401"/>
        <v>0</v>
      </c>
      <c r="X699" s="150">
        <f t="shared" si="401"/>
        <v>0</v>
      </c>
      <c r="Y699" s="150">
        <f t="shared" si="401"/>
        <v>0</v>
      </c>
      <c r="Z699" s="150">
        <f t="shared" si="401"/>
        <v>0</v>
      </c>
      <c r="AA699" s="150">
        <f t="shared" si="401"/>
        <v>0</v>
      </c>
      <c r="AB699" s="150">
        <f t="shared" si="401"/>
        <v>0</v>
      </c>
      <c r="AC699" s="150">
        <f t="shared" si="401"/>
        <v>0</v>
      </c>
      <c r="AD699" s="150">
        <f t="shared" si="401"/>
        <v>0</v>
      </c>
      <c r="AE699" s="150">
        <f t="shared" si="401"/>
        <v>0</v>
      </c>
      <c r="AF699" s="150">
        <f t="shared" si="401"/>
        <v>0</v>
      </c>
      <c r="AG699" s="150">
        <f t="shared" si="401"/>
        <v>0</v>
      </c>
      <c r="AH699" s="150">
        <f t="shared" si="401"/>
        <v>0</v>
      </c>
      <c r="AI699" s="150">
        <f t="shared" si="401"/>
        <v>0</v>
      </c>
      <c r="AJ699" s="150">
        <f t="shared" si="401"/>
        <v>0</v>
      </c>
      <c r="AK699" s="150">
        <f t="shared" si="401"/>
        <v>0</v>
      </c>
      <c r="AL699" s="150">
        <f t="shared" si="401"/>
        <v>0</v>
      </c>
      <c r="AM699" s="150">
        <f t="shared" si="401"/>
        <v>0</v>
      </c>
      <c r="AN699" s="150">
        <f t="shared" si="401"/>
        <v>0</v>
      </c>
      <c r="AO699" s="150">
        <f t="shared" si="401"/>
        <v>0</v>
      </c>
      <c r="AP699" s="150">
        <f t="shared" si="401"/>
        <v>0</v>
      </c>
    </row>
    <row r="700" spans="1:42" x14ac:dyDescent="0.2">
      <c r="A700" s="4">
        <f t="shared" si="397"/>
        <v>7</v>
      </c>
      <c r="B700" s="173">
        <f t="shared" si="394"/>
        <v>0</v>
      </c>
      <c r="C700" s="150">
        <f t="shared" ref="C700:AP700" si="402">IF(AND(C$2&gt;equip2_reserve_freq*$A687,C$2&lt;=equip2_reserve_freq*$A688),$B688/(equip2_reserve_freq),0)</f>
        <v>0</v>
      </c>
      <c r="D700" s="150">
        <f t="shared" si="402"/>
        <v>0</v>
      </c>
      <c r="E700" s="150">
        <f t="shared" si="402"/>
        <v>0</v>
      </c>
      <c r="F700" s="150">
        <f t="shared" si="402"/>
        <v>0</v>
      </c>
      <c r="G700" s="150">
        <f t="shared" si="402"/>
        <v>0</v>
      </c>
      <c r="H700" s="150">
        <f t="shared" si="402"/>
        <v>0</v>
      </c>
      <c r="I700" s="150">
        <f t="shared" si="402"/>
        <v>0</v>
      </c>
      <c r="J700" s="150">
        <f t="shared" si="402"/>
        <v>0</v>
      </c>
      <c r="K700" s="150">
        <f t="shared" si="402"/>
        <v>0</v>
      </c>
      <c r="L700" s="150">
        <f t="shared" si="402"/>
        <v>0</v>
      </c>
      <c r="M700" s="150">
        <f t="shared" si="402"/>
        <v>0</v>
      </c>
      <c r="N700" s="150">
        <f t="shared" si="402"/>
        <v>0</v>
      </c>
      <c r="O700" s="150">
        <f t="shared" si="402"/>
        <v>0</v>
      </c>
      <c r="P700" s="150">
        <f t="shared" si="402"/>
        <v>0</v>
      </c>
      <c r="Q700" s="150">
        <f t="shared" si="402"/>
        <v>0</v>
      </c>
      <c r="R700" s="150">
        <f t="shared" si="402"/>
        <v>0</v>
      </c>
      <c r="S700" s="150">
        <f t="shared" si="402"/>
        <v>0</v>
      </c>
      <c r="T700" s="150">
        <f t="shared" si="402"/>
        <v>0</v>
      </c>
      <c r="U700" s="150">
        <f t="shared" si="402"/>
        <v>0</v>
      </c>
      <c r="V700" s="150">
        <f t="shared" si="402"/>
        <v>0</v>
      </c>
      <c r="W700" s="150">
        <f t="shared" si="402"/>
        <v>0</v>
      </c>
      <c r="X700" s="150">
        <f t="shared" si="402"/>
        <v>0</v>
      </c>
      <c r="Y700" s="150">
        <f t="shared" si="402"/>
        <v>0</v>
      </c>
      <c r="Z700" s="150">
        <f t="shared" si="402"/>
        <v>0</v>
      </c>
      <c r="AA700" s="150">
        <f t="shared" si="402"/>
        <v>0</v>
      </c>
      <c r="AB700" s="150">
        <f t="shared" si="402"/>
        <v>0</v>
      </c>
      <c r="AC700" s="150">
        <f t="shared" si="402"/>
        <v>0</v>
      </c>
      <c r="AD700" s="150">
        <f t="shared" si="402"/>
        <v>0</v>
      </c>
      <c r="AE700" s="150">
        <f t="shared" si="402"/>
        <v>0</v>
      </c>
      <c r="AF700" s="150">
        <f t="shared" si="402"/>
        <v>0</v>
      </c>
      <c r="AG700" s="150">
        <f t="shared" si="402"/>
        <v>0</v>
      </c>
      <c r="AH700" s="150">
        <f t="shared" si="402"/>
        <v>0</v>
      </c>
      <c r="AI700" s="150">
        <f t="shared" si="402"/>
        <v>0</v>
      </c>
      <c r="AJ700" s="150">
        <f t="shared" si="402"/>
        <v>0</v>
      </c>
      <c r="AK700" s="150">
        <f t="shared" si="402"/>
        <v>0</v>
      </c>
      <c r="AL700" s="150">
        <f t="shared" si="402"/>
        <v>0</v>
      </c>
      <c r="AM700" s="150">
        <f t="shared" si="402"/>
        <v>0</v>
      </c>
      <c r="AN700" s="150">
        <f t="shared" si="402"/>
        <v>0</v>
      </c>
      <c r="AO700" s="150">
        <f t="shared" si="402"/>
        <v>0</v>
      </c>
      <c r="AP700" s="150">
        <f t="shared" si="402"/>
        <v>0</v>
      </c>
    </row>
    <row r="701" spans="1:42" x14ac:dyDescent="0.2">
      <c r="A701" s="4">
        <f t="shared" si="397"/>
        <v>8</v>
      </c>
      <c r="B701" s="173">
        <f t="shared" si="394"/>
        <v>0</v>
      </c>
      <c r="C701" s="150">
        <f t="shared" ref="C701:AP701" si="403">IF(AND(C$2&gt;equip2_reserve_freq*$A688,C$2&lt;=equip2_reserve_freq*$A689),$B689/(equip2_reserve_freq),0)</f>
        <v>0</v>
      </c>
      <c r="D701" s="150">
        <f t="shared" si="403"/>
        <v>0</v>
      </c>
      <c r="E701" s="150">
        <f t="shared" si="403"/>
        <v>0</v>
      </c>
      <c r="F701" s="150">
        <f t="shared" si="403"/>
        <v>0</v>
      </c>
      <c r="G701" s="150">
        <f t="shared" si="403"/>
        <v>0</v>
      </c>
      <c r="H701" s="150">
        <f t="shared" si="403"/>
        <v>0</v>
      </c>
      <c r="I701" s="150">
        <f t="shared" si="403"/>
        <v>0</v>
      </c>
      <c r="J701" s="150">
        <f t="shared" si="403"/>
        <v>0</v>
      </c>
      <c r="K701" s="150">
        <f t="shared" si="403"/>
        <v>0</v>
      </c>
      <c r="L701" s="150">
        <f t="shared" si="403"/>
        <v>0</v>
      </c>
      <c r="M701" s="150">
        <f t="shared" si="403"/>
        <v>0</v>
      </c>
      <c r="N701" s="150">
        <f t="shared" si="403"/>
        <v>0</v>
      </c>
      <c r="O701" s="150">
        <f t="shared" si="403"/>
        <v>0</v>
      </c>
      <c r="P701" s="150">
        <f t="shared" si="403"/>
        <v>0</v>
      </c>
      <c r="Q701" s="150">
        <f t="shared" si="403"/>
        <v>0</v>
      </c>
      <c r="R701" s="150">
        <f t="shared" si="403"/>
        <v>0</v>
      </c>
      <c r="S701" s="150">
        <f t="shared" si="403"/>
        <v>0</v>
      </c>
      <c r="T701" s="150">
        <f t="shared" si="403"/>
        <v>0</v>
      </c>
      <c r="U701" s="150">
        <f t="shared" si="403"/>
        <v>0</v>
      </c>
      <c r="V701" s="150">
        <f t="shared" si="403"/>
        <v>0</v>
      </c>
      <c r="W701" s="150">
        <f t="shared" si="403"/>
        <v>0</v>
      </c>
      <c r="X701" s="150">
        <f t="shared" si="403"/>
        <v>0</v>
      </c>
      <c r="Y701" s="150">
        <f t="shared" si="403"/>
        <v>0</v>
      </c>
      <c r="Z701" s="150">
        <f t="shared" si="403"/>
        <v>0</v>
      </c>
      <c r="AA701" s="150">
        <f t="shared" si="403"/>
        <v>0</v>
      </c>
      <c r="AB701" s="150">
        <f t="shared" si="403"/>
        <v>0</v>
      </c>
      <c r="AC701" s="150">
        <f t="shared" si="403"/>
        <v>0</v>
      </c>
      <c r="AD701" s="150">
        <f t="shared" si="403"/>
        <v>0</v>
      </c>
      <c r="AE701" s="150">
        <f t="shared" si="403"/>
        <v>0</v>
      </c>
      <c r="AF701" s="150">
        <f t="shared" si="403"/>
        <v>0</v>
      </c>
      <c r="AG701" s="150">
        <f t="shared" si="403"/>
        <v>0</v>
      </c>
      <c r="AH701" s="150">
        <f t="shared" si="403"/>
        <v>0</v>
      </c>
      <c r="AI701" s="150">
        <f t="shared" si="403"/>
        <v>0</v>
      </c>
      <c r="AJ701" s="150">
        <f t="shared" si="403"/>
        <v>0</v>
      </c>
      <c r="AK701" s="150">
        <f t="shared" si="403"/>
        <v>0</v>
      </c>
      <c r="AL701" s="150">
        <f t="shared" si="403"/>
        <v>0</v>
      </c>
      <c r="AM701" s="150">
        <f t="shared" si="403"/>
        <v>0</v>
      </c>
      <c r="AN701" s="150">
        <f t="shared" si="403"/>
        <v>0</v>
      </c>
      <c r="AO701" s="150">
        <f t="shared" si="403"/>
        <v>0</v>
      </c>
      <c r="AP701" s="150">
        <f t="shared" si="403"/>
        <v>0</v>
      </c>
    </row>
    <row r="702" spans="1:42" x14ac:dyDescent="0.2">
      <c r="A702" s="4">
        <f>A701+1</f>
        <v>9</v>
      </c>
      <c r="B702" s="173">
        <f t="shared" si="394"/>
        <v>0</v>
      </c>
      <c r="C702" s="150">
        <f t="shared" ref="C702:AP702" si="404">IF(AND(C$2&gt;equip2_reserve_freq*$A689,C$2&lt;=equip2_reserve_freq*$A690),$B690/(equip2_reserve_freq),0)</f>
        <v>0</v>
      </c>
      <c r="D702" s="150">
        <f t="shared" si="404"/>
        <v>0</v>
      </c>
      <c r="E702" s="150">
        <f t="shared" si="404"/>
        <v>0</v>
      </c>
      <c r="F702" s="150">
        <f t="shared" si="404"/>
        <v>0</v>
      </c>
      <c r="G702" s="150">
        <f t="shared" si="404"/>
        <v>0</v>
      </c>
      <c r="H702" s="150">
        <f t="shared" si="404"/>
        <v>0</v>
      </c>
      <c r="I702" s="150">
        <f t="shared" si="404"/>
        <v>0</v>
      </c>
      <c r="J702" s="150">
        <f t="shared" si="404"/>
        <v>0</v>
      </c>
      <c r="K702" s="150">
        <f t="shared" si="404"/>
        <v>0</v>
      </c>
      <c r="L702" s="150">
        <f t="shared" si="404"/>
        <v>0</v>
      </c>
      <c r="M702" s="150">
        <f t="shared" si="404"/>
        <v>0</v>
      </c>
      <c r="N702" s="150">
        <f t="shared" si="404"/>
        <v>0</v>
      </c>
      <c r="O702" s="150">
        <f t="shared" si="404"/>
        <v>0</v>
      </c>
      <c r="P702" s="150">
        <f t="shared" si="404"/>
        <v>0</v>
      </c>
      <c r="Q702" s="150">
        <f t="shared" si="404"/>
        <v>0</v>
      </c>
      <c r="R702" s="150">
        <f t="shared" si="404"/>
        <v>0</v>
      </c>
      <c r="S702" s="150">
        <f t="shared" si="404"/>
        <v>0</v>
      </c>
      <c r="T702" s="150">
        <f t="shared" si="404"/>
        <v>0</v>
      </c>
      <c r="U702" s="150">
        <f t="shared" si="404"/>
        <v>0</v>
      </c>
      <c r="V702" s="150">
        <f t="shared" si="404"/>
        <v>0</v>
      </c>
      <c r="W702" s="150">
        <f t="shared" si="404"/>
        <v>0</v>
      </c>
      <c r="X702" s="150">
        <f t="shared" si="404"/>
        <v>0</v>
      </c>
      <c r="Y702" s="150">
        <f t="shared" si="404"/>
        <v>0</v>
      </c>
      <c r="Z702" s="150">
        <f t="shared" si="404"/>
        <v>0</v>
      </c>
      <c r="AA702" s="150">
        <f t="shared" si="404"/>
        <v>0</v>
      </c>
      <c r="AB702" s="150">
        <f t="shared" si="404"/>
        <v>0</v>
      </c>
      <c r="AC702" s="150">
        <f t="shared" si="404"/>
        <v>0</v>
      </c>
      <c r="AD702" s="150">
        <f t="shared" si="404"/>
        <v>0</v>
      </c>
      <c r="AE702" s="150">
        <f t="shared" si="404"/>
        <v>0</v>
      </c>
      <c r="AF702" s="150">
        <f t="shared" si="404"/>
        <v>0</v>
      </c>
      <c r="AG702" s="150">
        <f t="shared" si="404"/>
        <v>0</v>
      </c>
      <c r="AH702" s="150">
        <f t="shared" si="404"/>
        <v>0</v>
      </c>
      <c r="AI702" s="150">
        <f t="shared" si="404"/>
        <v>0</v>
      </c>
      <c r="AJ702" s="150">
        <f t="shared" si="404"/>
        <v>0</v>
      </c>
      <c r="AK702" s="150">
        <f t="shared" si="404"/>
        <v>0</v>
      </c>
      <c r="AL702" s="150">
        <f t="shared" si="404"/>
        <v>0</v>
      </c>
      <c r="AM702" s="150">
        <f t="shared" si="404"/>
        <v>0</v>
      </c>
      <c r="AN702" s="150">
        <f t="shared" si="404"/>
        <v>0</v>
      </c>
      <c r="AO702" s="150">
        <f t="shared" si="404"/>
        <v>0</v>
      </c>
      <c r="AP702" s="150">
        <f t="shared" si="404"/>
        <v>0</v>
      </c>
    </row>
    <row r="703" spans="1:42" x14ac:dyDescent="0.2">
      <c r="A703" s="4">
        <f t="shared" ref="A703" si="405">A702+1</f>
        <v>10</v>
      </c>
      <c r="B703" s="173">
        <f t="shared" si="394"/>
        <v>0</v>
      </c>
      <c r="C703" s="151">
        <f t="shared" ref="C703:AP703" si="406">IF(AND(C$2&gt;equip2_reserve_freq*$A690,C$2&lt;=equip2_reserve_freq*$A691),$B691/(equip2_reserve_freq),0)</f>
        <v>0</v>
      </c>
      <c r="D703" s="151">
        <f t="shared" si="406"/>
        <v>0</v>
      </c>
      <c r="E703" s="151">
        <f t="shared" si="406"/>
        <v>0</v>
      </c>
      <c r="F703" s="151">
        <f t="shared" si="406"/>
        <v>0</v>
      </c>
      <c r="G703" s="151">
        <f t="shared" si="406"/>
        <v>0</v>
      </c>
      <c r="H703" s="151">
        <f t="shared" si="406"/>
        <v>0</v>
      </c>
      <c r="I703" s="151">
        <f t="shared" si="406"/>
        <v>0</v>
      </c>
      <c r="J703" s="151">
        <f t="shared" si="406"/>
        <v>0</v>
      </c>
      <c r="K703" s="151">
        <f t="shared" si="406"/>
        <v>0</v>
      </c>
      <c r="L703" s="151">
        <f t="shared" si="406"/>
        <v>0</v>
      </c>
      <c r="M703" s="151">
        <f t="shared" si="406"/>
        <v>0</v>
      </c>
      <c r="N703" s="151">
        <f t="shared" si="406"/>
        <v>0</v>
      </c>
      <c r="O703" s="151">
        <f t="shared" si="406"/>
        <v>0</v>
      </c>
      <c r="P703" s="151">
        <f t="shared" si="406"/>
        <v>0</v>
      </c>
      <c r="Q703" s="151">
        <f t="shared" si="406"/>
        <v>0</v>
      </c>
      <c r="R703" s="151">
        <f t="shared" si="406"/>
        <v>0</v>
      </c>
      <c r="S703" s="151">
        <f t="shared" si="406"/>
        <v>0</v>
      </c>
      <c r="T703" s="151">
        <f t="shared" si="406"/>
        <v>0</v>
      </c>
      <c r="U703" s="151">
        <f t="shared" si="406"/>
        <v>0</v>
      </c>
      <c r="V703" s="151">
        <f t="shared" si="406"/>
        <v>0</v>
      </c>
      <c r="W703" s="151">
        <f t="shared" si="406"/>
        <v>0</v>
      </c>
      <c r="X703" s="151">
        <f t="shared" si="406"/>
        <v>0</v>
      </c>
      <c r="Y703" s="151">
        <f t="shared" si="406"/>
        <v>0</v>
      </c>
      <c r="Z703" s="151">
        <f t="shared" si="406"/>
        <v>0</v>
      </c>
      <c r="AA703" s="151">
        <f t="shared" si="406"/>
        <v>0</v>
      </c>
      <c r="AB703" s="151">
        <f t="shared" si="406"/>
        <v>0</v>
      </c>
      <c r="AC703" s="151">
        <f t="shared" si="406"/>
        <v>0</v>
      </c>
      <c r="AD703" s="151">
        <f t="shared" si="406"/>
        <v>0</v>
      </c>
      <c r="AE703" s="151">
        <f t="shared" si="406"/>
        <v>0</v>
      </c>
      <c r="AF703" s="151">
        <f t="shared" si="406"/>
        <v>0</v>
      </c>
      <c r="AG703" s="151">
        <f t="shared" si="406"/>
        <v>0</v>
      </c>
      <c r="AH703" s="151">
        <f t="shared" si="406"/>
        <v>0</v>
      </c>
      <c r="AI703" s="151">
        <f t="shared" si="406"/>
        <v>0</v>
      </c>
      <c r="AJ703" s="151">
        <f t="shared" si="406"/>
        <v>0</v>
      </c>
      <c r="AK703" s="151">
        <f t="shared" si="406"/>
        <v>0</v>
      </c>
      <c r="AL703" s="151">
        <f t="shared" si="406"/>
        <v>0</v>
      </c>
      <c r="AM703" s="151">
        <f t="shared" si="406"/>
        <v>0</v>
      </c>
      <c r="AN703" s="151">
        <f t="shared" si="406"/>
        <v>0</v>
      </c>
      <c r="AO703" s="151">
        <f t="shared" si="406"/>
        <v>0</v>
      </c>
      <c r="AP703" s="151">
        <f t="shared" si="406"/>
        <v>0</v>
      </c>
    </row>
    <row r="704" spans="1:42" x14ac:dyDescent="0.2">
      <c r="A704" s="24" t="s">
        <v>12</v>
      </c>
      <c r="B704" s="14"/>
      <c r="C704" s="150">
        <f>SUM(C694:C703)</f>
        <v>0</v>
      </c>
      <c r="D704" s="150">
        <f t="shared" ref="D704:AP704" si="407">SUM(D694:D703)</f>
        <v>0</v>
      </c>
      <c r="E704" s="150">
        <f t="shared" si="407"/>
        <v>0</v>
      </c>
      <c r="F704" s="150">
        <f t="shared" si="407"/>
        <v>0</v>
      </c>
      <c r="G704" s="150">
        <f t="shared" si="407"/>
        <v>0</v>
      </c>
      <c r="H704" s="150">
        <f t="shared" si="407"/>
        <v>0</v>
      </c>
      <c r="I704" s="150">
        <f t="shared" si="407"/>
        <v>0</v>
      </c>
      <c r="J704" s="150">
        <f t="shared" si="407"/>
        <v>0</v>
      </c>
      <c r="K704" s="150">
        <f t="shared" si="407"/>
        <v>0</v>
      </c>
      <c r="L704" s="150">
        <f t="shared" si="407"/>
        <v>0</v>
      </c>
      <c r="M704" s="150">
        <f t="shared" si="407"/>
        <v>0</v>
      </c>
      <c r="N704" s="150">
        <f t="shared" si="407"/>
        <v>0</v>
      </c>
      <c r="O704" s="150">
        <f t="shared" si="407"/>
        <v>0</v>
      </c>
      <c r="P704" s="150">
        <f t="shared" si="407"/>
        <v>0</v>
      </c>
      <c r="Q704" s="150">
        <f t="shared" si="407"/>
        <v>0</v>
      </c>
      <c r="R704" s="150">
        <f t="shared" si="407"/>
        <v>0</v>
      </c>
      <c r="S704" s="150">
        <f t="shared" si="407"/>
        <v>0</v>
      </c>
      <c r="T704" s="150">
        <f t="shared" si="407"/>
        <v>0</v>
      </c>
      <c r="U704" s="150">
        <f t="shared" si="407"/>
        <v>0</v>
      </c>
      <c r="V704" s="150">
        <f t="shared" si="407"/>
        <v>0</v>
      </c>
      <c r="W704" s="150">
        <f t="shared" si="407"/>
        <v>0</v>
      </c>
      <c r="X704" s="150">
        <f t="shared" si="407"/>
        <v>0</v>
      </c>
      <c r="Y704" s="150">
        <f t="shared" si="407"/>
        <v>0</v>
      </c>
      <c r="Z704" s="150">
        <f t="shared" si="407"/>
        <v>0</v>
      </c>
      <c r="AA704" s="150">
        <f t="shared" si="407"/>
        <v>0</v>
      </c>
      <c r="AB704" s="150">
        <f t="shared" si="407"/>
        <v>0</v>
      </c>
      <c r="AC704" s="150">
        <f t="shared" si="407"/>
        <v>0</v>
      </c>
      <c r="AD704" s="150">
        <f t="shared" si="407"/>
        <v>0</v>
      </c>
      <c r="AE704" s="150">
        <f t="shared" si="407"/>
        <v>0</v>
      </c>
      <c r="AF704" s="150">
        <f t="shared" si="407"/>
        <v>0</v>
      </c>
      <c r="AG704" s="150">
        <f t="shared" si="407"/>
        <v>0</v>
      </c>
      <c r="AH704" s="150">
        <f t="shared" si="407"/>
        <v>0</v>
      </c>
      <c r="AI704" s="150">
        <f t="shared" si="407"/>
        <v>0</v>
      </c>
      <c r="AJ704" s="150">
        <f t="shared" si="407"/>
        <v>0</v>
      </c>
      <c r="AK704" s="150">
        <f t="shared" si="407"/>
        <v>0</v>
      </c>
      <c r="AL704" s="150">
        <f t="shared" si="407"/>
        <v>0</v>
      </c>
      <c r="AM704" s="150">
        <f t="shared" si="407"/>
        <v>0</v>
      </c>
      <c r="AN704" s="150">
        <f t="shared" si="407"/>
        <v>0</v>
      </c>
      <c r="AO704" s="150">
        <f t="shared" si="407"/>
        <v>0</v>
      </c>
      <c r="AP704" s="150">
        <f t="shared" si="407"/>
        <v>0</v>
      </c>
    </row>
    <row r="706" spans="1:42" x14ac:dyDescent="0.2">
      <c r="A706" s="19" t="s">
        <v>283</v>
      </c>
    </row>
    <row r="707" spans="1:42" x14ac:dyDescent="0.2">
      <c r="A707" s="4" t="s">
        <v>274</v>
      </c>
      <c r="B707" s="150">
        <v>0</v>
      </c>
      <c r="C707" s="150">
        <f>B710</f>
        <v>0</v>
      </c>
      <c r="D707" s="150">
        <f t="shared" ref="D707:AP707" si="408">C710</f>
        <v>0</v>
      </c>
      <c r="E707" s="150">
        <f t="shared" si="408"/>
        <v>0</v>
      </c>
      <c r="F707" s="150">
        <f t="shared" si="408"/>
        <v>0</v>
      </c>
      <c r="G707" s="150">
        <f t="shared" si="408"/>
        <v>0</v>
      </c>
      <c r="H707" s="150">
        <f t="shared" si="408"/>
        <v>0</v>
      </c>
      <c r="I707" s="150">
        <f t="shared" si="408"/>
        <v>0</v>
      </c>
      <c r="J707" s="150">
        <f t="shared" si="408"/>
        <v>0</v>
      </c>
      <c r="K707" s="150">
        <f t="shared" si="408"/>
        <v>0</v>
      </c>
      <c r="L707" s="150">
        <f t="shared" si="408"/>
        <v>0</v>
      </c>
      <c r="M707" s="150">
        <f t="shared" si="408"/>
        <v>0</v>
      </c>
      <c r="N707" s="150">
        <f t="shared" si="408"/>
        <v>0</v>
      </c>
      <c r="O707" s="150">
        <f t="shared" si="408"/>
        <v>0</v>
      </c>
      <c r="P707" s="150">
        <f t="shared" si="408"/>
        <v>0</v>
      </c>
      <c r="Q707" s="150">
        <f t="shared" si="408"/>
        <v>0</v>
      </c>
      <c r="R707" s="150">
        <f t="shared" si="408"/>
        <v>0</v>
      </c>
      <c r="S707" s="150">
        <f t="shared" si="408"/>
        <v>0</v>
      </c>
      <c r="T707" s="150">
        <f t="shared" si="408"/>
        <v>0</v>
      </c>
      <c r="U707" s="150">
        <f t="shared" si="408"/>
        <v>0</v>
      </c>
      <c r="V707" s="150">
        <f t="shared" si="408"/>
        <v>0</v>
      </c>
      <c r="W707" s="150">
        <f t="shared" si="408"/>
        <v>0</v>
      </c>
      <c r="X707" s="150">
        <f t="shared" si="408"/>
        <v>0</v>
      </c>
      <c r="Y707" s="150">
        <f t="shared" si="408"/>
        <v>0</v>
      </c>
      <c r="Z707" s="150">
        <f t="shared" si="408"/>
        <v>0</v>
      </c>
      <c r="AA707" s="150">
        <f t="shared" si="408"/>
        <v>0</v>
      </c>
      <c r="AB707" s="150">
        <f t="shared" si="408"/>
        <v>0</v>
      </c>
      <c r="AC707" s="150">
        <f t="shared" si="408"/>
        <v>0</v>
      </c>
      <c r="AD707" s="150">
        <f t="shared" si="408"/>
        <v>0</v>
      </c>
      <c r="AE707" s="150">
        <f t="shared" si="408"/>
        <v>0</v>
      </c>
      <c r="AF707" s="150">
        <f t="shared" si="408"/>
        <v>0</v>
      </c>
      <c r="AG707" s="150">
        <f t="shared" si="408"/>
        <v>0</v>
      </c>
      <c r="AH707" s="150">
        <f t="shared" si="408"/>
        <v>0</v>
      </c>
      <c r="AI707" s="150">
        <f t="shared" si="408"/>
        <v>0</v>
      </c>
      <c r="AJ707" s="150">
        <f t="shared" si="408"/>
        <v>0</v>
      </c>
      <c r="AK707" s="150">
        <f t="shared" si="408"/>
        <v>0</v>
      </c>
      <c r="AL707" s="150">
        <f t="shared" si="408"/>
        <v>0</v>
      </c>
      <c r="AM707" s="150">
        <f t="shared" si="408"/>
        <v>0</v>
      </c>
      <c r="AN707" s="150">
        <f t="shared" si="408"/>
        <v>0</v>
      </c>
      <c r="AO707" s="150">
        <f t="shared" si="408"/>
        <v>0</v>
      </c>
      <c r="AP707" s="150">
        <f t="shared" si="408"/>
        <v>0</v>
      </c>
    </row>
    <row r="708" spans="1:42" x14ac:dyDescent="0.2">
      <c r="A708" s="4" t="s">
        <v>59</v>
      </c>
      <c r="B708" s="150">
        <v>0</v>
      </c>
      <c r="C708" s="150">
        <f>C736</f>
        <v>0</v>
      </c>
      <c r="D708" s="150">
        <f t="shared" ref="D708:AP708" si="409">D736</f>
        <v>0</v>
      </c>
      <c r="E708" s="150">
        <f t="shared" si="409"/>
        <v>0</v>
      </c>
      <c r="F708" s="150">
        <f t="shared" si="409"/>
        <v>0</v>
      </c>
      <c r="G708" s="150">
        <f t="shared" si="409"/>
        <v>0</v>
      </c>
      <c r="H708" s="150">
        <f t="shared" si="409"/>
        <v>0</v>
      </c>
      <c r="I708" s="150">
        <f t="shared" si="409"/>
        <v>0</v>
      </c>
      <c r="J708" s="150">
        <f t="shared" si="409"/>
        <v>0</v>
      </c>
      <c r="K708" s="150">
        <f t="shared" si="409"/>
        <v>0</v>
      </c>
      <c r="L708" s="150">
        <f t="shared" si="409"/>
        <v>0</v>
      </c>
      <c r="M708" s="150">
        <f t="shared" si="409"/>
        <v>0</v>
      </c>
      <c r="N708" s="150">
        <f t="shared" si="409"/>
        <v>0</v>
      </c>
      <c r="O708" s="150">
        <f t="shared" si="409"/>
        <v>0</v>
      </c>
      <c r="P708" s="150">
        <f t="shared" si="409"/>
        <v>0</v>
      </c>
      <c r="Q708" s="150">
        <f t="shared" si="409"/>
        <v>0</v>
      </c>
      <c r="R708" s="150">
        <f t="shared" si="409"/>
        <v>0</v>
      </c>
      <c r="S708" s="150">
        <f t="shared" si="409"/>
        <v>0</v>
      </c>
      <c r="T708" s="150">
        <f t="shared" si="409"/>
        <v>0</v>
      </c>
      <c r="U708" s="150">
        <f t="shared" si="409"/>
        <v>0</v>
      </c>
      <c r="V708" s="150">
        <f t="shared" si="409"/>
        <v>0</v>
      </c>
      <c r="W708" s="150">
        <f t="shared" si="409"/>
        <v>0</v>
      </c>
      <c r="X708" s="150">
        <f t="shared" si="409"/>
        <v>0</v>
      </c>
      <c r="Y708" s="150">
        <f t="shared" si="409"/>
        <v>0</v>
      </c>
      <c r="Z708" s="150">
        <f t="shared" si="409"/>
        <v>0</v>
      </c>
      <c r="AA708" s="150">
        <f t="shared" si="409"/>
        <v>0</v>
      </c>
      <c r="AB708" s="150">
        <f t="shared" si="409"/>
        <v>0</v>
      </c>
      <c r="AC708" s="150">
        <f t="shared" si="409"/>
        <v>0</v>
      </c>
      <c r="AD708" s="150">
        <f t="shared" si="409"/>
        <v>0</v>
      </c>
      <c r="AE708" s="150">
        <f t="shared" si="409"/>
        <v>0</v>
      </c>
      <c r="AF708" s="150">
        <f t="shared" si="409"/>
        <v>0</v>
      </c>
      <c r="AG708" s="150">
        <f t="shared" si="409"/>
        <v>0</v>
      </c>
      <c r="AH708" s="150">
        <f t="shared" si="409"/>
        <v>0</v>
      </c>
      <c r="AI708" s="150">
        <f t="shared" si="409"/>
        <v>0</v>
      </c>
      <c r="AJ708" s="150">
        <f t="shared" si="409"/>
        <v>0</v>
      </c>
      <c r="AK708" s="150">
        <f t="shared" si="409"/>
        <v>0</v>
      </c>
      <c r="AL708" s="150">
        <f t="shared" si="409"/>
        <v>0</v>
      </c>
      <c r="AM708" s="150">
        <f t="shared" si="409"/>
        <v>0</v>
      </c>
      <c r="AN708" s="150">
        <f t="shared" si="409"/>
        <v>0</v>
      </c>
      <c r="AO708" s="150">
        <f t="shared" si="409"/>
        <v>0</v>
      </c>
      <c r="AP708" s="150">
        <f t="shared" si="409"/>
        <v>0</v>
      </c>
    </row>
    <row r="709" spans="1:42" x14ac:dyDescent="0.2">
      <c r="A709" s="4" t="s">
        <v>275</v>
      </c>
      <c r="B709" s="151">
        <v>0</v>
      </c>
      <c r="C709" s="151">
        <f>-C724</f>
        <v>0</v>
      </c>
      <c r="D709" s="151">
        <f t="shared" ref="D709:AP709" si="410">-D724</f>
        <v>0</v>
      </c>
      <c r="E709" s="151">
        <f t="shared" si="410"/>
        <v>0</v>
      </c>
      <c r="F709" s="151">
        <f t="shared" si="410"/>
        <v>0</v>
      </c>
      <c r="G709" s="151">
        <f t="shared" si="410"/>
        <v>0</v>
      </c>
      <c r="H709" s="151">
        <f t="shared" si="410"/>
        <v>0</v>
      </c>
      <c r="I709" s="151">
        <f t="shared" si="410"/>
        <v>0</v>
      </c>
      <c r="J709" s="151">
        <f t="shared" si="410"/>
        <v>0</v>
      </c>
      <c r="K709" s="151">
        <f t="shared" si="410"/>
        <v>0</v>
      </c>
      <c r="L709" s="151">
        <f t="shared" si="410"/>
        <v>0</v>
      </c>
      <c r="M709" s="151">
        <f t="shared" si="410"/>
        <v>0</v>
      </c>
      <c r="N709" s="151">
        <f t="shared" si="410"/>
        <v>0</v>
      </c>
      <c r="O709" s="151">
        <f t="shared" si="410"/>
        <v>0</v>
      </c>
      <c r="P709" s="151">
        <f t="shared" si="410"/>
        <v>0</v>
      </c>
      <c r="Q709" s="151">
        <f t="shared" si="410"/>
        <v>0</v>
      </c>
      <c r="R709" s="151">
        <f t="shared" si="410"/>
        <v>0</v>
      </c>
      <c r="S709" s="151">
        <f t="shared" si="410"/>
        <v>0</v>
      </c>
      <c r="T709" s="151">
        <f t="shared" si="410"/>
        <v>0</v>
      </c>
      <c r="U709" s="151">
        <f t="shared" si="410"/>
        <v>0</v>
      </c>
      <c r="V709" s="151">
        <f t="shared" si="410"/>
        <v>0</v>
      </c>
      <c r="W709" s="151">
        <f t="shared" si="410"/>
        <v>0</v>
      </c>
      <c r="X709" s="151">
        <f t="shared" si="410"/>
        <v>0</v>
      </c>
      <c r="Y709" s="151">
        <f t="shared" si="410"/>
        <v>0</v>
      </c>
      <c r="Z709" s="151">
        <f t="shared" si="410"/>
        <v>0</v>
      </c>
      <c r="AA709" s="151">
        <f t="shared" si="410"/>
        <v>0</v>
      </c>
      <c r="AB709" s="151">
        <f t="shared" si="410"/>
        <v>0</v>
      </c>
      <c r="AC709" s="151">
        <f t="shared" si="410"/>
        <v>0</v>
      </c>
      <c r="AD709" s="151">
        <f t="shared" si="410"/>
        <v>0</v>
      </c>
      <c r="AE709" s="151">
        <f t="shared" si="410"/>
        <v>0</v>
      </c>
      <c r="AF709" s="151">
        <f t="shared" si="410"/>
        <v>0</v>
      </c>
      <c r="AG709" s="151">
        <f t="shared" si="410"/>
        <v>0</v>
      </c>
      <c r="AH709" s="151">
        <f t="shared" si="410"/>
        <v>0</v>
      </c>
      <c r="AI709" s="151">
        <f t="shared" si="410"/>
        <v>0</v>
      </c>
      <c r="AJ709" s="151">
        <f t="shared" si="410"/>
        <v>0</v>
      </c>
      <c r="AK709" s="151">
        <f t="shared" si="410"/>
        <v>0</v>
      </c>
      <c r="AL709" s="151">
        <f t="shared" si="410"/>
        <v>0</v>
      </c>
      <c r="AM709" s="151">
        <f t="shared" si="410"/>
        <v>0</v>
      </c>
      <c r="AN709" s="151">
        <f t="shared" si="410"/>
        <v>0</v>
      </c>
      <c r="AO709" s="151">
        <f t="shared" si="410"/>
        <v>0</v>
      </c>
      <c r="AP709" s="151">
        <f t="shared" si="410"/>
        <v>0</v>
      </c>
    </row>
    <row r="710" spans="1:42" x14ac:dyDescent="0.2">
      <c r="A710" s="4" t="s">
        <v>232</v>
      </c>
      <c r="B710" s="150">
        <f>SUM(B707:B709)</f>
        <v>0</v>
      </c>
      <c r="C710" s="150">
        <f>SUM(C707:C709)</f>
        <v>0</v>
      </c>
      <c r="D710" s="150">
        <f t="shared" ref="D710:AP710" si="411">SUM(D707:D709)</f>
        <v>0</v>
      </c>
      <c r="E710" s="150">
        <f t="shared" si="411"/>
        <v>0</v>
      </c>
      <c r="F710" s="150">
        <f t="shared" si="411"/>
        <v>0</v>
      </c>
      <c r="G710" s="150">
        <f t="shared" si="411"/>
        <v>0</v>
      </c>
      <c r="H710" s="150">
        <f t="shared" si="411"/>
        <v>0</v>
      </c>
      <c r="I710" s="150">
        <f t="shared" si="411"/>
        <v>0</v>
      </c>
      <c r="J710" s="150">
        <f t="shared" si="411"/>
        <v>0</v>
      </c>
      <c r="K710" s="150">
        <f t="shared" si="411"/>
        <v>0</v>
      </c>
      <c r="L710" s="150">
        <f t="shared" si="411"/>
        <v>0</v>
      </c>
      <c r="M710" s="150">
        <f t="shared" si="411"/>
        <v>0</v>
      </c>
      <c r="N710" s="150">
        <f t="shared" si="411"/>
        <v>0</v>
      </c>
      <c r="O710" s="150">
        <f t="shared" si="411"/>
        <v>0</v>
      </c>
      <c r="P710" s="150">
        <f t="shared" si="411"/>
        <v>0</v>
      </c>
      <c r="Q710" s="150">
        <f t="shared" si="411"/>
        <v>0</v>
      </c>
      <c r="R710" s="150">
        <f t="shared" si="411"/>
        <v>0</v>
      </c>
      <c r="S710" s="150">
        <f t="shared" si="411"/>
        <v>0</v>
      </c>
      <c r="T710" s="150">
        <f t="shared" si="411"/>
        <v>0</v>
      </c>
      <c r="U710" s="150">
        <f t="shared" si="411"/>
        <v>0</v>
      </c>
      <c r="V710" s="150">
        <f t="shared" si="411"/>
        <v>0</v>
      </c>
      <c r="W710" s="150">
        <f t="shared" si="411"/>
        <v>0</v>
      </c>
      <c r="X710" s="150">
        <f t="shared" si="411"/>
        <v>0</v>
      </c>
      <c r="Y710" s="150">
        <f t="shared" si="411"/>
        <v>0</v>
      </c>
      <c r="Z710" s="150">
        <f t="shared" si="411"/>
        <v>0</v>
      </c>
      <c r="AA710" s="150">
        <f t="shared" si="411"/>
        <v>0</v>
      </c>
      <c r="AB710" s="150">
        <f t="shared" si="411"/>
        <v>0</v>
      </c>
      <c r="AC710" s="150">
        <f t="shared" si="411"/>
        <v>0</v>
      </c>
      <c r="AD710" s="150">
        <f t="shared" si="411"/>
        <v>0</v>
      </c>
      <c r="AE710" s="150">
        <f t="shared" si="411"/>
        <v>0</v>
      </c>
      <c r="AF710" s="150">
        <f t="shared" si="411"/>
        <v>0</v>
      </c>
      <c r="AG710" s="150">
        <f t="shared" si="411"/>
        <v>0</v>
      </c>
      <c r="AH710" s="150">
        <f t="shared" si="411"/>
        <v>0</v>
      </c>
      <c r="AI710" s="150">
        <f t="shared" si="411"/>
        <v>0</v>
      </c>
      <c r="AJ710" s="150">
        <f t="shared" si="411"/>
        <v>0</v>
      </c>
      <c r="AK710" s="150">
        <f t="shared" si="411"/>
        <v>0</v>
      </c>
      <c r="AL710" s="150">
        <f t="shared" si="411"/>
        <v>0</v>
      </c>
      <c r="AM710" s="150">
        <f t="shared" si="411"/>
        <v>0</v>
      </c>
      <c r="AN710" s="150">
        <f t="shared" si="411"/>
        <v>0</v>
      </c>
      <c r="AO710" s="150">
        <f t="shared" si="411"/>
        <v>0</v>
      </c>
      <c r="AP710" s="150">
        <f t="shared" si="411"/>
        <v>0</v>
      </c>
    </row>
    <row r="712" spans="1:42" x14ac:dyDescent="0.2">
      <c r="A712" s="4" t="s">
        <v>277</v>
      </c>
    </row>
    <row r="713" spans="1:42" x14ac:dyDescent="0.2">
      <c r="A713" s="4" t="s">
        <v>278</v>
      </c>
    </row>
    <row r="714" spans="1:42" x14ac:dyDescent="0.2">
      <c r="A714" s="4">
        <v>1</v>
      </c>
      <c r="B714" s="173">
        <f t="shared" ref="B714:B723" si="412">SUM(C714:AP714)</f>
        <v>0</v>
      </c>
      <c r="C714" s="150">
        <f t="shared" ref="C714:AP714" si="413">IF(C$2&gt;analysis_period,0,IF(C$2=equip3_reserve_freq*$A714,equip3_reserve_cost*system_capacity*1000*(1+inflation_rate/100)^B$2,0))</f>
        <v>0</v>
      </c>
      <c r="D714" s="150">
        <f t="shared" si="413"/>
        <v>0</v>
      </c>
      <c r="E714" s="150">
        <f t="shared" si="413"/>
        <v>0</v>
      </c>
      <c r="F714" s="150">
        <f t="shared" si="413"/>
        <v>0</v>
      </c>
      <c r="G714" s="150">
        <f t="shared" si="413"/>
        <v>0</v>
      </c>
      <c r="H714" s="150">
        <f t="shared" si="413"/>
        <v>0</v>
      </c>
      <c r="I714" s="150">
        <f t="shared" si="413"/>
        <v>0</v>
      </c>
      <c r="J714" s="150">
        <f t="shared" si="413"/>
        <v>0</v>
      </c>
      <c r="K714" s="150">
        <f t="shared" si="413"/>
        <v>0</v>
      </c>
      <c r="L714" s="150">
        <f t="shared" si="413"/>
        <v>0</v>
      </c>
      <c r="M714" s="150">
        <f t="shared" si="413"/>
        <v>0</v>
      </c>
      <c r="N714" s="150">
        <f t="shared" si="413"/>
        <v>0</v>
      </c>
      <c r="O714" s="150">
        <f t="shared" si="413"/>
        <v>0</v>
      </c>
      <c r="P714" s="150">
        <f t="shared" si="413"/>
        <v>0</v>
      </c>
      <c r="Q714" s="150">
        <f t="shared" si="413"/>
        <v>0</v>
      </c>
      <c r="R714" s="150">
        <f t="shared" si="413"/>
        <v>0</v>
      </c>
      <c r="S714" s="150">
        <f t="shared" si="413"/>
        <v>0</v>
      </c>
      <c r="T714" s="150">
        <f t="shared" si="413"/>
        <v>0</v>
      </c>
      <c r="U714" s="150">
        <f t="shared" si="413"/>
        <v>0</v>
      </c>
      <c r="V714" s="150">
        <f t="shared" si="413"/>
        <v>0</v>
      </c>
      <c r="W714" s="150">
        <f t="shared" si="413"/>
        <v>0</v>
      </c>
      <c r="X714" s="150">
        <f t="shared" si="413"/>
        <v>0</v>
      </c>
      <c r="Y714" s="150">
        <f t="shared" si="413"/>
        <v>0</v>
      </c>
      <c r="Z714" s="150">
        <f t="shared" si="413"/>
        <v>0</v>
      </c>
      <c r="AA714" s="150">
        <f t="shared" si="413"/>
        <v>0</v>
      </c>
      <c r="AB714" s="150">
        <f t="shared" si="413"/>
        <v>0</v>
      </c>
      <c r="AC714" s="150">
        <f t="shared" si="413"/>
        <v>0</v>
      </c>
      <c r="AD714" s="150">
        <f t="shared" si="413"/>
        <v>0</v>
      </c>
      <c r="AE714" s="150">
        <f t="shared" si="413"/>
        <v>0</v>
      </c>
      <c r="AF714" s="150">
        <f t="shared" si="413"/>
        <v>0</v>
      </c>
      <c r="AG714" s="150">
        <f t="shared" si="413"/>
        <v>0</v>
      </c>
      <c r="AH714" s="150">
        <f t="shared" si="413"/>
        <v>0</v>
      </c>
      <c r="AI714" s="150">
        <f t="shared" si="413"/>
        <v>0</v>
      </c>
      <c r="AJ714" s="150">
        <f t="shared" si="413"/>
        <v>0</v>
      </c>
      <c r="AK714" s="150">
        <f t="shared" si="413"/>
        <v>0</v>
      </c>
      <c r="AL714" s="150">
        <f t="shared" si="413"/>
        <v>0</v>
      </c>
      <c r="AM714" s="150">
        <f t="shared" si="413"/>
        <v>0</v>
      </c>
      <c r="AN714" s="150">
        <f t="shared" si="413"/>
        <v>0</v>
      </c>
      <c r="AO714" s="150">
        <f t="shared" si="413"/>
        <v>0</v>
      </c>
      <c r="AP714" s="150">
        <f t="shared" si="413"/>
        <v>0</v>
      </c>
    </row>
    <row r="715" spans="1:42" x14ac:dyDescent="0.2">
      <c r="A715" s="4">
        <f>A714+1</f>
        <v>2</v>
      </c>
      <c r="B715" s="173">
        <f t="shared" si="412"/>
        <v>0</v>
      </c>
      <c r="C715" s="150">
        <f t="shared" ref="C715:AP715" si="414">IF(C$2&gt;analysis_period,0,IF(C$2=equip3_reserve_freq*$A715,equip3_reserve_cost*system_capacity*1000*(1+inflation_rate/100)^B$2,0))</f>
        <v>0</v>
      </c>
      <c r="D715" s="150">
        <f t="shared" si="414"/>
        <v>0</v>
      </c>
      <c r="E715" s="150">
        <f t="shared" si="414"/>
        <v>0</v>
      </c>
      <c r="F715" s="150">
        <f t="shared" si="414"/>
        <v>0</v>
      </c>
      <c r="G715" s="150">
        <f t="shared" si="414"/>
        <v>0</v>
      </c>
      <c r="H715" s="150">
        <f t="shared" si="414"/>
        <v>0</v>
      </c>
      <c r="I715" s="150">
        <f t="shared" si="414"/>
        <v>0</v>
      </c>
      <c r="J715" s="150">
        <f t="shared" si="414"/>
        <v>0</v>
      </c>
      <c r="K715" s="150">
        <f t="shared" si="414"/>
        <v>0</v>
      </c>
      <c r="L715" s="150">
        <f t="shared" si="414"/>
        <v>0</v>
      </c>
      <c r="M715" s="150">
        <f t="shared" si="414"/>
        <v>0</v>
      </c>
      <c r="N715" s="150">
        <f t="shared" si="414"/>
        <v>0</v>
      </c>
      <c r="O715" s="150">
        <f t="shared" si="414"/>
        <v>0</v>
      </c>
      <c r="P715" s="150">
        <f t="shared" si="414"/>
        <v>0</v>
      </c>
      <c r="Q715" s="150">
        <f t="shared" si="414"/>
        <v>0</v>
      </c>
      <c r="R715" s="150">
        <f t="shared" si="414"/>
        <v>0</v>
      </c>
      <c r="S715" s="150">
        <f t="shared" si="414"/>
        <v>0</v>
      </c>
      <c r="T715" s="150">
        <f t="shared" si="414"/>
        <v>0</v>
      </c>
      <c r="U715" s="150">
        <f t="shared" si="414"/>
        <v>0</v>
      </c>
      <c r="V715" s="150">
        <f t="shared" si="414"/>
        <v>0</v>
      </c>
      <c r="W715" s="150">
        <f t="shared" si="414"/>
        <v>0</v>
      </c>
      <c r="X715" s="150">
        <f t="shared" si="414"/>
        <v>0</v>
      </c>
      <c r="Y715" s="150">
        <f t="shared" si="414"/>
        <v>0</v>
      </c>
      <c r="Z715" s="150">
        <f t="shared" si="414"/>
        <v>0</v>
      </c>
      <c r="AA715" s="150">
        <f t="shared" si="414"/>
        <v>0</v>
      </c>
      <c r="AB715" s="150">
        <f t="shared" si="414"/>
        <v>0</v>
      </c>
      <c r="AC715" s="150">
        <f t="shared" si="414"/>
        <v>0</v>
      </c>
      <c r="AD715" s="150">
        <f t="shared" si="414"/>
        <v>0</v>
      </c>
      <c r="AE715" s="150">
        <f t="shared" si="414"/>
        <v>0</v>
      </c>
      <c r="AF715" s="150">
        <f t="shared" si="414"/>
        <v>0</v>
      </c>
      <c r="AG715" s="150">
        <f t="shared" si="414"/>
        <v>0</v>
      </c>
      <c r="AH715" s="150">
        <f t="shared" si="414"/>
        <v>0</v>
      </c>
      <c r="AI715" s="150">
        <f t="shared" si="414"/>
        <v>0</v>
      </c>
      <c r="AJ715" s="150">
        <f t="shared" si="414"/>
        <v>0</v>
      </c>
      <c r="AK715" s="150">
        <f t="shared" si="414"/>
        <v>0</v>
      </c>
      <c r="AL715" s="150">
        <f t="shared" si="414"/>
        <v>0</v>
      </c>
      <c r="AM715" s="150">
        <f t="shared" si="414"/>
        <v>0</v>
      </c>
      <c r="AN715" s="150">
        <f t="shared" si="414"/>
        <v>0</v>
      </c>
      <c r="AO715" s="150">
        <f t="shared" si="414"/>
        <v>0</v>
      </c>
      <c r="AP715" s="150">
        <f t="shared" si="414"/>
        <v>0</v>
      </c>
    </row>
    <row r="716" spans="1:42" x14ac:dyDescent="0.2">
      <c r="A716" s="4">
        <f t="shared" ref="A716:A723" si="415">A715+1</f>
        <v>3</v>
      </c>
      <c r="B716" s="173">
        <f t="shared" si="412"/>
        <v>0</v>
      </c>
      <c r="C716" s="150">
        <f t="shared" ref="C716:AP716" si="416">IF(C$2&gt;analysis_period,0,IF(C$2=equip3_reserve_freq*$A716,equip3_reserve_cost*system_capacity*1000*(1+inflation_rate/100)^B$2,0))</f>
        <v>0</v>
      </c>
      <c r="D716" s="150">
        <f t="shared" si="416"/>
        <v>0</v>
      </c>
      <c r="E716" s="150">
        <f t="shared" si="416"/>
        <v>0</v>
      </c>
      <c r="F716" s="150">
        <f t="shared" si="416"/>
        <v>0</v>
      </c>
      <c r="G716" s="150">
        <f t="shared" si="416"/>
        <v>0</v>
      </c>
      <c r="H716" s="150">
        <f t="shared" si="416"/>
        <v>0</v>
      </c>
      <c r="I716" s="150">
        <f t="shared" si="416"/>
        <v>0</v>
      </c>
      <c r="J716" s="150">
        <f t="shared" si="416"/>
        <v>0</v>
      </c>
      <c r="K716" s="150">
        <f t="shared" si="416"/>
        <v>0</v>
      </c>
      <c r="L716" s="150">
        <f t="shared" si="416"/>
        <v>0</v>
      </c>
      <c r="M716" s="150">
        <f t="shared" si="416"/>
        <v>0</v>
      </c>
      <c r="N716" s="150">
        <f t="shared" si="416"/>
        <v>0</v>
      </c>
      <c r="O716" s="150">
        <f t="shared" si="416"/>
        <v>0</v>
      </c>
      <c r="P716" s="150">
        <f t="shared" si="416"/>
        <v>0</v>
      </c>
      <c r="Q716" s="150">
        <f t="shared" si="416"/>
        <v>0</v>
      </c>
      <c r="R716" s="150">
        <f t="shared" si="416"/>
        <v>0</v>
      </c>
      <c r="S716" s="150">
        <f t="shared" si="416"/>
        <v>0</v>
      </c>
      <c r="T716" s="150">
        <f t="shared" si="416"/>
        <v>0</v>
      </c>
      <c r="U716" s="150">
        <f t="shared" si="416"/>
        <v>0</v>
      </c>
      <c r="V716" s="150">
        <f t="shared" si="416"/>
        <v>0</v>
      </c>
      <c r="W716" s="150">
        <f t="shared" si="416"/>
        <v>0</v>
      </c>
      <c r="X716" s="150">
        <f t="shared" si="416"/>
        <v>0</v>
      </c>
      <c r="Y716" s="150">
        <f t="shared" si="416"/>
        <v>0</v>
      </c>
      <c r="Z716" s="150">
        <f t="shared" si="416"/>
        <v>0</v>
      </c>
      <c r="AA716" s="150">
        <f t="shared" si="416"/>
        <v>0</v>
      </c>
      <c r="AB716" s="150">
        <f t="shared" si="416"/>
        <v>0</v>
      </c>
      <c r="AC716" s="150">
        <f t="shared" si="416"/>
        <v>0</v>
      </c>
      <c r="AD716" s="150">
        <f t="shared" si="416"/>
        <v>0</v>
      </c>
      <c r="AE716" s="150">
        <f t="shared" si="416"/>
        <v>0</v>
      </c>
      <c r="AF716" s="150">
        <f t="shared" si="416"/>
        <v>0</v>
      </c>
      <c r="AG716" s="150">
        <f t="shared" si="416"/>
        <v>0</v>
      </c>
      <c r="AH716" s="150">
        <f t="shared" si="416"/>
        <v>0</v>
      </c>
      <c r="AI716" s="150">
        <f t="shared" si="416"/>
        <v>0</v>
      </c>
      <c r="AJ716" s="150">
        <f t="shared" si="416"/>
        <v>0</v>
      </c>
      <c r="AK716" s="150">
        <f t="shared" si="416"/>
        <v>0</v>
      </c>
      <c r="AL716" s="150">
        <f t="shared" si="416"/>
        <v>0</v>
      </c>
      <c r="AM716" s="150">
        <f t="shared" si="416"/>
        <v>0</v>
      </c>
      <c r="AN716" s="150">
        <f t="shared" si="416"/>
        <v>0</v>
      </c>
      <c r="AO716" s="150">
        <f t="shared" si="416"/>
        <v>0</v>
      </c>
      <c r="AP716" s="150">
        <f t="shared" si="416"/>
        <v>0</v>
      </c>
    </row>
    <row r="717" spans="1:42" x14ac:dyDescent="0.2">
      <c r="A717" s="4">
        <f t="shared" si="415"/>
        <v>4</v>
      </c>
      <c r="B717" s="173">
        <f t="shared" si="412"/>
        <v>0</v>
      </c>
      <c r="C717" s="150">
        <f t="shared" ref="C717:AP717" si="417">IF(C$2&gt;analysis_period,0,IF(C$2=equip3_reserve_freq*$A717,equip3_reserve_cost*system_capacity*1000*(1+inflation_rate/100)^B$2,0))</f>
        <v>0</v>
      </c>
      <c r="D717" s="150">
        <f t="shared" si="417"/>
        <v>0</v>
      </c>
      <c r="E717" s="150">
        <f t="shared" si="417"/>
        <v>0</v>
      </c>
      <c r="F717" s="150">
        <f t="shared" si="417"/>
        <v>0</v>
      </c>
      <c r="G717" s="150">
        <f t="shared" si="417"/>
        <v>0</v>
      </c>
      <c r="H717" s="150">
        <f t="shared" si="417"/>
        <v>0</v>
      </c>
      <c r="I717" s="150">
        <f t="shared" si="417"/>
        <v>0</v>
      </c>
      <c r="J717" s="150">
        <f t="shared" si="417"/>
        <v>0</v>
      </c>
      <c r="K717" s="150">
        <f t="shared" si="417"/>
        <v>0</v>
      </c>
      <c r="L717" s="150">
        <f t="shared" si="417"/>
        <v>0</v>
      </c>
      <c r="M717" s="150">
        <f t="shared" si="417"/>
        <v>0</v>
      </c>
      <c r="N717" s="150">
        <f t="shared" si="417"/>
        <v>0</v>
      </c>
      <c r="O717" s="150">
        <f t="shared" si="417"/>
        <v>0</v>
      </c>
      <c r="P717" s="150">
        <f t="shared" si="417"/>
        <v>0</v>
      </c>
      <c r="Q717" s="150">
        <f t="shared" si="417"/>
        <v>0</v>
      </c>
      <c r="R717" s="150">
        <f t="shared" si="417"/>
        <v>0</v>
      </c>
      <c r="S717" s="150">
        <f t="shared" si="417"/>
        <v>0</v>
      </c>
      <c r="T717" s="150">
        <f t="shared" si="417"/>
        <v>0</v>
      </c>
      <c r="U717" s="150">
        <f t="shared" si="417"/>
        <v>0</v>
      </c>
      <c r="V717" s="150">
        <f t="shared" si="417"/>
        <v>0</v>
      </c>
      <c r="W717" s="150">
        <f t="shared" si="417"/>
        <v>0</v>
      </c>
      <c r="X717" s="150">
        <f t="shared" si="417"/>
        <v>0</v>
      </c>
      <c r="Y717" s="150">
        <f t="shared" si="417"/>
        <v>0</v>
      </c>
      <c r="Z717" s="150">
        <f t="shared" si="417"/>
        <v>0</v>
      </c>
      <c r="AA717" s="150">
        <f t="shared" si="417"/>
        <v>0</v>
      </c>
      <c r="AB717" s="150">
        <f t="shared" si="417"/>
        <v>0</v>
      </c>
      <c r="AC717" s="150">
        <f t="shared" si="417"/>
        <v>0</v>
      </c>
      <c r="AD717" s="150">
        <f t="shared" si="417"/>
        <v>0</v>
      </c>
      <c r="AE717" s="150">
        <f t="shared" si="417"/>
        <v>0</v>
      </c>
      <c r="AF717" s="150">
        <f t="shared" si="417"/>
        <v>0</v>
      </c>
      <c r="AG717" s="150">
        <f t="shared" si="417"/>
        <v>0</v>
      </c>
      <c r="AH717" s="150">
        <f t="shared" si="417"/>
        <v>0</v>
      </c>
      <c r="AI717" s="150">
        <f t="shared" si="417"/>
        <v>0</v>
      </c>
      <c r="AJ717" s="150">
        <f t="shared" si="417"/>
        <v>0</v>
      </c>
      <c r="AK717" s="150">
        <f t="shared" si="417"/>
        <v>0</v>
      </c>
      <c r="AL717" s="150">
        <f t="shared" si="417"/>
        <v>0</v>
      </c>
      <c r="AM717" s="150">
        <f t="shared" si="417"/>
        <v>0</v>
      </c>
      <c r="AN717" s="150">
        <f t="shared" si="417"/>
        <v>0</v>
      </c>
      <c r="AO717" s="150">
        <f t="shared" si="417"/>
        <v>0</v>
      </c>
      <c r="AP717" s="150">
        <f t="shared" si="417"/>
        <v>0</v>
      </c>
    </row>
    <row r="718" spans="1:42" x14ac:dyDescent="0.2">
      <c r="A718" s="4">
        <f t="shared" si="415"/>
        <v>5</v>
      </c>
      <c r="B718" s="173">
        <f t="shared" si="412"/>
        <v>0</v>
      </c>
      <c r="C718" s="150">
        <f t="shared" ref="C718:AP718" si="418">IF(C$2&gt;analysis_period,0,IF(C$2=equip3_reserve_freq*$A718,equip3_reserve_cost*system_capacity*1000*(1+inflation_rate/100)^B$2,0))</f>
        <v>0</v>
      </c>
      <c r="D718" s="150">
        <f t="shared" si="418"/>
        <v>0</v>
      </c>
      <c r="E718" s="150">
        <f t="shared" si="418"/>
        <v>0</v>
      </c>
      <c r="F718" s="150">
        <f t="shared" si="418"/>
        <v>0</v>
      </c>
      <c r="G718" s="150">
        <f t="shared" si="418"/>
        <v>0</v>
      </c>
      <c r="H718" s="150">
        <f t="shared" si="418"/>
        <v>0</v>
      </c>
      <c r="I718" s="150">
        <f t="shared" si="418"/>
        <v>0</v>
      </c>
      <c r="J718" s="150">
        <f t="shared" si="418"/>
        <v>0</v>
      </c>
      <c r="K718" s="150">
        <f t="shared" si="418"/>
        <v>0</v>
      </c>
      <c r="L718" s="150">
        <f t="shared" si="418"/>
        <v>0</v>
      </c>
      <c r="M718" s="150">
        <f t="shared" si="418"/>
        <v>0</v>
      </c>
      <c r="N718" s="150">
        <f t="shared" si="418"/>
        <v>0</v>
      </c>
      <c r="O718" s="150">
        <f t="shared" si="418"/>
        <v>0</v>
      </c>
      <c r="P718" s="150">
        <f t="shared" si="418"/>
        <v>0</v>
      </c>
      <c r="Q718" s="150">
        <f t="shared" si="418"/>
        <v>0</v>
      </c>
      <c r="R718" s="150">
        <f t="shared" si="418"/>
        <v>0</v>
      </c>
      <c r="S718" s="150">
        <f t="shared" si="418"/>
        <v>0</v>
      </c>
      <c r="T718" s="150">
        <f t="shared" si="418"/>
        <v>0</v>
      </c>
      <c r="U718" s="150">
        <f t="shared" si="418"/>
        <v>0</v>
      </c>
      <c r="V718" s="150">
        <f t="shared" si="418"/>
        <v>0</v>
      </c>
      <c r="W718" s="150">
        <f t="shared" si="418"/>
        <v>0</v>
      </c>
      <c r="X718" s="150">
        <f t="shared" si="418"/>
        <v>0</v>
      </c>
      <c r="Y718" s="150">
        <f t="shared" si="418"/>
        <v>0</v>
      </c>
      <c r="Z718" s="150">
        <f t="shared" si="418"/>
        <v>0</v>
      </c>
      <c r="AA718" s="150">
        <f t="shared" si="418"/>
        <v>0</v>
      </c>
      <c r="AB718" s="150">
        <f t="shared" si="418"/>
        <v>0</v>
      </c>
      <c r="AC718" s="150">
        <f t="shared" si="418"/>
        <v>0</v>
      </c>
      <c r="AD718" s="150">
        <f t="shared" si="418"/>
        <v>0</v>
      </c>
      <c r="AE718" s="150">
        <f t="shared" si="418"/>
        <v>0</v>
      </c>
      <c r="AF718" s="150">
        <f t="shared" si="418"/>
        <v>0</v>
      </c>
      <c r="AG718" s="150">
        <f t="shared" si="418"/>
        <v>0</v>
      </c>
      <c r="AH718" s="150">
        <f t="shared" si="418"/>
        <v>0</v>
      </c>
      <c r="AI718" s="150">
        <f t="shared" si="418"/>
        <v>0</v>
      </c>
      <c r="AJ718" s="150">
        <f t="shared" si="418"/>
        <v>0</v>
      </c>
      <c r="AK718" s="150">
        <f t="shared" si="418"/>
        <v>0</v>
      </c>
      <c r="AL718" s="150">
        <f t="shared" si="418"/>
        <v>0</v>
      </c>
      <c r="AM718" s="150">
        <f t="shared" si="418"/>
        <v>0</v>
      </c>
      <c r="AN718" s="150">
        <f t="shared" si="418"/>
        <v>0</v>
      </c>
      <c r="AO718" s="150">
        <f t="shared" si="418"/>
        <v>0</v>
      </c>
      <c r="AP718" s="150">
        <f t="shared" si="418"/>
        <v>0</v>
      </c>
    </row>
    <row r="719" spans="1:42" x14ac:dyDescent="0.2">
      <c r="A719" s="4">
        <f t="shared" si="415"/>
        <v>6</v>
      </c>
      <c r="B719" s="173">
        <f t="shared" si="412"/>
        <v>0</v>
      </c>
      <c r="C719" s="150">
        <f t="shared" ref="C719:AP719" si="419">IF(C$2&gt;analysis_period,0,IF(C$2=equip3_reserve_freq*$A719,equip3_reserve_cost*system_capacity*1000*(1+inflation_rate/100)^B$2,0))</f>
        <v>0</v>
      </c>
      <c r="D719" s="150">
        <f t="shared" si="419"/>
        <v>0</v>
      </c>
      <c r="E719" s="150">
        <f t="shared" si="419"/>
        <v>0</v>
      </c>
      <c r="F719" s="150">
        <f t="shared" si="419"/>
        <v>0</v>
      </c>
      <c r="G719" s="150">
        <f t="shared" si="419"/>
        <v>0</v>
      </c>
      <c r="H719" s="150">
        <f t="shared" si="419"/>
        <v>0</v>
      </c>
      <c r="I719" s="150">
        <f t="shared" si="419"/>
        <v>0</v>
      </c>
      <c r="J719" s="150">
        <f t="shared" si="419"/>
        <v>0</v>
      </c>
      <c r="K719" s="150">
        <f t="shared" si="419"/>
        <v>0</v>
      </c>
      <c r="L719" s="150">
        <f t="shared" si="419"/>
        <v>0</v>
      </c>
      <c r="M719" s="150">
        <f t="shared" si="419"/>
        <v>0</v>
      </c>
      <c r="N719" s="150">
        <f t="shared" si="419"/>
        <v>0</v>
      </c>
      <c r="O719" s="150">
        <f t="shared" si="419"/>
        <v>0</v>
      </c>
      <c r="P719" s="150">
        <f t="shared" si="419"/>
        <v>0</v>
      </c>
      <c r="Q719" s="150">
        <f t="shared" si="419"/>
        <v>0</v>
      </c>
      <c r="R719" s="150">
        <f t="shared" si="419"/>
        <v>0</v>
      </c>
      <c r="S719" s="150">
        <f t="shared" si="419"/>
        <v>0</v>
      </c>
      <c r="T719" s="150">
        <f t="shared" si="419"/>
        <v>0</v>
      </c>
      <c r="U719" s="150">
        <f t="shared" si="419"/>
        <v>0</v>
      </c>
      <c r="V719" s="150">
        <f t="shared" si="419"/>
        <v>0</v>
      </c>
      <c r="W719" s="150">
        <f t="shared" si="419"/>
        <v>0</v>
      </c>
      <c r="X719" s="150">
        <f t="shared" si="419"/>
        <v>0</v>
      </c>
      <c r="Y719" s="150">
        <f t="shared" si="419"/>
        <v>0</v>
      </c>
      <c r="Z719" s="150">
        <f t="shared" si="419"/>
        <v>0</v>
      </c>
      <c r="AA719" s="150">
        <f t="shared" si="419"/>
        <v>0</v>
      </c>
      <c r="AB719" s="150">
        <f t="shared" si="419"/>
        <v>0</v>
      </c>
      <c r="AC719" s="150">
        <f t="shared" si="419"/>
        <v>0</v>
      </c>
      <c r="AD719" s="150">
        <f t="shared" si="419"/>
        <v>0</v>
      </c>
      <c r="AE719" s="150">
        <f t="shared" si="419"/>
        <v>0</v>
      </c>
      <c r="AF719" s="150">
        <f t="shared" si="419"/>
        <v>0</v>
      </c>
      <c r="AG719" s="150">
        <f t="shared" si="419"/>
        <v>0</v>
      </c>
      <c r="AH719" s="150">
        <f t="shared" si="419"/>
        <v>0</v>
      </c>
      <c r="AI719" s="150">
        <f t="shared" si="419"/>
        <v>0</v>
      </c>
      <c r="AJ719" s="150">
        <f t="shared" si="419"/>
        <v>0</v>
      </c>
      <c r="AK719" s="150">
        <f t="shared" si="419"/>
        <v>0</v>
      </c>
      <c r="AL719" s="150">
        <f t="shared" si="419"/>
        <v>0</v>
      </c>
      <c r="AM719" s="150">
        <f t="shared" si="419"/>
        <v>0</v>
      </c>
      <c r="AN719" s="150">
        <f t="shared" si="419"/>
        <v>0</v>
      </c>
      <c r="AO719" s="150">
        <f t="shared" si="419"/>
        <v>0</v>
      </c>
      <c r="AP719" s="150">
        <f t="shared" si="419"/>
        <v>0</v>
      </c>
    </row>
    <row r="720" spans="1:42" x14ac:dyDescent="0.2">
      <c r="A720" s="4">
        <f t="shared" si="415"/>
        <v>7</v>
      </c>
      <c r="B720" s="173">
        <f t="shared" si="412"/>
        <v>0</v>
      </c>
      <c r="C720" s="150">
        <f t="shared" ref="C720:AP720" si="420">IF(C$2&gt;analysis_period,0,IF(C$2=equip3_reserve_freq*$A720,equip3_reserve_cost*system_capacity*1000*(1+inflation_rate/100)^B$2,0))</f>
        <v>0</v>
      </c>
      <c r="D720" s="150">
        <f t="shared" si="420"/>
        <v>0</v>
      </c>
      <c r="E720" s="150">
        <f t="shared" si="420"/>
        <v>0</v>
      </c>
      <c r="F720" s="150">
        <f t="shared" si="420"/>
        <v>0</v>
      </c>
      <c r="G720" s="150">
        <f t="shared" si="420"/>
        <v>0</v>
      </c>
      <c r="H720" s="150">
        <f t="shared" si="420"/>
        <v>0</v>
      </c>
      <c r="I720" s="150">
        <f t="shared" si="420"/>
        <v>0</v>
      </c>
      <c r="J720" s="150">
        <f t="shared" si="420"/>
        <v>0</v>
      </c>
      <c r="K720" s="150">
        <f t="shared" si="420"/>
        <v>0</v>
      </c>
      <c r="L720" s="150">
        <f t="shared" si="420"/>
        <v>0</v>
      </c>
      <c r="M720" s="150">
        <f t="shared" si="420"/>
        <v>0</v>
      </c>
      <c r="N720" s="150">
        <f t="shared" si="420"/>
        <v>0</v>
      </c>
      <c r="O720" s="150">
        <f t="shared" si="420"/>
        <v>0</v>
      </c>
      <c r="P720" s="150">
        <f t="shared" si="420"/>
        <v>0</v>
      </c>
      <c r="Q720" s="150">
        <f t="shared" si="420"/>
        <v>0</v>
      </c>
      <c r="R720" s="150">
        <f t="shared" si="420"/>
        <v>0</v>
      </c>
      <c r="S720" s="150">
        <f t="shared" si="420"/>
        <v>0</v>
      </c>
      <c r="T720" s="150">
        <f t="shared" si="420"/>
        <v>0</v>
      </c>
      <c r="U720" s="150">
        <f t="shared" si="420"/>
        <v>0</v>
      </c>
      <c r="V720" s="150">
        <f t="shared" si="420"/>
        <v>0</v>
      </c>
      <c r="W720" s="150">
        <f t="shared" si="420"/>
        <v>0</v>
      </c>
      <c r="X720" s="150">
        <f t="shared" si="420"/>
        <v>0</v>
      </c>
      <c r="Y720" s="150">
        <f t="shared" si="420"/>
        <v>0</v>
      </c>
      <c r="Z720" s="150">
        <f t="shared" si="420"/>
        <v>0</v>
      </c>
      <c r="AA720" s="150">
        <f t="shared" si="420"/>
        <v>0</v>
      </c>
      <c r="AB720" s="150">
        <f t="shared" si="420"/>
        <v>0</v>
      </c>
      <c r="AC720" s="150">
        <f t="shared" si="420"/>
        <v>0</v>
      </c>
      <c r="AD720" s="150">
        <f t="shared" si="420"/>
        <v>0</v>
      </c>
      <c r="AE720" s="150">
        <f t="shared" si="420"/>
        <v>0</v>
      </c>
      <c r="AF720" s="150">
        <f t="shared" si="420"/>
        <v>0</v>
      </c>
      <c r="AG720" s="150">
        <f t="shared" si="420"/>
        <v>0</v>
      </c>
      <c r="AH720" s="150">
        <f t="shared" si="420"/>
        <v>0</v>
      </c>
      <c r="AI720" s="150">
        <f t="shared" si="420"/>
        <v>0</v>
      </c>
      <c r="AJ720" s="150">
        <f t="shared" si="420"/>
        <v>0</v>
      </c>
      <c r="AK720" s="150">
        <f t="shared" si="420"/>
        <v>0</v>
      </c>
      <c r="AL720" s="150">
        <f t="shared" si="420"/>
        <v>0</v>
      </c>
      <c r="AM720" s="150">
        <f t="shared" si="420"/>
        <v>0</v>
      </c>
      <c r="AN720" s="150">
        <f t="shared" si="420"/>
        <v>0</v>
      </c>
      <c r="AO720" s="150">
        <f t="shared" si="420"/>
        <v>0</v>
      </c>
      <c r="AP720" s="150">
        <f t="shared" si="420"/>
        <v>0</v>
      </c>
    </row>
    <row r="721" spans="1:42" x14ac:dyDescent="0.2">
      <c r="A721" s="4">
        <f t="shared" si="415"/>
        <v>8</v>
      </c>
      <c r="B721" s="173">
        <f t="shared" si="412"/>
        <v>0</v>
      </c>
      <c r="C721" s="150">
        <f t="shared" ref="C721:AP721" si="421">IF(C$2&gt;analysis_period,0,IF(C$2=equip3_reserve_freq*$A721,equip3_reserve_cost*system_capacity*1000*(1+inflation_rate/100)^B$2,0))</f>
        <v>0</v>
      </c>
      <c r="D721" s="150">
        <f t="shared" si="421"/>
        <v>0</v>
      </c>
      <c r="E721" s="150">
        <f t="shared" si="421"/>
        <v>0</v>
      </c>
      <c r="F721" s="150">
        <f t="shared" si="421"/>
        <v>0</v>
      </c>
      <c r="G721" s="150">
        <f t="shared" si="421"/>
        <v>0</v>
      </c>
      <c r="H721" s="150">
        <f t="shared" si="421"/>
        <v>0</v>
      </c>
      <c r="I721" s="150">
        <f t="shared" si="421"/>
        <v>0</v>
      </c>
      <c r="J721" s="150">
        <f t="shared" si="421"/>
        <v>0</v>
      </c>
      <c r="K721" s="150">
        <f t="shared" si="421"/>
        <v>0</v>
      </c>
      <c r="L721" s="150">
        <f t="shared" si="421"/>
        <v>0</v>
      </c>
      <c r="M721" s="150">
        <f t="shared" si="421"/>
        <v>0</v>
      </c>
      <c r="N721" s="150">
        <f t="shared" si="421"/>
        <v>0</v>
      </c>
      <c r="O721" s="150">
        <f t="shared" si="421"/>
        <v>0</v>
      </c>
      <c r="P721" s="150">
        <f t="shared" si="421"/>
        <v>0</v>
      </c>
      <c r="Q721" s="150">
        <f t="shared" si="421"/>
        <v>0</v>
      </c>
      <c r="R721" s="150">
        <f t="shared" si="421"/>
        <v>0</v>
      </c>
      <c r="S721" s="150">
        <f t="shared" si="421"/>
        <v>0</v>
      </c>
      <c r="T721" s="150">
        <f t="shared" si="421"/>
        <v>0</v>
      </c>
      <c r="U721" s="150">
        <f t="shared" si="421"/>
        <v>0</v>
      </c>
      <c r="V721" s="150">
        <f t="shared" si="421"/>
        <v>0</v>
      </c>
      <c r="W721" s="150">
        <f t="shared" si="421"/>
        <v>0</v>
      </c>
      <c r="X721" s="150">
        <f t="shared" si="421"/>
        <v>0</v>
      </c>
      <c r="Y721" s="150">
        <f t="shared" si="421"/>
        <v>0</v>
      </c>
      <c r="Z721" s="150">
        <f t="shared" si="421"/>
        <v>0</v>
      </c>
      <c r="AA721" s="150">
        <f t="shared" si="421"/>
        <v>0</v>
      </c>
      <c r="AB721" s="150">
        <f t="shared" si="421"/>
        <v>0</v>
      </c>
      <c r="AC721" s="150">
        <f t="shared" si="421"/>
        <v>0</v>
      </c>
      <c r="AD721" s="150">
        <f t="shared" si="421"/>
        <v>0</v>
      </c>
      <c r="AE721" s="150">
        <f t="shared" si="421"/>
        <v>0</v>
      </c>
      <c r="AF721" s="150">
        <f t="shared" si="421"/>
        <v>0</v>
      </c>
      <c r="AG721" s="150">
        <f t="shared" si="421"/>
        <v>0</v>
      </c>
      <c r="AH721" s="150">
        <f t="shared" si="421"/>
        <v>0</v>
      </c>
      <c r="AI721" s="150">
        <f t="shared" si="421"/>
        <v>0</v>
      </c>
      <c r="AJ721" s="150">
        <f t="shared" si="421"/>
        <v>0</v>
      </c>
      <c r="AK721" s="150">
        <f t="shared" si="421"/>
        <v>0</v>
      </c>
      <c r="AL721" s="150">
        <f t="shared" si="421"/>
        <v>0</v>
      </c>
      <c r="AM721" s="150">
        <f t="shared" si="421"/>
        <v>0</v>
      </c>
      <c r="AN721" s="150">
        <f t="shared" si="421"/>
        <v>0</v>
      </c>
      <c r="AO721" s="150">
        <f t="shared" si="421"/>
        <v>0</v>
      </c>
      <c r="AP721" s="150">
        <f t="shared" si="421"/>
        <v>0</v>
      </c>
    </row>
    <row r="722" spans="1:42" x14ac:dyDescent="0.2">
      <c r="A722" s="4">
        <f>A721+1</f>
        <v>9</v>
      </c>
      <c r="B722" s="173">
        <f t="shared" si="412"/>
        <v>0</v>
      </c>
      <c r="C722" s="150">
        <f t="shared" ref="C722:AP722" si="422">IF(C$2&gt;analysis_period,0,IF(C$2=equip3_reserve_freq*$A722,equip3_reserve_cost*system_capacity*1000*(1+inflation_rate/100)^B$2,0))</f>
        <v>0</v>
      </c>
      <c r="D722" s="150">
        <f t="shared" si="422"/>
        <v>0</v>
      </c>
      <c r="E722" s="150">
        <f t="shared" si="422"/>
        <v>0</v>
      </c>
      <c r="F722" s="150">
        <f t="shared" si="422"/>
        <v>0</v>
      </c>
      <c r="G722" s="150">
        <f t="shared" si="422"/>
        <v>0</v>
      </c>
      <c r="H722" s="150">
        <f t="shared" si="422"/>
        <v>0</v>
      </c>
      <c r="I722" s="150">
        <f t="shared" si="422"/>
        <v>0</v>
      </c>
      <c r="J722" s="150">
        <f t="shared" si="422"/>
        <v>0</v>
      </c>
      <c r="K722" s="150">
        <f t="shared" si="422"/>
        <v>0</v>
      </c>
      <c r="L722" s="150">
        <f t="shared" si="422"/>
        <v>0</v>
      </c>
      <c r="M722" s="150">
        <f t="shared" si="422"/>
        <v>0</v>
      </c>
      <c r="N722" s="150">
        <f t="shared" si="422"/>
        <v>0</v>
      </c>
      <c r="O722" s="150">
        <f t="shared" si="422"/>
        <v>0</v>
      </c>
      <c r="P722" s="150">
        <f t="shared" si="422"/>
        <v>0</v>
      </c>
      <c r="Q722" s="150">
        <f t="shared" si="422"/>
        <v>0</v>
      </c>
      <c r="R722" s="150">
        <f t="shared" si="422"/>
        <v>0</v>
      </c>
      <c r="S722" s="150">
        <f t="shared" si="422"/>
        <v>0</v>
      </c>
      <c r="T722" s="150">
        <f t="shared" si="422"/>
        <v>0</v>
      </c>
      <c r="U722" s="150">
        <f t="shared" si="422"/>
        <v>0</v>
      </c>
      <c r="V722" s="150">
        <f t="shared" si="422"/>
        <v>0</v>
      </c>
      <c r="W722" s="150">
        <f t="shared" si="422"/>
        <v>0</v>
      </c>
      <c r="X722" s="150">
        <f t="shared" si="422"/>
        <v>0</v>
      </c>
      <c r="Y722" s="150">
        <f t="shared" si="422"/>
        <v>0</v>
      </c>
      <c r="Z722" s="150">
        <f t="shared" si="422"/>
        <v>0</v>
      </c>
      <c r="AA722" s="150">
        <f t="shared" si="422"/>
        <v>0</v>
      </c>
      <c r="AB722" s="150">
        <f t="shared" si="422"/>
        <v>0</v>
      </c>
      <c r="AC722" s="150">
        <f t="shared" si="422"/>
        <v>0</v>
      </c>
      <c r="AD722" s="150">
        <f t="shared" si="422"/>
        <v>0</v>
      </c>
      <c r="AE722" s="150">
        <f t="shared" si="422"/>
        <v>0</v>
      </c>
      <c r="AF722" s="150">
        <f t="shared" si="422"/>
        <v>0</v>
      </c>
      <c r="AG722" s="150">
        <f t="shared" si="422"/>
        <v>0</v>
      </c>
      <c r="AH722" s="150">
        <f t="shared" si="422"/>
        <v>0</v>
      </c>
      <c r="AI722" s="150">
        <f t="shared" si="422"/>
        <v>0</v>
      </c>
      <c r="AJ722" s="150">
        <f t="shared" si="422"/>
        <v>0</v>
      </c>
      <c r="AK722" s="150">
        <f t="shared" si="422"/>
        <v>0</v>
      </c>
      <c r="AL722" s="150">
        <f t="shared" si="422"/>
        <v>0</v>
      </c>
      <c r="AM722" s="150">
        <f t="shared" si="422"/>
        <v>0</v>
      </c>
      <c r="AN722" s="150">
        <f t="shared" si="422"/>
        <v>0</v>
      </c>
      <c r="AO722" s="150">
        <f t="shared" si="422"/>
        <v>0</v>
      </c>
      <c r="AP722" s="150">
        <f t="shared" si="422"/>
        <v>0</v>
      </c>
    </row>
    <row r="723" spans="1:42" x14ac:dyDescent="0.2">
      <c r="A723" s="4">
        <f t="shared" si="415"/>
        <v>10</v>
      </c>
      <c r="B723" s="173">
        <f t="shared" si="412"/>
        <v>0</v>
      </c>
      <c r="C723" s="150">
        <f t="shared" ref="C723:AP723" si="423">IF(C$2&gt;analysis_period,0,IF(C$2=equip3_reserve_freq*$A723,equip3_reserve_cost*system_capacity*1000*(1+inflation_rate/100)^B$2,0))</f>
        <v>0</v>
      </c>
      <c r="D723" s="150">
        <f t="shared" si="423"/>
        <v>0</v>
      </c>
      <c r="E723" s="150">
        <f t="shared" si="423"/>
        <v>0</v>
      </c>
      <c r="F723" s="150">
        <f t="shared" si="423"/>
        <v>0</v>
      </c>
      <c r="G723" s="150">
        <f t="shared" si="423"/>
        <v>0</v>
      </c>
      <c r="H723" s="150">
        <f t="shared" si="423"/>
        <v>0</v>
      </c>
      <c r="I723" s="150">
        <f t="shared" si="423"/>
        <v>0</v>
      </c>
      <c r="J723" s="150">
        <f t="shared" si="423"/>
        <v>0</v>
      </c>
      <c r="K723" s="150">
        <f t="shared" si="423"/>
        <v>0</v>
      </c>
      <c r="L723" s="150">
        <f t="shared" si="423"/>
        <v>0</v>
      </c>
      <c r="M723" s="150">
        <f t="shared" si="423"/>
        <v>0</v>
      </c>
      <c r="N723" s="150">
        <f t="shared" si="423"/>
        <v>0</v>
      </c>
      <c r="O723" s="150">
        <f t="shared" si="423"/>
        <v>0</v>
      </c>
      <c r="P723" s="150">
        <f t="shared" si="423"/>
        <v>0</v>
      </c>
      <c r="Q723" s="150">
        <f t="shared" si="423"/>
        <v>0</v>
      </c>
      <c r="R723" s="150">
        <f t="shared" si="423"/>
        <v>0</v>
      </c>
      <c r="S723" s="150">
        <f t="shared" si="423"/>
        <v>0</v>
      </c>
      <c r="T723" s="150">
        <f t="shared" si="423"/>
        <v>0</v>
      </c>
      <c r="U723" s="150">
        <f t="shared" si="423"/>
        <v>0</v>
      </c>
      <c r="V723" s="150">
        <f t="shared" si="423"/>
        <v>0</v>
      </c>
      <c r="W723" s="150">
        <f t="shared" si="423"/>
        <v>0</v>
      </c>
      <c r="X723" s="150">
        <f t="shared" si="423"/>
        <v>0</v>
      </c>
      <c r="Y723" s="150">
        <f t="shared" si="423"/>
        <v>0</v>
      </c>
      <c r="Z723" s="150">
        <f t="shared" si="423"/>
        <v>0</v>
      </c>
      <c r="AA723" s="150">
        <f t="shared" si="423"/>
        <v>0</v>
      </c>
      <c r="AB723" s="150">
        <f t="shared" si="423"/>
        <v>0</v>
      </c>
      <c r="AC723" s="150">
        <f t="shared" si="423"/>
        <v>0</v>
      </c>
      <c r="AD723" s="150">
        <f t="shared" si="423"/>
        <v>0</v>
      </c>
      <c r="AE723" s="150">
        <f t="shared" si="423"/>
        <v>0</v>
      </c>
      <c r="AF723" s="150">
        <f t="shared" si="423"/>
        <v>0</v>
      </c>
      <c r="AG723" s="150">
        <f t="shared" si="423"/>
        <v>0</v>
      </c>
      <c r="AH723" s="150">
        <f t="shared" si="423"/>
        <v>0</v>
      </c>
      <c r="AI723" s="150">
        <f t="shared" si="423"/>
        <v>0</v>
      </c>
      <c r="AJ723" s="150">
        <f t="shared" si="423"/>
        <v>0</v>
      </c>
      <c r="AK723" s="150">
        <f t="shared" si="423"/>
        <v>0</v>
      </c>
      <c r="AL723" s="150">
        <f t="shared" si="423"/>
        <v>0</v>
      </c>
      <c r="AM723" s="150">
        <f t="shared" si="423"/>
        <v>0</v>
      </c>
      <c r="AN723" s="150">
        <f t="shared" si="423"/>
        <v>0</v>
      </c>
      <c r="AO723" s="150">
        <f t="shared" si="423"/>
        <v>0</v>
      </c>
      <c r="AP723" s="150">
        <f t="shared" si="423"/>
        <v>0</v>
      </c>
    </row>
    <row r="724" spans="1:42" x14ac:dyDescent="0.2">
      <c r="A724" s="24" t="s">
        <v>12</v>
      </c>
      <c r="B724" s="14"/>
      <c r="C724" s="150">
        <f>SUM(C714:C723)</f>
        <v>0</v>
      </c>
      <c r="D724" s="150">
        <f t="shared" ref="D724:AP724" si="424">SUM(D714:D723)</f>
        <v>0</v>
      </c>
      <c r="E724" s="150">
        <f t="shared" si="424"/>
        <v>0</v>
      </c>
      <c r="F724" s="150">
        <f t="shared" si="424"/>
        <v>0</v>
      </c>
      <c r="G724" s="150">
        <f t="shared" si="424"/>
        <v>0</v>
      </c>
      <c r="H724" s="150">
        <f t="shared" si="424"/>
        <v>0</v>
      </c>
      <c r="I724" s="150">
        <f t="shared" si="424"/>
        <v>0</v>
      </c>
      <c r="J724" s="150">
        <f t="shared" si="424"/>
        <v>0</v>
      </c>
      <c r="K724" s="150">
        <f t="shared" si="424"/>
        <v>0</v>
      </c>
      <c r="L724" s="150">
        <f t="shared" si="424"/>
        <v>0</v>
      </c>
      <c r="M724" s="150">
        <f t="shared" si="424"/>
        <v>0</v>
      </c>
      <c r="N724" s="150">
        <f t="shared" si="424"/>
        <v>0</v>
      </c>
      <c r="O724" s="150">
        <f t="shared" si="424"/>
        <v>0</v>
      </c>
      <c r="P724" s="150">
        <f t="shared" si="424"/>
        <v>0</v>
      </c>
      <c r="Q724" s="150">
        <f t="shared" si="424"/>
        <v>0</v>
      </c>
      <c r="R724" s="150">
        <f t="shared" si="424"/>
        <v>0</v>
      </c>
      <c r="S724" s="150">
        <f t="shared" si="424"/>
        <v>0</v>
      </c>
      <c r="T724" s="150">
        <f t="shared" si="424"/>
        <v>0</v>
      </c>
      <c r="U724" s="150">
        <f t="shared" si="424"/>
        <v>0</v>
      </c>
      <c r="V724" s="150">
        <f t="shared" si="424"/>
        <v>0</v>
      </c>
      <c r="W724" s="150">
        <f t="shared" si="424"/>
        <v>0</v>
      </c>
      <c r="X724" s="150">
        <f t="shared" si="424"/>
        <v>0</v>
      </c>
      <c r="Y724" s="150">
        <f t="shared" si="424"/>
        <v>0</v>
      </c>
      <c r="Z724" s="150">
        <f t="shared" si="424"/>
        <v>0</v>
      </c>
      <c r="AA724" s="150">
        <f t="shared" si="424"/>
        <v>0</v>
      </c>
      <c r="AB724" s="150">
        <f t="shared" si="424"/>
        <v>0</v>
      </c>
      <c r="AC724" s="150">
        <f t="shared" si="424"/>
        <v>0</v>
      </c>
      <c r="AD724" s="150">
        <f t="shared" si="424"/>
        <v>0</v>
      </c>
      <c r="AE724" s="150">
        <f t="shared" si="424"/>
        <v>0</v>
      </c>
      <c r="AF724" s="150">
        <f t="shared" si="424"/>
        <v>0</v>
      </c>
      <c r="AG724" s="150">
        <f t="shared" si="424"/>
        <v>0</v>
      </c>
      <c r="AH724" s="150">
        <f t="shared" si="424"/>
        <v>0</v>
      </c>
      <c r="AI724" s="150">
        <f t="shared" si="424"/>
        <v>0</v>
      </c>
      <c r="AJ724" s="150">
        <f t="shared" si="424"/>
        <v>0</v>
      </c>
      <c r="AK724" s="150">
        <f t="shared" si="424"/>
        <v>0</v>
      </c>
      <c r="AL724" s="150">
        <f t="shared" si="424"/>
        <v>0</v>
      </c>
      <c r="AM724" s="150">
        <f t="shared" si="424"/>
        <v>0</v>
      </c>
      <c r="AN724" s="150">
        <f t="shared" si="424"/>
        <v>0</v>
      </c>
      <c r="AO724" s="150">
        <f t="shared" si="424"/>
        <v>0</v>
      </c>
      <c r="AP724" s="150">
        <f t="shared" si="424"/>
        <v>0</v>
      </c>
    </row>
    <row r="725" spans="1:42" x14ac:dyDescent="0.2">
      <c r="A725" s="4" t="s">
        <v>279</v>
      </c>
    </row>
    <row r="726" spans="1:42" x14ac:dyDescent="0.2">
      <c r="A726" s="4">
        <v>1</v>
      </c>
      <c r="B726" s="173">
        <f t="shared" ref="B726:B735" si="425">SUM(C726:AP726)</f>
        <v>0</v>
      </c>
      <c r="C726" s="150">
        <f t="shared" ref="C726:AP726" si="426">IF(C$2&lt;=equip3_reserve_freq*$A$714,$B$714/(equip3_reserve_freq),0)</f>
        <v>0</v>
      </c>
      <c r="D726" s="150">
        <f t="shared" si="426"/>
        <v>0</v>
      </c>
      <c r="E726" s="150">
        <f t="shared" si="426"/>
        <v>0</v>
      </c>
      <c r="F726" s="150">
        <f t="shared" si="426"/>
        <v>0</v>
      </c>
      <c r="G726" s="150">
        <f t="shared" si="426"/>
        <v>0</v>
      </c>
      <c r="H726" s="150">
        <f t="shared" si="426"/>
        <v>0</v>
      </c>
      <c r="I726" s="150">
        <f t="shared" si="426"/>
        <v>0</v>
      </c>
      <c r="J726" s="150">
        <f t="shared" si="426"/>
        <v>0</v>
      </c>
      <c r="K726" s="150">
        <f t="shared" si="426"/>
        <v>0</v>
      </c>
      <c r="L726" s="150">
        <f t="shared" si="426"/>
        <v>0</v>
      </c>
      <c r="M726" s="150">
        <f t="shared" si="426"/>
        <v>0</v>
      </c>
      <c r="N726" s="150">
        <f t="shared" si="426"/>
        <v>0</v>
      </c>
      <c r="O726" s="150">
        <f t="shared" si="426"/>
        <v>0</v>
      </c>
      <c r="P726" s="150">
        <f t="shared" si="426"/>
        <v>0</v>
      </c>
      <c r="Q726" s="150">
        <f t="shared" si="426"/>
        <v>0</v>
      </c>
      <c r="R726" s="150">
        <f t="shared" si="426"/>
        <v>0</v>
      </c>
      <c r="S726" s="150">
        <f t="shared" si="426"/>
        <v>0</v>
      </c>
      <c r="T726" s="150">
        <f t="shared" si="426"/>
        <v>0</v>
      </c>
      <c r="U726" s="150">
        <f t="shared" si="426"/>
        <v>0</v>
      </c>
      <c r="V726" s="150">
        <f t="shared" si="426"/>
        <v>0</v>
      </c>
      <c r="W726" s="150">
        <f t="shared" si="426"/>
        <v>0</v>
      </c>
      <c r="X726" s="150">
        <f t="shared" si="426"/>
        <v>0</v>
      </c>
      <c r="Y726" s="150">
        <f t="shared" si="426"/>
        <v>0</v>
      </c>
      <c r="Z726" s="150">
        <f t="shared" si="426"/>
        <v>0</v>
      </c>
      <c r="AA726" s="150">
        <f t="shared" si="426"/>
        <v>0</v>
      </c>
      <c r="AB726" s="150">
        <f t="shared" si="426"/>
        <v>0</v>
      </c>
      <c r="AC726" s="150">
        <f t="shared" si="426"/>
        <v>0</v>
      </c>
      <c r="AD726" s="150">
        <f t="shared" si="426"/>
        <v>0</v>
      </c>
      <c r="AE726" s="150">
        <f t="shared" si="426"/>
        <v>0</v>
      </c>
      <c r="AF726" s="150">
        <f t="shared" si="426"/>
        <v>0</v>
      </c>
      <c r="AG726" s="150">
        <f t="shared" si="426"/>
        <v>0</v>
      </c>
      <c r="AH726" s="150">
        <f t="shared" si="426"/>
        <v>0</v>
      </c>
      <c r="AI726" s="150">
        <f t="shared" si="426"/>
        <v>0</v>
      </c>
      <c r="AJ726" s="150">
        <f t="shared" si="426"/>
        <v>0</v>
      </c>
      <c r="AK726" s="150">
        <f t="shared" si="426"/>
        <v>0</v>
      </c>
      <c r="AL726" s="150">
        <f t="shared" si="426"/>
        <v>0</v>
      </c>
      <c r="AM726" s="150">
        <f t="shared" si="426"/>
        <v>0</v>
      </c>
      <c r="AN726" s="150">
        <f t="shared" si="426"/>
        <v>0</v>
      </c>
      <c r="AO726" s="150">
        <f t="shared" si="426"/>
        <v>0</v>
      </c>
      <c r="AP726" s="150">
        <f t="shared" si="426"/>
        <v>0</v>
      </c>
    </row>
    <row r="727" spans="1:42" x14ac:dyDescent="0.2">
      <c r="A727" s="4">
        <f>A726+1</f>
        <v>2</v>
      </c>
      <c r="B727" s="173">
        <f t="shared" si="425"/>
        <v>0</v>
      </c>
      <c r="C727" s="150">
        <f t="shared" ref="C727:AP727" si="427">IF(AND(C$2&gt;equip3_reserve_freq*$A714,C$2&lt;=equip3_reserve_freq*$A715),$B715/(equip3_reserve_freq),0)</f>
        <v>0</v>
      </c>
      <c r="D727" s="150">
        <f t="shared" si="427"/>
        <v>0</v>
      </c>
      <c r="E727" s="150">
        <f t="shared" si="427"/>
        <v>0</v>
      </c>
      <c r="F727" s="150">
        <f t="shared" si="427"/>
        <v>0</v>
      </c>
      <c r="G727" s="150">
        <f t="shared" si="427"/>
        <v>0</v>
      </c>
      <c r="H727" s="150">
        <f t="shared" si="427"/>
        <v>0</v>
      </c>
      <c r="I727" s="150">
        <f t="shared" si="427"/>
        <v>0</v>
      </c>
      <c r="J727" s="150">
        <f t="shared" si="427"/>
        <v>0</v>
      </c>
      <c r="K727" s="150">
        <f t="shared" si="427"/>
        <v>0</v>
      </c>
      <c r="L727" s="150">
        <f t="shared" si="427"/>
        <v>0</v>
      </c>
      <c r="M727" s="150">
        <f t="shared" si="427"/>
        <v>0</v>
      </c>
      <c r="N727" s="150">
        <f t="shared" si="427"/>
        <v>0</v>
      </c>
      <c r="O727" s="150">
        <f t="shared" si="427"/>
        <v>0</v>
      </c>
      <c r="P727" s="150">
        <f t="shared" si="427"/>
        <v>0</v>
      </c>
      <c r="Q727" s="150">
        <f t="shared" si="427"/>
        <v>0</v>
      </c>
      <c r="R727" s="150">
        <f t="shared" si="427"/>
        <v>0</v>
      </c>
      <c r="S727" s="150">
        <f t="shared" si="427"/>
        <v>0</v>
      </c>
      <c r="T727" s="150">
        <f t="shared" si="427"/>
        <v>0</v>
      </c>
      <c r="U727" s="150">
        <f t="shared" si="427"/>
        <v>0</v>
      </c>
      <c r="V727" s="150">
        <f t="shared" si="427"/>
        <v>0</v>
      </c>
      <c r="W727" s="150">
        <f t="shared" si="427"/>
        <v>0</v>
      </c>
      <c r="X727" s="150">
        <f t="shared" si="427"/>
        <v>0</v>
      </c>
      <c r="Y727" s="150">
        <f t="shared" si="427"/>
        <v>0</v>
      </c>
      <c r="Z727" s="150">
        <f t="shared" si="427"/>
        <v>0</v>
      </c>
      <c r="AA727" s="150">
        <f t="shared" si="427"/>
        <v>0</v>
      </c>
      <c r="AB727" s="150">
        <f t="shared" si="427"/>
        <v>0</v>
      </c>
      <c r="AC727" s="150">
        <f t="shared" si="427"/>
        <v>0</v>
      </c>
      <c r="AD727" s="150">
        <f t="shared" si="427"/>
        <v>0</v>
      </c>
      <c r="AE727" s="150">
        <f t="shared" si="427"/>
        <v>0</v>
      </c>
      <c r="AF727" s="150">
        <f t="shared" si="427"/>
        <v>0</v>
      </c>
      <c r="AG727" s="150">
        <f t="shared" si="427"/>
        <v>0</v>
      </c>
      <c r="AH727" s="150">
        <f t="shared" si="427"/>
        <v>0</v>
      </c>
      <c r="AI727" s="150">
        <f t="shared" si="427"/>
        <v>0</v>
      </c>
      <c r="AJ727" s="150">
        <f t="shared" si="427"/>
        <v>0</v>
      </c>
      <c r="AK727" s="150">
        <f t="shared" si="427"/>
        <v>0</v>
      </c>
      <c r="AL727" s="150">
        <f t="shared" si="427"/>
        <v>0</v>
      </c>
      <c r="AM727" s="150">
        <f t="shared" si="427"/>
        <v>0</v>
      </c>
      <c r="AN727" s="150">
        <f t="shared" si="427"/>
        <v>0</v>
      </c>
      <c r="AO727" s="150">
        <f t="shared" si="427"/>
        <v>0</v>
      </c>
      <c r="AP727" s="150">
        <f t="shared" si="427"/>
        <v>0</v>
      </c>
    </row>
    <row r="728" spans="1:42" x14ac:dyDescent="0.2">
      <c r="A728" s="4">
        <f t="shared" ref="A728:A733" si="428">A727+1</f>
        <v>3</v>
      </c>
      <c r="B728" s="173">
        <f t="shared" si="425"/>
        <v>0</v>
      </c>
      <c r="C728" s="150">
        <f t="shared" ref="C728:AP728" si="429">IF(AND(C$2&gt;equip3_reserve_freq*$A715,C$2&lt;=equip3_reserve_freq*$A716),$B716/(equip3_reserve_freq),0)</f>
        <v>0</v>
      </c>
      <c r="D728" s="150">
        <f t="shared" si="429"/>
        <v>0</v>
      </c>
      <c r="E728" s="150">
        <f t="shared" si="429"/>
        <v>0</v>
      </c>
      <c r="F728" s="150">
        <f t="shared" si="429"/>
        <v>0</v>
      </c>
      <c r="G728" s="150">
        <f t="shared" si="429"/>
        <v>0</v>
      </c>
      <c r="H728" s="150">
        <f t="shared" si="429"/>
        <v>0</v>
      </c>
      <c r="I728" s="150">
        <f t="shared" si="429"/>
        <v>0</v>
      </c>
      <c r="J728" s="150">
        <f t="shared" si="429"/>
        <v>0</v>
      </c>
      <c r="K728" s="150">
        <f t="shared" si="429"/>
        <v>0</v>
      </c>
      <c r="L728" s="150">
        <f t="shared" si="429"/>
        <v>0</v>
      </c>
      <c r="M728" s="150">
        <f t="shared" si="429"/>
        <v>0</v>
      </c>
      <c r="N728" s="150">
        <f t="shared" si="429"/>
        <v>0</v>
      </c>
      <c r="O728" s="150">
        <f t="shared" si="429"/>
        <v>0</v>
      </c>
      <c r="P728" s="150">
        <f t="shared" si="429"/>
        <v>0</v>
      </c>
      <c r="Q728" s="150">
        <f t="shared" si="429"/>
        <v>0</v>
      </c>
      <c r="R728" s="150">
        <f t="shared" si="429"/>
        <v>0</v>
      </c>
      <c r="S728" s="150">
        <f t="shared" si="429"/>
        <v>0</v>
      </c>
      <c r="T728" s="150">
        <f t="shared" si="429"/>
        <v>0</v>
      </c>
      <c r="U728" s="150">
        <f t="shared" si="429"/>
        <v>0</v>
      </c>
      <c r="V728" s="150">
        <f t="shared" si="429"/>
        <v>0</v>
      </c>
      <c r="W728" s="150">
        <f t="shared" si="429"/>
        <v>0</v>
      </c>
      <c r="X728" s="150">
        <f t="shared" si="429"/>
        <v>0</v>
      </c>
      <c r="Y728" s="150">
        <f t="shared" si="429"/>
        <v>0</v>
      </c>
      <c r="Z728" s="150">
        <f t="shared" si="429"/>
        <v>0</v>
      </c>
      <c r="AA728" s="150">
        <f t="shared" si="429"/>
        <v>0</v>
      </c>
      <c r="AB728" s="150">
        <f t="shared" si="429"/>
        <v>0</v>
      </c>
      <c r="AC728" s="150">
        <f t="shared" si="429"/>
        <v>0</v>
      </c>
      <c r="AD728" s="150">
        <f t="shared" si="429"/>
        <v>0</v>
      </c>
      <c r="AE728" s="150">
        <f t="shared" si="429"/>
        <v>0</v>
      </c>
      <c r="AF728" s="150">
        <f t="shared" si="429"/>
        <v>0</v>
      </c>
      <c r="AG728" s="150">
        <f t="shared" si="429"/>
        <v>0</v>
      </c>
      <c r="AH728" s="150">
        <f t="shared" si="429"/>
        <v>0</v>
      </c>
      <c r="AI728" s="150">
        <f t="shared" si="429"/>
        <v>0</v>
      </c>
      <c r="AJ728" s="150">
        <f t="shared" si="429"/>
        <v>0</v>
      </c>
      <c r="AK728" s="150">
        <f t="shared" si="429"/>
        <v>0</v>
      </c>
      <c r="AL728" s="150">
        <f t="shared" si="429"/>
        <v>0</v>
      </c>
      <c r="AM728" s="150">
        <f t="shared" si="429"/>
        <v>0</v>
      </c>
      <c r="AN728" s="150">
        <f t="shared" si="429"/>
        <v>0</v>
      </c>
      <c r="AO728" s="150">
        <f t="shared" si="429"/>
        <v>0</v>
      </c>
      <c r="AP728" s="150">
        <f t="shared" si="429"/>
        <v>0</v>
      </c>
    </row>
    <row r="729" spans="1:42" x14ac:dyDescent="0.2">
      <c r="A729" s="4">
        <f t="shared" si="428"/>
        <v>4</v>
      </c>
      <c r="B729" s="173">
        <f t="shared" si="425"/>
        <v>0</v>
      </c>
      <c r="C729" s="150">
        <f t="shared" ref="C729:AP729" si="430">IF(AND(C$2&gt;equip3_reserve_freq*$A716,C$2&lt;=equip3_reserve_freq*$A717),$B717/(equip3_reserve_freq),0)</f>
        <v>0</v>
      </c>
      <c r="D729" s="150">
        <f t="shared" si="430"/>
        <v>0</v>
      </c>
      <c r="E729" s="150">
        <f t="shared" si="430"/>
        <v>0</v>
      </c>
      <c r="F729" s="150">
        <f t="shared" si="430"/>
        <v>0</v>
      </c>
      <c r="G729" s="150">
        <f t="shared" si="430"/>
        <v>0</v>
      </c>
      <c r="H729" s="150">
        <f t="shared" si="430"/>
        <v>0</v>
      </c>
      <c r="I729" s="150">
        <f t="shared" si="430"/>
        <v>0</v>
      </c>
      <c r="J729" s="150">
        <f t="shared" si="430"/>
        <v>0</v>
      </c>
      <c r="K729" s="150">
        <f t="shared" si="430"/>
        <v>0</v>
      </c>
      <c r="L729" s="150">
        <f t="shared" si="430"/>
        <v>0</v>
      </c>
      <c r="M729" s="150">
        <f t="shared" si="430"/>
        <v>0</v>
      </c>
      <c r="N729" s="150">
        <f t="shared" si="430"/>
        <v>0</v>
      </c>
      <c r="O729" s="150">
        <f t="shared" si="430"/>
        <v>0</v>
      </c>
      <c r="P729" s="150">
        <f t="shared" si="430"/>
        <v>0</v>
      </c>
      <c r="Q729" s="150">
        <f t="shared" si="430"/>
        <v>0</v>
      </c>
      <c r="R729" s="150">
        <f t="shared" si="430"/>
        <v>0</v>
      </c>
      <c r="S729" s="150">
        <f t="shared" si="430"/>
        <v>0</v>
      </c>
      <c r="T729" s="150">
        <f t="shared" si="430"/>
        <v>0</v>
      </c>
      <c r="U729" s="150">
        <f t="shared" si="430"/>
        <v>0</v>
      </c>
      <c r="V729" s="150">
        <f t="shared" si="430"/>
        <v>0</v>
      </c>
      <c r="W729" s="150">
        <f t="shared" si="430"/>
        <v>0</v>
      </c>
      <c r="X729" s="150">
        <f t="shared" si="430"/>
        <v>0</v>
      </c>
      <c r="Y729" s="150">
        <f t="shared" si="430"/>
        <v>0</v>
      </c>
      <c r="Z729" s="150">
        <f t="shared" si="430"/>
        <v>0</v>
      </c>
      <c r="AA729" s="150">
        <f t="shared" si="430"/>
        <v>0</v>
      </c>
      <c r="AB729" s="150">
        <f t="shared" si="430"/>
        <v>0</v>
      </c>
      <c r="AC729" s="150">
        <f t="shared" si="430"/>
        <v>0</v>
      </c>
      <c r="AD729" s="150">
        <f t="shared" si="430"/>
        <v>0</v>
      </c>
      <c r="AE729" s="150">
        <f t="shared" si="430"/>
        <v>0</v>
      </c>
      <c r="AF729" s="150">
        <f t="shared" si="430"/>
        <v>0</v>
      </c>
      <c r="AG729" s="150">
        <f t="shared" si="430"/>
        <v>0</v>
      </c>
      <c r="AH729" s="150">
        <f t="shared" si="430"/>
        <v>0</v>
      </c>
      <c r="AI729" s="150">
        <f t="shared" si="430"/>
        <v>0</v>
      </c>
      <c r="AJ729" s="150">
        <f t="shared" si="430"/>
        <v>0</v>
      </c>
      <c r="AK729" s="150">
        <f t="shared" si="430"/>
        <v>0</v>
      </c>
      <c r="AL729" s="150">
        <f t="shared" si="430"/>
        <v>0</v>
      </c>
      <c r="AM729" s="150">
        <f t="shared" si="430"/>
        <v>0</v>
      </c>
      <c r="AN729" s="150">
        <f t="shared" si="430"/>
        <v>0</v>
      </c>
      <c r="AO729" s="150">
        <f t="shared" si="430"/>
        <v>0</v>
      </c>
      <c r="AP729" s="150">
        <f t="shared" si="430"/>
        <v>0</v>
      </c>
    </row>
    <row r="730" spans="1:42" x14ac:dyDescent="0.2">
      <c r="A730" s="4">
        <f t="shared" si="428"/>
        <v>5</v>
      </c>
      <c r="B730" s="173">
        <f t="shared" si="425"/>
        <v>0</v>
      </c>
      <c r="C730" s="150">
        <f t="shared" ref="C730:AP730" si="431">IF(AND(C$2&gt;equip3_reserve_freq*$A717,C$2&lt;=equip3_reserve_freq*$A718),$B718/(equip3_reserve_freq),0)</f>
        <v>0</v>
      </c>
      <c r="D730" s="150">
        <f t="shared" si="431"/>
        <v>0</v>
      </c>
      <c r="E730" s="150">
        <f t="shared" si="431"/>
        <v>0</v>
      </c>
      <c r="F730" s="150">
        <f t="shared" si="431"/>
        <v>0</v>
      </c>
      <c r="G730" s="150">
        <f t="shared" si="431"/>
        <v>0</v>
      </c>
      <c r="H730" s="150">
        <f t="shared" si="431"/>
        <v>0</v>
      </c>
      <c r="I730" s="150">
        <f t="shared" si="431"/>
        <v>0</v>
      </c>
      <c r="J730" s="150">
        <f t="shared" si="431"/>
        <v>0</v>
      </c>
      <c r="K730" s="150">
        <f t="shared" si="431"/>
        <v>0</v>
      </c>
      <c r="L730" s="150">
        <f t="shared" si="431"/>
        <v>0</v>
      </c>
      <c r="M730" s="150">
        <f t="shared" si="431"/>
        <v>0</v>
      </c>
      <c r="N730" s="150">
        <f t="shared" si="431"/>
        <v>0</v>
      </c>
      <c r="O730" s="150">
        <f t="shared" si="431"/>
        <v>0</v>
      </c>
      <c r="P730" s="150">
        <f t="shared" si="431"/>
        <v>0</v>
      </c>
      <c r="Q730" s="150">
        <f t="shared" si="431"/>
        <v>0</v>
      </c>
      <c r="R730" s="150">
        <f t="shared" si="431"/>
        <v>0</v>
      </c>
      <c r="S730" s="150">
        <f t="shared" si="431"/>
        <v>0</v>
      </c>
      <c r="T730" s="150">
        <f t="shared" si="431"/>
        <v>0</v>
      </c>
      <c r="U730" s="150">
        <f t="shared" si="431"/>
        <v>0</v>
      </c>
      <c r="V730" s="150">
        <f t="shared" si="431"/>
        <v>0</v>
      </c>
      <c r="W730" s="150">
        <f t="shared" si="431"/>
        <v>0</v>
      </c>
      <c r="X730" s="150">
        <f t="shared" si="431"/>
        <v>0</v>
      </c>
      <c r="Y730" s="150">
        <f t="shared" si="431"/>
        <v>0</v>
      </c>
      <c r="Z730" s="150">
        <f t="shared" si="431"/>
        <v>0</v>
      </c>
      <c r="AA730" s="150">
        <f t="shared" si="431"/>
        <v>0</v>
      </c>
      <c r="AB730" s="150">
        <f t="shared" si="431"/>
        <v>0</v>
      </c>
      <c r="AC730" s="150">
        <f t="shared" si="431"/>
        <v>0</v>
      </c>
      <c r="AD730" s="150">
        <f t="shared" si="431"/>
        <v>0</v>
      </c>
      <c r="AE730" s="150">
        <f t="shared" si="431"/>
        <v>0</v>
      </c>
      <c r="AF730" s="150">
        <f t="shared" si="431"/>
        <v>0</v>
      </c>
      <c r="AG730" s="150">
        <f t="shared" si="431"/>
        <v>0</v>
      </c>
      <c r="AH730" s="150">
        <f t="shared" si="431"/>
        <v>0</v>
      </c>
      <c r="AI730" s="150">
        <f t="shared" si="431"/>
        <v>0</v>
      </c>
      <c r="AJ730" s="150">
        <f t="shared" si="431"/>
        <v>0</v>
      </c>
      <c r="AK730" s="150">
        <f t="shared" si="431"/>
        <v>0</v>
      </c>
      <c r="AL730" s="150">
        <f t="shared" si="431"/>
        <v>0</v>
      </c>
      <c r="AM730" s="150">
        <f t="shared" si="431"/>
        <v>0</v>
      </c>
      <c r="AN730" s="150">
        <f t="shared" si="431"/>
        <v>0</v>
      </c>
      <c r="AO730" s="150">
        <f t="shared" si="431"/>
        <v>0</v>
      </c>
      <c r="AP730" s="150">
        <f t="shared" si="431"/>
        <v>0</v>
      </c>
    </row>
    <row r="731" spans="1:42" x14ac:dyDescent="0.2">
      <c r="A731" s="4">
        <f t="shared" si="428"/>
        <v>6</v>
      </c>
      <c r="B731" s="173">
        <f t="shared" si="425"/>
        <v>0</v>
      </c>
      <c r="C731" s="150">
        <f t="shared" ref="C731:AP731" si="432">IF(AND(C$2&gt;equip3_reserve_freq*$A718,C$2&lt;=equip3_reserve_freq*$A719),$B719/(equip3_reserve_freq),0)</f>
        <v>0</v>
      </c>
      <c r="D731" s="150">
        <f t="shared" si="432"/>
        <v>0</v>
      </c>
      <c r="E731" s="150">
        <f t="shared" si="432"/>
        <v>0</v>
      </c>
      <c r="F731" s="150">
        <f t="shared" si="432"/>
        <v>0</v>
      </c>
      <c r="G731" s="150">
        <f t="shared" si="432"/>
        <v>0</v>
      </c>
      <c r="H731" s="150">
        <f t="shared" si="432"/>
        <v>0</v>
      </c>
      <c r="I731" s="150">
        <f t="shared" si="432"/>
        <v>0</v>
      </c>
      <c r="J731" s="150">
        <f t="shared" si="432"/>
        <v>0</v>
      </c>
      <c r="K731" s="150">
        <f t="shared" si="432"/>
        <v>0</v>
      </c>
      <c r="L731" s="150">
        <f t="shared" si="432"/>
        <v>0</v>
      </c>
      <c r="M731" s="150">
        <f t="shared" si="432"/>
        <v>0</v>
      </c>
      <c r="N731" s="150">
        <f t="shared" si="432"/>
        <v>0</v>
      </c>
      <c r="O731" s="150">
        <f t="shared" si="432"/>
        <v>0</v>
      </c>
      <c r="P731" s="150">
        <f t="shared" si="432"/>
        <v>0</v>
      </c>
      <c r="Q731" s="150">
        <f t="shared" si="432"/>
        <v>0</v>
      </c>
      <c r="R731" s="150">
        <f t="shared" si="432"/>
        <v>0</v>
      </c>
      <c r="S731" s="150">
        <f t="shared" si="432"/>
        <v>0</v>
      </c>
      <c r="T731" s="150">
        <f t="shared" si="432"/>
        <v>0</v>
      </c>
      <c r="U731" s="150">
        <f t="shared" si="432"/>
        <v>0</v>
      </c>
      <c r="V731" s="150">
        <f t="shared" si="432"/>
        <v>0</v>
      </c>
      <c r="W731" s="150">
        <f t="shared" si="432"/>
        <v>0</v>
      </c>
      <c r="X731" s="150">
        <f t="shared" si="432"/>
        <v>0</v>
      </c>
      <c r="Y731" s="150">
        <f t="shared" si="432"/>
        <v>0</v>
      </c>
      <c r="Z731" s="150">
        <f t="shared" si="432"/>
        <v>0</v>
      </c>
      <c r="AA731" s="150">
        <f t="shared" si="432"/>
        <v>0</v>
      </c>
      <c r="AB731" s="150">
        <f t="shared" si="432"/>
        <v>0</v>
      </c>
      <c r="AC731" s="150">
        <f t="shared" si="432"/>
        <v>0</v>
      </c>
      <c r="AD731" s="150">
        <f t="shared" si="432"/>
        <v>0</v>
      </c>
      <c r="AE731" s="150">
        <f t="shared" si="432"/>
        <v>0</v>
      </c>
      <c r="AF731" s="150">
        <f t="shared" si="432"/>
        <v>0</v>
      </c>
      <c r="AG731" s="150">
        <f t="shared" si="432"/>
        <v>0</v>
      </c>
      <c r="AH731" s="150">
        <f t="shared" si="432"/>
        <v>0</v>
      </c>
      <c r="AI731" s="150">
        <f t="shared" si="432"/>
        <v>0</v>
      </c>
      <c r="AJ731" s="150">
        <f t="shared" si="432"/>
        <v>0</v>
      </c>
      <c r="AK731" s="150">
        <f t="shared" si="432"/>
        <v>0</v>
      </c>
      <c r="AL731" s="150">
        <f t="shared" si="432"/>
        <v>0</v>
      </c>
      <c r="AM731" s="150">
        <f t="shared" si="432"/>
        <v>0</v>
      </c>
      <c r="AN731" s="150">
        <f t="shared" si="432"/>
        <v>0</v>
      </c>
      <c r="AO731" s="150">
        <f t="shared" si="432"/>
        <v>0</v>
      </c>
      <c r="AP731" s="150">
        <f t="shared" si="432"/>
        <v>0</v>
      </c>
    </row>
    <row r="732" spans="1:42" x14ac:dyDescent="0.2">
      <c r="A732" s="4">
        <f t="shared" si="428"/>
        <v>7</v>
      </c>
      <c r="B732" s="173">
        <f t="shared" si="425"/>
        <v>0</v>
      </c>
      <c r="C732" s="150">
        <f t="shared" ref="C732:AP732" si="433">IF(AND(C$2&gt;equip3_reserve_freq*$A719,C$2&lt;=equip3_reserve_freq*$A720),$B720/(equip3_reserve_freq),0)</f>
        <v>0</v>
      </c>
      <c r="D732" s="150">
        <f t="shared" si="433"/>
        <v>0</v>
      </c>
      <c r="E732" s="150">
        <f t="shared" si="433"/>
        <v>0</v>
      </c>
      <c r="F732" s="150">
        <f t="shared" si="433"/>
        <v>0</v>
      </c>
      <c r="G732" s="150">
        <f t="shared" si="433"/>
        <v>0</v>
      </c>
      <c r="H732" s="150">
        <f t="shared" si="433"/>
        <v>0</v>
      </c>
      <c r="I732" s="150">
        <f t="shared" si="433"/>
        <v>0</v>
      </c>
      <c r="J732" s="150">
        <f t="shared" si="433"/>
        <v>0</v>
      </c>
      <c r="K732" s="150">
        <f t="shared" si="433"/>
        <v>0</v>
      </c>
      <c r="L732" s="150">
        <f t="shared" si="433"/>
        <v>0</v>
      </c>
      <c r="M732" s="150">
        <f t="shared" si="433"/>
        <v>0</v>
      </c>
      <c r="N732" s="150">
        <f t="shared" si="433"/>
        <v>0</v>
      </c>
      <c r="O732" s="150">
        <f t="shared" si="433"/>
        <v>0</v>
      </c>
      <c r="P732" s="150">
        <f t="shared" si="433"/>
        <v>0</v>
      </c>
      <c r="Q732" s="150">
        <f t="shared" si="433"/>
        <v>0</v>
      </c>
      <c r="R732" s="150">
        <f t="shared" si="433"/>
        <v>0</v>
      </c>
      <c r="S732" s="150">
        <f t="shared" si="433"/>
        <v>0</v>
      </c>
      <c r="T732" s="150">
        <f t="shared" si="433"/>
        <v>0</v>
      </c>
      <c r="U732" s="150">
        <f t="shared" si="433"/>
        <v>0</v>
      </c>
      <c r="V732" s="150">
        <f t="shared" si="433"/>
        <v>0</v>
      </c>
      <c r="W732" s="150">
        <f t="shared" si="433"/>
        <v>0</v>
      </c>
      <c r="X732" s="150">
        <f t="shared" si="433"/>
        <v>0</v>
      </c>
      <c r="Y732" s="150">
        <f t="shared" si="433"/>
        <v>0</v>
      </c>
      <c r="Z732" s="150">
        <f t="shared" si="433"/>
        <v>0</v>
      </c>
      <c r="AA732" s="150">
        <f t="shared" si="433"/>
        <v>0</v>
      </c>
      <c r="AB732" s="150">
        <f t="shared" si="433"/>
        <v>0</v>
      </c>
      <c r="AC732" s="150">
        <f t="shared" si="433"/>
        <v>0</v>
      </c>
      <c r="AD732" s="150">
        <f t="shared" si="433"/>
        <v>0</v>
      </c>
      <c r="AE732" s="150">
        <f t="shared" si="433"/>
        <v>0</v>
      </c>
      <c r="AF732" s="150">
        <f t="shared" si="433"/>
        <v>0</v>
      </c>
      <c r="AG732" s="150">
        <f t="shared" si="433"/>
        <v>0</v>
      </c>
      <c r="AH732" s="150">
        <f t="shared" si="433"/>
        <v>0</v>
      </c>
      <c r="AI732" s="150">
        <f t="shared" si="433"/>
        <v>0</v>
      </c>
      <c r="AJ732" s="150">
        <f t="shared" si="433"/>
        <v>0</v>
      </c>
      <c r="AK732" s="150">
        <f t="shared" si="433"/>
        <v>0</v>
      </c>
      <c r="AL732" s="150">
        <f t="shared" si="433"/>
        <v>0</v>
      </c>
      <c r="AM732" s="150">
        <f t="shared" si="433"/>
        <v>0</v>
      </c>
      <c r="AN732" s="150">
        <f t="shared" si="433"/>
        <v>0</v>
      </c>
      <c r="AO732" s="150">
        <f t="shared" si="433"/>
        <v>0</v>
      </c>
      <c r="AP732" s="150">
        <f t="shared" si="433"/>
        <v>0</v>
      </c>
    </row>
    <row r="733" spans="1:42" x14ac:dyDescent="0.2">
      <c r="A733" s="4">
        <f t="shared" si="428"/>
        <v>8</v>
      </c>
      <c r="B733" s="173">
        <f t="shared" si="425"/>
        <v>0</v>
      </c>
      <c r="C733" s="150">
        <f t="shared" ref="C733:AP733" si="434">IF(AND(C$2&gt;equip3_reserve_freq*$A720,C$2&lt;=equip3_reserve_freq*$A721),$B721/(equip3_reserve_freq),0)</f>
        <v>0</v>
      </c>
      <c r="D733" s="150">
        <f t="shared" si="434"/>
        <v>0</v>
      </c>
      <c r="E733" s="150">
        <f t="shared" si="434"/>
        <v>0</v>
      </c>
      <c r="F733" s="150">
        <f t="shared" si="434"/>
        <v>0</v>
      </c>
      <c r="G733" s="150">
        <f t="shared" si="434"/>
        <v>0</v>
      </c>
      <c r="H733" s="150">
        <f t="shared" si="434"/>
        <v>0</v>
      </c>
      <c r="I733" s="150">
        <f t="shared" si="434"/>
        <v>0</v>
      </c>
      <c r="J733" s="150">
        <f t="shared" si="434"/>
        <v>0</v>
      </c>
      <c r="K733" s="150">
        <f t="shared" si="434"/>
        <v>0</v>
      </c>
      <c r="L733" s="150">
        <f t="shared" si="434"/>
        <v>0</v>
      </c>
      <c r="M733" s="150">
        <f t="shared" si="434"/>
        <v>0</v>
      </c>
      <c r="N733" s="150">
        <f t="shared" si="434"/>
        <v>0</v>
      </c>
      <c r="O733" s="150">
        <f t="shared" si="434"/>
        <v>0</v>
      </c>
      <c r="P733" s="150">
        <f t="shared" si="434"/>
        <v>0</v>
      </c>
      <c r="Q733" s="150">
        <f t="shared" si="434"/>
        <v>0</v>
      </c>
      <c r="R733" s="150">
        <f t="shared" si="434"/>
        <v>0</v>
      </c>
      <c r="S733" s="150">
        <f t="shared" si="434"/>
        <v>0</v>
      </c>
      <c r="T733" s="150">
        <f t="shared" si="434"/>
        <v>0</v>
      </c>
      <c r="U733" s="150">
        <f t="shared" si="434"/>
        <v>0</v>
      </c>
      <c r="V733" s="150">
        <f t="shared" si="434"/>
        <v>0</v>
      </c>
      <c r="W733" s="150">
        <f t="shared" si="434"/>
        <v>0</v>
      </c>
      <c r="X733" s="150">
        <f t="shared" si="434"/>
        <v>0</v>
      </c>
      <c r="Y733" s="150">
        <f t="shared" si="434"/>
        <v>0</v>
      </c>
      <c r="Z733" s="150">
        <f t="shared" si="434"/>
        <v>0</v>
      </c>
      <c r="AA733" s="150">
        <f t="shared" si="434"/>
        <v>0</v>
      </c>
      <c r="AB733" s="150">
        <f t="shared" si="434"/>
        <v>0</v>
      </c>
      <c r="AC733" s="150">
        <f t="shared" si="434"/>
        <v>0</v>
      </c>
      <c r="AD733" s="150">
        <f t="shared" si="434"/>
        <v>0</v>
      </c>
      <c r="AE733" s="150">
        <f t="shared" si="434"/>
        <v>0</v>
      </c>
      <c r="AF733" s="150">
        <f t="shared" si="434"/>
        <v>0</v>
      </c>
      <c r="AG733" s="150">
        <f t="shared" si="434"/>
        <v>0</v>
      </c>
      <c r="AH733" s="150">
        <f t="shared" si="434"/>
        <v>0</v>
      </c>
      <c r="AI733" s="150">
        <f t="shared" si="434"/>
        <v>0</v>
      </c>
      <c r="AJ733" s="150">
        <f t="shared" si="434"/>
        <v>0</v>
      </c>
      <c r="AK733" s="150">
        <f t="shared" si="434"/>
        <v>0</v>
      </c>
      <c r="AL733" s="150">
        <f t="shared" si="434"/>
        <v>0</v>
      </c>
      <c r="AM733" s="150">
        <f t="shared" si="434"/>
        <v>0</v>
      </c>
      <c r="AN733" s="150">
        <f t="shared" si="434"/>
        <v>0</v>
      </c>
      <c r="AO733" s="150">
        <f t="shared" si="434"/>
        <v>0</v>
      </c>
      <c r="AP733" s="150">
        <f t="shared" si="434"/>
        <v>0</v>
      </c>
    </row>
    <row r="734" spans="1:42" x14ac:dyDescent="0.2">
      <c r="A734" s="4">
        <f>A733+1</f>
        <v>9</v>
      </c>
      <c r="B734" s="173">
        <f t="shared" si="425"/>
        <v>0</v>
      </c>
      <c r="C734" s="150">
        <f t="shared" ref="C734:AP734" si="435">IF(AND(C$2&gt;equip3_reserve_freq*$A721,C$2&lt;=equip3_reserve_freq*$A722),$B722/(equip3_reserve_freq),0)</f>
        <v>0</v>
      </c>
      <c r="D734" s="150">
        <f t="shared" si="435"/>
        <v>0</v>
      </c>
      <c r="E734" s="150">
        <f t="shared" si="435"/>
        <v>0</v>
      </c>
      <c r="F734" s="150">
        <f t="shared" si="435"/>
        <v>0</v>
      </c>
      <c r="G734" s="150">
        <f t="shared" si="435"/>
        <v>0</v>
      </c>
      <c r="H734" s="150">
        <f t="shared" si="435"/>
        <v>0</v>
      </c>
      <c r="I734" s="150">
        <f t="shared" si="435"/>
        <v>0</v>
      </c>
      <c r="J734" s="150">
        <f t="shared" si="435"/>
        <v>0</v>
      </c>
      <c r="K734" s="150">
        <f t="shared" si="435"/>
        <v>0</v>
      </c>
      <c r="L734" s="150">
        <f t="shared" si="435"/>
        <v>0</v>
      </c>
      <c r="M734" s="150">
        <f t="shared" si="435"/>
        <v>0</v>
      </c>
      <c r="N734" s="150">
        <f t="shared" si="435"/>
        <v>0</v>
      </c>
      <c r="O734" s="150">
        <f t="shared" si="435"/>
        <v>0</v>
      </c>
      <c r="P734" s="150">
        <f t="shared" si="435"/>
        <v>0</v>
      </c>
      <c r="Q734" s="150">
        <f t="shared" si="435"/>
        <v>0</v>
      </c>
      <c r="R734" s="150">
        <f t="shared" si="435"/>
        <v>0</v>
      </c>
      <c r="S734" s="150">
        <f t="shared" si="435"/>
        <v>0</v>
      </c>
      <c r="T734" s="150">
        <f t="shared" si="435"/>
        <v>0</v>
      </c>
      <c r="U734" s="150">
        <f t="shared" si="435"/>
        <v>0</v>
      </c>
      <c r="V734" s="150">
        <f t="shared" si="435"/>
        <v>0</v>
      </c>
      <c r="W734" s="150">
        <f t="shared" si="435"/>
        <v>0</v>
      </c>
      <c r="X734" s="150">
        <f t="shared" si="435"/>
        <v>0</v>
      </c>
      <c r="Y734" s="150">
        <f t="shared" si="435"/>
        <v>0</v>
      </c>
      <c r="Z734" s="150">
        <f t="shared" si="435"/>
        <v>0</v>
      </c>
      <c r="AA734" s="150">
        <f t="shared" si="435"/>
        <v>0</v>
      </c>
      <c r="AB734" s="150">
        <f t="shared" si="435"/>
        <v>0</v>
      </c>
      <c r="AC734" s="150">
        <f t="shared" si="435"/>
        <v>0</v>
      </c>
      <c r="AD734" s="150">
        <f t="shared" si="435"/>
        <v>0</v>
      </c>
      <c r="AE734" s="150">
        <f t="shared" si="435"/>
        <v>0</v>
      </c>
      <c r="AF734" s="150">
        <f t="shared" si="435"/>
        <v>0</v>
      </c>
      <c r="AG734" s="150">
        <f t="shared" si="435"/>
        <v>0</v>
      </c>
      <c r="AH734" s="150">
        <f t="shared" si="435"/>
        <v>0</v>
      </c>
      <c r="AI734" s="150">
        <f t="shared" si="435"/>
        <v>0</v>
      </c>
      <c r="AJ734" s="150">
        <f t="shared" si="435"/>
        <v>0</v>
      </c>
      <c r="AK734" s="150">
        <f t="shared" si="435"/>
        <v>0</v>
      </c>
      <c r="AL734" s="150">
        <f t="shared" si="435"/>
        <v>0</v>
      </c>
      <c r="AM734" s="150">
        <f t="shared" si="435"/>
        <v>0</v>
      </c>
      <c r="AN734" s="150">
        <f t="shared" si="435"/>
        <v>0</v>
      </c>
      <c r="AO734" s="150">
        <f t="shared" si="435"/>
        <v>0</v>
      </c>
      <c r="AP734" s="150">
        <f t="shared" si="435"/>
        <v>0</v>
      </c>
    </row>
    <row r="735" spans="1:42" x14ac:dyDescent="0.2">
      <c r="A735" s="4">
        <f t="shared" ref="A735" si="436">A734+1</f>
        <v>10</v>
      </c>
      <c r="B735" s="173">
        <f t="shared" si="425"/>
        <v>0</v>
      </c>
      <c r="C735" s="151">
        <f t="shared" ref="C735:AP735" si="437">IF(AND(C$2&gt;equip3_reserve_freq*$A722,C$2&lt;=equip3_reserve_freq*$A723),$B723/(equip3_reserve_freq),0)</f>
        <v>0</v>
      </c>
      <c r="D735" s="151">
        <f t="shared" si="437"/>
        <v>0</v>
      </c>
      <c r="E735" s="151">
        <f t="shared" si="437"/>
        <v>0</v>
      </c>
      <c r="F735" s="151">
        <f t="shared" si="437"/>
        <v>0</v>
      </c>
      <c r="G735" s="151">
        <f t="shared" si="437"/>
        <v>0</v>
      </c>
      <c r="H735" s="151">
        <f t="shared" si="437"/>
        <v>0</v>
      </c>
      <c r="I735" s="151">
        <f t="shared" si="437"/>
        <v>0</v>
      </c>
      <c r="J735" s="151">
        <f t="shared" si="437"/>
        <v>0</v>
      </c>
      <c r="K735" s="151">
        <f t="shared" si="437"/>
        <v>0</v>
      </c>
      <c r="L735" s="151">
        <f t="shared" si="437"/>
        <v>0</v>
      </c>
      <c r="M735" s="151">
        <f t="shared" si="437"/>
        <v>0</v>
      </c>
      <c r="N735" s="151">
        <f t="shared" si="437"/>
        <v>0</v>
      </c>
      <c r="O735" s="151">
        <f t="shared" si="437"/>
        <v>0</v>
      </c>
      <c r="P735" s="151">
        <f t="shared" si="437"/>
        <v>0</v>
      </c>
      <c r="Q735" s="151">
        <f t="shared" si="437"/>
        <v>0</v>
      </c>
      <c r="R735" s="151">
        <f t="shared" si="437"/>
        <v>0</v>
      </c>
      <c r="S735" s="151">
        <f t="shared" si="437"/>
        <v>0</v>
      </c>
      <c r="T735" s="151">
        <f t="shared" si="437"/>
        <v>0</v>
      </c>
      <c r="U735" s="151">
        <f t="shared" si="437"/>
        <v>0</v>
      </c>
      <c r="V735" s="151">
        <f t="shared" si="437"/>
        <v>0</v>
      </c>
      <c r="W735" s="151">
        <f t="shared" si="437"/>
        <v>0</v>
      </c>
      <c r="X735" s="151">
        <f t="shared" si="437"/>
        <v>0</v>
      </c>
      <c r="Y735" s="151">
        <f t="shared" si="437"/>
        <v>0</v>
      </c>
      <c r="Z735" s="151">
        <f t="shared" si="437"/>
        <v>0</v>
      </c>
      <c r="AA735" s="151">
        <f t="shared" si="437"/>
        <v>0</v>
      </c>
      <c r="AB735" s="151">
        <f t="shared" si="437"/>
        <v>0</v>
      </c>
      <c r="AC735" s="151">
        <f t="shared" si="437"/>
        <v>0</v>
      </c>
      <c r="AD735" s="151">
        <f t="shared" si="437"/>
        <v>0</v>
      </c>
      <c r="AE735" s="151">
        <f t="shared" si="437"/>
        <v>0</v>
      </c>
      <c r="AF735" s="151">
        <f t="shared" si="437"/>
        <v>0</v>
      </c>
      <c r="AG735" s="151">
        <f t="shared" si="437"/>
        <v>0</v>
      </c>
      <c r="AH735" s="151">
        <f t="shared" si="437"/>
        <v>0</v>
      </c>
      <c r="AI735" s="151">
        <f t="shared" si="437"/>
        <v>0</v>
      </c>
      <c r="AJ735" s="151">
        <f t="shared" si="437"/>
        <v>0</v>
      </c>
      <c r="AK735" s="151">
        <f t="shared" si="437"/>
        <v>0</v>
      </c>
      <c r="AL735" s="151">
        <f t="shared" si="437"/>
        <v>0</v>
      </c>
      <c r="AM735" s="151">
        <f t="shared" si="437"/>
        <v>0</v>
      </c>
      <c r="AN735" s="151">
        <f t="shared" si="437"/>
        <v>0</v>
      </c>
      <c r="AO735" s="151">
        <f t="shared" si="437"/>
        <v>0</v>
      </c>
      <c r="AP735" s="151">
        <f t="shared" si="437"/>
        <v>0</v>
      </c>
    </row>
    <row r="736" spans="1:42" x14ac:dyDescent="0.2">
      <c r="A736" s="24" t="s">
        <v>12</v>
      </c>
      <c r="B736" s="14"/>
      <c r="C736" s="150">
        <f>SUM(C726:C735)</f>
        <v>0</v>
      </c>
      <c r="D736" s="150">
        <f t="shared" ref="D736:AP736" si="438">SUM(D726:D735)</f>
        <v>0</v>
      </c>
      <c r="E736" s="150">
        <f t="shared" si="438"/>
        <v>0</v>
      </c>
      <c r="F736" s="150">
        <f t="shared" si="438"/>
        <v>0</v>
      </c>
      <c r="G736" s="150">
        <f t="shared" si="438"/>
        <v>0</v>
      </c>
      <c r="H736" s="150">
        <f t="shared" si="438"/>
        <v>0</v>
      </c>
      <c r="I736" s="150">
        <f t="shared" si="438"/>
        <v>0</v>
      </c>
      <c r="J736" s="150">
        <f t="shared" si="438"/>
        <v>0</v>
      </c>
      <c r="K736" s="150">
        <f t="shared" si="438"/>
        <v>0</v>
      </c>
      <c r="L736" s="150">
        <f t="shared" si="438"/>
        <v>0</v>
      </c>
      <c r="M736" s="150">
        <f t="shared" si="438"/>
        <v>0</v>
      </c>
      <c r="N736" s="150">
        <f t="shared" si="438"/>
        <v>0</v>
      </c>
      <c r="O736" s="150">
        <f t="shared" si="438"/>
        <v>0</v>
      </c>
      <c r="P736" s="150">
        <f t="shared" si="438"/>
        <v>0</v>
      </c>
      <c r="Q736" s="150">
        <f t="shared" si="438"/>
        <v>0</v>
      </c>
      <c r="R736" s="150">
        <f t="shared" si="438"/>
        <v>0</v>
      </c>
      <c r="S736" s="150">
        <f t="shared" si="438"/>
        <v>0</v>
      </c>
      <c r="T736" s="150">
        <f t="shared" si="438"/>
        <v>0</v>
      </c>
      <c r="U736" s="150">
        <f t="shared" si="438"/>
        <v>0</v>
      </c>
      <c r="V736" s="150">
        <f t="shared" si="438"/>
        <v>0</v>
      </c>
      <c r="W736" s="150">
        <f t="shared" si="438"/>
        <v>0</v>
      </c>
      <c r="X736" s="150">
        <f t="shared" si="438"/>
        <v>0</v>
      </c>
      <c r="Y736" s="150">
        <f t="shared" si="438"/>
        <v>0</v>
      </c>
      <c r="Z736" s="150">
        <f t="shared" si="438"/>
        <v>0</v>
      </c>
      <c r="AA736" s="150">
        <f t="shared" si="438"/>
        <v>0</v>
      </c>
      <c r="AB736" s="150">
        <f t="shared" si="438"/>
        <v>0</v>
      </c>
      <c r="AC736" s="150">
        <f t="shared" si="438"/>
        <v>0</v>
      </c>
      <c r="AD736" s="150">
        <f t="shared" si="438"/>
        <v>0</v>
      </c>
      <c r="AE736" s="150">
        <f t="shared" si="438"/>
        <v>0</v>
      </c>
      <c r="AF736" s="150">
        <f t="shared" si="438"/>
        <v>0</v>
      </c>
      <c r="AG736" s="150">
        <f t="shared" si="438"/>
        <v>0</v>
      </c>
      <c r="AH736" s="150">
        <f t="shared" si="438"/>
        <v>0</v>
      </c>
      <c r="AI736" s="150">
        <f t="shared" si="438"/>
        <v>0</v>
      </c>
      <c r="AJ736" s="150">
        <f t="shared" si="438"/>
        <v>0</v>
      </c>
      <c r="AK736" s="150">
        <f t="shared" si="438"/>
        <v>0</v>
      </c>
      <c r="AL736" s="150">
        <f t="shared" si="438"/>
        <v>0</v>
      </c>
      <c r="AM736" s="150">
        <f t="shared" si="438"/>
        <v>0</v>
      </c>
      <c r="AN736" s="150">
        <f t="shared" si="438"/>
        <v>0</v>
      </c>
      <c r="AO736" s="150">
        <f t="shared" si="438"/>
        <v>0</v>
      </c>
      <c r="AP736" s="150">
        <f t="shared" si="438"/>
        <v>0</v>
      </c>
    </row>
    <row r="738" spans="1:42" x14ac:dyDescent="0.2">
      <c r="A738" s="4" t="s">
        <v>280</v>
      </c>
    </row>
    <row r="739" spans="1:42" x14ac:dyDescent="0.2">
      <c r="A739" s="21" t="s">
        <v>281</v>
      </c>
      <c r="B739" s="150">
        <f>B628+B634+B640+B646+B678+B710</f>
        <v>0</v>
      </c>
      <c r="C739" s="150">
        <f t="shared" ref="C739:AP739" si="439">C628+C634+C640+C646+C678+C710</f>
        <v>0</v>
      </c>
      <c r="D739" s="150">
        <f t="shared" si="439"/>
        <v>0</v>
      </c>
      <c r="E739" s="150">
        <f t="shared" si="439"/>
        <v>0</v>
      </c>
      <c r="F739" s="150">
        <f t="shared" si="439"/>
        <v>0</v>
      </c>
      <c r="G739" s="150">
        <f t="shared" si="439"/>
        <v>0</v>
      </c>
      <c r="H739" s="150">
        <f t="shared" si="439"/>
        <v>0</v>
      </c>
      <c r="I739" s="150">
        <f t="shared" si="439"/>
        <v>0</v>
      </c>
      <c r="J739" s="150">
        <f t="shared" si="439"/>
        <v>0</v>
      </c>
      <c r="K739" s="150">
        <f t="shared" si="439"/>
        <v>0</v>
      </c>
      <c r="L739" s="150">
        <f t="shared" si="439"/>
        <v>0</v>
      </c>
      <c r="M739" s="150">
        <f t="shared" si="439"/>
        <v>0</v>
      </c>
      <c r="N739" s="150">
        <f t="shared" si="439"/>
        <v>0</v>
      </c>
      <c r="O739" s="150">
        <f t="shared" si="439"/>
        <v>0</v>
      </c>
      <c r="P739" s="150">
        <f t="shared" si="439"/>
        <v>0</v>
      </c>
      <c r="Q739" s="150">
        <f t="shared" si="439"/>
        <v>0</v>
      </c>
      <c r="R739" s="150">
        <f t="shared" si="439"/>
        <v>0</v>
      </c>
      <c r="S739" s="150">
        <f t="shared" si="439"/>
        <v>0</v>
      </c>
      <c r="T739" s="150">
        <f t="shared" si="439"/>
        <v>0</v>
      </c>
      <c r="U739" s="150">
        <f t="shared" si="439"/>
        <v>0</v>
      </c>
      <c r="V739" s="150">
        <f t="shared" si="439"/>
        <v>0</v>
      </c>
      <c r="W739" s="150">
        <f t="shared" si="439"/>
        <v>0</v>
      </c>
      <c r="X739" s="150">
        <f t="shared" si="439"/>
        <v>0</v>
      </c>
      <c r="Y739" s="150">
        <f t="shared" si="439"/>
        <v>0</v>
      </c>
      <c r="Z739" s="150">
        <f t="shared" si="439"/>
        <v>0</v>
      </c>
      <c r="AA739" s="150">
        <f t="shared" si="439"/>
        <v>0</v>
      </c>
      <c r="AB739" s="150">
        <f t="shared" si="439"/>
        <v>0</v>
      </c>
      <c r="AC739" s="150">
        <f t="shared" si="439"/>
        <v>0</v>
      </c>
      <c r="AD739" s="150">
        <f t="shared" si="439"/>
        <v>0</v>
      </c>
      <c r="AE739" s="150">
        <f t="shared" si="439"/>
        <v>0</v>
      </c>
      <c r="AF739" s="150">
        <f t="shared" si="439"/>
        <v>0</v>
      </c>
      <c r="AG739" s="150">
        <f t="shared" si="439"/>
        <v>0</v>
      </c>
      <c r="AH739" s="150">
        <f t="shared" si="439"/>
        <v>0</v>
      </c>
      <c r="AI739" s="150">
        <f t="shared" si="439"/>
        <v>0</v>
      </c>
      <c r="AJ739" s="150">
        <f t="shared" si="439"/>
        <v>0</v>
      </c>
      <c r="AK739" s="150">
        <f t="shared" si="439"/>
        <v>0</v>
      </c>
      <c r="AL739" s="150">
        <f t="shared" si="439"/>
        <v>0</v>
      </c>
      <c r="AM739" s="150">
        <f t="shared" si="439"/>
        <v>0</v>
      </c>
      <c r="AN739" s="150">
        <f t="shared" si="439"/>
        <v>0</v>
      </c>
      <c r="AO739" s="150">
        <f t="shared" si="439"/>
        <v>0</v>
      </c>
      <c r="AP739" s="150">
        <f t="shared" si="439"/>
        <v>0</v>
      </c>
    </row>
    <row r="740" spans="1:42" x14ac:dyDescent="0.2">
      <c r="A740" s="21" t="s">
        <v>280</v>
      </c>
      <c r="B740" s="150"/>
      <c r="C740" s="150">
        <f t="shared" ref="C740:AP740" si="440">IF(C$2&lt;=analysis_period,B739*reserves_interest/100,0)</f>
        <v>0</v>
      </c>
      <c r="D740" s="150">
        <f t="shared" si="440"/>
        <v>0</v>
      </c>
      <c r="E740" s="150">
        <f t="shared" si="440"/>
        <v>0</v>
      </c>
      <c r="F740" s="150">
        <f t="shared" si="440"/>
        <v>0</v>
      </c>
      <c r="G740" s="150">
        <f t="shared" si="440"/>
        <v>0</v>
      </c>
      <c r="H740" s="150">
        <f t="shared" si="440"/>
        <v>0</v>
      </c>
      <c r="I740" s="150">
        <f t="shared" si="440"/>
        <v>0</v>
      </c>
      <c r="J740" s="150">
        <f t="shared" si="440"/>
        <v>0</v>
      </c>
      <c r="K740" s="150">
        <f t="shared" si="440"/>
        <v>0</v>
      </c>
      <c r="L740" s="150">
        <f t="shared" si="440"/>
        <v>0</v>
      </c>
      <c r="M740" s="150">
        <f t="shared" si="440"/>
        <v>0</v>
      </c>
      <c r="N740" s="150">
        <f t="shared" si="440"/>
        <v>0</v>
      </c>
      <c r="O740" s="150">
        <f t="shared" si="440"/>
        <v>0</v>
      </c>
      <c r="P740" s="150">
        <f t="shared" si="440"/>
        <v>0</v>
      </c>
      <c r="Q740" s="150">
        <f t="shared" si="440"/>
        <v>0</v>
      </c>
      <c r="R740" s="150">
        <f t="shared" si="440"/>
        <v>0</v>
      </c>
      <c r="S740" s="150">
        <f t="shared" si="440"/>
        <v>0</v>
      </c>
      <c r="T740" s="150">
        <f t="shared" si="440"/>
        <v>0</v>
      </c>
      <c r="U740" s="150">
        <f t="shared" si="440"/>
        <v>0</v>
      </c>
      <c r="V740" s="150">
        <f t="shared" si="440"/>
        <v>0</v>
      </c>
      <c r="W740" s="150">
        <f t="shared" si="440"/>
        <v>0</v>
      </c>
      <c r="X740" s="150">
        <f t="shared" si="440"/>
        <v>0</v>
      </c>
      <c r="Y740" s="150">
        <f t="shared" si="440"/>
        <v>0</v>
      </c>
      <c r="Z740" s="150">
        <f t="shared" si="440"/>
        <v>0</v>
      </c>
      <c r="AA740" s="150">
        <f t="shared" si="440"/>
        <v>0</v>
      </c>
      <c r="AB740" s="150">
        <f t="shared" si="440"/>
        <v>0</v>
      </c>
      <c r="AC740" s="150">
        <f t="shared" si="440"/>
        <v>0</v>
      </c>
      <c r="AD740" s="150">
        <f t="shared" si="440"/>
        <v>0</v>
      </c>
      <c r="AE740" s="150">
        <f t="shared" si="440"/>
        <v>0</v>
      </c>
      <c r="AF740" s="150">
        <f t="shared" si="440"/>
        <v>0</v>
      </c>
      <c r="AG740" s="150">
        <f t="shared" si="440"/>
        <v>0</v>
      </c>
      <c r="AH740" s="150">
        <f t="shared" si="440"/>
        <v>0</v>
      </c>
      <c r="AI740" s="150">
        <f t="shared" si="440"/>
        <v>0</v>
      </c>
      <c r="AJ740" s="150">
        <f t="shared" si="440"/>
        <v>0</v>
      </c>
      <c r="AK740" s="150">
        <f t="shared" si="440"/>
        <v>0</v>
      </c>
      <c r="AL740" s="150">
        <f t="shared" si="440"/>
        <v>0</v>
      </c>
      <c r="AM740" s="150">
        <f t="shared" si="440"/>
        <v>0</v>
      </c>
      <c r="AN740" s="150">
        <f t="shared" si="440"/>
        <v>0</v>
      </c>
      <c r="AO740" s="150">
        <f t="shared" si="440"/>
        <v>0</v>
      </c>
      <c r="AP740" s="150">
        <f t="shared" si="440"/>
        <v>0</v>
      </c>
    </row>
  </sheetData>
  <mergeCells count="12">
    <mergeCell ref="M251:O251"/>
    <mergeCell ref="Q251:Q252"/>
    <mergeCell ref="B389:C389"/>
    <mergeCell ref="D389:F389"/>
    <mergeCell ref="M389:O389"/>
    <mergeCell ref="Q389:Q390"/>
    <mergeCell ref="G251:J251"/>
    <mergeCell ref="K251:L251"/>
    <mergeCell ref="G389:J389"/>
    <mergeCell ref="K389:L389"/>
    <mergeCell ref="B251:C251"/>
    <mergeCell ref="D251:F251"/>
  </mergeCells>
  <pageMargins left="0.5" right="0.5" top="0.5" bottom="0.75" header="0.3" footer="0.3"/>
  <pageSetup scale="75" pageOrder="overThenDown" orientation="landscape"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45"/>
  <sheetViews>
    <sheetView zoomScale="90" zoomScaleNormal="90" workbookViewId="0"/>
  </sheetViews>
  <sheetFormatPr defaultRowHeight="15" x14ac:dyDescent="0.25"/>
  <cols>
    <col min="2" max="7" width="15.42578125" customWidth="1"/>
  </cols>
  <sheetData>
    <row r="1" spans="1:7" s="1" customFormat="1" ht="21" thickBot="1" x14ac:dyDescent="0.4">
      <c r="A1" s="216" t="s">
        <v>205</v>
      </c>
      <c r="B1" s="217"/>
      <c r="C1" s="218"/>
      <c r="D1" s="217"/>
      <c r="E1" s="240"/>
      <c r="F1" s="240"/>
      <c r="G1" s="241"/>
    </row>
    <row r="2" spans="1:7" s="1" customFormat="1" ht="12.75" x14ac:dyDescent="0.2">
      <c r="A2" s="2" t="s">
        <v>61</v>
      </c>
      <c r="B2" s="3" t="s">
        <v>42</v>
      </c>
      <c r="C2" s="3" t="s">
        <v>43</v>
      </c>
      <c r="D2" s="3" t="s">
        <v>44</v>
      </c>
      <c r="E2" s="3" t="s">
        <v>45</v>
      </c>
      <c r="F2" s="3" t="s">
        <v>46</v>
      </c>
      <c r="G2" s="242" t="s">
        <v>47</v>
      </c>
    </row>
    <row r="3" spans="1:7" s="1" customFormat="1" ht="12.75" x14ac:dyDescent="0.2">
      <c r="A3" s="92">
        <v>1</v>
      </c>
      <c r="B3" s="154">
        <v>20</v>
      </c>
      <c r="C3" s="160">
        <v>5</v>
      </c>
      <c r="D3" s="154">
        <v>10</v>
      </c>
      <c r="E3" s="154">
        <v>3.33</v>
      </c>
      <c r="F3" s="154">
        <v>2.5</v>
      </c>
      <c r="G3" s="154">
        <f>2.56410256410256*0.5</f>
        <v>1.2820512820512799</v>
      </c>
    </row>
    <row r="4" spans="1:7" s="1" customFormat="1" ht="12.75" x14ac:dyDescent="0.2">
      <c r="A4" s="93">
        <v>2</v>
      </c>
      <c r="B4" s="154">
        <v>32</v>
      </c>
      <c r="C4" s="161">
        <v>9.5</v>
      </c>
      <c r="D4" s="156">
        <v>20</v>
      </c>
      <c r="E4" s="156">
        <v>6.67</v>
      </c>
      <c r="F4" s="156">
        <v>5</v>
      </c>
      <c r="G4" s="156">
        <v>2.5641025641025599</v>
      </c>
    </row>
    <row r="5" spans="1:7" s="1" customFormat="1" ht="12.75" x14ac:dyDescent="0.2">
      <c r="A5" s="93">
        <v>3</v>
      </c>
      <c r="B5" s="154">
        <v>19.2</v>
      </c>
      <c r="C5" s="156">
        <v>8.5500000000000007</v>
      </c>
      <c r="D5" s="156">
        <v>20</v>
      </c>
      <c r="E5" s="156">
        <v>6.67</v>
      </c>
      <c r="F5" s="156">
        <v>5</v>
      </c>
      <c r="G5" s="156">
        <v>2.5641025641025599</v>
      </c>
    </row>
    <row r="6" spans="1:7" s="1" customFormat="1" ht="12.75" x14ac:dyDescent="0.2">
      <c r="A6" s="93">
        <v>4</v>
      </c>
      <c r="B6" s="154">
        <v>11.52</v>
      </c>
      <c r="C6" s="156">
        <v>7.7</v>
      </c>
      <c r="D6" s="156">
        <v>20</v>
      </c>
      <c r="E6" s="156">
        <v>6.67</v>
      </c>
      <c r="F6" s="156">
        <v>5</v>
      </c>
      <c r="G6" s="156">
        <v>2.5641025641025599</v>
      </c>
    </row>
    <row r="7" spans="1:7" s="1" customFormat="1" ht="12.75" x14ac:dyDescent="0.2">
      <c r="A7" s="93">
        <v>5</v>
      </c>
      <c r="B7" s="154">
        <v>11.52</v>
      </c>
      <c r="C7" s="156">
        <v>6.93</v>
      </c>
      <c r="D7" s="156">
        <v>20</v>
      </c>
      <c r="E7" s="156">
        <v>6.67</v>
      </c>
      <c r="F7" s="156">
        <v>5</v>
      </c>
      <c r="G7" s="156">
        <v>2.5641025641025599</v>
      </c>
    </row>
    <row r="8" spans="1:7" s="1" customFormat="1" ht="12.75" x14ac:dyDescent="0.2">
      <c r="A8" s="93">
        <v>6</v>
      </c>
      <c r="B8" s="154">
        <v>5.76</v>
      </c>
      <c r="C8" s="156">
        <v>6.23</v>
      </c>
      <c r="D8" s="156">
        <v>10</v>
      </c>
      <c r="E8" s="156">
        <v>6.67</v>
      </c>
      <c r="F8" s="156">
        <v>5</v>
      </c>
      <c r="G8" s="156">
        <v>2.5641025641025599</v>
      </c>
    </row>
    <row r="9" spans="1:7" s="1" customFormat="1" ht="12.75" x14ac:dyDescent="0.2">
      <c r="A9" s="93">
        <v>7</v>
      </c>
      <c r="B9" s="155">
        <v>0</v>
      </c>
      <c r="C9" s="156">
        <v>5.9</v>
      </c>
      <c r="D9" s="156">
        <v>0</v>
      </c>
      <c r="E9" s="156">
        <v>6.67</v>
      </c>
      <c r="F9" s="156">
        <v>5</v>
      </c>
      <c r="G9" s="156">
        <v>2.5641025641025599</v>
      </c>
    </row>
    <row r="10" spans="1:7" s="1" customFormat="1" ht="12.75" x14ac:dyDescent="0.2">
      <c r="A10" s="93">
        <v>8</v>
      </c>
      <c r="B10" s="156">
        <v>0</v>
      </c>
      <c r="C10" s="156">
        <v>5.9</v>
      </c>
      <c r="D10" s="156">
        <v>0</v>
      </c>
      <c r="E10" s="156">
        <v>6.67</v>
      </c>
      <c r="F10" s="156">
        <v>5</v>
      </c>
      <c r="G10" s="156">
        <v>2.5641025641025599</v>
      </c>
    </row>
    <row r="11" spans="1:7" s="1" customFormat="1" ht="12.75" x14ac:dyDescent="0.2">
      <c r="A11" s="93">
        <v>9</v>
      </c>
      <c r="B11" s="156">
        <v>0</v>
      </c>
      <c r="C11" s="156">
        <v>5.91</v>
      </c>
      <c r="D11" s="156">
        <v>0</v>
      </c>
      <c r="E11" s="156">
        <v>6.67</v>
      </c>
      <c r="F11" s="156">
        <v>5</v>
      </c>
      <c r="G11" s="156">
        <v>2.5641025641025599</v>
      </c>
    </row>
    <row r="12" spans="1:7" s="1" customFormat="1" ht="12.75" x14ac:dyDescent="0.2">
      <c r="A12" s="93">
        <v>10</v>
      </c>
      <c r="B12" s="156">
        <v>0</v>
      </c>
      <c r="C12" s="156">
        <v>5.9</v>
      </c>
      <c r="D12" s="156">
        <v>0</v>
      </c>
      <c r="E12" s="156">
        <v>6.67</v>
      </c>
      <c r="F12" s="156">
        <v>5</v>
      </c>
      <c r="G12" s="156">
        <v>2.5641025641025599</v>
      </c>
    </row>
    <row r="13" spans="1:7" s="1" customFormat="1" ht="12.75" x14ac:dyDescent="0.2">
      <c r="A13" s="93">
        <v>11</v>
      </c>
      <c r="B13" s="156">
        <v>0</v>
      </c>
      <c r="C13" s="156">
        <v>5.91</v>
      </c>
      <c r="D13" s="156">
        <v>0</v>
      </c>
      <c r="E13" s="156">
        <v>6.67</v>
      </c>
      <c r="F13" s="156">
        <v>5</v>
      </c>
      <c r="G13" s="156">
        <v>2.5641025641025599</v>
      </c>
    </row>
    <row r="14" spans="1:7" s="1" customFormat="1" ht="12.75" x14ac:dyDescent="0.2">
      <c r="A14" s="93">
        <v>12</v>
      </c>
      <c r="B14" s="156">
        <v>0</v>
      </c>
      <c r="C14" s="156">
        <v>5.9</v>
      </c>
      <c r="D14" s="156">
        <v>0</v>
      </c>
      <c r="E14" s="156">
        <v>6.66</v>
      </c>
      <c r="F14" s="156">
        <v>5</v>
      </c>
      <c r="G14" s="156">
        <v>2.5641025641025599</v>
      </c>
    </row>
    <row r="15" spans="1:7" s="1" customFormat="1" ht="12.75" x14ac:dyDescent="0.2">
      <c r="A15" s="93">
        <v>13</v>
      </c>
      <c r="B15" s="156">
        <v>0</v>
      </c>
      <c r="C15" s="156">
        <v>5.91</v>
      </c>
      <c r="D15" s="156">
        <v>0</v>
      </c>
      <c r="E15" s="156">
        <v>6.67</v>
      </c>
      <c r="F15" s="156">
        <v>5</v>
      </c>
      <c r="G15" s="156">
        <v>2.5641025641025599</v>
      </c>
    </row>
    <row r="16" spans="1:7" s="1" customFormat="1" ht="12.75" x14ac:dyDescent="0.2">
      <c r="A16" s="93">
        <v>14</v>
      </c>
      <c r="B16" s="156">
        <v>0</v>
      </c>
      <c r="C16" s="156">
        <v>5.9</v>
      </c>
      <c r="D16" s="156">
        <v>0</v>
      </c>
      <c r="E16" s="156">
        <v>6.66</v>
      </c>
      <c r="F16" s="156">
        <v>5</v>
      </c>
      <c r="G16" s="156">
        <v>2.5641025641025599</v>
      </c>
    </row>
    <row r="17" spans="1:7" s="1" customFormat="1" ht="12.75" x14ac:dyDescent="0.2">
      <c r="A17" s="93">
        <v>15</v>
      </c>
      <c r="B17" s="156">
        <v>0</v>
      </c>
      <c r="C17" s="156">
        <v>5.9</v>
      </c>
      <c r="D17" s="156">
        <v>0</v>
      </c>
      <c r="E17" s="156">
        <v>6.67</v>
      </c>
      <c r="F17" s="156">
        <v>5</v>
      </c>
      <c r="G17" s="156">
        <v>2.5641025641025599</v>
      </c>
    </row>
    <row r="18" spans="1:7" s="1" customFormat="1" ht="12.75" x14ac:dyDescent="0.2">
      <c r="A18" s="93">
        <v>16</v>
      </c>
      <c r="B18" s="156">
        <v>0</v>
      </c>
      <c r="C18" s="156">
        <v>2.95</v>
      </c>
      <c r="D18" s="156">
        <v>0</v>
      </c>
      <c r="E18" s="156">
        <v>3.33</v>
      </c>
      <c r="F18" s="156">
        <v>5</v>
      </c>
      <c r="G18" s="156">
        <v>2.5641025641025599</v>
      </c>
    </row>
    <row r="19" spans="1:7" s="1" customFormat="1" ht="12.75" x14ac:dyDescent="0.2">
      <c r="A19" s="93">
        <v>17</v>
      </c>
      <c r="B19" s="156">
        <v>0</v>
      </c>
      <c r="C19" s="156">
        <v>0</v>
      </c>
      <c r="D19" s="156">
        <v>0</v>
      </c>
      <c r="E19" s="156">
        <v>0</v>
      </c>
      <c r="F19" s="156">
        <v>5</v>
      </c>
      <c r="G19" s="156">
        <v>2.5641025641025599</v>
      </c>
    </row>
    <row r="20" spans="1:7" s="1" customFormat="1" ht="12.75" x14ac:dyDescent="0.2">
      <c r="A20" s="93">
        <v>18</v>
      </c>
      <c r="B20" s="156">
        <v>0</v>
      </c>
      <c r="C20" s="156">
        <v>0</v>
      </c>
      <c r="D20" s="156">
        <v>0</v>
      </c>
      <c r="E20" s="156">
        <v>0</v>
      </c>
      <c r="F20" s="156">
        <v>5</v>
      </c>
      <c r="G20" s="156">
        <v>2.5641025641025599</v>
      </c>
    </row>
    <row r="21" spans="1:7" s="1" customFormat="1" ht="12.75" x14ac:dyDescent="0.2">
      <c r="A21" s="93">
        <v>19</v>
      </c>
      <c r="B21" s="156">
        <v>0</v>
      </c>
      <c r="C21" s="156">
        <v>0</v>
      </c>
      <c r="D21" s="156">
        <v>0</v>
      </c>
      <c r="E21" s="156">
        <v>0</v>
      </c>
      <c r="F21" s="156">
        <v>5</v>
      </c>
      <c r="G21" s="156">
        <v>2.5641025641025599</v>
      </c>
    </row>
    <row r="22" spans="1:7" s="1" customFormat="1" ht="12.75" x14ac:dyDescent="0.2">
      <c r="A22" s="93">
        <v>20</v>
      </c>
      <c r="B22" s="156">
        <v>0</v>
      </c>
      <c r="C22" s="156">
        <v>0</v>
      </c>
      <c r="D22" s="156">
        <v>0</v>
      </c>
      <c r="E22" s="156">
        <v>0</v>
      </c>
      <c r="F22" s="156">
        <v>5</v>
      </c>
      <c r="G22" s="156">
        <v>2.5641025641025599</v>
      </c>
    </row>
    <row r="23" spans="1:7" s="1" customFormat="1" ht="12.75" x14ac:dyDescent="0.2">
      <c r="A23" s="93">
        <v>21</v>
      </c>
      <c r="B23" s="156">
        <v>0</v>
      </c>
      <c r="C23" s="156">
        <v>0</v>
      </c>
      <c r="D23" s="156">
        <v>0</v>
      </c>
      <c r="E23" s="156">
        <v>0</v>
      </c>
      <c r="F23" s="156">
        <v>2.5</v>
      </c>
      <c r="G23" s="156">
        <v>2.5641025641025599</v>
      </c>
    </row>
    <row r="24" spans="1:7" s="1" customFormat="1" ht="12.75" customHeight="1" x14ac:dyDescent="0.2">
      <c r="A24" s="93">
        <v>22</v>
      </c>
      <c r="B24" s="156">
        <v>0</v>
      </c>
      <c r="C24" s="156">
        <v>0</v>
      </c>
      <c r="D24" s="156">
        <v>0</v>
      </c>
      <c r="E24" s="156">
        <v>0</v>
      </c>
      <c r="F24" s="156">
        <v>0</v>
      </c>
      <c r="G24" s="156">
        <v>2.5641025641025599</v>
      </c>
    </row>
    <row r="25" spans="1:7" s="1" customFormat="1" ht="12.75" customHeight="1" x14ac:dyDescent="0.2">
      <c r="A25" s="93">
        <v>23</v>
      </c>
      <c r="B25" s="156">
        <v>0</v>
      </c>
      <c r="C25" s="156">
        <v>0</v>
      </c>
      <c r="D25" s="156">
        <v>0</v>
      </c>
      <c r="E25" s="156">
        <v>0</v>
      </c>
      <c r="F25" s="156">
        <v>0</v>
      </c>
      <c r="G25" s="156">
        <v>2.5641025641025599</v>
      </c>
    </row>
    <row r="26" spans="1:7" s="1" customFormat="1" ht="12.75" customHeight="1" x14ac:dyDescent="0.2">
      <c r="A26" s="93">
        <v>24</v>
      </c>
      <c r="B26" s="156">
        <v>0</v>
      </c>
      <c r="C26" s="156">
        <v>0</v>
      </c>
      <c r="D26" s="156">
        <v>0</v>
      </c>
      <c r="E26" s="156">
        <v>0</v>
      </c>
      <c r="F26" s="156">
        <v>0</v>
      </c>
      <c r="G26" s="156">
        <v>2.5641025641025599</v>
      </c>
    </row>
    <row r="27" spans="1:7" s="1" customFormat="1" ht="12.75" customHeight="1" x14ac:dyDescent="0.2">
      <c r="A27" s="93">
        <v>25</v>
      </c>
      <c r="B27" s="156">
        <v>0</v>
      </c>
      <c r="C27" s="156">
        <v>0</v>
      </c>
      <c r="D27" s="156">
        <v>0</v>
      </c>
      <c r="E27" s="156">
        <v>0</v>
      </c>
      <c r="F27" s="156">
        <v>0</v>
      </c>
      <c r="G27" s="156">
        <v>2.5641025641025599</v>
      </c>
    </row>
    <row r="28" spans="1:7" s="1" customFormat="1" ht="12.75" customHeight="1" x14ac:dyDescent="0.2">
      <c r="A28" s="93">
        <v>26</v>
      </c>
      <c r="B28" s="156">
        <v>0</v>
      </c>
      <c r="C28" s="156">
        <v>0</v>
      </c>
      <c r="D28" s="156">
        <v>0</v>
      </c>
      <c r="E28" s="156">
        <v>0</v>
      </c>
      <c r="F28" s="156">
        <v>0</v>
      </c>
      <c r="G28" s="156">
        <v>2.5641025641025599</v>
      </c>
    </row>
    <row r="29" spans="1:7" s="1" customFormat="1" ht="12.75" customHeight="1" x14ac:dyDescent="0.2">
      <c r="A29" s="93">
        <v>27</v>
      </c>
      <c r="B29" s="156">
        <v>0</v>
      </c>
      <c r="C29" s="156">
        <v>0</v>
      </c>
      <c r="D29" s="156">
        <v>0</v>
      </c>
      <c r="E29" s="156">
        <v>0</v>
      </c>
      <c r="F29" s="156">
        <v>0</v>
      </c>
      <c r="G29" s="156">
        <v>2.5641025641025599</v>
      </c>
    </row>
    <row r="30" spans="1:7" ht="12.75" customHeight="1" x14ac:dyDescent="0.25">
      <c r="A30" s="93">
        <v>28</v>
      </c>
      <c r="B30" s="156">
        <v>0</v>
      </c>
      <c r="C30" s="156">
        <v>0</v>
      </c>
      <c r="D30" s="156">
        <v>0</v>
      </c>
      <c r="E30" s="156">
        <v>0</v>
      </c>
      <c r="F30" s="156">
        <v>0</v>
      </c>
      <c r="G30" s="156">
        <v>2.5641025641025599</v>
      </c>
    </row>
    <row r="31" spans="1:7" ht="12.75" customHeight="1" x14ac:dyDescent="0.25">
      <c r="A31" s="93">
        <v>29</v>
      </c>
      <c r="B31" s="156">
        <v>0</v>
      </c>
      <c r="C31" s="156">
        <v>0</v>
      </c>
      <c r="D31" s="156">
        <v>0</v>
      </c>
      <c r="E31" s="156">
        <v>0</v>
      </c>
      <c r="F31" s="156">
        <v>0</v>
      </c>
      <c r="G31" s="156">
        <v>2.5641025641025599</v>
      </c>
    </row>
    <row r="32" spans="1:7" ht="12.75" customHeight="1" x14ac:dyDescent="0.25">
      <c r="A32" s="93">
        <v>30</v>
      </c>
      <c r="B32" s="156">
        <v>0</v>
      </c>
      <c r="C32" s="156">
        <v>0</v>
      </c>
      <c r="D32" s="156">
        <v>0</v>
      </c>
      <c r="E32" s="156">
        <v>0</v>
      </c>
      <c r="F32" s="156">
        <v>0</v>
      </c>
      <c r="G32" s="156">
        <v>2.5641025641025599</v>
      </c>
    </row>
    <row r="33" spans="1:7" ht="12.75" customHeight="1" x14ac:dyDescent="0.25">
      <c r="A33" s="93">
        <v>31</v>
      </c>
      <c r="B33" s="156">
        <v>0</v>
      </c>
      <c r="C33" s="156">
        <v>0</v>
      </c>
      <c r="D33" s="156">
        <v>0</v>
      </c>
      <c r="E33" s="156">
        <v>0</v>
      </c>
      <c r="F33" s="156">
        <v>0</v>
      </c>
      <c r="G33" s="156">
        <v>2.5641025641025599</v>
      </c>
    </row>
    <row r="34" spans="1:7" ht="12.75" customHeight="1" x14ac:dyDescent="0.25">
      <c r="A34" s="93">
        <v>32</v>
      </c>
      <c r="B34" s="156">
        <v>0</v>
      </c>
      <c r="C34" s="156">
        <v>0</v>
      </c>
      <c r="D34" s="156">
        <v>0</v>
      </c>
      <c r="E34" s="156">
        <v>0</v>
      </c>
      <c r="F34" s="156">
        <v>0</v>
      </c>
      <c r="G34" s="156">
        <v>2.5641025641025599</v>
      </c>
    </row>
    <row r="35" spans="1:7" ht="12.75" customHeight="1" x14ac:dyDescent="0.25">
      <c r="A35" s="93">
        <v>33</v>
      </c>
      <c r="B35" s="156">
        <v>0</v>
      </c>
      <c r="C35" s="156">
        <v>0</v>
      </c>
      <c r="D35" s="156">
        <v>0</v>
      </c>
      <c r="E35" s="156">
        <v>0</v>
      </c>
      <c r="F35" s="156">
        <v>0</v>
      </c>
      <c r="G35" s="156">
        <v>2.5641025641025599</v>
      </c>
    </row>
    <row r="36" spans="1:7" ht="12.75" customHeight="1" x14ac:dyDescent="0.25">
      <c r="A36" s="93">
        <v>34</v>
      </c>
      <c r="B36" s="156">
        <v>0</v>
      </c>
      <c r="C36" s="156">
        <v>0</v>
      </c>
      <c r="D36" s="156">
        <v>0</v>
      </c>
      <c r="E36" s="156">
        <v>0</v>
      </c>
      <c r="F36" s="156">
        <v>0</v>
      </c>
      <c r="G36" s="156">
        <v>2.5641025641025599</v>
      </c>
    </row>
    <row r="37" spans="1:7" ht="12.75" customHeight="1" x14ac:dyDescent="0.25">
      <c r="A37" s="93">
        <v>35</v>
      </c>
      <c r="B37" s="156">
        <v>0</v>
      </c>
      <c r="C37" s="156">
        <v>0</v>
      </c>
      <c r="D37" s="156">
        <v>0</v>
      </c>
      <c r="E37" s="156">
        <v>0</v>
      </c>
      <c r="F37" s="156">
        <v>0</v>
      </c>
      <c r="G37" s="156">
        <v>2.5641025641025599</v>
      </c>
    </row>
    <row r="38" spans="1:7" ht="12.75" customHeight="1" x14ac:dyDescent="0.25">
      <c r="A38" s="93">
        <v>36</v>
      </c>
      <c r="B38" s="156">
        <v>0</v>
      </c>
      <c r="C38" s="156">
        <v>0</v>
      </c>
      <c r="D38" s="156">
        <v>0</v>
      </c>
      <c r="E38" s="156">
        <v>0</v>
      </c>
      <c r="F38" s="156">
        <v>0</v>
      </c>
      <c r="G38" s="156">
        <v>2.5641025641025599</v>
      </c>
    </row>
    <row r="39" spans="1:7" ht="12.75" customHeight="1" x14ac:dyDescent="0.25">
      <c r="A39" s="93">
        <v>37</v>
      </c>
      <c r="B39" s="156">
        <v>0</v>
      </c>
      <c r="C39" s="156">
        <v>0</v>
      </c>
      <c r="D39" s="156">
        <v>0</v>
      </c>
      <c r="E39" s="156">
        <v>0</v>
      </c>
      <c r="F39" s="156">
        <v>0</v>
      </c>
      <c r="G39" s="156">
        <v>2.5641025641025599</v>
      </c>
    </row>
    <row r="40" spans="1:7" ht="12.75" customHeight="1" x14ac:dyDescent="0.25">
      <c r="A40" s="93">
        <v>38</v>
      </c>
      <c r="B40" s="156">
        <v>0</v>
      </c>
      <c r="C40" s="156">
        <v>0</v>
      </c>
      <c r="D40" s="156">
        <v>0</v>
      </c>
      <c r="E40" s="156">
        <v>0</v>
      </c>
      <c r="F40" s="156">
        <v>0</v>
      </c>
      <c r="G40" s="156">
        <v>2.5641025641025599</v>
      </c>
    </row>
    <row r="41" spans="1:7" ht="12.75" customHeight="1" x14ac:dyDescent="0.25">
      <c r="A41" s="93">
        <v>39</v>
      </c>
      <c r="B41" s="156">
        <v>0</v>
      </c>
      <c r="C41" s="156">
        <v>0</v>
      </c>
      <c r="D41" s="156">
        <v>0</v>
      </c>
      <c r="E41" s="156">
        <v>0</v>
      </c>
      <c r="F41" s="156">
        <v>0</v>
      </c>
      <c r="G41" s="156">
        <v>2.5641025641025599</v>
      </c>
    </row>
    <row r="42" spans="1:7" ht="12.75" customHeight="1" x14ac:dyDescent="0.25">
      <c r="A42" s="94">
        <v>40</v>
      </c>
      <c r="B42" s="157">
        <v>0</v>
      </c>
      <c r="C42" s="157">
        <v>0</v>
      </c>
      <c r="D42" s="157">
        <v>0</v>
      </c>
      <c r="E42" s="157">
        <v>0</v>
      </c>
      <c r="F42" s="157">
        <v>0</v>
      </c>
      <c r="G42" s="157">
        <f>2.56410256410256*0.5</f>
        <v>1.2820512820512799</v>
      </c>
    </row>
    <row r="43" spans="1:7" x14ac:dyDescent="0.25">
      <c r="A43" s="91" t="s">
        <v>164</v>
      </c>
      <c r="B43" s="91"/>
      <c r="C43" s="91"/>
      <c r="D43" s="91"/>
      <c r="E43" s="91"/>
      <c r="F43" s="91"/>
      <c r="G43" s="91"/>
    </row>
    <row r="44" spans="1:7" x14ac:dyDescent="0.25">
      <c r="A44" s="91" t="s">
        <v>75</v>
      </c>
      <c r="B44" s="91"/>
      <c r="C44" s="91"/>
      <c r="D44" s="91"/>
      <c r="E44" s="91"/>
      <c r="F44" s="91"/>
      <c r="G44" s="91"/>
    </row>
    <row r="45" spans="1:7" x14ac:dyDescent="0.25">
      <c r="A45" s="260" t="s">
        <v>302</v>
      </c>
    </row>
  </sheetData>
  <pageMargins left="0.5" right="0.5" top="0.5" bottom="0.75" header="0.3" footer="0.3"/>
  <pageSetup scale="93"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275</vt:i4>
      </vt:variant>
    </vt:vector>
  </HeadingPairs>
  <TitlesOfParts>
    <vt:vector size="278" baseType="lpstr">
      <vt:lpstr>Inputs</vt:lpstr>
      <vt:lpstr>Cash Flow</vt:lpstr>
      <vt:lpstr>Depreciation Schedules</vt:lpstr>
      <vt:lpstr>analysis_period</vt:lpstr>
      <vt:lpstr>annual_fuel_usage</vt:lpstr>
      <vt:lpstr>AnnualLandLease</vt:lpstr>
      <vt:lpstr>AnnualOMCapacity</vt:lpstr>
      <vt:lpstr>AnnualOMFixed</vt:lpstr>
      <vt:lpstr>AnnualOMProduction</vt:lpstr>
      <vt:lpstr>AnnualPBIFederal</vt:lpstr>
      <vt:lpstr>AnnualPBIOther</vt:lpstr>
      <vt:lpstr>AnnualPBIState</vt:lpstr>
      <vt:lpstr>AnnualPBIUtility</vt:lpstr>
      <vt:lpstr>AnnualPTCFederal</vt:lpstr>
      <vt:lpstr>AnnualPTCState</vt:lpstr>
      <vt:lpstr>AnnualTaxFederal</vt:lpstr>
      <vt:lpstr>AnnualTaxState</vt:lpstr>
      <vt:lpstr>batt_annual_discharge_energy</vt:lpstr>
      <vt:lpstr>CapacityPayment</vt:lpstr>
      <vt:lpstr>cbi_fed_amount</vt:lpstr>
      <vt:lpstr>cbi_fed_deprbas_fed</vt:lpstr>
      <vt:lpstr>cbi_fed_deprbas_sta</vt:lpstr>
      <vt:lpstr>cbi_fed_maxvalue</vt:lpstr>
      <vt:lpstr>cbi_fed_tax_fed</vt:lpstr>
      <vt:lpstr>cbi_fed_tax_sta</vt:lpstr>
      <vt:lpstr>cbi_oth_amount</vt:lpstr>
      <vt:lpstr>cbi_oth_deprbas_fed</vt:lpstr>
      <vt:lpstr>cbi_oth_deprbas_sta</vt:lpstr>
      <vt:lpstr>cbi_oth_maxvalue</vt:lpstr>
      <vt:lpstr>cbi_oth_tax_fed</vt:lpstr>
      <vt:lpstr>cbi_oth_tax_sta</vt:lpstr>
      <vt:lpstr>cbi_sta_amount</vt:lpstr>
      <vt:lpstr>cbi_sta_deprbas_fed</vt:lpstr>
      <vt:lpstr>cbi_sta_deprbas_sta</vt:lpstr>
      <vt:lpstr>cbi_sta_maxvalue</vt:lpstr>
      <vt:lpstr>cbi_sta_tax_fed</vt:lpstr>
      <vt:lpstr>cbi_sta_tax_sta</vt:lpstr>
      <vt:lpstr>cbi_uti_amount</vt:lpstr>
      <vt:lpstr>cbi_uti_deprbas_fed</vt:lpstr>
      <vt:lpstr>cbi_uti_deprbas_sta</vt:lpstr>
      <vt:lpstr>cbi_uti_maxvalue</vt:lpstr>
      <vt:lpstr>cbi_uti_tax_fed</vt:lpstr>
      <vt:lpstr>cbi_uti_tax_sta</vt:lpstr>
      <vt:lpstr>cf_ancillary_services_1_revenue</vt:lpstr>
      <vt:lpstr>cf_ancillary_services_2_revenue</vt:lpstr>
      <vt:lpstr>cf_ancillary_services_3_revenue</vt:lpstr>
      <vt:lpstr>cf_ancillary_services_4_revenue</vt:lpstr>
      <vt:lpstr>cf_annual_cost_lcos</vt:lpstr>
      <vt:lpstr>cf_annual_discharge_lcos</vt:lpstr>
      <vt:lpstr>cf_battery_replacement_cost</vt:lpstr>
      <vt:lpstr>cf_capacity_payment</vt:lpstr>
      <vt:lpstr>cf_curtailment_value</vt:lpstr>
      <vt:lpstr>cf_disbursement_debtservice</vt:lpstr>
      <vt:lpstr>cf_energy_market_revenue</vt:lpstr>
      <vt:lpstr>cf_energy_net</vt:lpstr>
      <vt:lpstr>cf_energy_purchases</vt:lpstr>
      <vt:lpstr>cf_energy_sales</vt:lpstr>
      <vt:lpstr>cf_energy_without_battery</vt:lpstr>
      <vt:lpstr>cf_fuelcell_replacement_cost</vt:lpstr>
      <vt:lpstr>cf_funding_debtservice</vt:lpstr>
      <vt:lpstr>cf_om_capacity1_expense</vt:lpstr>
      <vt:lpstr>cf_om_capacity2_expense</vt:lpstr>
      <vt:lpstr>cf_om_fixed1_expense</vt:lpstr>
      <vt:lpstr>cf_om_fixed2_expense</vt:lpstr>
      <vt:lpstr>cf_om_fuel_expense</vt:lpstr>
      <vt:lpstr>cf_om_opt_fuel_1_expense</vt:lpstr>
      <vt:lpstr>cf_om_opt_fuel_2_expense</vt:lpstr>
      <vt:lpstr>cf_om_production1_expense</vt:lpstr>
      <vt:lpstr>cf_om_production2_expense</vt:lpstr>
      <vt:lpstr>cf_recapitalization</vt:lpstr>
      <vt:lpstr>cf_reserve_debtservice</vt:lpstr>
      <vt:lpstr>cf_thermal_value</vt:lpstr>
      <vt:lpstr>cf_utility_bill</vt:lpstr>
      <vt:lpstr>const_per_interest_rate1</vt:lpstr>
      <vt:lpstr>const_per_interest_rate2</vt:lpstr>
      <vt:lpstr>const_per_interest_rate3</vt:lpstr>
      <vt:lpstr>const_per_interest_rate4</vt:lpstr>
      <vt:lpstr>const_per_interest_rate5</vt:lpstr>
      <vt:lpstr>const_per_months1</vt:lpstr>
      <vt:lpstr>const_per_months2</vt:lpstr>
      <vt:lpstr>const_per_months3</vt:lpstr>
      <vt:lpstr>const_per_months4</vt:lpstr>
      <vt:lpstr>const_per_months5</vt:lpstr>
      <vt:lpstr>const_per_percent1</vt:lpstr>
      <vt:lpstr>const_per_percent2</vt:lpstr>
      <vt:lpstr>const_per_percent3</vt:lpstr>
      <vt:lpstr>const_per_percent4</vt:lpstr>
      <vt:lpstr>const_per_percent5</vt:lpstr>
      <vt:lpstr>const_per_upfront_rate1</vt:lpstr>
      <vt:lpstr>const_per_upfront_rate2</vt:lpstr>
      <vt:lpstr>const_per_upfront_rate3</vt:lpstr>
      <vt:lpstr>const_per_upfront_rate4</vt:lpstr>
      <vt:lpstr>const_per_upfront_rate5</vt:lpstr>
      <vt:lpstr>construction_financing_cost</vt:lpstr>
      <vt:lpstr>cost_debt_closing</vt:lpstr>
      <vt:lpstr>cost_debt_fee</vt:lpstr>
      <vt:lpstr>cost_other_financing</vt:lpstr>
      <vt:lpstr>CostDebtUpfront</vt:lpstr>
      <vt:lpstr>DebtPayment</vt:lpstr>
      <vt:lpstr>DebtPercent</vt:lpstr>
      <vt:lpstr>DebtServiceCoverageRatio</vt:lpstr>
      <vt:lpstr>depr_alloc_custom_percent</vt:lpstr>
      <vt:lpstr>depr_alloc_macrs_15_percent</vt:lpstr>
      <vt:lpstr>depr_alloc_macrs_5_percent</vt:lpstr>
      <vt:lpstr>depr_alloc_sl_15_percent</vt:lpstr>
      <vt:lpstr>depr_alloc_sl_20_percent</vt:lpstr>
      <vt:lpstr>depr_alloc_sl_39_percent</vt:lpstr>
      <vt:lpstr>depr_alloc_sl_5_percent</vt:lpstr>
      <vt:lpstr>depr_bonus_fed</vt:lpstr>
      <vt:lpstr>depr_bonus_fed_custom</vt:lpstr>
      <vt:lpstr>depr_bonus_fed_macrs_15</vt:lpstr>
      <vt:lpstr>depr_bonus_fed_macrs_5</vt:lpstr>
      <vt:lpstr>depr_bonus_fed_sl_15</vt:lpstr>
      <vt:lpstr>depr_bonus_fed_sl_20</vt:lpstr>
      <vt:lpstr>depr_bonus_fed_sl_39</vt:lpstr>
      <vt:lpstr>depr_bonus_fed_sl_5</vt:lpstr>
      <vt:lpstr>depr_bonus_sta</vt:lpstr>
      <vt:lpstr>depr_bonus_sta_custom</vt:lpstr>
      <vt:lpstr>depr_bonus_sta_macrs_15</vt:lpstr>
      <vt:lpstr>depr_bonus_sta_macrs_5</vt:lpstr>
      <vt:lpstr>depr_bonus_sta_sl_15</vt:lpstr>
      <vt:lpstr>depr_bonus_sta_sl_20</vt:lpstr>
      <vt:lpstr>depr_bonus_sta_sl_39</vt:lpstr>
      <vt:lpstr>depr_bonus_sta_sl_5</vt:lpstr>
      <vt:lpstr>depr_custom_schedule</vt:lpstr>
      <vt:lpstr>depr_itc_fed_custom</vt:lpstr>
      <vt:lpstr>depr_itc_fed_macrs_15</vt:lpstr>
      <vt:lpstr>depr_itc_fed_macrs_5</vt:lpstr>
      <vt:lpstr>depr_itc_fed_sl_15</vt:lpstr>
      <vt:lpstr>depr_itc_fed_sl_20</vt:lpstr>
      <vt:lpstr>depr_itc_fed_sl_39</vt:lpstr>
      <vt:lpstr>depr_itc_fed_sl_5</vt:lpstr>
      <vt:lpstr>depr_itc_sta_custom</vt:lpstr>
      <vt:lpstr>depr_itc_sta_macrs_15</vt:lpstr>
      <vt:lpstr>depr_itc_sta_macrs_5</vt:lpstr>
      <vt:lpstr>depr_itc_sta_sl_15</vt:lpstr>
      <vt:lpstr>depr_itc_sta_sl_20</vt:lpstr>
      <vt:lpstr>depr_itc_sta_sl_39</vt:lpstr>
      <vt:lpstr>depr_itc_sta_sl_5</vt:lpstr>
      <vt:lpstr>dscr_limit_debt_fraction</vt:lpstr>
      <vt:lpstr>dscr_maximum_debt_fraction</vt:lpstr>
      <vt:lpstr>dscr_reserve_months</vt:lpstr>
      <vt:lpstr>equip_reserve_depr_fed</vt:lpstr>
      <vt:lpstr>equip_reserve_depr_sta</vt:lpstr>
      <vt:lpstr>equip1_reserve_cost</vt:lpstr>
      <vt:lpstr>equip1_reserve_freq</vt:lpstr>
      <vt:lpstr>equip2_reserve_cost</vt:lpstr>
      <vt:lpstr>equip2_reserve_freq</vt:lpstr>
      <vt:lpstr>equip3_reserve_cost</vt:lpstr>
      <vt:lpstr>equip3_reserve_freq</vt:lpstr>
      <vt:lpstr>federal_tax_rate</vt:lpstr>
      <vt:lpstr>fuelcell_annual_energy_discharged</vt:lpstr>
      <vt:lpstr>FuelCellFuel</vt:lpstr>
      <vt:lpstr>ibi_fed_amount</vt:lpstr>
      <vt:lpstr>ibi_fed_amount_deprbas_fed</vt:lpstr>
      <vt:lpstr>ibi_fed_amount_deprbas_sta</vt:lpstr>
      <vt:lpstr>ibi_fed_amount_tax_fed</vt:lpstr>
      <vt:lpstr>ibi_fed_amount_tax_sta</vt:lpstr>
      <vt:lpstr>ibi_fed_percent</vt:lpstr>
      <vt:lpstr>ibi_fed_percent_deprbas_fed</vt:lpstr>
      <vt:lpstr>ibi_fed_percent_deprbas_sta</vt:lpstr>
      <vt:lpstr>ibi_fed_percent_maxvalue</vt:lpstr>
      <vt:lpstr>ibi_fed_percent_tax_fed</vt:lpstr>
      <vt:lpstr>ibi_fed_percent_tax_sta</vt:lpstr>
      <vt:lpstr>ibi_oth_amount</vt:lpstr>
      <vt:lpstr>ibi_oth_amount_deprbas_fed</vt:lpstr>
      <vt:lpstr>ibi_oth_amount_deprbas_sta</vt:lpstr>
      <vt:lpstr>ibi_oth_amount_tax_fed</vt:lpstr>
      <vt:lpstr>ibi_oth_amount_tax_sta</vt:lpstr>
      <vt:lpstr>ibi_oth_percent</vt:lpstr>
      <vt:lpstr>ibi_oth_percent_deprbas_fed</vt:lpstr>
      <vt:lpstr>ibi_oth_percent_deprbas_sta</vt:lpstr>
      <vt:lpstr>ibi_oth_percent_maxvalue</vt:lpstr>
      <vt:lpstr>ibi_oth_percent_tax_fed</vt:lpstr>
      <vt:lpstr>ibi_oth_percent_tax_sta</vt:lpstr>
      <vt:lpstr>ibi_sta_amount</vt:lpstr>
      <vt:lpstr>ibi_sta_amount_deprbas_fed</vt:lpstr>
      <vt:lpstr>ibi_sta_amount_deprbas_sta</vt:lpstr>
      <vt:lpstr>ibi_sta_amount_tax_fed</vt:lpstr>
      <vt:lpstr>ibi_sta_amount_tax_sta</vt:lpstr>
      <vt:lpstr>ibi_sta_percent</vt:lpstr>
      <vt:lpstr>ibi_sta_percent_deprbas_fed</vt:lpstr>
      <vt:lpstr>ibi_sta_percent_deprbas_sta</vt:lpstr>
      <vt:lpstr>ibi_sta_percent_maxvalue</vt:lpstr>
      <vt:lpstr>ibi_sta_percent_tax_fed</vt:lpstr>
      <vt:lpstr>ibi_sta_percent_tax_sta</vt:lpstr>
      <vt:lpstr>ibi_uti_amount</vt:lpstr>
      <vt:lpstr>ibi_uti_amount_deprbas_fed</vt:lpstr>
      <vt:lpstr>ibi_uti_amount_deprbas_sta</vt:lpstr>
      <vt:lpstr>ibi_uti_amount_tax_fed</vt:lpstr>
      <vt:lpstr>ibi_uti_amount_tax_sta</vt:lpstr>
      <vt:lpstr>ibi_uti_percent</vt:lpstr>
      <vt:lpstr>ibi_uti_percent_deprbas_fed</vt:lpstr>
      <vt:lpstr>ibi_uti_percent_deprbas_sta</vt:lpstr>
      <vt:lpstr>ibi_uti_percent_maxvalue</vt:lpstr>
      <vt:lpstr>ibi_uti_percent_tax_fed</vt:lpstr>
      <vt:lpstr>ibi_uti_percent_tax_sta</vt:lpstr>
      <vt:lpstr>inflation_rate</vt:lpstr>
      <vt:lpstr>insurance_rate</vt:lpstr>
      <vt:lpstr>itc_fed_amount</vt:lpstr>
      <vt:lpstr>itc_fed_amount_deprbas_fed</vt:lpstr>
      <vt:lpstr>itc_fed_amount_deprbas_sta</vt:lpstr>
      <vt:lpstr>itc_fed_percent</vt:lpstr>
      <vt:lpstr>itc_fed_percent_deprbas_fed</vt:lpstr>
      <vt:lpstr>itc_fed_percent_deprbas_sta</vt:lpstr>
      <vt:lpstr>itc_fed_percent_maxvalue</vt:lpstr>
      <vt:lpstr>itc_sta_amount</vt:lpstr>
      <vt:lpstr>itc_sta_amount_deprbas_fed</vt:lpstr>
      <vt:lpstr>itc_sta_amount_deprbas_sta</vt:lpstr>
      <vt:lpstr>itc_sta_percent</vt:lpstr>
      <vt:lpstr>itc_sta_percent_deprbas_fed</vt:lpstr>
      <vt:lpstr>itc_sta_percent_deprbas_sta</vt:lpstr>
      <vt:lpstr>itc_sta_percent_maxvalue</vt:lpstr>
      <vt:lpstr>loan_moratorium</vt:lpstr>
      <vt:lpstr>months_receivables_reserve</vt:lpstr>
      <vt:lpstr>months_working_reserve</vt:lpstr>
      <vt:lpstr>MortgageSizeOfDebt</vt:lpstr>
      <vt:lpstr>mp_enable_ancserv1</vt:lpstr>
      <vt:lpstr>mp_enable_ancserv2</vt:lpstr>
      <vt:lpstr>mp_enable_ancserv3</vt:lpstr>
      <vt:lpstr>mp_enable_ancserv4</vt:lpstr>
      <vt:lpstr>mp_enable_energy_market_revenue</vt:lpstr>
      <vt:lpstr>NominalDiscountRate</vt:lpstr>
      <vt:lpstr>om_capacity</vt:lpstr>
      <vt:lpstr>om_capacity_escal</vt:lpstr>
      <vt:lpstr>om_fixed</vt:lpstr>
      <vt:lpstr>om_fixed_escal</vt:lpstr>
      <vt:lpstr>om_fuel_cost</vt:lpstr>
      <vt:lpstr>om_fuel_cost_escal</vt:lpstr>
      <vt:lpstr>om_land_lease</vt:lpstr>
      <vt:lpstr>om_land_lease_escal</vt:lpstr>
      <vt:lpstr>om_production</vt:lpstr>
      <vt:lpstr>om_production_escal</vt:lpstr>
      <vt:lpstr>pbi_fed_amount</vt:lpstr>
      <vt:lpstr>pbi_fed_escal</vt:lpstr>
      <vt:lpstr>pbi_fed_for_ds</vt:lpstr>
      <vt:lpstr>pbi_fed_tax_fed</vt:lpstr>
      <vt:lpstr>pbi_fed_tax_sta</vt:lpstr>
      <vt:lpstr>pbi_fed_term</vt:lpstr>
      <vt:lpstr>pbi_oth_amount</vt:lpstr>
      <vt:lpstr>pbi_oth_escal</vt:lpstr>
      <vt:lpstr>pbi_oth_for_ds</vt:lpstr>
      <vt:lpstr>pbi_oth_tax_fed</vt:lpstr>
      <vt:lpstr>pbi_oth_tax_sta</vt:lpstr>
      <vt:lpstr>pbi_oth_term</vt:lpstr>
      <vt:lpstr>pbi_sta_amount</vt:lpstr>
      <vt:lpstr>pbi_sta_escal</vt:lpstr>
      <vt:lpstr>pbi_sta_for_ds</vt:lpstr>
      <vt:lpstr>pbi_sta_tax_fed</vt:lpstr>
      <vt:lpstr>pbi_sta_tax_sta</vt:lpstr>
      <vt:lpstr>pbi_sta_term</vt:lpstr>
      <vt:lpstr>pbi_uti_amount</vt:lpstr>
      <vt:lpstr>pbi_uti_escal</vt:lpstr>
      <vt:lpstr>pbi_uti_for_ds</vt:lpstr>
      <vt:lpstr>pbi_uti_tax_fed</vt:lpstr>
      <vt:lpstr>pbi_uti_tax_sta</vt:lpstr>
      <vt:lpstr>pbi_uti_term</vt:lpstr>
      <vt:lpstr>prop_tax_assessed_decline</vt:lpstr>
      <vt:lpstr>prop_tax_cost_assessed_percent</vt:lpstr>
      <vt:lpstr>property_tax_rate</vt:lpstr>
      <vt:lpstr>PropertyTaxAssessedValue</vt:lpstr>
      <vt:lpstr>ptc_fed_amount</vt:lpstr>
      <vt:lpstr>ptc_fed_escal</vt:lpstr>
      <vt:lpstr>ptc_fed_term</vt:lpstr>
      <vt:lpstr>ptc_sta_amount</vt:lpstr>
      <vt:lpstr>ptc_sta_escal</vt:lpstr>
      <vt:lpstr>ptc_sta_term</vt:lpstr>
      <vt:lpstr>real_discount_rate</vt:lpstr>
      <vt:lpstr>reserves_interest</vt:lpstr>
      <vt:lpstr>sales_tax_rate</vt:lpstr>
      <vt:lpstr>salvage_percentage</vt:lpstr>
      <vt:lpstr>state_tax_rate</vt:lpstr>
      <vt:lpstr>system_capacity</vt:lpstr>
      <vt:lpstr>system_heat_rate</vt:lpstr>
      <vt:lpstr>term_int_rate</vt:lpstr>
      <vt:lpstr>term_tenor</vt:lpstr>
      <vt:lpstr>total_installed_cost</vt:lpstr>
      <vt:lpstr>total_land_area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2022-05-12T20:40:53Z</dcterms:created>
  <dcterms:modified xsi:type="dcterms:W3CDTF">2026-04-09T23:14:49Z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assessed_decline" linkTarget="prop_tax_assessed_decline">
    <vt:r8>0</vt:r8>
  </property>
  <property fmtid="{D5CDD505-2E9C-101B-9397-08002B2CF9AE}" pid="3" name="tax_cost_assessed_percent" linkTarget="prop_tax_cost_assessed_percent">
    <vt:r8>0</vt:r8>
  </property>
</Properties>
</file>