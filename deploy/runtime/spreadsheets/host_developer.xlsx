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showInkAnnotation="0" codeName="ThisWorkbook" defaultThemeVersion="124226"/>
  <xr:revisionPtr revIDLastSave="0" documentId="13_ncr:1_{202DC3EF-6D1A-4321-9684-8E2EC55B9B00}" xr6:coauthVersionLast="47" xr6:coauthVersionMax="47" xr10:uidLastSave="{00000000-0000-0000-0000-000000000000}"/>
  <bookViews>
    <workbookView xWindow="-120" yWindow="-120" windowWidth="29040" windowHeight="15720" tabRatio="734" xr2:uid="{00000000-000D-0000-FFFF-FFFF00000000}"/>
  </bookViews>
  <sheets>
    <sheet name="Inputs" sheetId="1" r:id="rId1"/>
    <sheet name="Cash Flow" sheetId="7" r:id="rId2"/>
    <sheet name="Depreciation Schedules" sheetId="4" r:id="rId3"/>
  </sheets>
  <definedNames>
    <definedName name="analysis_period">Inputs!$C$36</definedName>
    <definedName name="annual_fuel_usage">Inputs!$C$23</definedName>
    <definedName name="AnnualLandLease">Inputs!$D$213</definedName>
    <definedName name="AnnualOMCapacity">Inputs!$D$166</definedName>
    <definedName name="AnnualOMFixed">Inputs!$D$165</definedName>
    <definedName name="AnnualOMProduction">Inputs!$D$167</definedName>
    <definedName name="AnnualPBIFederal">Inputs!$D$172</definedName>
    <definedName name="AnnualPBIOther">Inputs!$D$175</definedName>
    <definedName name="AnnualPBIState">Inputs!$D$173</definedName>
    <definedName name="AnnualPBIUtility">Inputs!$D$174</definedName>
    <definedName name="AnnualPTCFederal">Inputs!$D$184</definedName>
    <definedName name="AnnualPTCState">Inputs!$D$185</definedName>
    <definedName name="AnnualTaxFederal">Inputs!$C$170</definedName>
    <definedName name="AnnualTaxState">Inputs!$C$169</definedName>
    <definedName name="batt_annual_discharge_energy">Inputs!$C$153</definedName>
    <definedName name="cbi_fed_amount">Inputs!$C$125</definedName>
    <definedName name="cbi_fed_deprbas_fed">Inputs!$G$125</definedName>
    <definedName name="cbi_fed_deprbas_sta">Inputs!$H$125</definedName>
    <definedName name="cbi_fed_maxvalue">Inputs!$D$125</definedName>
    <definedName name="cbi_fed_tax_fed">Inputs!$E$125</definedName>
    <definedName name="cbi_fed_tax_sta">Inputs!$F$125</definedName>
    <definedName name="cbi_oth_amount">Inputs!$C$128</definedName>
    <definedName name="cbi_oth_deprbas_fed">Inputs!$G$128</definedName>
    <definedName name="cbi_oth_deprbas_sta">Inputs!$H$128</definedName>
    <definedName name="cbi_oth_maxvalue">Inputs!$D$128</definedName>
    <definedName name="cbi_oth_tax_fed">Inputs!$E$128</definedName>
    <definedName name="cbi_oth_tax_sta">Inputs!$F$128</definedName>
    <definedName name="cbi_sta_amount">Inputs!$C$126</definedName>
    <definedName name="cbi_sta_deprbas_fed">Inputs!$G$126</definedName>
    <definedName name="cbi_sta_deprbas_sta">Inputs!$H$126</definedName>
    <definedName name="cbi_sta_maxvalue">Inputs!$D$126</definedName>
    <definedName name="cbi_sta_tax_fed">Inputs!$E$126</definedName>
    <definedName name="cbi_sta_tax_sta">Inputs!$F$126</definedName>
    <definedName name="cbi_uti_amount">Inputs!$C$127</definedName>
    <definedName name="cbi_uti_deprbas_fed">Inputs!$G$127</definedName>
    <definedName name="cbi_uti_deprbas_sta">Inputs!$H$127</definedName>
    <definedName name="cbi_uti_maxvalue">Inputs!$D$127</definedName>
    <definedName name="cbi_uti_tax_fed">Inputs!$E$127</definedName>
    <definedName name="cbi_uti_tax_sta">Inputs!$F$127</definedName>
    <definedName name="cf_annual_cost_lcos">Inputs!$C$210</definedName>
    <definedName name="cf_annual_discharge_lcos">Inputs!$C$211</definedName>
    <definedName name="cf_battery_replacement_cost">Inputs!$C$190</definedName>
    <definedName name="cf_capacity_payment">Inputs!$C$158</definedName>
    <definedName name="cf_curtailment_value">Inputs!$C$159</definedName>
    <definedName name="cf_disbursement_debtservice">Inputs!$C$205</definedName>
    <definedName name="cf_energy_net">Inputs!$C$151</definedName>
    <definedName name="cf_energy_purchases">Inputs!$C$150</definedName>
    <definedName name="cf_energy_sales">Inputs!$C$149</definedName>
    <definedName name="cf_energy_value">Inputs!$C$157</definedName>
    <definedName name="cf_energy_without_battery">Inputs!$C$152</definedName>
    <definedName name="cf_fuelcell_replacement_cost">Inputs!$C$195</definedName>
    <definedName name="cf_funding_debtservice">Inputs!$C$204</definedName>
    <definedName name="cf_om_capacity1_expense">Inputs!$C$188</definedName>
    <definedName name="cf_om_capacity2_expense">Inputs!$C$193</definedName>
    <definedName name="cf_om_fixed1_expense">Inputs!$C$187</definedName>
    <definedName name="cf_om_fixed2_expense">Inputs!$C$192</definedName>
    <definedName name="cf_om_fuel_expense">Inputs!$C$198</definedName>
    <definedName name="cf_om_opt_fuel_1_expense">Inputs!$C$199</definedName>
    <definedName name="cf_om_opt_fuel_2_expense">Inputs!$C$200</definedName>
    <definedName name="cf_om_production1_expense">Inputs!$C$189</definedName>
    <definedName name="cf_om_production2_expense">Inputs!$C$194</definedName>
    <definedName name="cf_ppa_price">Inputs!$C$156</definedName>
    <definedName name="cf_recapitalization">Inputs!$C$202</definedName>
    <definedName name="cf_reserve_debtservice">Inputs!$C$206</definedName>
    <definedName name="cf_thermal_value">Inputs!$C$160</definedName>
    <definedName name="const_per_interest_rate1">Inputs!$F$80</definedName>
    <definedName name="const_per_interest_rate2">Inputs!$F$81</definedName>
    <definedName name="const_per_interest_rate3">Inputs!$F$82</definedName>
    <definedName name="const_per_interest_rate4">Inputs!$F$83</definedName>
    <definedName name="const_per_interest_rate5">Inputs!$F$84</definedName>
    <definedName name="const_per_months1">Inputs!$E$80</definedName>
    <definedName name="const_per_months2">Inputs!$E$81</definedName>
    <definedName name="const_per_months3">Inputs!$E$82</definedName>
    <definedName name="const_per_months4">Inputs!$E$83</definedName>
    <definedName name="const_per_months5">Inputs!$E$84</definedName>
    <definedName name="const_per_percent1">Inputs!$C$80</definedName>
    <definedName name="const_per_percent2">Inputs!$C$81</definedName>
    <definedName name="const_per_percent3">Inputs!$C$82</definedName>
    <definedName name="const_per_percent4">Inputs!$C$83</definedName>
    <definedName name="const_per_percent5">Inputs!$C$84</definedName>
    <definedName name="const_per_upfront_rate1">Inputs!$D$80</definedName>
    <definedName name="const_per_upfront_rate2">Inputs!$D$81</definedName>
    <definedName name="const_per_upfront_rate3">Inputs!$D$82</definedName>
    <definedName name="const_per_upfront_rate4">Inputs!$D$83</definedName>
    <definedName name="const_per_upfront_rate5">Inputs!$D$84</definedName>
    <definedName name="construction_financing_cost">Inputs!$C$76</definedName>
    <definedName name="cost_debt_closing">Inputs!$C$68</definedName>
    <definedName name="cost_debt_fee">Inputs!$C$69</definedName>
    <definedName name="cost_other_financing">Inputs!$C$73</definedName>
    <definedName name="CostDebtUpfront">Inputs!$C$70</definedName>
    <definedName name="DebtPayment">Inputs!$C$63</definedName>
    <definedName name="DebtPercent">Inputs!$C$58</definedName>
    <definedName name="DebtServiceCoverageRatio">Inputs!$C$60</definedName>
    <definedName name="depr_alloc_custom_percent">Inputs!$C$143</definedName>
    <definedName name="depr_alloc_macrs_15_percent">Inputs!$C$138</definedName>
    <definedName name="depr_alloc_macrs_5_percent">Inputs!$C$137</definedName>
    <definedName name="depr_alloc_sl_15_percent">Inputs!$C$140</definedName>
    <definedName name="depr_alloc_sl_20_percent">Inputs!$C$141</definedName>
    <definedName name="depr_alloc_sl_39_percent">Inputs!$C$142</definedName>
    <definedName name="depr_alloc_sl_5_percent">Inputs!$C$139</definedName>
    <definedName name="depr_bonus_fed">Inputs!$D$144</definedName>
    <definedName name="depr_bonus_fed_custom">Inputs!$D$143</definedName>
    <definedName name="depr_bonus_fed_macrs_15">Inputs!$D$138</definedName>
    <definedName name="depr_bonus_fed_macrs_5">Inputs!$D$137</definedName>
    <definedName name="depr_bonus_fed_sl_15">Inputs!$D$140</definedName>
    <definedName name="depr_bonus_fed_sl_20">Inputs!$D$141</definedName>
    <definedName name="depr_bonus_fed_sl_39">Inputs!$D$142</definedName>
    <definedName name="depr_bonus_fed_sl_5">Inputs!$D$139</definedName>
    <definedName name="depr_bonus_sta">Inputs!$E$144</definedName>
    <definedName name="depr_bonus_sta_custom">Inputs!$E$143</definedName>
    <definedName name="depr_bonus_sta_macrs_15">Inputs!$E$138</definedName>
    <definedName name="depr_bonus_sta_macrs_5">Inputs!$E$137</definedName>
    <definedName name="depr_bonus_sta_sl_15">Inputs!$E$140</definedName>
    <definedName name="depr_bonus_sta_sl_20">Inputs!$E$141</definedName>
    <definedName name="depr_bonus_sta_sl_39">Inputs!$E$142</definedName>
    <definedName name="depr_bonus_sta_sl_5">Inputs!$E$139</definedName>
    <definedName name="depr_custom_schedule">Inputs!$D$208</definedName>
    <definedName name="depr_itc_fed_custom">Inputs!$F$143</definedName>
    <definedName name="depr_itc_fed_macrs_15">Inputs!$F$138</definedName>
    <definedName name="depr_itc_fed_macrs_5">Inputs!$F$137</definedName>
    <definedName name="depr_itc_fed_sl_15">Inputs!$F$140</definedName>
    <definedName name="depr_itc_fed_sl_20">Inputs!$F$141</definedName>
    <definedName name="depr_itc_fed_sl_39">Inputs!$F$142</definedName>
    <definedName name="depr_itc_fed_sl_5">Inputs!$F$139</definedName>
    <definedName name="depr_itc_sta_custom">Inputs!$G$143</definedName>
    <definedName name="depr_itc_sta_macrs_15">Inputs!$G$138</definedName>
    <definedName name="depr_itc_sta_macrs_5">Inputs!$G$137</definedName>
    <definedName name="depr_itc_sta_sl_15">Inputs!$G$140</definedName>
    <definedName name="depr_itc_sta_sl_20">Inputs!$G$141</definedName>
    <definedName name="depr_itc_sta_sl_39">Inputs!$G$142</definedName>
    <definedName name="depr_itc_sta_sl_5">Inputs!$G$139</definedName>
    <definedName name="dscr_limit_debt_fraction">Inputs!$C$61</definedName>
    <definedName name="dscr_maximum_debt_fraction">Inputs!$C$62</definedName>
    <definedName name="dscr_reserve_months">Inputs!$C$90</definedName>
    <definedName name="elec_cost_with_system">Inputs!$C$162</definedName>
    <definedName name="elec_cost_without_system">Inputs!$C$163</definedName>
    <definedName name="equip_reserve_depr_fed">Inputs!$C$97</definedName>
    <definedName name="equip_reserve_depr_sta">Inputs!$C$98</definedName>
    <definedName name="equip1_reserve_cost">Inputs!$C$93</definedName>
    <definedName name="equip1_reserve_freq">Inputs!$E$93</definedName>
    <definedName name="equip2_reserve_cost">Inputs!$C$94</definedName>
    <definedName name="equip2_reserve_freq">Inputs!$E$94</definedName>
    <definedName name="equip3_reserve_cost">Inputs!$C$95</definedName>
    <definedName name="equip3_reserve_freq">Inputs!$E$95</definedName>
    <definedName name="federal_tax_rate">Inputs!$C$43</definedName>
    <definedName name="flip_target_year">Inputs!$C$31</definedName>
    <definedName name="fuelcell_annual_energy_discharged">Inputs!$C$154</definedName>
    <definedName name="FuelCellFuel">Inputs!$C$196</definedName>
    <definedName name="host_nominal_discount_rate">Inputs!$C$39</definedName>
    <definedName name="host_real_discount_rate">Inputs!$C$38</definedName>
    <definedName name="ibi_fed_amount">Inputs!$C$115</definedName>
    <definedName name="ibi_fed_amount_deprbas_fed">Inputs!$G$115</definedName>
    <definedName name="ibi_fed_amount_deprbas_sta">Inputs!$H$115</definedName>
    <definedName name="ibi_fed_amount_tax_fed">Inputs!$E$115</definedName>
    <definedName name="ibi_fed_amount_tax_sta">Inputs!$F$115</definedName>
    <definedName name="ibi_fed_percent">Inputs!$C$120</definedName>
    <definedName name="ibi_fed_percent_deprbas_fed">Inputs!$G$120</definedName>
    <definedName name="ibi_fed_percent_deprbas_sta">Inputs!$H$120</definedName>
    <definedName name="ibi_fed_percent_maxvalue">Inputs!$D$120</definedName>
    <definedName name="ibi_fed_percent_tax_fed">Inputs!$E$120</definedName>
    <definedName name="ibi_fed_percent_tax_sta">Inputs!$F$120</definedName>
    <definedName name="ibi_oth_amount">Inputs!$C$118</definedName>
    <definedName name="ibi_oth_amount_deprbas_fed">Inputs!$G$118</definedName>
    <definedName name="ibi_oth_amount_deprbas_sta">Inputs!$H$118</definedName>
    <definedName name="ibi_oth_amount_tax_fed">Inputs!$E$118</definedName>
    <definedName name="ibi_oth_amount_tax_sta">Inputs!$F$118</definedName>
    <definedName name="ibi_oth_percent">Inputs!$C$123</definedName>
    <definedName name="ibi_oth_percent_deprbas_fed">Inputs!$G$123</definedName>
    <definedName name="ibi_oth_percent_deprbas_sta">Inputs!$H$123</definedName>
    <definedName name="ibi_oth_percent_maxvalue">Inputs!$D$123</definedName>
    <definedName name="ibi_oth_percent_tax_fed">Inputs!$E$123</definedName>
    <definedName name="ibi_oth_percent_tax_sta">Inputs!$F$123</definedName>
    <definedName name="ibi_sta_amount">Inputs!$C$116</definedName>
    <definedName name="ibi_sta_amount_deprbas_fed">Inputs!$G$116</definedName>
    <definedName name="ibi_sta_amount_deprbas_sta">Inputs!$H$116</definedName>
    <definedName name="ibi_sta_amount_tax_fed">Inputs!$E$116</definedName>
    <definedName name="ibi_sta_amount_tax_sta">Inputs!$F$116</definedName>
    <definedName name="ibi_sta_percent">Inputs!$C$121</definedName>
    <definedName name="ibi_sta_percent_deprbas_fed">Inputs!$G$121</definedName>
    <definedName name="ibi_sta_percent_deprbas_sta">Inputs!$H$121</definedName>
    <definedName name="ibi_sta_percent_maxvalue">Inputs!$D$121</definedName>
    <definedName name="ibi_sta_percent_tax_fed">Inputs!$E$121</definedName>
    <definedName name="ibi_sta_percent_tax_sta">Inputs!$F$121</definedName>
    <definedName name="ibi_uti_amount">Inputs!$C$117</definedName>
    <definedName name="ibi_uti_amount_deprbas_fed">Inputs!$G$117</definedName>
    <definedName name="ibi_uti_amount_deprbas_sta">Inputs!$H$117</definedName>
    <definedName name="ibi_uti_amount_tax_fed">Inputs!$E$117</definedName>
    <definedName name="ibi_uti_amount_tax_sta">Inputs!$F$117</definedName>
    <definedName name="ibi_uti_percent">Inputs!$C$122</definedName>
    <definedName name="ibi_uti_percent_deprbas_fed">Inputs!$G$122</definedName>
    <definedName name="ibi_uti_percent_deprbas_sta">Inputs!$H$122</definedName>
    <definedName name="ibi_uti_percent_maxvalue">Inputs!$D$122</definedName>
    <definedName name="ibi_uti_percent_tax_fed">Inputs!$E$122</definedName>
    <definedName name="ibi_uti_percent_tax_sta">Inputs!$F$122</definedName>
    <definedName name="inflation_rate">Inputs!$C$37</definedName>
    <definedName name="insurance_rate">Inputs!$C$46</definedName>
    <definedName name="IRRTarget">Inputs!$C$30</definedName>
    <definedName name="itc_fed_amount">Inputs!$D$177</definedName>
    <definedName name="itc_fed_amount_deprbas_fed">Inputs!$E$103</definedName>
    <definedName name="itc_fed_amount_deprbas_sta">Inputs!$F$103</definedName>
    <definedName name="itc_fed_percent">Inputs!$D$179</definedName>
    <definedName name="itc_fed_percent_deprbas_fed">Inputs!$E$106</definedName>
    <definedName name="itc_fed_percent_deprbas_sta">Inputs!$F$106</definedName>
    <definedName name="itc_fed_percent_maxvalue">Inputs!$D$180</definedName>
    <definedName name="itc_sta_amount">Inputs!$D$178</definedName>
    <definedName name="itc_sta_amount_deprbas_fed">Inputs!$E$104</definedName>
    <definedName name="itc_sta_amount_deprbas_sta">Inputs!$F$104</definedName>
    <definedName name="itc_sta_percent">Inputs!$D$181</definedName>
    <definedName name="itc_sta_percent_deprbas_fed">Inputs!$E$107</definedName>
    <definedName name="itc_sta_percent_deprbas_sta">Inputs!$F$107</definedName>
    <definedName name="itc_sta_percent_maxvalue">Inputs!$D$182</definedName>
    <definedName name="loan_moratorium">Inputs!$C$66</definedName>
    <definedName name="months_receivables_reserve">Inputs!$C$91</definedName>
    <definedName name="months_working_reserve">Inputs!$C$89</definedName>
    <definedName name="MortgageSizeOfDebt">Inputs!$C$59</definedName>
    <definedName name="NominalDiscountRate">Inputs!$C$41</definedName>
    <definedName name="om_capacity">Inputs!$C$11</definedName>
    <definedName name="om_capacity_escal">Inputs!$C$12</definedName>
    <definedName name="om_fixed">Inputs!$C$9</definedName>
    <definedName name="om_fixed_escal">Inputs!$C$10</definedName>
    <definedName name="om_fuel_cost">Inputs!$C$25</definedName>
    <definedName name="om_fuel_cost_escal">Inputs!$C$26</definedName>
    <definedName name="om_land_lease">Inputs!$C$18</definedName>
    <definedName name="om_land_lease_escal">Inputs!$C$19</definedName>
    <definedName name="om_production">Inputs!$C$13</definedName>
    <definedName name="om_production_escal">Inputs!$C$14</definedName>
    <definedName name="pbi_fed_amount">Inputs!$C$130</definedName>
    <definedName name="pbi_fed_escal">Inputs!$E$130</definedName>
    <definedName name="pbi_fed_for_ds">Inputs!$H$130</definedName>
    <definedName name="pbi_fed_tax_fed">Inputs!$F$130</definedName>
    <definedName name="pbi_fed_tax_sta">Inputs!$G$130</definedName>
    <definedName name="pbi_fed_term">Inputs!$D$130</definedName>
    <definedName name="pbi_oth_amount">Inputs!$C$133</definedName>
    <definedName name="pbi_oth_escal">Inputs!$E$133</definedName>
    <definedName name="pbi_oth_for_ds">Inputs!$H$133</definedName>
    <definedName name="pbi_oth_tax_fed">Inputs!$F$133</definedName>
    <definedName name="pbi_oth_tax_sta">Inputs!$G$133</definedName>
    <definedName name="pbi_oth_term">Inputs!$D$133</definedName>
    <definedName name="pbi_sta_amount">Inputs!$C$131</definedName>
    <definedName name="pbi_sta_escal">Inputs!$E$131</definedName>
    <definedName name="pbi_sta_for_ds">Inputs!$H$131</definedName>
    <definedName name="pbi_sta_tax_fed">Inputs!$F$131</definedName>
    <definedName name="pbi_sta_tax_sta">Inputs!$G$131</definedName>
    <definedName name="pbi_sta_term">Inputs!$D$131</definedName>
    <definedName name="pbi_uti_amount">Inputs!$C$132</definedName>
    <definedName name="pbi_uti_escal">Inputs!$E$132</definedName>
    <definedName name="pbi_uti_for_ds">Inputs!$H$132</definedName>
    <definedName name="pbi_uti_tax_fed">Inputs!$F$132</definedName>
    <definedName name="pbi_uti_tax_sta">Inputs!$G$132</definedName>
    <definedName name="pbi_uti_term">Inputs!$D$132</definedName>
    <definedName name="ppa_escalation">Inputs!$C$33</definedName>
    <definedName name="PPAPriceInput">Inputs!$C$32</definedName>
    <definedName name="prop_tax_assessed_decline">Inputs!$C$50</definedName>
    <definedName name="prop_tax_cost_assessed_percent">Inputs!$C$48</definedName>
    <definedName name="property_tax_rate">Inputs!$C$51</definedName>
    <definedName name="PropertyTaxAssessedValue">Inputs!$C$49</definedName>
    <definedName name="ptc_fed_amount">Inputs!$C$109</definedName>
    <definedName name="ptc_fed_escal">Inputs!$E$109</definedName>
    <definedName name="ptc_fed_term">Inputs!$D$109</definedName>
    <definedName name="ptc_sta_amount">Inputs!$C$110</definedName>
    <definedName name="ptc_sta_escal">Inputs!$E$110</definedName>
    <definedName name="ptc_sta_term">Inputs!$D$110</definedName>
    <definedName name="real_discount_rate">Inputs!$C$40</definedName>
    <definedName name="reserves_interest">Inputs!$C$88</definedName>
    <definedName name="sales_tax_rate">Inputs!$C$45</definedName>
    <definedName name="salvage_percentage">Inputs!$C$53</definedName>
    <definedName name="solver_adj" localSheetId="0" hidden="1">Inputs!#REF!</definedName>
    <definedName name="solver_cvg" localSheetId="0" hidden="1">0.0001</definedName>
    <definedName name="solver_drv" localSheetId="0" hidden="1">1</definedName>
    <definedName name="solver_est" localSheetId="0" hidden="1">1</definedName>
    <definedName name="solver_itr" localSheetId="0" hidden="1">100</definedName>
    <definedName name="solver_lin" localSheetId="0" hidden="1">2</definedName>
    <definedName name="solver_neg" localSheetId="0" hidden="1">2</definedName>
    <definedName name="solver_num" localSheetId="0" hidden="1">0</definedName>
    <definedName name="solver_nwt" localSheetId="0" hidden="1">1</definedName>
    <definedName name="solver_opt" localSheetId="0" hidden="1">Inputs!#REF!</definedName>
    <definedName name="solver_pre" localSheetId="0" hidden="1">0.000001</definedName>
    <definedName name="solver_scl" localSheetId="0" hidden="1">2</definedName>
    <definedName name="solver_sho" localSheetId="0" hidden="1">2</definedName>
    <definedName name="solver_tim" localSheetId="0" hidden="1">100</definedName>
    <definedName name="solver_tol" localSheetId="0" hidden="1">0.05</definedName>
    <definedName name="solver_typ" localSheetId="0" hidden="1">3</definedName>
    <definedName name="solver_val" localSheetId="0" hidden="1">0.1</definedName>
    <definedName name="state_tax_rate">Inputs!$C$44</definedName>
    <definedName name="system_capacity">Inputs!$C$3</definedName>
    <definedName name="system_heat_rate">Inputs!$C$24</definedName>
    <definedName name="term_int_rate">Inputs!$C$67</definedName>
    <definedName name="term_tenor">Inputs!$C$65</definedName>
    <definedName name="TODMultipliersApply">Inputs!$C$34</definedName>
    <definedName name="total_installed_cost">Inputs!$C$6</definedName>
    <definedName name="total_land_area">Inputs!$C$17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95" i="1" l="1"/>
  <c r="D94" i="1"/>
  <c r="D93" i="1"/>
  <c r="B257" i="7"/>
  <c r="A526" i="7"/>
  <c r="A527" i="7" s="1"/>
  <c r="A528" i="7" s="1"/>
  <c r="A529" i="7" s="1"/>
  <c r="A530" i="7" s="1"/>
  <c r="A531" i="7" s="1"/>
  <c r="A532" i="7" s="1"/>
  <c r="A533" i="7" s="1"/>
  <c r="A534" i="7" s="1"/>
  <c r="A514" i="7"/>
  <c r="A515" i="7" s="1"/>
  <c r="A516" i="7" s="1"/>
  <c r="A517" i="7" s="1"/>
  <c r="A518" i="7" s="1"/>
  <c r="A519" i="7" s="1"/>
  <c r="A520" i="7" s="1"/>
  <c r="A521" i="7" s="1"/>
  <c r="A522" i="7" s="1"/>
  <c r="A500" i="7"/>
  <c r="A501" i="7" s="1"/>
  <c r="A502" i="7" s="1"/>
  <c r="A503" i="7" s="1"/>
  <c r="A504" i="7" s="1"/>
  <c r="A505" i="7" s="1"/>
  <c r="A506" i="7" s="1"/>
  <c r="A507" i="7" s="1"/>
  <c r="A508" i="7" s="1"/>
  <c r="A488" i="7"/>
  <c r="A489" i="7" s="1"/>
  <c r="A490" i="7" s="1"/>
  <c r="A491" i="7" s="1"/>
  <c r="A492" i="7" s="1"/>
  <c r="A493" i="7" s="1"/>
  <c r="A494" i="7" s="1"/>
  <c r="A495" i="7" s="1"/>
  <c r="A496" i="7" s="1"/>
  <c r="A474" i="7"/>
  <c r="A475" i="7" s="1"/>
  <c r="A476" i="7" s="1"/>
  <c r="A477" i="7" s="1"/>
  <c r="A478" i="7" s="1"/>
  <c r="A479" i="7" s="1"/>
  <c r="A480" i="7" s="1"/>
  <c r="A481" i="7" s="1"/>
  <c r="A482" i="7" s="1"/>
  <c r="A462" i="7"/>
  <c r="A463" i="7" s="1"/>
  <c r="A464" i="7" s="1"/>
  <c r="A465" i="7" s="1"/>
  <c r="A466" i="7" s="1"/>
  <c r="A467" i="7" s="1"/>
  <c r="A468" i="7" s="1"/>
  <c r="A469" i="7" s="1"/>
  <c r="A470" i="7" s="1"/>
  <c r="G263" i="7" l="1"/>
  <c r="C238" i="7" l="1"/>
  <c r="C237" i="7"/>
  <c r="C236" i="7"/>
  <c r="C235" i="7"/>
  <c r="C195" i="7"/>
  <c r="C198" i="7"/>
  <c r="C197" i="7"/>
  <c r="C196" i="7"/>
  <c r="C192" i="7"/>
  <c r="C191" i="7"/>
  <c r="C190" i="7"/>
  <c r="C232" i="7"/>
  <c r="C231" i="7"/>
  <c r="C230" i="7"/>
  <c r="C229" i="7"/>
  <c r="C223" i="7"/>
  <c r="P401" i="7"/>
  <c r="N269" i="7"/>
  <c r="B254" i="7"/>
  <c r="B256" i="7"/>
  <c r="B255" i="7"/>
  <c r="B407" i="7"/>
  <c r="C548" i="7" a="1"/>
  <c r="C548" i="7" s="1"/>
  <c r="C547" i="7" a="1"/>
  <c r="AH547" i="7" s="1"/>
  <c r="C546" i="7" a="1"/>
  <c r="D546" i="7" s="1"/>
  <c r="C542" i="7" a="1"/>
  <c r="D542" i="7" s="1"/>
  <c r="C541" i="7" a="1"/>
  <c r="F541" i="7" s="1"/>
  <c r="C540" i="7" a="1"/>
  <c r="F540" i="7" s="1"/>
  <c r="D107" i="1"/>
  <c r="D106" i="1"/>
  <c r="C107" i="1"/>
  <c r="C106" i="1"/>
  <c r="C104" i="1"/>
  <c r="C103" i="1"/>
  <c r="B642" i="7"/>
  <c r="B648" i="7"/>
  <c r="AP650" i="7"/>
  <c r="B31" i="7" a="1"/>
  <c r="O31" i="7" s="1"/>
  <c r="B70" i="7" a="1"/>
  <c r="B70" i="7" s="1"/>
  <c r="B67" i="7" a="1"/>
  <c r="C67" i="7" s="1"/>
  <c r="B62" i="7" a="1"/>
  <c r="E62" i="7" s="1"/>
  <c r="B57" i="7" a="1"/>
  <c r="B57" i="7" s="1"/>
  <c r="B8" i="7" a="1"/>
  <c r="B8" i="7" s="1"/>
  <c r="B5" i="7" a="1"/>
  <c r="D5" i="7" s="1"/>
  <c r="D156" i="7" s="1"/>
  <c r="B258" i="7" l="1"/>
  <c r="P541" i="7"/>
  <c r="L541" i="7"/>
  <c r="K541" i="7"/>
  <c r="R541" i="7"/>
  <c r="G541" i="7"/>
  <c r="O541" i="7"/>
  <c r="L540" i="7"/>
  <c r="T541" i="7"/>
  <c r="S541" i="7"/>
  <c r="K540" i="7"/>
  <c r="H540" i="7"/>
  <c r="D540" i="7"/>
  <c r="O540" i="7"/>
  <c r="G540" i="7"/>
  <c r="C540" i="7"/>
  <c r="D556" i="7"/>
  <c r="D593" i="7"/>
  <c r="D16" i="7"/>
  <c r="AJ547" i="7"/>
  <c r="E547" i="7"/>
  <c r="D547" i="7"/>
  <c r="AN547" i="7"/>
  <c r="F547" i="7"/>
  <c r="AP547" i="7"/>
  <c r="S547" i="7"/>
  <c r="AA547" i="7"/>
  <c r="G547" i="7"/>
  <c r="K547" i="7"/>
  <c r="R547" i="7"/>
  <c r="T547" i="7"/>
  <c r="W547" i="7"/>
  <c r="Z547" i="7"/>
  <c r="H547" i="7"/>
  <c r="O547" i="7"/>
  <c r="X547" i="7"/>
  <c r="J547" i="7"/>
  <c r="L547" i="7"/>
  <c r="N547" i="7"/>
  <c r="P547" i="7"/>
  <c r="V547" i="7"/>
  <c r="AB547" i="7"/>
  <c r="AM547" i="7"/>
  <c r="AI547" i="7"/>
  <c r="C547" i="7"/>
  <c r="AL547" i="7"/>
  <c r="D18" i="7"/>
  <c r="D562" i="7"/>
  <c r="D597" i="7"/>
  <c r="D589" i="7"/>
  <c r="D601" i="7"/>
  <c r="AJ540" i="7"/>
  <c r="AI541" i="7"/>
  <c r="AH541" i="7"/>
  <c r="AF541" i="7"/>
  <c r="AE541" i="7"/>
  <c r="AB540" i="7"/>
  <c r="AA540" i="7"/>
  <c r="W540" i="7"/>
  <c r="Z541" i="7"/>
  <c r="T540" i="7"/>
  <c r="X541" i="7"/>
  <c r="AF547" i="7"/>
  <c r="H541" i="7"/>
  <c r="AP541" i="7"/>
  <c r="AN541" i="7"/>
  <c r="D541" i="7"/>
  <c r="AM541" i="7"/>
  <c r="C541" i="7"/>
  <c r="AL541" i="7"/>
  <c r="AI540" i="7"/>
  <c r="AF540" i="7"/>
  <c r="X540" i="7"/>
  <c r="AA541" i="7"/>
  <c r="S540" i="7"/>
  <c r="W541" i="7"/>
  <c r="AE547" i="7"/>
  <c r="AN540" i="7"/>
  <c r="AM540" i="7"/>
  <c r="AJ541" i="7"/>
  <c r="AE540" i="7"/>
  <c r="AD541" i="7"/>
  <c r="AB541" i="7"/>
  <c r="P540" i="7"/>
  <c r="V541" i="7"/>
  <c r="AD547" i="7"/>
  <c r="AL548" i="7"/>
  <c r="AD548" i="7"/>
  <c r="V548" i="7"/>
  <c r="J548" i="7"/>
  <c r="AK548" i="7"/>
  <c r="AC548" i="7"/>
  <c r="Y548" i="7"/>
  <c r="U548" i="7"/>
  <c r="Q548" i="7"/>
  <c r="M548" i="7"/>
  <c r="E548" i="7"/>
  <c r="AN548" i="7"/>
  <c r="AJ548" i="7"/>
  <c r="AF548" i="7"/>
  <c r="AB548" i="7"/>
  <c r="X548" i="7"/>
  <c r="T548" i="7"/>
  <c r="P548" i="7"/>
  <c r="L548" i="7"/>
  <c r="H548" i="7"/>
  <c r="D548" i="7"/>
  <c r="AP548" i="7"/>
  <c r="AH548" i="7"/>
  <c r="Z548" i="7"/>
  <c r="R548" i="7"/>
  <c r="N548" i="7"/>
  <c r="F548" i="7"/>
  <c r="AO548" i="7"/>
  <c r="AG548" i="7"/>
  <c r="I548" i="7"/>
  <c r="AM548" i="7"/>
  <c r="AI548" i="7"/>
  <c r="AE548" i="7"/>
  <c r="AA548" i="7"/>
  <c r="W548" i="7"/>
  <c r="S548" i="7"/>
  <c r="O548" i="7"/>
  <c r="K548" i="7"/>
  <c r="G548" i="7"/>
  <c r="AO547" i="7"/>
  <c r="AK547" i="7"/>
  <c r="AG547" i="7"/>
  <c r="AC547" i="7"/>
  <c r="Y547" i="7"/>
  <c r="U547" i="7"/>
  <c r="Q547" i="7"/>
  <c r="M547" i="7"/>
  <c r="I547" i="7"/>
  <c r="AO546" i="7"/>
  <c r="AK546" i="7"/>
  <c r="AG546" i="7"/>
  <c r="AC546" i="7"/>
  <c r="Y546" i="7"/>
  <c r="U546" i="7"/>
  <c r="Q546" i="7"/>
  <c r="M546" i="7"/>
  <c r="I546" i="7"/>
  <c r="E546" i="7"/>
  <c r="AM546" i="7"/>
  <c r="AI546" i="7"/>
  <c r="AE546" i="7"/>
  <c r="AA546" i="7"/>
  <c r="W546" i="7"/>
  <c r="S546" i="7"/>
  <c r="O546" i="7"/>
  <c r="K546" i="7"/>
  <c r="G546" i="7"/>
  <c r="C546" i="7"/>
  <c r="AP546" i="7"/>
  <c r="AL546" i="7"/>
  <c r="AH546" i="7"/>
  <c r="AD546" i="7"/>
  <c r="Z546" i="7"/>
  <c r="V546" i="7"/>
  <c r="R546" i="7"/>
  <c r="N546" i="7"/>
  <c r="J546" i="7"/>
  <c r="F546" i="7"/>
  <c r="AN546" i="7"/>
  <c r="AJ546" i="7"/>
  <c r="AF546" i="7"/>
  <c r="AB546" i="7"/>
  <c r="X546" i="7"/>
  <c r="T546" i="7"/>
  <c r="P546" i="7"/>
  <c r="L546" i="7"/>
  <c r="H546" i="7"/>
  <c r="AO542" i="7"/>
  <c r="AK542" i="7"/>
  <c r="AG542" i="7"/>
  <c r="AC542" i="7"/>
  <c r="Y542" i="7"/>
  <c r="U542" i="7"/>
  <c r="Q542" i="7"/>
  <c r="M542" i="7"/>
  <c r="I542" i="7"/>
  <c r="E542" i="7"/>
  <c r="AM542" i="7"/>
  <c r="AI542" i="7"/>
  <c r="AE542" i="7"/>
  <c r="AA542" i="7"/>
  <c r="W542" i="7"/>
  <c r="S542" i="7"/>
  <c r="O542" i="7"/>
  <c r="K542" i="7"/>
  <c r="G542" i="7"/>
  <c r="C542" i="7"/>
  <c r="AP542" i="7"/>
  <c r="AL542" i="7"/>
  <c r="AH542" i="7"/>
  <c r="AD542" i="7"/>
  <c r="Z542" i="7"/>
  <c r="V542" i="7"/>
  <c r="R542" i="7"/>
  <c r="N542" i="7"/>
  <c r="J542" i="7"/>
  <c r="F542" i="7"/>
  <c r="AN542" i="7"/>
  <c r="AJ542" i="7"/>
  <c r="AF542" i="7"/>
  <c r="AB542" i="7"/>
  <c r="X542" i="7"/>
  <c r="T542" i="7"/>
  <c r="P542" i="7"/>
  <c r="L542" i="7"/>
  <c r="H542" i="7"/>
  <c r="AO541" i="7"/>
  <c r="AK541" i="7"/>
  <c r="AG541" i="7"/>
  <c r="AC541" i="7"/>
  <c r="Y541" i="7"/>
  <c r="U541" i="7"/>
  <c r="Q541" i="7"/>
  <c r="M541" i="7"/>
  <c r="I541" i="7"/>
  <c r="E541" i="7"/>
  <c r="N541" i="7"/>
  <c r="J541" i="7"/>
  <c r="AO540" i="7"/>
  <c r="AK540" i="7"/>
  <c r="AG540" i="7"/>
  <c r="AC540" i="7"/>
  <c r="Y540" i="7"/>
  <c r="U540" i="7"/>
  <c r="Q540" i="7"/>
  <c r="M540" i="7"/>
  <c r="I540" i="7"/>
  <c r="E540" i="7"/>
  <c r="AP540" i="7"/>
  <c r="AL540" i="7"/>
  <c r="AH540" i="7"/>
  <c r="AD540" i="7"/>
  <c r="Z540" i="7"/>
  <c r="V540" i="7"/>
  <c r="R540" i="7"/>
  <c r="N540" i="7"/>
  <c r="J540" i="7"/>
  <c r="AH32" i="7"/>
  <c r="T33" i="7"/>
  <c r="B32" i="7"/>
  <c r="AJ33" i="7"/>
  <c r="K31" i="7"/>
  <c r="AC33" i="7"/>
  <c r="M33" i="7"/>
  <c r="V32" i="7"/>
  <c r="AE31" i="7"/>
  <c r="AB33" i="7"/>
  <c r="I33" i="7"/>
  <c r="R32" i="7"/>
  <c r="AA31" i="7"/>
  <c r="AK33" i="7"/>
  <c r="U33" i="7"/>
  <c r="AL32" i="7"/>
  <c r="F32" i="7"/>
  <c r="D31" i="7"/>
  <c r="C31" i="7"/>
  <c r="S31" i="7"/>
  <c r="AI31" i="7"/>
  <c r="J32" i="7"/>
  <c r="Z32" i="7"/>
  <c r="AP32" i="7"/>
  <c r="P33" i="7"/>
  <c r="X33" i="7"/>
  <c r="AF33" i="7"/>
  <c r="AN33" i="7"/>
  <c r="G31" i="7"/>
  <c r="W31" i="7"/>
  <c r="AM31" i="7"/>
  <c r="N32" i="7"/>
  <c r="AD32" i="7"/>
  <c r="E33" i="7"/>
  <c r="Q33" i="7"/>
  <c r="Y33" i="7"/>
  <c r="AG33" i="7"/>
  <c r="AO33" i="7"/>
  <c r="L33" i="7"/>
  <c r="H33" i="7"/>
  <c r="D33" i="7"/>
  <c r="AO32" i="7"/>
  <c r="AK32" i="7"/>
  <c r="AG32" i="7"/>
  <c r="AC32" i="7"/>
  <c r="Y32" i="7"/>
  <c r="U32" i="7"/>
  <c r="Q32" i="7"/>
  <c r="M32" i="7"/>
  <c r="I32" i="7"/>
  <c r="E32" i="7"/>
  <c r="AP31" i="7"/>
  <c r="AL31" i="7"/>
  <c r="AH31" i="7"/>
  <c r="AD31" i="7"/>
  <c r="Z31" i="7"/>
  <c r="V31" i="7"/>
  <c r="R31" i="7"/>
  <c r="N31" i="7"/>
  <c r="J31" i="7"/>
  <c r="F31" i="7"/>
  <c r="B31" i="7"/>
  <c r="AM33" i="7"/>
  <c r="AI33" i="7"/>
  <c r="AE33" i="7"/>
  <c r="AA33" i="7"/>
  <c r="W33" i="7"/>
  <c r="S33" i="7"/>
  <c r="O33" i="7"/>
  <c r="K33" i="7"/>
  <c r="G33" i="7"/>
  <c r="C33" i="7"/>
  <c r="AN32" i="7"/>
  <c r="AJ32" i="7"/>
  <c r="AF32" i="7"/>
  <c r="AB32" i="7"/>
  <c r="X32" i="7"/>
  <c r="T32" i="7"/>
  <c r="P32" i="7"/>
  <c r="L32" i="7"/>
  <c r="H32" i="7"/>
  <c r="D32" i="7"/>
  <c r="AO31" i="7"/>
  <c r="AK31" i="7"/>
  <c r="AG31" i="7"/>
  <c r="AC31" i="7"/>
  <c r="Y31" i="7"/>
  <c r="U31" i="7"/>
  <c r="Q31" i="7"/>
  <c r="M31" i="7"/>
  <c r="I31" i="7"/>
  <c r="E31" i="7"/>
  <c r="AP33" i="7"/>
  <c r="AL33" i="7"/>
  <c r="AH33" i="7"/>
  <c r="AD33" i="7"/>
  <c r="Z33" i="7"/>
  <c r="V33" i="7"/>
  <c r="R33" i="7"/>
  <c r="N33" i="7"/>
  <c r="J33" i="7"/>
  <c r="F33" i="7"/>
  <c r="B33" i="7"/>
  <c r="AM32" i="7"/>
  <c r="AI32" i="7"/>
  <c r="AE32" i="7"/>
  <c r="AA32" i="7"/>
  <c r="W32" i="7"/>
  <c r="S32" i="7"/>
  <c r="O32" i="7"/>
  <c r="K32" i="7"/>
  <c r="G32" i="7"/>
  <c r="C32" i="7"/>
  <c r="AN31" i="7"/>
  <c r="AJ31" i="7"/>
  <c r="AF31" i="7"/>
  <c r="AB31" i="7"/>
  <c r="X31" i="7"/>
  <c r="T31" i="7"/>
  <c r="P31" i="7"/>
  <c r="L31" i="7"/>
  <c r="H31" i="7"/>
  <c r="D27" i="7"/>
  <c r="AB70" i="7"/>
  <c r="K70" i="7"/>
  <c r="W70" i="7"/>
  <c r="AM70" i="7"/>
  <c r="Q70" i="7"/>
  <c r="AF70" i="7"/>
  <c r="L70" i="7"/>
  <c r="AG70" i="7"/>
  <c r="U70" i="7"/>
  <c r="G70" i="7"/>
  <c r="AK70" i="7"/>
  <c r="AA70" i="7"/>
  <c r="P70" i="7"/>
  <c r="E70" i="7"/>
  <c r="AL60" i="7"/>
  <c r="V60" i="7"/>
  <c r="AI69" i="7"/>
  <c r="AA69" i="7"/>
  <c r="S69" i="7"/>
  <c r="H69" i="7"/>
  <c r="AG68" i="7"/>
  <c r="Q68" i="7"/>
  <c r="AP67" i="7"/>
  <c r="Z67" i="7"/>
  <c r="J67" i="7"/>
  <c r="AO70" i="7"/>
  <c r="AJ70" i="7"/>
  <c r="AE70" i="7"/>
  <c r="Y70" i="7"/>
  <c r="T70" i="7"/>
  <c r="O70" i="7"/>
  <c r="I70" i="7"/>
  <c r="D70" i="7"/>
  <c r="AD60" i="7"/>
  <c r="N60" i="7"/>
  <c r="AN69" i="7"/>
  <c r="AF69" i="7"/>
  <c r="X69" i="7"/>
  <c r="P69" i="7"/>
  <c r="D69" i="7"/>
  <c r="AC68" i="7"/>
  <c r="M68" i="7"/>
  <c r="AL67" i="7"/>
  <c r="V67" i="7"/>
  <c r="F67" i="7"/>
  <c r="AN70" i="7"/>
  <c r="AI70" i="7"/>
  <c r="AC70" i="7"/>
  <c r="X70" i="7"/>
  <c r="S70" i="7"/>
  <c r="M70" i="7"/>
  <c r="H70" i="7"/>
  <c r="C70" i="7"/>
  <c r="AJ69" i="7"/>
  <c r="AB69" i="7"/>
  <c r="T69" i="7"/>
  <c r="L69" i="7"/>
  <c r="AK68" i="7"/>
  <c r="U68" i="7"/>
  <c r="E68" i="7"/>
  <c r="AD67" i="7"/>
  <c r="N67" i="7"/>
  <c r="AH60" i="7"/>
  <c r="R60" i="7"/>
  <c r="AP60" i="7"/>
  <c r="Z60" i="7"/>
  <c r="J60" i="7"/>
  <c r="AM69" i="7"/>
  <c r="AE69" i="7"/>
  <c r="W69" i="7"/>
  <c r="O69" i="7"/>
  <c r="AO68" i="7"/>
  <c r="Y68" i="7"/>
  <c r="I68" i="7"/>
  <c r="AH67" i="7"/>
  <c r="R67" i="7"/>
  <c r="B67" i="7"/>
  <c r="AP70" i="7"/>
  <c r="AL70" i="7"/>
  <c r="AH70" i="7"/>
  <c r="AD70" i="7"/>
  <c r="Z70" i="7"/>
  <c r="V70" i="7"/>
  <c r="R70" i="7"/>
  <c r="N70" i="7"/>
  <c r="J70" i="7"/>
  <c r="F70" i="7"/>
  <c r="K69" i="7"/>
  <c r="G69" i="7"/>
  <c r="C69" i="7"/>
  <c r="AN68" i="7"/>
  <c r="AJ68" i="7"/>
  <c r="AF68" i="7"/>
  <c r="AB68" i="7"/>
  <c r="X68" i="7"/>
  <c r="T68" i="7"/>
  <c r="P68" i="7"/>
  <c r="L68" i="7"/>
  <c r="H68" i="7"/>
  <c r="D68" i="7"/>
  <c r="AO67" i="7"/>
  <c r="AK67" i="7"/>
  <c r="AG67" i="7"/>
  <c r="AC67" i="7"/>
  <c r="Y67" i="7"/>
  <c r="U67" i="7"/>
  <c r="Q67" i="7"/>
  <c r="M67" i="7"/>
  <c r="I67" i="7"/>
  <c r="E67" i="7"/>
  <c r="AP69" i="7"/>
  <c r="AL69" i="7"/>
  <c r="AH69" i="7"/>
  <c r="AD69" i="7"/>
  <c r="Z69" i="7"/>
  <c r="V69" i="7"/>
  <c r="R69" i="7"/>
  <c r="N69" i="7"/>
  <c r="J69" i="7"/>
  <c r="F69" i="7"/>
  <c r="B69" i="7"/>
  <c r="AM68" i="7"/>
  <c r="AI68" i="7"/>
  <c r="AE68" i="7"/>
  <c r="AA68" i="7"/>
  <c r="W68" i="7"/>
  <c r="S68" i="7"/>
  <c r="O68" i="7"/>
  <c r="K68" i="7"/>
  <c r="G68" i="7"/>
  <c r="C68" i="7"/>
  <c r="AN67" i="7"/>
  <c r="AJ67" i="7"/>
  <c r="AF67" i="7"/>
  <c r="AB67" i="7"/>
  <c r="X67" i="7"/>
  <c r="T67" i="7"/>
  <c r="P67" i="7"/>
  <c r="L67" i="7"/>
  <c r="H67" i="7"/>
  <c r="D67" i="7"/>
  <c r="AO69" i="7"/>
  <c r="AK69" i="7"/>
  <c r="AG69" i="7"/>
  <c r="AC69" i="7"/>
  <c r="Y69" i="7"/>
  <c r="U69" i="7"/>
  <c r="Q69" i="7"/>
  <c r="M69" i="7"/>
  <c r="I69" i="7"/>
  <c r="E69" i="7"/>
  <c r="AP68" i="7"/>
  <c r="AL68" i="7"/>
  <c r="AH68" i="7"/>
  <c r="AD68" i="7"/>
  <c r="Z68" i="7"/>
  <c r="V68" i="7"/>
  <c r="R68" i="7"/>
  <c r="N68" i="7"/>
  <c r="J68" i="7"/>
  <c r="F68" i="7"/>
  <c r="B68" i="7"/>
  <c r="AM67" i="7"/>
  <c r="AI67" i="7"/>
  <c r="AE67" i="7"/>
  <c r="AA67" i="7"/>
  <c r="W67" i="7"/>
  <c r="S67" i="7"/>
  <c r="O67" i="7"/>
  <c r="K67" i="7"/>
  <c r="G67" i="7"/>
  <c r="AE66" i="7"/>
  <c r="O66" i="7"/>
  <c r="AN65" i="7"/>
  <c r="P65" i="7"/>
  <c r="AN63" i="7"/>
  <c r="AJ66" i="7"/>
  <c r="AJ63" i="7"/>
  <c r="AK66" i="7"/>
  <c r="W66" i="7"/>
  <c r="G66" i="7"/>
  <c r="AF65" i="7"/>
  <c r="X65" i="7"/>
  <c r="F65" i="7"/>
  <c r="AE64" i="7"/>
  <c r="O64" i="7"/>
  <c r="X63" i="7"/>
  <c r="H63" i="7"/>
  <c r="AG62" i="7"/>
  <c r="Q62" i="7"/>
  <c r="AO66" i="7"/>
  <c r="AC66" i="7"/>
  <c r="U66" i="7"/>
  <c r="M66" i="7"/>
  <c r="E66" i="7"/>
  <c r="AL65" i="7"/>
  <c r="AD65" i="7"/>
  <c r="V65" i="7"/>
  <c r="N65" i="7"/>
  <c r="B65" i="7"/>
  <c r="AA64" i="7"/>
  <c r="K64" i="7"/>
  <c r="T63" i="7"/>
  <c r="D63" i="7"/>
  <c r="AC62" i="7"/>
  <c r="M62" i="7"/>
  <c r="AN66" i="7"/>
  <c r="AI66" i="7"/>
  <c r="AA66" i="7"/>
  <c r="S66" i="7"/>
  <c r="K66" i="7"/>
  <c r="C66" i="7"/>
  <c r="AJ65" i="7"/>
  <c r="AB65" i="7"/>
  <c r="T65" i="7"/>
  <c r="L65" i="7"/>
  <c r="AM64" i="7"/>
  <c r="W64" i="7"/>
  <c r="G64" i="7"/>
  <c r="AF63" i="7"/>
  <c r="P63" i="7"/>
  <c r="AO62" i="7"/>
  <c r="Y62" i="7"/>
  <c r="I62" i="7"/>
  <c r="AM66" i="7"/>
  <c r="AG66" i="7"/>
  <c r="Y66" i="7"/>
  <c r="Q66" i="7"/>
  <c r="I66" i="7"/>
  <c r="AP65" i="7"/>
  <c r="AH65" i="7"/>
  <c r="Z65" i="7"/>
  <c r="R65" i="7"/>
  <c r="J65" i="7"/>
  <c r="AI64" i="7"/>
  <c r="S64" i="7"/>
  <c r="C64" i="7"/>
  <c r="AB63" i="7"/>
  <c r="L63" i="7"/>
  <c r="AK62" i="7"/>
  <c r="U62" i="7"/>
  <c r="B62" i="7"/>
  <c r="F62" i="7"/>
  <c r="J62" i="7"/>
  <c r="N62" i="7"/>
  <c r="R62" i="7"/>
  <c r="V62" i="7"/>
  <c r="Z62" i="7"/>
  <c r="AD62" i="7"/>
  <c r="AH62" i="7"/>
  <c r="AL62" i="7"/>
  <c r="AP62" i="7"/>
  <c r="E63" i="7"/>
  <c r="I63" i="7"/>
  <c r="M63" i="7"/>
  <c r="Q63" i="7"/>
  <c r="U63" i="7"/>
  <c r="Y63" i="7"/>
  <c r="AC63" i="7"/>
  <c r="AG63" i="7"/>
  <c r="AK63" i="7"/>
  <c r="AO63" i="7"/>
  <c r="D64" i="7"/>
  <c r="H64" i="7"/>
  <c r="L64" i="7"/>
  <c r="P64" i="7"/>
  <c r="T64" i="7"/>
  <c r="X64" i="7"/>
  <c r="AB64" i="7"/>
  <c r="AF64" i="7"/>
  <c r="AJ64" i="7"/>
  <c r="AN64" i="7"/>
  <c r="C65" i="7"/>
  <c r="G65" i="7"/>
  <c r="K65" i="7"/>
  <c r="O65" i="7"/>
  <c r="S65" i="7"/>
  <c r="W65" i="7"/>
  <c r="AA65" i="7"/>
  <c r="AE65" i="7"/>
  <c r="AI65" i="7"/>
  <c r="AM65" i="7"/>
  <c r="B66" i="7"/>
  <c r="F66" i="7"/>
  <c r="J66" i="7"/>
  <c r="N66" i="7"/>
  <c r="R66" i="7"/>
  <c r="V66" i="7"/>
  <c r="Z66" i="7"/>
  <c r="AD66" i="7"/>
  <c r="AH66" i="7"/>
  <c r="AL66" i="7"/>
  <c r="AP66" i="7"/>
  <c r="C62" i="7"/>
  <c r="G62" i="7"/>
  <c r="K62" i="7"/>
  <c r="O62" i="7"/>
  <c r="S62" i="7"/>
  <c r="W62" i="7"/>
  <c r="AA62" i="7"/>
  <c r="AE62" i="7"/>
  <c r="AI62" i="7"/>
  <c r="AM62" i="7"/>
  <c r="B63" i="7"/>
  <c r="F63" i="7"/>
  <c r="J63" i="7"/>
  <c r="N63" i="7"/>
  <c r="R63" i="7"/>
  <c r="V63" i="7"/>
  <c r="Z63" i="7"/>
  <c r="AD63" i="7"/>
  <c r="AH63" i="7"/>
  <c r="AL63" i="7"/>
  <c r="AP63" i="7"/>
  <c r="E64" i="7"/>
  <c r="I64" i="7"/>
  <c r="M64" i="7"/>
  <c r="Q64" i="7"/>
  <c r="U64" i="7"/>
  <c r="Y64" i="7"/>
  <c r="AC64" i="7"/>
  <c r="AG64" i="7"/>
  <c r="AK64" i="7"/>
  <c r="AO64" i="7"/>
  <c r="D65" i="7"/>
  <c r="H65" i="7"/>
  <c r="D62" i="7"/>
  <c r="H62" i="7"/>
  <c r="L62" i="7"/>
  <c r="P62" i="7"/>
  <c r="T62" i="7"/>
  <c r="X62" i="7"/>
  <c r="AB62" i="7"/>
  <c r="AF62" i="7"/>
  <c r="AJ62" i="7"/>
  <c r="AN62" i="7"/>
  <c r="C63" i="7"/>
  <c r="G63" i="7"/>
  <c r="K63" i="7"/>
  <c r="O63" i="7"/>
  <c r="S63" i="7"/>
  <c r="W63" i="7"/>
  <c r="AA63" i="7"/>
  <c r="AE63" i="7"/>
  <c r="AI63" i="7"/>
  <c r="AM63" i="7"/>
  <c r="B64" i="7"/>
  <c r="F64" i="7"/>
  <c r="J64" i="7"/>
  <c r="N64" i="7"/>
  <c r="R64" i="7"/>
  <c r="V64" i="7"/>
  <c r="Z64" i="7"/>
  <c r="AD64" i="7"/>
  <c r="AH64" i="7"/>
  <c r="AL64" i="7"/>
  <c r="AP64" i="7"/>
  <c r="E65" i="7"/>
  <c r="I65" i="7"/>
  <c r="M65" i="7"/>
  <c r="Q65" i="7"/>
  <c r="U65" i="7"/>
  <c r="Y65" i="7"/>
  <c r="AC65" i="7"/>
  <c r="AG65" i="7"/>
  <c r="AK65" i="7"/>
  <c r="AO65" i="7"/>
  <c r="D66" i="7"/>
  <c r="H66" i="7"/>
  <c r="L66" i="7"/>
  <c r="P66" i="7"/>
  <c r="T66" i="7"/>
  <c r="X66" i="7"/>
  <c r="AB66" i="7"/>
  <c r="AF66" i="7"/>
  <c r="F60" i="7"/>
  <c r="AM59" i="7"/>
  <c r="AE59" i="7"/>
  <c r="W59" i="7"/>
  <c r="S59" i="7"/>
  <c r="O59" i="7"/>
  <c r="K59" i="7"/>
  <c r="G59" i="7"/>
  <c r="C59" i="7"/>
  <c r="AN58" i="7"/>
  <c r="AJ58" i="7"/>
  <c r="AF58" i="7"/>
  <c r="AB58" i="7"/>
  <c r="X58" i="7"/>
  <c r="T58" i="7"/>
  <c r="P58" i="7"/>
  <c r="L58" i="7"/>
  <c r="H58" i="7"/>
  <c r="D58" i="7"/>
  <c r="AO57" i="7"/>
  <c r="AK57" i="7"/>
  <c r="AG57" i="7"/>
  <c r="AC57" i="7"/>
  <c r="Y57" i="7"/>
  <c r="U57" i="7"/>
  <c r="Q57" i="7"/>
  <c r="M57" i="7"/>
  <c r="I57" i="7"/>
  <c r="E57" i="7"/>
  <c r="AO60" i="7"/>
  <c r="AK60" i="7"/>
  <c r="AG60" i="7"/>
  <c r="AC60" i="7"/>
  <c r="Y60" i="7"/>
  <c r="U60" i="7"/>
  <c r="Q60" i="7"/>
  <c r="M60" i="7"/>
  <c r="I60" i="7"/>
  <c r="E60" i="7"/>
  <c r="AP59" i="7"/>
  <c r="AL59" i="7"/>
  <c r="AH59" i="7"/>
  <c r="AD59" i="7"/>
  <c r="Z59" i="7"/>
  <c r="V59" i="7"/>
  <c r="R59" i="7"/>
  <c r="N59" i="7"/>
  <c r="J59" i="7"/>
  <c r="F59" i="7"/>
  <c r="B59" i="7"/>
  <c r="AM58" i="7"/>
  <c r="AI58" i="7"/>
  <c r="AE58" i="7"/>
  <c r="AA58" i="7"/>
  <c r="W58" i="7"/>
  <c r="S58" i="7"/>
  <c r="O58" i="7"/>
  <c r="K58" i="7"/>
  <c r="G58" i="7"/>
  <c r="C58" i="7"/>
  <c r="AN57" i="7"/>
  <c r="AJ57" i="7"/>
  <c r="AF57" i="7"/>
  <c r="AB57" i="7"/>
  <c r="X57" i="7"/>
  <c r="T57" i="7"/>
  <c r="P57" i="7"/>
  <c r="L57" i="7"/>
  <c r="H57" i="7"/>
  <c r="D57" i="7"/>
  <c r="B60" i="7"/>
  <c r="AI59" i="7"/>
  <c r="AA59" i="7"/>
  <c r="AN60" i="7"/>
  <c r="AJ60" i="7"/>
  <c r="AF60" i="7"/>
  <c r="AB60" i="7"/>
  <c r="X60" i="7"/>
  <c r="T60" i="7"/>
  <c r="P60" i="7"/>
  <c r="L60" i="7"/>
  <c r="H60" i="7"/>
  <c r="D60" i="7"/>
  <c r="AO59" i="7"/>
  <c r="AK59" i="7"/>
  <c r="AG59" i="7"/>
  <c r="AC59" i="7"/>
  <c r="Y59" i="7"/>
  <c r="U59" i="7"/>
  <c r="Q59" i="7"/>
  <c r="M59" i="7"/>
  <c r="I59" i="7"/>
  <c r="E59" i="7"/>
  <c r="AP58" i="7"/>
  <c r="AL58" i="7"/>
  <c r="AH58" i="7"/>
  <c r="AD58" i="7"/>
  <c r="Z58" i="7"/>
  <c r="V58" i="7"/>
  <c r="R58" i="7"/>
  <c r="N58" i="7"/>
  <c r="J58" i="7"/>
  <c r="F58" i="7"/>
  <c r="B58" i="7"/>
  <c r="AM57" i="7"/>
  <c r="AI57" i="7"/>
  <c r="AE57" i="7"/>
  <c r="AA57" i="7"/>
  <c r="W57" i="7"/>
  <c r="S57" i="7"/>
  <c r="O57" i="7"/>
  <c r="K57" i="7"/>
  <c r="G57" i="7"/>
  <c r="C57" i="7"/>
  <c r="AM60" i="7"/>
  <c r="AI60" i="7"/>
  <c r="AE60" i="7"/>
  <c r="AA60" i="7"/>
  <c r="W60" i="7"/>
  <c r="S60" i="7"/>
  <c r="O60" i="7"/>
  <c r="K60" i="7"/>
  <c r="G60" i="7"/>
  <c r="C60" i="7"/>
  <c r="AN59" i="7"/>
  <c r="AJ59" i="7"/>
  <c r="AF59" i="7"/>
  <c r="AB59" i="7"/>
  <c r="X59" i="7"/>
  <c r="T59" i="7"/>
  <c r="P59" i="7"/>
  <c r="L59" i="7"/>
  <c r="H59" i="7"/>
  <c r="D59" i="7"/>
  <c r="AO58" i="7"/>
  <c r="AK58" i="7"/>
  <c r="AG58" i="7"/>
  <c r="AC58" i="7"/>
  <c r="Y58" i="7"/>
  <c r="U58" i="7"/>
  <c r="Q58" i="7"/>
  <c r="M58" i="7"/>
  <c r="I58" i="7"/>
  <c r="E58" i="7"/>
  <c r="AP57" i="7"/>
  <c r="AL57" i="7"/>
  <c r="AH57" i="7"/>
  <c r="AD57" i="7"/>
  <c r="Z57" i="7"/>
  <c r="V57" i="7"/>
  <c r="R57" i="7"/>
  <c r="N57" i="7"/>
  <c r="J57" i="7"/>
  <c r="F57" i="7"/>
  <c r="AO6" i="7"/>
  <c r="AD6" i="7"/>
  <c r="T6" i="7"/>
  <c r="I6" i="7"/>
  <c r="AM5" i="7"/>
  <c r="AC5" i="7"/>
  <c r="R5" i="7"/>
  <c r="G5" i="7"/>
  <c r="AN6" i="7"/>
  <c r="AC6" i="7"/>
  <c r="R6" i="7"/>
  <c r="H6" i="7"/>
  <c r="AL5" i="7"/>
  <c r="AA5" i="7"/>
  <c r="Q5" i="7"/>
  <c r="F5" i="7"/>
  <c r="AJ6" i="7"/>
  <c r="Y6" i="7"/>
  <c r="N6" i="7"/>
  <c r="D6" i="7"/>
  <c r="D7" i="7" s="1"/>
  <c r="AH5" i="7"/>
  <c r="W5" i="7"/>
  <c r="M5" i="7"/>
  <c r="AH6" i="7"/>
  <c r="X6" i="7"/>
  <c r="M6" i="7"/>
  <c r="B6" i="7"/>
  <c r="AG5" i="7"/>
  <c r="V5" i="7"/>
  <c r="K5" i="7"/>
  <c r="AL6" i="7"/>
  <c r="AG6" i="7"/>
  <c r="AB6" i="7"/>
  <c r="V6" i="7"/>
  <c r="Q6" i="7"/>
  <c r="L6" i="7"/>
  <c r="F6" i="7"/>
  <c r="AP5" i="7"/>
  <c r="AK5" i="7"/>
  <c r="AE5" i="7"/>
  <c r="Z5" i="7"/>
  <c r="U5" i="7"/>
  <c r="O5" i="7"/>
  <c r="J5" i="7"/>
  <c r="E5" i="7"/>
  <c r="U10" i="7"/>
  <c r="AO9" i="7"/>
  <c r="T9" i="7"/>
  <c r="AM8" i="7"/>
  <c r="R8" i="7"/>
  <c r="AP6" i="7"/>
  <c r="AK6" i="7"/>
  <c r="AF6" i="7"/>
  <c r="Z6" i="7"/>
  <c r="U6" i="7"/>
  <c r="P6" i="7"/>
  <c r="J6" i="7"/>
  <c r="E6" i="7"/>
  <c r="AO5" i="7"/>
  <c r="AI5" i="7"/>
  <c r="AD5" i="7"/>
  <c r="Y5" i="7"/>
  <c r="S5" i="7"/>
  <c r="N5" i="7"/>
  <c r="I5" i="7"/>
  <c r="C5" i="7"/>
  <c r="AJ10" i="7"/>
  <c r="O10" i="7"/>
  <c r="AH9" i="7"/>
  <c r="M9" i="7"/>
  <c r="AG8" i="7"/>
  <c r="K8" i="7"/>
  <c r="Y10" i="7"/>
  <c r="D10" i="7"/>
  <c r="X9" i="7"/>
  <c r="B9" i="7"/>
  <c r="V8" i="7"/>
  <c r="AF10" i="7"/>
  <c r="K10" i="7"/>
  <c r="AD9" i="7"/>
  <c r="I9" i="7"/>
  <c r="AC8" i="7"/>
  <c r="G8" i="7"/>
  <c r="AO10" i="7"/>
  <c r="AN9" i="7"/>
  <c r="AL8" i="7"/>
  <c r="Q8" i="7"/>
  <c r="F8" i="7"/>
  <c r="AE10" i="7"/>
  <c r="T10" i="7"/>
  <c r="I10" i="7"/>
  <c r="AC9" i="7"/>
  <c r="R9" i="7"/>
  <c r="H9" i="7"/>
  <c r="AA8" i="7"/>
  <c r="AK10" i="7"/>
  <c r="AA10" i="7"/>
  <c r="P10" i="7"/>
  <c r="E10" i="7"/>
  <c r="AJ9" i="7"/>
  <c r="Y9" i="7"/>
  <c r="N9" i="7"/>
  <c r="D9" i="7"/>
  <c r="AH8" i="7"/>
  <c r="W8" i="7"/>
  <c r="M8" i="7"/>
  <c r="D8" i="7"/>
  <c r="D53" i="7" s="1"/>
  <c r="C8" i="7"/>
  <c r="I8" i="7"/>
  <c r="N8" i="7"/>
  <c r="S8" i="7"/>
  <c r="Y8" i="7"/>
  <c r="AD8" i="7"/>
  <c r="AI8" i="7"/>
  <c r="AO8" i="7"/>
  <c r="E9" i="7"/>
  <c r="J9" i="7"/>
  <c r="P9" i="7"/>
  <c r="U9" i="7"/>
  <c r="Z9" i="7"/>
  <c r="AF9" i="7"/>
  <c r="AK9" i="7"/>
  <c r="AP9" i="7"/>
  <c r="G10" i="7"/>
  <c r="L10" i="7"/>
  <c r="Q10" i="7"/>
  <c r="W10" i="7"/>
  <c r="AB10" i="7"/>
  <c r="AG10" i="7"/>
  <c r="AM10" i="7"/>
  <c r="E8" i="7"/>
  <c r="J8" i="7"/>
  <c r="O8" i="7"/>
  <c r="U8" i="7"/>
  <c r="Z8" i="7"/>
  <c r="AE8" i="7"/>
  <c r="AE53" i="7" s="1"/>
  <c r="AK8" i="7"/>
  <c r="AP8" i="7"/>
  <c r="F9" i="7"/>
  <c r="L9" i="7"/>
  <c r="Q9" i="7"/>
  <c r="V9" i="7"/>
  <c r="AB9" i="7"/>
  <c r="AG9" i="7"/>
  <c r="AL9" i="7"/>
  <c r="C10" i="7"/>
  <c r="H10" i="7"/>
  <c r="M10" i="7"/>
  <c r="S10" i="7"/>
  <c r="X10" i="7"/>
  <c r="AC10" i="7"/>
  <c r="AI10" i="7"/>
  <c r="AN10" i="7"/>
  <c r="B5" i="7"/>
  <c r="AP10" i="7"/>
  <c r="AL10" i="7"/>
  <c r="AH10" i="7"/>
  <c r="AD10" i="7"/>
  <c r="Z10" i="7"/>
  <c r="V10" i="7"/>
  <c r="R10" i="7"/>
  <c r="N10" i="7"/>
  <c r="J10" i="7"/>
  <c r="F10" i="7"/>
  <c r="B10" i="7"/>
  <c r="AM9" i="7"/>
  <c r="AI9" i="7"/>
  <c r="AE9" i="7"/>
  <c r="AA9" i="7"/>
  <c r="W9" i="7"/>
  <c r="S9" i="7"/>
  <c r="O9" i="7"/>
  <c r="K9" i="7"/>
  <c r="G9" i="7"/>
  <c r="C9" i="7"/>
  <c r="AN8" i="7"/>
  <c r="AJ8" i="7"/>
  <c r="AF8" i="7"/>
  <c r="AB8" i="7"/>
  <c r="X8" i="7"/>
  <c r="T8" i="7"/>
  <c r="P8" i="7"/>
  <c r="L8" i="7"/>
  <c r="H8" i="7"/>
  <c r="AM6" i="7"/>
  <c r="AI6" i="7"/>
  <c r="AE6" i="7"/>
  <c r="AA6" i="7"/>
  <c r="W6" i="7"/>
  <c r="S6" i="7"/>
  <c r="O6" i="7"/>
  <c r="K6" i="7"/>
  <c r="G6" i="7"/>
  <c r="C6" i="7"/>
  <c r="AN5" i="7"/>
  <c r="AJ5" i="7"/>
  <c r="AF5" i="7"/>
  <c r="AB5" i="7"/>
  <c r="X5" i="7"/>
  <c r="T5" i="7"/>
  <c r="P5" i="7"/>
  <c r="L5" i="7"/>
  <c r="H5" i="7"/>
  <c r="B167" i="7" a="1"/>
  <c r="C167" i="7" s="1"/>
  <c r="P407" i="7"/>
  <c r="N407" i="7"/>
  <c r="M407" i="7"/>
  <c r="G407" i="7"/>
  <c r="C442" i="7" a="1"/>
  <c r="E442" i="7" s="1"/>
  <c r="P269" i="7"/>
  <c r="M269" i="7"/>
  <c r="G269" i="7"/>
  <c r="G268" i="7"/>
  <c r="C145" i="1"/>
  <c r="B313" i="7" a="1"/>
  <c r="B313" i="7" s="1"/>
  <c r="B304" i="7" a="1"/>
  <c r="B304" i="7" s="1"/>
  <c r="B314" i="7" a="1"/>
  <c r="B314" i="7" s="1"/>
  <c r="C304" i="7" a="1"/>
  <c r="E304" i="7" s="1"/>
  <c r="S53" i="7" l="1"/>
  <c r="W53" i="7"/>
  <c r="AH53" i="7"/>
  <c r="G53" i="7"/>
  <c r="K270" i="7"/>
  <c r="M53" i="7"/>
  <c r="X562" i="7"/>
  <c r="X601" i="7"/>
  <c r="X597" i="7"/>
  <c r="X16" i="7"/>
  <c r="X18" i="7"/>
  <c r="X589" i="7"/>
  <c r="X556" i="7"/>
  <c r="X593" i="7"/>
  <c r="AB18" i="7"/>
  <c r="AB601" i="7"/>
  <c r="AB589" i="7"/>
  <c r="AB593" i="7"/>
  <c r="AB597" i="7"/>
  <c r="AB562" i="7"/>
  <c r="AB16" i="7"/>
  <c r="AB556" i="7"/>
  <c r="AC589" i="7"/>
  <c r="AC597" i="7"/>
  <c r="AC562" i="7"/>
  <c r="AC18" i="7"/>
  <c r="AC593" i="7"/>
  <c r="AC556" i="7"/>
  <c r="AC601" i="7"/>
  <c r="AC16" i="7"/>
  <c r="V593" i="7"/>
  <c r="V556" i="7"/>
  <c r="V18" i="7"/>
  <c r="V562" i="7"/>
  <c r="V597" i="7"/>
  <c r="V601" i="7"/>
  <c r="V589" i="7"/>
  <c r="V16" i="7"/>
  <c r="AM601" i="7"/>
  <c r="AM589" i="7"/>
  <c r="AM593" i="7"/>
  <c r="AM16" i="7"/>
  <c r="AM556" i="7"/>
  <c r="AM597" i="7"/>
  <c r="AM562" i="7"/>
  <c r="AM18" i="7"/>
  <c r="M18" i="7"/>
  <c r="M556" i="7"/>
  <c r="M601" i="7"/>
  <c r="M589" i="7"/>
  <c r="M16" i="7"/>
  <c r="M593" i="7"/>
  <c r="M597" i="7"/>
  <c r="M562" i="7"/>
  <c r="W593" i="7"/>
  <c r="W556" i="7"/>
  <c r="W18" i="7"/>
  <c r="W562" i="7"/>
  <c r="W597" i="7"/>
  <c r="W601" i="7"/>
  <c r="W589" i="7"/>
  <c r="W16" i="7"/>
  <c r="E601" i="7"/>
  <c r="E593" i="7"/>
  <c r="E597" i="7"/>
  <c r="E562" i="7"/>
  <c r="E589" i="7"/>
  <c r="E18" i="7"/>
  <c r="E556" i="7"/>
  <c r="E16" i="7"/>
  <c r="AH601" i="7"/>
  <c r="AH589" i="7"/>
  <c r="AH556" i="7"/>
  <c r="AH18" i="7"/>
  <c r="AH16" i="7"/>
  <c r="AH593" i="7"/>
  <c r="AH562" i="7"/>
  <c r="AH597" i="7"/>
  <c r="P562" i="7"/>
  <c r="P593" i="7"/>
  <c r="P556" i="7"/>
  <c r="P597" i="7"/>
  <c r="P16" i="7"/>
  <c r="P601" i="7"/>
  <c r="P589" i="7"/>
  <c r="P18" i="7"/>
  <c r="H18" i="7"/>
  <c r="H16" i="7"/>
  <c r="H556" i="7"/>
  <c r="H589" i="7"/>
  <c r="H593" i="7"/>
  <c r="H601" i="7"/>
  <c r="H597" i="7"/>
  <c r="H562" i="7"/>
  <c r="G597" i="7"/>
  <c r="G562" i="7"/>
  <c r="G601" i="7"/>
  <c r="G593" i="7"/>
  <c r="G18" i="7"/>
  <c r="G589" i="7"/>
  <c r="G556" i="7"/>
  <c r="G16" i="7"/>
  <c r="J601" i="7"/>
  <c r="J18" i="7"/>
  <c r="J589" i="7"/>
  <c r="J16" i="7"/>
  <c r="J593" i="7"/>
  <c r="J556" i="7"/>
  <c r="J597" i="7"/>
  <c r="J562" i="7"/>
  <c r="N601" i="7"/>
  <c r="N589" i="7"/>
  <c r="N593" i="7"/>
  <c r="N556" i="7"/>
  <c r="N16" i="7"/>
  <c r="N597" i="7"/>
  <c r="N562" i="7"/>
  <c r="N18" i="7"/>
  <c r="AE597" i="7"/>
  <c r="AE562" i="7"/>
  <c r="AE556" i="7"/>
  <c r="AE18" i="7"/>
  <c r="AE589" i="7"/>
  <c r="AE593" i="7"/>
  <c r="AE601" i="7"/>
  <c r="AE16" i="7"/>
  <c r="F597" i="7"/>
  <c r="F562" i="7"/>
  <c r="F18" i="7"/>
  <c r="F601" i="7"/>
  <c r="F589" i="7"/>
  <c r="F593" i="7"/>
  <c r="F16" i="7"/>
  <c r="F556" i="7"/>
  <c r="L18" i="7"/>
  <c r="L593" i="7"/>
  <c r="L556" i="7"/>
  <c r="L601" i="7"/>
  <c r="L589" i="7"/>
  <c r="L16" i="7"/>
  <c r="L562" i="7"/>
  <c r="L597" i="7"/>
  <c r="K18" i="7"/>
  <c r="K16" i="7"/>
  <c r="K556" i="7"/>
  <c r="K601" i="7"/>
  <c r="K589" i="7"/>
  <c r="K593" i="7"/>
  <c r="K597" i="7"/>
  <c r="K562" i="7"/>
  <c r="AG16" i="7"/>
  <c r="AG593" i="7"/>
  <c r="AG556" i="7"/>
  <c r="AG601" i="7"/>
  <c r="AG18" i="7"/>
  <c r="AG589" i="7"/>
  <c r="AG597" i="7"/>
  <c r="AG562" i="7"/>
  <c r="C18" i="7"/>
  <c r="C16" i="7"/>
  <c r="C597" i="7"/>
  <c r="C562" i="7"/>
  <c r="C601" i="7"/>
  <c r="C589" i="7"/>
  <c r="C593" i="7"/>
  <c r="C556" i="7"/>
  <c r="I589" i="7"/>
  <c r="I16" i="7"/>
  <c r="I18" i="7"/>
  <c r="I601" i="7"/>
  <c r="I593" i="7"/>
  <c r="I556" i="7"/>
  <c r="I562" i="7"/>
  <c r="I597" i="7"/>
  <c r="S16" i="7"/>
  <c r="S597" i="7"/>
  <c r="S562" i="7"/>
  <c r="S593" i="7"/>
  <c r="S556" i="7"/>
  <c r="S18" i="7"/>
  <c r="S601" i="7"/>
  <c r="S589" i="7"/>
  <c r="AK18" i="7"/>
  <c r="AK593" i="7"/>
  <c r="AK601" i="7"/>
  <c r="AK589" i="7"/>
  <c r="AK556" i="7"/>
  <c r="AK16" i="7"/>
  <c r="AK597" i="7"/>
  <c r="AK562" i="7"/>
  <c r="Q16" i="7"/>
  <c r="Q593" i="7"/>
  <c r="Q556" i="7"/>
  <c r="Q597" i="7"/>
  <c r="Q562" i="7"/>
  <c r="Q589" i="7"/>
  <c r="Q601" i="7"/>
  <c r="Q18" i="7"/>
  <c r="T597" i="7"/>
  <c r="T562" i="7"/>
  <c r="T601" i="7"/>
  <c r="T593" i="7"/>
  <c r="T556" i="7"/>
  <c r="T18" i="7"/>
  <c r="T16" i="7"/>
  <c r="T589" i="7"/>
  <c r="Z597" i="7"/>
  <c r="Z18" i="7"/>
  <c r="Z562" i="7"/>
  <c r="Z16" i="7"/>
  <c r="Z601" i="7"/>
  <c r="Z589" i="7"/>
  <c r="Z556" i="7"/>
  <c r="Z593" i="7"/>
  <c r="U53" i="7"/>
  <c r="Y18" i="7"/>
  <c r="Y589" i="7"/>
  <c r="Y16" i="7"/>
  <c r="Y597" i="7"/>
  <c r="Y562" i="7"/>
  <c r="Y601" i="7"/>
  <c r="Y556" i="7"/>
  <c r="Y593" i="7"/>
  <c r="AP16" i="7"/>
  <c r="AP556" i="7"/>
  <c r="AP593" i="7"/>
  <c r="AP18" i="7"/>
  <c r="AP597" i="7"/>
  <c r="AP562" i="7"/>
  <c r="AP601" i="7"/>
  <c r="AP589" i="7"/>
  <c r="AA18" i="7"/>
  <c r="AA16" i="7"/>
  <c r="AA601" i="7"/>
  <c r="AA589" i="7"/>
  <c r="AA597" i="7"/>
  <c r="AA562" i="7"/>
  <c r="AA593" i="7"/>
  <c r="AA556" i="7"/>
  <c r="R7" i="7"/>
  <c r="R16" i="7"/>
  <c r="R593" i="7"/>
  <c r="R556" i="7"/>
  <c r="R597" i="7"/>
  <c r="R562" i="7"/>
  <c r="R18" i="7"/>
  <c r="R601" i="7"/>
  <c r="R589" i="7"/>
  <c r="AJ18" i="7"/>
  <c r="AJ593" i="7"/>
  <c r="AJ556" i="7"/>
  <c r="AJ16" i="7"/>
  <c r="AJ562" i="7"/>
  <c r="AJ601" i="7"/>
  <c r="AJ589" i="7"/>
  <c r="AJ597" i="7"/>
  <c r="AN16" i="7"/>
  <c r="AN597" i="7"/>
  <c r="AN593" i="7"/>
  <c r="AN556" i="7"/>
  <c r="AN562" i="7"/>
  <c r="AN18" i="7"/>
  <c r="AN601" i="7"/>
  <c r="AN589" i="7"/>
  <c r="O601" i="7"/>
  <c r="O589" i="7"/>
  <c r="O597" i="7"/>
  <c r="O556" i="7"/>
  <c r="O562" i="7"/>
  <c r="O16" i="7"/>
  <c r="O593" i="7"/>
  <c r="O18" i="7"/>
  <c r="I53" i="7"/>
  <c r="AD597" i="7"/>
  <c r="AD562" i="7"/>
  <c r="AD18" i="7"/>
  <c r="AD593" i="7"/>
  <c r="AD556" i="7"/>
  <c r="AD601" i="7"/>
  <c r="AD589" i="7"/>
  <c r="AD16" i="7"/>
  <c r="AL601" i="7"/>
  <c r="AL597" i="7"/>
  <c r="AL562" i="7"/>
  <c r="AL589" i="7"/>
  <c r="AL16" i="7"/>
  <c r="AL593" i="7"/>
  <c r="AL556" i="7"/>
  <c r="AL18" i="7"/>
  <c r="AO597" i="7"/>
  <c r="AO16" i="7"/>
  <c r="AO593" i="7"/>
  <c r="AO562" i="7"/>
  <c r="AO556" i="7"/>
  <c r="AO18" i="7"/>
  <c r="AO601" i="7"/>
  <c r="AO589" i="7"/>
  <c r="B18" i="7"/>
  <c r="B16" i="7"/>
  <c r="AF18" i="7"/>
  <c r="AF593" i="7"/>
  <c r="AF601" i="7"/>
  <c r="AF16" i="7"/>
  <c r="AF556" i="7"/>
  <c r="AF589" i="7"/>
  <c r="AF562" i="7"/>
  <c r="AF597" i="7"/>
  <c r="U562" i="7"/>
  <c r="U593" i="7"/>
  <c r="U556" i="7"/>
  <c r="U589" i="7"/>
  <c r="U597" i="7"/>
  <c r="U18" i="7"/>
  <c r="U16" i="7"/>
  <c r="U601" i="7"/>
  <c r="J53" i="7"/>
  <c r="AI18" i="7"/>
  <c r="AI593" i="7"/>
  <c r="AI601" i="7"/>
  <c r="AI589" i="7"/>
  <c r="AI16" i="7"/>
  <c r="AI556" i="7"/>
  <c r="AI562" i="7"/>
  <c r="AI597" i="7"/>
  <c r="R53" i="7"/>
  <c r="K408" i="7"/>
  <c r="AG53" i="7"/>
  <c r="AO53" i="7"/>
  <c r="AP53" i="7"/>
  <c r="AD53" i="7"/>
  <c r="AI53" i="7"/>
  <c r="N53" i="7"/>
  <c r="AL53" i="7"/>
  <c r="P53" i="7"/>
  <c r="AF53" i="7"/>
  <c r="AC53" i="7"/>
  <c r="T53" i="7"/>
  <c r="AJ53" i="7"/>
  <c r="AK53" i="7"/>
  <c r="O53" i="7"/>
  <c r="V53" i="7"/>
  <c r="AM53" i="7"/>
  <c r="H53" i="7"/>
  <c r="X53" i="7"/>
  <c r="AN53" i="7"/>
  <c r="F53" i="7"/>
  <c r="Y53" i="7"/>
  <c r="C53" i="7"/>
  <c r="K53" i="7"/>
  <c r="L53" i="7"/>
  <c r="AB53" i="7"/>
  <c r="Z53" i="7"/>
  <c r="E53" i="7"/>
  <c r="AA53" i="7"/>
  <c r="Q53" i="7"/>
  <c r="C144" i="1"/>
  <c r="B269" i="7"/>
  <c r="H156" i="7"/>
  <c r="H27" i="7"/>
  <c r="S156" i="7"/>
  <c r="S27" i="7"/>
  <c r="X156" i="7"/>
  <c r="X27" i="7"/>
  <c r="AO156" i="7"/>
  <c r="AO27" i="7"/>
  <c r="AK156" i="7"/>
  <c r="AK27" i="7"/>
  <c r="G156" i="7"/>
  <c r="G27" i="7"/>
  <c r="L156" i="7"/>
  <c r="L27" i="7"/>
  <c r="AB156" i="7"/>
  <c r="AB27" i="7"/>
  <c r="C156" i="7"/>
  <c r="C27" i="7"/>
  <c r="Y156" i="7"/>
  <c r="Y27" i="7"/>
  <c r="U156" i="7"/>
  <c r="U27" i="7"/>
  <c r="AP156" i="7"/>
  <c r="AP27" i="7"/>
  <c r="M156" i="7"/>
  <c r="M27" i="7"/>
  <c r="Q156" i="7"/>
  <c r="Q27" i="7"/>
  <c r="R156" i="7"/>
  <c r="R27" i="7"/>
  <c r="P156" i="7"/>
  <c r="P27" i="7"/>
  <c r="AF156" i="7"/>
  <c r="AF27" i="7"/>
  <c r="I156" i="7"/>
  <c r="I27" i="7"/>
  <c r="AD156" i="7"/>
  <c r="AD27" i="7"/>
  <c r="E156" i="7"/>
  <c r="E27" i="7"/>
  <c r="Z156" i="7"/>
  <c r="Z27" i="7"/>
  <c r="K156" i="7"/>
  <c r="K27" i="7"/>
  <c r="W156" i="7"/>
  <c r="W27" i="7"/>
  <c r="AA156" i="7"/>
  <c r="AA27" i="7"/>
  <c r="AC156" i="7"/>
  <c r="AC27" i="7"/>
  <c r="AN156" i="7"/>
  <c r="AN27" i="7"/>
  <c r="O156" i="7"/>
  <c r="O27" i="7"/>
  <c r="AG156" i="7"/>
  <c r="AG27" i="7"/>
  <c r="F156" i="7"/>
  <c r="F27" i="7"/>
  <c r="T156" i="7"/>
  <c r="T27" i="7"/>
  <c r="AJ156" i="7"/>
  <c r="AJ27" i="7"/>
  <c r="N156" i="7"/>
  <c r="N27" i="7"/>
  <c r="AI156" i="7"/>
  <c r="AI27" i="7"/>
  <c r="J156" i="7"/>
  <c r="J27" i="7"/>
  <c r="AE156" i="7"/>
  <c r="AE27" i="7"/>
  <c r="V156" i="7"/>
  <c r="V27" i="7"/>
  <c r="AH156" i="7"/>
  <c r="AH27" i="7"/>
  <c r="AL156" i="7"/>
  <c r="AL27" i="7"/>
  <c r="AM156" i="7"/>
  <c r="AM27" i="7"/>
  <c r="G7" i="7"/>
  <c r="M7" i="7"/>
  <c r="Y7" i="7"/>
  <c r="W7" i="7"/>
  <c r="AM7" i="7"/>
  <c r="K7" i="7"/>
  <c r="AA7" i="7"/>
  <c r="F7" i="7"/>
  <c r="AC7" i="7"/>
  <c r="V7" i="7"/>
  <c r="E7" i="7"/>
  <c r="AG7" i="7"/>
  <c r="AH7" i="7"/>
  <c r="N7" i="7"/>
  <c r="I7" i="7"/>
  <c r="Q7" i="7"/>
  <c r="AL7" i="7"/>
  <c r="AI7" i="7"/>
  <c r="U7" i="7"/>
  <c r="C7" i="7"/>
  <c r="S7" i="7"/>
  <c r="AE7" i="7"/>
  <c r="Z7" i="7"/>
  <c r="AO7" i="7"/>
  <c r="O7" i="7"/>
  <c r="AK7" i="7"/>
  <c r="AD7" i="7"/>
  <c r="J7" i="7"/>
  <c r="AP7" i="7"/>
  <c r="L7" i="7"/>
  <c r="AB7" i="7"/>
  <c r="B7" i="7"/>
  <c r="H7" i="7"/>
  <c r="AN7" i="7"/>
  <c r="P7" i="7"/>
  <c r="AF7" i="7"/>
  <c r="X7" i="7"/>
  <c r="T7" i="7"/>
  <c r="AJ7" i="7"/>
  <c r="AK168" i="7"/>
  <c r="AC168" i="7"/>
  <c r="U168" i="7"/>
  <c r="M168" i="7"/>
  <c r="E168" i="7"/>
  <c r="AL167" i="7"/>
  <c r="AH167" i="7"/>
  <c r="Z167" i="7"/>
  <c r="R167" i="7"/>
  <c r="J167" i="7"/>
  <c r="B167" i="7"/>
  <c r="AJ168" i="7"/>
  <c r="X168" i="7"/>
  <c r="L168" i="7"/>
  <c r="D168" i="7"/>
  <c r="AK167" i="7"/>
  <c r="AG167" i="7"/>
  <c r="Y167" i="7"/>
  <c r="Q167" i="7"/>
  <c r="M167" i="7"/>
  <c r="E167" i="7"/>
  <c r="AM168" i="7"/>
  <c r="AI168" i="7"/>
  <c r="AE168" i="7"/>
  <c r="AA168" i="7"/>
  <c r="W168" i="7"/>
  <c r="S168" i="7"/>
  <c r="O168" i="7"/>
  <c r="K168" i="7"/>
  <c r="G168" i="7"/>
  <c r="C168" i="7"/>
  <c r="AN167" i="7"/>
  <c r="AJ167" i="7"/>
  <c r="AF167" i="7"/>
  <c r="AB167" i="7"/>
  <c r="X167" i="7"/>
  <c r="T167" i="7"/>
  <c r="P167" i="7"/>
  <c r="L167" i="7"/>
  <c r="H167" i="7"/>
  <c r="D167" i="7"/>
  <c r="AO168" i="7"/>
  <c r="AG168" i="7"/>
  <c r="Y168" i="7"/>
  <c r="Q168" i="7"/>
  <c r="I168" i="7"/>
  <c r="AP167" i="7"/>
  <c r="AD167" i="7"/>
  <c r="V167" i="7"/>
  <c r="N167" i="7"/>
  <c r="F167" i="7"/>
  <c r="AN168" i="7"/>
  <c r="AF168" i="7"/>
  <c r="AB168" i="7"/>
  <c r="T168" i="7"/>
  <c r="P168" i="7"/>
  <c r="H168" i="7"/>
  <c r="AO167" i="7"/>
  <c r="AC167" i="7"/>
  <c r="U167" i="7"/>
  <c r="I167" i="7"/>
  <c r="AP168" i="7"/>
  <c r="AL168" i="7"/>
  <c r="AH168" i="7"/>
  <c r="AD168" i="7"/>
  <c r="Z168" i="7"/>
  <c r="V168" i="7"/>
  <c r="R168" i="7"/>
  <c r="N168" i="7"/>
  <c r="J168" i="7"/>
  <c r="F168" i="7"/>
  <c r="B168" i="7"/>
  <c r="AM167" i="7"/>
  <c r="AI167" i="7"/>
  <c r="AE167" i="7"/>
  <c r="AA167" i="7"/>
  <c r="W167" i="7"/>
  <c r="S167" i="7"/>
  <c r="O167" i="7"/>
  <c r="K167" i="7"/>
  <c r="G167" i="7"/>
  <c r="AM442" i="7"/>
  <c r="AH442" i="7"/>
  <c r="AB442" i="7"/>
  <c r="W442" i="7"/>
  <c r="R442" i="7"/>
  <c r="L442" i="7"/>
  <c r="G442" i="7"/>
  <c r="AL442" i="7"/>
  <c r="AF442" i="7"/>
  <c r="AA442" i="7"/>
  <c r="V442" i="7"/>
  <c r="P442" i="7"/>
  <c r="K442" i="7"/>
  <c r="F442" i="7"/>
  <c r="AP442" i="7"/>
  <c r="AJ442" i="7"/>
  <c r="AE442" i="7"/>
  <c r="Z442" i="7"/>
  <c r="T442" i="7"/>
  <c r="O442" i="7"/>
  <c r="J442" i="7"/>
  <c r="D442" i="7"/>
  <c r="AN442" i="7"/>
  <c r="AI442" i="7"/>
  <c r="AD442" i="7"/>
  <c r="X442" i="7"/>
  <c r="S442" i="7"/>
  <c r="N442" i="7"/>
  <c r="H442" i="7"/>
  <c r="C442" i="7"/>
  <c r="AO442" i="7"/>
  <c r="AK442" i="7"/>
  <c r="AG442" i="7"/>
  <c r="AC442" i="7"/>
  <c r="Y442" i="7"/>
  <c r="U442" i="7"/>
  <c r="Q442" i="7"/>
  <c r="M442" i="7"/>
  <c r="I442" i="7"/>
  <c r="AM304" i="7"/>
  <c r="AH304" i="7"/>
  <c r="AB304" i="7"/>
  <c r="W304" i="7"/>
  <c r="R304" i="7"/>
  <c r="L304" i="7"/>
  <c r="G304" i="7"/>
  <c r="AL304" i="7"/>
  <c r="AF304" i="7"/>
  <c r="AA304" i="7"/>
  <c r="V304" i="7"/>
  <c r="P304" i="7"/>
  <c r="K304" i="7"/>
  <c r="F304" i="7"/>
  <c r="AE304" i="7"/>
  <c r="T304" i="7"/>
  <c r="J304" i="7"/>
  <c r="D304" i="7"/>
  <c r="AP304" i="7"/>
  <c r="AJ304" i="7"/>
  <c r="Z304" i="7"/>
  <c r="O304" i="7"/>
  <c r="AN304" i="7"/>
  <c r="AI304" i="7"/>
  <c r="AD304" i="7"/>
  <c r="X304" i="7"/>
  <c r="S304" i="7"/>
  <c r="N304" i="7"/>
  <c r="H304" i="7"/>
  <c r="C304" i="7"/>
  <c r="AO304" i="7"/>
  <c r="AK304" i="7"/>
  <c r="AG304" i="7"/>
  <c r="AC304" i="7"/>
  <c r="Y304" i="7"/>
  <c r="U304" i="7"/>
  <c r="Q304" i="7"/>
  <c r="M304" i="7"/>
  <c r="I304" i="7"/>
  <c r="B442" i="7" l="1" a="1"/>
  <c r="B442" i="7" s="1"/>
  <c r="B303" i="7" a="1"/>
  <c r="B303" i="7" s="1"/>
  <c r="B29" i="7" l="1" a="1"/>
  <c r="E29" i="7" s="1"/>
  <c r="D650" i="7" s="1"/>
  <c r="B28" i="7" a="1"/>
  <c r="B28" i="7" s="1"/>
  <c r="B19" i="7" a="1"/>
  <c r="E19" i="7" s="1"/>
  <c r="E20" i="7" s="1"/>
  <c r="AN28" i="7" l="1"/>
  <c r="Q28" i="7"/>
  <c r="X28" i="7"/>
  <c r="AG28" i="7"/>
  <c r="P28" i="7"/>
  <c r="AF28" i="7"/>
  <c r="H28" i="7"/>
  <c r="AO28" i="7"/>
  <c r="Y28" i="7"/>
  <c r="I28" i="7"/>
  <c r="AK28" i="7"/>
  <c r="AC28" i="7"/>
  <c r="U28" i="7"/>
  <c r="M28" i="7"/>
  <c r="E28" i="7"/>
  <c r="AJ28" i="7"/>
  <c r="AB28" i="7"/>
  <c r="T28" i="7"/>
  <c r="L28" i="7"/>
  <c r="D28" i="7"/>
  <c r="AM28" i="7"/>
  <c r="AI28" i="7"/>
  <c r="AE28" i="7"/>
  <c r="AA28" i="7"/>
  <c r="W28" i="7"/>
  <c r="S28" i="7"/>
  <c r="O28" i="7"/>
  <c r="K28" i="7"/>
  <c r="G28" i="7"/>
  <c r="C28" i="7"/>
  <c r="AP28" i="7"/>
  <c r="AL28" i="7"/>
  <c r="AH28" i="7"/>
  <c r="AD28" i="7"/>
  <c r="Z28" i="7"/>
  <c r="V28" i="7"/>
  <c r="R28" i="7"/>
  <c r="N28" i="7"/>
  <c r="J28" i="7"/>
  <c r="F28" i="7"/>
  <c r="AL19" i="7"/>
  <c r="AL20" i="7" s="1"/>
  <c r="AG19" i="7"/>
  <c r="AG20" i="7" s="1"/>
  <c r="AA19" i="7"/>
  <c r="AA20" i="7" s="1"/>
  <c r="V19" i="7"/>
  <c r="V20" i="7" s="1"/>
  <c r="O19" i="7"/>
  <c r="O20" i="7" s="1"/>
  <c r="G19" i="7"/>
  <c r="G20" i="7" s="1"/>
  <c r="AK19" i="7"/>
  <c r="AK20" i="7" s="1"/>
  <c r="Z19" i="7"/>
  <c r="Z20" i="7" s="1"/>
  <c r="N19" i="7"/>
  <c r="N20" i="7" s="1"/>
  <c r="AO19" i="7"/>
  <c r="AO20" i="7" s="1"/>
  <c r="AI19" i="7"/>
  <c r="AI20" i="7" s="1"/>
  <c r="AD19" i="7"/>
  <c r="AD20" i="7" s="1"/>
  <c r="Y19" i="7"/>
  <c r="Y20" i="7" s="1"/>
  <c r="S19" i="7"/>
  <c r="S20" i="7" s="1"/>
  <c r="K19" i="7"/>
  <c r="K20" i="7" s="1"/>
  <c r="C19" i="7"/>
  <c r="C20" i="7" s="1"/>
  <c r="AP19" i="7"/>
  <c r="AP20" i="7" s="1"/>
  <c r="AE19" i="7"/>
  <c r="AE20" i="7" s="1"/>
  <c r="U19" i="7"/>
  <c r="U20" i="7" s="1"/>
  <c r="F19" i="7"/>
  <c r="F20" i="7" s="1"/>
  <c r="AM19" i="7"/>
  <c r="AM20" i="7" s="1"/>
  <c r="AH19" i="7"/>
  <c r="AH20" i="7" s="1"/>
  <c r="AC19" i="7"/>
  <c r="AC20" i="7" s="1"/>
  <c r="W19" i="7"/>
  <c r="W20" i="7" s="1"/>
  <c r="R19" i="7"/>
  <c r="R20" i="7" s="1"/>
  <c r="J19" i="7"/>
  <c r="J20" i="7" s="1"/>
  <c r="B19" i="7"/>
  <c r="B20" i="7" s="1"/>
  <c r="AN29" i="7"/>
  <c r="AM650" i="7" s="1"/>
  <c r="AJ29" i="7"/>
  <c r="AI650" i="7" s="1"/>
  <c r="AF29" i="7"/>
  <c r="AE650" i="7" s="1"/>
  <c r="AB29" i="7"/>
  <c r="AA650" i="7" s="1"/>
  <c r="X29" i="7"/>
  <c r="W650" i="7" s="1"/>
  <c r="T29" i="7"/>
  <c r="S650" i="7" s="1"/>
  <c r="P29" i="7"/>
  <c r="O650" i="7" s="1"/>
  <c r="L29" i="7"/>
  <c r="K650" i="7" s="1"/>
  <c r="H29" i="7"/>
  <c r="G650" i="7" s="1"/>
  <c r="D29" i="7"/>
  <c r="C650" i="7" s="1"/>
  <c r="AM29" i="7"/>
  <c r="AL650" i="7" s="1"/>
  <c r="AI29" i="7"/>
  <c r="AH650" i="7" s="1"/>
  <c r="AE29" i="7"/>
  <c r="AD650" i="7" s="1"/>
  <c r="AA29" i="7"/>
  <c r="Z650" i="7" s="1"/>
  <c r="W29" i="7"/>
  <c r="V650" i="7" s="1"/>
  <c r="S29" i="7"/>
  <c r="R650" i="7" s="1"/>
  <c r="O29" i="7"/>
  <c r="N650" i="7" s="1"/>
  <c r="K29" i="7"/>
  <c r="J650" i="7" s="1"/>
  <c r="G29" i="7"/>
  <c r="F650" i="7" s="1"/>
  <c r="C29" i="7"/>
  <c r="B650" i="7" s="1"/>
  <c r="AP29" i="7"/>
  <c r="AO650" i="7" s="1"/>
  <c r="AL29" i="7"/>
  <c r="AK650" i="7" s="1"/>
  <c r="AH29" i="7"/>
  <c r="AG650" i="7" s="1"/>
  <c r="AD29" i="7"/>
  <c r="AC650" i="7" s="1"/>
  <c r="Z29" i="7"/>
  <c r="Y650" i="7" s="1"/>
  <c r="V29" i="7"/>
  <c r="U650" i="7" s="1"/>
  <c r="R29" i="7"/>
  <c r="Q650" i="7" s="1"/>
  <c r="N29" i="7"/>
  <c r="M650" i="7" s="1"/>
  <c r="J29" i="7"/>
  <c r="I650" i="7" s="1"/>
  <c r="F29" i="7"/>
  <c r="E650" i="7" s="1"/>
  <c r="B29" i="7"/>
  <c r="AO29" i="7"/>
  <c r="AN650" i="7" s="1"/>
  <c r="AK29" i="7"/>
  <c r="AJ650" i="7" s="1"/>
  <c r="AG29" i="7"/>
  <c r="AF650" i="7" s="1"/>
  <c r="AC29" i="7"/>
  <c r="AB650" i="7" s="1"/>
  <c r="Y29" i="7"/>
  <c r="X650" i="7" s="1"/>
  <c r="U29" i="7"/>
  <c r="T650" i="7" s="1"/>
  <c r="Q29" i="7"/>
  <c r="P650" i="7" s="1"/>
  <c r="M29" i="7"/>
  <c r="L650" i="7" s="1"/>
  <c r="I29" i="7"/>
  <c r="H650" i="7" s="1"/>
  <c r="AN19" i="7"/>
  <c r="AN20" i="7" s="1"/>
  <c r="AJ19" i="7"/>
  <c r="AJ20" i="7" s="1"/>
  <c r="AF19" i="7"/>
  <c r="AF20" i="7" s="1"/>
  <c r="AB19" i="7"/>
  <c r="AB20" i="7" s="1"/>
  <c r="X19" i="7"/>
  <c r="X20" i="7" s="1"/>
  <c r="T19" i="7"/>
  <c r="T20" i="7" s="1"/>
  <c r="P19" i="7"/>
  <c r="P20" i="7" s="1"/>
  <c r="L19" i="7"/>
  <c r="L20" i="7" s="1"/>
  <c r="H19" i="7"/>
  <c r="H20" i="7" s="1"/>
  <c r="D19" i="7"/>
  <c r="D20" i="7" s="1"/>
  <c r="Q19" i="7"/>
  <c r="Q20" i="7" s="1"/>
  <c r="M19" i="7"/>
  <c r="M20" i="7" s="1"/>
  <c r="I19" i="7"/>
  <c r="I20" i="7" s="1"/>
  <c r="B249" i="7" l="1" a="1"/>
  <c r="D249" i="7" s="1"/>
  <c r="B209" i="7" a="1"/>
  <c r="I209" i="7" s="1"/>
  <c r="AL249" i="7" l="1"/>
  <c r="AG249" i="7"/>
  <c r="AA249" i="7"/>
  <c r="V249" i="7"/>
  <c r="Q249" i="7"/>
  <c r="K249" i="7"/>
  <c r="F249" i="7"/>
  <c r="AP249" i="7"/>
  <c r="AK249" i="7"/>
  <c r="AE249" i="7"/>
  <c r="Z249" i="7"/>
  <c r="U249" i="7"/>
  <c r="O249" i="7"/>
  <c r="J249" i="7"/>
  <c r="E249" i="7"/>
  <c r="AO249" i="7"/>
  <c r="AI249" i="7"/>
  <c r="AD249" i="7"/>
  <c r="Y249" i="7"/>
  <c r="S249" i="7"/>
  <c r="N249" i="7"/>
  <c r="I249" i="7"/>
  <c r="C249" i="7"/>
  <c r="AM249" i="7"/>
  <c r="AH249" i="7"/>
  <c r="AC249" i="7"/>
  <c r="W249" i="7"/>
  <c r="R249" i="7"/>
  <c r="M249" i="7"/>
  <c r="G249" i="7"/>
  <c r="B249" i="7"/>
  <c r="AN249" i="7"/>
  <c r="AJ249" i="7"/>
  <c r="AF249" i="7"/>
  <c r="AB249" i="7"/>
  <c r="X249" i="7"/>
  <c r="T249" i="7"/>
  <c r="P249" i="7"/>
  <c r="L249" i="7"/>
  <c r="H249" i="7"/>
  <c r="AO209" i="7"/>
  <c r="AG209" i="7"/>
  <c r="Y209" i="7"/>
  <c r="Q209" i="7"/>
  <c r="E209" i="7"/>
  <c r="AN209" i="7"/>
  <c r="AJ209" i="7"/>
  <c r="AF209" i="7"/>
  <c r="AB209" i="7"/>
  <c r="X209" i="7"/>
  <c r="T209" i="7"/>
  <c r="P209" i="7"/>
  <c r="L209" i="7"/>
  <c r="H209" i="7"/>
  <c r="D209" i="7"/>
  <c r="AM209" i="7"/>
  <c r="AI209" i="7"/>
  <c r="AE209" i="7"/>
  <c r="AA209" i="7"/>
  <c r="W209" i="7"/>
  <c r="S209" i="7"/>
  <c r="O209" i="7"/>
  <c r="K209" i="7"/>
  <c r="G209" i="7"/>
  <c r="C209" i="7"/>
  <c r="AP209" i="7"/>
  <c r="AL209" i="7"/>
  <c r="AH209" i="7"/>
  <c r="AD209" i="7"/>
  <c r="Z209" i="7"/>
  <c r="V209" i="7"/>
  <c r="R209" i="7"/>
  <c r="N209" i="7"/>
  <c r="J209" i="7"/>
  <c r="F209" i="7"/>
  <c r="B209" i="7"/>
  <c r="AK209" i="7"/>
  <c r="AC209" i="7"/>
  <c r="U209" i="7"/>
  <c r="M209" i="7"/>
  <c r="C2" i="7"/>
  <c r="C648" i="7" l="1"/>
  <c r="C642" i="7"/>
  <c r="C41" i="7"/>
  <c r="C450" i="7"/>
  <c r="C71" i="7"/>
  <c r="C312" i="7"/>
  <c r="C621" i="7"/>
  <c r="C622" i="7" s="1"/>
  <c r="C627" i="7"/>
  <c r="C628" i="7"/>
  <c r="C626" i="7"/>
  <c r="C608" i="7" s="1"/>
  <c r="C609" i="7"/>
  <c r="D2" i="7"/>
  <c r="C44" i="1"/>
  <c r="C43" i="1"/>
  <c r="D41" i="7" l="1"/>
  <c r="D642" i="7"/>
  <c r="D648" i="7"/>
  <c r="D450" i="7"/>
  <c r="D71" i="7"/>
  <c r="D312" i="7"/>
  <c r="D621" i="7"/>
  <c r="D622" i="7" s="1"/>
  <c r="D628" i="7"/>
  <c r="D627" i="7"/>
  <c r="D626" i="7"/>
  <c r="E2" i="7"/>
  <c r="D609" i="7"/>
  <c r="D43" i="7"/>
  <c r="E41" i="7" l="1"/>
  <c r="E642" i="7"/>
  <c r="E648" i="7"/>
  <c r="E450" i="7"/>
  <c r="E71" i="7"/>
  <c r="E312" i="7"/>
  <c r="E621" i="7"/>
  <c r="E622" i="7" s="1"/>
  <c r="E628" i="7"/>
  <c r="E627" i="7"/>
  <c r="E626" i="7"/>
  <c r="F2" i="7"/>
  <c r="E609" i="7"/>
  <c r="E43" i="7"/>
  <c r="C39" i="1"/>
  <c r="F642" i="7" l="1"/>
  <c r="F648" i="7"/>
  <c r="F41" i="7"/>
  <c r="F450" i="7"/>
  <c r="F71" i="7"/>
  <c r="F312" i="7"/>
  <c r="F621" i="7"/>
  <c r="F622" i="7" s="1"/>
  <c r="F628" i="7"/>
  <c r="F627" i="7"/>
  <c r="F626" i="7"/>
  <c r="G2" i="7"/>
  <c r="F609" i="7"/>
  <c r="F43" i="7"/>
  <c r="B14" i="7" a="1"/>
  <c r="C14" i="7" s="1"/>
  <c r="B13" i="7" a="1"/>
  <c r="G13" i="7" s="1"/>
  <c r="G648" i="7" l="1"/>
  <c r="G642" i="7"/>
  <c r="G41" i="7"/>
  <c r="G450" i="7"/>
  <c r="G71" i="7"/>
  <c r="G312" i="7"/>
  <c r="G621" i="7"/>
  <c r="G622" i="7" s="1"/>
  <c r="G628" i="7"/>
  <c r="G626" i="7"/>
  <c r="G627" i="7"/>
  <c r="H2" i="7"/>
  <c r="G609" i="7"/>
  <c r="G43" i="7"/>
  <c r="AP14" i="7"/>
  <c r="B14" i="7"/>
  <c r="Q14" i="7"/>
  <c r="AF14" i="7"/>
  <c r="X14" i="7"/>
  <c r="P14" i="7"/>
  <c r="H14" i="7"/>
  <c r="AH14" i="7"/>
  <c r="J14" i="7"/>
  <c r="Y14" i="7"/>
  <c r="AM14" i="7"/>
  <c r="O14" i="7"/>
  <c r="G14" i="7"/>
  <c r="W14" i="7"/>
  <c r="AD14" i="7"/>
  <c r="N14" i="7"/>
  <c r="AC14" i="7"/>
  <c r="E14" i="7"/>
  <c r="AJ14" i="7"/>
  <c r="AB14" i="7"/>
  <c r="T14" i="7"/>
  <c r="L14" i="7"/>
  <c r="D14" i="7"/>
  <c r="Z14" i="7"/>
  <c r="R14" i="7"/>
  <c r="AO14" i="7"/>
  <c r="AG14" i="7"/>
  <c r="I14" i="7"/>
  <c r="AN14" i="7"/>
  <c r="AE14" i="7"/>
  <c r="AL14" i="7"/>
  <c r="V14" i="7"/>
  <c r="F14" i="7"/>
  <c r="AK14" i="7"/>
  <c r="U14" i="7"/>
  <c r="M14" i="7"/>
  <c r="AI14" i="7"/>
  <c r="AA14" i="7"/>
  <c r="S14" i="7"/>
  <c r="K14" i="7"/>
  <c r="AN13" i="7"/>
  <c r="AF13" i="7"/>
  <c r="X13" i="7"/>
  <c r="P13" i="7"/>
  <c r="H13" i="7"/>
  <c r="AL13" i="7"/>
  <c r="AD13" i="7"/>
  <c r="V13" i="7"/>
  <c r="N13" i="7"/>
  <c r="F13" i="7"/>
  <c r="AK13" i="7"/>
  <c r="AC13" i="7"/>
  <c r="U13" i="7"/>
  <c r="M13" i="7"/>
  <c r="E13" i="7"/>
  <c r="AJ13" i="7"/>
  <c r="AB13" i="7"/>
  <c r="T13" i="7"/>
  <c r="L13" i="7"/>
  <c r="D13" i="7"/>
  <c r="AI13" i="7"/>
  <c r="AA13" i="7"/>
  <c r="S13" i="7"/>
  <c r="K13" i="7"/>
  <c r="C13" i="7"/>
  <c r="C15" i="7" s="1"/>
  <c r="C21" i="7" s="1"/>
  <c r="C22" i="7" s="1"/>
  <c r="C23" i="7" s="1"/>
  <c r="AP13" i="7"/>
  <c r="AH13" i="7"/>
  <c r="Z13" i="7"/>
  <c r="R13" i="7"/>
  <c r="J13" i="7"/>
  <c r="B13" i="7"/>
  <c r="AO13" i="7"/>
  <c r="AG13" i="7"/>
  <c r="Y13" i="7"/>
  <c r="Q13" i="7"/>
  <c r="I13" i="7"/>
  <c r="AM13" i="7"/>
  <c r="AE13" i="7"/>
  <c r="W13" i="7"/>
  <c r="O13" i="7"/>
  <c r="H41" i="7" l="1"/>
  <c r="H642" i="7"/>
  <c r="H648" i="7"/>
  <c r="H450" i="7"/>
  <c r="H71" i="7"/>
  <c r="H312" i="7"/>
  <c r="H621" i="7"/>
  <c r="H622" i="7" s="1"/>
  <c r="H628" i="7"/>
  <c r="H627" i="7"/>
  <c r="H626" i="7"/>
  <c r="I2" i="7"/>
  <c r="H609" i="7"/>
  <c r="H43" i="7"/>
  <c r="B15" i="7"/>
  <c r="B21" i="7" s="1"/>
  <c r="B22" i="7" s="1"/>
  <c r="D15" i="7"/>
  <c r="D21" i="7" s="1"/>
  <c r="D22" i="7" s="1"/>
  <c r="D23" i="7" s="1"/>
  <c r="AN15" i="7"/>
  <c r="AN21" i="7" s="1"/>
  <c r="AN22" i="7" s="1"/>
  <c r="AF15" i="7"/>
  <c r="AF21" i="7" s="1"/>
  <c r="AF22" i="7" s="1"/>
  <c r="P15" i="7"/>
  <c r="P21" i="7" s="1"/>
  <c r="P22" i="7" s="1"/>
  <c r="H15" i="7"/>
  <c r="H21" i="7" s="1"/>
  <c r="H22" i="7" s="1"/>
  <c r="AI15" i="7"/>
  <c r="AI21" i="7" s="1"/>
  <c r="AI22" i="7" s="1"/>
  <c r="AA15" i="7"/>
  <c r="AA21" i="7" s="1"/>
  <c r="AA22" i="7" s="1"/>
  <c r="S15" i="7"/>
  <c r="S21" i="7" s="1"/>
  <c r="S22" i="7" s="1"/>
  <c r="K15" i="7"/>
  <c r="K21" i="7" s="1"/>
  <c r="K22" i="7" s="1"/>
  <c r="AP15" i="7"/>
  <c r="AP21" i="7" s="1"/>
  <c r="AP22" i="7" s="1"/>
  <c r="AH15" i="7"/>
  <c r="AH21" i="7" s="1"/>
  <c r="AH22" i="7" s="1"/>
  <c r="Z15" i="7"/>
  <c r="Z21" i="7" s="1"/>
  <c r="Z22" i="7" s="1"/>
  <c r="R15" i="7"/>
  <c r="R21" i="7" s="1"/>
  <c r="R22" i="7" s="1"/>
  <c r="J15" i="7"/>
  <c r="J21" i="7" s="1"/>
  <c r="J22" i="7" s="1"/>
  <c r="AO15" i="7"/>
  <c r="AO21" i="7" s="1"/>
  <c r="AO22" i="7" s="1"/>
  <c r="AG15" i="7"/>
  <c r="AG21" i="7" s="1"/>
  <c r="AG22" i="7" s="1"/>
  <c r="Y15" i="7"/>
  <c r="Y21" i="7" s="1"/>
  <c r="Y22" i="7" s="1"/>
  <c r="Q15" i="7"/>
  <c r="Q21" i="7" s="1"/>
  <c r="Q22" i="7" s="1"/>
  <c r="I15" i="7"/>
  <c r="I21" i="7" s="1"/>
  <c r="I22" i="7" s="1"/>
  <c r="AM15" i="7"/>
  <c r="AM21" i="7" s="1"/>
  <c r="AM22" i="7" s="1"/>
  <c r="AE15" i="7"/>
  <c r="AE21" i="7" s="1"/>
  <c r="AE22" i="7" s="1"/>
  <c r="W15" i="7"/>
  <c r="W21" i="7" s="1"/>
  <c r="W22" i="7" s="1"/>
  <c r="O15" i="7"/>
  <c r="O21" i="7" s="1"/>
  <c r="O22" i="7" s="1"/>
  <c r="G15" i="7"/>
  <c r="G21" i="7" s="1"/>
  <c r="G22" i="7" s="1"/>
  <c r="AL15" i="7"/>
  <c r="AL21" i="7" s="1"/>
  <c r="AL22" i="7" s="1"/>
  <c r="AD15" i="7"/>
  <c r="AD21" i="7" s="1"/>
  <c r="AD22" i="7" s="1"/>
  <c r="V15" i="7"/>
  <c r="V21" i="7" s="1"/>
  <c r="V22" i="7" s="1"/>
  <c r="N15" i="7"/>
  <c r="N21" i="7" s="1"/>
  <c r="N22" i="7" s="1"/>
  <c r="F15" i="7"/>
  <c r="F21" i="7" s="1"/>
  <c r="F22" i="7" s="1"/>
  <c r="AK15" i="7"/>
  <c r="AK21" i="7" s="1"/>
  <c r="AK22" i="7" s="1"/>
  <c r="AC15" i="7"/>
  <c r="AC21" i="7" s="1"/>
  <c r="AC22" i="7" s="1"/>
  <c r="U15" i="7"/>
  <c r="U21" i="7" s="1"/>
  <c r="U22" i="7" s="1"/>
  <c r="M15" i="7"/>
  <c r="M21" i="7" s="1"/>
  <c r="M22" i="7" s="1"/>
  <c r="E15" i="7"/>
  <c r="E21" i="7" s="1"/>
  <c r="E22" i="7" s="1"/>
  <c r="AJ15" i="7"/>
  <c r="AJ21" i="7" s="1"/>
  <c r="AJ22" i="7" s="1"/>
  <c r="AB15" i="7"/>
  <c r="AB21" i="7" s="1"/>
  <c r="AB22" i="7" s="1"/>
  <c r="T15" i="7"/>
  <c r="T21" i="7" s="1"/>
  <c r="T22" i="7" s="1"/>
  <c r="L15" i="7"/>
  <c r="L21" i="7" s="1"/>
  <c r="L22" i="7" s="1"/>
  <c r="B638" i="7" a="1"/>
  <c r="C638" i="7" s="1"/>
  <c r="B637" i="7" a="1"/>
  <c r="C637" i="7" s="1"/>
  <c r="B636" i="7" a="1"/>
  <c r="B636" i="7" s="1"/>
  <c r="C407" i="7" l="1"/>
  <c r="C402" i="7"/>
  <c r="C268" i="7"/>
  <c r="C266" i="7"/>
  <c r="C264" i="7"/>
  <c r="C406" i="7"/>
  <c r="C403" i="7"/>
  <c r="C269" i="7"/>
  <c r="C405" i="7"/>
  <c r="C404" i="7"/>
  <c r="C401" i="7"/>
  <c r="C267" i="7"/>
  <c r="C265" i="7"/>
  <c r="C263" i="7"/>
  <c r="E23" i="7"/>
  <c r="F23" i="7" s="1"/>
  <c r="G23" i="7" s="1"/>
  <c r="H23" i="7" s="1"/>
  <c r="I23" i="7" s="1"/>
  <c r="J23" i="7" s="1"/>
  <c r="K23" i="7" s="1"/>
  <c r="L23" i="7" s="1"/>
  <c r="M23" i="7" s="1"/>
  <c r="N23" i="7" s="1"/>
  <c r="O23" i="7" s="1"/>
  <c r="P23" i="7" s="1"/>
  <c r="Q23" i="7" s="1"/>
  <c r="R23" i="7" s="1"/>
  <c r="S23" i="7" s="1"/>
  <c r="T23" i="7" s="1"/>
  <c r="U23" i="7" s="1"/>
  <c r="V23" i="7" s="1"/>
  <c r="W23" i="7" s="1"/>
  <c r="I41" i="7"/>
  <c r="I642" i="7"/>
  <c r="I648" i="7"/>
  <c r="I450" i="7"/>
  <c r="I71" i="7"/>
  <c r="I312" i="7"/>
  <c r="I621" i="7"/>
  <c r="I622" i="7" s="1"/>
  <c r="I628" i="7"/>
  <c r="I627" i="7"/>
  <c r="I626" i="7"/>
  <c r="J2" i="7"/>
  <c r="I609" i="7"/>
  <c r="I43" i="7"/>
  <c r="X15" i="7"/>
  <c r="X21" i="7" s="1"/>
  <c r="X22" i="7" s="1"/>
  <c r="AC637" i="7"/>
  <c r="M637" i="7"/>
  <c r="AP637" i="7"/>
  <c r="Z637" i="7"/>
  <c r="J637" i="7"/>
  <c r="AD637" i="7"/>
  <c r="AO637" i="7"/>
  <c r="Y637" i="7"/>
  <c r="AL637" i="7"/>
  <c r="V637" i="7"/>
  <c r="F637" i="7"/>
  <c r="AK637" i="7"/>
  <c r="U637" i="7"/>
  <c r="E637" i="7"/>
  <c r="AG637" i="7"/>
  <c r="Q637" i="7"/>
  <c r="N637" i="7"/>
  <c r="I637" i="7"/>
  <c r="AH637" i="7"/>
  <c r="R637" i="7"/>
  <c r="B637" i="7"/>
  <c r="AL638" i="7"/>
  <c r="AD638" i="7"/>
  <c r="V638" i="7"/>
  <c r="N638" i="7"/>
  <c r="F638" i="7"/>
  <c r="AK638" i="7"/>
  <c r="AC638" i="7"/>
  <c r="U638" i="7"/>
  <c r="M638" i="7"/>
  <c r="E638" i="7"/>
  <c r="AN638" i="7"/>
  <c r="AJ638" i="7"/>
  <c r="AF638" i="7"/>
  <c r="AB638" i="7"/>
  <c r="X638" i="7"/>
  <c r="T638" i="7"/>
  <c r="P638" i="7"/>
  <c r="L638" i="7"/>
  <c r="H638" i="7"/>
  <c r="D638" i="7"/>
  <c r="AP638" i="7"/>
  <c r="AH638" i="7"/>
  <c r="Z638" i="7"/>
  <c r="R638" i="7"/>
  <c r="J638" i="7"/>
  <c r="B638" i="7"/>
  <c r="C635" i="7" s="1"/>
  <c r="AO638" i="7"/>
  <c r="AG638" i="7"/>
  <c r="Y638" i="7"/>
  <c r="Q638" i="7"/>
  <c r="I638" i="7"/>
  <c r="AM638" i="7"/>
  <c r="AI638" i="7"/>
  <c r="AE638" i="7"/>
  <c r="AA638" i="7"/>
  <c r="W638" i="7"/>
  <c r="S638" i="7"/>
  <c r="O638" i="7"/>
  <c r="K638" i="7"/>
  <c r="G638" i="7"/>
  <c r="AN637" i="7"/>
  <c r="AJ637" i="7"/>
  <c r="AF637" i="7"/>
  <c r="AB637" i="7"/>
  <c r="X637" i="7"/>
  <c r="T637" i="7"/>
  <c r="P637" i="7"/>
  <c r="L637" i="7"/>
  <c r="H637" i="7"/>
  <c r="D637" i="7"/>
  <c r="AM637" i="7"/>
  <c r="AI637" i="7"/>
  <c r="AE637" i="7"/>
  <c r="AA637" i="7"/>
  <c r="W637" i="7"/>
  <c r="S637" i="7"/>
  <c r="O637" i="7"/>
  <c r="K637" i="7"/>
  <c r="G637" i="7"/>
  <c r="AN636" i="7"/>
  <c r="AF636" i="7"/>
  <c r="X636" i="7"/>
  <c r="P636" i="7"/>
  <c r="H636" i="7"/>
  <c r="AM636" i="7"/>
  <c r="AE636" i="7"/>
  <c r="AA636" i="7"/>
  <c r="W636" i="7"/>
  <c r="S636" i="7"/>
  <c r="O636" i="7"/>
  <c r="K636" i="7"/>
  <c r="G636" i="7"/>
  <c r="C636" i="7"/>
  <c r="AO636" i="7"/>
  <c r="AK636" i="7"/>
  <c r="AG636" i="7"/>
  <c r="AC636" i="7"/>
  <c r="Y636" i="7"/>
  <c r="U636" i="7"/>
  <c r="Q636" i="7"/>
  <c r="M636" i="7"/>
  <c r="I636" i="7"/>
  <c r="E636" i="7"/>
  <c r="AJ636" i="7"/>
  <c r="AB636" i="7"/>
  <c r="T636" i="7"/>
  <c r="L636" i="7"/>
  <c r="D636" i="7"/>
  <c r="AI636" i="7"/>
  <c r="AP636" i="7"/>
  <c r="AL636" i="7"/>
  <c r="AH636" i="7"/>
  <c r="AD636" i="7"/>
  <c r="Z636" i="7"/>
  <c r="V636" i="7"/>
  <c r="R636" i="7"/>
  <c r="N636" i="7"/>
  <c r="J636" i="7"/>
  <c r="F636" i="7"/>
  <c r="X23" i="7" l="1"/>
  <c r="Y23" i="7" s="1"/>
  <c r="Z23" i="7" s="1"/>
  <c r="AA23" i="7" s="1"/>
  <c r="AB23" i="7" s="1"/>
  <c r="AC23" i="7" s="1"/>
  <c r="AD23" i="7" s="1"/>
  <c r="AE23" i="7" s="1"/>
  <c r="AF23" i="7" s="1"/>
  <c r="AG23" i="7" s="1"/>
  <c r="AH23" i="7" s="1"/>
  <c r="AI23" i="7" s="1"/>
  <c r="AJ23" i="7" s="1"/>
  <c r="AK23" i="7" s="1"/>
  <c r="AL23" i="7" s="1"/>
  <c r="AM23" i="7" s="1"/>
  <c r="AN23" i="7" s="1"/>
  <c r="AO23" i="7" s="1"/>
  <c r="AP23" i="7" s="1"/>
  <c r="J642" i="7"/>
  <c r="J648" i="7"/>
  <c r="J41" i="7"/>
  <c r="J450" i="7"/>
  <c r="J71" i="7"/>
  <c r="J312" i="7"/>
  <c r="J621" i="7"/>
  <c r="J622" i="7" s="1"/>
  <c r="J628" i="7"/>
  <c r="J627" i="7"/>
  <c r="J626" i="7"/>
  <c r="K2" i="7"/>
  <c r="J609" i="7"/>
  <c r="J43" i="7"/>
  <c r="K648" i="7" l="1"/>
  <c r="K642" i="7"/>
  <c r="K41" i="7"/>
  <c r="K450" i="7"/>
  <c r="K71" i="7"/>
  <c r="K312" i="7"/>
  <c r="K621" i="7"/>
  <c r="K622" i="7" s="1"/>
  <c r="K628" i="7"/>
  <c r="K627" i="7"/>
  <c r="K626" i="7"/>
  <c r="L2" i="7"/>
  <c r="K609" i="7"/>
  <c r="K43" i="7"/>
  <c r="L642" i="7" l="1"/>
  <c r="L41" i="7"/>
  <c r="L648" i="7"/>
  <c r="L450" i="7"/>
  <c r="L71" i="7"/>
  <c r="L312" i="7"/>
  <c r="L621" i="7"/>
  <c r="L622" i="7" s="1"/>
  <c r="L628" i="7"/>
  <c r="L627" i="7"/>
  <c r="L626" i="7"/>
  <c r="M2" i="7"/>
  <c r="L609" i="7"/>
  <c r="L43" i="7"/>
  <c r="M41" i="7" l="1"/>
  <c r="M642" i="7"/>
  <c r="M648" i="7"/>
  <c r="M450" i="7"/>
  <c r="M71" i="7"/>
  <c r="M312" i="7"/>
  <c r="M621" i="7"/>
  <c r="M622" i="7" s="1"/>
  <c r="M628" i="7"/>
  <c r="M627" i="7"/>
  <c r="M626" i="7"/>
  <c r="N2" i="7"/>
  <c r="M609" i="7"/>
  <c r="M43" i="7"/>
  <c r="N642" i="7" l="1"/>
  <c r="N648" i="7"/>
  <c r="N41" i="7"/>
  <c r="N450" i="7"/>
  <c r="N71" i="7"/>
  <c r="N312" i="7"/>
  <c r="N621" i="7"/>
  <c r="N622" i="7" s="1"/>
  <c r="N628" i="7"/>
  <c r="N627" i="7"/>
  <c r="N626" i="7"/>
  <c r="O2" i="7"/>
  <c r="N609" i="7"/>
  <c r="N43" i="7"/>
  <c r="O648" i="7" l="1"/>
  <c r="O41" i="7"/>
  <c r="O642" i="7"/>
  <c r="O450" i="7"/>
  <c r="O71" i="7"/>
  <c r="O312" i="7"/>
  <c r="O621" i="7"/>
  <c r="O622" i="7" s="1"/>
  <c r="O627" i="7"/>
  <c r="O626" i="7"/>
  <c r="O628" i="7"/>
  <c r="P2" i="7"/>
  <c r="O609" i="7"/>
  <c r="O43" i="7"/>
  <c r="B104" i="7"/>
  <c r="G155" i="7"/>
  <c r="AM155" i="7"/>
  <c r="AF155" i="7"/>
  <c r="R155" i="7"/>
  <c r="Y155" i="7"/>
  <c r="AL155" i="7"/>
  <c r="K155" i="7"/>
  <c r="D155" i="7"/>
  <c r="AJ155" i="7"/>
  <c r="Z155" i="7"/>
  <c r="AK155" i="7"/>
  <c r="AP155" i="7"/>
  <c r="M155" i="7"/>
  <c r="O155" i="7"/>
  <c r="I155" i="7"/>
  <c r="H155" i="7"/>
  <c r="AN155" i="7"/>
  <c r="AH155" i="7"/>
  <c r="S155" i="7"/>
  <c r="L155" i="7"/>
  <c r="W155" i="7"/>
  <c r="P155" i="7"/>
  <c r="AA155" i="7"/>
  <c r="T155" i="7"/>
  <c r="F155" i="7"/>
  <c r="U155" i="7"/>
  <c r="AE155" i="7"/>
  <c r="X155" i="7"/>
  <c r="E155" i="7"/>
  <c r="Q155" i="7"/>
  <c r="AD155" i="7"/>
  <c r="AG155" i="7"/>
  <c r="AI155" i="7"/>
  <c r="AB155" i="7"/>
  <c r="J155" i="7"/>
  <c r="N155" i="7"/>
  <c r="AC155" i="7"/>
  <c r="AO155" i="7"/>
  <c r="V155" i="7"/>
  <c r="D147" i="1"/>
  <c r="P41" i="7" l="1"/>
  <c r="P642" i="7"/>
  <c r="P648" i="7"/>
  <c r="P450" i="7"/>
  <c r="P71" i="7"/>
  <c r="P312" i="7"/>
  <c r="P621" i="7"/>
  <c r="P622" i="7" s="1"/>
  <c r="P628" i="7"/>
  <c r="P627" i="7"/>
  <c r="P626" i="7"/>
  <c r="Q2" i="7"/>
  <c r="P609" i="7"/>
  <c r="P43" i="7"/>
  <c r="E147" i="1"/>
  <c r="Q41" i="7" l="1"/>
  <c r="Q642" i="7"/>
  <c r="Q648" i="7"/>
  <c r="Q450" i="7"/>
  <c r="Q71" i="7"/>
  <c r="Q312" i="7"/>
  <c r="Q621" i="7"/>
  <c r="Q622" i="7" s="1"/>
  <c r="Q628" i="7"/>
  <c r="Q627" i="7"/>
  <c r="Q626" i="7"/>
  <c r="F147" i="1"/>
  <c r="G147" i="1" s="1"/>
  <c r="R2" i="7"/>
  <c r="Q609" i="7"/>
  <c r="Q43" i="7"/>
  <c r="B95" i="7"/>
  <c r="R642" i="7" l="1"/>
  <c r="R648" i="7"/>
  <c r="R41" i="7"/>
  <c r="R450" i="7"/>
  <c r="R71" i="7"/>
  <c r="R312" i="7"/>
  <c r="R621" i="7"/>
  <c r="R622" i="7" s="1"/>
  <c r="R628" i="7"/>
  <c r="R627" i="7"/>
  <c r="R626" i="7"/>
  <c r="S2" i="7"/>
  <c r="R609" i="7"/>
  <c r="R43" i="7"/>
  <c r="H147" i="1"/>
  <c r="B94" i="7"/>
  <c r="S648" i="7" l="1"/>
  <c r="S642" i="7"/>
  <c r="S41" i="7"/>
  <c r="S450" i="7"/>
  <c r="S71" i="7"/>
  <c r="S312" i="7"/>
  <c r="S621" i="7"/>
  <c r="S622" i="7" s="1"/>
  <c r="S626" i="7"/>
  <c r="S628" i="7"/>
  <c r="S627" i="7"/>
  <c r="T2" i="7"/>
  <c r="S609" i="7"/>
  <c r="S43" i="7"/>
  <c r="F15" i="1"/>
  <c r="I147" i="1"/>
  <c r="P268" i="7"/>
  <c r="P267" i="7"/>
  <c r="P266" i="7"/>
  <c r="P265" i="7"/>
  <c r="P264" i="7"/>
  <c r="P263" i="7"/>
  <c r="P406" i="7"/>
  <c r="P405" i="7"/>
  <c r="P404" i="7"/>
  <c r="P403" i="7"/>
  <c r="T41" i="7" l="1"/>
  <c r="T642" i="7"/>
  <c r="T648" i="7"/>
  <c r="T450" i="7"/>
  <c r="T71" i="7"/>
  <c r="P270" i="7"/>
  <c r="T312" i="7"/>
  <c r="T621" i="7"/>
  <c r="T622" i="7" s="1"/>
  <c r="T628" i="7"/>
  <c r="T627" i="7"/>
  <c r="T626" i="7"/>
  <c r="U2" i="7"/>
  <c r="T609" i="7"/>
  <c r="T43" i="7"/>
  <c r="F14" i="1"/>
  <c r="J147" i="1"/>
  <c r="M401" i="7"/>
  <c r="B430" i="7"/>
  <c r="B429" i="7"/>
  <c r="B427" i="7"/>
  <c r="B289" i="7"/>
  <c r="B424" i="7"/>
  <c r="B423" i="7"/>
  <c r="B422" i="7"/>
  <c r="B421" i="7"/>
  <c r="B286" i="7"/>
  <c r="B285" i="7"/>
  <c r="B284" i="7"/>
  <c r="B292" i="7"/>
  <c r="B291" i="7"/>
  <c r="U41" i="7" l="1"/>
  <c r="U642" i="7"/>
  <c r="U648" i="7"/>
  <c r="U450" i="7"/>
  <c r="U71" i="7"/>
  <c r="U312" i="7"/>
  <c r="U621" i="7"/>
  <c r="U622" i="7" s="1"/>
  <c r="U628" i="7"/>
  <c r="U627" i="7"/>
  <c r="U626" i="7"/>
  <c r="V2" i="7"/>
  <c r="U609" i="7"/>
  <c r="U43" i="7"/>
  <c r="K147" i="1"/>
  <c r="F9" i="1"/>
  <c r="V642" i="7" l="1"/>
  <c r="V648" i="7"/>
  <c r="V41" i="7"/>
  <c r="V450" i="7"/>
  <c r="V71" i="7"/>
  <c r="V312" i="7"/>
  <c r="V621" i="7"/>
  <c r="V622" i="7" s="1"/>
  <c r="V628" i="7"/>
  <c r="V627" i="7"/>
  <c r="V626" i="7"/>
  <c r="W2" i="7"/>
  <c r="V609" i="7"/>
  <c r="V43" i="7"/>
  <c r="L147" i="1"/>
  <c r="B656" i="7"/>
  <c r="B105" i="7"/>
  <c r="W648" i="7" l="1"/>
  <c r="W642" i="7"/>
  <c r="W41" i="7"/>
  <c r="W450" i="7"/>
  <c r="W71" i="7"/>
  <c r="W312" i="7"/>
  <c r="W621" i="7"/>
  <c r="W622" i="7" s="1"/>
  <c r="W628" i="7"/>
  <c r="W627" i="7"/>
  <c r="W626" i="7"/>
  <c r="X2" i="7"/>
  <c r="W609" i="7"/>
  <c r="W43" i="7"/>
  <c r="M147" i="1"/>
  <c r="F10" i="1"/>
  <c r="B96" i="7"/>
  <c r="B93" i="7"/>
  <c r="X41" i="7" l="1"/>
  <c r="X642" i="7"/>
  <c r="X648" i="7"/>
  <c r="X450" i="7"/>
  <c r="X71" i="7"/>
  <c r="X312" i="7"/>
  <c r="X621" i="7"/>
  <c r="X622" i="7" s="1"/>
  <c r="X628" i="7"/>
  <c r="X627" i="7"/>
  <c r="X626" i="7"/>
  <c r="Y2" i="7"/>
  <c r="X609" i="7"/>
  <c r="X43" i="7"/>
  <c r="N147" i="1"/>
  <c r="G84" i="1"/>
  <c r="G83" i="1"/>
  <c r="G82" i="1"/>
  <c r="G81" i="1"/>
  <c r="G80" i="1"/>
  <c r="Y41" i="7" l="1"/>
  <c r="Y642" i="7"/>
  <c r="Y648" i="7"/>
  <c r="Y450" i="7"/>
  <c r="Y71" i="7"/>
  <c r="Y312" i="7"/>
  <c r="Y621" i="7"/>
  <c r="Y622" i="7" s="1"/>
  <c r="Y628" i="7"/>
  <c r="Y627" i="7"/>
  <c r="Y626" i="7"/>
  <c r="Z2" i="7"/>
  <c r="Y609" i="7"/>
  <c r="Y43" i="7"/>
  <c r="O147" i="1"/>
  <c r="B405" i="7"/>
  <c r="B268" i="7"/>
  <c r="B404" i="7"/>
  <c r="B267" i="7"/>
  <c r="B266" i="7"/>
  <c r="B402" i="7"/>
  <c r="B265" i="7"/>
  <c r="B401" i="7"/>
  <c r="B264" i="7"/>
  <c r="B263" i="7"/>
  <c r="B403" i="7"/>
  <c r="B406" i="7"/>
  <c r="H80" i="1"/>
  <c r="I80" i="1" s="1"/>
  <c r="H82" i="1"/>
  <c r="I82" i="1" s="1"/>
  <c r="H83" i="1"/>
  <c r="I83" i="1" s="1"/>
  <c r="H84" i="1"/>
  <c r="I84" i="1" s="1"/>
  <c r="H81" i="1"/>
  <c r="I81" i="1" s="1"/>
  <c r="G85" i="1"/>
  <c r="Z642" i="7" l="1"/>
  <c r="Z648" i="7"/>
  <c r="Z41" i="7"/>
  <c r="Z450" i="7"/>
  <c r="Z71" i="7"/>
  <c r="B408" i="7"/>
  <c r="Z312" i="7"/>
  <c r="Z621" i="7"/>
  <c r="Z622" i="7" s="1"/>
  <c r="Z628" i="7"/>
  <c r="Z627" i="7"/>
  <c r="Z626" i="7"/>
  <c r="AA2" i="7"/>
  <c r="Z609" i="7"/>
  <c r="Z43" i="7"/>
  <c r="P147" i="1"/>
  <c r="H85" i="1"/>
  <c r="I85" i="1"/>
  <c r="B97" i="7" s="1"/>
  <c r="C41" i="1"/>
  <c r="AA648" i="7" l="1"/>
  <c r="AA642" i="7"/>
  <c r="AA41" i="7"/>
  <c r="AA450" i="7"/>
  <c r="AA71" i="7"/>
  <c r="B171" i="7"/>
  <c r="B172" i="7" s="1"/>
  <c r="B170" i="7"/>
  <c r="AA312" i="7"/>
  <c r="AA621" i="7"/>
  <c r="AA622" i="7" s="1"/>
  <c r="AA627" i="7"/>
  <c r="AA628" i="7"/>
  <c r="AA626" i="7"/>
  <c r="AB2" i="7"/>
  <c r="AA609" i="7"/>
  <c r="AA43" i="7"/>
  <c r="Q147" i="1"/>
  <c r="G42" i="4"/>
  <c r="G3" i="4"/>
  <c r="AB41" i="7" l="1"/>
  <c r="AB642" i="7"/>
  <c r="AB648" i="7"/>
  <c r="AB450" i="7"/>
  <c r="AB71" i="7"/>
  <c r="AB312" i="7"/>
  <c r="AB621" i="7"/>
  <c r="AB622" i="7" s="1"/>
  <c r="AB628" i="7"/>
  <c r="AB627" i="7"/>
  <c r="AB626" i="7"/>
  <c r="AC2" i="7"/>
  <c r="AB609" i="7"/>
  <c r="AB43" i="7"/>
  <c r="R147" i="1"/>
  <c r="C580" i="7"/>
  <c r="C581" i="7"/>
  <c r="C582" i="7"/>
  <c r="C583" i="7"/>
  <c r="C573" i="7"/>
  <c r="B283" i="7" s="1"/>
  <c r="C574" i="7"/>
  <c r="C575" i="7"/>
  <c r="C576" i="7"/>
  <c r="AC41" i="7" l="1"/>
  <c r="AC642" i="7"/>
  <c r="AC648" i="7"/>
  <c r="AC450" i="7"/>
  <c r="AC71" i="7"/>
  <c r="AC312" i="7"/>
  <c r="AC621" i="7"/>
  <c r="AC622" i="7" s="1"/>
  <c r="AC628" i="7"/>
  <c r="AC627" i="7"/>
  <c r="AC626" i="7"/>
  <c r="AD2" i="7"/>
  <c r="AC609" i="7"/>
  <c r="AC43" i="7"/>
  <c r="S147" i="1"/>
  <c r="B290" i="7"/>
  <c r="B293" i="7" s="1"/>
  <c r="B428" i="7"/>
  <c r="C577" i="7"/>
  <c r="C584" i="7"/>
  <c r="B99" i="7" s="1"/>
  <c r="C189" i="7"/>
  <c r="E269" i="7" l="1"/>
  <c r="E263" i="7"/>
  <c r="E265" i="7"/>
  <c r="E266" i="7"/>
  <c r="E268" i="7"/>
  <c r="E264" i="7"/>
  <c r="E267" i="7"/>
  <c r="AD642" i="7"/>
  <c r="AD648" i="7"/>
  <c r="AD41" i="7"/>
  <c r="AD450" i="7"/>
  <c r="AD71" i="7"/>
  <c r="AD312" i="7"/>
  <c r="AD621" i="7"/>
  <c r="AD622" i="7" s="1"/>
  <c r="AD628" i="7"/>
  <c r="AD627" i="7"/>
  <c r="AD626" i="7"/>
  <c r="AE2" i="7"/>
  <c r="AD609" i="7"/>
  <c r="AD43" i="7"/>
  <c r="T147" i="1"/>
  <c r="C239" i="7"/>
  <c r="C54" i="1"/>
  <c r="C49" i="1"/>
  <c r="C43" i="7" s="1"/>
  <c r="E270" i="7" l="1"/>
  <c r="AE648" i="7"/>
  <c r="AE41" i="7"/>
  <c r="AE642" i="7"/>
  <c r="AE450" i="7"/>
  <c r="AE71" i="7"/>
  <c r="AE312" i="7"/>
  <c r="AE621" i="7"/>
  <c r="AE622" i="7" s="1"/>
  <c r="AE626" i="7"/>
  <c r="AE628" i="7"/>
  <c r="AE627" i="7"/>
  <c r="AF2" i="7"/>
  <c r="AE609" i="7"/>
  <c r="AE43" i="7"/>
  <c r="U147" i="1"/>
  <c r="B418" i="7"/>
  <c r="B417" i="7"/>
  <c r="B416" i="7"/>
  <c r="B415" i="7"/>
  <c r="B280" i="7"/>
  <c r="B279" i="7"/>
  <c r="B278" i="7"/>
  <c r="B277" i="7"/>
  <c r="AP37" i="7"/>
  <c r="AO37" i="7"/>
  <c r="AN37" i="7"/>
  <c r="AM37" i="7"/>
  <c r="AL37" i="7"/>
  <c r="AK37" i="7"/>
  <c r="AJ37" i="7"/>
  <c r="AI37" i="7"/>
  <c r="AH37" i="7"/>
  <c r="AG37" i="7"/>
  <c r="AF37" i="7"/>
  <c r="AE37" i="7"/>
  <c r="AD37" i="7"/>
  <c r="AC37" i="7"/>
  <c r="AB37" i="7"/>
  <c r="AA37" i="7"/>
  <c r="Z37" i="7"/>
  <c r="Y37" i="7"/>
  <c r="X37" i="7"/>
  <c r="W37" i="7"/>
  <c r="V37" i="7"/>
  <c r="U37" i="7"/>
  <c r="T37" i="7"/>
  <c r="S37" i="7"/>
  <c r="R37" i="7"/>
  <c r="Q37" i="7"/>
  <c r="P37" i="7"/>
  <c r="O37" i="7"/>
  <c r="N37" i="7"/>
  <c r="M37" i="7"/>
  <c r="L37" i="7"/>
  <c r="K37" i="7"/>
  <c r="J37" i="7"/>
  <c r="I37" i="7"/>
  <c r="H37" i="7"/>
  <c r="G37" i="7"/>
  <c r="F37" i="7"/>
  <c r="E37" i="7"/>
  <c r="D37" i="7"/>
  <c r="C37" i="7"/>
  <c r="AP36" i="7"/>
  <c r="AO36" i="7"/>
  <c r="AN36" i="7"/>
  <c r="AM36" i="7"/>
  <c r="AL36" i="7"/>
  <c r="AK36" i="7"/>
  <c r="AJ36" i="7"/>
  <c r="AI36" i="7"/>
  <c r="AH36" i="7"/>
  <c r="AG36" i="7"/>
  <c r="AF36" i="7"/>
  <c r="AE36" i="7"/>
  <c r="AD36" i="7"/>
  <c r="AC36" i="7"/>
  <c r="AB36" i="7"/>
  <c r="AA36" i="7"/>
  <c r="Z36" i="7"/>
  <c r="Y36" i="7"/>
  <c r="X36" i="7"/>
  <c r="W36" i="7"/>
  <c r="V36" i="7"/>
  <c r="U36" i="7"/>
  <c r="T36" i="7"/>
  <c r="S36" i="7"/>
  <c r="R36" i="7"/>
  <c r="Q36" i="7"/>
  <c r="P36" i="7"/>
  <c r="O36" i="7"/>
  <c r="N36" i="7"/>
  <c r="M36" i="7"/>
  <c r="L36" i="7"/>
  <c r="K36" i="7"/>
  <c r="J36" i="7"/>
  <c r="I36" i="7"/>
  <c r="H36" i="7"/>
  <c r="G36" i="7"/>
  <c r="F36" i="7"/>
  <c r="E36" i="7"/>
  <c r="D36" i="7"/>
  <c r="C36" i="7"/>
  <c r="AP35" i="7"/>
  <c r="AO35" i="7"/>
  <c r="AN35" i="7"/>
  <c r="AM35" i="7"/>
  <c r="AL35" i="7"/>
  <c r="AK35" i="7"/>
  <c r="AJ35" i="7"/>
  <c r="AI35" i="7"/>
  <c r="AH35" i="7"/>
  <c r="AG35" i="7"/>
  <c r="AF35" i="7"/>
  <c r="AE35" i="7"/>
  <c r="AD35" i="7"/>
  <c r="AC35" i="7"/>
  <c r="AB35" i="7"/>
  <c r="AA35" i="7"/>
  <c r="Z35" i="7"/>
  <c r="Y35" i="7"/>
  <c r="X35" i="7"/>
  <c r="W35" i="7"/>
  <c r="V35" i="7"/>
  <c r="U35" i="7"/>
  <c r="T35" i="7"/>
  <c r="S35" i="7"/>
  <c r="R35" i="7"/>
  <c r="Q35" i="7"/>
  <c r="P35" i="7"/>
  <c r="O35" i="7"/>
  <c r="N35" i="7"/>
  <c r="M35" i="7"/>
  <c r="L35" i="7"/>
  <c r="K35" i="7"/>
  <c r="J35" i="7"/>
  <c r="I35" i="7"/>
  <c r="H35" i="7"/>
  <c r="G35" i="7"/>
  <c r="F35" i="7"/>
  <c r="E35" i="7"/>
  <c r="D35" i="7"/>
  <c r="C35" i="7"/>
  <c r="AF41" i="7" l="1"/>
  <c r="AF642" i="7"/>
  <c r="AF648" i="7"/>
  <c r="AF450" i="7"/>
  <c r="AF71" i="7"/>
  <c r="AF312" i="7"/>
  <c r="AF621" i="7"/>
  <c r="AF622" i="7" s="1"/>
  <c r="AF628" i="7"/>
  <c r="AF627" i="7"/>
  <c r="AF626" i="7"/>
  <c r="AG2" i="7"/>
  <c r="AF609" i="7"/>
  <c r="AF43" i="7"/>
  <c r="V147" i="1"/>
  <c r="AG41" i="7" l="1"/>
  <c r="AG642" i="7"/>
  <c r="AG648" i="7"/>
  <c r="AG450" i="7"/>
  <c r="AG71" i="7"/>
  <c r="AG312" i="7"/>
  <c r="AG621" i="7"/>
  <c r="AG622" i="7" s="1"/>
  <c r="AG628" i="7"/>
  <c r="AG627" i="7"/>
  <c r="AG626" i="7"/>
  <c r="AH2" i="7"/>
  <c r="AG609" i="7"/>
  <c r="AG43" i="7"/>
  <c r="W147" i="1"/>
  <c r="C649" i="7"/>
  <c r="C610" i="7"/>
  <c r="C630" i="7"/>
  <c r="C631" i="7" s="1"/>
  <c r="C560" i="7"/>
  <c r="C554" i="7"/>
  <c r="C600" i="7"/>
  <c r="C596" i="7"/>
  <c r="C592" i="7"/>
  <c r="C588" i="7"/>
  <c r="C50" i="7"/>
  <c r="C54" i="7"/>
  <c r="C47" i="7"/>
  <c r="C617" i="7"/>
  <c r="D617" i="7" s="1"/>
  <c r="C155" i="7"/>
  <c r="C72" i="7"/>
  <c r="C724" i="7"/>
  <c r="C692" i="7"/>
  <c r="C660" i="7"/>
  <c r="C40" i="7"/>
  <c r="C73" i="7"/>
  <c r="AH642" i="7" l="1"/>
  <c r="AH648" i="7"/>
  <c r="AH41" i="7"/>
  <c r="AH450" i="7"/>
  <c r="AH71" i="7"/>
  <c r="AH312" i="7"/>
  <c r="AH621" i="7"/>
  <c r="AH622" i="7" s="1"/>
  <c r="AH628" i="7"/>
  <c r="AH627" i="7"/>
  <c r="AH626" i="7"/>
  <c r="AI2" i="7"/>
  <c r="AH609" i="7"/>
  <c r="AH43" i="7"/>
  <c r="X147" i="1"/>
  <c r="D649" i="7"/>
  <c r="D610" i="7"/>
  <c r="D630" i="7"/>
  <c r="D631" i="7" s="1"/>
  <c r="D600" i="7"/>
  <c r="D596" i="7"/>
  <c r="D592" i="7"/>
  <c r="D588" i="7"/>
  <c r="D560" i="7"/>
  <c r="D554" i="7"/>
  <c r="D50" i="7"/>
  <c r="D54" i="7"/>
  <c r="D47" i="7"/>
  <c r="E617" i="7"/>
  <c r="D72" i="7"/>
  <c r="D724" i="7"/>
  <c r="D692" i="7"/>
  <c r="D660" i="7"/>
  <c r="D40" i="7"/>
  <c r="D73" i="7"/>
  <c r="AI648" i="7" l="1"/>
  <c r="AI642" i="7"/>
  <c r="AI41" i="7"/>
  <c r="AI450" i="7"/>
  <c r="AI71" i="7"/>
  <c r="AI312" i="7"/>
  <c r="AI621" i="7"/>
  <c r="AI622" i="7" s="1"/>
  <c r="AI628" i="7"/>
  <c r="AI627" i="7"/>
  <c r="AI626" i="7"/>
  <c r="AJ2" i="7"/>
  <c r="AI43" i="7"/>
  <c r="AI609" i="7"/>
  <c r="Y147" i="1"/>
  <c r="E649" i="7"/>
  <c r="E610" i="7"/>
  <c r="E630" i="7"/>
  <c r="E631" i="7" s="1"/>
  <c r="E560" i="7"/>
  <c r="E554" i="7"/>
  <c r="E600" i="7"/>
  <c r="E596" i="7"/>
  <c r="E592" i="7"/>
  <c r="E588" i="7"/>
  <c r="E50" i="7"/>
  <c r="E54" i="7"/>
  <c r="E47" i="7"/>
  <c r="F617" i="7"/>
  <c r="E72" i="7"/>
  <c r="E724" i="7"/>
  <c r="E692" i="7"/>
  <c r="E660" i="7"/>
  <c r="E73" i="7"/>
  <c r="E40" i="7"/>
  <c r="AJ41" i="7" l="1"/>
  <c r="AJ642" i="7"/>
  <c r="AJ648" i="7"/>
  <c r="AJ450" i="7"/>
  <c r="AJ71" i="7"/>
  <c r="AJ312" i="7"/>
  <c r="AJ621" i="7"/>
  <c r="AJ622" i="7" s="1"/>
  <c r="AJ628" i="7"/>
  <c r="AJ627" i="7"/>
  <c r="AJ626" i="7"/>
  <c r="AK2" i="7"/>
  <c r="AJ609" i="7"/>
  <c r="AJ43" i="7"/>
  <c r="Z147" i="1"/>
  <c r="F649" i="7"/>
  <c r="F610" i="7"/>
  <c r="F630" i="7"/>
  <c r="F631" i="7" s="1"/>
  <c r="F554" i="7"/>
  <c r="F600" i="7"/>
  <c r="F596" i="7"/>
  <c r="F592" i="7"/>
  <c r="F588" i="7"/>
  <c r="F560" i="7"/>
  <c r="F50" i="7"/>
  <c r="F54" i="7"/>
  <c r="F47" i="7"/>
  <c r="G617" i="7"/>
  <c r="F72" i="7"/>
  <c r="F692" i="7"/>
  <c r="F724" i="7"/>
  <c r="F660" i="7"/>
  <c r="F73" i="7"/>
  <c r="F40" i="7"/>
  <c r="AP644" i="7"/>
  <c r="AK41" i="7" l="1"/>
  <c r="AK642" i="7"/>
  <c r="AK648" i="7"/>
  <c r="AK450" i="7"/>
  <c r="AK71" i="7"/>
  <c r="AK312" i="7"/>
  <c r="AK621" i="7"/>
  <c r="AK622" i="7" s="1"/>
  <c r="AK628" i="7"/>
  <c r="AK627" i="7"/>
  <c r="AK626" i="7"/>
  <c r="AL2" i="7"/>
  <c r="AK609" i="7"/>
  <c r="AK43" i="7"/>
  <c r="AA147" i="1"/>
  <c r="G649" i="7"/>
  <c r="G610" i="7"/>
  <c r="G630" i="7"/>
  <c r="G631" i="7" s="1"/>
  <c r="G560" i="7"/>
  <c r="G554" i="7"/>
  <c r="G592" i="7"/>
  <c r="G600" i="7"/>
  <c r="G596" i="7"/>
  <c r="G588" i="7"/>
  <c r="G50" i="7"/>
  <c r="G54" i="7"/>
  <c r="G47" i="7"/>
  <c r="H617" i="7"/>
  <c r="G72" i="7"/>
  <c r="G724" i="7"/>
  <c r="G692" i="7"/>
  <c r="G660" i="7"/>
  <c r="G40" i="7"/>
  <c r="G73" i="7"/>
  <c r="G402" i="7"/>
  <c r="G403" i="7"/>
  <c r="G404" i="7"/>
  <c r="G405" i="7"/>
  <c r="G406" i="7"/>
  <c r="G265" i="7"/>
  <c r="G266" i="7"/>
  <c r="G267" i="7"/>
  <c r="G264" i="7"/>
  <c r="AL642" i="7" l="1"/>
  <c r="AL648" i="7"/>
  <c r="AL41" i="7"/>
  <c r="AL450" i="7"/>
  <c r="AL71" i="7"/>
  <c r="AL312" i="7"/>
  <c r="AL621" i="7"/>
  <c r="AL622" i="7" s="1"/>
  <c r="AL628" i="7"/>
  <c r="AL627" i="7"/>
  <c r="AL626" i="7"/>
  <c r="AM2" i="7"/>
  <c r="AL609" i="7"/>
  <c r="AL43" i="7"/>
  <c r="AB147" i="1"/>
  <c r="H649" i="7"/>
  <c r="H610" i="7"/>
  <c r="H630" i="7"/>
  <c r="H631" i="7" s="1"/>
  <c r="H592" i="7"/>
  <c r="H560" i="7"/>
  <c r="H554" i="7"/>
  <c r="H600" i="7"/>
  <c r="H596" i="7"/>
  <c r="H588" i="7"/>
  <c r="H50" i="7"/>
  <c r="H54" i="7"/>
  <c r="H47" i="7"/>
  <c r="I617" i="7"/>
  <c r="H72" i="7"/>
  <c r="H724" i="7"/>
  <c r="H660" i="7"/>
  <c r="H692" i="7"/>
  <c r="H40" i="7"/>
  <c r="H73" i="7"/>
  <c r="A737" i="7"/>
  <c r="A738" i="7" s="1"/>
  <c r="A739" i="7" s="1"/>
  <c r="A740" i="7" s="1"/>
  <c r="A741" i="7" s="1"/>
  <c r="A742" i="7" s="1"/>
  <c r="A743" i="7" s="1"/>
  <c r="A744" i="7" s="1"/>
  <c r="A745" i="7" s="1"/>
  <c r="A725" i="7"/>
  <c r="H725" i="7" s="1"/>
  <c r="B720" i="7"/>
  <c r="C717" i="7" s="1"/>
  <c r="A705" i="7"/>
  <c r="A706" i="7" s="1"/>
  <c r="A707" i="7" s="1"/>
  <c r="A708" i="7" s="1"/>
  <c r="A709" i="7" s="1"/>
  <c r="A710" i="7" s="1"/>
  <c r="A711" i="7" s="1"/>
  <c r="A712" i="7" s="1"/>
  <c r="A713" i="7" s="1"/>
  <c r="A693" i="7"/>
  <c r="H693" i="7" s="1"/>
  <c r="B688" i="7"/>
  <c r="C685" i="7" s="1"/>
  <c r="A673" i="7"/>
  <c r="A674" i="7" s="1"/>
  <c r="A675" i="7" s="1"/>
  <c r="A676" i="7" s="1"/>
  <c r="A677" i="7" s="1"/>
  <c r="A678" i="7" s="1"/>
  <c r="A679" i="7" s="1"/>
  <c r="A680" i="7" s="1"/>
  <c r="A681" i="7" s="1"/>
  <c r="A661" i="7"/>
  <c r="H661" i="7" s="1"/>
  <c r="C653" i="7"/>
  <c r="A599" i="7"/>
  <c r="A595" i="7"/>
  <c r="A591" i="7"/>
  <c r="A587" i="7"/>
  <c r="A583" i="7"/>
  <c r="A292" i="7" s="1"/>
  <c r="A582" i="7"/>
  <c r="A291" i="7" s="1"/>
  <c r="A581" i="7"/>
  <c r="A290" i="7" s="1"/>
  <c r="A580" i="7"/>
  <c r="A289" i="7" s="1"/>
  <c r="A576" i="7"/>
  <c r="A286" i="7" s="1"/>
  <c r="A575" i="7"/>
  <c r="A285" i="7" s="1"/>
  <c r="A574" i="7"/>
  <c r="A284" i="7" s="1"/>
  <c r="A573" i="7"/>
  <c r="A283" i="7" s="1"/>
  <c r="A572" i="7"/>
  <c r="A282" i="7" s="1"/>
  <c r="C570" i="7"/>
  <c r="A570" i="7"/>
  <c r="A280" i="7" s="1"/>
  <c r="C569" i="7"/>
  <c r="A569" i="7"/>
  <c r="A279" i="7" s="1"/>
  <c r="C568" i="7"/>
  <c r="A568" i="7"/>
  <c r="A278" i="7" s="1"/>
  <c r="C567" i="7"/>
  <c r="A567" i="7"/>
  <c r="A277" i="7" s="1"/>
  <c r="A566" i="7"/>
  <c r="A276" i="7" s="1"/>
  <c r="B456" i="7"/>
  <c r="B455" i="7"/>
  <c r="A387" i="7"/>
  <c r="A388" i="7" s="1"/>
  <c r="A389" i="7" s="1"/>
  <c r="A390" i="7" s="1"/>
  <c r="A391" i="7" s="1"/>
  <c r="A392" i="7" s="1"/>
  <c r="A393" i="7" s="1"/>
  <c r="A394" i="7" s="1"/>
  <c r="A395" i="7" s="1"/>
  <c r="A375" i="7"/>
  <c r="A376" i="7" s="1"/>
  <c r="A377" i="7" s="1"/>
  <c r="A378" i="7" s="1"/>
  <c r="A379" i="7" s="1"/>
  <c r="A380" i="7" s="1"/>
  <c r="A381" i="7" s="1"/>
  <c r="A382" i="7" s="1"/>
  <c r="A383" i="7" s="1"/>
  <c r="A361" i="7"/>
  <c r="A362" i="7" s="1"/>
  <c r="A363" i="7" s="1"/>
  <c r="A364" i="7" s="1"/>
  <c r="A365" i="7" s="1"/>
  <c r="A366" i="7" s="1"/>
  <c r="A367" i="7" s="1"/>
  <c r="A368" i="7" s="1"/>
  <c r="A369" i="7" s="1"/>
  <c r="A349" i="7"/>
  <c r="A350" i="7" s="1"/>
  <c r="A351" i="7" s="1"/>
  <c r="A352" i="7" s="1"/>
  <c r="A353" i="7" s="1"/>
  <c r="A354" i="7" s="1"/>
  <c r="A355" i="7" s="1"/>
  <c r="A356" i="7" s="1"/>
  <c r="A357" i="7" s="1"/>
  <c r="A335" i="7"/>
  <c r="A336" i="7" s="1"/>
  <c r="A337" i="7" s="1"/>
  <c r="A338" i="7" s="1"/>
  <c r="A339" i="7" s="1"/>
  <c r="A340" i="7" s="1"/>
  <c r="A341" i="7" s="1"/>
  <c r="A342" i="7" s="1"/>
  <c r="A343" i="7" s="1"/>
  <c r="A324" i="7"/>
  <c r="A325" i="7" s="1"/>
  <c r="A326" i="7" s="1"/>
  <c r="A327" i="7" s="1"/>
  <c r="A328" i="7" s="1"/>
  <c r="A329" i="7" s="1"/>
  <c r="A330" i="7" s="1"/>
  <c r="A331" i="7" s="1"/>
  <c r="A332" i="7" s="1"/>
  <c r="B318" i="7"/>
  <c r="B317" i="7"/>
  <c r="A288" i="7"/>
  <c r="A275" i="7"/>
  <c r="A268" i="7"/>
  <c r="A406" i="7" s="1"/>
  <c r="A267" i="7"/>
  <c r="A405" i="7" s="1"/>
  <c r="A266" i="7"/>
  <c r="A404" i="7" s="1"/>
  <c r="A265" i="7"/>
  <c r="A403" i="7" s="1"/>
  <c r="A264" i="7"/>
  <c r="A402" i="7" s="1"/>
  <c r="A263" i="7"/>
  <c r="A401" i="7" s="1"/>
  <c r="A240" i="7"/>
  <c r="A234" i="7"/>
  <c r="A228" i="7"/>
  <c r="A222" i="7"/>
  <c r="A221" i="7"/>
  <c r="A200" i="7"/>
  <c r="A194" i="7"/>
  <c r="A188" i="7"/>
  <c r="A182" i="7"/>
  <c r="A181" i="7"/>
  <c r="B141" i="7"/>
  <c r="B140" i="7"/>
  <c r="B137" i="7"/>
  <c r="B136" i="7"/>
  <c r="AP126" i="7"/>
  <c r="AO126" i="7"/>
  <c r="AN126" i="7"/>
  <c r="AM126" i="7"/>
  <c r="AL126" i="7"/>
  <c r="AK126" i="7"/>
  <c r="AJ126" i="7"/>
  <c r="AI126" i="7"/>
  <c r="AH126" i="7"/>
  <c r="AG126" i="7"/>
  <c r="AF126" i="7"/>
  <c r="AE126" i="7"/>
  <c r="AD126" i="7"/>
  <c r="AC126" i="7"/>
  <c r="AB126" i="7"/>
  <c r="AA126" i="7"/>
  <c r="Z126" i="7"/>
  <c r="Y126" i="7"/>
  <c r="X126" i="7"/>
  <c r="W126" i="7"/>
  <c r="V126" i="7"/>
  <c r="U126" i="7"/>
  <c r="T126" i="7"/>
  <c r="S126" i="7"/>
  <c r="R126" i="7"/>
  <c r="Q126" i="7"/>
  <c r="P126" i="7"/>
  <c r="O126" i="7"/>
  <c r="N126" i="7"/>
  <c r="M126" i="7"/>
  <c r="L126" i="7"/>
  <c r="K126" i="7"/>
  <c r="J126" i="7"/>
  <c r="I126" i="7"/>
  <c r="H126" i="7"/>
  <c r="G126" i="7"/>
  <c r="F126" i="7"/>
  <c r="E126" i="7"/>
  <c r="D126" i="7"/>
  <c r="C126" i="7"/>
  <c r="B112" i="7"/>
  <c r="B111" i="7"/>
  <c r="B110" i="7"/>
  <c r="B107" i="7"/>
  <c r="B106" i="7"/>
  <c r="B89" i="7"/>
  <c r="A85" i="7"/>
  <c r="A84" i="7"/>
  <c r="A83" i="7"/>
  <c r="A82" i="7"/>
  <c r="AM648" i="7" l="1"/>
  <c r="AM642" i="7"/>
  <c r="AM41" i="7"/>
  <c r="AM450" i="7"/>
  <c r="AM71" i="7"/>
  <c r="AM312" i="7"/>
  <c r="AM621" i="7"/>
  <c r="AM622" i="7" s="1"/>
  <c r="AM628" i="7"/>
  <c r="AM627" i="7"/>
  <c r="AM626" i="7"/>
  <c r="AN2" i="7"/>
  <c r="AM609" i="7"/>
  <c r="AM43" i="7"/>
  <c r="AC147" i="1"/>
  <c r="I649" i="7"/>
  <c r="I610" i="7"/>
  <c r="I630" i="7"/>
  <c r="I631" i="7" s="1"/>
  <c r="I560" i="7"/>
  <c r="I554" i="7"/>
  <c r="I600" i="7"/>
  <c r="I596" i="7"/>
  <c r="I592" i="7"/>
  <c r="I588" i="7"/>
  <c r="I50" i="7"/>
  <c r="I54" i="7"/>
  <c r="I47" i="7"/>
  <c r="J617" i="7"/>
  <c r="I72" i="7"/>
  <c r="A726" i="7"/>
  <c r="C738" i="7" s="1"/>
  <c r="C725" i="7"/>
  <c r="C375" i="7" s="1"/>
  <c r="D725" i="7"/>
  <c r="E725" i="7"/>
  <c r="F725" i="7"/>
  <c r="G725" i="7"/>
  <c r="A662" i="7"/>
  <c r="C674" i="7" s="1"/>
  <c r="C661" i="7"/>
  <c r="D661" i="7"/>
  <c r="E661" i="7"/>
  <c r="F661" i="7"/>
  <c r="G661" i="7"/>
  <c r="A694" i="7"/>
  <c r="I694" i="7" s="1"/>
  <c r="C693" i="7"/>
  <c r="C349" i="7" s="1"/>
  <c r="D693" i="7"/>
  <c r="E693" i="7"/>
  <c r="F693" i="7"/>
  <c r="G693" i="7"/>
  <c r="I725" i="7"/>
  <c r="I724" i="7"/>
  <c r="I726" i="7"/>
  <c r="I692" i="7"/>
  <c r="I693" i="7"/>
  <c r="I660" i="7"/>
  <c r="I661" i="7"/>
  <c r="I73" i="7"/>
  <c r="I40" i="7"/>
  <c r="C183" i="7"/>
  <c r="C225" i="7"/>
  <c r="C185" i="7"/>
  <c r="C224" i="7"/>
  <c r="C184" i="7"/>
  <c r="C226" i="7"/>
  <c r="C186" i="7"/>
  <c r="C571" i="7"/>
  <c r="B287" i="7"/>
  <c r="B281" i="7"/>
  <c r="B113" i="7"/>
  <c r="B419" i="7"/>
  <c r="B425" i="7"/>
  <c r="D673" i="7"/>
  <c r="D439" i="7"/>
  <c r="D303" i="7"/>
  <c r="C737" i="7"/>
  <c r="C374" i="7"/>
  <c r="C705" i="7"/>
  <c r="C673" i="7"/>
  <c r="C323" i="7"/>
  <c r="C561" i="7"/>
  <c r="C555" i="7"/>
  <c r="C440" i="7"/>
  <c r="C439" i="7"/>
  <c r="C438" i="7"/>
  <c r="C437" i="7"/>
  <c r="C436" i="7"/>
  <c r="C456" i="7"/>
  <c r="C318" i="7"/>
  <c r="C302" i="7"/>
  <c r="C301" i="7"/>
  <c r="C300" i="7"/>
  <c r="C299" i="7"/>
  <c r="C298" i="7"/>
  <c r="B142" i="7"/>
  <c r="C49" i="7"/>
  <c r="D49" i="7"/>
  <c r="B138" i="7"/>
  <c r="A437" i="7"/>
  <c r="A445" i="7" s="1"/>
  <c r="A439" i="7"/>
  <c r="A447" i="7" s="1"/>
  <c r="A441" i="7"/>
  <c r="A449" i="7" s="1"/>
  <c r="A414" i="7"/>
  <c r="A425" i="7"/>
  <c r="A426" i="7"/>
  <c r="A298" i="7"/>
  <c r="A306" i="7" s="1"/>
  <c r="A299" i="7"/>
  <c r="A307" i="7" s="1"/>
  <c r="A300" i="7"/>
  <c r="A308" i="7" s="1"/>
  <c r="A301" i="7"/>
  <c r="A309" i="7" s="1"/>
  <c r="A302" i="7"/>
  <c r="A310" i="7" s="1"/>
  <c r="A303" i="7"/>
  <c r="A311" i="7" s="1"/>
  <c r="A436" i="7"/>
  <c r="A444" i="7" s="1"/>
  <c r="A438" i="7"/>
  <c r="A446" i="7" s="1"/>
  <c r="A440" i="7"/>
  <c r="A448" i="7" s="1"/>
  <c r="A413" i="7"/>
  <c r="A419" i="7"/>
  <c r="A420" i="7"/>
  <c r="A431" i="7"/>
  <c r="D407" i="7" l="1"/>
  <c r="D402" i="7"/>
  <c r="D404" i="7"/>
  <c r="D401" i="7"/>
  <c r="D406" i="7"/>
  <c r="D403" i="7"/>
  <c r="D405" i="7"/>
  <c r="D269" i="7"/>
  <c r="D263" i="7"/>
  <c r="D265" i="7"/>
  <c r="D268" i="7"/>
  <c r="D264" i="7"/>
  <c r="D266" i="7"/>
  <c r="D267" i="7"/>
  <c r="AN41" i="7"/>
  <c r="AN642" i="7"/>
  <c r="AN648" i="7"/>
  <c r="AN450" i="7"/>
  <c r="AN71" i="7"/>
  <c r="AN312" i="7"/>
  <c r="AN621" i="7"/>
  <c r="AN622" i="7" s="1"/>
  <c r="AN628" i="7"/>
  <c r="AN627" i="7"/>
  <c r="AN626" i="7"/>
  <c r="AO2" i="7"/>
  <c r="AN609" i="7"/>
  <c r="AN43" i="7"/>
  <c r="AD147" i="1"/>
  <c r="J649" i="7"/>
  <c r="J610" i="7"/>
  <c r="J630" i="7"/>
  <c r="J631" i="7" s="1"/>
  <c r="J560" i="7"/>
  <c r="J588" i="7"/>
  <c r="J554" i="7"/>
  <c r="J600" i="7"/>
  <c r="J596" i="7"/>
  <c r="J592" i="7"/>
  <c r="J50" i="7"/>
  <c r="J54" i="7"/>
  <c r="J47" i="7"/>
  <c r="K617" i="7"/>
  <c r="B98" i="7"/>
  <c r="B100" i="7" s="1"/>
  <c r="I662" i="7"/>
  <c r="J72" i="7"/>
  <c r="D706" i="7"/>
  <c r="C706" i="7"/>
  <c r="C319" i="7"/>
  <c r="A663" i="7"/>
  <c r="D675" i="7" s="1"/>
  <c r="C662" i="7"/>
  <c r="C325" i="7" s="1"/>
  <c r="D662" i="7"/>
  <c r="E662" i="7"/>
  <c r="F662" i="7"/>
  <c r="G662" i="7"/>
  <c r="H662" i="7"/>
  <c r="A695" i="7"/>
  <c r="D707" i="7" s="1"/>
  <c r="C694" i="7"/>
  <c r="C350" i="7" s="1"/>
  <c r="D694" i="7"/>
  <c r="E694" i="7"/>
  <c r="F694" i="7"/>
  <c r="G694" i="7"/>
  <c r="H694" i="7"/>
  <c r="A727" i="7"/>
  <c r="J727" i="7" s="1"/>
  <c r="C726" i="7"/>
  <c r="C376" i="7" s="1"/>
  <c r="D726" i="7"/>
  <c r="E726" i="7"/>
  <c r="F726" i="7"/>
  <c r="G726" i="7"/>
  <c r="H726" i="7"/>
  <c r="J724" i="7"/>
  <c r="J695" i="7"/>
  <c r="J694" i="7"/>
  <c r="J693" i="7"/>
  <c r="J692" i="7"/>
  <c r="J726" i="7"/>
  <c r="J725" i="7"/>
  <c r="J661" i="7"/>
  <c r="J662" i="7"/>
  <c r="J660" i="7"/>
  <c r="C187" i="7"/>
  <c r="J73" i="7"/>
  <c r="J40" i="7"/>
  <c r="D555" i="7"/>
  <c r="D299" i="7"/>
  <c r="D300" i="7"/>
  <c r="D436" i="7"/>
  <c r="D440" i="7"/>
  <c r="D561" i="7"/>
  <c r="D674" i="7"/>
  <c r="D348" i="7"/>
  <c r="D375" i="7"/>
  <c r="D318" i="7"/>
  <c r="D301" i="7"/>
  <c r="D437" i="7"/>
  <c r="D441" i="7"/>
  <c r="D323" i="7"/>
  <c r="D737" i="7"/>
  <c r="D51" i="7"/>
  <c r="D298" i="7"/>
  <c r="D302" i="7"/>
  <c r="D438" i="7"/>
  <c r="D456" i="7"/>
  <c r="D324" i="7"/>
  <c r="D705" i="7"/>
  <c r="D738" i="7"/>
  <c r="C227" i="7"/>
  <c r="C457" i="7"/>
  <c r="C348" i="7"/>
  <c r="C51" i="7"/>
  <c r="E737" i="7"/>
  <c r="E738" i="7"/>
  <c r="E706" i="7"/>
  <c r="E705" i="7"/>
  <c r="E673" i="7"/>
  <c r="E561" i="7"/>
  <c r="E441" i="7"/>
  <c r="E440" i="7"/>
  <c r="E439" i="7"/>
  <c r="E437" i="7"/>
  <c r="E436" i="7"/>
  <c r="E456" i="7"/>
  <c r="E303" i="7"/>
  <c r="E302" i="7"/>
  <c r="E301" i="7"/>
  <c r="E299" i="7"/>
  <c r="E298" i="7"/>
  <c r="E49" i="7"/>
  <c r="C514" i="7"/>
  <c r="C324" i="7"/>
  <c r="C461" i="7"/>
  <c r="C488" i="7"/>
  <c r="C513" i="7"/>
  <c r="D374" i="7"/>
  <c r="D408" i="7" l="1"/>
  <c r="D270" i="7"/>
  <c r="AO41" i="7"/>
  <c r="AO642" i="7"/>
  <c r="AO648" i="7"/>
  <c r="AO450" i="7"/>
  <c r="AO71" i="7"/>
  <c r="AO312" i="7"/>
  <c r="AO621" i="7"/>
  <c r="AO622" i="7" s="1"/>
  <c r="AO628" i="7"/>
  <c r="AO627" i="7"/>
  <c r="AO626" i="7"/>
  <c r="AP2" i="7"/>
  <c r="AO609" i="7"/>
  <c r="AO43" i="7"/>
  <c r="AE147" i="1"/>
  <c r="K649" i="7"/>
  <c r="K610" i="7"/>
  <c r="K630" i="7"/>
  <c r="K631" i="7" s="1"/>
  <c r="K560" i="7"/>
  <c r="K554" i="7"/>
  <c r="K600" i="7"/>
  <c r="K596" i="7"/>
  <c r="K592" i="7"/>
  <c r="K588" i="7"/>
  <c r="K50" i="7"/>
  <c r="K54" i="7"/>
  <c r="K47" i="7"/>
  <c r="L617" i="7"/>
  <c r="D487" i="7"/>
  <c r="C463" i="7"/>
  <c r="C489" i="7"/>
  <c r="D462" i="7"/>
  <c r="C515" i="7"/>
  <c r="C487" i="7"/>
  <c r="E707" i="7"/>
  <c r="K72" i="7"/>
  <c r="E675" i="7"/>
  <c r="D325" i="7"/>
  <c r="D376" i="7"/>
  <c r="D739" i="7"/>
  <c r="J663" i="7"/>
  <c r="A728" i="7"/>
  <c r="C740" i="7" s="1"/>
  <c r="C727" i="7"/>
  <c r="D727" i="7"/>
  <c r="E727" i="7"/>
  <c r="F727" i="7"/>
  <c r="G727" i="7"/>
  <c r="H727" i="7"/>
  <c r="C739" i="7"/>
  <c r="I727" i="7"/>
  <c r="A664" i="7"/>
  <c r="F676" i="7" s="1"/>
  <c r="C663" i="7"/>
  <c r="D663" i="7"/>
  <c r="E663" i="7"/>
  <c r="F663" i="7"/>
  <c r="G663" i="7"/>
  <c r="H663" i="7"/>
  <c r="I663" i="7"/>
  <c r="C675" i="7"/>
  <c r="D350" i="7"/>
  <c r="A696" i="7"/>
  <c r="K696" i="7" s="1"/>
  <c r="C695" i="7"/>
  <c r="D695" i="7"/>
  <c r="E695" i="7"/>
  <c r="F695" i="7"/>
  <c r="G695" i="7"/>
  <c r="H695" i="7"/>
  <c r="C707" i="7"/>
  <c r="I695" i="7"/>
  <c r="K727" i="7"/>
  <c r="K726" i="7"/>
  <c r="K724" i="7"/>
  <c r="K695" i="7"/>
  <c r="K725" i="7"/>
  <c r="K693" i="7"/>
  <c r="K663" i="7"/>
  <c r="K661" i="7"/>
  <c r="K694" i="7"/>
  <c r="K662" i="7"/>
  <c r="K660" i="7"/>
  <c r="K692" i="7"/>
  <c r="D319" i="7"/>
  <c r="D457" i="7"/>
  <c r="K40" i="7"/>
  <c r="K73" i="7"/>
  <c r="E300" i="7"/>
  <c r="E318" i="7"/>
  <c r="E438" i="7"/>
  <c r="E555" i="7"/>
  <c r="E674" i="7"/>
  <c r="E739" i="7"/>
  <c r="E350" i="7"/>
  <c r="E323" i="7"/>
  <c r="E376" i="7"/>
  <c r="E375" i="7"/>
  <c r="D349" i="7"/>
  <c r="E324" i="7"/>
  <c r="E349" i="7"/>
  <c r="E374" i="7"/>
  <c r="E51" i="7"/>
  <c r="D514" i="7"/>
  <c r="D513" i="7"/>
  <c r="C462" i="7"/>
  <c r="D461" i="7"/>
  <c r="F739" i="7"/>
  <c r="F738" i="7"/>
  <c r="F376" i="7"/>
  <c r="F375" i="7"/>
  <c r="F374" i="7"/>
  <c r="F707" i="7"/>
  <c r="F706" i="7"/>
  <c r="F705" i="7"/>
  <c r="F350" i="7"/>
  <c r="F349" i="7"/>
  <c r="F348" i="7"/>
  <c r="F675" i="7"/>
  <c r="F674" i="7"/>
  <c r="F673" i="7"/>
  <c r="F324" i="7"/>
  <c r="F323" i="7"/>
  <c r="F561" i="7"/>
  <c r="F555" i="7"/>
  <c r="F456" i="7"/>
  <c r="F441" i="7"/>
  <c r="F440" i="7"/>
  <c r="F439" i="7"/>
  <c r="F438" i="7"/>
  <c r="F437" i="7"/>
  <c r="F436" i="7"/>
  <c r="F303" i="7"/>
  <c r="F302" i="7"/>
  <c r="F301" i="7"/>
  <c r="F300" i="7"/>
  <c r="F299" i="7"/>
  <c r="F298" i="7"/>
  <c r="F318" i="7"/>
  <c r="F49" i="7"/>
  <c r="E319" i="7"/>
  <c r="E457" i="7"/>
  <c r="C708" i="7" l="1"/>
  <c r="AP642" i="7"/>
  <c r="AP648" i="7"/>
  <c r="AP41" i="7"/>
  <c r="AP450" i="7"/>
  <c r="B450" i="7" s="1" a="1"/>
  <c r="B450" i="7" s="1"/>
  <c r="AP71" i="7"/>
  <c r="AP312" i="7"/>
  <c r="AP621" i="7"/>
  <c r="AP622" i="7" s="1"/>
  <c r="AP628" i="7"/>
  <c r="AP627" i="7"/>
  <c r="AP626" i="7"/>
  <c r="AP609" i="7"/>
  <c r="AP43" i="7"/>
  <c r="AF147" i="1"/>
  <c r="L649" i="7"/>
  <c r="L610" i="7"/>
  <c r="L630" i="7"/>
  <c r="L631" i="7" s="1"/>
  <c r="L596" i="7"/>
  <c r="L588" i="7"/>
  <c r="L560" i="7"/>
  <c r="L554" i="7"/>
  <c r="L600" i="7"/>
  <c r="L592" i="7"/>
  <c r="L50" i="7"/>
  <c r="L54" i="7"/>
  <c r="L47" i="7"/>
  <c r="M617" i="7"/>
  <c r="D489" i="7"/>
  <c r="E488" i="7"/>
  <c r="E462" i="7"/>
  <c r="D488" i="7"/>
  <c r="E514" i="7"/>
  <c r="E513" i="7"/>
  <c r="E515" i="7"/>
  <c r="D515" i="7"/>
  <c r="E461" i="7"/>
  <c r="D463" i="7"/>
  <c r="E489" i="7"/>
  <c r="L72" i="7"/>
  <c r="F740" i="7"/>
  <c r="F708" i="7"/>
  <c r="F326" i="7"/>
  <c r="E351" i="7"/>
  <c r="F351" i="7"/>
  <c r="K664" i="7"/>
  <c r="E326" i="7"/>
  <c r="E377" i="7"/>
  <c r="C351" i="7"/>
  <c r="D351" i="7"/>
  <c r="C326" i="7"/>
  <c r="D326" i="7"/>
  <c r="A697" i="7"/>
  <c r="C709" i="7" s="1"/>
  <c r="C696" i="7"/>
  <c r="D696" i="7"/>
  <c r="E696" i="7"/>
  <c r="F696" i="7"/>
  <c r="G696" i="7"/>
  <c r="H696" i="7"/>
  <c r="I696" i="7"/>
  <c r="J696" i="7"/>
  <c r="D708" i="7"/>
  <c r="A665" i="7"/>
  <c r="E677" i="7" s="1"/>
  <c r="C664" i="7"/>
  <c r="D664" i="7"/>
  <c r="E664" i="7"/>
  <c r="F664" i="7"/>
  <c r="G664" i="7"/>
  <c r="H664" i="7"/>
  <c r="I664" i="7"/>
  <c r="C677" i="7"/>
  <c r="J664" i="7"/>
  <c r="E676" i="7"/>
  <c r="D676" i="7"/>
  <c r="E708" i="7"/>
  <c r="K728" i="7"/>
  <c r="C676" i="7"/>
  <c r="C377" i="7"/>
  <c r="D377" i="7"/>
  <c r="A729" i="7"/>
  <c r="C741" i="7" s="1"/>
  <c r="C728" i="7"/>
  <c r="D728" i="7"/>
  <c r="E728" i="7"/>
  <c r="F728" i="7"/>
  <c r="G728" i="7"/>
  <c r="H728" i="7"/>
  <c r="I728" i="7"/>
  <c r="E740" i="7"/>
  <c r="J728" i="7"/>
  <c r="D740" i="7"/>
  <c r="L727" i="7"/>
  <c r="L725" i="7"/>
  <c r="L728" i="7"/>
  <c r="L726" i="7"/>
  <c r="L724" i="7"/>
  <c r="L695" i="7"/>
  <c r="L693" i="7"/>
  <c r="L664" i="7"/>
  <c r="L663" i="7"/>
  <c r="L662" i="7"/>
  <c r="L661" i="7"/>
  <c r="L660" i="7"/>
  <c r="L696" i="7"/>
  <c r="L694" i="7"/>
  <c r="L692" i="7"/>
  <c r="L40" i="7"/>
  <c r="L73" i="7"/>
  <c r="E325" i="7"/>
  <c r="E348" i="7"/>
  <c r="F377" i="7"/>
  <c r="F325" i="7"/>
  <c r="F51" i="7"/>
  <c r="F461" i="7"/>
  <c r="F489" i="7"/>
  <c r="F513" i="7"/>
  <c r="F514" i="7"/>
  <c r="G740" i="7"/>
  <c r="G739" i="7"/>
  <c r="G738" i="7"/>
  <c r="G377" i="7"/>
  <c r="G376" i="7"/>
  <c r="G375" i="7"/>
  <c r="G374" i="7"/>
  <c r="G708" i="7"/>
  <c r="G707" i="7"/>
  <c r="G706" i="7"/>
  <c r="G705" i="7"/>
  <c r="G351" i="7"/>
  <c r="G350" i="7"/>
  <c r="G349" i="7"/>
  <c r="G348" i="7"/>
  <c r="G676" i="7"/>
  <c r="G675" i="7"/>
  <c r="G674" i="7"/>
  <c r="G673" i="7"/>
  <c r="G326" i="7"/>
  <c r="G325" i="7"/>
  <c r="G324" i="7"/>
  <c r="G323" i="7"/>
  <c r="G561" i="7"/>
  <c r="G555" i="7"/>
  <c r="G441" i="7"/>
  <c r="G440" i="7"/>
  <c r="G439" i="7"/>
  <c r="G438" i="7"/>
  <c r="G437" i="7"/>
  <c r="G436" i="7"/>
  <c r="G456" i="7"/>
  <c r="G318" i="7"/>
  <c r="G303" i="7"/>
  <c r="G302" i="7"/>
  <c r="G301" i="7"/>
  <c r="G300" i="7"/>
  <c r="G299" i="7"/>
  <c r="G298" i="7"/>
  <c r="G49" i="7"/>
  <c r="F319" i="7"/>
  <c r="F462" i="7"/>
  <c r="F487" i="7"/>
  <c r="F515" i="7"/>
  <c r="F457" i="7"/>
  <c r="F488" i="7"/>
  <c r="E741" i="7" l="1"/>
  <c r="D741" i="7"/>
  <c r="AG147" i="1"/>
  <c r="M649" i="7"/>
  <c r="M610" i="7"/>
  <c r="M630" i="7"/>
  <c r="M631" i="7" s="1"/>
  <c r="M560" i="7"/>
  <c r="M554" i="7"/>
  <c r="M600" i="7"/>
  <c r="M596" i="7"/>
  <c r="M592" i="7"/>
  <c r="M588" i="7"/>
  <c r="M50" i="7"/>
  <c r="M54" i="7"/>
  <c r="M47" i="7"/>
  <c r="N617" i="7"/>
  <c r="E487" i="7"/>
  <c r="F490" i="7"/>
  <c r="D464" i="7"/>
  <c r="E490" i="7"/>
  <c r="C464" i="7"/>
  <c r="F464" i="7"/>
  <c r="D490" i="7"/>
  <c r="F463" i="7"/>
  <c r="C490" i="7"/>
  <c r="F516" i="7"/>
  <c r="E516" i="7"/>
  <c r="D516" i="7"/>
  <c r="E464" i="7"/>
  <c r="E463" i="7"/>
  <c r="C516" i="7"/>
  <c r="G709" i="7"/>
  <c r="M72" i="7"/>
  <c r="E709" i="7"/>
  <c r="L697" i="7"/>
  <c r="G352" i="7"/>
  <c r="D677" i="7"/>
  <c r="G327" i="7"/>
  <c r="G677" i="7"/>
  <c r="L665" i="7"/>
  <c r="G378" i="7"/>
  <c r="D709" i="7"/>
  <c r="G741" i="7"/>
  <c r="L729" i="7"/>
  <c r="F709" i="7"/>
  <c r="C327" i="7"/>
  <c r="D327" i="7"/>
  <c r="F327" i="7"/>
  <c r="E327" i="7"/>
  <c r="D378" i="7"/>
  <c r="C378" i="7"/>
  <c r="F378" i="7"/>
  <c r="E378" i="7"/>
  <c r="A666" i="7"/>
  <c r="C678" i="7" s="1"/>
  <c r="C665" i="7"/>
  <c r="D665" i="7"/>
  <c r="E665" i="7"/>
  <c r="F665" i="7"/>
  <c r="G665" i="7"/>
  <c r="H665" i="7"/>
  <c r="I665" i="7"/>
  <c r="J665" i="7"/>
  <c r="K665" i="7"/>
  <c r="F677" i="7"/>
  <c r="C352" i="7"/>
  <c r="D352" i="7"/>
  <c r="F352" i="7"/>
  <c r="E352" i="7"/>
  <c r="A730" i="7"/>
  <c r="E742" i="7" s="1"/>
  <c r="C729" i="7"/>
  <c r="D729" i="7"/>
  <c r="E729" i="7"/>
  <c r="F729" i="7"/>
  <c r="G729" i="7"/>
  <c r="H729" i="7"/>
  <c r="I729" i="7"/>
  <c r="J729" i="7"/>
  <c r="K729" i="7"/>
  <c r="F741" i="7"/>
  <c r="A698" i="7"/>
  <c r="D710" i="7" s="1"/>
  <c r="C697" i="7"/>
  <c r="D697" i="7"/>
  <c r="E697" i="7"/>
  <c r="F697" i="7"/>
  <c r="G697" i="7"/>
  <c r="H697" i="7"/>
  <c r="I697" i="7"/>
  <c r="J697" i="7"/>
  <c r="K697" i="7"/>
  <c r="M728" i="7"/>
  <c r="M726" i="7"/>
  <c r="M725" i="7"/>
  <c r="M724" i="7"/>
  <c r="M729" i="7"/>
  <c r="M692" i="7"/>
  <c r="M697" i="7"/>
  <c r="M695" i="7"/>
  <c r="M727" i="7"/>
  <c r="M696" i="7"/>
  <c r="M694" i="7"/>
  <c r="M664" i="7"/>
  <c r="M662" i="7"/>
  <c r="M660" i="7"/>
  <c r="M693" i="7"/>
  <c r="M665" i="7"/>
  <c r="M663" i="7"/>
  <c r="M661" i="7"/>
  <c r="M73" i="7"/>
  <c r="M40" i="7"/>
  <c r="G51" i="7"/>
  <c r="G461" i="7"/>
  <c r="G464" i="7"/>
  <c r="G488" i="7"/>
  <c r="G516" i="7"/>
  <c r="G489" i="7"/>
  <c r="G513" i="7"/>
  <c r="H741" i="7"/>
  <c r="H740" i="7"/>
  <c r="H739" i="7"/>
  <c r="H738" i="7"/>
  <c r="H378" i="7"/>
  <c r="H377" i="7"/>
  <c r="H376" i="7"/>
  <c r="H375" i="7"/>
  <c r="H374" i="7"/>
  <c r="H709" i="7"/>
  <c r="H708" i="7"/>
  <c r="H707" i="7"/>
  <c r="H706" i="7"/>
  <c r="H705" i="7"/>
  <c r="H352" i="7"/>
  <c r="H351" i="7"/>
  <c r="H350" i="7"/>
  <c r="H349" i="7"/>
  <c r="H348" i="7"/>
  <c r="H677" i="7"/>
  <c r="H676" i="7"/>
  <c r="H675" i="7"/>
  <c r="H674" i="7"/>
  <c r="H673" i="7"/>
  <c r="H327" i="7"/>
  <c r="H326" i="7"/>
  <c r="H325" i="7"/>
  <c r="H324" i="7"/>
  <c r="H323" i="7"/>
  <c r="H561" i="7"/>
  <c r="H555" i="7"/>
  <c r="H456" i="7"/>
  <c r="H441" i="7"/>
  <c r="H440" i="7"/>
  <c r="H439" i="7"/>
  <c r="H438" i="7"/>
  <c r="H437" i="7"/>
  <c r="H436" i="7"/>
  <c r="H303" i="7"/>
  <c r="H302" i="7"/>
  <c r="H301" i="7"/>
  <c r="H300" i="7"/>
  <c r="H299" i="7"/>
  <c r="H298" i="7"/>
  <c r="H318" i="7"/>
  <c r="H49" i="7"/>
  <c r="G319" i="7"/>
  <c r="G463" i="7"/>
  <c r="G462" i="7"/>
  <c r="G490" i="7"/>
  <c r="G514" i="7"/>
  <c r="G487" i="7"/>
  <c r="G515" i="7"/>
  <c r="G457" i="7"/>
  <c r="AH147" i="1" l="1"/>
  <c r="N649" i="7"/>
  <c r="N610" i="7"/>
  <c r="N630" i="7"/>
  <c r="N631" i="7" s="1"/>
  <c r="N554" i="7"/>
  <c r="N600" i="7"/>
  <c r="N596" i="7"/>
  <c r="N592" i="7"/>
  <c r="N588" i="7"/>
  <c r="N560" i="7"/>
  <c r="N50" i="7"/>
  <c r="N54" i="7"/>
  <c r="N47" i="7"/>
  <c r="O617" i="7"/>
  <c r="C465" i="7"/>
  <c r="G465" i="7"/>
  <c r="E517" i="7"/>
  <c r="E491" i="7"/>
  <c r="F517" i="7"/>
  <c r="G491" i="7"/>
  <c r="F491" i="7"/>
  <c r="C517" i="7"/>
  <c r="D465" i="7"/>
  <c r="D491" i="7"/>
  <c r="D517" i="7"/>
  <c r="F465" i="7"/>
  <c r="C491" i="7"/>
  <c r="E465" i="7"/>
  <c r="G517" i="7"/>
  <c r="N72" i="7"/>
  <c r="H710" i="7"/>
  <c r="H742" i="7"/>
  <c r="H678" i="7"/>
  <c r="F678" i="7"/>
  <c r="M698" i="7"/>
  <c r="E710" i="7"/>
  <c r="F710" i="7"/>
  <c r="H328" i="7"/>
  <c r="D678" i="7"/>
  <c r="C710" i="7"/>
  <c r="E678" i="7"/>
  <c r="M666" i="7"/>
  <c r="H353" i="7"/>
  <c r="M730" i="7"/>
  <c r="F742" i="7"/>
  <c r="D742" i="7"/>
  <c r="C742" i="7"/>
  <c r="H379" i="7"/>
  <c r="A699" i="7"/>
  <c r="E711" i="7" s="1"/>
  <c r="C698" i="7"/>
  <c r="D698" i="7"/>
  <c r="E698" i="7"/>
  <c r="F698" i="7"/>
  <c r="G698" i="7"/>
  <c r="H698" i="7"/>
  <c r="I698" i="7"/>
  <c r="J698" i="7"/>
  <c r="K698" i="7"/>
  <c r="L698" i="7"/>
  <c r="G710" i="7"/>
  <c r="C379" i="7"/>
  <c r="D379" i="7"/>
  <c r="E379" i="7"/>
  <c r="F379" i="7"/>
  <c r="G379" i="7"/>
  <c r="C328" i="7"/>
  <c r="D328" i="7"/>
  <c r="E328" i="7"/>
  <c r="G328" i="7"/>
  <c r="F328" i="7"/>
  <c r="C353" i="7"/>
  <c r="D353" i="7"/>
  <c r="E353" i="7"/>
  <c r="F353" i="7"/>
  <c r="G353" i="7"/>
  <c r="A731" i="7"/>
  <c r="G743" i="7" s="1"/>
  <c r="C730" i="7"/>
  <c r="D730" i="7"/>
  <c r="E730" i="7"/>
  <c r="F730" i="7"/>
  <c r="G730" i="7"/>
  <c r="H730" i="7"/>
  <c r="I730" i="7"/>
  <c r="J730" i="7"/>
  <c r="K730" i="7"/>
  <c r="G742" i="7"/>
  <c r="L730" i="7"/>
  <c r="A667" i="7"/>
  <c r="G679" i="7" s="1"/>
  <c r="C666" i="7"/>
  <c r="D666" i="7"/>
  <c r="E666" i="7"/>
  <c r="F666" i="7"/>
  <c r="G666" i="7"/>
  <c r="H666" i="7"/>
  <c r="I666" i="7"/>
  <c r="C679" i="7"/>
  <c r="J666" i="7"/>
  <c r="K666" i="7"/>
  <c r="L666" i="7"/>
  <c r="G678" i="7"/>
  <c r="N730" i="7"/>
  <c r="N728" i="7"/>
  <c r="N726" i="7"/>
  <c r="N698" i="7"/>
  <c r="N697" i="7"/>
  <c r="N696" i="7"/>
  <c r="N695" i="7"/>
  <c r="N694" i="7"/>
  <c r="N693" i="7"/>
  <c r="N692" i="7"/>
  <c r="N725" i="7"/>
  <c r="N729" i="7"/>
  <c r="N724" i="7"/>
  <c r="N727" i="7"/>
  <c r="N666" i="7"/>
  <c r="N664" i="7"/>
  <c r="N662" i="7"/>
  <c r="N660" i="7"/>
  <c r="N665" i="7"/>
  <c r="N663" i="7"/>
  <c r="N661" i="7"/>
  <c r="N73" i="7"/>
  <c r="N40" i="7"/>
  <c r="H51" i="7"/>
  <c r="H462" i="7"/>
  <c r="H463" i="7"/>
  <c r="H487" i="7"/>
  <c r="H491" i="7"/>
  <c r="H515" i="7"/>
  <c r="H457" i="7"/>
  <c r="H488" i="7"/>
  <c r="H516" i="7"/>
  <c r="I742" i="7"/>
  <c r="I741" i="7"/>
  <c r="I740" i="7"/>
  <c r="I739" i="7"/>
  <c r="I379" i="7"/>
  <c r="I378" i="7"/>
  <c r="I377" i="7"/>
  <c r="I376" i="7"/>
  <c r="I375" i="7"/>
  <c r="I353" i="7"/>
  <c r="I352" i="7"/>
  <c r="I374" i="7"/>
  <c r="I710" i="7"/>
  <c r="I709" i="7"/>
  <c r="I708" i="7"/>
  <c r="I707" i="7"/>
  <c r="I706" i="7"/>
  <c r="I705" i="7"/>
  <c r="I328" i="7"/>
  <c r="I327" i="7"/>
  <c r="I351" i="7"/>
  <c r="I349" i="7"/>
  <c r="I348" i="7"/>
  <c r="I678" i="7"/>
  <c r="I677" i="7"/>
  <c r="I676" i="7"/>
  <c r="I675" i="7"/>
  <c r="I674" i="7"/>
  <c r="I673" i="7"/>
  <c r="I326" i="7"/>
  <c r="I325" i="7"/>
  <c r="I324" i="7"/>
  <c r="I323" i="7"/>
  <c r="I561" i="7"/>
  <c r="I555" i="7"/>
  <c r="I441" i="7"/>
  <c r="I440" i="7"/>
  <c r="I439" i="7"/>
  <c r="I438" i="7"/>
  <c r="I437" i="7"/>
  <c r="I436" i="7"/>
  <c r="I350" i="7"/>
  <c r="I456" i="7"/>
  <c r="I318" i="7"/>
  <c r="I303" i="7"/>
  <c r="I302" i="7"/>
  <c r="I301" i="7"/>
  <c r="I300" i="7"/>
  <c r="I299" i="7"/>
  <c r="I298" i="7"/>
  <c r="I49" i="7"/>
  <c r="H319" i="7"/>
  <c r="H464" i="7"/>
  <c r="H461" i="7"/>
  <c r="H465" i="7"/>
  <c r="H489" i="7"/>
  <c r="H513" i="7"/>
  <c r="H517" i="7"/>
  <c r="H490" i="7"/>
  <c r="H514" i="7"/>
  <c r="AI147" i="1" l="1"/>
  <c r="O649" i="7"/>
  <c r="O610" i="7"/>
  <c r="O630" i="7"/>
  <c r="O631" i="7" s="1"/>
  <c r="O560" i="7"/>
  <c r="O600" i="7"/>
  <c r="O596" i="7"/>
  <c r="O588" i="7"/>
  <c r="O554" i="7"/>
  <c r="O592" i="7"/>
  <c r="O50" i="7"/>
  <c r="O54" i="7"/>
  <c r="O47" i="7"/>
  <c r="P617" i="7"/>
  <c r="G492" i="7"/>
  <c r="D466" i="7"/>
  <c r="H492" i="7"/>
  <c r="E492" i="7"/>
  <c r="G518" i="7"/>
  <c r="D492" i="7"/>
  <c r="F518" i="7"/>
  <c r="H518" i="7"/>
  <c r="C466" i="7"/>
  <c r="C492" i="7"/>
  <c r="E518" i="7"/>
  <c r="F466" i="7"/>
  <c r="D518" i="7"/>
  <c r="H466" i="7"/>
  <c r="G466" i="7"/>
  <c r="C518" i="7"/>
  <c r="F492" i="7"/>
  <c r="E466" i="7"/>
  <c r="O72" i="7"/>
  <c r="C743" i="7"/>
  <c r="F743" i="7"/>
  <c r="I711" i="7"/>
  <c r="N699" i="7"/>
  <c r="F711" i="7"/>
  <c r="C711" i="7"/>
  <c r="I743" i="7"/>
  <c r="E743" i="7"/>
  <c r="D743" i="7"/>
  <c r="I679" i="7"/>
  <c r="N731" i="7"/>
  <c r="I354" i="7"/>
  <c r="D711" i="7"/>
  <c r="D679" i="7"/>
  <c r="G711" i="7"/>
  <c r="N667" i="7"/>
  <c r="F679" i="7"/>
  <c r="I380" i="7"/>
  <c r="A732" i="7"/>
  <c r="D744" i="7" s="1"/>
  <c r="C731" i="7"/>
  <c r="D731" i="7"/>
  <c r="E731" i="7"/>
  <c r="F731" i="7"/>
  <c r="G731" i="7"/>
  <c r="H731" i="7"/>
  <c r="I731" i="7"/>
  <c r="C744" i="7"/>
  <c r="J731" i="7"/>
  <c r="K731" i="7"/>
  <c r="L731" i="7"/>
  <c r="H743" i="7"/>
  <c r="M731" i="7"/>
  <c r="C329" i="7"/>
  <c r="E329" i="7"/>
  <c r="D329" i="7"/>
  <c r="F329" i="7"/>
  <c r="G329" i="7"/>
  <c r="H329" i="7"/>
  <c r="C354" i="7"/>
  <c r="D354" i="7"/>
  <c r="F354" i="7"/>
  <c r="E354" i="7"/>
  <c r="G354" i="7"/>
  <c r="H354" i="7"/>
  <c r="A668" i="7"/>
  <c r="E680" i="7" s="1"/>
  <c r="C667" i="7"/>
  <c r="D667" i="7"/>
  <c r="E667" i="7"/>
  <c r="F667" i="7"/>
  <c r="G667" i="7"/>
  <c r="H667" i="7"/>
  <c r="I667" i="7"/>
  <c r="J667" i="7"/>
  <c r="K667" i="7"/>
  <c r="L667" i="7"/>
  <c r="M667" i="7"/>
  <c r="H679" i="7"/>
  <c r="A700" i="7"/>
  <c r="F712" i="7" s="1"/>
  <c r="C699" i="7"/>
  <c r="D699" i="7"/>
  <c r="E699" i="7"/>
  <c r="F699" i="7"/>
  <c r="G699" i="7"/>
  <c r="H699" i="7"/>
  <c r="I699" i="7"/>
  <c r="J699" i="7"/>
  <c r="K699" i="7"/>
  <c r="L699" i="7"/>
  <c r="M699" i="7"/>
  <c r="H711" i="7"/>
  <c r="I329" i="7"/>
  <c r="E679" i="7"/>
  <c r="C380" i="7"/>
  <c r="D380" i="7"/>
  <c r="E380" i="7"/>
  <c r="F380" i="7"/>
  <c r="G380" i="7"/>
  <c r="H380" i="7"/>
  <c r="O731" i="7"/>
  <c r="O730" i="7"/>
  <c r="O729" i="7"/>
  <c r="O728" i="7"/>
  <c r="O727" i="7"/>
  <c r="O726" i="7"/>
  <c r="O724" i="7"/>
  <c r="O699" i="7"/>
  <c r="O697" i="7"/>
  <c r="O725" i="7"/>
  <c r="O698" i="7"/>
  <c r="O696" i="7"/>
  <c r="O694" i="7"/>
  <c r="O692" i="7"/>
  <c r="O665" i="7"/>
  <c r="O663" i="7"/>
  <c r="O661" i="7"/>
  <c r="O693" i="7"/>
  <c r="O667" i="7"/>
  <c r="O695" i="7"/>
  <c r="O666" i="7"/>
  <c r="O664" i="7"/>
  <c r="O662" i="7"/>
  <c r="O660" i="7"/>
  <c r="O40" i="7"/>
  <c r="O73" i="7"/>
  <c r="I465" i="7"/>
  <c r="I464" i="7"/>
  <c r="I488" i="7"/>
  <c r="I492" i="7"/>
  <c r="I516" i="7"/>
  <c r="I489" i="7"/>
  <c r="I513" i="7"/>
  <c r="I517" i="7"/>
  <c r="I51" i="7"/>
  <c r="J743" i="7"/>
  <c r="J742" i="7"/>
  <c r="J741" i="7"/>
  <c r="J740" i="7"/>
  <c r="J739" i="7"/>
  <c r="J380" i="7"/>
  <c r="J379" i="7"/>
  <c r="J378" i="7"/>
  <c r="J377" i="7"/>
  <c r="J376" i="7"/>
  <c r="J375" i="7"/>
  <c r="J374" i="7"/>
  <c r="J711" i="7"/>
  <c r="J710" i="7"/>
  <c r="J709" i="7"/>
  <c r="J708" i="7"/>
  <c r="J707" i="7"/>
  <c r="J706" i="7"/>
  <c r="J705" i="7"/>
  <c r="J354" i="7"/>
  <c r="J353" i="7"/>
  <c r="J352" i="7"/>
  <c r="J351" i="7"/>
  <c r="J350" i="7"/>
  <c r="J349" i="7"/>
  <c r="J348" i="7"/>
  <c r="J679" i="7"/>
  <c r="J678" i="7"/>
  <c r="J677" i="7"/>
  <c r="J676" i="7"/>
  <c r="J675" i="7"/>
  <c r="J674" i="7"/>
  <c r="J673" i="7"/>
  <c r="J329" i="7"/>
  <c r="J328" i="7"/>
  <c r="J327" i="7"/>
  <c r="J326" i="7"/>
  <c r="J325" i="7"/>
  <c r="J324" i="7"/>
  <c r="J323" i="7"/>
  <c r="J561" i="7"/>
  <c r="J555" i="7"/>
  <c r="J456" i="7"/>
  <c r="J441" i="7"/>
  <c r="J440" i="7"/>
  <c r="J439" i="7"/>
  <c r="J438" i="7"/>
  <c r="J437" i="7"/>
  <c r="J436" i="7"/>
  <c r="J303" i="7"/>
  <c r="J302" i="7"/>
  <c r="J301" i="7"/>
  <c r="J300" i="7"/>
  <c r="J299" i="7"/>
  <c r="J298" i="7"/>
  <c r="J318" i="7"/>
  <c r="J49" i="7"/>
  <c r="I319" i="7"/>
  <c r="I461" i="7"/>
  <c r="I463" i="7"/>
  <c r="I462" i="7"/>
  <c r="I466" i="7"/>
  <c r="I490" i="7"/>
  <c r="I514" i="7"/>
  <c r="I518" i="7"/>
  <c r="I487" i="7"/>
  <c r="I491" i="7"/>
  <c r="I515" i="7"/>
  <c r="I457" i="7"/>
  <c r="C712" i="7" l="1"/>
  <c r="AJ147" i="1"/>
  <c r="C680" i="7"/>
  <c r="P649" i="7"/>
  <c r="P610" i="7"/>
  <c r="P630" i="7"/>
  <c r="P631" i="7" s="1"/>
  <c r="P600" i="7"/>
  <c r="P592" i="7"/>
  <c r="P560" i="7"/>
  <c r="P554" i="7"/>
  <c r="P596" i="7"/>
  <c r="P588" i="7"/>
  <c r="P50" i="7"/>
  <c r="P54" i="7"/>
  <c r="P47" i="7"/>
  <c r="Q617" i="7"/>
  <c r="O668" i="7"/>
  <c r="C467" i="7"/>
  <c r="H519" i="7"/>
  <c r="D493" i="7"/>
  <c r="I467" i="7"/>
  <c r="G519" i="7"/>
  <c r="C493" i="7"/>
  <c r="F519" i="7"/>
  <c r="H467" i="7"/>
  <c r="F493" i="7"/>
  <c r="E519" i="7"/>
  <c r="G467" i="7"/>
  <c r="D519" i="7"/>
  <c r="H493" i="7"/>
  <c r="F467" i="7"/>
  <c r="I493" i="7"/>
  <c r="C519" i="7"/>
  <c r="G493" i="7"/>
  <c r="D467" i="7"/>
  <c r="E493" i="7"/>
  <c r="E467" i="7"/>
  <c r="I519" i="7"/>
  <c r="P72" i="7"/>
  <c r="E712" i="7"/>
  <c r="G680" i="7"/>
  <c r="D680" i="7"/>
  <c r="J680" i="7"/>
  <c r="H680" i="7"/>
  <c r="F680" i="7"/>
  <c r="J744" i="7"/>
  <c r="F744" i="7"/>
  <c r="O700" i="7"/>
  <c r="H712" i="7"/>
  <c r="G712" i="7"/>
  <c r="J330" i="7"/>
  <c r="H744" i="7"/>
  <c r="J712" i="7"/>
  <c r="D712" i="7"/>
  <c r="E744" i="7"/>
  <c r="O732" i="7"/>
  <c r="G744" i="7"/>
  <c r="J355" i="7"/>
  <c r="A701" i="7"/>
  <c r="D713" i="7" s="1"/>
  <c r="C700" i="7"/>
  <c r="D700" i="7"/>
  <c r="E700" i="7"/>
  <c r="F700" i="7"/>
  <c r="G700" i="7"/>
  <c r="H700" i="7"/>
  <c r="I700" i="7"/>
  <c r="J700" i="7"/>
  <c r="K700" i="7"/>
  <c r="L700" i="7"/>
  <c r="M700" i="7"/>
  <c r="I712" i="7"/>
  <c r="N700" i="7"/>
  <c r="D381" i="7"/>
  <c r="C381" i="7"/>
  <c r="E381" i="7"/>
  <c r="F381" i="7"/>
  <c r="G381" i="7"/>
  <c r="H381" i="7"/>
  <c r="I381" i="7"/>
  <c r="C330" i="7"/>
  <c r="D330" i="7"/>
  <c r="F330" i="7"/>
  <c r="E330" i="7"/>
  <c r="G330" i="7"/>
  <c r="H330" i="7"/>
  <c r="I330" i="7"/>
  <c r="A733" i="7"/>
  <c r="I745" i="7" s="1"/>
  <c r="C732" i="7"/>
  <c r="D732" i="7"/>
  <c r="E732" i="7"/>
  <c r="F732" i="7"/>
  <c r="G732" i="7"/>
  <c r="H732" i="7"/>
  <c r="I732" i="7"/>
  <c r="C745" i="7"/>
  <c r="J732" i="7"/>
  <c r="K732" i="7"/>
  <c r="L732" i="7"/>
  <c r="M732" i="7"/>
  <c r="I744" i="7"/>
  <c r="N732" i="7"/>
  <c r="J381" i="7"/>
  <c r="C355" i="7"/>
  <c r="E355" i="7"/>
  <c r="D355" i="7"/>
  <c r="F355" i="7"/>
  <c r="G355" i="7"/>
  <c r="H355" i="7"/>
  <c r="I355" i="7"/>
  <c r="A669" i="7"/>
  <c r="F681" i="7" s="1"/>
  <c r="C668" i="7"/>
  <c r="D668" i="7"/>
  <c r="E668" i="7"/>
  <c r="F668" i="7"/>
  <c r="G668" i="7"/>
  <c r="H668" i="7"/>
  <c r="I668" i="7"/>
  <c r="C681" i="7"/>
  <c r="J668" i="7"/>
  <c r="K668" i="7"/>
  <c r="L668" i="7"/>
  <c r="M668" i="7"/>
  <c r="N668" i="7"/>
  <c r="I680" i="7"/>
  <c r="P731" i="7"/>
  <c r="P729" i="7"/>
  <c r="P727" i="7"/>
  <c r="P730" i="7"/>
  <c r="P726" i="7"/>
  <c r="P728" i="7"/>
  <c r="P699" i="7"/>
  <c r="P697" i="7"/>
  <c r="P693" i="7"/>
  <c r="P724" i="7"/>
  <c r="P725" i="7"/>
  <c r="P700" i="7"/>
  <c r="P698" i="7"/>
  <c r="P696" i="7"/>
  <c r="P732" i="7"/>
  <c r="P666" i="7"/>
  <c r="P665" i="7"/>
  <c r="P664" i="7"/>
  <c r="P663" i="7"/>
  <c r="P662" i="7"/>
  <c r="P661" i="7"/>
  <c r="P660" i="7"/>
  <c r="P695" i="7"/>
  <c r="P692" i="7"/>
  <c r="P667" i="7"/>
  <c r="P694" i="7"/>
  <c r="P668" i="7"/>
  <c r="P40" i="7"/>
  <c r="P73" i="7"/>
  <c r="J466" i="7"/>
  <c r="J461" i="7"/>
  <c r="J465" i="7"/>
  <c r="J489" i="7"/>
  <c r="J493" i="7"/>
  <c r="J513" i="7"/>
  <c r="J517" i="7"/>
  <c r="J490" i="7"/>
  <c r="J514" i="7"/>
  <c r="J518" i="7"/>
  <c r="J51" i="7"/>
  <c r="K744" i="7"/>
  <c r="K743" i="7"/>
  <c r="K742" i="7"/>
  <c r="K741" i="7"/>
  <c r="K740" i="7"/>
  <c r="K739" i="7"/>
  <c r="K381" i="7"/>
  <c r="K380" i="7"/>
  <c r="K379" i="7"/>
  <c r="K378" i="7"/>
  <c r="K377" i="7"/>
  <c r="K376" i="7"/>
  <c r="K355" i="7"/>
  <c r="K354" i="7"/>
  <c r="K353" i="7"/>
  <c r="K352" i="7"/>
  <c r="K375" i="7"/>
  <c r="K712" i="7"/>
  <c r="K711" i="7"/>
  <c r="K710" i="7"/>
  <c r="K709" i="7"/>
  <c r="K708" i="7"/>
  <c r="K707" i="7"/>
  <c r="K706" i="7"/>
  <c r="K705" i="7"/>
  <c r="K351" i="7"/>
  <c r="K330" i="7"/>
  <c r="K329" i="7"/>
  <c r="K328" i="7"/>
  <c r="K327" i="7"/>
  <c r="K350" i="7"/>
  <c r="K349" i="7"/>
  <c r="K348" i="7"/>
  <c r="K680" i="7"/>
  <c r="K679" i="7"/>
  <c r="K678" i="7"/>
  <c r="K677" i="7"/>
  <c r="K676" i="7"/>
  <c r="K675" i="7"/>
  <c r="K674" i="7"/>
  <c r="K673" i="7"/>
  <c r="K325" i="7"/>
  <c r="K326" i="7"/>
  <c r="K324" i="7"/>
  <c r="K561" i="7"/>
  <c r="K555" i="7"/>
  <c r="K441" i="7"/>
  <c r="K440" i="7"/>
  <c r="K439" i="7"/>
  <c r="K438" i="7"/>
  <c r="K437" i="7"/>
  <c r="K436" i="7"/>
  <c r="K456" i="7"/>
  <c r="K318" i="7"/>
  <c r="K303" i="7"/>
  <c r="K302" i="7"/>
  <c r="K301" i="7"/>
  <c r="K300" i="7"/>
  <c r="K299" i="7"/>
  <c r="K298" i="7"/>
  <c r="K49" i="7"/>
  <c r="J464" i="7"/>
  <c r="J319" i="7"/>
  <c r="J462" i="7"/>
  <c r="J463" i="7"/>
  <c r="J467" i="7"/>
  <c r="J487" i="7"/>
  <c r="J491" i="7"/>
  <c r="J515" i="7"/>
  <c r="J519" i="7"/>
  <c r="J457" i="7"/>
  <c r="J488" i="7"/>
  <c r="J492" i="7"/>
  <c r="J516" i="7"/>
  <c r="K745" i="7" l="1"/>
  <c r="K713" i="7"/>
  <c r="AK147" i="1"/>
  <c r="Q649" i="7"/>
  <c r="Q610" i="7"/>
  <c r="Q630" i="7"/>
  <c r="Q631" i="7" s="1"/>
  <c r="Q560" i="7"/>
  <c r="Q554" i="7"/>
  <c r="Q600" i="7"/>
  <c r="Q596" i="7"/>
  <c r="Q592" i="7"/>
  <c r="Q588" i="7"/>
  <c r="Q50" i="7"/>
  <c r="Q54" i="7"/>
  <c r="Q47" i="7"/>
  <c r="R617" i="7"/>
  <c r="E494" i="7"/>
  <c r="C468" i="7"/>
  <c r="D494" i="7"/>
  <c r="C494" i="7"/>
  <c r="I520" i="7"/>
  <c r="D520" i="7"/>
  <c r="J520" i="7"/>
  <c r="I468" i="7"/>
  <c r="H520" i="7"/>
  <c r="D468" i="7"/>
  <c r="I494" i="7"/>
  <c r="H468" i="7"/>
  <c r="G520" i="7"/>
  <c r="H494" i="7"/>
  <c r="G468" i="7"/>
  <c r="F520" i="7"/>
  <c r="G494" i="7"/>
  <c r="E468" i="7"/>
  <c r="E520" i="7"/>
  <c r="J468" i="7"/>
  <c r="F494" i="7"/>
  <c r="F468" i="7"/>
  <c r="C520" i="7"/>
  <c r="J494" i="7"/>
  <c r="C713" i="7"/>
  <c r="G713" i="7"/>
  <c r="G681" i="7"/>
  <c r="P669" i="7"/>
  <c r="Q72" i="7"/>
  <c r="K356" i="7"/>
  <c r="F745" i="7"/>
  <c r="H745" i="7"/>
  <c r="K382" i="7"/>
  <c r="I681" i="7"/>
  <c r="D681" i="7"/>
  <c r="E713" i="7"/>
  <c r="E745" i="7"/>
  <c r="H681" i="7"/>
  <c r="E681" i="7"/>
  <c r="G745" i="7"/>
  <c r="D745" i="7"/>
  <c r="I713" i="7"/>
  <c r="K681" i="7"/>
  <c r="P701" i="7"/>
  <c r="P733" i="7"/>
  <c r="H713" i="7"/>
  <c r="F713" i="7"/>
  <c r="K331" i="7"/>
  <c r="C382" i="7"/>
  <c r="D382" i="7"/>
  <c r="E382" i="7"/>
  <c r="F382" i="7"/>
  <c r="G382" i="7"/>
  <c r="H382" i="7"/>
  <c r="I382" i="7"/>
  <c r="J382" i="7"/>
  <c r="C669" i="7"/>
  <c r="D669" i="7"/>
  <c r="D670" i="7" s="1"/>
  <c r="D655" i="7" s="1"/>
  <c r="D110" i="7" s="1"/>
  <c r="E669" i="7"/>
  <c r="E670" i="7" s="1"/>
  <c r="E655" i="7" s="1"/>
  <c r="E110" i="7" s="1"/>
  <c r="F669" i="7"/>
  <c r="F670" i="7" s="1"/>
  <c r="F655" i="7" s="1"/>
  <c r="F110" i="7" s="1"/>
  <c r="G669" i="7"/>
  <c r="G670" i="7" s="1"/>
  <c r="G655" i="7" s="1"/>
  <c r="G110" i="7" s="1"/>
  <c r="H669" i="7"/>
  <c r="H670" i="7" s="1"/>
  <c r="H655" i="7" s="1"/>
  <c r="H110" i="7" s="1"/>
  <c r="I669" i="7"/>
  <c r="I670" i="7" s="1"/>
  <c r="I655" i="7" s="1"/>
  <c r="I110" i="7" s="1"/>
  <c r="J669" i="7"/>
  <c r="J670" i="7" s="1"/>
  <c r="J655" i="7" s="1"/>
  <c r="J110" i="7" s="1"/>
  <c r="K669" i="7"/>
  <c r="K670" i="7" s="1"/>
  <c r="K655" i="7" s="1"/>
  <c r="K110" i="7" s="1"/>
  <c r="L669" i="7"/>
  <c r="M669" i="7"/>
  <c r="N669" i="7"/>
  <c r="O669" i="7"/>
  <c r="J681" i="7"/>
  <c r="C733" i="7"/>
  <c r="D733" i="7"/>
  <c r="D734" i="7" s="1"/>
  <c r="D719" i="7" s="1"/>
  <c r="D112" i="7" s="1"/>
  <c r="E733" i="7"/>
  <c r="E734" i="7" s="1"/>
  <c r="E719" i="7" s="1"/>
  <c r="E112" i="7" s="1"/>
  <c r="F733" i="7"/>
  <c r="F734" i="7" s="1"/>
  <c r="F719" i="7" s="1"/>
  <c r="F112" i="7" s="1"/>
  <c r="G733" i="7"/>
  <c r="G734" i="7" s="1"/>
  <c r="G719" i="7" s="1"/>
  <c r="G112" i="7" s="1"/>
  <c r="H733" i="7"/>
  <c r="H734" i="7" s="1"/>
  <c r="H719" i="7" s="1"/>
  <c r="H112" i="7" s="1"/>
  <c r="I733" i="7"/>
  <c r="I734" i="7" s="1"/>
  <c r="I719" i="7" s="1"/>
  <c r="I112" i="7" s="1"/>
  <c r="J733" i="7"/>
  <c r="J734" i="7" s="1"/>
  <c r="J719" i="7" s="1"/>
  <c r="J112" i="7" s="1"/>
  <c r="K733" i="7"/>
  <c r="K734" i="7" s="1"/>
  <c r="K719" i="7" s="1"/>
  <c r="K112" i="7" s="1"/>
  <c r="L733" i="7"/>
  <c r="M733" i="7"/>
  <c r="N733" i="7"/>
  <c r="O733" i="7"/>
  <c r="J745" i="7"/>
  <c r="C356" i="7"/>
  <c r="D356" i="7"/>
  <c r="F356" i="7"/>
  <c r="E356" i="7"/>
  <c r="G356" i="7"/>
  <c r="H356" i="7"/>
  <c r="I356" i="7"/>
  <c r="J356" i="7"/>
  <c r="C331" i="7"/>
  <c r="D331" i="7"/>
  <c r="E331" i="7"/>
  <c r="F331" i="7"/>
  <c r="G331" i="7"/>
  <c r="H331" i="7"/>
  <c r="I331" i="7"/>
  <c r="J331" i="7"/>
  <c r="C701" i="7"/>
  <c r="D701" i="7"/>
  <c r="D702" i="7" s="1"/>
  <c r="D687" i="7" s="1"/>
  <c r="D111" i="7" s="1"/>
  <c r="E701" i="7"/>
  <c r="E702" i="7" s="1"/>
  <c r="E687" i="7" s="1"/>
  <c r="E111" i="7" s="1"/>
  <c r="F701" i="7"/>
  <c r="F702" i="7" s="1"/>
  <c r="F687" i="7" s="1"/>
  <c r="F111" i="7" s="1"/>
  <c r="G701" i="7"/>
  <c r="G702" i="7" s="1"/>
  <c r="G687" i="7" s="1"/>
  <c r="G111" i="7" s="1"/>
  <c r="H701" i="7"/>
  <c r="H702" i="7" s="1"/>
  <c r="H687" i="7" s="1"/>
  <c r="H111" i="7" s="1"/>
  <c r="I701" i="7"/>
  <c r="I702" i="7" s="1"/>
  <c r="I687" i="7" s="1"/>
  <c r="I111" i="7" s="1"/>
  <c r="J701" i="7"/>
  <c r="J702" i="7" s="1"/>
  <c r="J687" i="7" s="1"/>
  <c r="J111" i="7" s="1"/>
  <c r="K701" i="7"/>
  <c r="K702" i="7" s="1"/>
  <c r="K687" i="7" s="1"/>
  <c r="K111" i="7" s="1"/>
  <c r="L701" i="7"/>
  <c r="M701" i="7"/>
  <c r="N701" i="7"/>
  <c r="J713" i="7"/>
  <c r="O701" i="7"/>
  <c r="Q725" i="7"/>
  <c r="Q724" i="7"/>
  <c r="Q733" i="7"/>
  <c r="Q731" i="7"/>
  <c r="Q729" i="7"/>
  <c r="Q727" i="7"/>
  <c r="Q730" i="7"/>
  <c r="Q700" i="7"/>
  <c r="Q698" i="7"/>
  <c r="Q732" i="7"/>
  <c r="Q726" i="7"/>
  <c r="Q728" i="7"/>
  <c r="Q701" i="7"/>
  <c r="Q699" i="7"/>
  <c r="Q697" i="7"/>
  <c r="Q695" i="7"/>
  <c r="Q693" i="7"/>
  <c r="Q669" i="7"/>
  <c r="Q667" i="7"/>
  <c r="Q692" i="7"/>
  <c r="Q665" i="7"/>
  <c r="Q663" i="7"/>
  <c r="Q661" i="7"/>
  <c r="Q694" i="7"/>
  <c r="Q668" i="7"/>
  <c r="Q666" i="7"/>
  <c r="Q664" i="7"/>
  <c r="Q662" i="7"/>
  <c r="Q660" i="7"/>
  <c r="Q696" i="7"/>
  <c r="Q73" i="7"/>
  <c r="Q40" i="7"/>
  <c r="K489" i="7"/>
  <c r="K468" i="7"/>
  <c r="K517" i="7"/>
  <c r="K464" i="7"/>
  <c r="K493" i="7"/>
  <c r="K319" i="7"/>
  <c r="K465" i="7"/>
  <c r="L745" i="7"/>
  <c r="L744" i="7"/>
  <c r="L743" i="7"/>
  <c r="L742" i="7"/>
  <c r="L741" i="7"/>
  <c r="L740" i="7"/>
  <c r="L738" i="7"/>
  <c r="L382" i="7"/>
  <c r="L381" i="7"/>
  <c r="L380" i="7"/>
  <c r="L379" i="7"/>
  <c r="L378" i="7"/>
  <c r="L377" i="7"/>
  <c r="L376" i="7"/>
  <c r="L375" i="7"/>
  <c r="L713" i="7"/>
  <c r="L712" i="7"/>
  <c r="L711" i="7"/>
  <c r="L710" i="7"/>
  <c r="L709" i="7"/>
  <c r="L708" i="7"/>
  <c r="L707" i="7"/>
  <c r="L706" i="7"/>
  <c r="L705" i="7"/>
  <c r="L356" i="7"/>
  <c r="L355" i="7"/>
  <c r="L354" i="7"/>
  <c r="L353" i="7"/>
  <c r="L352" i="7"/>
  <c r="L351" i="7"/>
  <c r="L350" i="7"/>
  <c r="L349" i="7"/>
  <c r="L348" i="7"/>
  <c r="L681" i="7"/>
  <c r="L680" i="7"/>
  <c r="L679" i="7"/>
  <c r="L678" i="7"/>
  <c r="L677" i="7"/>
  <c r="L676" i="7"/>
  <c r="L675" i="7"/>
  <c r="L674" i="7"/>
  <c r="L673" i="7"/>
  <c r="L331" i="7"/>
  <c r="L330" i="7"/>
  <c r="L329" i="7"/>
  <c r="L328" i="7"/>
  <c r="L327" i="7"/>
  <c r="L326" i="7"/>
  <c r="L325" i="7"/>
  <c r="L324" i="7"/>
  <c r="L561" i="7"/>
  <c r="L555" i="7"/>
  <c r="L456" i="7"/>
  <c r="L441" i="7"/>
  <c r="L440" i="7"/>
  <c r="L439" i="7"/>
  <c r="L438" i="7"/>
  <c r="L437" i="7"/>
  <c r="L436" i="7"/>
  <c r="L303" i="7"/>
  <c r="L302" i="7"/>
  <c r="L301" i="7"/>
  <c r="L300" i="7"/>
  <c r="L299" i="7"/>
  <c r="L298" i="7"/>
  <c r="L318" i="7"/>
  <c r="L49" i="7"/>
  <c r="K467" i="7"/>
  <c r="K488" i="7"/>
  <c r="K492" i="7"/>
  <c r="K516" i="7"/>
  <c r="K520" i="7"/>
  <c r="K51" i="7"/>
  <c r="K323" i="7"/>
  <c r="K374" i="7"/>
  <c r="K463" i="7"/>
  <c r="K462" i="7"/>
  <c r="K466" i="7"/>
  <c r="K490" i="7"/>
  <c r="K494" i="7"/>
  <c r="K514" i="7"/>
  <c r="K518" i="7"/>
  <c r="K487" i="7"/>
  <c r="K491" i="7"/>
  <c r="K515" i="7"/>
  <c r="K519" i="7"/>
  <c r="K457" i="7"/>
  <c r="AL147" i="1" l="1"/>
  <c r="R649" i="7"/>
  <c r="R610" i="7"/>
  <c r="R630" i="7"/>
  <c r="R631" i="7" s="1"/>
  <c r="R596" i="7"/>
  <c r="R592" i="7"/>
  <c r="R560" i="7"/>
  <c r="R554" i="7"/>
  <c r="R600" i="7"/>
  <c r="R588" i="7"/>
  <c r="R50" i="7"/>
  <c r="R54" i="7"/>
  <c r="R47" i="7"/>
  <c r="S617" i="7"/>
  <c r="D469" i="7"/>
  <c r="D495" i="7"/>
  <c r="H521" i="7"/>
  <c r="K495" i="7"/>
  <c r="G521" i="7"/>
  <c r="J469" i="7"/>
  <c r="J495" i="7"/>
  <c r="F521" i="7"/>
  <c r="I469" i="7"/>
  <c r="I495" i="7"/>
  <c r="E521" i="7"/>
  <c r="H469" i="7"/>
  <c r="H495" i="7"/>
  <c r="D521" i="7"/>
  <c r="G469" i="7"/>
  <c r="G495" i="7"/>
  <c r="C521" i="7"/>
  <c r="K521" i="7"/>
  <c r="C469" i="7"/>
  <c r="F469" i="7"/>
  <c r="E495" i="7"/>
  <c r="J521" i="7"/>
  <c r="K469" i="7"/>
  <c r="C495" i="7"/>
  <c r="E469" i="7"/>
  <c r="F495" i="7"/>
  <c r="I521" i="7"/>
  <c r="R72" i="7"/>
  <c r="L332" i="7"/>
  <c r="L383" i="7"/>
  <c r="L357" i="7"/>
  <c r="J113" i="7"/>
  <c r="H113" i="7"/>
  <c r="I113" i="7"/>
  <c r="D113" i="7"/>
  <c r="G113" i="7"/>
  <c r="C332" i="7"/>
  <c r="D332" i="7"/>
  <c r="E332" i="7"/>
  <c r="F332" i="7"/>
  <c r="G332" i="7"/>
  <c r="H332" i="7"/>
  <c r="I332" i="7"/>
  <c r="J332" i="7"/>
  <c r="K332" i="7"/>
  <c r="C670" i="7"/>
  <c r="C655" i="7" s="1"/>
  <c r="C110" i="7" s="1"/>
  <c r="C357" i="7"/>
  <c r="D357" i="7"/>
  <c r="E357" i="7"/>
  <c r="F357" i="7"/>
  <c r="G357" i="7"/>
  <c r="H357" i="7"/>
  <c r="I357" i="7"/>
  <c r="J357" i="7"/>
  <c r="K357" i="7"/>
  <c r="C702" i="7"/>
  <c r="C687" i="7" s="1"/>
  <c r="C111" i="7" s="1"/>
  <c r="F113" i="7"/>
  <c r="C383" i="7"/>
  <c r="D383" i="7"/>
  <c r="F383" i="7"/>
  <c r="E383" i="7"/>
  <c r="G383" i="7"/>
  <c r="H383" i="7"/>
  <c r="I383" i="7"/>
  <c r="J383" i="7"/>
  <c r="K383" i="7"/>
  <c r="C734" i="7"/>
  <c r="C719" i="7" s="1"/>
  <c r="C112" i="7" s="1"/>
  <c r="E113" i="7"/>
  <c r="R732" i="7"/>
  <c r="R730" i="7"/>
  <c r="R728" i="7"/>
  <c r="R726" i="7"/>
  <c r="R731" i="7"/>
  <c r="R727" i="7"/>
  <c r="R725" i="7"/>
  <c r="R701" i="7"/>
  <c r="R700" i="7"/>
  <c r="R699" i="7"/>
  <c r="R698" i="7"/>
  <c r="R697" i="7"/>
  <c r="R696" i="7"/>
  <c r="R695" i="7"/>
  <c r="R694" i="7"/>
  <c r="R693" i="7"/>
  <c r="R692" i="7"/>
  <c r="R669" i="7"/>
  <c r="R668" i="7"/>
  <c r="R667" i="7"/>
  <c r="R729" i="7"/>
  <c r="R724" i="7"/>
  <c r="R733" i="7"/>
  <c r="R666" i="7"/>
  <c r="R664" i="7"/>
  <c r="R662" i="7"/>
  <c r="R660" i="7"/>
  <c r="R665" i="7"/>
  <c r="R663" i="7"/>
  <c r="R661" i="7"/>
  <c r="R73" i="7"/>
  <c r="R40" i="7"/>
  <c r="L374" i="7"/>
  <c r="L670" i="7"/>
  <c r="L655" i="7" s="1"/>
  <c r="L110" i="7" s="1"/>
  <c r="L734" i="7"/>
  <c r="L719" i="7" s="1"/>
  <c r="L112" i="7" s="1"/>
  <c r="L323" i="7"/>
  <c r="L51" i="7"/>
  <c r="L702" i="7"/>
  <c r="L687" i="7" s="1"/>
  <c r="L111" i="7" s="1"/>
  <c r="K513" i="7"/>
  <c r="L466" i="7"/>
  <c r="L319" i="7"/>
  <c r="L464" i="7"/>
  <c r="L465" i="7"/>
  <c r="L469" i="7"/>
  <c r="L489" i="7"/>
  <c r="L493" i="7"/>
  <c r="L517" i="7"/>
  <c r="L521" i="7"/>
  <c r="L490" i="7"/>
  <c r="L494" i="7"/>
  <c r="L514" i="7"/>
  <c r="L518" i="7"/>
  <c r="K461" i="7"/>
  <c r="M745" i="7"/>
  <c r="M744" i="7"/>
  <c r="M743" i="7"/>
  <c r="M742" i="7"/>
  <c r="M741" i="7"/>
  <c r="M740" i="7"/>
  <c r="M737" i="7"/>
  <c r="M383" i="7"/>
  <c r="M382" i="7"/>
  <c r="M381" i="7"/>
  <c r="M380" i="7"/>
  <c r="M379" i="7"/>
  <c r="M378" i="7"/>
  <c r="M377" i="7"/>
  <c r="M376" i="7"/>
  <c r="M375" i="7"/>
  <c r="M357" i="7"/>
  <c r="M356" i="7"/>
  <c r="M355" i="7"/>
  <c r="M354" i="7"/>
  <c r="M353" i="7"/>
  <c r="M352" i="7"/>
  <c r="M351" i="7"/>
  <c r="M713" i="7"/>
  <c r="M712" i="7"/>
  <c r="M711" i="7"/>
  <c r="M710" i="7"/>
  <c r="M709" i="7"/>
  <c r="M708" i="7"/>
  <c r="M707" i="7"/>
  <c r="M706" i="7"/>
  <c r="M705" i="7"/>
  <c r="M332" i="7"/>
  <c r="M331" i="7"/>
  <c r="M330" i="7"/>
  <c r="M329" i="7"/>
  <c r="M328" i="7"/>
  <c r="M327" i="7"/>
  <c r="M350" i="7"/>
  <c r="M349" i="7"/>
  <c r="M348" i="7"/>
  <c r="M681" i="7"/>
  <c r="M680" i="7"/>
  <c r="M679" i="7"/>
  <c r="M678" i="7"/>
  <c r="M677" i="7"/>
  <c r="M676" i="7"/>
  <c r="M675" i="7"/>
  <c r="M674" i="7"/>
  <c r="M673" i="7"/>
  <c r="M326" i="7"/>
  <c r="M325" i="7"/>
  <c r="M324" i="7"/>
  <c r="M323" i="7"/>
  <c r="M561" i="7"/>
  <c r="M555" i="7"/>
  <c r="M441" i="7"/>
  <c r="M440" i="7"/>
  <c r="M439" i="7"/>
  <c r="M438" i="7"/>
  <c r="M437" i="7"/>
  <c r="M436" i="7"/>
  <c r="M456" i="7"/>
  <c r="M318" i="7"/>
  <c r="M303" i="7"/>
  <c r="M302" i="7"/>
  <c r="M301" i="7"/>
  <c r="M300" i="7"/>
  <c r="M299" i="7"/>
  <c r="M298" i="7"/>
  <c r="M49" i="7"/>
  <c r="L462" i="7"/>
  <c r="L468" i="7"/>
  <c r="L463" i="7"/>
  <c r="L467" i="7"/>
  <c r="L487" i="7"/>
  <c r="L491" i="7"/>
  <c r="L495" i="7"/>
  <c r="L515" i="7"/>
  <c r="L519" i="7"/>
  <c r="L457" i="7"/>
  <c r="L488" i="7"/>
  <c r="L492" i="7"/>
  <c r="L516" i="7"/>
  <c r="L520" i="7"/>
  <c r="K113" i="7"/>
  <c r="AM147" i="1" l="1"/>
  <c r="S649" i="7"/>
  <c r="S610" i="7"/>
  <c r="S630" i="7"/>
  <c r="S631" i="7" s="1"/>
  <c r="S560" i="7"/>
  <c r="S554" i="7"/>
  <c r="S600" i="7"/>
  <c r="S596" i="7"/>
  <c r="S592" i="7"/>
  <c r="S588" i="7"/>
  <c r="S50" i="7"/>
  <c r="S54" i="7"/>
  <c r="S47" i="7"/>
  <c r="T617" i="7"/>
  <c r="H470" i="7"/>
  <c r="J522" i="7"/>
  <c r="E496" i="7"/>
  <c r="G470" i="7"/>
  <c r="L461" i="7"/>
  <c r="I522" i="7"/>
  <c r="D496" i="7"/>
  <c r="F470" i="7"/>
  <c r="F496" i="7"/>
  <c r="L513" i="7"/>
  <c r="H522" i="7"/>
  <c r="K496" i="7"/>
  <c r="C496" i="7"/>
  <c r="E470" i="7"/>
  <c r="L496" i="7"/>
  <c r="G522" i="7"/>
  <c r="J496" i="7"/>
  <c r="D470" i="7"/>
  <c r="L522" i="7"/>
  <c r="C522" i="7"/>
  <c r="E522" i="7"/>
  <c r="I496" i="7"/>
  <c r="K470" i="7"/>
  <c r="C470" i="7"/>
  <c r="L470" i="7"/>
  <c r="K522" i="7"/>
  <c r="F522" i="7"/>
  <c r="H496" i="7"/>
  <c r="J470" i="7"/>
  <c r="D522" i="7"/>
  <c r="G496" i="7"/>
  <c r="I470" i="7"/>
  <c r="S72" i="7"/>
  <c r="C113" i="7"/>
  <c r="S733" i="7"/>
  <c r="S732" i="7"/>
  <c r="S731" i="7"/>
  <c r="S730" i="7"/>
  <c r="S729" i="7"/>
  <c r="S728" i="7"/>
  <c r="S727" i="7"/>
  <c r="S726" i="7"/>
  <c r="S696" i="7"/>
  <c r="S725" i="7"/>
  <c r="S701" i="7"/>
  <c r="S699" i="7"/>
  <c r="S697" i="7"/>
  <c r="S695" i="7"/>
  <c r="S724" i="7"/>
  <c r="S700" i="7"/>
  <c r="S698" i="7"/>
  <c r="S694" i="7"/>
  <c r="S692" i="7"/>
  <c r="S667" i="7"/>
  <c r="S666" i="7"/>
  <c r="S664" i="7"/>
  <c r="S662" i="7"/>
  <c r="S660" i="7"/>
  <c r="S693" i="7"/>
  <c r="S668" i="7"/>
  <c r="S665" i="7"/>
  <c r="S663" i="7"/>
  <c r="S661" i="7"/>
  <c r="S669" i="7"/>
  <c r="S40" i="7"/>
  <c r="S73" i="7"/>
  <c r="M374" i="7"/>
  <c r="L113" i="7"/>
  <c r="M734" i="7"/>
  <c r="M719" i="7" s="1"/>
  <c r="M112" i="7" s="1"/>
  <c r="M51" i="7"/>
  <c r="M462" i="7"/>
  <c r="M491" i="7"/>
  <c r="M495" i="7"/>
  <c r="M514" i="7"/>
  <c r="M469" i="7"/>
  <c r="M518" i="7"/>
  <c r="M522" i="7"/>
  <c r="M465" i="7"/>
  <c r="M467" i="7"/>
  <c r="M464" i="7"/>
  <c r="M468" i="7"/>
  <c r="M488" i="7"/>
  <c r="M492" i="7"/>
  <c r="M496" i="7"/>
  <c r="M516" i="7"/>
  <c r="M520" i="7"/>
  <c r="M489" i="7"/>
  <c r="M493" i="7"/>
  <c r="M517" i="7"/>
  <c r="M521" i="7"/>
  <c r="N745" i="7"/>
  <c r="N744" i="7"/>
  <c r="N743" i="7"/>
  <c r="N742" i="7"/>
  <c r="N741" i="7"/>
  <c r="N740" i="7"/>
  <c r="N737" i="7"/>
  <c r="N383" i="7"/>
  <c r="N382" i="7"/>
  <c r="N381" i="7"/>
  <c r="N380" i="7"/>
  <c r="N379" i="7"/>
  <c r="N378" i="7"/>
  <c r="N377" i="7"/>
  <c r="N376" i="7"/>
  <c r="N375" i="7"/>
  <c r="N374" i="7"/>
  <c r="N713" i="7"/>
  <c r="N712" i="7"/>
  <c r="N711" i="7"/>
  <c r="N710" i="7"/>
  <c r="N709" i="7"/>
  <c r="N708" i="7"/>
  <c r="N707" i="7"/>
  <c r="N706" i="7"/>
  <c r="N705" i="7"/>
  <c r="N357" i="7"/>
  <c r="N356" i="7"/>
  <c r="N355" i="7"/>
  <c r="N354" i="7"/>
  <c r="N353" i="7"/>
  <c r="N352" i="7"/>
  <c r="N351" i="7"/>
  <c r="N350" i="7"/>
  <c r="N349" i="7"/>
  <c r="N348" i="7"/>
  <c r="N681" i="7"/>
  <c r="N680" i="7"/>
  <c r="N679" i="7"/>
  <c r="N678" i="7"/>
  <c r="N677" i="7"/>
  <c r="N676" i="7"/>
  <c r="N675" i="7"/>
  <c r="N674" i="7"/>
  <c r="N673" i="7"/>
  <c r="N332" i="7"/>
  <c r="N331" i="7"/>
  <c r="N330" i="7"/>
  <c r="N329" i="7"/>
  <c r="N328" i="7"/>
  <c r="N327" i="7"/>
  <c r="N326" i="7"/>
  <c r="N325" i="7"/>
  <c r="N324" i="7"/>
  <c r="N323" i="7"/>
  <c r="N561" i="7"/>
  <c r="N555" i="7"/>
  <c r="N456" i="7"/>
  <c r="N441" i="7"/>
  <c r="N440" i="7"/>
  <c r="N439" i="7"/>
  <c r="N438" i="7"/>
  <c r="N437" i="7"/>
  <c r="N436" i="7"/>
  <c r="N303" i="7"/>
  <c r="N302" i="7"/>
  <c r="N301" i="7"/>
  <c r="N300" i="7"/>
  <c r="N299" i="7"/>
  <c r="N298" i="7"/>
  <c r="N318" i="7"/>
  <c r="N49" i="7"/>
  <c r="M319" i="7"/>
  <c r="M461" i="7"/>
  <c r="M463" i="7"/>
  <c r="M466" i="7"/>
  <c r="M470" i="7"/>
  <c r="M490" i="7"/>
  <c r="M494" i="7"/>
  <c r="M487" i="7"/>
  <c r="M515" i="7"/>
  <c r="M519" i="7"/>
  <c r="M457" i="7"/>
  <c r="M670" i="7"/>
  <c r="M655" i="7" s="1"/>
  <c r="M110" i="7" s="1"/>
  <c r="M702" i="7"/>
  <c r="M687" i="7" s="1"/>
  <c r="M111" i="7" s="1"/>
  <c r="AN147" i="1" l="1"/>
  <c r="T649" i="7"/>
  <c r="T610" i="7"/>
  <c r="T630" i="7"/>
  <c r="T631" i="7" s="1"/>
  <c r="T596" i="7"/>
  <c r="T588" i="7"/>
  <c r="T560" i="7"/>
  <c r="T554" i="7"/>
  <c r="T600" i="7"/>
  <c r="T592" i="7"/>
  <c r="T50" i="7"/>
  <c r="T54" i="7"/>
  <c r="T47" i="7"/>
  <c r="U617" i="7"/>
  <c r="M513" i="7"/>
  <c r="T72" i="7"/>
  <c r="T732" i="7"/>
  <c r="T730" i="7"/>
  <c r="T728" i="7"/>
  <c r="T726" i="7"/>
  <c r="T724" i="7"/>
  <c r="T725" i="7"/>
  <c r="T731" i="7"/>
  <c r="T701" i="7"/>
  <c r="T699" i="7"/>
  <c r="T697" i="7"/>
  <c r="T733" i="7"/>
  <c r="T727" i="7"/>
  <c r="T729" i="7"/>
  <c r="T700" i="7"/>
  <c r="T698" i="7"/>
  <c r="T696" i="7"/>
  <c r="T694" i="7"/>
  <c r="T692" i="7"/>
  <c r="T668" i="7"/>
  <c r="T666" i="7"/>
  <c r="T665" i="7"/>
  <c r="T664" i="7"/>
  <c r="T663" i="7"/>
  <c r="T662" i="7"/>
  <c r="T661" i="7"/>
  <c r="T660" i="7"/>
  <c r="T693" i="7"/>
  <c r="T695" i="7"/>
  <c r="T669" i="7"/>
  <c r="T667" i="7"/>
  <c r="T40" i="7"/>
  <c r="T73" i="7"/>
  <c r="N490" i="7"/>
  <c r="N466" i="7"/>
  <c r="N468" i="7"/>
  <c r="N514" i="7"/>
  <c r="N518" i="7"/>
  <c r="N522" i="7"/>
  <c r="N494" i="7"/>
  <c r="N464" i="7"/>
  <c r="N319" i="7"/>
  <c r="N462" i="7"/>
  <c r="N470" i="7"/>
  <c r="N463" i="7"/>
  <c r="N467" i="7"/>
  <c r="N487" i="7"/>
  <c r="N491" i="7"/>
  <c r="N495" i="7"/>
  <c r="N515" i="7"/>
  <c r="N519" i="7"/>
  <c r="N457" i="7"/>
  <c r="N488" i="7"/>
  <c r="N492" i="7"/>
  <c r="N496" i="7"/>
  <c r="N516" i="7"/>
  <c r="N520" i="7"/>
  <c r="O745" i="7"/>
  <c r="O744" i="7"/>
  <c r="O743" i="7"/>
  <c r="O742" i="7"/>
  <c r="O741" i="7"/>
  <c r="O739" i="7"/>
  <c r="O383" i="7"/>
  <c r="O382" i="7"/>
  <c r="O381" i="7"/>
  <c r="O380" i="7"/>
  <c r="O379" i="7"/>
  <c r="O378" i="7"/>
  <c r="O377" i="7"/>
  <c r="O376" i="7"/>
  <c r="O737" i="7"/>
  <c r="O374" i="7"/>
  <c r="O357" i="7"/>
  <c r="O356" i="7"/>
  <c r="O355" i="7"/>
  <c r="O354" i="7"/>
  <c r="O353" i="7"/>
  <c r="O352" i="7"/>
  <c r="O351" i="7"/>
  <c r="O375" i="7"/>
  <c r="O713" i="7"/>
  <c r="O712" i="7"/>
  <c r="O711" i="7"/>
  <c r="O710" i="7"/>
  <c r="O709" i="7"/>
  <c r="O708" i="7"/>
  <c r="O707" i="7"/>
  <c r="O706" i="7"/>
  <c r="O705" i="7"/>
  <c r="O332" i="7"/>
  <c r="O331" i="7"/>
  <c r="O330" i="7"/>
  <c r="O329" i="7"/>
  <c r="O328" i="7"/>
  <c r="O327" i="7"/>
  <c r="O350" i="7"/>
  <c r="O349" i="7"/>
  <c r="O348" i="7"/>
  <c r="O681" i="7"/>
  <c r="O680" i="7"/>
  <c r="O679" i="7"/>
  <c r="O678" i="7"/>
  <c r="O677" i="7"/>
  <c r="O676" i="7"/>
  <c r="O675" i="7"/>
  <c r="O674" i="7"/>
  <c r="O325" i="7"/>
  <c r="O326" i="7"/>
  <c r="O324" i="7"/>
  <c r="O561" i="7"/>
  <c r="O555" i="7"/>
  <c r="O441" i="7"/>
  <c r="O440" i="7"/>
  <c r="O439" i="7"/>
  <c r="O438" i="7"/>
  <c r="O437" i="7"/>
  <c r="O436" i="7"/>
  <c r="O456" i="7"/>
  <c r="O318" i="7"/>
  <c r="O303" i="7"/>
  <c r="O302" i="7"/>
  <c r="O301" i="7"/>
  <c r="O300" i="7"/>
  <c r="O299" i="7"/>
  <c r="O298" i="7"/>
  <c r="O49" i="7"/>
  <c r="N461" i="7"/>
  <c r="N465" i="7"/>
  <c r="N469" i="7"/>
  <c r="N489" i="7"/>
  <c r="N493" i="7"/>
  <c r="N513" i="7"/>
  <c r="N517" i="7"/>
  <c r="N521" i="7"/>
  <c r="M113" i="7"/>
  <c r="N51" i="7"/>
  <c r="N670" i="7"/>
  <c r="N655" i="7" s="1"/>
  <c r="N110" i="7" s="1"/>
  <c r="N702" i="7"/>
  <c r="N687" i="7" s="1"/>
  <c r="N111" i="7" s="1"/>
  <c r="N734" i="7"/>
  <c r="N719" i="7" s="1"/>
  <c r="N112" i="7" s="1"/>
  <c r="AO147" i="1" l="1"/>
  <c r="U649" i="7"/>
  <c r="U610" i="7"/>
  <c r="U630" i="7"/>
  <c r="U631" i="7" s="1"/>
  <c r="U608" i="7"/>
  <c r="U560" i="7"/>
  <c r="U554" i="7"/>
  <c r="U600" i="7"/>
  <c r="U596" i="7"/>
  <c r="U592" i="7"/>
  <c r="U588" i="7"/>
  <c r="U50" i="7"/>
  <c r="U54" i="7"/>
  <c r="U47" i="7"/>
  <c r="V617" i="7"/>
  <c r="U72" i="7"/>
  <c r="U733" i="7"/>
  <c r="U731" i="7"/>
  <c r="U729" i="7"/>
  <c r="U727" i="7"/>
  <c r="U725" i="7"/>
  <c r="U724" i="7"/>
  <c r="U701" i="7"/>
  <c r="U732" i="7"/>
  <c r="U728" i="7"/>
  <c r="U730" i="7"/>
  <c r="U726" i="7"/>
  <c r="U700" i="7"/>
  <c r="U698" i="7"/>
  <c r="U696" i="7"/>
  <c r="U699" i="7"/>
  <c r="U697" i="7"/>
  <c r="U695" i="7"/>
  <c r="U693" i="7"/>
  <c r="U669" i="7"/>
  <c r="U668" i="7"/>
  <c r="U694" i="7"/>
  <c r="U665" i="7"/>
  <c r="U663" i="7"/>
  <c r="U661" i="7"/>
  <c r="U667" i="7"/>
  <c r="U692" i="7"/>
  <c r="U666" i="7"/>
  <c r="U664" i="7"/>
  <c r="U662" i="7"/>
  <c r="U660" i="7"/>
  <c r="U73" i="7"/>
  <c r="U40" i="7"/>
  <c r="O51" i="7"/>
  <c r="O670" i="7"/>
  <c r="O655" i="7" s="1"/>
  <c r="O110" i="7" s="1"/>
  <c r="O702" i="7"/>
  <c r="O687" i="7" s="1"/>
  <c r="O111" i="7" s="1"/>
  <c r="O489" i="7"/>
  <c r="O468" i="7"/>
  <c r="O517" i="7"/>
  <c r="O464" i="7"/>
  <c r="O492" i="7"/>
  <c r="P745" i="7"/>
  <c r="P744" i="7"/>
  <c r="P743" i="7"/>
  <c r="P742" i="7"/>
  <c r="P741" i="7"/>
  <c r="P739" i="7"/>
  <c r="P737" i="7"/>
  <c r="P383" i="7"/>
  <c r="P382" i="7"/>
  <c r="P381" i="7"/>
  <c r="P380" i="7"/>
  <c r="P379" i="7"/>
  <c r="P378" i="7"/>
  <c r="P377" i="7"/>
  <c r="P376" i="7"/>
  <c r="P375" i="7"/>
  <c r="P374" i="7"/>
  <c r="P713" i="7"/>
  <c r="P712" i="7"/>
  <c r="P711" i="7"/>
  <c r="P710" i="7"/>
  <c r="P709" i="7"/>
  <c r="P708" i="7"/>
  <c r="P707" i="7"/>
  <c r="P706" i="7"/>
  <c r="P705" i="7"/>
  <c r="P357" i="7"/>
  <c r="P356" i="7"/>
  <c r="P355" i="7"/>
  <c r="P354" i="7"/>
  <c r="P353" i="7"/>
  <c r="P352" i="7"/>
  <c r="P351" i="7"/>
  <c r="P350" i="7"/>
  <c r="P349" i="7"/>
  <c r="P348" i="7"/>
  <c r="P681" i="7"/>
  <c r="P680" i="7"/>
  <c r="P679" i="7"/>
  <c r="P678" i="7"/>
  <c r="P677" i="7"/>
  <c r="P676" i="7"/>
  <c r="P675" i="7"/>
  <c r="P674" i="7"/>
  <c r="P332" i="7"/>
  <c r="P331" i="7"/>
  <c r="P330" i="7"/>
  <c r="P329" i="7"/>
  <c r="P328" i="7"/>
  <c r="P327" i="7"/>
  <c r="P326" i="7"/>
  <c r="P325" i="7"/>
  <c r="P324" i="7"/>
  <c r="P561" i="7"/>
  <c r="P555" i="7"/>
  <c r="P456" i="7"/>
  <c r="P441" i="7"/>
  <c r="P440" i="7"/>
  <c r="P439" i="7"/>
  <c r="P438" i="7"/>
  <c r="P437" i="7"/>
  <c r="P436" i="7"/>
  <c r="P303" i="7"/>
  <c r="P302" i="7"/>
  <c r="P301" i="7"/>
  <c r="P300" i="7"/>
  <c r="P299" i="7"/>
  <c r="P298" i="7"/>
  <c r="P318" i="7"/>
  <c r="P49" i="7"/>
  <c r="O465" i="7"/>
  <c r="O466" i="7"/>
  <c r="O490" i="7"/>
  <c r="O514" i="7"/>
  <c r="O518" i="7"/>
  <c r="O522" i="7"/>
  <c r="O491" i="7"/>
  <c r="O495" i="7"/>
  <c r="O519" i="7"/>
  <c r="O457" i="7"/>
  <c r="O467" i="7"/>
  <c r="O469" i="7"/>
  <c r="O488" i="7"/>
  <c r="O496" i="7"/>
  <c r="O516" i="7"/>
  <c r="O520" i="7"/>
  <c r="O493" i="7"/>
  <c r="O513" i="7"/>
  <c r="O521" i="7"/>
  <c r="N113" i="7"/>
  <c r="O323" i="7"/>
  <c r="O734" i="7"/>
  <c r="O719" i="7" s="1"/>
  <c r="O112" i="7" s="1"/>
  <c r="O319" i="7"/>
  <c r="O463" i="7"/>
  <c r="O462" i="7"/>
  <c r="O470" i="7"/>
  <c r="O494" i="7"/>
  <c r="O487" i="7"/>
  <c r="O515" i="7"/>
  <c r="AP147" i="1" l="1"/>
  <c r="V649" i="7"/>
  <c r="V610" i="7"/>
  <c r="V630" i="7"/>
  <c r="V631" i="7" s="1"/>
  <c r="V608" i="7"/>
  <c r="V554" i="7"/>
  <c r="V600" i="7"/>
  <c r="V596" i="7"/>
  <c r="V592" i="7"/>
  <c r="V588" i="7"/>
  <c r="V560" i="7"/>
  <c r="V50" i="7"/>
  <c r="V54" i="7"/>
  <c r="V47" i="7"/>
  <c r="W617" i="7"/>
  <c r="V72" i="7"/>
  <c r="V733" i="7"/>
  <c r="V731" i="7"/>
  <c r="V729" i="7"/>
  <c r="V727" i="7"/>
  <c r="V700" i="7"/>
  <c r="V699" i="7"/>
  <c r="V698" i="7"/>
  <c r="V697" i="7"/>
  <c r="V696" i="7"/>
  <c r="V695" i="7"/>
  <c r="V694" i="7"/>
  <c r="V693" i="7"/>
  <c r="V692" i="7"/>
  <c r="V669" i="7"/>
  <c r="V668" i="7"/>
  <c r="V667" i="7"/>
  <c r="V726" i="7"/>
  <c r="V701" i="7"/>
  <c r="V732" i="7"/>
  <c r="V728" i="7"/>
  <c r="V724" i="7"/>
  <c r="V730" i="7"/>
  <c r="V725" i="7"/>
  <c r="V665" i="7"/>
  <c r="V663" i="7"/>
  <c r="V661" i="7"/>
  <c r="V666" i="7"/>
  <c r="V664" i="7"/>
  <c r="V662" i="7"/>
  <c r="V660" i="7"/>
  <c r="V73" i="7"/>
  <c r="V40" i="7"/>
  <c r="O113" i="7"/>
  <c r="O461" i="7"/>
  <c r="P466" i="7"/>
  <c r="P319" i="7"/>
  <c r="P464" i="7"/>
  <c r="P465" i="7"/>
  <c r="P469" i="7"/>
  <c r="P489" i="7"/>
  <c r="P493" i="7"/>
  <c r="P513" i="7"/>
  <c r="P517" i="7"/>
  <c r="P521" i="7"/>
  <c r="P490" i="7"/>
  <c r="P494" i="7"/>
  <c r="P514" i="7"/>
  <c r="P518" i="7"/>
  <c r="P522" i="7"/>
  <c r="P51" i="7"/>
  <c r="P323" i="7"/>
  <c r="P670" i="7"/>
  <c r="P655" i="7" s="1"/>
  <c r="P110" i="7" s="1"/>
  <c r="P702" i="7"/>
  <c r="P687" i="7" s="1"/>
  <c r="P111" i="7" s="1"/>
  <c r="P734" i="7"/>
  <c r="P719" i="7" s="1"/>
  <c r="P112" i="7" s="1"/>
  <c r="Q745" i="7"/>
  <c r="Q744" i="7"/>
  <c r="Q743" i="7"/>
  <c r="Q742" i="7"/>
  <c r="Q741" i="7"/>
  <c r="Q739" i="7"/>
  <c r="Q737" i="7"/>
  <c r="Q383" i="7"/>
  <c r="Q382" i="7"/>
  <c r="Q381" i="7"/>
  <c r="Q380" i="7"/>
  <c r="Q379" i="7"/>
  <c r="Q378" i="7"/>
  <c r="Q377" i="7"/>
  <c r="Q376" i="7"/>
  <c r="Q375" i="7"/>
  <c r="Q357" i="7"/>
  <c r="Q356" i="7"/>
  <c r="Q355" i="7"/>
  <c r="Q354" i="7"/>
  <c r="Q353" i="7"/>
  <c r="Q352" i="7"/>
  <c r="Q351" i="7"/>
  <c r="Q374" i="7"/>
  <c r="Q713" i="7"/>
  <c r="Q712" i="7"/>
  <c r="Q711" i="7"/>
  <c r="Q710" i="7"/>
  <c r="Q709" i="7"/>
  <c r="Q708" i="7"/>
  <c r="Q707" i="7"/>
  <c r="Q706" i="7"/>
  <c r="Q705" i="7"/>
  <c r="Q350" i="7"/>
  <c r="Q332" i="7"/>
  <c r="Q331" i="7"/>
  <c r="Q330" i="7"/>
  <c r="Q329" i="7"/>
  <c r="Q328" i="7"/>
  <c r="Q327" i="7"/>
  <c r="Q349" i="7"/>
  <c r="Q681" i="7"/>
  <c r="Q680" i="7"/>
  <c r="Q679" i="7"/>
  <c r="Q678" i="7"/>
  <c r="Q677" i="7"/>
  <c r="Q676" i="7"/>
  <c r="Q675" i="7"/>
  <c r="Q674" i="7"/>
  <c r="Q326" i="7"/>
  <c r="Q325" i="7"/>
  <c r="Q324" i="7"/>
  <c r="Q561" i="7"/>
  <c r="Q555" i="7"/>
  <c r="Q441" i="7"/>
  <c r="Q440" i="7"/>
  <c r="Q439" i="7"/>
  <c r="Q438" i="7"/>
  <c r="Q437" i="7"/>
  <c r="Q436" i="7"/>
  <c r="Q456" i="7"/>
  <c r="Q318" i="7"/>
  <c r="Q303" i="7"/>
  <c r="Q302" i="7"/>
  <c r="Q301" i="7"/>
  <c r="Q300" i="7"/>
  <c r="Q299" i="7"/>
  <c r="Q298" i="7"/>
  <c r="Q49" i="7"/>
  <c r="P462" i="7"/>
  <c r="P470" i="7"/>
  <c r="P468" i="7"/>
  <c r="P463" i="7"/>
  <c r="P467" i="7"/>
  <c r="P487" i="7"/>
  <c r="P491" i="7"/>
  <c r="P495" i="7"/>
  <c r="P515" i="7"/>
  <c r="P519" i="7"/>
  <c r="P457" i="7"/>
  <c r="P488" i="7"/>
  <c r="P492" i="7"/>
  <c r="P496" i="7"/>
  <c r="P516" i="7"/>
  <c r="P520" i="7"/>
  <c r="AQ147" i="1" l="1"/>
  <c r="W649" i="7"/>
  <c r="W610" i="7"/>
  <c r="W630" i="7"/>
  <c r="W631" i="7" s="1"/>
  <c r="W608" i="7"/>
  <c r="W560" i="7"/>
  <c r="W554" i="7"/>
  <c r="W592" i="7"/>
  <c r="W600" i="7"/>
  <c r="W596" i="7"/>
  <c r="W588" i="7"/>
  <c r="W50" i="7"/>
  <c r="W54" i="7"/>
  <c r="W47" i="7"/>
  <c r="X617" i="7"/>
  <c r="W72" i="7"/>
  <c r="W733" i="7"/>
  <c r="W732" i="7"/>
  <c r="W731" i="7"/>
  <c r="W730" i="7"/>
  <c r="W729" i="7"/>
  <c r="W728" i="7"/>
  <c r="W727" i="7"/>
  <c r="W726" i="7"/>
  <c r="W725" i="7"/>
  <c r="W701" i="7"/>
  <c r="W724" i="7"/>
  <c r="W700" i="7"/>
  <c r="W698" i="7"/>
  <c r="W699" i="7"/>
  <c r="W697" i="7"/>
  <c r="W695" i="7"/>
  <c r="W693" i="7"/>
  <c r="W669" i="7"/>
  <c r="W667" i="7"/>
  <c r="W694" i="7"/>
  <c r="W666" i="7"/>
  <c r="W664" i="7"/>
  <c r="W662" i="7"/>
  <c r="W660" i="7"/>
  <c r="W696" i="7"/>
  <c r="W692" i="7"/>
  <c r="W668" i="7"/>
  <c r="W665" i="7"/>
  <c r="W663" i="7"/>
  <c r="W661" i="7"/>
  <c r="W40" i="7"/>
  <c r="W73" i="7"/>
  <c r="Q323" i="7"/>
  <c r="Q702" i="7"/>
  <c r="Q687" i="7" s="1"/>
  <c r="Q111" i="7" s="1"/>
  <c r="Q51" i="7"/>
  <c r="Q348" i="7"/>
  <c r="Q670" i="7"/>
  <c r="Q655" i="7" s="1"/>
  <c r="Q110" i="7" s="1"/>
  <c r="Q465" i="7"/>
  <c r="Q467" i="7"/>
  <c r="Q464" i="7"/>
  <c r="Q468" i="7"/>
  <c r="Q488" i="7"/>
  <c r="Q492" i="7"/>
  <c r="Q496" i="7"/>
  <c r="Q516" i="7"/>
  <c r="Q520" i="7"/>
  <c r="Q489" i="7"/>
  <c r="Q493" i="7"/>
  <c r="Q513" i="7"/>
  <c r="Q517" i="7"/>
  <c r="Q521" i="7"/>
  <c r="P461" i="7"/>
  <c r="Q734" i="7"/>
  <c r="Q719" i="7" s="1"/>
  <c r="Q112" i="7" s="1"/>
  <c r="P113" i="7"/>
  <c r="R745" i="7"/>
  <c r="R744" i="7"/>
  <c r="R743" i="7"/>
  <c r="R742" i="7"/>
  <c r="R740" i="7"/>
  <c r="R738" i="7"/>
  <c r="R737" i="7"/>
  <c r="R383" i="7"/>
  <c r="R382" i="7"/>
  <c r="R381" i="7"/>
  <c r="R380" i="7"/>
  <c r="R379" i="7"/>
  <c r="R378" i="7"/>
  <c r="R377" i="7"/>
  <c r="R376" i="7"/>
  <c r="R375" i="7"/>
  <c r="R374" i="7"/>
  <c r="R713" i="7"/>
  <c r="R712" i="7"/>
  <c r="R711" i="7"/>
  <c r="R710" i="7"/>
  <c r="R709" i="7"/>
  <c r="R708" i="7"/>
  <c r="R707" i="7"/>
  <c r="R706" i="7"/>
  <c r="R357" i="7"/>
  <c r="R356" i="7"/>
  <c r="R355" i="7"/>
  <c r="R354" i="7"/>
  <c r="R353" i="7"/>
  <c r="R352" i="7"/>
  <c r="R351" i="7"/>
  <c r="R350" i="7"/>
  <c r="R349" i="7"/>
  <c r="R348" i="7"/>
  <c r="R681" i="7"/>
  <c r="R680" i="7"/>
  <c r="R679" i="7"/>
  <c r="R678" i="7"/>
  <c r="R677" i="7"/>
  <c r="R676" i="7"/>
  <c r="R675" i="7"/>
  <c r="R674" i="7"/>
  <c r="R332" i="7"/>
  <c r="R331" i="7"/>
  <c r="R330" i="7"/>
  <c r="R329" i="7"/>
  <c r="R328" i="7"/>
  <c r="R327" i="7"/>
  <c r="R326" i="7"/>
  <c r="R325" i="7"/>
  <c r="R324" i="7"/>
  <c r="R561" i="7"/>
  <c r="R555" i="7"/>
  <c r="R456" i="7"/>
  <c r="R441" i="7"/>
  <c r="R440" i="7"/>
  <c r="R439" i="7"/>
  <c r="R438" i="7"/>
  <c r="R437" i="7"/>
  <c r="R436" i="7"/>
  <c r="R303" i="7"/>
  <c r="R302" i="7"/>
  <c r="R301" i="7"/>
  <c r="R300" i="7"/>
  <c r="R299" i="7"/>
  <c r="R298" i="7"/>
  <c r="R318" i="7"/>
  <c r="R49" i="7"/>
  <c r="Q319" i="7"/>
  <c r="Q469" i="7"/>
  <c r="Q463" i="7"/>
  <c r="Q462" i="7"/>
  <c r="Q466" i="7"/>
  <c r="Q470" i="7"/>
  <c r="Q490" i="7"/>
  <c r="Q494" i="7"/>
  <c r="Q514" i="7"/>
  <c r="Q518" i="7"/>
  <c r="Q522" i="7"/>
  <c r="Q491" i="7"/>
  <c r="Q495" i="7"/>
  <c r="Q515" i="7"/>
  <c r="Q519" i="7"/>
  <c r="Q457" i="7"/>
  <c r="X649" i="7" l="1"/>
  <c r="X610" i="7"/>
  <c r="X630" i="7"/>
  <c r="X631" i="7" s="1"/>
  <c r="X608" i="7"/>
  <c r="X592" i="7"/>
  <c r="X560" i="7"/>
  <c r="X554" i="7"/>
  <c r="X600" i="7"/>
  <c r="X596" i="7"/>
  <c r="X588" i="7"/>
  <c r="X50" i="7"/>
  <c r="X54" i="7"/>
  <c r="X47" i="7"/>
  <c r="Y617" i="7"/>
  <c r="Q487" i="7"/>
  <c r="Q461" i="7"/>
  <c r="X72" i="7"/>
  <c r="X732" i="7"/>
  <c r="X730" i="7"/>
  <c r="X728" i="7"/>
  <c r="X726" i="7"/>
  <c r="X733" i="7"/>
  <c r="X729" i="7"/>
  <c r="X725" i="7"/>
  <c r="X731" i="7"/>
  <c r="X724" i="7"/>
  <c r="X700" i="7"/>
  <c r="X698" i="7"/>
  <c r="X694" i="7"/>
  <c r="X727" i="7"/>
  <c r="X699" i="7"/>
  <c r="X697" i="7"/>
  <c r="X695" i="7"/>
  <c r="X701" i="7"/>
  <c r="X666" i="7"/>
  <c r="X665" i="7"/>
  <c r="X664" i="7"/>
  <c r="X663" i="7"/>
  <c r="X662" i="7"/>
  <c r="X661" i="7"/>
  <c r="X660" i="7"/>
  <c r="X696" i="7"/>
  <c r="X692" i="7"/>
  <c r="X669" i="7"/>
  <c r="X667" i="7"/>
  <c r="X668" i="7"/>
  <c r="X693" i="7"/>
  <c r="X40" i="7"/>
  <c r="X73" i="7"/>
  <c r="B431" i="7"/>
  <c r="R323" i="7"/>
  <c r="Q113" i="7"/>
  <c r="S745" i="7"/>
  <c r="S744" i="7"/>
  <c r="S743" i="7"/>
  <c r="S742" i="7"/>
  <c r="S740" i="7"/>
  <c r="S738" i="7"/>
  <c r="S383" i="7"/>
  <c r="S382" i="7"/>
  <c r="S381" i="7"/>
  <c r="S380" i="7"/>
  <c r="S379" i="7"/>
  <c r="S378" i="7"/>
  <c r="S377" i="7"/>
  <c r="S376" i="7"/>
  <c r="S737" i="7"/>
  <c r="S374" i="7"/>
  <c r="S357" i="7"/>
  <c r="S356" i="7"/>
  <c r="S355" i="7"/>
  <c r="S354" i="7"/>
  <c r="S353" i="7"/>
  <c r="S352" i="7"/>
  <c r="S351" i="7"/>
  <c r="S375" i="7"/>
  <c r="S713" i="7"/>
  <c r="S712" i="7"/>
  <c r="S711" i="7"/>
  <c r="S710" i="7"/>
  <c r="S709" i="7"/>
  <c r="S708" i="7"/>
  <c r="S707" i="7"/>
  <c r="S706" i="7"/>
  <c r="S332" i="7"/>
  <c r="S331" i="7"/>
  <c r="S330" i="7"/>
  <c r="S329" i="7"/>
  <c r="S328" i="7"/>
  <c r="S327" i="7"/>
  <c r="S350" i="7"/>
  <c r="S349" i="7"/>
  <c r="S348" i="7"/>
  <c r="S681" i="7"/>
  <c r="S680" i="7"/>
  <c r="S679" i="7"/>
  <c r="S678" i="7"/>
  <c r="S677" i="7"/>
  <c r="S676" i="7"/>
  <c r="S675" i="7"/>
  <c r="S674" i="7"/>
  <c r="S325" i="7"/>
  <c r="S326" i="7"/>
  <c r="S324" i="7"/>
  <c r="S561" i="7"/>
  <c r="S555" i="7"/>
  <c r="S441" i="7"/>
  <c r="S440" i="7"/>
  <c r="S439" i="7"/>
  <c r="S438" i="7"/>
  <c r="S437" i="7"/>
  <c r="S436" i="7"/>
  <c r="S456" i="7"/>
  <c r="S318" i="7"/>
  <c r="S303" i="7"/>
  <c r="S302" i="7"/>
  <c r="S301" i="7"/>
  <c r="S300" i="7"/>
  <c r="S299" i="7"/>
  <c r="S298" i="7"/>
  <c r="S49" i="7"/>
  <c r="R468" i="7"/>
  <c r="R466" i="7"/>
  <c r="R465" i="7"/>
  <c r="R469" i="7"/>
  <c r="R489" i="7"/>
  <c r="R493" i="7"/>
  <c r="R513" i="7"/>
  <c r="R517" i="7"/>
  <c r="R521" i="7"/>
  <c r="R490" i="7"/>
  <c r="R494" i="7"/>
  <c r="R514" i="7"/>
  <c r="R518" i="7"/>
  <c r="R522" i="7"/>
  <c r="R51" i="7"/>
  <c r="R670" i="7"/>
  <c r="R655" i="7" s="1"/>
  <c r="R110" i="7" s="1"/>
  <c r="R702" i="7"/>
  <c r="R687" i="7" s="1"/>
  <c r="R111" i="7" s="1"/>
  <c r="R734" i="7"/>
  <c r="R719" i="7" s="1"/>
  <c r="R112" i="7" s="1"/>
  <c r="R464" i="7"/>
  <c r="R319" i="7"/>
  <c r="R462" i="7"/>
  <c r="R470" i="7"/>
  <c r="R463" i="7"/>
  <c r="R467" i="7"/>
  <c r="R487" i="7"/>
  <c r="R491" i="7"/>
  <c r="R495" i="7"/>
  <c r="R515" i="7"/>
  <c r="R519" i="7"/>
  <c r="R457" i="7"/>
  <c r="R488" i="7"/>
  <c r="R492" i="7"/>
  <c r="R496" i="7"/>
  <c r="R516" i="7"/>
  <c r="R520" i="7"/>
  <c r="E407" i="7" l="1"/>
  <c r="E402" i="7"/>
  <c r="E404" i="7"/>
  <c r="E401" i="7"/>
  <c r="E406" i="7"/>
  <c r="E403" i="7"/>
  <c r="E405" i="7"/>
  <c r="Y649" i="7"/>
  <c r="Y610" i="7"/>
  <c r="Y630" i="7"/>
  <c r="Y560" i="7"/>
  <c r="Y554" i="7"/>
  <c r="Y600" i="7"/>
  <c r="Y596" i="7"/>
  <c r="Y592" i="7"/>
  <c r="Y588" i="7"/>
  <c r="Y50" i="7"/>
  <c r="Y54" i="7"/>
  <c r="Y47" i="7"/>
  <c r="Z617" i="7"/>
  <c r="R461" i="7"/>
  <c r="Y72" i="7"/>
  <c r="Y724" i="7"/>
  <c r="Y701" i="7"/>
  <c r="Y732" i="7"/>
  <c r="Y730" i="7"/>
  <c r="Y728" i="7"/>
  <c r="Y726" i="7"/>
  <c r="Y727" i="7"/>
  <c r="Y733" i="7"/>
  <c r="Y699" i="7"/>
  <c r="Y697" i="7"/>
  <c r="Y729" i="7"/>
  <c r="Y725" i="7"/>
  <c r="Y731" i="7"/>
  <c r="Y700" i="7"/>
  <c r="Y698" i="7"/>
  <c r="Y696" i="7"/>
  <c r="Y694" i="7"/>
  <c r="Y692" i="7"/>
  <c r="Y668" i="7"/>
  <c r="Y669" i="7"/>
  <c r="Y667" i="7"/>
  <c r="Y666" i="7"/>
  <c r="Y664" i="7"/>
  <c r="Y662" i="7"/>
  <c r="Y660" i="7"/>
  <c r="Y695" i="7"/>
  <c r="Y693" i="7"/>
  <c r="Y665" i="7"/>
  <c r="Y663" i="7"/>
  <c r="Y661" i="7"/>
  <c r="Y73" i="7"/>
  <c r="Y40" i="7"/>
  <c r="C199" i="7"/>
  <c r="S323" i="7"/>
  <c r="T745" i="7"/>
  <c r="T744" i="7"/>
  <c r="T743" i="7"/>
  <c r="T742" i="7"/>
  <c r="T740" i="7"/>
  <c r="T738" i="7"/>
  <c r="T737" i="7"/>
  <c r="T383" i="7"/>
  <c r="T382" i="7"/>
  <c r="T381" i="7"/>
  <c r="T380" i="7"/>
  <c r="T379" i="7"/>
  <c r="T378" i="7"/>
  <c r="T377" i="7"/>
  <c r="T376" i="7"/>
  <c r="T375" i="7"/>
  <c r="T374" i="7"/>
  <c r="T713" i="7"/>
  <c r="T712" i="7"/>
  <c r="T711" i="7"/>
  <c r="T710" i="7"/>
  <c r="T709" i="7"/>
  <c r="T708" i="7"/>
  <c r="T707" i="7"/>
  <c r="T706" i="7"/>
  <c r="T357" i="7"/>
  <c r="T356" i="7"/>
  <c r="T355" i="7"/>
  <c r="T354" i="7"/>
  <c r="T353" i="7"/>
  <c r="T352" i="7"/>
  <c r="T351" i="7"/>
  <c r="T350" i="7"/>
  <c r="T349" i="7"/>
  <c r="T348" i="7"/>
  <c r="T681" i="7"/>
  <c r="T680" i="7"/>
  <c r="T679" i="7"/>
  <c r="T678" i="7"/>
  <c r="T677" i="7"/>
  <c r="T676" i="7"/>
  <c r="T675" i="7"/>
  <c r="T674" i="7"/>
  <c r="T332" i="7"/>
  <c r="T331" i="7"/>
  <c r="T330" i="7"/>
  <c r="T329" i="7"/>
  <c r="T328" i="7"/>
  <c r="T327" i="7"/>
  <c r="T326" i="7"/>
  <c r="T325" i="7"/>
  <c r="T324" i="7"/>
  <c r="T561" i="7"/>
  <c r="T555" i="7"/>
  <c r="T456" i="7"/>
  <c r="T441" i="7"/>
  <c r="T440" i="7"/>
  <c r="T439" i="7"/>
  <c r="T438" i="7"/>
  <c r="T437" i="7"/>
  <c r="T436" i="7"/>
  <c r="T303" i="7"/>
  <c r="T302" i="7"/>
  <c r="T301" i="7"/>
  <c r="T300" i="7"/>
  <c r="T299" i="7"/>
  <c r="T298" i="7"/>
  <c r="T318" i="7"/>
  <c r="T49" i="7"/>
  <c r="S319" i="7"/>
  <c r="S463" i="7"/>
  <c r="S465" i="7"/>
  <c r="S462" i="7"/>
  <c r="S466" i="7"/>
  <c r="S470" i="7"/>
  <c r="S490" i="7"/>
  <c r="S494" i="7"/>
  <c r="S514" i="7"/>
  <c r="S518" i="7"/>
  <c r="S522" i="7"/>
  <c r="S487" i="7"/>
  <c r="S491" i="7"/>
  <c r="S495" i="7"/>
  <c r="S515" i="7"/>
  <c r="S519" i="7"/>
  <c r="S457" i="7"/>
  <c r="R113" i="7"/>
  <c r="S51" i="7"/>
  <c r="S670" i="7"/>
  <c r="S655" i="7" s="1"/>
  <c r="S110" i="7" s="1"/>
  <c r="S702" i="7"/>
  <c r="S687" i="7" s="1"/>
  <c r="S111" i="7" s="1"/>
  <c r="S467" i="7"/>
  <c r="S469" i="7"/>
  <c r="S464" i="7"/>
  <c r="S468" i="7"/>
  <c r="S488" i="7"/>
  <c r="S492" i="7"/>
  <c r="S496" i="7"/>
  <c r="S516" i="7"/>
  <c r="S520" i="7"/>
  <c r="S489" i="7"/>
  <c r="S493" i="7"/>
  <c r="S513" i="7"/>
  <c r="S517" i="7"/>
  <c r="S521" i="7"/>
  <c r="S734" i="7"/>
  <c r="S719" i="7" s="1"/>
  <c r="S112" i="7" s="1"/>
  <c r="E408" i="7" l="1"/>
  <c r="Y608" i="7"/>
  <c r="Y631" i="7"/>
  <c r="Z649" i="7"/>
  <c r="Z610" i="7"/>
  <c r="Z630" i="7"/>
  <c r="Z560" i="7"/>
  <c r="Z588" i="7"/>
  <c r="Z554" i="7"/>
  <c r="Z600" i="7"/>
  <c r="Z596" i="7"/>
  <c r="Z592" i="7"/>
  <c r="Z50" i="7"/>
  <c r="Z54" i="7"/>
  <c r="Z47" i="7"/>
  <c r="AA617" i="7"/>
  <c r="S461" i="7"/>
  <c r="Z72" i="7"/>
  <c r="Z733" i="7"/>
  <c r="Z731" i="7"/>
  <c r="Z729" i="7"/>
  <c r="Z727" i="7"/>
  <c r="Z725" i="7"/>
  <c r="Z730" i="7"/>
  <c r="Z726" i="7"/>
  <c r="Z724" i="7"/>
  <c r="Z700" i="7"/>
  <c r="Z699" i="7"/>
  <c r="Z698" i="7"/>
  <c r="Z697" i="7"/>
  <c r="Z696" i="7"/>
  <c r="Z695" i="7"/>
  <c r="Z694" i="7"/>
  <c r="Z693" i="7"/>
  <c r="Z692" i="7"/>
  <c r="Z669" i="7"/>
  <c r="Z668" i="7"/>
  <c r="Z667" i="7"/>
  <c r="Z732" i="7"/>
  <c r="Z728" i="7"/>
  <c r="Z701" i="7"/>
  <c r="Z660" i="7"/>
  <c r="Z665" i="7"/>
  <c r="Z663" i="7"/>
  <c r="Z661" i="7"/>
  <c r="Z666" i="7"/>
  <c r="Z664" i="7"/>
  <c r="Z662" i="7"/>
  <c r="Z73" i="7"/>
  <c r="Z40" i="7"/>
  <c r="T323" i="7"/>
  <c r="T734" i="7"/>
  <c r="T719" i="7" s="1"/>
  <c r="T112" i="7" s="1"/>
  <c r="U745" i="7"/>
  <c r="U744" i="7"/>
  <c r="U743" i="7"/>
  <c r="U741" i="7"/>
  <c r="U740" i="7"/>
  <c r="U738" i="7"/>
  <c r="U737" i="7"/>
  <c r="U383" i="7"/>
  <c r="U382" i="7"/>
  <c r="U381" i="7"/>
  <c r="U380" i="7"/>
  <c r="U379" i="7"/>
  <c r="U378" i="7"/>
  <c r="U377" i="7"/>
  <c r="U376" i="7"/>
  <c r="U375" i="7"/>
  <c r="U357" i="7"/>
  <c r="U356" i="7"/>
  <c r="U355" i="7"/>
  <c r="U354" i="7"/>
  <c r="U353" i="7"/>
  <c r="U352" i="7"/>
  <c r="U351" i="7"/>
  <c r="U374" i="7"/>
  <c r="U713" i="7"/>
  <c r="U712" i="7"/>
  <c r="U711" i="7"/>
  <c r="U710" i="7"/>
  <c r="U709" i="7"/>
  <c r="U708" i="7"/>
  <c r="U707" i="7"/>
  <c r="U706" i="7"/>
  <c r="U350" i="7"/>
  <c r="U332" i="7"/>
  <c r="U331" i="7"/>
  <c r="U330" i="7"/>
  <c r="U329" i="7"/>
  <c r="U328" i="7"/>
  <c r="U327" i="7"/>
  <c r="U349" i="7"/>
  <c r="U348" i="7"/>
  <c r="U681" i="7"/>
  <c r="U680" i="7"/>
  <c r="U679" i="7"/>
  <c r="U678" i="7"/>
  <c r="U677" i="7"/>
  <c r="U676" i="7"/>
  <c r="U675" i="7"/>
  <c r="U674" i="7"/>
  <c r="U326" i="7"/>
  <c r="U325" i="7"/>
  <c r="U324" i="7"/>
  <c r="U561" i="7"/>
  <c r="U555" i="7"/>
  <c r="U441" i="7"/>
  <c r="U440" i="7"/>
  <c r="U439" i="7"/>
  <c r="U438" i="7"/>
  <c r="U437" i="7"/>
  <c r="U436" i="7"/>
  <c r="U456" i="7"/>
  <c r="U318" i="7"/>
  <c r="U303" i="7"/>
  <c r="U302" i="7"/>
  <c r="U301" i="7"/>
  <c r="U300" i="7"/>
  <c r="U299" i="7"/>
  <c r="U298" i="7"/>
  <c r="U49" i="7"/>
  <c r="T466" i="7"/>
  <c r="T319" i="7"/>
  <c r="T464" i="7"/>
  <c r="T465" i="7"/>
  <c r="T469" i="7"/>
  <c r="T489" i="7"/>
  <c r="T493" i="7"/>
  <c r="T513" i="7"/>
  <c r="T517" i="7"/>
  <c r="T521" i="7"/>
  <c r="T490" i="7"/>
  <c r="T494" i="7"/>
  <c r="T514" i="7"/>
  <c r="T518" i="7"/>
  <c r="T522" i="7"/>
  <c r="T51" i="7"/>
  <c r="T670" i="7"/>
  <c r="T655" i="7" s="1"/>
  <c r="T110" i="7" s="1"/>
  <c r="T702" i="7"/>
  <c r="T687" i="7" s="1"/>
  <c r="T111" i="7" s="1"/>
  <c r="T462" i="7"/>
  <c r="T470" i="7"/>
  <c r="T468" i="7"/>
  <c r="T463" i="7"/>
  <c r="T467" i="7"/>
  <c r="T487" i="7"/>
  <c r="T491" i="7"/>
  <c r="T495" i="7"/>
  <c r="T515" i="7"/>
  <c r="T519" i="7"/>
  <c r="T457" i="7"/>
  <c r="T488" i="7"/>
  <c r="T492" i="7"/>
  <c r="T496" i="7"/>
  <c r="T516" i="7"/>
  <c r="T520" i="7"/>
  <c r="S113" i="7"/>
  <c r="Z608" i="7" l="1"/>
  <c r="Z631" i="7"/>
  <c r="AA610" i="7"/>
  <c r="AA630" i="7"/>
  <c r="AA631" i="7" s="1"/>
  <c r="AA608" i="7"/>
  <c r="AA560" i="7"/>
  <c r="AA554" i="7"/>
  <c r="AA600" i="7"/>
  <c r="AA596" i="7"/>
  <c r="AA592" i="7"/>
  <c r="AA588" i="7"/>
  <c r="AA50" i="7"/>
  <c r="AA54" i="7"/>
  <c r="AA47" i="7"/>
  <c r="AB617" i="7"/>
  <c r="T461" i="7"/>
  <c r="AA72" i="7"/>
  <c r="AA733" i="7"/>
  <c r="AA732" i="7"/>
  <c r="AA731" i="7"/>
  <c r="AA730" i="7"/>
  <c r="AA729" i="7"/>
  <c r="AA728" i="7"/>
  <c r="AA727" i="7"/>
  <c r="AA726" i="7"/>
  <c r="AA725" i="7"/>
  <c r="AA701" i="7"/>
  <c r="AA700" i="7"/>
  <c r="AA698" i="7"/>
  <c r="AA696" i="7"/>
  <c r="AA724" i="7"/>
  <c r="AA699" i="7"/>
  <c r="AA697" i="7"/>
  <c r="AA695" i="7"/>
  <c r="AA693" i="7"/>
  <c r="AA669" i="7"/>
  <c r="AA665" i="7"/>
  <c r="AA663" i="7"/>
  <c r="AA661" i="7"/>
  <c r="AA692" i="7"/>
  <c r="AA668" i="7"/>
  <c r="AA666" i="7"/>
  <c r="AA664" i="7"/>
  <c r="AA662" i="7"/>
  <c r="AA660" i="7"/>
  <c r="AA694" i="7"/>
  <c r="AA667" i="7"/>
  <c r="AA40" i="7"/>
  <c r="AA73" i="7"/>
  <c r="U323" i="7"/>
  <c r="U734" i="7"/>
  <c r="U719" i="7" s="1"/>
  <c r="U112" i="7" s="1"/>
  <c r="V745" i="7"/>
  <c r="V744" i="7"/>
  <c r="V743" i="7"/>
  <c r="V741" i="7"/>
  <c r="V740" i="7"/>
  <c r="V738" i="7"/>
  <c r="V737" i="7"/>
  <c r="V383" i="7"/>
  <c r="V382" i="7"/>
  <c r="V381" i="7"/>
  <c r="V380" i="7"/>
  <c r="V379" i="7"/>
  <c r="V378" i="7"/>
  <c r="V377" i="7"/>
  <c r="V376" i="7"/>
  <c r="V375" i="7"/>
  <c r="V374" i="7"/>
  <c r="V713" i="7"/>
  <c r="V712" i="7"/>
  <c r="V711" i="7"/>
  <c r="V710" i="7"/>
  <c r="V709" i="7"/>
  <c r="V708" i="7"/>
  <c r="V707" i="7"/>
  <c r="V706" i="7"/>
  <c r="V357" i="7"/>
  <c r="V356" i="7"/>
  <c r="V355" i="7"/>
  <c r="V354" i="7"/>
  <c r="V353" i="7"/>
  <c r="V352" i="7"/>
  <c r="V351" i="7"/>
  <c r="V350" i="7"/>
  <c r="V349" i="7"/>
  <c r="V348" i="7"/>
  <c r="V681" i="7"/>
  <c r="V680" i="7"/>
  <c r="V679" i="7"/>
  <c r="V678" i="7"/>
  <c r="V677" i="7"/>
  <c r="V676" i="7"/>
  <c r="V675" i="7"/>
  <c r="V674" i="7"/>
  <c r="V332" i="7"/>
  <c r="V331" i="7"/>
  <c r="V330" i="7"/>
  <c r="V329" i="7"/>
  <c r="V328" i="7"/>
  <c r="V327" i="7"/>
  <c r="V326" i="7"/>
  <c r="V325" i="7"/>
  <c r="V324" i="7"/>
  <c r="V561" i="7"/>
  <c r="V555" i="7"/>
  <c r="V456" i="7"/>
  <c r="V441" i="7"/>
  <c r="V440" i="7"/>
  <c r="V439" i="7"/>
  <c r="V438" i="7"/>
  <c r="V437" i="7"/>
  <c r="V436" i="7"/>
  <c r="V303" i="7"/>
  <c r="V302" i="7"/>
  <c r="V301" i="7"/>
  <c r="V300" i="7"/>
  <c r="V299" i="7"/>
  <c r="V298" i="7"/>
  <c r="V318" i="7"/>
  <c r="V49" i="7"/>
  <c r="U319" i="7"/>
  <c r="U469" i="7"/>
  <c r="U463" i="7"/>
  <c r="U462" i="7"/>
  <c r="U466" i="7"/>
  <c r="U470" i="7"/>
  <c r="U490" i="7"/>
  <c r="U494" i="7"/>
  <c r="U514" i="7"/>
  <c r="U518" i="7"/>
  <c r="U522" i="7"/>
  <c r="U487" i="7"/>
  <c r="U491" i="7"/>
  <c r="U495" i="7"/>
  <c r="U515" i="7"/>
  <c r="U519" i="7"/>
  <c r="U457" i="7"/>
  <c r="T113" i="7"/>
  <c r="U51" i="7"/>
  <c r="U670" i="7"/>
  <c r="U655" i="7" s="1"/>
  <c r="U110" i="7" s="1"/>
  <c r="U702" i="7"/>
  <c r="U687" i="7" s="1"/>
  <c r="U111" i="7" s="1"/>
  <c r="U465" i="7"/>
  <c r="U467" i="7"/>
  <c r="U464" i="7"/>
  <c r="U468" i="7"/>
  <c r="U488" i="7"/>
  <c r="U492" i="7"/>
  <c r="U496" i="7"/>
  <c r="U516" i="7"/>
  <c r="U520" i="7"/>
  <c r="U489" i="7"/>
  <c r="U493" i="7"/>
  <c r="U513" i="7"/>
  <c r="U517" i="7"/>
  <c r="U521" i="7"/>
  <c r="AB649" i="7" l="1"/>
  <c r="AB610" i="7"/>
  <c r="AB630" i="7"/>
  <c r="AB596" i="7"/>
  <c r="AB588" i="7"/>
  <c r="AB560" i="7"/>
  <c r="AB554" i="7"/>
  <c r="AB600" i="7"/>
  <c r="AB592" i="7"/>
  <c r="AB50" i="7"/>
  <c r="AB47" i="7"/>
  <c r="AB54" i="7"/>
  <c r="AC617" i="7"/>
  <c r="U461" i="7"/>
  <c r="AB72" i="7"/>
  <c r="AB733" i="7"/>
  <c r="AB731" i="7"/>
  <c r="AB729" i="7"/>
  <c r="AB727" i="7"/>
  <c r="AB701" i="7"/>
  <c r="AB728" i="7"/>
  <c r="AB725" i="7"/>
  <c r="AB700" i="7"/>
  <c r="AB698" i="7"/>
  <c r="AB730" i="7"/>
  <c r="AB724" i="7"/>
  <c r="AB732" i="7"/>
  <c r="AB726" i="7"/>
  <c r="AB699" i="7"/>
  <c r="AB697" i="7"/>
  <c r="AB695" i="7"/>
  <c r="AB693" i="7"/>
  <c r="AB669" i="7"/>
  <c r="AB667" i="7"/>
  <c r="AB666" i="7"/>
  <c r="AB665" i="7"/>
  <c r="AB664" i="7"/>
  <c r="AB663" i="7"/>
  <c r="AB662" i="7"/>
  <c r="AB661" i="7"/>
  <c r="AB660" i="7"/>
  <c r="AB692" i="7"/>
  <c r="AB668" i="7"/>
  <c r="AB696" i="7"/>
  <c r="AB694" i="7"/>
  <c r="AB40" i="7"/>
  <c r="AB73" i="7"/>
  <c r="V670" i="7"/>
  <c r="V655" i="7" s="1"/>
  <c r="V110" i="7" s="1"/>
  <c r="V734" i="7"/>
  <c r="V719" i="7" s="1"/>
  <c r="V112" i="7" s="1"/>
  <c r="V323" i="7"/>
  <c r="V51" i="7"/>
  <c r="V702" i="7"/>
  <c r="V687" i="7" s="1"/>
  <c r="V111" i="7" s="1"/>
  <c r="W745" i="7"/>
  <c r="W744" i="7"/>
  <c r="W743" i="7"/>
  <c r="W741" i="7"/>
  <c r="W739" i="7"/>
  <c r="W738" i="7"/>
  <c r="W383" i="7"/>
  <c r="W382" i="7"/>
  <c r="W381" i="7"/>
  <c r="W380" i="7"/>
  <c r="W379" i="7"/>
  <c r="W378" i="7"/>
  <c r="W377" i="7"/>
  <c r="W376" i="7"/>
  <c r="W374" i="7"/>
  <c r="W357" i="7"/>
  <c r="W356" i="7"/>
  <c r="W355" i="7"/>
  <c r="W354" i="7"/>
  <c r="W353" i="7"/>
  <c r="W352" i="7"/>
  <c r="W351" i="7"/>
  <c r="W375" i="7"/>
  <c r="W713" i="7"/>
  <c r="W712" i="7"/>
  <c r="W711" i="7"/>
  <c r="W710" i="7"/>
  <c r="W709" i="7"/>
  <c r="W708" i="7"/>
  <c r="W707" i="7"/>
  <c r="W706" i="7"/>
  <c r="W332" i="7"/>
  <c r="W331" i="7"/>
  <c r="W330" i="7"/>
  <c r="W329" i="7"/>
  <c r="W328" i="7"/>
  <c r="W327" i="7"/>
  <c r="W350" i="7"/>
  <c r="W349" i="7"/>
  <c r="W348" i="7"/>
  <c r="W681" i="7"/>
  <c r="W680" i="7"/>
  <c r="W679" i="7"/>
  <c r="W678" i="7"/>
  <c r="W677" i="7"/>
  <c r="W676" i="7"/>
  <c r="W675" i="7"/>
  <c r="W674" i="7"/>
  <c r="W325" i="7"/>
  <c r="W326" i="7"/>
  <c r="W324" i="7"/>
  <c r="W561" i="7"/>
  <c r="W555" i="7"/>
  <c r="W441" i="7"/>
  <c r="W440" i="7"/>
  <c r="W439" i="7"/>
  <c r="W438" i="7"/>
  <c r="W437" i="7"/>
  <c r="W436" i="7"/>
  <c r="W456" i="7"/>
  <c r="W318" i="7"/>
  <c r="W303" i="7"/>
  <c r="W302" i="7"/>
  <c r="W301" i="7"/>
  <c r="W300" i="7"/>
  <c r="W299" i="7"/>
  <c r="W298" i="7"/>
  <c r="W49" i="7"/>
  <c r="V464" i="7"/>
  <c r="V319" i="7"/>
  <c r="V462" i="7"/>
  <c r="V470" i="7"/>
  <c r="V463" i="7"/>
  <c r="V467" i="7"/>
  <c r="V487" i="7"/>
  <c r="V491" i="7"/>
  <c r="V495" i="7"/>
  <c r="V515" i="7"/>
  <c r="V519" i="7"/>
  <c r="V457" i="7"/>
  <c r="V488" i="7"/>
  <c r="V492" i="7"/>
  <c r="V496" i="7"/>
  <c r="V516" i="7"/>
  <c r="V520" i="7"/>
  <c r="V468" i="7"/>
  <c r="V466" i="7"/>
  <c r="V465" i="7"/>
  <c r="V469" i="7"/>
  <c r="V489" i="7"/>
  <c r="V493" i="7"/>
  <c r="V513" i="7"/>
  <c r="V517" i="7"/>
  <c r="V521" i="7"/>
  <c r="V490" i="7"/>
  <c r="V494" i="7"/>
  <c r="V514" i="7"/>
  <c r="V518" i="7"/>
  <c r="V522" i="7"/>
  <c r="U113" i="7"/>
  <c r="AB608" i="7" l="1"/>
  <c r="AB631" i="7"/>
  <c r="AB104" i="7"/>
  <c r="AC649" i="7"/>
  <c r="AC610" i="7"/>
  <c r="AC630" i="7"/>
  <c r="AC560" i="7"/>
  <c r="AC554" i="7"/>
  <c r="AC600" i="7"/>
  <c r="AC596" i="7"/>
  <c r="AC592" i="7"/>
  <c r="AC588" i="7"/>
  <c r="AC50" i="7"/>
  <c r="AC54" i="7"/>
  <c r="AC47" i="7"/>
  <c r="AD617" i="7"/>
  <c r="V461" i="7"/>
  <c r="AC72" i="7"/>
  <c r="AC732" i="7"/>
  <c r="AC730" i="7"/>
  <c r="AC728" i="7"/>
  <c r="AC726" i="7"/>
  <c r="AC724" i="7"/>
  <c r="AC701" i="7"/>
  <c r="AC731" i="7"/>
  <c r="AC727" i="7"/>
  <c r="AC733" i="7"/>
  <c r="AC725" i="7"/>
  <c r="AC692" i="7"/>
  <c r="AC729" i="7"/>
  <c r="AC699" i="7"/>
  <c r="AC697" i="7"/>
  <c r="AC695" i="7"/>
  <c r="AC700" i="7"/>
  <c r="AC698" i="7"/>
  <c r="AC696" i="7"/>
  <c r="AC694" i="7"/>
  <c r="AC693" i="7"/>
  <c r="AC666" i="7"/>
  <c r="AC664" i="7"/>
  <c r="AC662" i="7"/>
  <c r="AC660" i="7"/>
  <c r="AC667" i="7"/>
  <c r="AC669" i="7"/>
  <c r="AC668" i="7"/>
  <c r="AC665" i="7"/>
  <c r="AC663" i="7"/>
  <c r="AC661" i="7"/>
  <c r="AC73" i="7"/>
  <c r="AC40" i="7"/>
  <c r="W102" i="7"/>
  <c r="V113" i="7"/>
  <c r="W323" i="7"/>
  <c r="W51" i="7"/>
  <c r="W702" i="7"/>
  <c r="W687" i="7" s="1"/>
  <c r="W111" i="7" s="1"/>
  <c r="W670" i="7"/>
  <c r="W655" i="7" s="1"/>
  <c r="W110" i="7" s="1"/>
  <c r="W467" i="7"/>
  <c r="W469" i="7"/>
  <c r="W464" i="7"/>
  <c r="W468" i="7"/>
  <c r="W488" i="7"/>
  <c r="W492" i="7"/>
  <c r="W496" i="7"/>
  <c r="W516" i="7"/>
  <c r="W520" i="7"/>
  <c r="W489" i="7"/>
  <c r="W493" i="7"/>
  <c r="W513" i="7"/>
  <c r="W517" i="7"/>
  <c r="W521" i="7"/>
  <c r="X635" i="7"/>
  <c r="W734" i="7"/>
  <c r="W719" i="7" s="1"/>
  <c r="W112" i="7" s="1"/>
  <c r="X745" i="7"/>
  <c r="X744" i="7"/>
  <c r="X742" i="7"/>
  <c r="X741" i="7"/>
  <c r="X739" i="7"/>
  <c r="X738" i="7"/>
  <c r="X383" i="7"/>
  <c r="X382" i="7"/>
  <c r="X381" i="7"/>
  <c r="X380" i="7"/>
  <c r="X379" i="7"/>
  <c r="X377" i="7"/>
  <c r="X376" i="7"/>
  <c r="X375" i="7"/>
  <c r="X374" i="7"/>
  <c r="X713" i="7"/>
  <c r="X712" i="7"/>
  <c r="X711" i="7"/>
  <c r="X710" i="7"/>
  <c r="X709" i="7"/>
  <c r="X708" i="7"/>
  <c r="X707" i="7"/>
  <c r="X706" i="7"/>
  <c r="X357" i="7"/>
  <c r="X356" i="7"/>
  <c r="X355" i="7"/>
  <c r="X354" i="7"/>
  <c r="X353" i="7"/>
  <c r="X352" i="7"/>
  <c r="X351" i="7"/>
  <c r="X350" i="7"/>
  <c r="X349" i="7"/>
  <c r="X348" i="7"/>
  <c r="X681" i="7"/>
  <c r="X680" i="7"/>
  <c r="X679" i="7"/>
  <c r="X678" i="7"/>
  <c r="X677" i="7"/>
  <c r="X676" i="7"/>
  <c r="X675" i="7"/>
  <c r="X674" i="7"/>
  <c r="X332" i="7"/>
  <c r="X331" i="7"/>
  <c r="X330" i="7"/>
  <c r="X329" i="7"/>
  <c r="X328" i="7"/>
  <c r="X327" i="7"/>
  <c r="X326" i="7"/>
  <c r="X325" i="7"/>
  <c r="X324" i="7"/>
  <c r="X561" i="7"/>
  <c r="X555" i="7"/>
  <c r="X456" i="7"/>
  <c r="X441" i="7"/>
  <c r="X440" i="7"/>
  <c r="X439" i="7"/>
  <c r="X438" i="7"/>
  <c r="X437" i="7"/>
  <c r="X436" i="7"/>
  <c r="X378" i="7"/>
  <c r="X303" i="7"/>
  <c r="X302" i="7"/>
  <c r="X301" i="7"/>
  <c r="X300" i="7"/>
  <c r="X299" i="7"/>
  <c r="X298" i="7"/>
  <c r="X318" i="7"/>
  <c r="X49" i="7"/>
  <c r="W319" i="7"/>
  <c r="W463" i="7"/>
  <c r="W465" i="7"/>
  <c r="W462" i="7"/>
  <c r="W466" i="7"/>
  <c r="W470" i="7"/>
  <c r="W490" i="7"/>
  <c r="W494" i="7"/>
  <c r="W514" i="7"/>
  <c r="W518" i="7"/>
  <c r="W522" i="7"/>
  <c r="W487" i="7"/>
  <c r="W491" i="7"/>
  <c r="W495" i="7"/>
  <c r="W515" i="7"/>
  <c r="W519" i="7"/>
  <c r="W457" i="7"/>
  <c r="AC608" i="7" l="1"/>
  <c r="AC631" i="7"/>
  <c r="AC104" i="7"/>
  <c r="AD649" i="7"/>
  <c r="AD610" i="7"/>
  <c r="AD630" i="7"/>
  <c r="AD600" i="7"/>
  <c r="AD596" i="7"/>
  <c r="AD592" i="7"/>
  <c r="AD588" i="7"/>
  <c r="AD560" i="7"/>
  <c r="AD554" i="7"/>
  <c r="AD50" i="7"/>
  <c r="AD54" i="7"/>
  <c r="AD47" i="7"/>
  <c r="AE617" i="7"/>
  <c r="W461" i="7"/>
  <c r="AD72" i="7"/>
  <c r="AD732" i="7"/>
  <c r="AD730" i="7"/>
  <c r="AD728" i="7"/>
  <c r="AD726" i="7"/>
  <c r="AD725" i="7"/>
  <c r="AD700" i="7"/>
  <c r="AD699" i="7"/>
  <c r="AD698" i="7"/>
  <c r="AD697" i="7"/>
  <c r="AD696" i="7"/>
  <c r="AD695" i="7"/>
  <c r="AD694" i="7"/>
  <c r="AD693" i="7"/>
  <c r="AD692" i="7"/>
  <c r="AD669" i="7"/>
  <c r="AD668" i="7"/>
  <c r="AD667" i="7"/>
  <c r="AD729" i="7"/>
  <c r="AD724" i="7"/>
  <c r="AD731" i="7"/>
  <c r="AD733" i="7"/>
  <c r="AD727" i="7"/>
  <c r="AD701" i="7"/>
  <c r="AD666" i="7"/>
  <c r="AD664" i="7"/>
  <c r="AD662" i="7"/>
  <c r="AD660" i="7"/>
  <c r="AD665" i="7"/>
  <c r="AD663" i="7"/>
  <c r="AD661" i="7"/>
  <c r="AD73" i="7"/>
  <c r="AD40" i="7"/>
  <c r="X323" i="7"/>
  <c r="W113" i="7"/>
  <c r="X466" i="7"/>
  <c r="X319" i="7"/>
  <c r="X464" i="7"/>
  <c r="X465" i="7"/>
  <c r="X469" i="7"/>
  <c r="X489" i="7"/>
  <c r="X493" i="7"/>
  <c r="X513" i="7"/>
  <c r="X517" i="7"/>
  <c r="X521" i="7"/>
  <c r="X490" i="7"/>
  <c r="X494" i="7"/>
  <c r="X514" i="7"/>
  <c r="X518" i="7"/>
  <c r="X522" i="7"/>
  <c r="Y635" i="7"/>
  <c r="X51" i="7"/>
  <c r="X102" i="7"/>
  <c r="X670" i="7"/>
  <c r="X655" i="7" s="1"/>
  <c r="X110" i="7" s="1"/>
  <c r="X702" i="7"/>
  <c r="X687" i="7" s="1"/>
  <c r="X111" i="7" s="1"/>
  <c r="X734" i="7"/>
  <c r="X719" i="7" s="1"/>
  <c r="X112" i="7" s="1"/>
  <c r="Y745" i="7"/>
  <c r="Y744" i="7"/>
  <c r="Y742" i="7"/>
  <c r="Y741" i="7"/>
  <c r="Y739" i="7"/>
  <c r="Y738" i="7"/>
  <c r="Y383" i="7"/>
  <c r="Y382" i="7"/>
  <c r="Y381" i="7"/>
  <c r="Y380" i="7"/>
  <c r="Y379" i="7"/>
  <c r="Y378" i="7"/>
  <c r="Y377" i="7"/>
  <c r="Y376" i="7"/>
  <c r="Y375" i="7"/>
  <c r="Y357" i="7"/>
  <c r="Y356" i="7"/>
  <c r="Y355" i="7"/>
  <c r="Y354" i="7"/>
  <c r="Y353" i="7"/>
  <c r="Y352" i="7"/>
  <c r="Y351" i="7"/>
  <c r="Y374" i="7"/>
  <c r="Y713" i="7"/>
  <c r="Y712" i="7"/>
  <c r="Y711" i="7"/>
  <c r="Y710" i="7"/>
  <c r="Y709" i="7"/>
  <c r="Y708" i="7"/>
  <c r="Y707" i="7"/>
  <c r="Y706" i="7"/>
  <c r="Y350" i="7"/>
  <c r="Y332" i="7"/>
  <c r="Y331" i="7"/>
  <c r="Y330" i="7"/>
  <c r="Y329" i="7"/>
  <c r="Y328" i="7"/>
  <c r="Y327" i="7"/>
  <c r="Y349" i="7"/>
  <c r="Y348" i="7"/>
  <c r="Y681" i="7"/>
  <c r="Y680" i="7"/>
  <c r="Y679" i="7"/>
  <c r="Y678" i="7"/>
  <c r="Y677" i="7"/>
  <c r="Y676" i="7"/>
  <c r="Y675" i="7"/>
  <c r="Y674" i="7"/>
  <c r="Y326" i="7"/>
  <c r="Y325" i="7"/>
  <c r="Y324" i="7"/>
  <c r="Y561" i="7"/>
  <c r="Y555" i="7"/>
  <c r="Y441" i="7"/>
  <c r="Y440" i="7"/>
  <c r="Y439" i="7"/>
  <c r="Y438" i="7"/>
  <c r="Y437" i="7"/>
  <c r="Y436" i="7"/>
  <c r="Y456" i="7"/>
  <c r="Y318" i="7"/>
  <c r="Y303" i="7"/>
  <c r="Y302" i="7"/>
  <c r="Y301" i="7"/>
  <c r="Y300" i="7"/>
  <c r="Y299" i="7"/>
  <c r="Y298" i="7"/>
  <c r="Y49" i="7"/>
  <c r="X462" i="7"/>
  <c r="X470" i="7"/>
  <c r="X468" i="7"/>
  <c r="X463" i="7"/>
  <c r="X467" i="7"/>
  <c r="X487" i="7"/>
  <c r="X491" i="7"/>
  <c r="X495" i="7"/>
  <c r="X515" i="7"/>
  <c r="X519" i="7"/>
  <c r="X457" i="7"/>
  <c r="X488" i="7"/>
  <c r="X492" i="7"/>
  <c r="X496" i="7"/>
  <c r="X516" i="7"/>
  <c r="X520" i="7"/>
  <c r="AD608" i="7" l="1"/>
  <c r="AD631" i="7"/>
  <c r="AD104" i="7"/>
  <c r="AE649" i="7"/>
  <c r="AE610" i="7"/>
  <c r="AE630" i="7"/>
  <c r="AE631" i="7" s="1"/>
  <c r="AE608" i="7"/>
  <c r="AE560" i="7"/>
  <c r="AE554" i="7"/>
  <c r="AE600" i="7"/>
  <c r="AE596" i="7"/>
  <c r="AE588" i="7"/>
  <c r="AE592" i="7"/>
  <c r="AE50" i="7"/>
  <c r="AE54" i="7"/>
  <c r="AE47" i="7"/>
  <c r="AF617" i="7"/>
  <c r="W121" i="7"/>
  <c r="W122" i="7" s="1"/>
  <c r="X461" i="7"/>
  <c r="AE72" i="7"/>
  <c r="AE733" i="7"/>
  <c r="AE732" i="7"/>
  <c r="AE731" i="7"/>
  <c r="AE730" i="7"/>
  <c r="AE729" i="7"/>
  <c r="AE728" i="7"/>
  <c r="AE727" i="7"/>
  <c r="AE726" i="7"/>
  <c r="AE725" i="7"/>
  <c r="AE724" i="7"/>
  <c r="AE699" i="7"/>
  <c r="AE697" i="7"/>
  <c r="AE701" i="7"/>
  <c r="AE700" i="7"/>
  <c r="AE698" i="7"/>
  <c r="AE696" i="7"/>
  <c r="AE694" i="7"/>
  <c r="AE692" i="7"/>
  <c r="AE668" i="7"/>
  <c r="AE660" i="7"/>
  <c r="AE695" i="7"/>
  <c r="AE693" i="7"/>
  <c r="AE667" i="7"/>
  <c r="AE665" i="7"/>
  <c r="AE663" i="7"/>
  <c r="AE661" i="7"/>
  <c r="AE669" i="7"/>
  <c r="AE666" i="7"/>
  <c r="AE664" i="7"/>
  <c r="AE662" i="7"/>
  <c r="AE40" i="7"/>
  <c r="AE73" i="7"/>
  <c r="Y323" i="7"/>
  <c r="Y734" i="7"/>
  <c r="Y719" i="7" s="1"/>
  <c r="Y112" i="7" s="1"/>
  <c r="Y51" i="7"/>
  <c r="Z745" i="7"/>
  <c r="Z744" i="7"/>
  <c r="Z742" i="7"/>
  <c r="Z741" i="7"/>
  <c r="Z739" i="7"/>
  <c r="Z738" i="7"/>
  <c r="Z383" i="7"/>
  <c r="Z382" i="7"/>
  <c r="Z381" i="7"/>
  <c r="Z380" i="7"/>
  <c r="Z379" i="7"/>
  <c r="Z378" i="7"/>
  <c r="Z377" i="7"/>
  <c r="Z376" i="7"/>
  <c r="Z375" i="7"/>
  <c r="Z374" i="7"/>
  <c r="Z713" i="7"/>
  <c r="Z712" i="7"/>
  <c r="Z711" i="7"/>
  <c r="Z710" i="7"/>
  <c r="Z709" i="7"/>
  <c r="Z708" i="7"/>
  <c r="Z707" i="7"/>
  <c r="Z706" i="7"/>
  <c r="Z357" i="7"/>
  <c r="Z356" i="7"/>
  <c r="Z355" i="7"/>
  <c r="Z354" i="7"/>
  <c r="Z353" i="7"/>
  <c r="Z352" i="7"/>
  <c r="Z351" i="7"/>
  <c r="Z350" i="7"/>
  <c r="Z349" i="7"/>
  <c r="Z348" i="7"/>
  <c r="Z681" i="7"/>
  <c r="Z680" i="7"/>
  <c r="Z679" i="7"/>
  <c r="Z678" i="7"/>
  <c r="Z677" i="7"/>
  <c r="Z676" i="7"/>
  <c r="Z675" i="7"/>
  <c r="Z674" i="7"/>
  <c r="Z332" i="7"/>
  <c r="Z331" i="7"/>
  <c r="Z330" i="7"/>
  <c r="Z329" i="7"/>
  <c r="Z328" i="7"/>
  <c r="Z327" i="7"/>
  <c r="Z326" i="7"/>
  <c r="Z325" i="7"/>
  <c r="Z324" i="7"/>
  <c r="Z561" i="7"/>
  <c r="Z555" i="7"/>
  <c r="Z456" i="7"/>
  <c r="Z441" i="7"/>
  <c r="Z440" i="7"/>
  <c r="Z439" i="7"/>
  <c r="Z438" i="7"/>
  <c r="Z437" i="7"/>
  <c r="Z436" i="7"/>
  <c r="Z303" i="7"/>
  <c r="Z302" i="7"/>
  <c r="Z301" i="7"/>
  <c r="Z300" i="7"/>
  <c r="Z299" i="7"/>
  <c r="Z298" i="7"/>
  <c r="Z318" i="7"/>
  <c r="Z49" i="7"/>
  <c r="Y319" i="7"/>
  <c r="Y469" i="7"/>
  <c r="Y463" i="7"/>
  <c r="Y462" i="7"/>
  <c r="Y466" i="7"/>
  <c r="Y470" i="7"/>
  <c r="Y490" i="7"/>
  <c r="Y494" i="7"/>
  <c r="Y514" i="7"/>
  <c r="Y518" i="7"/>
  <c r="Y522" i="7"/>
  <c r="Y487" i="7"/>
  <c r="Y491" i="7"/>
  <c r="Y495" i="7"/>
  <c r="Y515" i="7"/>
  <c r="Y519" i="7"/>
  <c r="Y457" i="7"/>
  <c r="Y102" i="7"/>
  <c r="Y670" i="7"/>
  <c r="Y655" i="7" s="1"/>
  <c r="Y110" i="7" s="1"/>
  <c r="Y702" i="7"/>
  <c r="Y687" i="7" s="1"/>
  <c r="Y111" i="7" s="1"/>
  <c r="X113" i="7"/>
  <c r="Y465" i="7"/>
  <c r="Y467" i="7"/>
  <c r="Y464" i="7"/>
  <c r="Y468" i="7"/>
  <c r="Y488" i="7"/>
  <c r="Y492" i="7"/>
  <c r="Y496" i="7"/>
  <c r="Y516" i="7"/>
  <c r="Y520" i="7"/>
  <c r="Y489" i="7"/>
  <c r="Y493" i="7"/>
  <c r="Y513" i="7"/>
  <c r="Y517" i="7"/>
  <c r="Y521" i="7"/>
  <c r="Z635" i="7"/>
  <c r="AE104" i="7" l="1"/>
  <c r="AF649" i="7"/>
  <c r="W635" i="7"/>
  <c r="AF610" i="7"/>
  <c r="AF630" i="7"/>
  <c r="AF592" i="7"/>
  <c r="AF560" i="7"/>
  <c r="AF554" i="7"/>
  <c r="AF600" i="7"/>
  <c r="AF596" i="7"/>
  <c r="AF588" i="7"/>
  <c r="AF50" i="7"/>
  <c r="AF54" i="7"/>
  <c r="AF47" i="7"/>
  <c r="AG617" i="7"/>
  <c r="Y461" i="7"/>
  <c r="AF72" i="7"/>
  <c r="AF733" i="7"/>
  <c r="AF731" i="7"/>
  <c r="AF729" i="7"/>
  <c r="AF727" i="7"/>
  <c r="AF725" i="7"/>
  <c r="AF732" i="7"/>
  <c r="AF728" i="7"/>
  <c r="AF724" i="7"/>
  <c r="AF699" i="7"/>
  <c r="AF697" i="7"/>
  <c r="AF695" i="7"/>
  <c r="AF693" i="7"/>
  <c r="AF669" i="7"/>
  <c r="AF730" i="7"/>
  <c r="AF726" i="7"/>
  <c r="AF701" i="7"/>
  <c r="AF700" i="7"/>
  <c r="AF698" i="7"/>
  <c r="AF696" i="7"/>
  <c r="AF666" i="7"/>
  <c r="AF665" i="7"/>
  <c r="AF664" i="7"/>
  <c r="AF663" i="7"/>
  <c r="AF662" i="7"/>
  <c r="AF661" i="7"/>
  <c r="AF660" i="7"/>
  <c r="AF667" i="7"/>
  <c r="AF694" i="7"/>
  <c r="AF668" i="7"/>
  <c r="AF692" i="7"/>
  <c r="AF40" i="7"/>
  <c r="AF73" i="7"/>
  <c r="X121" i="7"/>
  <c r="X122" i="7" s="1"/>
  <c r="Z323" i="7"/>
  <c r="AA745" i="7"/>
  <c r="AA743" i="7"/>
  <c r="AA742" i="7"/>
  <c r="AA741" i="7"/>
  <c r="AA739" i="7"/>
  <c r="AA738" i="7"/>
  <c r="AA383" i="7"/>
  <c r="AA382" i="7"/>
  <c r="AA381" i="7"/>
  <c r="AA380" i="7"/>
  <c r="AA379" i="7"/>
  <c r="AA378" i="7"/>
  <c r="AA377" i="7"/>
  <c r="AA376" i="7"/>
  <c r="AA374" i="7"/>
  <c r="AA357" i="7"/>
  <c r="AA356" i="7"/>
  <c r="AA355" i="7"/>
  <c r="AA354" i="7"/>
  <c r="AA353" i="7"/>
  <c r="AA352" i="7"/>
  <c r="AA351" i="7"/>
  <c r="AA375" i="7"/>
  <c r="AA713" i="7"/>
  <c r="AA712" i="7"/>
  <c r="AA711" i="7"/>
  <c r="AA710" i="7"/>
  <c r="AA709" i="7"/>
  <c r="AA708" i="7"/>
  <c r="AA707" i="7"/>
  <c r="AA706" i="7"/>
  <c r="AA332" i="7"/>
  <c r="AA331" i="7"/>
  <c r="AA330" i="7"/>
  <c r="AA329" i="7"/>
  <c r="AA328" i="7"/>
  <c r="AA327" i="7"/>
  <c r="AA350" i="7"/>
  <c r="AA349" i="7"/>
  <c r="AA348" i="7"/>
  <c r="AA681" i="7"/>
  <c r="AA680" i="7"/>
  <c r="AA679" i="7"/>
  <c r="AA678" i="7"/>
  <c r="AA677" i="7"/>
  <c r="AA676" i="7"/>
  <c r="AA675" i="7"/>
  <c r="AA673" i="7"/>
  <c r="AA325" i="7"/>
  <c r="AA326" i="7"/>
  <c r="AA324" i="7"/>
  <c r="AA561" i="7"/>
  <c r="AA555" i="7"/>
  <c r="AA441" i="7"/>
  <c r="AA440" i="7"/>
  <c r="AA439" i="7"/>
  <c r="AA438" i="7"/>
  <c r="AA437" i="7"/>
  <c r="AA436" i="7"/>
  <c r="AA456" i="7"/>
  <c r="AA318" i="7"/>
  <c r="AA303" i="7"/>
  <c r="AA302" i="7"/>
  <c r="AA301" i="7"/>
  <c r="AA300" i="7"/>
  <c r="AA299" i="7"/>
  <c r="AA298" i="7"/>
  <c r="AA49" i="7"/>
  <c r="Z468" i="7"/>
  <c r="Z466" i="7"/>
  <c r="Z465" i="7"/>
  <c r="Z469" i="7"/>
  <c r="Z489" i="7"/>
  <c r="Z493" i="7"/>
  <c r="Z513" i="7"/>
  <c r="Z517" i="7"/>
  <c r="Z521" i="7"/>
  <c r="Z490" i="7"/>
  <c r="Z494" i="7"/>
  <c r="Z514" i="7"/>
  <c r="Z518" i="7"/>
  <c r="Z522" i="7"/>
  <c r="AA635" i="7"/>
  <c r="Z51" i="7"/>
  <c r="Z102" i="7"/>
  <c r="Z670" i="7"/>
  <c r="Z655" i="7" s="1"/>
  <c r="Z110" i="7" s="1"/>
  <c r="Z702" i="7"/>
  <c r="Z687" i="7" s="1"/>
  <c r="Z111" i="7" s="1"/>
  <c r="Z734" i="7"/>
  <c r="Z719" i="7" s="1"/>
  <c r="Z112" i="7" s="1"/>
  <c r="Z464" i="7"/>
  <c r="Z319" i="7"/>
  <c r="Z462" i="7"/>
  <c r="Z470" i="7"/>
  <c r="Z463" i="7"/>
  <c r="Z467" i="7"/>
  <c r="Z487" i="7"/>
  <c r="Z491" i="7"/>
  <c r="Z495" i="7"/>
  <c r="Z515" i="7"/>
  <c r="Z519" i="7"/>
  <c r="Z457" i="7"/>
  <c r="Z488" i="7"/>
  <c r="Z492" i="7"/>
  <c r="Z496" i="7"/>
  <c r="Z516" i="7"/>
  <c r="Z520" i="7"/>
  <c r="Y113" i="7"/>
  <c r="AF608" i="7" l="1"/>
  <c r="AF631" i="7"/>
  <c r="AF104" i="7"/>
  <c r="AG649" i="7"/>
  <c r="AG610" i="7"/>
  <c r="AG630" i="7"/>
  <c r="AG560" i="7"/>
  <c r="AG554" i="7"/>
  <c r="AG600" i="7"/>
  <c r="AG596" i="7"/>
  <c r="AG592" i="7"/>
  <c r="AG588" i="7"/>
  <c r="AG50" i="7"/>
  <c r="AG54" i="7"/>
  <c r="AG47" i="7"/>
  <c r="AH617" i="7"/>
  <c r="Z121" i="7"/>
  <c r="Z122" i="7" s="1"/>
  <c r="Z461" i="7"/>
  <c r="AG72" i="7"/>
  <c r="Y121" i="7"/>
  <c r="Y122" i="7" s="1"/>
  <c r="AG724" i="7"/>
  <c r="AG701" i="7"/>
  <c r="AG733" i="7"/>
  <c r="AG731" i="7"/>
  <c r="AG729" i="7"/>
  <c r="AG727" i="7"/>
  <c r="AG730" i="7"/>
  <c r="AG726" i="7"/>
  <c r="AG700" i="7"/>
  <c r="AG698" i="7"/>
  <c r="AG696" i="7"/>
  <c r="AG732" i="7"/>
  <c r="AG728" i="7"/>
  <c r="AG725" i="7"/>
  <c r="AG699" i="7"/>
  <c r="AG697" i="7"/>
  <c r="AG695" i="7"/>
  <c r="AG693" i="7"/>
  <c r="AG669" i="7"/>
  <c r="AG667" i="7"/>
  <c r="AG694" i="7"/>
  <c r="AG665" i="7"/>
  <c r="AG663" i="7"/>
  <c r="AG661" i="7"/>
  <c r="AG668" i="7"/>
  <c r="AG692" i="7"/>
  <c r="AG666" i="7"/>
  <c r="AG664" i="7"/>
  <c r="AG662" i="7"/>
  <c r="AG660" i="7"/>
  <c r="AG73" i="7"/>
  <c r="AG40" i="7"/>
  <c r="AA323" i="7"/>
  <c r="AA702" i="7"/>
  <c r="AA687" i="7" s="1"/>
  <c r="AA111" i="7" s="1"/>
  <c r="AA670" i="7"/>
  <c r="AA655" i="7" s="1"/>
  <c r="AA110" i="7" s="1"/>
  <c r="AA102" i="7"/>
  <c r="AB745" i="7"/>
  <c r="AB743" i="7"/>
  <c r="AB742" i="7"/>
  <c r="AB740" i="7"/>
  <c r="AB739" i="7"/>
  <c r="AB738" i="7"/>
  <c r="AB383" i="7"/>
  <c r="AB382" i="7"/>
  <c r="AB381" i="7"/>
  <c r="AB380" i="7"/>
  <c r="AB379" i="7"/>
  <c r="AB378" i="7"/>
  <c r="AB377" i="7"/>
  <c r="AB376" i="7"/>
  <c r="AB375" i="7"/>
  <c r="AB374" i="7"/>
  <c r="AB713" i="7"/>
  <c r="AB712" i="7"/>
  <c r="AB711" i="7"/>
  <c r="AB710" i="7"/>
  <c r="AB709" i="7"/>
  <c r="AB708" i="7"/>
  <c r="AB707" i="7"/>
  <c r="AB706" i="7"/>
  <c r="AB357" i="7"/>
  <c r="AB356" i="7"/>
  <c r="AB355" i="7"/>
  <c r="AB354" i="7"/>
  <c r="AB353" i="7"/>
  <c r="AB352" i="7"/>
  <c r="AB351" i="7"/>
  <c r="AB350" i="7"/>
  <c r="AB349" i="7"/>
  <c r="AB348" i="7"/>
  <c r="AB681" i="7"/>
  <c r="AB680" i="7"/>
  <c r="AB679" i="7"/>
  <c r="AB678" i="7"/>
  <c r="AB677" i="7"/>
  <c r="AB676" i="7"/>
  <c r="AB675" i="7"/>
  <c r="AB673" i="7"/>
  <c r="AB332" i="7"/>
  <c r="AB331" i="7"/>
  <c r="AB330" i="7"/>
  <c r="AB329" i="7"/>
  <c r="AB328" i="7"/>
  <c r="AB327" i="7"/>
  <c r="AB326" i="7"/>
  <c r="AB325" i="7"/>
  <c r="AB324" i="7"/>
  <c r="AB323" i="7"/>
  <c r="AB561" i="7"/>
  <c r="AB555" i="7"/>
  <c r="AB456" i="7"/>
  <c r="AB441" i="7"/>
  <c r="AB440" i="7"/>
  <c r="AB439" i="7"/>
  <c r="AB438" i="7"/>
  <c r="AB437" i="7"/>
  <c r="AB436" i="7"/>
  <c r="AB318" i="7"/>
  <c r="AB303" i="7"/>
  <c r="AB302" i="7"/>
  <c r="AB301" i="7"/>
  <c r="AB300" i="7"/>
  <c r="AB299" i="7"/>
  <c r="AB298" i="7"/>
  <c r="AB49" i="7"/>
  <c r="AA467" i="7"/>
  <c r="AA469" i="7"/>
  <c r="AA464" i="7"/>
  <c r="AA468" i="7"/>
  <c r="AA488" i="7"/>
  <c r="AA492" i="7"/>
  <c r="AA496" i="7"/>
  <c r="AA516" i="7"/>
  <c r="AA520" i="7"/>
  <c r="AA489" i="7"/>
  <c r="AA493" i="7"/>
  <c r="AA513" i="7"/>
  <c r="AA517" i="7"/>
  <c r="AA521" i="7"/>
  <c r="AB635" i="7"/>
  <c r="Z113" i="7"/>
  <c r="AA51" i="7"/>
  <c r="AA734" i="7"/>
  <c r="AA719" i="7" s="1"/>
  <c r="AA112" i="7" s="1"/>
  <c r="AA319" i="7"/>
  <c r="AA463" i="7"/>
  <c r="AA465" i="7"/>
  <c r="AA462" i="7"/>
  <c r="AA466" i="7"/>
  <c r="AA470" i="7"/>
  <c r="AA490" i="7"/>
  <c r="AA494" i="7"/>
  <c r="AA514" i="7"/>
  <c r="AA518" i="7"/>
  <c r="AA522" i="7"/>
  <c r="AA487" i="7"/>
  <c r="AA491" i="7"/>
  <c r="AA495" i="7"/>
  <c r="AA515" i="7"/>
  <c r="AA519" i="7"/>
  <c r="AA457" i="7"/>
  <c r="AG608" i="7" l="1"/>
  <c r="AG631" i="7"/>
  <c r="AG104" i="7"/>
  <c r="AH649" i="7"/>
  <c r="AH610" i="7"/>
  <c r="AH630" i="7"/>
  <c r="AH554" i="7"/>
  <c r="AH592" i="7"/>
  <c r="AH560" i="7"/>
  <c r="AH600" i="7"/>
  <c r="AH596" i="7"/>
  <c r="AH588" i="7"/>
  <c r="AH50" i="7"/>
  <c r="AH54" i="7"/>
  <c r="AH47" i="7"/>
  <c r="AI617" i="7"/>
  <c r="AA461" i="7"/>
  <c r="AH72" i="7"/>
  <c r="AH732" i="7"/>
  <c r="AH730" i="7"/>
  <c r="AH728" i="7"/>
  <c r="AH726" i="7"/>
  <c r="AH733" i="7"/>
  <c r="AH729" i="7"/>
  <c r="AH701" i="7"/>
  <c r="AH700" i="7"/>
  <c r="AH699" i="7"/>
  <c r="AH698" i="7"/>
  <c r="AH697" i="7"/>
  <c r="AH696" i="7"/>
  <c r="AH695" i="7"/>
  <c r="AH694" i="7"/>
  <c r="AH693" i="7"/>
  <c r="AH692" i="7"/>
  <c r="AH669" i="7"/>
  <c r="AH668" i="7"/>
  <c r="AH667" i="7"/>
  <c r="AH731" i="7"/>
  <c r="AH727" i="7"/>
  <c r="AH725" i="7"/>
  <c r="AH724" i="7"/>
  <c r="AH666" i="7"/>
  <c r="AH664" i="7"/>
  <c r="AH662" i="7"/>
  <c r="AH660" i="7"/>
  <c r="AH665" i="7"/>
  <c r="AH663" i="7"/>
  <c r="AH661" i="7"/>
  <c r="AH73" i="7"/>
  <c r="AH40" i="7"/>
  <c r="AA113" i="7"/>
  <c r="AB670" i="7"/>
  <c r="AB655" i="7" s="1"/>
  <c r="AB110" i="7" s="1"/>
  <c r="AB734" i="7"/>
  <c r="AB719" i="7" s="1"/>
  <c r="AB112" i="7" s="1"/>
  <c r="AB51" i="7"/>
  <c r="AB702" i="7"/>
  <c r="AB687" i="7" s="1"/>
  <c r="AB111" i="7" s="1"/>
  <c r="AB102" i="7"/>
  <c r="AC745" i="7"/>
  <c r="AC743" i="7"/>
  <c r="AC742" i="7"/>
  <c r="AC740" i="7"/>
  <c r="AC739" i="7"/>
  <c r="AC738" i="7"/>
  <c r="AC383" i="7"/>
  <c r="AC382" i="7"/>
  <c r="AC381" i="7"/>
  <c r="AC380" i="7"/>
  <c r="AC379" i="7"/>
  <c r="AC378" i="7"/>
  <c r="AC377" i="7"/>
  <c r="AC376" i="7"/>
  <c r="AC375" i="7"/>
  <c r="AC357" i="7"/>
  <c r="AC356" i="7"/>
  <c r="AC355" i="7"/>
  <c r="AC354" i="7"/>
  <c r="AC353" i="7"/>
  <c r="AC352" i="7"/>
  <c r="AC351" i="7"/>
  <c r="AC374" i="7"/>
  <c r="AC713" i="7"/>
  <c r="AC712" i="7"/>
  <c r="AC711" i="7"/>
  <c r="AC710" i="7"/>
  <c r="AC709" i="7"/>
  <c r="AC708" i="7"/>
  <c r="AC707" i="7"/>
  <c r="AC706" i="7"/>
  <c r="AC350" i="7"/>
  <c r="AC332" i="7"/>
  <c r="AC331" i="7"/>
  <c r="AC330" i="7"/>
  <c r="AC329" i="7"/>
  <c r="AC328" i="7"/>
  <c r="AC327" i="7"/>
  <c r="AC349" i="7"/>
  <c r="AC348" i="7"/>
  <c r="AC681" i="7"/>
  <c r="AC680" i="7"/>
  <c r="AC679" i="7"/>
  <c r="AC678" i="7"/>
  <c r="AC677" i="7"/>
  <c r="AC676" i="7"/>
  <c r="AC675" i="7"/>
  <c r="AC673" i="7"/>
  <c r="AC326" i="7"/>
  <c r="AC325" i="7"/>
  <c r="AC324" i="7"/>
  <c r="AC323" i="7"/>
  <c r="AC561" i="7"/>
  <c r="AC555" i="7"/>
  <c r="AC441" i="7"/>
  <c r="AC440" i="7"/>
  <c r="AC439" i="7"/>
  <c r="AC438" i="7"/>
  <c r="AC437" i="7"/>
  <c r="AC436" i="7"/>
  <c r="AC456" i="7"/>
  <c r="AC318" i="7"/>
  <c r="AC303" i="7"/>
  <c r="AC302" i="7"/>
  <c r="AC301" i="7"/>
  <c r="AC300" i="7"/>
  <c r="AC299" i="7"/>
  <c r="AC298" i="7"/>
  <c r="AC49" i="7"/>
  <c r="AB466" i="7"/>
  <c r="AB319" i="7"/>
  <c r="AB464" i="7"/>
  <c r="AB463" i="7"/>
  <c r="AB467" i="7"/>
  <c r="AB487" i="7"/>
  <c r="AB491" i="7"/>
  <c r="AB495" i="7"/>
  <c r="AB515" i="7"/>
  <c r="AB519" i="7"/>
  <c r="AB457" i="7"/>
  <c r="AB488" i="7"/>
  <c r="AB492" i="7"/>
  <c r="AB496" i="7"/>
  <c r="AB516" i="7"/>
  <c r="AB520" i="7"/>
  <c r="AB462" i="7"/>
  <c r="AB470" i="7"/>
  <c r="AB468" i="7"/>
  <c r="AB461" i="7"/>
  <c r="AB465" i="7"/>
  <c r="AB469" i="7"/>
  <c r="AB489" i="7"/>
  <c r="AB493" i="7"/>
  <c r="AB513" i="7"/>
  <c r="AB517" i="7"/>
  <c r="AB521" i="7"/>
  <c r="AB490" i="7"/>
  <c r="AB494" i="7"/>
  <c r="AB514" i="7"/>
  <c r="AB518" i="7"/>
  <c r="AB522" i="7"/>
  <c r="AC635" i="7"/>
  <c r="AH608" i="7" l="1"/>
  <c r="AH631" i="7"/>
  <c r="AH104" i="7"/>
  <c r="AI649" i="7"/>
  <c r="AI610" i="7"/>
  <c r="AI630" i="7"/>
  <c r="AI560" i="7"/>
  <c r="AI554" i="7"/>
  <c r="AI600" i="7"/>
  <c r="AI596" i="7"/>
  <c r="AI592" i="7"/>
  <c r="AI588" i="7"/>
  <c r="AI50" i="7"/>
  <c r="AI54" i="7"/>
  <c r="AI47" i="7"/>
  <c r="AJ617" i="7"/>
  <c r="AB121" i="7"/>
  <c r="AB122" i="7" s="1"/>
  <c r="AI72" i="7"/>
  <c r="AA121" i="7"/>
  <c r="AA122" i="7" s="1"/>
  <c r="AI733" i="7"/>
  <c r="AI732" i="7"/>
  <c r="AI731" i="7"/>
  <c r="AI730" i="7"/>
  <c r="AI729" i="7"/>
  <c r="AI728" i="7"/>
  <c r="AI727" i="7"/>
  <c r="AI726" i="7"/>
  <c r="AI725" i="7"/>
  <c r="AI700" i="7"/>
  <c r="AI696" i="7"/>
  <c r="AI701" i="7"/>
  <c r="AI724" i="7"/>
  <c r="AI699" i="7"/>
  <c r="AI697" i="7"/>
  <c r="AI695" i="7"/>
  <c r="AI698" i="7"/>
  <c r="AI694" i="7"/>
  <c r="AI692" i="7"/>
  <c r="AI668" i="7"/>
  <c r="AI666" i="7"/>
  <c r="AI664" i="7"/>
  <c r="AI662" i="7"/>
  <c r="AI660" i="7"/>
  <c r="AI669" i="7"/>
  <c r="AI665" i="7"/>
  <c r="AI663" i="7"/>
  <c r="AI661" i="7"/>
  <c r="AI693" i="7"/>
  <c r="AI667" i="7"/>
  <c r="AI40" i="7"/>
  <c r="AI73" i="7"/>
  <c r="AB113" i="7"/>
  <c r="AC734" i="7"/>
  <c r="AC719" i="7" s="1"/>
  <c r="AC112" i="7" s="1"/>
  <c r="AC51" i="7"/>
  <c r="AD744" i="7"/>
  <c r="AD743" i="7"/>
  <c r="AD742" i="7"/>
  <c r="AD740" i="7"/>
  <c r="AD739" i="7"/>
  <c r="AD738" i="7"/>
  <c r="AD383" i="7"/>
  <c r="AD382" i="7"/>
  <c r="AD381" i="7"/>
  <c r="AD380" i="7"/>
  <c r="AD379" i="7"/>
  <c r="AD378" i="7"/>
  <c r="AD377" i="7"/>
  <c r="AD376" i="7"/>
  <c r="AD375" i="7"/>
  <c r="AD374" i="7"/>
  <c r="AD713" i="7"/>
  <c r="AD712" i="7"/>
  <c r="AD711" i="7"/>
  <c r="AD710" i="7"/>
  <c r="AD709" i="7"/>
  <c r="AD708" i="7"/>
  <c r="AD707" i="7"/>
  <c r="AD706" i="7"/>
  <c r="AD357" i="7"/>
  <c r="AD356" i="7"/>
  <c r="AD355" i="7"/>
  <c r="AD354" i="7"/>
  <c r="AD353" i="7"/>
  <c r="AD352" i="7"/>
  <c r="AD351" i="7"/>
  <c r="AD350" i="7"/>
  <c r="AD349" i="7"/>
  <c r="AD348" i="7"/>
  <c r="AD681" i="7"/>
  <c r="AD680" i="7"/>
  <c r="AD679" i="7"/>
  <c r="AD678" i="7"/>
  <c r="AD677" i="7"/>
  <c r="AD676" i="7"/>
  <c r="AD675" i="7"/>
  <c r="AD673" i="7"/>
  <c r="AD332" i="7"/>
  <c r="AD331" i="7"/>
  <c r="AD330" i="7"/>
  <c r="AD329" i="7"/>
  <c r="AD328" i="7"/>
  <c r="AD327" i="7"/>
  <c r="AD326" i="7"/>
  <c r="AD325" i="7"/>
  <c r="AD324" i="7"/>
  <c r="AD323" i="7"/>
  <c r="AD561" i="7"/>
  <c r="AD555" i="7"/>
  <c r="AD456" i="7"/>
  <c r="AD441" i="7"/>
  <c r="AD440" i="7"/>
  <c r="AD439" i="7"/>
  <c r="AD438" i="7"/>
  <c r="AD437" i="7"/>
  <c r="AD436" i="7"/>
  <c r="AD318" i="7"/>
  <c r="AD303" i="7"/>
  <c r="AD302" i="7"/>
  <c r="AD301" i="7"/>
  <c r="AD300" i="7"/>
  <c r="AD299" i="7"/>
  <c r="AD298" i="7"/>
  <c r="AD49" i="7"/>
  <c r="AC319" i="7"/>
  <c r="AC465" i="7"/>
  <c r="AC463" i="7"/>
  <c r="AC462" i="7"/>
  <c r="AC466" i="7"/>
  <c r="AC470" i="7"/>
  <c r="AC490" i="7"/>
  <c r="AC494" i="7"/>
  <c r="AC514" i="7"/>
  <c r="AC518" i="7"/>
  <c r="AC522" i="7"/>
  <c r="AC487" i="7"/>
  <c r="AC491" i="7"/>
  <c r="AC495" i="7"/>
  <c r="AC515" i="7"/>
  <c r="AC519" i="7"/>
  <c r="AC457" i="7"/>
  <c r="AC102" i="7"/>
  <c r="AC670" i="7"/>
  <c r="AC655" i="7" s="1"/>
  <c r="AC110" i="7" s="1"/>
  <c r="AC702" i="7"/>
  <c r="AC687" i="7" s="1"/>
  <c r="AC111" i="7" s="1"/>
  <c r="AC461" i="7"/>
  <c r="AC469" i="7"/>
  <c r="AC467" i="7"/>
  <c r="AC464" i="7"/>
  <c r="AC468" i="7"/>
  <c r="AC488" i="7"/>
  <c r="AC492" i="7"/>
  <c r="AC496" i="7"/>
  <c r="AC516" i="7"/>
  <c r="AC520" i="7"/>
  <c r="AC489" i="7"/>
  <c r="AC493" i="7"/>
  <c r="AC513" i="7"/>
  <c r="AC517" i="7"/>
  <c r="AC521" i="7"/>
  <c r="AD635" i="7"/>
  <c r="AI608" i="7" l="1"/>
  <c r="AI631" i="7"/>
  <c r="AI104" i="7"/>
  <c r="AJ649" i="7"/>
  <c r="AJ610" i="7"/>
  <c r="AJ630" i="7"/>
  <c r="AJ596" i="7"/>
  <c r="AJ592" i="7"/>
  <c r="AJ588" i="7"/>
  <c r="AJ560" i="7"/>
  <c r="AJ554" i="7"/>
  <c r="AJ600" i="7"/>
  <c r="AJ50" i="7"/>
  <c r="AJ54" i="7"/>
  <c r="AJ47" i="7"/>
  <c r="AK617" i="7"/>
  <c r="AJ72" i="7"/>
  <c r="AJ732" i="7"/>
  <c r="AJ730" i="7"/>
  <c r="AJ728" i="7"/>
  <c r="AJ726" i="7"/>
  <c r="AJ724" i="7"/>
  <c r="AJ731" i="7"/>
  <c r="AJ701" i="7"/>
  <c r="AJ727" i="7"/>
  <c r="AJ725" i="7"/>
  <c r="AJ699" i="7"/>
  <c r="AJ697" i="7"/>
  <c r="AJ733" i="7"/>
  <c r="AJ729" i="7"/>
  <c r="AJ700" i="7"/>
  <c r="AJ698" i="7"/>
  <c r="AJ696" i="7"/>
  <c r="AJ694" i="7"/>
  <c r="AJ692" i="7"/>
  <c r="AJ668" i="7"/>
  <c r="AJ666" i="7"/>
  <c r="AJ665" i="7"/>
  <c r="AJ664" i="7"/>
  <c r="AJ663" i="7"/>
  <c r="AJ662" i="7"/>
  <c r="AJ661" i="7"/>
  <c r="AJ660" i="7"/>
  <c r="AJ669" i="7"/>
  <c r="AJ693" i="7"/>
  <c r="AJ667" i="7"/>
  <c r="AJ695" i="7"/>
  <c r="AJ40" i="7"/>
  <c r="AJ73" i="7"/>
  <c r="AE744" i="7"/>
  <c r="AE743" i="7"/>
  <c r="AE742" i="7"/>
  <c r="AE740" i="7"/>
  <c r="AE739" i="7"/>
  <c r="AE738" i="7"/>
  <c r="AE383" i="7"/>
  <c r="AE382" i="7"/>
  <c r="AE381" i="7"/>
  <c r="AE380" i="7"/>
  <c r="AE379" i="7"/>
  <c r="AE378" i="7"/>
  <c r="AE377" i="7"/>
  <c r="AE376" i="7"/>
  <c r="AE374" i="7"/>
  <c r="AE357" i="7"/>
  <c r="AE356" i="7"/>
  <c r="AE355" i="7"/>
  <c r="AE354" i="7"/>
  <c r="AE353" i="7"/>
  <c r="AE352" i="7"/>
  <c r="AE351" i="7"/>
  <c r="AE375" i="7"/>
  <c r="AE713" i="7"/>
  <c r="AE712" i="7"/>
  <c r="AE711" i="7"/>
  <c r="AE710" i="7"/>
  <c r="AE709" i="7"/>
  <c r="AE708" i="7"/>
  <c r="AE707" i="7"/>
  <c r="AE706" i="7"/>
  <c r="AE332" i="7"/>
  <c r="AE331" i="7"/>
  <c r="AE330" i="7"/>
  <c r="AE329" i="7"/>
  <c r="AE328" i="7"/>
  <c r="AE327" i="7"/>
  <c r="AE350" i="7"/>
  <c r="AE349" i="7"/>
  <c r="AE348" i="7"/>
  <c r="AE681" i="7"/>
  <c r="AE680" i="7"/>
  <c r="AE679" i="7"/>
  <c r="AE678" i="7"/>
  <c r="AE677" i="7"/>
  <c r="AE676" i="7"/>
  <c r="AE675" i="7"/>
  <c r="AE673" i="7"/>
  <c r="AE325" i="7"/>
  <c r="AE326" i="7"/>
  <c r="AE324" i="7"/>
  <c r="AE323" i="7"/>
  <c r="AE561" i="7"/>
  <c r="AE555" i="7"/>
  <c r="AE441" i="7"/>
  <c r="AE440" i="7"/>
  <c r="AE439" i="7"/>
  <c r="AE438" i="7"/>
  <c r="AE437" i="7"/>
  <c r="AE436" i="7"/>
  <c r="AE456" i="7"/>
  <c r="AE318" i="7"/>
  <c r="AE303" i="7"/>
  <c r="AE302" i="7"/>
  <c r="AE301" i="7"/>
  <c r="AE300" i="7"/>
  <c r="AE299" i="7"/>
  <c r="AE298" i="7"/>
  <c r="AE49" i="7"/>
  <c r="AD464" i="7"/>
  <c r="AD319" i="7"/>
  <c r="AD462" i="7"/>
  <c r="AD470" i="7"/>
  <c r="AD461" i="7"/>
  <c r="AD465" i="7"/>
  <c r="AD469" i="7"/>
  <c r="AD489" i="7"/>
  <c r="AD493" i="7"/>
  <c r="AD513" i="7"/>
  <c r="AD517" i="7"/>
  <c r="AD521" i="7"/>
  <c r="AD490" i="7"/>
  <c r="AD494" i="7"/>
  <c r="AD514" i="7"/>
  <c r="AD518" i="7"/>
  <c r="AD522" i="7"/>
  <c r="AE635" i="7"/>
  <c r="AD51" i="7"/>
  <c r="AD102" i="7"/>
  <c r="AD670" i="7"/>
  <c r="AD655" i="7" s="1"/>
  <c r="AD110" i="7" s="1"/>
  <c r="AD702" i="7"/>
  <c r="AD687" i="7" s="1"/>
  <c r="AD111" i="7" s="1"/>
  <c r="AD734" i="7"/>
  <c r="AD719" i="7" s="1"/>
  <c r="AD112" i="7" s="1"/>
  <c r="AD468" i="7"/>
  <c r="AD466" i="7"/>
  <c r="AD463" i="7"/>
  <c r="AD467" i="7"/>
  <c r="AD487" i="7"/>
  <c r="AD491" i="7"/>
  <c r="AD495" i="7"/>
  <c r="AD515" i="7"/>
  <c r="AD519" i="7"/>
  <c r="AD457" i="7"/>
  <c r="AD488" i="7"/>
  <c r="AD492" i="7"/>
  <c r="AD496" i="7"/>
  <c r="AD516" i="7"/>
  <c r="AD520" i="7"/>
  <c r="AC113" i="7"/>
  <c r="AJ608" i="7" l="1"/>
  <c r="AJ631" i="7"/>
  <c r="AJ104" i="7"/>
  <c r="AK649" i="7"/>
  <c r="AK610" i="7"/>
  <c r="AK630" i="7"/>
  <c r="AK560" i="7"/>
  <c r="AK554" i="7"/>
  <c r="AK600" i="7"/>
  <c r="AK596" i="7"/>
  <c r="AK592" i="7"/>
  <c r="AK588" i="7"/>
  <c r="AK50" i="7"/>
  <c r="AK54" i="7"/>
  <c r="AK47" i="7"/>
  <c r="AL617" i="7"/>
  <c r="AK72" i="7"/>
  <c r="AC121" i="7"/>
  <c r="AC122" i="7" s="1"/>
  <c r="AK733" i="7"/>
  <c r="AK731" i="7"/>
  <c r="AK729" i="7"/>
  <c r="AK727" i="7"/>
  <c r="AK725" i="7"/>
  <c r="AK724" i="7"/>
  <c r="AK701" i="7"/>
  <c r="AK730" i="7"/>
  <c r="AK726" i="7"/>
  <c r="AK732" i="7"/>
  <c r="AK728" i="7"/>
  <c r="AK700" i="7"/>
  <c r="AK698" i="7"/>
  <c r="AK696" i="7"/>
  <c r="AK699" i="7"/>
  <c r="AK697" i="7"/>
  <c r="AK695" i="7"/>
  <c r="AK693" i="7"/>
  <c r="AK669" i="7"/>
  <c r="AK692" i="7"/>
  <c r="AK667" i="7"/>
  <c r="AK665" i="7"/>
  <c r="AK663" i="7"/>
  <c r="AK661" i="7"/>
  <c r="AK694" i="7"/>
  <c r="AK668" i="7"/>
  <c r="AK666" i="7"/>
  <c r="AK664" i="7"/>
  <c r="AK662" i="7"/>
  <c r="AK660" i="7"/>
  <c r="AK73" i="7"/>
  <c r="AK40" i="7"/>
  <c r="AE670" i="7"/>
  <c r="AE655" i="7" s="1"/>
  <c r="AE110" i="7" s="1"/>
  <c r="AE702" i="7"/>
  <c r="AE687" i="7" s="1"/>
  <c r="AE111" i="7" s="1"/>
  <c r="AE102" i="7"/>
  <c r="AE467" i="7"/>
  <c r="AE461" i="7"/>
  <c r="AE469" i="7"/>
  <c r="AE464" i="7"/>
  <c r="AE468" i="7"/>
  <c r="AE488" i="7"/>
  <c r="AE492" i="7"/>
  <c r="AE496" i="7"/>
  <c r="AE516" i="7"/>
  <c r="AE520" i="7"/>
  <c r="AE489" i="7"/>
  <c r="AE493" i="7"/>
  <c r="AE513" i="7"/>
  <c r="AE517" i="7"/>
  <c r="AE521" i="7"/>
  <c r="AF635" i="7"/>
  <c r="AE51" i="7"/>
  <c r="AE734" i="7"/>
  <c r="AE719" i="7" s="1"/>
  <c r="AE112" i="7" s="1"/>
  <c r="AF744" i="7"/>
  <c r="AF743" i="7"/>
  <c r="AF742" i="7"/>
  <c r="AF740" i="7"/>
  <c r="AF739" i="7"/>
  <c r="AF738" i="7"/>
  <c r="AF383" i="7"/>
  <c r="AF382" i="7"/>
  <c r="AF381" i="7"/>
  <c r="AF380" i="7"/>
  <c r="AF379" i="7"/>
  <c r="AF378" i="7"/>
  <c r="AF377" i="7"/>
  <c r="AF376" i="7"/>
  <c r="AF375" i="7"/>
  <c r="AF374" i="7"/>
  <c r="AF713" i="7"/>
  <c r="AF712" i="7"/>
  <c r="AF711" i="7"/>
  <c r="AF710" i="7"/>
  <c r="AF709" i="7"/>
  <c r="AF708" i="7"/>
  <c r="AF707" i="7"/>
  <c r="AF706" i="7"/>
  <c r="AF357" i="7"/>
  <c r="AF356" i="7"/>
  <c r="AF355" i="7"/>
  <c r="AF354" i="7"/>
  <c r="AF353" i="7"/>
  <c r="AF352" i="7"/>
  <c r="AF351" i="7"/>
  <c r="AF350" i="7"/>
  <c r="AF349" i="7"/>
  <c r="AF348" i="7"/>
  <c r="AF681" i="7"/>
  <c r="AF680" i="7"/>
  <c r="AF679" i="7"/>
  <c r="AF678" i="7"/>
  <c r="AF677" i="7"/>
  <c r="AF676" i="7"/>
  <c r="AF675" i="7"/>
  <c r="AF673" i="7"/>
  <c r="AF332" i="7"/>
  <c r="AF331" i="7"/>
  <c r="AF330" i="7"/>
  <c r="AF329" i="7"/>
  <c r="AF328" i="7"/>
  <c r="AF327" i="7"/>
  <c r="AF326" i="7"/>
  <c r="AF325" i="7"/>
  <c r="AF324" i="7"/>
  <c r="AF323" i="7"/>
  <c r="AF561" i="7"/>
  <c r="AF555" i="7"/>
  <c r="AF456" i="7"/>
  <c r="AF441" i="7"/>
  <c r="AF440" i="7"/>
  <c r="AF439" i="7"/>
  <c r="AF438" i="7"/>
  <c r="AF437" i="7"/>
  <c r="AF436" i="7"/>
  <c r="AF318" i="7"/>
  <c r="AF303" i="7"/>
  <c r="AF302" i="7"/>
  <c r="AF301" i="7"/>
  <c r="AF300" i="7"/>
  <c r="AF299" i="7"/>
  <c r="AF298" i="7"/>
  <c r="AF49" i="7"/>
  <c r="AE319" i="7"/>
  <c r="AE463" i="7"/>
  <c r="AE465" i="7"/>
  <c r="AE462" i="7"/>
  <c r="AE466" i="7"/>
  <c r="AE470" i="7"/>
  <c r="AE490" i="7"/>
  <c r="AE494" i="7"/>
  <c r="AE514" i="7"/>
  <c r="AE518" i="7"/>
  <c r="AE522" i="7"/>
  <c r="AE487" i="7"/>
  <c r="AE491" i="7"/>
  <c r="AE495" i="7"/>
  <c r="AE515" i="7"/>
  <c r="AE519" i="7"/>
  <c r="AE457" i="7"/>
  <c r="AD113" i="7"/>
  <c r="AK608" i="7" l="1"/>
  <c r="AK631" i="7"/>
  <c r="AK104" i="7"/>
  <c r="AL649" i="7"/>
  <c r="AL610" i="7"/>
  <c r="AL630" i="7"/>
  <c r="AL600" i="7"/>
  <c r="AL596" i="7"/>
  <c r="AL592" i="7"/>
  <c r="AL588" i="7"/>
  <c r="AL560" i="7"/>
  <c r="AL554" i="7"/>
  <c r="AL50" i="7"/>
  <c r="AL54" i="7"/>
  <c r="AL47" i="7"/>
  <c r="AM617" i="7"/>
  <c r="AE121" i="7"/>
  <c r="AE122" i="7" s="1"/>
  <c r="AL72" i="7"/>
  <c r="AD121" i="7"/>
  <c r="AD122" i="7" s="1"/>
  <c r="AL733" i="7"/>
  <c r="AL731" i="7"/>
  <c r="AL729" i="7"/>
  <c r="AL727" i="7"/>
  <c r="AL725" i="7"/>
  <c r="AL700" i="7"/>
  <c r="AL699" i="7"/>
  <c r="AL698" i="7"/>
  <c r="AL697" i="7"/>
  <c r="AL696" i="7"/>
  <c r="AL695" i="7"/>
  <c r="AL694" i="7"/>
  <c r="AL693" i="7"/>
  <c r="AL692" i="7"/>
  <c r="AL669" i="7"/>
  <c r="AL668" i="7"/>
  <c r="AL667" i="7"/>
  <c r="AL732" i="7"/>
  <c r="AL726" i="7"/>
  <c r="AL728" i="7"/>
  <c r="AL724" i="7"/>
  <c r="AL730" i="7"/>
  <c r="AL701" i="7"/>
  <c r="AL665" i="7"/>
  <c r="AL663" i="7"/>
  <c r="AL661" i="7"/>
  <c r="AL666" i="7"/>
  <c r="AL664" i="7"/>
  <c r="AL662" i="7"/>
  <c r="AL660" i="7"/>
  <c r="AL73" i="7"/>
  <c r="AL40" i="7"/>
  <c r="C441" i="7"/>
  <c r="C303" i="7"/>
  <c r="AE113" i="7"/>
  <c r="AF702" i="7"/>
  <c r="AF687" i="7" s="1"/>
  <c r="AF111" i="7" s="1"/>
  <c r="AF51" i="7"/>
  <c r="AF670" i="7"/>
  <c r="AF655" i="7" s="1"/>
  <c r="AF110" i="7" s="1"/>
  <c r="AF734" i="7"/>
  <c r="AF719" i="7" s="1"/>
  <c r="AF112" i="7" s="1"/>
  <c r="AF102" i="7"/>
  <c r="AG745" i="7"/>
  <c r="AG744" i="7"/>
  <c r="AG743" i="7"/>
  <c r="AG741" i="7"/>
  <c r="AG740" i="7"/>
  <c r="AG739" i="7"/>
  <c r="AG738" i="7"/>
  <c r="AG383" i="7"/>
  <c r="AG381" i="7"/>
  <c r="AG380" i="7"/>
  <c r="AG379" i="7"/>
  <c r="AG378" i="7"/>
  <c r="AG377" i="7"/>
  <c r="AG376" i="7"/>
  <c r="AG375" i="7"/>
  <c r="AG357" i="7"/>
  <c r="AG356" i="7"/>
  <c r="AG355" i="7"/>
  <c r="AG354" i="7"/>
  <c r="AG353" i="7"/>
  <c r="AG352" i="7"/>
  <c r="AG351" i="7"/>
  <c r="AG374" i="7"/>
  <c r="AG713" i="7"/>
  <c r="AG712" i="7"/>
  <c r="AG711" i="7"/>
  <c r="AG710" i="7"/>
  <c r="AG709" i="7"/>
  <c r="AG708" i="7"/>
  <c r="AG707" i="7"/>
  <c r="AG705" i="7"/>
  <c r="AG350" i="7"/>
  <c r="AG332" i="7"/>
  <c r="AG331" i="7"/>
  <c r="AG330" i="7"/>
  <c r="AG329" i="7"/>
  <c r="AG328" i="7"/>
  <c r="AG327" i="7"/>
  <c r="AG349" i="7"/>
  <c r="AG348" i="7"/>
  <c r="AG681" i="7"/>
  <c r="AG680" i="7"/>
  <c r="AG679" i="7"/>
  <c r="AG678" i="7"/>
  <c r="AG677" i="7"/>
  <c r="AG676" i="7"/>
  <c r="AG675" i="7"/>
  <c r="AG673" i="7"/>
  <c r="AG326" i="7"/>
  <c r="AG325" i="7"/>
  <c r="AG324" i="7"/>
  <c r="AG323" i="7"/>
  <c r="AG561" i="7"/>
  <c r="AG555" i="7"/>
  <c r="AG441" i="7"/>
  <c r="AG440" i="7"/>
  <c r="AG439" i="7"/>
  <c r="AG438" i="7"/>
  <c r="AG437" i="7"/>
  <c r="AG436" i="7"/>
  <c r="AG382" i="7"/>
  <c r="AG456" i="7"/>
  <c r="AG318" i="7"/>
  <c r="AG303" i="7"/>
  <c r="AG302" i="7"/>
  <c r="AG301" i="7"/>
  <c r="AG300" i="7"/>
  <c r="AG299" i="7"/>
  <c r="AG298" i="7"/>
  <c r="AG49" i="7"/>
  <c r="AF466" i="7"/>
  <c r="AF319" i="7"/>
  <c r="AF464" i="7"/>
  <c r="AF463" i="7"/>
  <c r="AF467" i="7"/>
  <c r="AF487" i="7"/>
  <c r="AF491" i="7"/>
  <c r="AF495" i="7"/>
  <c r="AF515" i="7"/>
  <c r="AF519" i="7"/>
  <c r="AF457" i="7"/>
  <c r="AF488" i="7"/>
  <c r="AF492" i="7"/>
  <c r="AF496" i="7"/>
  <c r="AF516" i="7"/>
  <c r="AF520" i="7"/>
  <c r="AF462" i="7"/>
  <c r="AF470" i="7"/>
  <c r="AF468" i="7"/>
  <c r="AF461" i="7"/>
  <c r="AF465" i="7"/>
  <c r="AF469" i="7"/>
  <c r="AF489" i="7"/>
  <c r="AF493" i="7"/>
  <c r="AF513" i="7"/>
  <c r="AF517" i="7"/>
  <c r="AF521" i="7"/>
  <c r="AF490" i="7"/>
  <c r="AF494" i="7"/>
  <c r="AF514" i="7"/>
  <c r="AF518" i="7"/>
  <c r="AF522" i="7"/>
  <c r="AG635" i="7"/>
  <c r="AL608" i="7" l="1"/>
  <c r="AL631" i="7"/>
  <c r="AL104" i="7"/>
  <c r="AM649" i="7"/>
  <c r="AM610" i="7"/>
  <c r="AM630" i="7"/>
  <c r="AM554" i="7"/>
  <c r="AM560" i="7"/>
  <c r="AM592" i="7"/>
  <c r="AM600" i="7"/>
  <c r="AM596" i="7"/>
  <c r="AM588" i="7"/>
  <c r="AM50" i="7"/>
  <c r="AM54" i="7"/>
  <c r="AM47" i="7"/>
  <c r="AN617" i="7"/>
  <c r="AF121" i="7"/>
  <c r="AF122" i="7" s="1"/>
  <c r="AM72" i="7"/>
  <c r="AM733" i="7"/>
  <c r="AM732" i="7"/>
  <c r="AM731" i="7"/>
  <c r="AM730" i="7"/>
  <c r="AM729" i="7"/>
  <c r="AM728" i="7"/>
  <c r="AM727" i="7"/>
  <c r="AM726" i="7"/>
  <c r="AM725" i="7"/>
  <c r="AM701" i="7"/>
  <c r="AM724" i="7"/>
  <c r="AM700" i="7"/>
  <c r="AM698" i="7"/>
  <c r="AM696" i="7"/>
  <c r="AM699" i="7"/>
  <c r="AM697" i="7"/>
  <c r="AM695" i="7"/>
  <c r="AM693" i="7"/>
  <c r="AM669" i="7"/>
  <c r="AM667" i="7"/>
  <c r="AM663" i="7"/>
  <c r="AM692" i="7"/>
  <c r="AM666" i="7"/>
  <c r="AM664" i="7"/>
  <c r="AM662" i="7"/>
  <c r="AM660" i="7"/>
  <c r="AM694" i="7"/>
  <c r="AM668" i="7"/>
  <c r="AM665" i="7"/>
  <c r="AM661" i="7"/>
  <c r="AM40" i="7"/>
  <c r="AM73" i="7"/>
  <c r="AG734" i="7"/>
  <c r="AG719" i="7" s="1"/>
  <c r="AG112" i="7" s="1"/>
  <c r="AF113" i="7"/>
  <c r="AH745" i="7"/>
  <c r="AH744" i="7"/>
  <c r="AH743" i="7"/>
  <c r="AH741" i="7"/>
  <c r="AH740" i="7"/>
  <c r="AH739" i="7"/>
  <c r="AH738" i="7"/>
  <c r="AH383" i="7"/>
  <c r="AH382" i="7"/>
  <c r="AH381" i="7"/>
  <c r="AH380" i="7"/>
  <c r="AH379" i="7"/>
  <c r="AH377" i="7"/>
  <c r="AH376" i="7"/>
  <c r="AH375" i="7"/>
  <c r="AH374" i="7"/>
  <c r="AH713" i="7"/>
  <c r="AH712" i="7"/>
  <c r="AH711" i="7"/>
  <c r="AH710" i="7"/>
  <c r="AH709" i="7"/>
  <c r="AH708" i="7"/>
  <c r="AH707" i="7"/>
  <c r="AH705" i="7"/>
  <c r="AH357" i="7"/>
  <c r="AH356" i="7"/>
  <c r="AH355" i="7"/>
  <c r="AH354" i="7"/>
  <c r="AH353" i="7"/>
  <c r="AH352" i="7"/>
  <c r="AH351" i="7"/>
  <c r="AH350" i="7"/>
  <c r="AH349" i="7"/>
  <c r="AH348" i="7"/>
  <c r="AH681" i="7"/>
  <c r="AH680" i="7"/>
  <c r="AH679" i="7"/>
  <c r="AH678" i="7"/>
  <c r="AH677" i="7"/>
  <c r="AH676" i="7"/>
  <c r="AH675" i="7"/>
  <c r="AH673" i="7"/>
  <c r="AH332" i="7"/>
  <c r="AH331" i="7"/>
  <c r="AH330" i="7"/>
  <c r="AH329" i="7"/>
  <c r="AH328" i="7"/>
  <c r="AH327" i="7"/>
  <c r="AH326" i="7"/>
  <c r="AH325" i="7"/>
  <c r="AH324" i="7"/>
  <c r="AH323" i="7"/>
  <c r="AH561" i="7"/>
  <c r="AH555" i="7"/>
  <c r="AH456" i="7"/>
  <c r="AH441" i="7"/>
  <c r="AH440" i="7"/>
  <c r="AH439" i="7"/>
  <c r="AH438" i="7"/>
  <c r="AH437" i="7"/>
  <c r="AH436" i="7"/>
  <c r="AH378" i="7"/>
  <c r="AH318" i="7"/>
  <c r="AH303" i="7"/>
  <c r="AH302" i="7"/>
  <c r="AH301" i="7"/>
  <c r="AH300" i="7"/>
  <c r="AH299" i="7"/>
  <c r="AH298" i="7"/>
  <c r="AH49" i="7"/>
  <c r="AG319" i="7"/>
  <c r="AG465" i="7"/>
  <c r="AG463" i="7"/>
  <c r="AG462" i="7"/>
  <c r="AG466" i="7"/>
  <c r="AG470" i="7"/>
  <c r="AG490" i="7"/>
  <c r="AG494" i="7"/>
  <c r="AG514" i="7"/>
  <c r="AG518" i="7"/>
  <c r="AG522" i="7"/>
  <c r="AG487" i="7"/>
  <c r="AG491" i="7"/>
  <c r="AG495" i="7"/>
  <c r="AG515" i="7"/>
  <c r="AG519" i="7"/>
  <c r="AG457" i="7"/>
  <c r="AG51" i="7"/>
  <c r="AG102" i="7"/>
  <c r="AG670" i="7"/>
  <c r="AG655" i="7" s="1"/>
  <c r="AG110" i="7" s="1"/>
  <c r="AG702" i="7"/>
  <c r="AG687" i="7" s="1"/>
  <c r="AG111" i="7" s="1"/>
  <c r="AG461" i="7"/>
  <c r="AG469" i="7"/>
  <c r="AG467" i="7"/>
  <c r="AG464" i="7"/>
  <c r="AG468" i="7"/>
  <c r="AG488" i="7"/>
  <c r="AG492" i="7"/>
  <c r="AG496" i="7"/>
  <c r="AG516" i="7"/>
  <c r="AG520" i="7"/>
  <c r="AG489" i="7"/>
  <c r="AG493" i="7"/>
  <c r="AG513" i="7"/>
  <c r="AG517" i="7"/>
  <c r="AG521" i="7"/>
  <c r="AH635" i="7"/>
  <c r="AM608" i="7" l="1"/>
  <c r="AM631" i="7"/>
  <c r="AM104" i="7"/>
  <c r="AN649" i="7"/>
  <c r="AN610" i="7"/>
  <c r="AN630" i="7"/>
  <c r="AN560" i="7"/>
  <c r="AN554" i="7"/>
  <c r="AN600" i="7"/>
  <c r="AN596" i="7"/>
  <c r="AN592" i="7"/>
  <c r="AN588" i="7"/>
  <c r="AN50" i="7"/>
  <c r="AN54" i="7"/>
  <c r="AN47" i="7"/>
  <c r="AO617" i="7"/>
  <c r="AN72" i="7"/>
  <c r="AN732" i="7"/>
  <c r="AN730" i="7"/>
  <c r="AN728" i="7"/>
  <c r="AN726" i="7"/>
  <c r="AN731" i="7"/>
  <c r="AN727" i="7"/>
  <c r="AN725" i="7"/>
  <c r="AN698" i="7"/>
  <c r="AN694" i="7"/>
  <c r="AN692" i="7"/>
  <c r="AN733" i="7"/>
  <c r="AN729" i="7"/>
  <c r="AN701" i="7"/>
  <c r="AN699" i="7"/>
  <c r="AN697" i="7"/>
  <c r="AN695" i="7"/>
  <c r="AN724" i="7"/>
  <c r="AN666" i="7"/>
  <c r="AN665" i="7"/>
  <c r="AN664" i="7"/>
  <c r="AN663" i="7"/>
  <c r="AN662" i="7"/>
  <c r="AN661" i="7"/>
  <c r="AN660" i="7"/>
  <c r="AN700" i="7"/>
  <c r="AN696" i="7"/>
  <c r="AN668" i="7"/>
  <c r="AN667" i="7"/>
  <c r="AN693" i="7"/>
  <c r="AN669" i="7"/>
  <c r="AN40" i="7"/>
  <c r="AN73" i="7"/>
  <c r="AH51" i="7"/>
  <c r="AH670" i="7"/>
  <c r="AH655" i="7" s="1"/>
  <c r="AH110" i="7" s="1"/>
  <c r="AH102" i="7"/>
  <c r="AI745" i="7"/>
  <c r="AI744" i="7"/>
  <c r="AI743" i="7"/>
  <c r="AI741" i="7"/>
  <c r="AI740" i="7"/>
  <c r="AI739" i="7"/>
  <c r="AI738" i="7"/>
  <c r="AI383" i="7"/>
  <c r="AI382" i="7"/>
  <c r="AI381" i="7"/>
  <c r="AI380" i="7"/>
  <c r="AI379" i="7"/>
  <c r="AI378" i="7"/>
  <c r="AI377" i="7"/>
  <c r="AI376" i="7"/>
  <c r="AI374" i="7"/>
  <c r="AI357" i="7"/>
  <c r="AI356" i="7"/>
  <c r="AI355" i="7"/>
  <c r="AI354" i="7"/>
  <c r="AI353" i="7"/>
  <c r="AI352" i="7"/>
  <c r="AI351" i="7"/>
  <c r="AI375" i="7"/>
  <c r="AI713" i="7"/>
  <c r="AI712" i="7"/>
  <c r="AI711" i="7"/>
  <c r="AI710" i="7"/>
  <c r="AI709" i="7"/>
  <c r="AI708" i="7"/>
  <c r="AI707" i="7"/>
  <c r="AI705" i="7"/>
  <c r="AI332" i="7"/>
  <c r="AI331" i="7"/>
  <c r="AI330" i="7"/>
  <c r="AI329" i="7"/>
  <c r="AI328" i="7"/>
  <c r="AI327" i="7"/>
  <c r="AI350" i="7"/>
  <c r="AI349" i="7"/>
  <c r="AI348" i="7"/>
  <c r="AI681" i="7"/>
  <c r="AI680" i="7"/>
  <c r="AI679" i="7"/>
  <c r="AI678" i="7"/>
  <c r="AI677" i="7"/>
  <c r="AI676" i="7"/>
  <c r="AI675" i="7"/>
  <c r="AI673" i="7"/>
  <c r="AI325" i="7"/>
  <c r="AI326" i="7"/>
  <c r="AI324" i="7"/>
  <c r="AI323" i="7"/>
  <c r="AI561" i="7"/>
  <c r="AI555" i="7"/>
  <c r="AI441" i="7"/>
  <c r="AI440" i="7"/>
  <c r="AI439" i="7"/>
  <c r="AI438" i="7"/>
  <c r="AI437" i="7"/>
  <c r="AI436" i="7"/>
  <c r="AI456" i="7"/>
  <c r="AI318" i="7"/>
  <c r="AI303" i="7"/>
  <c r="AI302" i="7"/>
  <c r="AI301" i="7"/>
  <c r="AI300" i="7"/>
  <c r="AI299" i="7"/>
  <c r="AI298" i="7"/>
  <c r="AI49" i="7"/>
  <c r="AH468" i="7"/>
  <c r="AH466" i="7"/>
  <c r="AH463" i="7"/>
  <c r="AH467" i="7"/>
  <c r="AH487" i="7"/>
  <c r="AH491" i="7"/>
  <c r="AH495" i="7"/>
  <c r="AH515" i="7"/>
  <c r="AH519" i="7"/>
  <c r="AH457" i="7"/>
  <c r="AH488" i="7"/>
  <c r="AH492" i="7"/>
  <c r="AH496" i="7"/>
  <c r="AH516" i="7"/>
  <c r="AH520" i="7"/>
  <c r="AG113" i="7"/>
  <c r="AH464" i="7"/>
  <c r="AH319" i="7"/>
  <c r="AH462" i="7"/>
  <c r="AH470" i="7"/>
  <c r="AH461" i="7"/>
  <c r="AH465" i="7"/>
  <c r="AH469" i="7"/>
  <c r="AH489" i="7"/>
  <c r="AH493" i="7"/>
  <c r="AH513" i="7"/>
  <c r="AH517" i="7"/>
  <c r="AH521" i="7"/>
  <c r="AH490" i="7"/>
  <c r="AH494" i="7"/>
  <c r="AH514" i="7"/>
  <c r="AH518" i="7"/>
  <c r="AH522" i="7"/>
  <c r="AI635" i="7"/>
  <c r="AH702" i="7"/>
  <c r="AH687" i="7" s="1"/>
  <c r="AH111" i="7" s="1"/>
  <c r="AH734" i="7"/>
  <c r="AH719" i="7" s="1"/>
  <c r="AH112" i="7" s="1"/>
  <c r="AN608" i="7" l="1"/>
  <c r="AN631" i="7"/>
  <c r="AN104" i="7"/>
  <c r="AO649" i="7"/>
  <c r="AO610" i="7"/>
  <c r="AO630" i="7"/>
  <c r="AO560" i="7"/>
  <c r="AO554" i="7"/>
  <c r="AO600" i="7"/>
  <c r="AO596" i="7"/>
  <c r="AO592" i="7"/>
  <c r="AO588" i="7"/>
  <c r="AO50" i="7"/>
  <c r="AO54" i="7"/>
  <c r="AO47" i="7"/>
  <c r="AP617" i="7"/>
  <c r="AO72" i="7"/>
  <c r="AG121" i="7"/>
  <c r="AG122" i="7" s="1"/>
  <c r="AO724" i="7"/>
  <c r="AO701" i="7"/>
  <c r="AO732" i="7"/>
  <c r="AO730" i="7"/>
  <c r="AO728" i="7"/>
  <c r="AO726" i="7"/>
  <c r="AO733" i="7"/>
  <c r="AO727" i="7"/>
  <c r="AO729" i="7"/>
  <c r="AO699" i="7"/>
  <c r="AO697" i="7"/>
  <c r="AO731" i="7"/>
  <c r="AO725" i="7"/>
  <c r="AO700" i="7"/>
  <c r="AO698" i="7"/>
  <c r="AO696" i="7"/>
  <c r="AO694" i="7"/>
  <c r="AO692" i="7"/>
  <c r="AO668" i="7"/>
  <c r="AO693" i="7"/>
  <c r="AO666" i="7"/>
  <c r="AO664" i="7"/>
  <c r="AO662" i="7"/>
  <c r="AO660" i="7"/>
  <c r="AO695" i="7"/>
  <c r="AO669" i="7"/>
  <c r="AO665" i="7"/>
  <c r="AO663" i="7"/>
  <c r="AO661" i="7"/>
  <c r="AO667" i="7"/>
  <c r="AO73" i="7"/>
  <c r="AO40" i="7"/>
  <c r="AH113" i="7"/>
  <c r="AJ745" i="7"/>
  <c r="AJ744" i="7"/>
  <c r="AJ743" i="7"/>
  <c r="AJ741" i="7"/>
  <c r="AJ740" i="7"/>
  <c r="AJ739" i="7"/>
  <c r="AJ738" i="7"/>
  <c r="AJ383" i="7"/>
  <c r="AJ382" i="7"/>
  <c r="AJ381" i="7"/>
  <c r="AJ380" i="7"/>
  <c r="AJ379" i="7"/>
  <c r="AJ378" i="7"/>
  <c r="AJ377" i="7"/>
  <c r="AJ376" i="7"/>
  <c r="AJ375" i="7"/>
  <c r="AJ713" i="7"/>
  <c r="AJ712" i="7"/>
  <c r="AJ711" i="7"/>
  <c r="AJ710" i="7"/>
  <c r="AJ709" i="7"/>
  <c r="AJ708" i="7"/>
  <c r="AJ707" i="7"/>
  <c r="AJ705" i="7"/>
  <c r="AJ357" i="7"/>
  <c r="AJ356" i="7"/>
  <c r="AJ355" i="7"/>
  <c r="AJ354" i="7"/>
  <c r="AJ353" i="7"/>
  <c r="AJ352" i="7"/>
  <c r="AJ351" i="7"/>
  <c r="AJ350" i="7"/>
  <c r="AJ349" i="7"/>
  <c r="AJ348" i="7"/>
  <c r="AJ681" i="7"/>
  <c r="AJ680" i="7"/>
  <c r="AJ679" i="7"/>
  <c r="AJ678" i="7"/>
  <c r="AJ677" i="7"/>
  <c r="AJ676" i="7"/>
  <c r="AJ675" i="7"/>
  <c r="AJ673" i="7"/>
  <c r="AJ332" i="7"/>
  <c r="AJ331" i="7"/>
  <c r="AJ330" i="7"/>
  <c r="AJ329" i="7"/>
  <c r="AJ328" i="7"/>
  <c r="AJ327" i="7"/>
  <c r="AJ326" i="7"/>
  <c r="AJ325" i="7"/>
  <c r="AJ324" i="7"/>
  <c r="AJ323" i="7"/>
  <c r="AJ561" i="7"/>
  <c r="AJ555" i="7"/>
  <c r="AJ456" i="7"/>
  <c r="AJ441" i="7"/>
  <c r="AJ440" i="7"/>
  <c r="AJ439" i="7"/>
  <c r="AJ438" i="7"/>
  <c r="AJ437" i="7"/>
  <c r="AJ436" i="7"/>
  <c r="AJ374" i="7"/>
  <c r="AJ318" i="7"/>
  <c r="AJ303" i="7"/>
  <c r="AJ302" i="7"/>
  <c r="AJ301" i="7"/>
  <c r="AJ300" i="7"/>
  <c r="AJ299" i="7"/>
  <c r="AJ298" i="7"/>
  <c r="AJ49" i="7"/>
  <c r="AI319" i="7"/>
  <c r="AI463" i="7"/>
  <c r="AI465" i="7"/>
  <c r="AI462" i="7"/>
  <c r="AI466" i="7"/>
  <c r="AI470" i="7"/>
  <c r="AI490" i="7"/>
  <c r="AI494" i="7"/>
  <c r="AI514" i="7"/>
  <c r="AI518" i="7"/>
  <c r="AI522" i="7"/>
  <c r="AI487" i="7"/>
  <c r="AI491" i="7"/>
  <c r="AI495" i="7"/>
  <c r="AI515" i="7"/>
  <c r="AI519" i="7"/>
  <c r="AI457" i="7"/>
  <c r="AI51" i="7"/>
  <c r="AI102" i="7"/>
  <c r="AI670" i="7"/>
  <c r="AI655" i="7" s="1"/>
  <c r="AI110" i="7" s="1"/>
  <c r="AI702" i="7"/>
  <c r="AI687" i="7" s="1"/>
  <c r="AI111" i="7" s="1"/>
  <c r="AI467" i="7"/>
  <c r="AI461" i="7"/>
  <c r="AI469" i="7"/>
  <c r="AI464" i="7"/>
  <c r="AI468" i="7"/>
  <c r="AI488" i="7"/>
  <c r="AI492" i="7"/>
  <c r="AI496" i="7"/>
  <c r="AI516" i="7"/>
  <c r="AI520" i="7"/>
  <c r="AI489" i="7"/>
  <c r="AI493" i="7"/>
  <c r="AI513" i="7"/>
  <c r="AI517" i="7"/>
  <c r="AI521" i="7"/>
  <c r="AJ635" i="7"/>
  <c r="AI734" i="7"/>
  <c r="AI719" i="7" s="1"/>
  <c r="AI112" i="7" s="1"/>
  <c r="AO608" i="7" l="1"/>
  <c r="AO631" i="7"/>
  <c r="AO104" i="7"/>
  <c r="AP649" i="7"/>
  <c r="AP610" i="7"/>
  <c r="AP630" i="7"/>
  <c r="AP631" i="7" s="1"/>
  <c r="AP608" i="7"/>
  <c r="AP560" i="7"/>
  <c r="AP596" i="7"/>
  <c r="AP592" i="7"/>
  <c r="AP588" i="7"/>
  <c r="AP554" i="7"/>
  <c r="AP600" i="7"/>
  <c r="AP50" i="7"/>
  <c r="AP54" i="7"/>
  <c r="AP47" i="7"/>
  <c r="AP72" i="7"/>
  <c r="AH121" i="7"/>
  <c r="AH122" i="7" s="1"/>
  <c r="AP733" i="7"/>
  <c r="AP731" i="7"/>
  <c r="AP729" i="7"/>
  <c r="AP727" i="7"/>
  <c r="AP725" i="7"/>
  <c r="AP732" i="7"/>
  <c r="AP728" i="7"/>
  <c r="AP724" i="7"/>
  <c r="AP700" i="7"/>
  <c r="AP699" i="7"/>
  <c r="AP698" i="7"/>
  <c r="AP697" i="7"/>
  <c r="AP696" i="7"/>
  <c r="AP695" i="7"/>
  <c r="AP694" i="7"/>
  <c r="AP693" i="7"/>
  <c r="AP692" i="7"/>
  <c r="AP669" i="7"/>
  <c r="AP668" i="7"/>
  <c r="AP667" i="7"/>
  <c r="AP701" i="7"/>
  <c r="AP730" i="7"/>
  <c r="AP726" i="7"/>
  <c r="AP665" i="7"/>
  <c r="AP663" i="7"/>
  <c r="AP661" i="7"/>
  <c r="AP666" i="7"/>
  <c r="AP664" i="7"/>
  <c r="AP662" i="7"/>
  <c r="AP660" i="7"/>
  <c r="AP73" i="7"/>
  <c r="AP40" i="7"/>
  <c r="AK745" i="7"/>
  <c r="AK744" i="7"/>
  <c r="AK743" i="7"/>
  <c r="AK741" i="7"/>
  <c r="AK740" i="7"/>
  <c r="AK739" i="7"/>
  <c r="AK738" i="7"/>
  <c r="AK383" i="7"/>
  <c r="AK381" i="7"/>
  <c r="AK380" i="7"/>
  <c r="AK379" i="7"/>
  <c r="AK378" i="7"/>
  <c r="AK377" i="7"/>
  <c r="AK376" i="7"/>
  <c r="AK375" i="7"/>
  <c r="AK357" i="7"/>
  <c r="AK356" i="7"/>
  <c r="AK355" i="7"/>
  <c r="AK354" i="7"/>
  <c r="AK353" i="7"/>
  <c r="AK352" i="7"/>
  <c r="AK351" i="7"/>
  <c r="AK374" i="7"/>
  <c r="AK713" i="7"/>
  <c r="AK712" i="7"/>
  <c r="AK711" i="7"/>
  <c r="AK710" i="7"/>
  <c r="AK709" i="7"/>
  <c r="AK708" i="7"/>
  <c r="AK707" i="7"/>
  <c r="AK705" i="7"/>
  <c r="AK350" i="7"/>
  <c r="AK332" i="7"/>
  <c r="AK331" i="7"/>
  <c r="AK330" i="7"/>
  <c r="AK329" i="7"/>
  <c r="AK328" i="7"/>
  <c r="AK327" i="7"/>
  <c r="AK349" i="7"/>
  <c r="AK348" i="7"/>
  <c r="AK681" i="7"/>
  <c r="AK680" i="7"/>
  <c r="AK679" i="7"/>
  <c r="AK678" i="7"/>
  <c r="AK677" i="7"/>
  <c r="AK676" i="7"/>
  <c r="AK675" i="7"/>
  <c r="AK673" i="7"/>
  <c r="AK326" i="7"/>
  <c r="AK325" i="7"/>
  <c r="AK324" i="7"/>
  <c r="AK323" i="7"/>
  <c r="AK561" i="7"/>
  <c r="AK555" i="7"/>
  <c r="AK441" i="7"/>
  <c r="AK440" i="7"/>
  <c r="AK439" i="7"/>
  <c r="AK438" i="7"/>
  <c r="AK437" i="7"/>
  <c r="AK436" i="7"/>
  <c r="AK382" i="7"/>
  <c r="AK456" i="7"/>
  <c r="AK318" i="7"/>
  <c r="AK303" i="7"/>
  <c r="AK302" i="7"/>
  <c r="AK301" i="7"/>
  <c r="AK300" i="7"/>
  <c r="AK299" i="7"/>
  <c r="AK298" i="7"/>
  <c r="AK49" i="7"/>
  <c r="AJ462" i="7"/>
  <c r="AJ470" i="7"/>
  <c r="AJ468" i="7"/>
  <c r="AJ461" i="7"/>
  <c r="AJ465" i="7"/>
  <c r="AJ469" i="7"/>
  <c r="AJ489" i="7"/>
  <c r="AJ493" i="7"/>
  <c r="AJ513" i="7"/>
  <c r="AJ517" i="7"/>
  <c r="AJ521" i="7"/>
  <c r="AJ490" i="7"/>
  <c r="AJ494" i="7"/>
  <c r="AJ514" i="7"/>
  <c r="AJ518" i="7"/>
  <c r="AJ522" i="7"/>
  <c r="AK635" i="7"/>
  <c r="AJ51" i="7"/>
  <c r="AJ102" i="7"/>
  <c r="AJ670" i="7"/>
  <c r="AJ655" i="7" s="1"/>
  <c r="AJ110" i="7" s="1"/>
  <c r="AJ702" i="7"/>
  <c r="AJ687" i="7" s="1"/>
  <c r="AJ111" i="7" s="1"/>
  <c r="AJ734" i="7"/>
  <c r="AJ719" i="7" s="1"/>
  <c r="AJ112" i="7" s="1"/>
  <c r="AJ466" i="7"/>
  <c r="AJ319" i="7"/>
  <c r="AJ464" i="7"/>
  <c r="AJ463" i="7"/>
  <c r="AJ467" i="7"/>
  <c r="AJ487" i="7"/>
  <c r="AJ491" i="7"/>
  <c r="AJ495" i="7"/>
  <c r="AJ515" i="7"/>
  <c r="AJ519" i="7"/>
  <c r="AJ457" i="7"/>
  <c r="AJ488" i="7"/>
  <c r="AJ492" i="7"/>
  <c r="AJ496" i="7"/>
  <c r="AJ516" i="7"/>
  <c r="AJ520" i="7"/>
  <c r="AI113" i="7"/>
  <c r="AP104" i="7" l="1"/>
  <c r="AI121" i="7"/>
  <c r="AI122" i="7" s="1"/>
  <c r="AK734" i="7"/>
  <c r="AK719" i="7" s="1"/>
  <c r="AK112" i="7" s="1"/>
  <c r="AK51" i="7"/>
  <c r="AK461" i="7"/>
  <c r="AK469" i="7"/>
  <c r="AK467" i="7"/>
  <c r="AK464" i="7"/>
  <c r="AK468" i="7"/>
  <c r="AK488" i="7"/>
  <c r="AK492" i="7"/>
  <c r="AK496" i="7"/>
  <c r="AK516" i="7"/>
  <c r="AK520" i="7"/>
  <c r="AK489" i="7"/>
  <c r="AK493" i="7"/>
  <c r="AK513" i="7"/>
  <c r="AK517" i="7"/>
  <c r="AK521" i="7"/>
  <c r="AL635" i="7"/>
  <c r="AL745" i="7"/>
  <c r="AL744" i="7"/>
  <c r="AL742" i="7"/>
  <c r="AL741" i="7"/>
  <c r="AL740" i="7"/>
  <c r="AL739" i="7"/>
  <c r="AL738" i="7"/>
  <c r="AL383" i="7"/>
  <c r="AL381" i="7"/>
  <c r="AL380" i="7"/>
  <c r="AL379" i="7"/>
  <c r="AL378" i="7"/>
  <c r="AL377" i="7"/>
  <c r="AL376" i="7"/>
  <c r="AL375" i="7"/>
  <c r="AL374" i="7"/>
  <c r="AL713" i="7"/>
  <c r="AL712" i="7"/>
  <c r="AL711" i="7"/>
  <c r="AL710" i="7"/>
  <c r="AL709" i="7"/>
  <c r="AL708" i="7"/>
  <c r="AL707" i="7"/>
  <c r="AL705" i="7"/>
  <c r="AL357" i="7"/>
  <c r="AL356" i="7"/>
  <c r="AL355" i="7"/>
  <c r="AL354" i="7"/>
  <c r="AL353" i="7"/>
  <c r="AL352" i="7"/>
  <c r="AL351" i="7"/>
  <c r="AL350" i="7"/>
  <c r="AL349" i="7"/>
  <c r="AL348" i="7"/>
  <c r="AL681" i="7"/>
  <c r="AL680" i="7"/>
  <c r="AL679" i="7"/>
  <c r="AL678" i="7"/>
  <c r="AL677" i="7"/>
  <c r="AL676" i="7"/>
  <c r="AL675" i="7"/>
  <c r="AL673" i="7"/>
  <c r="AL332" i="7"/>
  <c r="AL331" i="7"/>
  <c r="AL330" i="7"/>
  <c r="AL329" i="7"/>
  <c r="AL328" i="7"/>
  <c r="AL327" i="7"/>
  <c r="AL326" i="7"/>
  <c r="AL325" i="7"/>
  <c r="AL324" i="7"/>
  <c r="AL323" i="7"/>
  <c r="AL561" i="7"/>
  <c r="AL555" i="7"/>
  <c r="AL456" i="7"/>
  <c r="AL441" i="7"/>
  <c r="AL440" i="7"/>
  <c r="AL439" i="7"/>
  <c r="AL438" i="7"/>
  <c r="AL437" i="7"/>
  <c r="AL436" i="7"/>
  <c r="AL382" i="7"/>
  <c r="AL318" i="7"/>
  <c r="AL303" i="7"/>
  <c r="AL302" i="7"/>
  <c r="AL301" i="7"/>
  <c r="AL300" i="7"/>
  <c r="AL299" i="7"/>
  <c r="AL298" i="7"/>
  <c r="AL49" i="7"/>
  <c r="AK319" i="7"/>
  <c r="AK465" i="7"/>
  <c r="AK463" i="7"/>
  <c r="AK462" i="7"/>
  <c r="AK466" i="7"/>
  <c r="AK470" i="7"/>
  <c r="AK490" i="7"/>
  <c r="AK494" i="7"/>
  <c r="AK514" i="7"/>
  <c r="AK518" i="7"/>
  <c r="AK522" i="7"/>
  <c r="AK487" i="7"/>
  <c r="AK491" i="7"/>
  <c r="AK495" i="7"/>
  <c r="AK515" i="7"/>
  <c r="AK519" i="7"/>
  <c r="AK457" i="7"/>
  <c r="AJ113" i="7"/>
  <c r="AK102" i="7"/>
  <c r="AK670" i="7"/>
  <c r="AK655" i="7" s="1"/>
  <c r="AK110" i="7" s="1"/>
  <c r="AK702" i="7"/>
  <c r="AK687" i="7" s="1"/>
  <c r="AK111" i="7" s="1"/>
  <c r="AJ121" i="7" l="1"/>
  <c r="AJ122" i="7" s="1"/>
  <c r="AL670" i="7"/>
  <c r="AL655" i="7" s="1"/>
  <c r="AL110" i="7" s="1"/>
  <c r="AL734" i="7"/>
  <c r="AL719" i="7" s="1"/>
  <c r="AL112" i="7" s="1"/>
  <c r="AL51" i="7"/>
  <c r="AL702" i="7"/>
  <c r="AL687" i="7" s="1"/>
  <c r="AL111" i="7" s="1"/>
  <c r="AL102" i="7"/>
  <c r="AM745" i="7"/>
  <c r="AM744" i="7"/>
  <c r="AM742" i="7"/>
  <c r="AM741" i="7"/>
  <c r="AM740" i="7"/>
  <c r="AM739" i="7"/>
  <c r="AM738" i="7"/>
  <c r="AM383" i="7"/>
  <c r="AM382" i="7"/>
  <c r="AM381" i="7"/>
  <c r="AM380" i="7"/>
  <c r="AM379" i="7"/>
  <c r="AM378" i="7"/>
  <c r="AM377" i="7"/>
  <c r="AM376" i="7"/>
  <c r="AM374" i="7"/>
  <c r="AM357" i="7"/>
  <c r="AM356" i="7"/>
  <c r="AM355" i="7"/>
  <c r="AM354" i="7"/>
  <c r="AM353" i="7"/>
  <c r="AM352" i="7"/>
  <c r="AM351" i="7"/>
  <c r="AM375" i="7"/>
  <c r="AM713" i="7"/>
  <c r="AM712" i="7"/>
  <c r="AM711" i="7"/>
  <c r="AM710" i="7"/>
  <c r="AM709" i="7"/>
  <c r="AM708" i="7"/>
  <c r="AM707" i="7"/>
  <c r="AM705" i="7"/>
  <c r="AM332" i="7"/>
  <c r="AM331" i="7"/>
  <c r="AM330" i="7"/>
  <c r="AM329" i="7"/>
  <c r="AM328" i="7"/>
  <c r="AM327" i="7"/>
  <c r="AM350" i="7"/>
  <c r="AM349" i="7"/>
  <c r="AM348" i="7"/>
  <c r="AM681" i="7"/>
  <c r="AM680" i="7"/>
  <c r="AM679" i="7"/>
  <c r="AM678" i="7"/>
  <c r="AM677" i="7"/>
  <c r="AM676" i="7"/>
  <c r="AM674" i="7"/>
  <c r="AM673" i="7"/>
  <c r="AM325" i="7"/>
  <c r="AM326" i="7"/>
  <c r="AM324" i="7"/>
  <c r="AM323" i="7"/>
  <c r="AM561" i="7"/>
  <c r="AM555" i="7"/>
  <c r="AM441" i="7"/>
  <c r="AM440" i="7"/>
  <c r="AM439" i="7"/>
  <c r="AM438" i="7"/>
  <c r="AM437" i="7"/>
  <c r="AM436" i="7"/>
  <c r="AM456" i="7"/>
  <c r="AM318" i="7"/>
  <c r="AM303" i="7"/>
  <c r="AM302" i="7"/>
  <c r="AM301" i="7"/>
  <c r="AM300" i="7"/>
  <c r="AM299" i="7"/>
  <c r="AM298" i="7"/>
  <c r="AM49" i="7"/>
  <c r="AL468" i="7"/>
  <c r="AL466" i="7"/>
  <c r="AL463" i="7"/>
  <c r="AL467" i="7"/>
  <c r="AL487" i="7"/>
  <c r="AL491" i="7"/>
  <c r="AL495" i="7"/>
  <c r="AL515" i="7"/>
  <c r="AL519" i="7"/>
  <c r="AL457" i="7"/>
  <c r="AL488" i="7"/>
  <c r="AL492" i="7"/>
  <c r="AL496" i="7"/>
  <c r="AL516" i="7"/>
  <c r="AL520" i="7"/>
  <c r="AK113" i="7"/>
  <c r="AL464" i="7"/>
  <c r="AL319" i="7"/>
  <c r="AL462" i="7"/>
  <c r="AL470" i="7"/>
  <c r="AL461" i="7"/>
  <c r="AL465" i="7"/>
  <c r="AL469" i="7"/>
  <c r="AL489" i="7"/>
  <c r="AL493" i="7"/>
  <c r="AL513" i="7"/>
  <c r="AL517" i="7"/>
  <c r="AL521" i="7"/>
  <c r="AL490" i="7"/>
  <c r="AL494" i="7"/>
  <c r="AL514" i="7"/>
  <c r="AL518" i="7"/>
  <c r="AL522" i="7"/>
  <c r="AM635" i="7"/>
  <c r="AK121" i="7" l="1"/>
  <c r="AK122" i="7" s="1"/>
  <c r="AL113" i="7"/>
  <c r="AM51" i="7"/>
  <c r="AM670" i="7"/>
  <c r="AM655" i="7" s="1"/>
  <c r="AM110" i="7" s="1"/>
  <c r="AM702" i="7"/>
  <c r="AM687" i="7" s="1"/>
  <c r="AM111" i="7" s="1"/>
  <c r="AM102" i="7"/>
  <c r="AM467" i="7"/>
  <c r="AM461" i="7"/>
  <c r="AM469" i="7"/>
  <c r="AM464" i="7"/>
  <c r="AM468" i="7"/>
  <c r="AM488" i="7"/>
  <c r="AM492" i="7"/>
  <c r="AM496" i="7"/>
  <c r="AM516" i="7"/>
  <c r="AM520" i="7"/>
  <c r="AM489" i="7"/>
  <c r="AM493" i="7"/>
  <c r="AM513" i="7"/>
  <c r="AM517" i="7"/>
  <c r="AM521" i="7"/>
  <c r="AN635" i="7"/>
  <c r="AM734" i="7"/>
  <c r="AM719" i="7" s="1"/>
  <c r="AM112" i="7" s="1"/>
  <c r="AN745" i="7"/>
  <c r="AN744" i="7"/>
  <c r="AN742" i="7"/>
  <c r="AN741" i="7"/>
  <c r="AN740" i="7"/>
  <c r="AN739" i="7"/>
  <c r="AN738" i="7"/>
  <c r="AN383" i="7"/>
  <c r="AN382" i="7"/>
  <c r="AN381" i="7"/>
  <c r="AN380" i="7"/>
  <c r="AN379" i="7"/>
  <c r="AN378" i="7"/>
  <c r="AN377" i="7"/>
  <c r="AN376" i="7"/>
  <c r="AN375" i="7"/>
  <c r="AN374" i="7"/>
  <c r="AN713" i="7"/>
  <c r="AN712" i="7"/>
  <c r="AN711" i="7"/>
  <c r="AN710" i="7"/>
  <c r="AN709" i="7"/>
  <c r="AN708" i="7"/>
  <c r="AN707" i="7"/>
  <c r="AN705" i="7"/>
  <c r="AN356" i="7"/>
  <c r="AN355" i="7"/>
  <c r="AN354" i="7"/>
  <c r="AN353" i="7"/>
  <c r="AN352" i="7"/>
  <c r="AN351" i="7"/>
  <c r="AN350" i="7"/>
  <c r="AN349" i="7"/>
  <c r="AN348" i="7"/>
  <c r="AN681" i="7"/>
  <c r="AN680" i="7"/>
  <c r="AN679" i="7"/>
  <c r="AN678" i="7"/>
  <c r="AN677" i="7"/>
  <c r="AN676" i="7"/>
  <c r="AN674" i="7"/>
  <c r="AN673" i="7"/>
  <c r="AN332" i="7"/>
  <c r="AN331" i="7"/>
  <c r="AN330" i="7"/>
  <c r="AN329" i="7"/>
  <c r="AN328" i="7"/>
  <c r="AN327" i="7"/>
  <c r="AN326" i="7"/>
  <c r="AN325" i="7"/>
  <c r="AN324" i="7"/>
  <c r="AN323" i="7"/>
  <c r="AN561" i="7"/>
  <c r="AN555" i="7"/>
  <c r="AN456" i="7"/>
  <c r="AN357" i="7"/>
  <c r="AN441" i="7"/>
  <c r="AN440" i="7"/>
  <c r="AN439" i="7"/>
  <c r="AN438" i="7"/>
  <c r="AN437" i="7"/>
  <c r="AN436" i="7"/>
  <c r="AN318" i="7"/>
  <c r="AN303" i="7"/>
  <c r="AN302" i="7"/>
  <c r="AN301" i="7"/>
  <c r="AN300" i="7"/>
  <c r="AN299" i="7"/>
  <c r="AN298" i="7"/>
  <c r="AN49" i="7"/>
  <c r="AM319" i="7"/>
  <c r="AM463" i="7"/>
  <c r="AM465" i="7"/>
  <c r="AM462" i="7"/>
  <c r="AM466" i="7"/>
  <c r="AM470" i="7"/>
  <c r="AM490" i="7"/>
  <c r="AM494" i="7"/>
  <c r="AM514" i="7"/>
  <c r="AM518" i="7"/>
  <c r="AM522" i="7"/>
  <c r="AM487" i="7"/>
  <c r="AM491" i="7"/>
  <c r="AM495" i="7"/>
  <c r="AM515" i="7"/>
  <c r="AM519" i="7"/>
  <c r="AM457" i="7"/>
  <c r="AL121" i="7" l="1"/>
  <c r="AL122" i="7" s="1"/>
  <c r="AM113" i="7"/>
  <c r="AN466" i="7"/>
  <c r="AN319" i="7"/>
  <c r="AN464" i="7"/>
  <c r="AN463" i="7"/>
  <c r="AN467" i="7"/>
  <c r="AN487" i="7"/>
  <c r="AN491" i="7"/>
  <c r="AN495" i="7"/>
  <c r="AN515" i="7"/>
  <c r="AN519" i="7"/>
  <c r="AN457" i="7"/>
  <c r="AN488" i="7"/>
  <c r="AN492" i="7"/>
  <c r="AN496" i="7"/>
  <c r="AN516" i="7"/>
  <c r="AN520" i="7"/>
  <c r="AO745" i="7"/>
  <c r="AO744" i="7"/>
  <c r="AO742" i="7"/>
  <c r="AO741" i="7"/>
  <c r="AO740" i="7"/>
  <c r="AO739" i="7"/>
  <c r="AO738" i="7"/>
  <c r="AO383" i="7"/>
  <c r="AO381" i="7"/>
  <c r="AO380" i="7"/>
  <c r="AO379" i="7"/>
  <c r="AO378" i="7"/>
  <c r="AO377" i="7"/>
  <c r="AO376" i="7"/>
  <c r="AO375" i="7"/>
  <c r="AO357" i="7"/>
  <c r="AO356" i="7"/>
  <c r="AO355" i="7"/>
  <c r="AO354" i="7"/>
  <c r="AO353" i="7"/>
  <c r="AO352" i="7"/>
  <c r="AO351" i="7"/>
  <c r="AO374" i="7"/>
  <c r="AO713" i="7"/>
  <c r="AO712" i="7"/>
  <c r="AO711" i="7"/>
  <c r="AO710" i="7"/>
  <c r="AO709" i="7"/>
  <c r="AO708" i="7"/>
  <c r="AO707" i="7"/>
  <c r="AO705" i="7"/>
  <c r="AO350" i="7"/>
  <c r="AO332" i="7"/>
  <c r="AO331" i="7"/>
  <c r="AO330" i="7"/>
  <c r="AO329" i="7"/>
  <c r="AO328" i="7"/>
  <c r="AO327" i="7"/>
  <c r="AO349" i="7"/>
  <c r="AO348" i="7"/>
  <c r="AO681" i="7"/>
  <c r="AO680" i="7"/>
  <c r="AO679" i="7"/>
  <c r="AO678" i="7"/>
  <c r="AO677" i="7"/>
  <c r="AO676" i="7"/>
  <c r="AO674" i="7"/>
  <c r="AO673" i="7"/>
  <c r="AO326" i="7"/>
  <c r="AO325" i="7"/>
  <c r="AO324" i="7"/>
  <c r="AO323" i="7"/>
  <c r="AO561" i="7"/>
  <c r="AO555" i="7"/>
  <c r="AO441" i="7"/>
  <c r="AO440" i="7"/>
  <c r="AO439" i="7"/>
  <c r="AO438" i="7"/>
  <c r="AO437" i="7"/>
  <c r="AO436" i="7"/>
  <c r="AO382" i="7"/>
  <c r="AO456" i="7"/>
  <c r="AO318" i="7"/>
  <c r="AO303" i="7"/>
  <c r="AO302" i="7"/>
  <c r="AO301" i="7"/>
  <c r="AO300" i="7"/>
  <c r="AO299" i="7"/>
  <c r="AO298" i="7"/>
  <c r="AO49" i="7"/>
  <c r="AN462" i="7"/>
  <c r="AN470" i="7"/>
  <c r="AN468" i="7"/>
  <c r="AN461" i="7"/>
  <c r="AN465" i="7"/>
  <c r="AN469" i="7"/>
  <c r="AN489" i="7"/>
  <c r="AN493" i="7"/>
  <c r="AN513" i="7"/>
  <c r="AN517" i="7"/>
  <c r="AN521" i="7"/>
  <c r="AN490" i="7"/>
  <c r="AN494" i="7"/>
  <c r="AN514" i="7"/>
  <c r="AN518" i="7"/>
  <c r="AN522" i="7"/>
  <c r="AO635" i="7"/>
  <c r="AN51" i="7"/>
  <c r="AN102" i="7"/>
  <c r="AN670" i="7"/>
  <c r="AN655" i="7" s="1"/>
  <c r="AN110" i="7" s="1"/>
  <c r="AN702" i="7"/>
  <c r="AN687" i="7" s="1"/>
  <c r="AN111" i="7" s="1"/>
  <c r="AN734" i="7"/>
  <c r="AN719" i="7" s="1"/>
  <c r="AN112" i="7" s="1"/>
  <c r="AM121" i="7" l="1"/>
  <c r="AM122" i="7" s="1"/>
  <c r="AO51" i="7"/>
  <c r="AO670" i="7"/>
  <c r="AO655" i="7" s="1"/>
  <c r="AO110" i="7" s="1"/>
  <c r="AO702" i="7"/>
  <c r="AO687" i="7" s="1"/>
  <c r="AO111" i="7" s="1"/>
  <c r="AO102" i="7"/>
  <c r="AO461" i="7"/>
  <c r="AO469" i="7"/>
  <c r="AO467" i="7"/>
  <c r="AO464" i="7"/>
  <c r="AO468" i="7"/>
  <c r="AO488" i="7"/>
  <c r="AO492" i="7"/>
  <c r="AO496" i="7"/>
  <c r="AO516" i="7"/>
  <c r="AO520" i="7"/>
  <c r="AO489" i="7"/>
  <c r="AO493" i="7"/>
  <c r="AO513" i="7"/>
  <c r="AO517" i="7"/>
  <c r="AO521" i="7"/>
  <c r="AP635" i="7"/>
  <c r="AO734" i="7"/>
  <c r="AO719" i="7" s="1"/>
  <c r="AO112" i="7" s="1"/>
  <c r="AP745" i="7"/>
  <c r="AP744" i="7"/>
  <c r="AP742" i="7"/>
  <c r="AP741" i="7"/>
  <c r="AP740" i="7"/>
  <c r="AP739" i="7"/>
  <c r="AP738" i="7"/>
  <c r="B733" i="7"/>
  <c r="B732" i="7"/>
  <c r="B731" i="7"/>
  <c r="B730" i="7"/>
  <c r="B729" i="7"/>
  <c r="B728" i="7"/>
  <c r="B727" i="7"/>
  <c r="B726" i="7"/>
  <c r="B725" i="7"/>
  <c r="AP374" i="7"/>
  <c r="AP713" i="7"/>
  <c r="B713" i="7" s="1"/>
  <c r="AP712" i="7"/>
  <c r="B712" i="7" s="1"/>
  <c r="AP711" i="7"/>
  <c r="B711" i="7" s="1"/>
  <c r="AP710" i="7"/>
  <c r="B710" i="7" s="1"/>
  <c r="AP709" i="7"/>
  <c r="B709" i="7" s="1"/>
  <c r="AP708" i="7"/>
  <c r="B708" i="7" s="1"/>
  <c r="AP707" i="7"/>
  <c r="B707" i="7" s="1"/>
  <c r="AP705" i="7"/>
  <c r="B701" i="7"/>
  <c r="B700" i="7"/>
  <c r="B699" i="7"/>
  <c r="B698" i="7"/>
  <c r="B697" i="7"/>
  <c r="B696" i="7"/>
  <c r="B695" i="7"/>
  <c r="B694" i="7"/>
  <c r="B693" i="7"/>
  <c r="AP348" i="7"/>
  <c r="AP681" i="7"/>
  <c r="B681" i="7" s="1"/>
  <c r="AP680" i="7"/>
  <c r="B680" i="7" s="1"/>
  <c r="AP679" i="7"/>
  <c r="B679" i="7" s="1"/>
  <c r="AP678" i="7"/>
  <c r="B678" i="7" s="1"/>
  <c r="AP677" i="7"/>
  <c r="B677" i="7" s="1"/>
  <c r="AP676" i="7"/>
  <c r="B676" i="7" s="1"/>
  <c r="AP674" i="7"/>
  <c r="AP673" i="7"/>
  <c r="B669" i="7"/>
  <c r="B668" i="7"/>
  <c r="B667" i="7"/>
  <c r="B666" i="7"/>
  <c r="B665" i="7"/>
  <c r="B664" i="7"/>
  <c r="B663" i="7"/>
  <c r="B662" i="7"/>
  <c r="B661" i="7"/>
  <c r="AP323" i="7"/>
  <c r="AP561" i="7"/>
  <c r="AP555" i="7"/>
  <c r="AP456" i="7"/>
  <c r="AP357" i="7"/>
  <c r="AP441" i="7"/>
  <c r="B441" i="7" s="1" a="1"/>
  <c r="B441" i="7" s="1"/>
  <c r="AP440" i="7"/>
  <c r="B440" i="7" s="1" a="1"/>
  <c r="B440" i="7" s="1"/>
  <c r="AP439" i="7"/>
  <c r="B439" i="7" s="1" a="1"/>
  <c r="B439" i="7" s="1"/>
  <c r="AP438" i="7"/>
  <c r="B438" i="7" s="1" a="1"/>
  <c r="B438" i="7" s="1"/>
  <c r="AP437" i="7"/>
  <c r="B437" i="7" s="1" a="1"/>
  <c r="B437" i="7" s="1"/>
  <c r="AP436" i="7"/>
  <c r="B436" i="7" s="1" a="1"/>
  <c r="B436" i="7" s="1"/>
  <c r="AP318" i="7"/>
  <c r="AP303" i="7"/>
  <c r="B302" i="7" s="1" a="1"/>
  <c r="B302" i="7" s="1"/>
  <c r="AP302" i="7"/>
  <c r="B301" i="7" s="1" a="1"/>
  <c r="B301" i="7" s="1"/>
  <c r="AP301" i="7"/>
  <c r="B300" i="7" s="1" a="1"/>
  <c r="B300" i="7" s="1"/>
  <c r="AP300" i="7"/>
  <c r="B299" i="7" s="1" a="1"/>
  <c r="B299" i="7" s="1"/>
  <c r="AP299" i="7"/>
  <c r="B298" i="7" s="1" a="1"/>
  <c r="B298" i="7" s="1"/>
  <c r="AP298" i="7"/>
  <c r="AP49" i="7"/>
  <c r="AO319" i="7"/>
  <c r="AO465" i="7"/>
  <c r="AO463" i="7"/>
  <c r="AO462" i="7"/>
  <c r="AO466" i="7"/>
  <c r="AO470" i="7"/>
  <c r="AO490" i="7"/>
  <c r="AO494" i="7"/>
  <c r="AO514" i="7"/>
  <c r="AO518" i="7"/>
  <c r="AO522" i="7"/>
  <c r="AO487" i="7"/>
  <c r="AO491" i="7"/>
  <c r="AO495" i="7"/>
  <c r="AO515" i="7"/>
  <c r="AO519" i="7"/>
  <c r="AO457" i="7"/>
  <c r="AN113" i="7"/>
  <c r="AN121" i="7" l="1"/>
  <c r="AN122" i="7" s="1"/>
  <c r="R739" i="7"/>
  <c r="S739" i="7"/>
  <c r="T739" i="7"/>
  <c r="U739" i="7"/>
  <c r="V739" i="7"/>
  <c r="AL743" i="7"/>
  <c r="AM743" i="7"/>
  <c r="AN743" i="7"/>
  <c r="AO743" i="7"/>
  <c r="W740" i="7"/>
  <c r="X740" i="7"/>
  <c r="Y740" i="7"/>
  <c r="Z740" i="7"/>
  <c r="AA740" i="7"/>
  <c r="AP743" i="7"/>
  <c r="I737" i="7"/>
  <c r="J737" i="7"/>
  <c r="K737" i="7"/>
  <c r="L737" i="7"/>
  <c r="AB741" i="7"/>
  <c r="AC741" i="7"/>
  <c r="AD741" i="7"/>
  <c r="AE741" i="7"/>
  <c r="AF741" i="7"/>
  <c r="M738" i="7"/>
  <c r="N738" i="7"/>
  <c r="O738" i="7"/>
  <c r="P738" i="7"/>
  <c r="Q738" i="7"/>
  <c r="AG742" i="7"/>
  <c r="AH742" i="7"/>
  <c r="AI742" i="7"/>
  <c r="AJ742" i="7"/>
  <c r="AK742" i="7"/>
  <c r="AP326" i="7"/>
  <c r="AP376" i="7"/>
  <c r="AP378" i="7"/>
  <c r="AP382" i="7"/>
  <c r="AP331" i="7"/>
  <c r="AP380" i="7"/>
  <c r="AP349" i="7"/>
  <c r="AP351" i="7"/>
  <c r="AP353" i="7"/>
  <c r="AP329" i="7"/>
  <c r="AP327" i="7"/>
  <c r="AP355" i="7"/>
  <c r="AP325" i="7"/>
  <c r="AP354" i="7"/>
  <c r="AP332" i="7"/>
  <c r="AP379" i="7"/>
  <c r="AP324" i="7"/>
  <c r="AP350" i="7"/>
  <c r="AP375" i="7"/>
  <c r="AP383" i="7"/>
  <c r="AP330" i="7"/>
  <c r="AP328" i="7"/>
  <c r="AP352" i="7"/>
  <c r="AP356" i="7"/>
  <c r="AP377" i="7"/>
  <c r="AP381" i="7"/>
  <c r="AP737" i="7"/>
  <c r="F737" i="7"/>
  <c r="G737" i="7"/>
  <c r="H737" i="7"/>
  <c r="L739" i="7"/>
  <c r="M739" i="7"/>
  <c r="N739" i="7"/>
  <c r="R741" i="7"/>
  <c r="S741" i="7"/>
  <c r="T741" i="7"/>
  <c r="X743" i="7"/>
  <c r="Y743" i="7"/>
  <c r="Z743" i="7"/>
  <c r="AD745" i="7"/>
  <c r="AE745" i="7"/>
  <c r="AF745" i="7"/>
  <c r="I738" i="7"/>
  <c r="J738" i="7"/>
  <c r="K738" i="7"/>
  <c r="O740" i="7"/>
  <c r="P740" i="7"/>
  <c r="Q740" i="7"/>
  <c r="U742" i="7"/>
  <c r="V742" i="7"/>
  <c r="W742" i="7"/>
  <c r="AA744" i="7"/>
  <c r="AB744" i="7"/>
  <c r="AC744" i="7"/>
  <c r="AP51" i="7"/>
  <c r="AO113" i="7"/>
  <c r="AP102" i="7"/>
  <c r="AP487" i="7"/>
  <c r="AP457" i="7"/>
  <c r="AM476" i="7" s="1"/>
  <c r="AP496" i="7"/>
  <c r="AP508" i="7" s="1"/>
  <c r="O673" i="7"/>
  <c r="P673" i="7"/>
  <c r="Q673" i="7"/>
  <c r="R673" i="7"/>
  <c r="S673" i="7"/>
  <c r="T673" i="7"/>
  <c r="U673" i="7"/>
  <c r="V673" i="7"/>
  <c r="W673" i="7"/>
  <c r="X673" i="7"/>
  <c r="Y673" i="7"/>
  <c r="Z673" i="7"/>
  <c r="AM675" i="7"/>
  <c r="AN675" i="7"/>
  <c r="AO675" i="7"/>
  <c r="R705" i="7"/>
  <c r="S705" i="7"/>
  <c r="T705" i="7"/>
  <c r="U705" i="7"/>
  <c r="V705" i="7"/>
  <c r="W705" i="7"/>
  <c r="X705" i="7"/>
  <c r="Y705" i="7"/>
  <c r="Z705" i="7"/>
  <c r="AA705" i="7"/>
  <c r="AB705" i="7"/>
  <c r="AC705" i="7"/>
  <c r="AD705" i="7"/>
  <c r="AE705" i="7"/>
  <c r="AF705" i="7"/>
  <c r="W737" i="7"/>
  <c r="X737" i="7"/>
  <c r="Y737" i="7"/>
  <c r="Z737" i="7"/>
  <c r="AA737" i="7"/>
  <c r="AB737" i="7"/>
  <c r="AC737" i="7"/>
  <c r="AD737" i="7"/>
  <c r="AE737" i="7"/>
  <c r="AF737" i="7"/>
  <c r="AG737" i="7"/>
  <c r="AH737" i="7"/>
  <c r="AI737" i="7"/>
  <c r="AJ737" i="7"/>
  <c r="AK737" i="7"/>
  <c r="AL737" i="7"/>
  <c r="AM737" i="7"/>
  <c r="AN737" i="7"/>
  <c r="AO737" i="7"/>
  <c r="AP675" i="7"/>
  <c r="AP319" i="7"/>
  <c r="Z368" i="7" s="1"/>
  <c r="AP461" i="7"/>
  <c r="AP513" i="7"/>
  <c r="AP670" i="7"/>
  <c r="AP655" i="7" s="1"/>
  <c r="AP110" i="7" s="1"/>
  <c r="B660" i="7"/>
  <c r="AA674" i="7"/>
  <c r="AB674" i="7"/>
  <c r="AC674" i="7"/>
  <c r="AD674" i="7"/>
  <c r="AE674" i="7"/>
  <c r="AF674" i="7"/>
  <c r="AG674" i="7"/>
  <c r="AH674" i="7"/>
  <c r="AI674" i="7"/>
  <c r="AJ674" i="7"/>
  <c r="AK674" i="7"/>
  <c r="AL674" i="7"/>
  <c r="AP702" i="7"/>
  <c r="AP687" i="7" s="1"/>
  <c r="AP111" i="7" s="1"/>
  <c r="B692" i="7"/>
  <c r="AG706" i="7"/>
  <c r="AH706" i="7"/>
  <c r="AI706" i="7"/>
  <c r="AJ706" i="7"/>
  <c r="AK706" i="7"/>
  <c r="AL706" i="7"/>
  <c r="AM706" i="7"/>
  <c r="AN706" i="7"/>
  <c r="AO706" i="7"/>
  <c r="AP734" i="7"/>
  <c r="AP719" i="7" s="1"/>
  <c r="AP112" i="7" s="1"/>
  <c r="B724" i="7"/>
  <c r="AP706" i="7"/>
  <c r="AP360" i="7" l="1"/>
  <c r="R704" i="7"/>
  <c r="S704" i="7"/>
  <c r="S714" i="7" s="1"/>
  <c r="S686" i="7" s="1"/>
  <c r="S106" i="7" s="1"/>
  <c r="T704" i="7"/>
  <c r="T714" i="7" s="1"/>
  <c r="T686" i="7" s="1"/>
  <c r="T106" i="7" s="1"/>
  <c r="U704" i="7"/>
  <c r="U714" i="7" s="1"/>
  <c r="U686" i="7" s="1"/>
  <c r="U106" i="7" s="1"/>
  <c r="V704" i="7"/>
  <c r="V714" i="7" s="1"/>
  <c r="V686" i="7" s="1"/>
  <c r="V106" i="7" s="1"/>
  <c r="W704" i="7"/>
  <c r="W714" i="7" s="1"/>
  <c r="W686" i="7" s="1"/>
  <c r="W106" i="7" s="1"/>
  <c r="X704" i="7"/>
  <c r="X714" i="7" s="1"/>
  <c r="X686" i="7" s="1"/>
  <c r="X106" i="7" s="1"/>
  <c r="Y704" i="7"/>
  <c r="Y714" i="7" s="1"/>
  <c r="Y686" i="7" s="1"/>
  <c r="Y106" i="7" s="1"/>
  <c r="Z704" i="7"/>
  <c r="Z714" i="7" s="1"/>
  <c r="Z686" i="7" s="1"/>
  <c r="Z106" i="7" s="1"/>
  <c r="AA704" i="7"/>
  <c r="AA714" i="7" s="1"/>
  <c r="AA686" i="7" s="1"/>
  <c r="AA106" i="7" s="1"/>
  <c r="AB704" i="7"/>
  <c r="AB714" i="7" s="1"/>
  <c r="AB686" i="7" s="1"/>
  <c r="AB106" i="7" s="1"/>
  <c r="AC704" i="7"/>
  <c r="AC714" i="7" s="1"/>
  <c r="AC686" i="7" s="1"/>
  <c r="AC106" i="7" s="1"/>
  <c r="AD704" i="7"/>
  <c r="AD714" i="7" s="1"/>
  <c r="AD686" i="7" s="1"/>
  <c r="AD106" i="7" s="1"/>
  <c r="AE704" i="7"/>
  <c r="AE714" i="7" s="1"/>
  <c r="AE686" i="7" s="1"/>
  <c r="AE106" i="7" s="1"/>
  <c r="AF704" i="7"/>
  <c r="AF714" i="7" s="1"/>
  <c r="AF686" i="7" s="1"/>
  <c r="AF106" i="7" s="1"/>
  <c r="AG704" i="7"/>
  <c r="AG714" i="7" s="1"/>
  <c r="AG686" i="7" s="1"/>
  <c r="AG106" i="7" s="1"/>
  <c r="AH704" i="7"/>
  <c r="AH714" i="7" s="1"/>
  <c r="AH686" i="7" s="1"/>
  <c r="AH106" i="7" s="1"/>
  <c r="AI704" i="7"/>
  <c r="AI714" i="7" s="1"/>
  <c r="AI686" i="7" s="1"/>
  <c r="AI106" i="7" s="1"/>
  <c r="AJ704" i="7"/>
  <c r="AJ714" i="7" s="1"/>
  <c r="AJ686" i="7" s="1"/>
  <c r="AJ106" i="7" s="1"/>
  <c r="AK704" i="7"/>
  <c r="AK714" i="7" s="1"/>
  <c r="AK686" i="7" s="1"/>
  <c r="AK106" i="7" s="1"/>
  <c r="AL704" i="7"/>
  <c r="AL714" i="7" s="1"/>
  <c r="AL686" i="7" s="1"/>
  <c r="AL106" i="7" s="1"/>
  <c r="AM704" i="7"/>
  <c r="AM714" i="7" s="1"/>
  <c r="AM686" i="7" s="1"/>
  <c r="AM106" i="7" s="1"/>
  <c r="AN704" i="7"/>
  <c r="AN714" i="7" s="1"/>
  <c r="AN686" i="7" s="1"/>
  <c r="AN106" i="7" s="1"/>
  <c r="AO704" i="7"/>
  <c r="AO714" i="7" s="1"/>
  <c r="AO686" i="7" s="1"/>
  <c r="AO106" i="7" s="1"/>
  <c r="AP704" i="7"/>
  <c r="AP367" i="7"/>
  <c r="AN526" i="7"/>
  <c r="AO367" i="7"/>
  <c r="AO480" i="7"/>
  <c r="AM392" i="7"/>
  <c r="AJ531" i="7"/>
  <c r="AI392" i="7"/>
  <c r="AG392" i="7"/>
  <c r="AE392" i="7"/>
  <c r="AC392" i="7"/>
  <c r="AA392" i="7"/>
  <c r="X531" i="7"/>
  <c r="W392" i="7"/>
  <c r="U392" i="7"/>
  <c r="S392" i="7"/>
  <c r="P531" i="7"/>
  <c r="O392" i="7"/>
  <c r="L531" i="7"/>
  <c r="E531" i="7"/>
  <c r="F531" i="7"/>
  <c r="I392" i="7"/>
  <c r="D392" i="7"/>
  <c r="AN369" i="7"/>
  <c r="AK508" i="7"/>
  <c r="AJ369" i="7"/>
  <c r="AH369" i="7"/>
  <c r="AE508" i="7"/>
  <c r="AC508" i="7"/>
  <c r="AB369" i="7"/>
  <c r="Z369" i="7"/>
  <c r="X369" i="7"/>
  <c r="V369" i="7"/>
  <c r="S508" i="7"/>
  <c r="R369" i="7"/>
  <c r="P369" i="7"/>
  <c r="G508" i="7"/>
  <c r="E508" i="7"/>
  <c r="K508" i="7"/>
  <c r="K369" i="7"/>
  <c r="I369" i="7"/>
  <c r="G369" i="7"/>
  <c r="AM500" i="7"/>
  <c r="AK500" i="7"/>
  <c r="AJ361" i="7"/>
  <c r="AH361" i="7"/>
  <c r="AF361" i="7"/>
  <c r="AC500" i="7"/>
  <c r="AA500" i="7"/>
  <c r="Y500" i="7"/>
  <c r="X361" i="7"/>
  <c r="U500" i="7"/>
  <c r="S500" i="7"/>
  <c r="Q500" i="7"/>
  <c r="P361" i="7"/>
  <c r="N361" i="7"/>
  <c r="L361" i="7"/>
  <c r="I500" i="7"/>
  <c r="H361" i="7"/>
  <c r="F500" i="7"/>
  <c r="C500" i="7"/>
  <c r="AM338" i="7"/>
  <c r="AK338" i="7"/>
  <c r="AH477" i="7"/>
  <c r="AG338" i="7"/>
  <c r="AD477" i="7"/>
  <c r="AB477" i="7"/>
  <c r="Z477" i="7"/>
  <c r="X477" i="7"/>
  <c r="W338" i="7"/>
  <c r="U338" i="7"/>
  <c r="S338" i="7"/>
  <c r="Q338" i="7"/>
  <c r="O338" i="7"/>
  <c r="M338" i="7"/>
  <c r="K338" i="7"/>
  <c r="E477" i="7"/>
  <c r="D477" i="7"/>
  <c r="H338" i="7"/>
  <c r="C338" i="7"/>
  <c r="AK527" i="7"/>
  <c r="AJ388" i="7"/>
  <c r="AF388" i="7"/>
  <c r="AB388" i="7"/>
  <c r="T527" i="7"/>
  <c r="M388" i="7"/>
  <c r="E388" i="7"/>
  <c r="AL530" i="7"/>
  <c r="AE391" i="7"/>
  <c r="V530" i="7"/>
  <c r="O391" i="7"/>
  <c r="F530" i="7"/>
  <c r="AJ368" i="7"/>
  <c r="AB368" i="7"/>
  <c r="S507" i="7"/>
  <c r="C507" i="7"/>
  <c r="E368" i="7"/>
  <c r="W736" i="7"/>
  <c r="W746" i="7" s="1"/>
  <c r="W718" i="7" s="1"/>
  <c r="W107" i="7" s="1"/>
  <c r="X736" i="7"/>
  <c r="X746" i="7" s="1"/>
  <c r="X718" i="7" s="1"/>
  <c r="X107" i="7" s="1"/>
  <c r="Y736" i="7"/>
  <c r="Y746" i="7" s="1"/>
  <c r="Y718" i="7" s="1"/>
  <c r="Y107" i="7" s="1"/>
  <c r="Z736" i="7"/>
  <c r="Z746" i="7" s="1"/>
  <c r="Z718" i="7" s="1"/>
  <c r="Z107" i="7" s="1"/>
  <c r="AA736" i="7"/>
  <c r="AA746" i="7" s="1"/>
  <c r="AA718" i="7" s="1"/>
  <c r="AA107" i="7" s="1"/>
  <c r="AB736" i="7"/>
  <c r="AB746" i="7" s="1"/>
  <c r="AB718" i="7" s="1"/>
  <c r="AB107" i="7" s="1"/>
  <c r="AC736" i="7"/>
  <c r="AD736" i="7"/>
  <c r="AD746" i="7" s="1"/>
  <c r="AD718" i="7" s="1"/>
  <c r="AD107" i="7" s="1"/>
  <c r="AE736" i="7"/>
  <c r="AE746" i="7" s="1"/>
  <c r="AE718" i="7" s="1"/>
  <c r="AE107" i="7" s="1"/>
  <c r="AF736" i="7"/>
  <c r="AF746" i="7" s="1"/>
  <c r="AF718" i="7" s="1"/>
  <c r="AF107" i="7" s="1"/>
  <c r="AG736" i="7"/>
  <c r="AG746" i="7" s="1"/>
  <c r="AG718" i="7" s="1"/>
  <c r="AG107" i="7" s="1"/>
  <c r="AH736" i="7"/>
  <c r="AH746" i="7" s="1"/>
  <c r="AH718" i="7" s="1"/>
  <c r="AH107" i="7" s="1"/>
  <c r="AI736" i="7"/>
  <c r="AI746" i="7" s="1"/>
  <c r="AI718" i="7" s="1"/>
  <c r="AI107" i="7" s="1"/>
  <c r="AJ736" i="7"/>
  <c r="AJ746" i="7" s="1"/>
  <c r="AJ718" i="7" s="1"/>
  <c r="AJ107" i="7" s="1"/>
  <c r="AK736" i="7"/>
  <c r="AK746" i="7" s="1"/>
  <c r="AK718" i="7" s="1"/>
  <c r="AK107" i="7" s="1"/>
  <c r="AL736" i="7"/>
  <c r="AL746" i="7" s="1"/>
  <c r="AL718" i="7" s="1"/>
  <c r="AL107" i="7" s="1"/>
  <c r="AM736" i="7"/>
  <c r="AM746" i="7" s="1"/>
  <c r="AM718" i="7" s="1"/>
  <c r="AM107" i="7" s="1"/>
  <c r="AN736" i="7"/>
  <c r="AN746" i="7" s="1"/>
  <c r="AN718" i="7" s="1"/>
  <c r="AN107" i="7" s="1"/>
  <c r="AO736" i="7"/>
  <c r="AO746" i="7" s="1"/>
  <c r="AO718" i="7" s="1"/>
  <c r="AO107" i="7" s="1"/>
  <c r="AP736" i="7"/>
  <c r="AP746" i="7" s="1"/>
  <c r="AP718" i="7" s="1"/>
  <c r="AP107" i="7" s="1"/>
  <c r="R714" i="7"/>
  <c r="R686" i="7" s="1"/>
  <c r="R106" i="7" s="1"/>
  <c r="AP364" i="7"/>
  <c r="AP361" i="7"/>
  <c r="AO340" i="7"/>
  <c r="AN506" i="7"/>
  <c r="AN392" i="7"/>
  <c r="AK531" i="7"/>
  <c r="AI531" i="7"/>
  <c r="AG531" i="7"/>
  <c r="AE531" i="7"/>
  <c r="AD392" i="7"/>
  <c r="AA531" i="7"/>
  <c r="Z392" i="7"/>
  <c r="W531" i="7"/>
  <c r="U531" i="7"/>
  <c r="S531" i="7"/>
  <c r="R392" i="7"/>
  <c r="O531" i="7"/>
  <c r="N392" i="7"/>
  <c r="K531" i="7"/>
  <c r="K392" i="7"/>
  <c r="G531" i="7"/>
  <c r="E392" i="7"/>
  <c r="H392" i="7"/>
  <c r="AM508" i="7"/>
  <c r="AL369" i="7"/>
  <c r="AI508" i="7"/>
  <c r="AG508" i="7"/>
  <c r="AF369" i="7"/>
  <c r="AD369" i="7"/>
  <c r="AA508" i="7"/>
  <c r="Y508" i="7"/>
  <c r="W508" i="7"/>
  <c r="U508" i="7"/>
  <c r="T369" i="7"/>
  <c r="Q508" i="7"/>
  <c r="O508" i="7"/>
  <c r="H508" i="7"/>
  <c r="N369" i="7"/>
  <c r="C508" i="7"/>
  <c r="E369" i="7"/>
  <c r="L369" i="7"/>
  <c r="M369" i="7"/>
  <c r="AL500" i="7"/>
  <c r="AJ500" i="7"/>
  <c r="AH500" i="7"/>
  <c r="AF500" i="7"/>
  <c r="AE361" i="7"/>
  <c r="AC361" i="7"/>
  <c r="AA361" i="7"/>
  <c r="X500" i="7"/>
  <c r="W361" i="7"/>
  <c r="U361" i="7"/>
  <c r="S361" i="7"/>
  <c r="P500" i="7"/>
  <c r="N500" i="7"/>
  <c r="M361" i="7"/>
  <c r="K361" i="7"/>
  <c r="I361" i="7"/>
  <c r="E500" i="7"/>
  <c r="D361" i="7"/>
  <c r="C361" i="7"/>
  <c r="AL477" i="7"/>
  <c r="AJ477" i="7"/>
  <c r="AI338" i="7"/>
  <c r="AF477" i="7"/>
  <c r="AE338" i="7"/>
  <c r="AC338" i="7"/>
  <c r="AA338" i="7"/>
  <c r="Y338" i="7"/>
  <c r="V477" i="7"/>
  <c r="T477" i="7"/>
  <c r="R477" i="7"/>
  <c r="P477" i="7"/>
  <c r="N477" i="7"/>
  <c r="L477" i="7"/>
  <c r="J477" i="7"/>
  <c r="H477" i="7"/>
  <c r="F477" i="7"/>
  <c r="G338" i="7"/>
  <c r="AM527" i="7"/>
  <c r="AL388" i="7"/>
  <c r="AI388" i="7"/>
  <c r="AE388" i="7"/>
  <c r="AA388" i="7"/>
  <c r="S388" i="7"/>
  <c r="J527" i="7"/>
  <c r="AN481" i="7"/>
  <c r="AJ530" i="7"/>
  <c r="AC391" i="7"/>
  <c r="T530" i="7"/>
  <c r="M391" i="7"/>
  <c r="G391" i="7"/>
  <c r="AG507" i="7"/>
  <c r="Q507" i="7"/>
  <c r="G507" i="7"/>
  <c r="O672" i="7"/>
  <c r="O682" i="7" s="1"/>
  <c r="O654" i="7" s="1"/>
  <c r="O105" i="7" s="1"/>
  <c r="P672" i="7"/>
  <c r="P682" i="7" s="1"/>
  <c r="P654" i="7" s="1"/>
  <c r="P105" i="7" s="1"/>
  <c r="Q672" i="7"/>
  <c r="Q682" i="7" s="1"/>
  <c r="Q654" i="7" s="1"/>
  <c r="Q105" i="7" s="1"/>
  <c r="R672" i="7"/>
  <c r="R682" i="7" s="1"/>
  <c r="R654" i="7" s="1"/>
  <c r="R105" i="7" s="1"/>
  <c r="S672" i="7"/>
  <c r="S682" i="7" s="1"/>
  <c r="S654" i="7" s="1"/>
  <c r="S105" i="7" s="1"/>
  <c r="T672" i="7"/>
  <c r="T682" i="7" s="1"/>
  <c r="T654" i="7" s="1"/>
  <c r="T105" i="7" s="1"/>
  <c r="U672" i="7"/>
  <c r="U682" i="7" s="1"/>
  <c r="U654" i="7" s="1"/>
  <c r="U105" i="7" s="1"/>
  <c r="V672" i="7"/>
  <c r="V682" i="7" s="1"/>
  <c r="V654" i="7" s="1"/>
  <c r="W672" i="7"/>
  <c r="W682" i="7" s="1"/>
  <c r="W654" i="7" s="1"/>
  <c r="X672" i="7"/>
  <c r="X682" i="7" s="1"/>
  <c r="X654" i="7" s="1"/>
  <c r="Y672" i="7"/>
  <c r="Y682" i="7" s="1"/>
  <c r="Y654" i="7" s="1"/>
  <c r="Z672" i="7"/>
  <c r="Z682" i="7" s="1"/>
  <c r="Z654" i="7" s="1"/>
  <c r="AA672" i="7"/>
  <c r="AA682" i="7" s="1"/>
  <c r="AA654" i="7" s="1"/>
  <c r="AB672" i="7"/>
  <c r="AB682" i="7" s="1"/>
  <c r="AB654" i="7" s="1"/>
  <c r="AC672" i="7"/>
  <c r="AC682" i="7" s="1"/>
  <c r="AC654" i="7" s="1"/>
  <c r="AD672" i="7"/>
  <c r="AD682" i="7" s="1"/>
  <c r="AD654" i="7" s="1"/>
  <c r="AE672" i="7"/>
  <c r="AE682" i="7" s="1"/>
  <c r="AE654" i="7" s="1"/>
  <c r="AF672" i="7"/>
  <c r="AF682" i="7" s="1"/>
  <c r="AF654" i="7" s="1"/>
  <c r="AG672" i="7"/>
  <c r="AG682" i="7" s="1"/>
  <c r="AG654" i="7" s="1"/>
  <c r="AH672" i="7"/>
  <c r="AH682" i="7" s="1"/>
  <c r="AH654" i="7" s="1"/>
  <c r="AI672" i="7"/>
  <c r="AI682" i="7" s="1"/>
  <c r="AI654" i="7" s="1"/>
  <c r="AJ672" i="7"/>
  <c r="AJ682" i="7" s="1"/>
  <c r="AJ654" i="7" s="1"/>
  <c r="AK672" i="7"/>
  <c r="AK682" i="7" s="1"/>
  <c r="AK654" i="7" s="1"/>
  <c r="AL672" i="7"/>
  <c r="AL682" i="7" s="1"/>
  <c r="AL654" i="7" s="1"/>
  <c r="AM672" i="7"/>
  <c r="AM682" i="7" s="1"/>
  <c r="AM654" i="7" s="1"/>
  <c r="AN672" i="7"/>
  <c r="AN682" i="7" s="1"/>
  <c r="AN654" i="7" s="1"/>
  <c r="AO672" i="7"/>
  <c r="AO682" i="7" s="1"/>
  <c r="AO654" i="7" s="1"/>
  <c r="AP672" i="7"/>
  <c r="AP682" i="7" s="1"/>
  <c r="AP654" i="7" s="1"/>
  <c r="AP105" i="7" s="1"/>
  <c r="AO392" i="7"/>
  <c r="H339" i="7"/>
  <c r="I339" i="7"/>
  <c r="L339" i="7"/>
  <c r="N339" i="7"/>
  <c r="V339" i="7"/>
  <c r="Z339" i="7"/>
  <c r="AD339" i="7"/>
  <c r="AH339" i="7"/>
  <c r="AJ339" i="7"/>
  <c r="AL339" i="7"/>
  <c r="I362" i="7"/>
  <c r="M362" i="7"/>
  <c r="U362" i="7"/>
  <c r="Y362" i="7"/>
  <c r="AG362" i="7"/>
  <c r="AI362" i="7"/>
  <c r="AK362" i="7"/>
  <c r="H393" i="7"/>
  <c r="F393" i="7"/>
  <c r="K393" i="7"/>
  <c r="M393" i="7"/>
  <c r="O393" i="7"/>
  <c r="Q393" i="7"/>
  <c r="S393" i="7"/>
  <c r="W393" i="7"/>
  <c r="Y393" i="7"/>
  <c r="AA393" i="7"/>
  <c r="AM393" i="7"/>
  <c r="AO336" i="7"/>
  <c r="D340" i="7"/>
  <c r="J340" i="7"/>
  <c r="M340" i="7"/>
  <c r="O340" i="7"/>
  <c r="S340" i="7"/>
  <c r="AO335" i="7"/>
  <c r="AO361" i="7"/>
  <c r="G339" i="7"/>
  <c r="J339" i="7"/>
  <c r="K339" i="7"/>
  <c r="O339" i="7"/>
  <c r="Q339" i="7"/>
  <c r="S339" i="7"/>
  <c r="Y339" i="7"/>
  <c r="AC339" i="7"/>
  <c r="C362" i="7"/>
  <c r="E362" i="7"/>
  <c r="K362" i="7"/>
  <c r="O362" i="7"/>
  <c r="Q362" i="7"/>
  <c r="S362" i="7"/>
  <c r="W362" i="7"/>
  <c r="AA362" i="7"/>
  <c r="AC362" i="7"/>
  <c r="AE362" i="7"/>
  <c r="AM362" i="7"/>
  <c r="D393" i="7"/>
  <c r="C393" i="7"/>
  <c r="P393" i="7"/>
  <c r="R393" i="7"/>
  <c r="T393" i="7"/>
  <c r="V393" i="7"/>
  <c r="AB393" i="7"/>
  <c r="AF393" i="7"/>
  <c r="AH393" i="7"/>
  <c r="AL393" i="7"/>
  <c r="AN393" i="7"/>
  <c r="G340" i="7"/>
  <c r="C340" i="7"/>
  <c r="Q340" i="7"/>
  <c r="U340" i="7"/>
  <c r="W340" i="7"/>
  <c r="AK340" i="7"/>
  <c r="AO390" i="7"/>
  <c r="E339" i="7"/>
  <c r="F339" i="7"/>
  <c r="M339" i="7"/>
  <c r="U339" i="7"/>
  <c r="W339" i="7"/>
  <c r="AA339" i="7"/>
  <c r="AE339" i="7"/>
  <c r="AG339" i="7"/>
  <c r="AI339" i="7"/>
  <c r="AK339" i="7"/>
  <c r="AM339" i="7"/>
  <c r="F362" i="7"/>
  <c r="L362" i="7"/>
  <c r="P362" i="7"/>
  <c r="R362" i="7"/>
  <c r="T362" i="7"/>
  <c r="V362" i="7"/>
  <c r="AF362" i="7"/>
  <c r="AN362" i="7"/>
  <c r="E393" i="7"/>
  <c r="I393" i="7"/>
  <c r="L393" i="7"/>
  <c r="N393" i="7"/>
  <c r="X393" i="7"/>
  <c r="Z393" i="7"/>
  <c r="AD393" i="7"/>
  <c r="AJ393" i="7"/>
  <c r="F340" i="7"/>
  <c r="I340" i="7"/>
  <c r="K340" i="7"/>
  <c r="L340" i="7"/>
  <c r="N340" i="7"/>
  <c r="P340" i="7"/>
  <c r="R340" i="7"/>
  <c r="T340" i="7"/>
  <c r="V340" i="7"/>
  <c r="X340" i="7"/>
  <c r="Z340" i="7"/>
  <c r="AB340" i="7"/>
  <c r="AD340" i="7"/>
  <c r="AO362" i="7"/>
  <c r="AP369" i="7"/>
  <c r="AO388" i="7"/>
  <c r="D339" i="7"/>
  <c r="C339" i="7"/>
  <c r="P339" i="7"/>
  <c r="R339" i="7"/>
  <c r="T339" i="7"/>
  <c r="X339" i="7"/>
  <c r="AB339" i="7"/>
  <c r="AF339" i="7"/>
  <c r="AN339" i="7"/>
  <c r="D362" i="7"/>
  <c r="G362" i="7"/>
  <c r="H362" i="7"/>
  <c r="J362" i="7"/>
  <c r="N362" i="7"/>
  <c r="X362" i="7"/>
  <c r="Z362" i="7"/>
  <c r="AB362" i="7"/>
  <c r="AD362" i="7"/>
  <c r="AH362" i="7"/>
  <c r="AJ362" i="7"/>
  <c r="AL362" i="7"/>
  <c r="G393" i="7"/>
  <c r="J393" i="7"/>
  <c r="U393" i="7"/>
  <c r="AC393" i="7"/>
  <c r="AE393" i="7"/>
  <c r="AG393" i="7"/>
  <c r="AI393" i="7"/>
  <c r="AK393" i="7"/>
  <c r="AO343" i="7"/>
  <c r="H340" i="7"/>
  <c r="E340" i="7"/>
  <c r="Y340" i="7"/>
  <c r="AE340" i="7"/>
  <c r="AH340" i="7"/>
  <c r="AJ340" i="7"/>
  <c r="AM340" i="7"/>
  <c r="F363" i="7"/>
  <c r="L363" i="7"/>
  <c r="P363" i="7"/>
  <c r="R363" i="7"/>
  <c r="T363" i="7"/>
  <c r="V363" i="7"/>
  <c r="X363" i="7"/>
  <c r="Z363" i="7"/>
  <c r="AD363" i="7"/>
  <c r="AF363" i="7"/>
  <c r="AJ363" i="7"/>
  <c r="F394" i="7"/>
  <c r="J394" i="7"/>
  <c r="N394" i="7"/>
  <c r="P394" i="7"/>
  <c r="R394" i="7"/>
  <c r="T394" i="7"/>
  <c r="V394" i="7"/>
  <c r="AA340" i="7"/>
  <c r="AF340" i="7"/>
  <c r="G363" i="7"/>
  <c r="J363" i="7"/>
  <c r="N363" i="7"/>
  <c r="AC340" i="7"/>
  <c r="AI340" i="7"/>
  <c r="AN340" i="7"/>
  <c r="E363" i="7"/>
  <c r="H363" i="7"/>
  <c r="I363" i="7"/>
  <c r="Q363" i="7"/>
  <c r="U363" i="7"/>
  <c r="Y363" i="7"/>
  <c r="AC363" i="7"/>
  <c r="AE363" i="7"/>
  <c r="AK363" i="7"/>
  <c r="E394" i="7"/>
  <c r="C394" i="7"/>
  <c r="H394" i="7"/>
  <c r="S394" i="7"/>
  <c r="Y394" i="7"/>
  <c r="AG394" i="7"/>
  <c r="AI394" i="7"/>
  <c r="F341" i="7"/>
  <c r="D341" i="7"/>
  <c r="L341" i="7"/>
  <c r="U341" i="7"/>
  <c r="AE341" i="7"/>
  <c r="AG341" i="7"/>
  <c r="AI341" i="7"/>
  <c r="AM341" i="7"/>
  <c r="E364" i="7"/>
  <c r="H364" i="7"/>
  <c r="I364" i="7"/>
  <c r="M364" i="7"/>
  <c r="O364" i="7"/>
  <c r="Q364" i="7"/>
  <c r="U364" i="7"/>
  <c r="Y364" i="7"/>
  <c r="AC364" i="7"/>
  <c r="E387" i="7"/>
  <c r="J387" i="7"/>
  <c r="AG340" i="7"/>
  <c r="AL340" i="7"/>
  <c r="D363" i="7"/>
  <c r="C363" i="7"/>
  <c r="K363" i="7"/>
  <c r="M363" i="7"/>
  <c r="O363" i="7"/>
  <c r="S363" i="7"/>
  <c r="W363" i="7"/>
  <c r="AA363" i="7"/>
  <c r="AG363" i="7"/>
  <c r="AI363" i="7"/>
  <c r="AM363" i="7"/>
  <c r="D394" i="7"/>
  <c r="K394" i="7"/>
  <c r="G394" i="7"/>
  <c r="AD394" i="7"/>
  <c r="AJ394" i="7"/>
  <c r="AO338" i="7"/>
  <c r="H341" i="7"/>
  <c r="I341" i="7"/>
  <c r="E341" i="7"/>
  <c r="M341" i="7"/>
  <c r="O341" i="7"/>
  <c r="Q341" i="7"/>
  <c r="S341" i="7"/>
  <c r="W341" i="7"/>
  <c r="Y341" i="7"/>
  <c r="AA341" i="7"/>
  <c r="AC341" i="7"/>
  <c r="AK341" i="7"/>
  <c r="C364" i="7"/>
  <c r="F364" i="7"/>
  <c r="J364" i="7"/>
  <c r="N364" i="7"/>
  <c r="P364" i="7"/>
  <c r="R364" i="7"/>
  <c r="T364" i="7"/>
  <c r="X364" i="7"/>
  <c r="AH364" i="7"/>
  <c r="AH363" i="7"/>
  <c r="L394" i="7"/>
  <c r="U394" i="7"/>
  <c r="Z394" i="7"/>
  <c r="AH394" i="7"/>
  <c r="AL394" i="7"/>
  <c r="AO393" i="7"/>
  <c r="J341" i="7"/>
  <c r="V341" i="7"/>
  <c r="AH341" i="7"/>
  <c r="D364" i="7"/>
  <c r="L364" i="7"/>
  <c r="AB363" i="7"/>
  <c r="I394" i="7"/>
  <c r="O394" i="7"/>
  <c r="W394" i="7"/>
  <c r="AA394" i="7"/>
  <c r="AE394" i="7"/>
  <c r="AM394" i="7"/>
  <c r="C341" i="7"/>
  <c r="N341" i="7"/>
  <c r="R341" i="7"/>
  <c r="Z341" i="7"/>
  <c r="AD341" i="7"/>
  <c r="AL341" i="7"/>
  <c r="G364" i="7"/>
  <c r="AG364" i="7"/>
  <c r="AK364" i="7"/>
  <c r="F387" i="7"/>
  <c r="N387" i="7"/>
  <c r="R387" i="7"/>
  <c r="T387" i="7"/>
  <c r="V387" i="7"/>
  <c r="Z387" i="7"/>
  <c r="AD387" i="7"/>
  <c r="AF387" i="7"/>
  <c r="I395" i="7"/>
  <c r="F395" i="7"/>
  <c r="S395" i="7"/>
  <c r="W395" i="7"/>
  <c r="AA395" i="7"/>
  <c r="AK395" i="7"/>
  <c r="AO368" i="7"/>
  <c r="I365" i="7"/>
  <c r="G365" i="7"/>
  <c r="J365" i="7"/>
  <c r="N365" i="7"/>
  <c r="P365" i="7"/>
  <c r="T365" i="7"/>
  <c r="V365" i="7"/>
  <c r="X365" i="7"/>
  <c r="AB365" i="7"/>
  <c r="AJ365" i="7"/>
  <c r="AL365" i="7"/>
  <c r="F335" i="7"/>
  <c r="H335" i="7"/>
  <c r="AL363" i="7"/>
  <c r="M394" i="7"/>
  <c r="Q394" i="7"/>
  <c r="X394" i="7"/>
  <c r="AB394" i="7"/>
  <c r="AF394" i="7"/>
  <c r="AN394" i="7"/>
  <c r="G341" i="7"/>
  <c r="X341" i="7"/>
  <c r="AB341" i="7"/>
  <c r="AF341" i="7"/>
  <c r="AJ341" i="7"/>
  <c r="V364" i="7"/>
  <c r="Z364" i="7"/>
  <c r="AD364" i="7"/>
  <c r="AL364" i="7"/>
  <c r="AN364" i="7"/>
  <c r="H387" i="7"/>
  <c r="Q387" i="7"/>
  <c r="U387" i="7"/>
  <c r="Y387" i="7"/>
  <c r="AA387" i="7"/>
  <c r="AC387" i="7"/>
  <c r="AG387" i="7"/>
  <c r="AI387" i="7"/>
  <c r="AK387" i="7"/>
  <c r="C395" i="7"/>
  <c r="E395" i="7"/>
  <c r="J395" i="7"/>
  <c r="O395" i="7"/>
  <c r="Q395" i="7"/>
  <c r="U395" i="7"/>
  <c r="Y395" i="7"/>
  <c r="AC395" i="7"/>
  <c r="AE395" i="7"/>
  <c r="AG395" i="7"/>
  <c r="AI395" i="7"/>
  <c r="AM395" i="7"/>
  <c r="F365" i="7"/>
  <c r="D365" i="7"/>
  <c r="L365" i="7"/>
  <c r="R365" i="7"/>
  <c r="Z365" i="7"/>
  <c r="AD365" i="7"/>
  <c r="AF365" i="7"/>
  <c r="AH365" i="7"/>
  <c r="AN365" i="7"/>
  <c r="E335" i="7"/>
  <c r="AN363" i="7"/>
  <c r="AC394" i="7"/>
  <c r="AK394" i="7"/>
  <c r="K341" i="7"/>
  <c r="P341" i="7"/>
  <c r="T341" i="7"/>
  <c r="AN341" i="7"/>
  <c r="K364" i="7"/>
  <c r="S364" i="7"/>
  <c r="W364" i="7"/>
  <c r="AA364" i="7"/>
  <c r="AE364" i="7"/>
  <c r="AI364" i="7"/>
  <c r="C387" i="7"/>
  <c r="G387" i="7"/>
  <c r="I387" i="7"/>
  <c r="K387" i="7"/>
  <c r="M387" i="7"/>
  <c r="O387" i="7"/>
  <c r="S387" i="7"/>
  <c r="W387" i="7"/>
  <c r="AE387" i="7"/>
  <c r="AM387" i="7"/>
  <c r="L395" i="7"/>
  <c r="K395" i="7"/>
  <c r="H395" i="7"/>
  <c r="N395" i="7"/>
  <c r="R395" i="7"/>
  <c r="T395" i="7"/>
  <c r="V395" i="7"/>
  <c r="AB395" i="7"/>
  <c r="AF395" i="7"/>
  <c r="AH395" i="7"/>
  <c r="AJ395" i="7"/>
  <c r="AL395" i="7"/>
  <c r="AN395" i="7"/>
  <c r="AO394" i="7"/>
  <c r="AO363" i="7"/>
  <c r="H365" i="7"/>
  <c r="O365" i="7"/>
  <c r="S365" i="7"/>
  <c r="U365" i="7"/>
  <c r="AA365" i="7"/>
  <c r="AC365" i="7"/>
  <c r="AE365" i="7"/>
  <c r="AG365" i="7"/>
  <c r="AK365" i="7"/>
  <c r="AM365" i="7"/>
  <c r="AJ364" i="7"/>
  <c r="AH387" i="7"/>
  <c r="D395" i="7"/>
  <c r="E365" i="7"/>
  <c r="K365" i="7"/>
  <c r="AI365" i="7"/>
  <c r="D335" i="7"/>
  <c r="G335" i="7"/>
  <c r="N335" i="7"/>
  <c r="R335" i="7"/>
  <c r="T335" i="7"/>
  <c r="X335" i="7"/>
  <c r="AB335" i="7"/>
  <c r="AD335" i="7"/>
  <c r="AH335" i="7"/>
  <c r="AL335" i="7"/>
  <c r="J343" i="7"/>
  <c r="I343" i="7"/>
  <c r="D343" i="7"/>
  <c r="P343" i="7"/>
  <c r="V343" i="7"/>
  <c r="AH343" i="7"/>
  <c r="AN343" i="7"/>
  <c r="F366" i="7"/>
  <c r="G366" i="7"/>
  <c r="O366" i="7"/>
  <c r="S366" i="7"/>
  <c r="W366" i="7"/>
  <c r="AE366" i="7"/>
  <c r="AG366" i="7"/>
  <c r="AI366" i="7"/>
  <c r="AK366" i="7"/>
  <c r="AM366" i="7"/>
  <c r="F389" i="7"/>
  <c r="D389" i="7"/>
  <c r="H389" i="7"/>
  <c r="K389" i="7"/>
  <c r="Q389" i="7"/>
  <c r="W389" i="7"/>
  <c r="Y389" i="7"/>
  <c r="AM364" i="7"/>
  <c r="L387" i="7"/>
  <c r="AB387" i="7"/>
  <c r="AJ387" i="7"/>
  <c r="G395" i="7"/>
  <c r="AD395" i="7"/>
  <c r="C365" i="7"/>
  <c r="M365" i="7"/>
  <c r="J335" i="7"/>
  <c r="L335" i="7"/>
  <c r="P335" i="7"/>
  <c r="V335" i="7"/>
  <c r="Z335" i="7"/>
  <c r="AF335" i="7"/>
  <c r="AJ335" i="7"/>
  <c r="AN335" i="7"/>
  <c r="H343" i="7"/>
  <c r="F343" i="7"/>
  <c r="N343" i="7"/>
  <c r="O343" i="7"/>
  <c r="U343" i="7"/>
  <c r="AB364" i="7"/>
  <c r="D387" i="7"/>
  <c r="AL387" i="7"/>
  <c r="M395" i="7"/>
  <c r="P395" i="7"/>
  <c r="X395" i="7"/>
  <c r="W365" i="7"/>
  <c r="I335" i="7"/>
  <c r="K335" i="7"/>
  <c r="O335" i="7"/>
  <c r="Q335" i="7"/>
  <c r="S335" i="7"/>
  <c r="W335" i="7"/>
  <c r="AI335" i="7"/>
  <c r="AM335" i="7"/>
  <c r="G343" i="7"/>
  <c r="E343" i="7"/>
  <c r="K343" i="7"/>
  <c r="Q343" i="7"/>
  <c r="S343" i="7"/>
  <c r="W343" i="7"/>
  <c r="AG343" i="7"/>
  <c r="AI343" i="7"/>
  <c r="AK343" i="7"/>
  <c r="E366" i="7"/>
  <c r="J366" i="7"/>
  <c r="K366" i="7"/>
  <c r="L366" i="7"/>
  <c r="N366" i="7"/>
  <c r="P366" i="7"/>
  <c r="AF366" i="7"/>
  <c r="AJ366" i="7"/>
  <c r="E389" i="7"/>
  <c r="J389" i="7"/>
  <c r="L389" i="7"/>
  <c r="R389" i="7"/>
  <c r="T389" i="7"/>
  <c r="X389" i="7"/>
  <c r="Z389" i="7"/>
  <c r="AH389" i="7"/>
  <c r="AF364" i="7"/>
  <c r="P387" i="7"/>
  <c r="X387" i="7"/>
  <c r="AN387" i="7"/>
  <c r="Z395" i="7"/>
  <c r="AO369" i="7"/>
  <c r="Q365" i="7"/>
  <c r="Y365" i="7"/>
  <c r="C335" i="7"/>
  <c r="M335" i="7"/>
  <c r="U335" i="7"/>
  <c r="Y335" i="7"/>
  <c r="AA335" i="7"/>
  <c r="AC335" i="7"/>
  <c r="AE335" i="7"/>
  <c r="AG335" i="7"/>
  <c r="AK335" i="7"/>
  <c r="C343" i="7"/>
  <c r="L343" i="7"/>
  <c r="M343" i="7"/>
  <c r="R343" i="7"/>
  <c r="T343" i="7"/>
  <c r="X343" i="7"/>
  <c r="Z343" i="7"/>
  <c r="AB343" i="7"/>
  <c r="AD343" i="7"/>
  <c r="AF343" i="7"/>
  <c r="AJ343" i="7"/>
  <c r="AL343" i="7"/>
  <c r="D366" i="7"/>
  <c r="C366" i="7"/>
  <c r="R366" i="7"/>
  <c r="T366" i="7"/>
  <c r="V366" i="7"/>
  <c r="X366" i="7"/>
  <c r="Z366" i="7"/>
  <c r="AB366" i="7"/>
  <c r="AD366" i="7"/>
  <c r="AH366" i="7"/>
  <c r="AL366" i="7"/>
  <c r="AN366" i="7"/>
  <c r="C389" i="7"/>
  <c r="I389" i="7"/>
  <c r="M389" i="7"/>
  <c r="O389" i="7"/>
  <c r="S389" i="7"/>
  <c r="U389" i="7"/>
  <c r="AA389" i="7"/>
  <c r="AE343" i="7"/>
  <c r="AM343" i="7"/>
  <c r="Q366" i="7"/>
  <c r="Y366" i="7"/>
  <c r="G389" i="7"/>
  <c r="AB389" i="7"/>
  <c r="AJ389" i="7"/>
  <c r="AL389" i="7"/>
  <c r="AO339" i="7"/>
  <c r="L342" i="7"/>
  <c r="J342" i="7"/>
  <c r="O342" i="7"/>
  <c r="Q342" i="7"/>
  <c r="Y342" i="7"/>
  <c r="AA342" i="7"/>
  <c r="AC342" i="7"/>
  <c r="AI342" i="7"/>
  <c r="AK342" i="7"/>
  <c r="AM342" i="7"/>
  <c r="C336" i="7"/>
  <c r="F336" i="7"/>
  <c r="H336" i="7"/>
  <c r="I336" i="7"/>
  <c r="K336" i="7"/>
  <c r="M336" i="7"/>
  <c r="O336" i="7"/>
  <c r="S336" i="7"/>
  <c r="AA336" i="7"/>
  <c r="AI336" i="7"/>
  <c r="H367" i="7"/>
  <c r="D367" i="7"/>
  <c r="N367" i="7"/>
  <c r="R367" i="7"/>
  <c r="T367" i="7"/>
  <c r="X367" i="7"/>
  <c r="Z367" i="7"/>
  <c r="AD367" i="7"/>
  <c r="AH367" i="7"/>
  <c r="AJ367" i="7"/>
  <c r="AL367" i="7"/>
  <c r="F390" i="7"/>
  <c r="J390" i="7"/>
  <c r="L390" i="7"/>
  <c r="P390" i="7"/>
  <c r="Z390" i="7"/>
  <c r="AB390" i="7"/>
  <c r="AD390" i="7"/>
  <c r="AF390" i="7"/>
  <c r="AH390" i="7"/>
  <c r="E337" i="7"/>
  <c r="G337" i="7"/>
  <c r="M337" i="7"/>
  <c r="Q337" i="7"/>
  <c r="W337" i="7"/>
  <c r="Y337" i="7"/>
  <c r="AC337" i="7"/>
  <c r="AG337" i="7"/>
  <c r="AI337" i="7"/>
  <c r="AK337" i="7"/>
  <c r="AM337" i="7"/>
  <c r="L368" i="7"/>
  <c r="C368" i="7"/>
  <c r="H368" i="7"/>
  <c r="P368" i="7"/>
  <c r="R368" i="7"/>
  <c r="T368" i="7"/>
  <c r="AD368" i="7"/>
  <c r="AF368" i="7"/>
  <c r="AH368" i="7"/>
  <c r="D391" i="7"/>
  <c r="C391" i="7"/>
  <c r="J391" i="7"/>
  <c r="L391" i="7"/>
  <c r="N391" i="7"/>
  <c r="T391" i="7"/>
  <c r="AD391" i="7"/>
  <c r="AF391" i="7"/>
  <c r="AH391" i="7"/>
  <c r="AN391" i="7"/>
  <c r="AO364" i="7"/>
  <c r="H388" i="7"/>
  <c r="J388" i="7"/>
  <c r="N388" i="7"/>
  <c r="T388" i="7"/>
  <c r="V388" i="7"/>
  <c r="Z388" i="7"/>
  <c r="Y343" i="7"/>
  <c r="I366" i="7"/>
  <c r="AA366" i="7"/>
  <c r="N389" i="7"/>
  <c r="V389" i="7"/>
  <c r="AC389" i="7"/>
  <c r="AF389" i="7"/>
  <c r="AI389" i="7"/>
  <c r="AK389" i="7"/>
  <c r="AM389" i="7"/>
  <c r="C342" i="7"/>
  <c r="E342" i="7"/>
  <c r="G342" i="7"/>
  <c r="S342" i="7"/>
  <c r="U342" i="7"/>
  <c r="W342" i="7"/>
  <c r="AE342" i="7"/>
  <c r="AG342" i="7"/>
  <c r="D336" i="7"/>
  <c r="G336" i="7"/>
  <c r="J336" i="7"/>
  <c r="N336" i="7"/>
  <c r="P336" i="7"/>
  <c r="R336" i="7"/>
  <c r="T336" i="7"/>
  <c r="V336" i="7"/>
  <c r="Z336" i="7"/>
  <c r="AD336" i="7"/>
  <c r="AH336" i="7"/>
  <c r="AN336" i="7"/>
  <c r="E367" i="7"/>
  <c r="G367" i="7"/>
  <c r="L367" i="7"/>
  <c r="P367" i="7"/>
  <c r="V367" i="7"/>
  <c r="AB367" i="7"/>
  <c r="AF367" i="7"/>
  <c r="AN367" i="7"/>
  <c r="H390" i="7"/>
  <c r="I390" i="7"/>
  <c r="K390" i="7"/>
  <c r="O390" i="7"/>
  <c r="Q390" i="7"/>
  <c r="U390" i="7"/>
  <c r="Y390" i="7"/>
  <c r="AA390" i="7"/>
  <c r="AE390" i="7"/>
  <c r="AG390" i="7"/>
  <c r="AK390" i="7"/>
  <c r="AM390" i="7"/>
  <c r="C337" i="7"/>
  <c r="H337" i="7"/>
  <c r="J337" i="7"/>
  <c r="L337" i="7"/>
  <c r="N337" i="7"/>
  <c r="P337" i="7"/>
  <c r="T337" i="7"/>
  <c r="V337" i="7"/>
  <c r="AF337" i="7"/>
  <c r="AA343" i="7"/>
  <c r="H366" i="7"/>
  <c r="M366" i="7"/>
  <c r="U366" i="7"/>
  <c r="AC366" i="7"/>
  <c r="P389" i="7"/>
  <c r="AD389" i="7"/>
  <c r="AG389" i="7"/>
  <c r="F342" i="7"/>
  <c r="I342" i="7"/>
  <c r="K342" i="7"/>
  <c r="M342" i="7"/>
  <c r="P342" i="7"/>
  <c r="R342" i="7"/>
  <c r="AB342" i="7"/>
  <c r="AF342" i="7"/>
  <c r="AJ342" i="7"/>
  <c r="L336" i="7"/>
  <c r="X336" i="7"/>
  <c r="AB336" i="7"/>
  <c r="AF336" i="7"/>
  <c r="AJ336" i="7"/>
  <c r="AL336" i="7"/>
  <c r="C367" i="7"/>
  <c r="J367" i="7"/>
  <c r="U367" i="7"/>
  <c r="Y367" i="7"/>
  <c r="AA367" i="7"/>
  <c r="AC367" i="7"/>
  <c r="AE367" i="7"/>
  <c r="AK367" i="7"/>
  <c r="C390" i="7"/>
  <c r="D390" i="7"/>
  <c r="M390" i="7"/>
  <c r="S390" i="7"/>
  <c r="W390" i="7"/>
  <c r="AC390" i="7"/>
  <c r="AI390" i="7"/>
  <c r="AO366" i="7"/>
  <c r="D337" i="7"/>
  <c r="R337" i="7"/>
  <c r="X337" i="7"/>
  <c r="Z337" i="7"/>
  <c r="AB337" i="7"/>
  <c r="AD337" i="7"/>
  <c r="AH337" i="7"/>
  <c r="AL337" i="7"/>
  <c r="AN337" i="7"/>
  <c r="F368" i="7"/>
  <c r="G368" i="7"/>
  <c r="M368" i="7"/>
  <c r="O368" i="7"/>
  <c r="AE368" i="7"/>
  <c r="AG368" i="7"/>
  <c r="AI368" i="7"/>
  <c r="AM368" i="7"/>
  <c r="E391" i="7"/>
  <c r="H391" i="7"/>
  <c r="K391" i="7"/>
  <c r="Q391" i="7"/>
  <c r="S391" i="7"/>
  <c r="U391" i="7"/>
  <c r="W391" i="7"/>
  <c r="AA391" i="7"/>
  <c r="AK391" i="7"/>
  <c r="AM391" i="7"/>
  <c r="AO342" i="7"/>
  <c r="C388" i="7"/>
  <c r="D388" i="7"/>
  <c r="G388" i="7"/>
  <c r="K388" i="7"/>
  <c r="O388" i="7"/>
  <c r="U388" i="7"/>
  <c r="W388" i="7"/>
  <c r="Y388" i="7"/>
  <c r="AC343" i="7"/>
  <c r="AE389" i="7"/>
  <c r="AN389" i="7"/>
  <c r="D342" i="7"/>
  <c r="H342" i="7"/>
  <c r="N342" i="7"/>
  <c r="T342" i="7"/>
  <c r="V342" i="7"/>
  <c r="X342" i="7"/>
  <c r="Z342" i="7"/>
  <c r="AD342" i="7"/>
  <c r="AH342" i="7"/>
  <c r="AL342" i="7"/>
  <c r="AN342" i="7"/>
  <c r="E336" i="7"/>
  <c r="Q336" i="7"/>
  <c r="U336" i="7"/>
  <c r="W336" i="7"/>
  <c r="Y336" i="7"/>
  <c r="AC336" i="7"/>
  <c r="AE336" i="7"/>
  <c r="AG336" i="7"/>
  <c r="AK336" i="7"/>
  <c r="AM336" i="7"/>
  <c r="I367" i="7"/>
  <c r="K367" i="7"/>
  <c r="F367" i="7"/>
  <c r="M367" i="7"/>
  <c r="O367" i="7"/>
  <c r="Q367" i="7"/>
  <c r="S367" i="7"/>
  <c r="W367" i="7"/>
  <c r="AG367" i="7"/>
  <c r="AI367" i="7"/>
  <c r="AM367" i="7"/>
  <c r="E390" i="7"/>
  <c r="G390" i="7"/>
  <c r="N390" i="7"/>
  <c r="R390" i="7"/>
  <c r="T390" i="7"/>
  <c r="V390" i="7"/>
  <c r="X390" i="7"/>
  <c r="AJ390" i="7"/>
  <c r="AL390" i="7"/>
  <c r="AN390" i="7"/>
  <c r="AO389" i="7"/>
  <c r="F337" i="7"/>
  <c r="I337" i="7"/>
  <c r="K337" i="7"/>
  <c r="O337" i="7"/>
  <c r="S337" i="7"/>
  <c r="U337" i="7"/>
  <c r="AA337" i="7"/>
  <c r="AE337" i="7"/>
  <c r="K368" i="7"/>
  <c r="J368" i="7"/>
  <c r="I368" i="7"/>
  <c r="Q368" i="7"/>
  <c r="S368" i="7"/>
  <c r="U368" i="7"/>
  <c r="W368" i="7"/>
  <c r="Y368" i="7"/>
  <c r="AA368" i="7"/>
  <c r="AC368" i="7"/>
  <c r="AK368" i="7"/>
  <c r="F391" i="7"/>
  <c r="I391" i="7"/>
  <c r="P391" i="7"/>
  <c r="R391" i="7"/>
  <c r="V391" i="7"/>
  <c r="X391" i="7"/>
  <c r="Z391" i="7"/>
  <c r="AB391" i="7"/>
  <c r="AJ391" i="7"/>
  <c r="AL391" i="7"/>
  <c r="AO395" i="7"/>
  <c r="AO365" i="7"/>
  <c r="F388" i="7"/>
  <c r="L388" i="7"/>
  <c r="P388" i="7"/>
  <c r="R388" i="7"/>
  <c r="X388" i="7"/>
  <c r="AD388" i="7"/>
  <c r="AH388" i="7"/>
  <c r="AO477" i="7"/>
  <c r="AO531" i="7"/>
  <c r="AO530" i="7"/>
  <c r="AN528" i="7"/>
  <c r="AN503" i="7"/>
  <c r="AN477" i="7"/>
  <c r="AO475" i="7"/>
  <c r="AO478" i="7"/>
  <c r="D478" i="7"/>
  <c r="I478" i="7"/>
  <c r="O478" i="7"/>
  <c r="Q478" i="7"/>
  <c r="S478" i="7"/>
  <c r="W478" i="7"/>
  <c r="AA478" i="7"/>
  <c r="AE478" i="7"/>
  <c r="AM478" i="7"/>
  <c r="C501" i="7"/>
  <c r="E501" i="7"/>
  <c r="J501" i="7"/>
  <c r="N501" i="7"/>
  <c r="P501" i="7"/>
  <c r="R501" i="7"/>
  <c r="V501" i="7"/>
  <c r="Z501" i="7"/>
  <c r="AB501" i="7"/>
  <c r="AD501" i="7"/>
  <c r="AL501" i="7"/>
  <c r="H532" i="7"/>
  <c r="K532" i="7"/>
  <c r="T532" i="7"/>
  <c r="AB532" i="7"/>
  <c r="AD532" i="7"/>
  <c r="AF532" i="7"/>
  <c r="AH532" i="7"/>
  <c r="AJ532" i="7"/>
  <c r="AO476" i="7"/>
  <c r="I479" i="7"/>
  <c r="G479" i="7"/>
  <c r="P479" i="7"/>
  <c r="T479" i="7"/>
  <c r="V479" i="7"/>
  <c r="AO534" i="7"/>
  <c r="AO506" i="7"/>
  <c r="AN475" i="7"/>
  <c r="AN507" i="7"/>
  <c r="AN500" i="7"/>
  <c r="AO526" i="7"/>
  <c r="AO502" i="7"/>
  <c r="G478" i="7"/>
  <c r="L478" i="7"/>
  <c r="T478" i="7"/>
  <c r="V478" i="7"/>
  <c r="Z478" i="7"/>
  <c r="AD478" i="7"/>
  <c r="AF478" i="7"/>
  <c r="AH478" i="7"/>
  <c r="AJ478" i="7"/>
  <c r="AL478" i="7"/>
  <c r="F501" i="7"/>
  <c r="H501" i="7"/>
  <c r="L501" i="7"/>
  <c r="T501" i="7"/>
  <c r="X501" i="7"/>
  <c r="AF501" i="7"/>
  <c r="AH501" i="7"/>
  <c r="AJ501" i="7"/>
  <c r="J532" i="7"/>
  <c r="C532" i="7"/>
  <c r="F532" i="7"/>
  <c r="M532" i="7"/>
  <c r="W532" i="7"/>
  <c r="Y532" i="7"/>
  <c r="AC532" i="7"/>
  <c r="AI532" i="7"/>
  <c r="AN527" i="7"/>
  <c r="C479" i="7"/>
  <c r="D479" i="7"/>
  <c r="H479" i="7"/>
  <c r="L479" i="7"/>
  <c r="N479" i="7"/>
  <c r="R479" i="7"/>
  <c r="X479" i="7"/>
  <c r="Z479" i="7"/>
  <c r="AB479" i="7"/>
  <c r="AD479" i="7"/>
  <c r="AF479" i="7"/>
  <c r="AH479" i="7"/>
  <c r="AL479" i="7"/>
  <c r="AN476" i="7"/>
  <c r="AO503" i="7"/>
  <c r="AN482" i="7"/>
  <c r="AN530" i="7"/>
  <c r="AN508" i="7"/>
  <c r="AO474" i="7"/>
  <c r="AO528" i="7"/>
  <c r="C478" i="7"/>
  <c r="H478" i="7"/>
  <c r="J478" i="7"/>
  <c r="N478" i="7"/>
  <c r="P478" i="7"/>
  <c r="R478" i="7"/>
  <c r="X478" i="7"/>
  <c r="AB478" i="7"/>
  <c r="D501" i="7"/>
  <c r="G501" i="7"/>
  <c r="I501" i="7"/>
  <c r="M501" i="7"/>
  <c r="W501" i="7"/>
  <c r="Y501" i="7"/>
  <c r="AA501" i="7"/>
  <c r="AC501" i="7"/>
  <c r="AG501" i="7"/>
  <c r="AI501" i="7"/>
  <c r="AK501" i="7"/>
  <c r="E532" i="7"/>
  <c r="D532" i="7"/>
  <c r="O532" i="7"/>
  <c r="Q532" i="7"/>
  <c r="S532" i="7"/>
  <c r="U532" i="7"/>
  <c r="AA532" i="7"/>
  <c r="AE532" i="7"/>
  <c r="AG532" i="7"/>
  <c r="AK532" i="7"/>
  <c r="AM532" i="7"/>
  <c r="AN531" i="7"/>
  <c r="F479" i="7"/>
  <c r="AO527" i="7"/>
  <c r="AO507" i="7"/>
  <c r="AN480" i="7"/>
  <c r="AO482" i="7"/>
  <c r="AN501" i="7"/>
  <c r="E478" i="7"/>
  <c r="F478" i="7"/>
  <c r="K478" i="7"/>
  <c r="M478" i="7"/>
  <c r="U478" i="7"/>
  <c r="Y478" i="7"/>
  <c r="AC478" i="7"/>
  <c r="AG478" i="7"/>
  <c r="AI478" i="7"/>
  <c r="AK478" i="7"/>
  <c r="K501" i="7"/>
  <c r="O501" i="7"/>
  <c r="Q501" i="7"/>
  <c r="S501" i="7"/>
  <c r="U501" i="7"/>
  <c r="AE501" i="7"/>
  <c r="AM501" i="7"/>
  <c r="I532" i="7"/>
  <c r="G532" i="7"/>
  <c r="L532" i="7"/>
  <c r="N532" i="7"/>
  <c r="P532" i="7"/>
  <c r="R532" i="7"/>
  <c r="V532" i="7"/>
  <c r="X532" i="7"/>
  <c r="Z532" i="7"/>
  <c r="AL532" i="7"/>
  <c r="AO505" i="7"/>
  <c r="J479" i="7"/>
  <c r="E479" i="7"/>
  <c r="K479" i="7"/>
  <c r="M479" i="7"/>
  <c r="O479" i="7"/>
  <c r="Q479" i="7"/>
  <c r="S479" i="7"/>
  <c r="U479" i="7"/>
  <c r="W479" i="7"/>
  <c r="Y479" i="7"/>
  <c r="AA479" i="7"/>
  <c r="G502" i="7"/>
  <c r="F502" i="7"/>
  <c r="I502" i="7"/>
  <c r="M502" i="7"/>
  <c r="AA502" i="7"/>
  <c r="AG502" i="7"/>
  <c r="AK502" i="7"/>
  <c r="AM502" i="7"/>
  <c r="L533" i="7"/>
  <c r="H533" i="7"/>
  <c r="D533" i="7"/>
  <c r="AG479" i="7"/>
  <c r="AJ479" i="7"/>
  <c r="AM479" i="7"/>
  <c r="C502" i="7"/>
  <c r="D502" i="7"/>
  <c r="K502" i="7"/>
  <c r="O502" i="7"/>
  <c r="Q502" i="7"/>
  <c r="S502" i="7"/>
  <c r="U502" i="7"/>
  <c r="W502" i="7"/>
  <c r="AE479" i="7"/>
  <c r="AK479" i="7"/>
  <c r="J502" i="7"/>
  <c r="L502" i="7"/>
  <c r="N502" i="7"/>
  <c r="R502" i="7"/>
  <c r="V502" i="7"/>
  <c r="Z502" i="7"/>
  <c r="AF502" i="7"/>
  <c r="AH502" i="7"/>
  <c r="AL502" i="7"/>
  <c r="G533" i="7"/>
  <c r="E533" i="7"/>
  <c r="K533" i="7"/>
  <c r="N533" i="7"/>
  <c r="P533" i="7"/>
  <c r="T533" i="7"/>
  <c r="V533" i="7"/>
  <c r="Z533" i="7"/>
  <c r="AB533" i="7"/>
  <c r="AD533" i="7"/>
  <c r="AJ533" i="7"/>
  <c r="AL533" i="7"/>
  <c r="AO479" i="7"/>
  <c r="AN502" i="7"/>
  <c r="D480" i="7"/>
  <c r="L480" i="7"/>
  <c r="N480" i="7"/>
  <c r="P480" i="7"/>
  <c r="R480" i="7"/>
  <c r="V480" i="7"/>
  <c r="X480" i="7"/>
  <c r="Z480" i="7"/>
  <c r="AB480" i="7"/>
  <c r="AJ480" i="7"/>
  <c r="F503" i="7"/>
  <c r="J503" i="7"/>
  <c r="R503" i="7"/>
  <c r="V503" i="7"/>
  <c r="Z503" i="7"/>
  <c r="AD503" i="7"/>
  <c r="AF503" i="7"/>
  <c r="AH503" i="7"/>
  <c r="AJ503" i="7"/>
  <c r="AL503" i="7"/>
  <c r="C526" i="7"/>
  <c r="G526" i="7"/>
  <c r="AC479" i="7"/>
  <c r="AI479" i="7"/>
  <c r="E502" i="7"/>
  <c r="H502" i="7"/>
  <c r="P502" i="7"/>
  <c r="T502" i="7"/>
  <c r="X502" i="7"/>
  <c r="AB502" i="7"/>
  <c r="AD502" i="7"/>
  <c r="AJ502" i="7"/>
  <c r="C533" i="7"/>
  <c r="I533" i="7"/>
  <c r="M533" i="7"/>
  <c r="O533" i="7"/>
  <c r="Q533" i="7"/>
  <c r="S533" i="7"/>
  <c r="U533" i="7"/>
  <c r="W533" i="7"/>
  <c r="Y533" i="7"/>
  <c r="AA533" i="7"/>
  <c r="AE533" i="7"/>
  <c r="AG533" i="7"/>
  <c r="AK533" i="7"/>
  <c r="AM533" i="7"/>
  <c r="C480" i="7"/>
  <c r="K480" i="7"/>
  <c r="T480" i="7"/>
  <c r="AD480" i="7"/>
  <c r="AF480" i="7"/>
  <c r="AH480" i="7"/>
  <c r="AL480" i="7"/>
  <c r="G503" i="7"/>
  <c r="K503" i="7"/>
  <c r="U503" i="7"/>
  <c r="Y503" i="7"/>
  <c r="AA503" i="7"/>
  <c r="AC503" i="7"/>
  <c r="AE503" i="7"/>
  <c r="AI503" i="7"/>
  <c r="Y502" i="7"/>
  <c r="J533" i="7"/>
  <c r="AC533" i="7"/>
  <c r="I480" i="7"/>
  <c r="M480" i="7"/>
  <c r="Q480" i="7"/>
  <c r="Y480" i="7"/>
  <c r="AC480" i="7"/>
  <c r="AK480" i="7"/>
  <c r="H503" i="7"/>
  <c r="O503" i="7"/>
  <c r="AI502" i="7"/>
  <c r="AH533" i="7"/>
  <c r="AN533" i="7"/>
  <c r="F480" i="7"/>
  <c r="U480" i="7"/>
  <c r="AG480" i="7"/>
  <c r="E503" i="7"/>
  <c r="L503" i="7"/>
  <c r="P503" i="7"/>
  <c r="T503" i="7"/>
  <c r="X503" i="7"/>
  <c r="AB503" i="7"/>
  <c r="AM503" i="7"/>
  <c r="F526" i="7"/>
  <c r="I526" i="7"/>
  <c r="K526" i="7"/>
  <c r="O526" i="7"/>
  <c r="W526" i="7"/>
  <c r="AA526" i="7"/>
  <c r="AG526" i="7"/>
  <c r="AI526" i="7"/>
  <c r="AK526" i="7"/>
  <c r="AM526" i="7"/>
  <c r="F534" i="7"/>
  <c r="D534" i="7"/>
  <c r="J534" i="7"/>
  <c r="N534" i="7"/>
  <c r="P534" i="7"/>
  <c r="T534" i="7"/>
  <c r="X534" i="7"/>
  <c r="AB534" i="7"/>
  <c r="AD534" i="7"/>
  <c r="AF534" i="7"/>
  <c r="AH534" i="7"/>
  <c r="AL534" i="7"/>
  <c r="AO532" i="7"/>
  <c r="D504" i="7"/>
  <c r="K504" i="7"/>
  <c r="Q504" i="7"/>
  <c r="Y504" i="7"/>
  <c r="AC504" i="7"/>
  <c r="AE504" i="7"/>
  <c r="AG504" i="7"/>
  <c r="AM504" i="7"/>
  <c r="E474" i="7"/>
  <c r="AC502" i="7"/>
  <c r="AI533" i="7"/>
  <c r="G480" i="7"/>
  <c r="J480" i="7"/>
  <c r="O480" i="7"/>
  <c r="S480" i="7"/>
  <c r="AM480" i="7"/>
  <c r="D503" i="7"/>
  <c r="I503" i="7"/>
  <c r="M503" i="7"/>
  <c r="Q503" i="7"/>
  <c r="AG503" i="7"/>
  <c r="D526" i="7"/>
  <c r="J526" i="7"/>
  <c r="L526" i="7"/>
  <c r="N526" i="7"/>
  <c r="R526" i="7"/>
  <c r="V526" i="7"/>
  <c r="AD526" i="7"/>
  <c r="AL526" i="7"/>
  <c r="G534" i="7"/>
  <c r="E534" i="7"/>
  <c r="M534" i="7"/>
  <c r="R534" i="7"/>
  <c r="V534" i="7"/>
  <c r="Z534" i="7"/>
  <c r="AJ534" i="7"/>
  <c r="AO481" i="7"/>
  <c r="AN479" i="7"/>
  <c r="F504" i="7"/>
  <c r="G504" i="7"/>
  <c r="M504" i="7"/>
  <c r="O504" i="7"/>
  <c r="S504" i="7"/>
  <c r="U504" i="7"/>
  <c r="W504" i="7"/>
  <c r="AA504" i="7"/>
  <c r="AI504" i="7"/>
  <c r="AK504" i="7"/>
  <c r="AE502" i="7"/>
  <c r="F533" i="7"/>
  <c r="R533" i="7"/>
  <c r="X533" i="7"/>
  <c r="AF533" i="7"/>
  <c r="AO501" i="7"/>
  <c r="H480" i="7"/>
  <c r="E480" i="7"/>
  <c r="W480" i="7"/>
  <c r="AA480" i="7"/>
  <c r="AE480" i="7"/>
  <c r="AI480" i="7"/>
  <c r="C503" i="7"/>
  <c r="N503" i="7"/>
  <c r="AK503" i="7"/>
  <c r="P526" i="7"/>
  <c r="T526" i="7"/>
  <c r="X526" i="7"/>
  <c r="Z526" i="7"/>
  <c r="AB526" i="7"/>
  <c r="AF526" i="7"/>
  <c r="AH526" i="7"/>
  <c r="AJ526" i="7"/>
  <c r="K534" i="7"/>
  <c r="L534" i="7"/>
  <c r="O534" i="7"/>
  <c r="W534" i="7"/>
  <c r="Y534" i="7"/>
  <c r="AC534" i="7"/>
  <c r="C504" i="7"/>
  <c r="H504" i="7"/>
  <c r="J504" i="7"/>
  <c r="L504" i="7"/>
  <c r="P504" i="7"/>
  <c r="V504" i="7"/>
  <c r="X504" i="7"/>
  <c r="AH504" i="7"/>
  <c r="S503" i="7"/>
  <c r="H526" i="7"/>
  <c r="Q526" i="7"/>
  <c r="Y526" i="7"/>
  <c r="C534" i="7"/>
  <c r="S534" i="7"/>
  <c r="AA534" i="7"/>
  <c r="AI534" i="7"/>
  <c r="R504" i="7"/>
  <c r="Z504" i="7"/>
  <c r="I474" i="7"/>
  <c r="K474" i="7"/>
  <c r="O474" i="7"/>
  <c r="U474" i="7"/>
  <c r="Y474" i="7"/>
  <c r="AE474" i="7"/>
  <c r="AI474" i="7"/>
  <c r="AM474" i="7"/>
  <c r="J482" i="7"/>
  <c r="L482" i="7"/>
  <c r="C482" i="7"/>
  <c r="Q482" i="7"/>
  <c r="S482" i="7"/>
  <c r="W482" i="7"/>
  <c r="Y482" i="7"/>
  <c r="AA482" i="7"/>
  <c r="AC482" i="7"/>
  <c r="AE482" i="7"/>
  <c r="AI482" i="7"/>
  <c r="AK482" i="7"/>
  <c r="G505" i="7"/>
  <c r="C505" i="7"/>
  <c r="L505" i="7"/>
  <c r="P505" i="7"/>
  <c r="T505" i="7"/>
  <c r="X505" i="7"/>
  <c r="Z505" i="7"/>
  <c r="AB505" i="7"/>
  <c r="H528" i="7"/>
  <c r="L528" i="7"/>
  <c r="N528" i="7"/>
  <c r="R528" i="7"/>
  <c r="T528" i="7"/>
  <c r="Z528" i="7"/>
  <c r="AB528" i="7"/>
  <c r="W503" i="7"/>
  <c r="S526" i="7"/>
  <c r="I534" i="7"/>
  <c r="U534" i="7"/>
  <c r="AK534" i="7"/>
  <c r="T504" i="7"/>
  <c r="AB504" i="7"/>
  <c r="AJ504" i="7"/>
  <c r="C474" i="7"/>
  <c r="G474" i="7"/>
  <c r="M474" i="7"/>
  <c r="Q474" i="7"/>
  <c r="S474" i="7"/>
  <c r="W474" i="7"/>
  <c r="AA474" i="7"/>
  <c r="AC474" i="7"/>
  <c r="AG474" i="7"/>
  <c r="AK474" i="7"/>
  <c r="K482" i="7"/>
  <c r="E482" i="7"/>
  <c r="P482" i="7"/>
  <c r="R482" i="7"/>
  <c r="M526" i="7"/>
  <c r="U526" i="7"/>
  <c r="AC526" i="7"/>
  <c r="AE534" i="7"/>
  <c r="AM534" i="7"/>
  <c r="E504" i="7"/>
  <c r="N504" i="7"/>
  <c r="AD504" i="7"/>
  <c r="AL504" i="7"/>
  <c r="D474" i="7"/>
  <c r="L474" i="7"/>
  <c r="T474" i="7"/>
  <c r="X474" i="7"/>
  <c r="Z474" i="7"/>
  <c r="AB474" i="7"/>
  <c r="AD474" i="7"/>
  <c r="AF474" i="7"/>
  <c r="AJ474" i="7"/>
  <c r="H482" i="7"/>
  <c r="F482" i="7"/>
  <c r="I482" i="7"/>
  <c r="N482" i="7"/>
  <c r="T482" i="7"/>
  <c r="X482" i="7"/>
  <c r="Z482" i="7"/>
  <c r="AB482" i="7"/>
  <c r="AD482" i="7"/>
  <c r="AL482" i="7"/>
  <c r="I505" i="7"/>
  <c r="Q505" i="7"/>
  <c r="S505" i="7"/>
  <c r="U505" i="7"/>
  <c r="W505" i="7"/>
  <c r="Y505" i="7"/>
  <c r="AA505" i="7"/>
  <c r="AC505" i="7"/>
  <c r="AG505" i="7"/>
  <c r="AK505" i="7"/>
  <c r="AM505" i="7"/>
  <c r="C528" i="7"/>
  <c r="G528" i="7"/>
  <c r="M528" i="7"/>
  <c r="O528" i="7"/>
  <c r="U528" i="7"/>
  <c r="AA528" i="7"/>
  <c r="AC528" i="7"/>
  <c r="AE528" i="7"/>
  <c r="E526" i="7"/>
  <c r="AE526" i="7"/>
  <c r="H534" i="7"/>
  <c r="Q534" i="7"/>
  <c r="AG534" i="7"/>
  <c r="I504" i="7"/>
  <c r="AF504" i="7"/>
  <c r="F474" i="7"/>
  <c r="H474" i="7"/>
  <c r="J474" i="7"/>
  <c r="N474" i="7"/>
  <c r="P474" i="7"/>
  <c r="R474" i="7"/>
  <c r="V474" i="7"/>
  <c r="AH474" i="7"/>
  <c r="AL474" i="7"/>
  <c r="M482" i="7"/>
  <c r="D482" i="7"/>
  <c r="G482" i="7"/>
  <c r="O482" i="7"/>
  <c r="U482" i="7"/>
  <c r="AG482" i="7"/>
  <c r="AM482" i="7"/>
  <c r="E505" i="7"/>
  <c r="D505" i="7"/>
  <c r="K505" i="7"/>
  <c r="M505" i="7"/>
  <c r="O505" i="7"/>
  <c r="AE505" i="7"/>
  <c r="AI505" i="7"/>
  <c r="D528" i="7"/>
  <c r="J528" i="7"/>
  <c r="P528" i="7"/>
  <c r="V528" i="7"/>
  <c r="X528" i="7"/>
  <c r="V482" i="7"/>
  <c r="F505" i="7"/>
  <c r="AF505" i="7"/>
  <c r="K528" i="7"/>
  <c r="S528" i="7"/>
  <c r="AD528" i="7"/>
  <c r="AG528" i="7"/>
  <c r="AM528" i="7"/>
  <c r="D481" i="7"/>
  <c r="H481" i="7"/>
  <c r="J481" i="7"/>
  <c r="R481" i="7"/>
  <c r="T481" i="7"/>
  <c r="V481" i="7"/>
  <c r="AD481" i="7"/>
  <c r="AF481" i="7"/>
  <c r="P475" i="7"/>
  <c r="T475" i="7"/>
  <c r="V475" i="7"/>
  <c r="X475" i="7"/>
  <c r="AB475" i="7"/>
  <c r="AD475" i="7"/>
  <c r="AF475" i="7"/>
  <c r="AJ475" i="7"/>
  <c r="AL475" i="7"/>
  <c r="C506" i="7"/>
  <c r="H506" i="7"/>
  <c r="K506" i="7"/>
  <c r="O506" i="7"/>
  <c r="U506" i="7"/>
  <c r="AA506" i="7"/>
  <c r="AE506" i="7"/>
  <c r="AM506" i="7"/>
  <c r="F529" i="7"/>
  <c r="C529" i="7"/>
  <c r="M529" i="7"/>
  <c r="Q529" i="7"/>
  <c r="S529" i="7"/>
  <c r="U529" i="7"/>
  <c r="W529" i="7"/>
  <c r="AI529" i="7"/>
  <c r="AK529" i="7"/>
  <c r="AM529" i="7"/>
  <c r="AN474" i="7"/>
  <c r="C476" i="7"/>
  <c r="H476" i="7"/>
  <c r="J476" i="7"/>
  <c r="N476" i="7"/>
  <c r="R476" i="7"/>
  <c r="T476" i="7"/>
  <c r="Z476" i="7"/>
  <c r="AD476" i="7"/>
  <c r="E507" i="7"/>
  <c r="D507" i="7"/>
  <c r="M507" i="7"/>
  <c r="U507" i="7"/>
  <c r="W507" i="7"/>
  <c r="Y507" i="7"/>
  <c r="AA507" i="7"/>
  <c r="AI507" i="7"/>
  <c r="AK507" i="7"/>
  <c r="AM507" i="7"/>
  <c r="D530" i="7"/>
  <c r="O530" i="7"/>
  <c r="Q530" i="7"/>
  <c r="U530" i="7"/>
  <c r="W530" i="7"/>
  <c r="Y530" i="7"/>
  <c r="AA530" i="7"/>
  <c r="AI530" i="7"/>
  <c r="AK530" i="7"/>
  <c r="AN529" i="7"/>
  <c r="C527" i="7"/>
  <c r="E527" i="7"/>
  <c r="K527" i="7"/>
  <c r="O527" i="7"/>
  <c r="Q527" i="7"/>
  <c r="W527" i="7"/>
  <c r="AF482" i="7"/>
  <c r="H505" i="7"/>
  <c r="R505" i="7"/>
  <c r="AH505" i="7"/>
  <c r="F528" i="7"/>
  <c r="AO508" i="7"/>
  <c r="C481" i="7"/>
  <c r="I481" i="7"/>
  <c r="G481" i="7"/>
  <c r="N481" i="7"/>
  <c r="P481" i="7"/>
  <c r="X481" i="7"/>
  <c r="Z481" i="7"/>
  <c r="AB481" i="7"/>
  <c r="AH481" i="7"/>
  <c r="AJ481" i="7"/>
  <c r="AL481" i="7"/>
  <c r="F475" i="7"/>
  <c r="K475" i="7"/>
  <c r="W475" i="7"/>
  <c r="AA475" i="7"/>
  <c r="AE475" i="7"/>
  <c r="AI475" i="7"/>
  <c r="AK475" i="7"/>
  <c r="G506" i="7"/>
  <c r="D506" i="7"/>
  <c r="M506" i="7"/>
  <c r="Q506" i="7"/>
  <c r="S506" i="7"/>
  <c r="W506" i="7"/>
  <c r="Y506" i="7"/>
  <c r="AC506" i="7"/>
  <c r="AG506" i="7"/>
  <c r="AI506" i="7"/>
  <c r="AK506" i="7"/>
  <c r="G529" i="7"/>
  <c r="L529" i="7"/>
  <c r="R529" i="7"/>
  <c r="V529" i="7"/>
  <c r="AB529" i="7"/>
  <c r="AH529" i="7"/>
  <c r="AO533" i="7"/>
  <c r="AN534" i="7"/>
  <c r="G476" i="7"/>
  <c r="Q476" i="7"/>
  <c r="W476" i="7"/>
  <c r="Y476" i="7"/>
  <c r="AA476" i="7"/>
  <c r="AC476" i="7"/>
  <c r="AG476" i="7"/>
  <c r="AH482" i="7"/>
  <c r="AJ505" i="7"/>
  <c r="E528" i="7"/>
  <c r="W528" i="7"/>
  <c r="AH528" i="7"/>
  <c r="AJ528" i="7"/>
  <c r="AL528" i="7"/>
  <c r="AN505" i="7"/>
  <c r="E481" i="7"/>
  <c r="M481" i="7"/>
  <c r="S481" i="7"/>
  <c r="U481" i="7"/>
  <c r="W481" i="7"/>
  <c r="Y481" i="7"/>
  <c r="AC481" i="7"/>
  <c r="AG481" i="7"/>
  <c r="AK481" i="7"/>
  <c r="AM481" i="7"/>
  <c r="C475" i="7"/>
  <c r="D475" i="7"/>
  <c r="E475" i="7"/>
  <c r="I475" i="7"/>
  <c r="M475" i="7"/>
  <c r="O475" i="7"/>
  <c r="Q475" i="7"/>
  <c r="S475" i="7"/>
  <c r="U475" i="7"/>
  <c r="Y475" i="7"/>
  <c r="AC475" i="7"/>
  <c r="AG475" i="7"/>
  <c r="AM475" i="7"/>
  <c r="J506" i="7"/>
  <c r="F506" i="7"/>
  <c r="L506" i="7"/>
  <c r="N506" i="7"/>
  <c r="P506" i="7"/>
  <c r="R506" i="7"/>
  <c r="V506" i="7"/>
  <c r="AF506" i="7"/>
  <c r="AH506" i="7"/>
  <c r="AL506" i="7"/>
  <c r="D529" i="7"/>
  <c r="H529" i="7"/>
  <c r="J529" i="7"/>
  <c r="N529" i="7"/>
  <c r="P529" i="7"/>
  <c r="T529" i="7"/>
  <c r="X529" i="7"/>
  <c r="Z529" i="7"/>
  <c r="AD529" i="7"/>
  <c r="AF529" i="7"/>
  <c r="AJ529" i="7"/>
  <c r="AL529" i="7"/>
  <c r="AO504" i="7"/>
  <c r="E476" i="7"/>
  <c r="D476" i="7"/>
  <c r="I476" i="7"/>
  <c r="K476" i="7"/>
  <c r="M476" i="7"/>
  <c r="O476" i="7"/>
  <c r="S476" i="7"/>
  <c r="U476" i="7"/>
  <c r="AE476" i="7"/>
  <c r="AI476" i="7"/>
  <c r="I507" i="7"/>
  <c r="L507" i="7"/>
  <c r="P507" i="7"/>
  <c r="R507" i="7"/>
  <c r="T507" i="7"/>
  <c r="V507" i="7"/>
  <c r="X507" i="7"/>
  <c r="Z507" i="7"/>
  <c r="AB507" i="7"/>
  <c r="AJ507" i="7"/>
  <c r="C530" i="7"/>
  <c r="H530" i="7"/>
  <c r="L530" i="7"/>
  <c r="N530" i="7"/>
  <c r="X530" i="7"/>
  <c r="AB530" i="7"/>
  <c r="AD530" i="7"/>
  <c r="AF530" i="7"/>
  <c r="AH530" i="7"/>
  <c r="AO500" i="7"/>
  <c r="H527" i="7"/>
  <c r="L527" i="7"/>
  <c r="P527" i="7"/>
  <c r="R527" i="7"/>
  <c r="Z527" i="7"/>
  <c r="AB527" i="7"/>
  <c r="AD527" i="7"/>
  <c r="AF527" i="7"/>
  <c r="AH527" i="7"/>
  <c r="AJ527" i="7"/>
  <c r="AL527" i="7"/>
  <c r="AJ482" i="7"/>
  <c r="J505" i="7"/>
  <c r="N505" i="7"/>
  <c r="V505" i="7"/>
  <c r="AD505" i="7"/>
  <c r="AL505" i="7"/>
  <c r="I528" i="7"/>
  <c r="Q528" i="7"/>
  <c r="Y528" i="7"/>
  <c r="AF528" i="7"/>
  <c r="AI528" i="7"/>
  <c r="AK528" i="7"/>
  <c r="AN504" i="7"/>
  <c r="L481" i="7"/>
  <c r="F481" i="7"/>
  <c r="K481" i="7"/>
  <c r="O481" i="7"/>
  <c r="Q481" i="7"/>
  <c r="AA481" i="7"/>
  <c r="AE481" i="7"/>
  <c r="AI481" i="7"/>
  <c r="G475" i="7"/>
  <c r="H475" i="7"/>
  <c r="J475" i="7"/>
  <c r="L475" i="7"/>
  <c r="N475" i="7"/>
  <c r="R475" i="7"/>
  <c r="Z475" i="7"/>
  <c r="AH475" i="7"/>
  <c r="E506" i="7"/>
  <c r="I506" i="7"/>
  <c r="T506" i="7"/>
  <c r="X506" i="7"/>
  <c r="Z506" i="7"/>
  <c r="AB506" i="7"/>
  <c r="AD506" i="7"/>
  <c r="AJ506" i="7"/>
  <c r="E529" i="7"/>
  <c r="I529" i="7"/>
  <c r="K529" i="7"/>
  <c r="O529" i="7"/>
  <c r="Y529" i="7"/>
  <c r="AA529" i="7"/>
  <c r="AC529" i="7"/>
  <c r="AE529" i="7"/>
  <c r="AG529" i="7"/>
  <c r="AN532" i="7"/>
  <c r="F476" i="7"/>
  <c r="L476" i="7"/>
  <c r="P476" i="7"/>
  <c r="V476" i="7"/>
  <c r="X476" i="7"/>
  <c r="AB476" i="7"/>
  <c r="AF476" i="7"/>
  <c r="AH476" i="7"/>
  <c r="AJ476" i="7"/>
  <c r="AL476" i="7"/>
  <c r="H507" i="7"/>
  <c r="J507" i="7"/>
  <c r="F507" i="7"/>
  <c r="N507" i="7"/>
  <c r="AD507" i="7"/>
  <c r="AF507" i="7"/>
  <c r="AH507" i="7"/>
  <c r="AL507" i="7"/>
  <c r="E530" i="7"/>
  <c r="G530" i="7"/>
  <c r="K530" i="7"/>
  <c r="M530" i="7"/>
  <c r="S530" i="7"/>
  <c r="AC530" i="7"/>
  <c r="AE530" i="7"/>
  <c r="AG530" i="7"/>
  <c r="AM530" i="7"/>
  <c r="D527" i="7"/>
  <c r="G527" i="7"/>
  <c r="I527" i="7"/>
  <c r="M527" i="7"/>
  <c r="S527" i="7"/>
  <c r="U527" i="7"/>
  <c r="Y527" i="7"/>
  <c r="AA527" i="7"/>
  <c r="AE527" i="7"/>
  <c r="AP393" i="7"/>
  <c r="AP388" i="7"/>
  <c r="AO341" i="7"/>
  <c r="AN478" i="7"/>
  <c r="AM531" i="7"/>
  <c r="AL392" i="7"/>
  <c r="AJ392" i="7"/>
  <c r="AH392" i="7"/>
  <c r="AF392" i="7"/>
  <c r="AC531" i="7"/>
  <c r="AB392" i="7"/>
  <c r="Y531" i="7"/>
  <c r="X392" i="7"/>
  <c r="V392" i="7"/>
  <c r="T392" i="7"/>
  <c r="Q531" i="7"/>
  <c r="P392" i="7"/>
  <c r="M531" i="7"/>
  <c r="L392" i="7"/>
  <c r="I531" i="7"/>
  <c r="C531" i="7"/>
  <c r="C392" i="7"/>
  <c r="F392" i="7"/>
  <c r="AL508" i="7"/>
  <c r="AJ508" i="7"/>
  <c r="AI369" i="7"/>
  <c r="AF508" i="7"/>
  <c r="AE369" i="7"/>
  <c r="AB508" i="7"/>
  <c r="AA369" i="7"/>
  <c r="X508" i="7"/>
  <c r="V508" i="7"/>
  <c r="U369" i="7"/>
  <c r="R508" i="7"/>
  <c r="Q369" i="7"/>
  <c r="N508" i="7"/>
  <c r="D508" i="7"/>
  <c r="L508" i="7"/>
  <c r="M508" i="7"/>
  <c r="H369" i="7"/>
  <c r="F369" i="7"/>
  <c r="C369" i="7"/>
  <c r="AM361" i="7"/>
  <c r="AK361" i="7"/>
  <c r="AI361" i="7"/>
  <c r="AG361" i="7"/>
  <c r="AD500" i="7"/>
  <c r="AB500" i="7"/>
  <c r="Z500" i="7"/>
  <c r="Y361" i="7"/>
  <c r="V500" i="7"/>
  <c r="T500" i="7"/>
  <c r="R500" i="7"/>
  <c r="Q361" i="7"/>
  <c r="O361" i="7"/>
  <c r="L500" i="7"/>
  <c r="J500" i="7"/>
  <c r="H500" i="7"/>
  <c r="D500" i="7"/>
  <c r="E361" i="7"/>
  <c r="AN338" i="7"/>
  <c r="AL338" i="7"/>
  <c r="AI477" i="7"/>
  <c r="AH338" i="7"/>
  <c r="AE477" i="7"/>
  <c r="AC477" i="7"/>
  <c r="AB338" i="7"/>
  <c r="Z338" i="7"/>
  <c r="X338" i="7"/>
  <c r="V338" i="7"/>
  <c r="S477" i="7"/>
  <c r="Q477" i="7"/>
  <c r="P338" i="7"/>
  <c r="N338" i="7"/>
  <c r="K477" i="7"/>
  <c r="J338" i="7"/>
  <c r="G477" i="7"/>
  <c r="I338" i="7"/>
  <c r="E338" i="7"/>
  <c r="AN388" i="7"/>
  <c r="AK388" i="7"/>
  <c r="AG527" i="7"/>
  <c r="AC527" i="7"/>
  <c r="X527" i="7"/>
  <c r="Q388" i="7"/>
  <c r="I388" i="7"/>
  <c r="AO391" i="7"/>
  <c r="AI391" i="7"/>
  <c r="Z530" i="7"/>
  <c r="R530" i="7"/>
  <c r="J530" i="7"/>
  <c r="AN368" i="7"/>
  <c r="AE507" i="7"/>
  <c r="X368" i="7"/>
  <c r="O507" i="7"/>
  <c r="K507" i="7"/>
  <c r="AK476" i="7"/>
  <c r="AP335" i="7"/>
  <c r="AP365" i="7"/>
  <c r="AP342" i="7"/>
  <c r="AP337" i="7"/>
  <c r="AO337" i="7"/>
  <c r="AO387" i="7"/>
  <c r="AL531" i="7"/>
  <c r="AK392" i="7"/>
  <c r="AH531" i="7"/>
  <c r="AF531" i="7"/>
  <c r="AD531" i="7"/>
  <c r="AB531" i="7"/>
  <c r="Z531" i="7"/>
  <c r="Y392" i="7"/>
  <c r="V531" i="7"/>
  <c r="T531" i="7"/>
  <c r="R531" i="7"/>
  <c r="Q392" i="7"/>
  <c r="N531" i="7"/>
  <c r="M392" i="7"/>
  <c r="H531" i="7"/>
  <c r="D531" i="7"/>
  <c r="J531" i="7"/>
  <c r="G392" i="7"/>
  <c r="J392" i="7"/>
  <c r="AM369" i="7"/>
  <c r="AK369" i="7"/>
  <c r="AH508" i="7"/>
  <c r="AG369" i="7"/>
  <c r="AD508" i="7"/>
  <c r="AC369" i="7"/>
  <c r="Z508" i="7"/>
  <c r="Y369" i="7"/>
  <c r="W369" i="7"/>
  <c r="T508" i="7"/>
  <c r="S369" i="7"/>
  <c r="P508" i="7"/>
  <c r="O369" i="7"/>
  <c r="F508" i="7"/>
  <c r="I508" i="7"/>
  <c r="J508" i="7"/>
  <c r="J369" i="7"/>
  <c r="D369" i="7"/>
  <c r="AN361" i="7"/>
  <c r="AL361" i="7"/>
  <c r="AI500" i="7"/>
  <c r="AG500" i="7"/>
  <c r="AE500" i="7"/>
  <c r="AD361" i="7"/>
  <c r="AB361" i="7"/>
  <c r="Z361" i="7"/>
  <c r="W500" i="7"/>
  <c r="V361" i="7"/>
  <c r="T361" i="7"/>
  <c r="R361" i="7"/>
  <c r="O500" i="7"/>
  <c r="M500" i="7"/>
  <c r="K500" i="7"/>
  <c r="J361" i="7"/>
  <c r="G500" i="7"/>
  <c r="G361" i="7"/>
  <c r="F361" i="7"/>
  <c r="AM477" i="7"/>
  <c r="AK477" i="7"/>
  <c r="AJ338" i="7"/>
  <c r="AG477" i="7"/>
  <c r="AF338" i="7"/>
  <c r="AD338" i="7"/>
  <c r="AA477" i="7"/>
  <c r="Y477" i="7"/>
  <c r="W477" i="7"/>
  <c r="U477" i="7"/>
  <c r="T338" i="7"/>
  <c r="R338" i="7"/>
  <c r="O477" i="7"/>
  <c r="M477" i="7"/>
  <c r="L338" i="7"/>
  <c r="I477" i="7"/>
  <c r="C477" i="7"/>
  <c r="D338" i="7"/>
  <c r="F338" i="7"/>
  <c r="AM388" i="7"/>
  <c r="AI527" i="7"/>
  <c r="AG388" i="7"/>
  <c r="AC388" i="7"/>
  <c r="V527" i="7"/>
  <c r="N527" i="7"/>
  <c r="F527" i="7"/>
  <c r="AO529" i="7"/>
  <c r="AG391" i="7"/>
  <c r="Y391" i="7"/>
  <c r="P530" i="7"/>
  <c r="I530" i="7"/>
  <c r="AL368" i="7"/>
  <c r="AC507" i="7"/>
  <c r="V368" i="7"/>
  <c r="N368" i="7"/>
  <c r="D368" i="7"/>
  <c r="AJ337" i="7"/>
  <c r="AP499" i="7"/>
  <c r="AP473" i="7"/>
  <c r="AP516" i="7"/>
  <c r="AP528" i="7" s="1"/>
  <c r="AP389" i="7"/>
  <c r="AP495" i="7"/>
  <c r="AP507" i="7" s="1"/>
  <c r="AP368" i="7"/>
  <c r="AP518" i="7"/>
  <c r="AP530" i="7" s="1"/>
  <c r="AP391" i="7"/>
  <c r="AP490" i="7"/>
  <c r="AP502" i="7" s="1"/>
  <c r="AP363" i="7"/>
  <c r="C386" i="7"/>
  <c r="D386" i="7"/>
  <c r="C525" i="7"/>
  <c r="F386" i="7"/>
  <c r="D525" i="7"/>
  <c r="E386" i="7"/>
  <c r="G386" i="7"/>
  <c r="E525" i="7"/>
  <c r="F525" i="7"/>
  <c r="H386" i="7"/>
  <c r="G525" i="7"/>
  <c r="H525" i="7"/>
  <c r="I386" i="7"/>
  <c r="I525" i="7"/>
  <c r="J386" i="7"/>
  <c r="J525" i="7"/>
  <c r="K386" i="7"/>
  <c r="K525" i="7"/>
  <c r="L386" i="7"/>
  <c r="M386" i="7"/>
  <c r="N386" i="7"/>
  <c r="L525" i="7"/>
  <c r="N525" i="7"/>
  <c r="M525" i="7"/>
  <c r="O386" i="7"/>
  <c r="O525" i="7"/>
  <c r="P386" i="7"/>
  <c r="Q386" i="7"/>
  <c r="P525" i="7"/>
  <c r="R386" i="7"/>
  <c r="Q525" i="7"/>
  <c r="S386" i="7"/>
  <c r="R525" i="7"/>
  <c r="S525" i="7"/>
  <c r="T386" i="7"/>
  <c r="T525" i="7"/>
  <c r="U386" i="7"/>
  <c r="V386" i="7"/>
  <c r="U525" i="7"/>
  <c r="V525" i="7"/>
  <c r="W386" i="7"/>
  <c r="X386" i="7"/>
  <c r="W525" i="7"/>
  <c r="Y386" i="7"/>
  <c r="X525" i="7"/>
  <c r="Y525" i="7"/>
  <c r="Z386" i="7"/>
  <c r="AA386" i="7"/>
  <c r="Z525" i="7"/>
  <c r="AA525" i="7"/>
  <c r="AB386" i="7"/>
  <c r="AC386" i="7"/>
  <c r="AB525" i="7"/>
  <c r="AD386" i="7"/>
  <c r="AC525" i="7"/>
  <c r="AD525" i="7"/>
  <c r="AE386" i="7"/>
  <c r="AF386" i="7"/>
  <c r="AE525" i="7"/>
  <c r="AG386" i="7"/>
  <c r="AF525" i="7"/>
  <c r="AH386" i="7"/>
  <c r="AG525" i="7"/>
  <c r="AH525" i="7"/>
  <c r="AI386" i="7"/>
  <c r="AI525" i="7"/>
  <c r="AJ386" i="7"/>
  <c r="AJ525" i="7"/>
  <c r="AK386" i="7"/>
  <c r="AL386" i="7"/>
  <c r="AK525" i="7"/>
  <c r="AL525" i="7"/>
  <c r="AM386" i="7"/>
  <c r="AM525" i="7"/>
  <c r="AN386" i="7"/>
  <c r="AN525" i="7"/>
  <c r="AO386" i="7"/>
  <c r="AP470" i="7"/>
  <c r="AP482" i="7" s="1"/>
  <c r="AP343" i="7"/>
  <c r="C334" i="7"/>
  <c r="D334" i="7"/>
  <c r="C473" i="7"/>
  <c r="F334" i="7"/>
  <c r="D473" i="7"/>
  <c r="E334" i="7"/>
  <c r="F473" i="7"/>
  <c r="E473" i="7"/>
  <c r="G334" i="7"/>
  <c r="G473" i="7"/>
  <c r="H334" i="7"/>
  <c r="I334" i="7"/>
  <c r="H473" i="7"/>
  <c r="I473" i="7"/>
  <c r="J334" i="7"/>
  <c r="J473" i="7"/>
  <c r="K334" i="7"/>
  <c r="M334" i="7"/>
  <c r="L334" i="7"/>
  <c r="K473" i="7"/>
  <c r="N334" i="7"/>
  <c r="L473" i="7"/>
  <c r="M473" i="7"/>
  <c r="N473" i="7"/>
  <c r="O334" i="7"/>
  <c r="O473" i="7"/>
  <c r="P334" i="7"/>
  <c r="Q334" i="7"/>
  <c r="P473" i="7"/>
  <c r="R334" i="7"/>
  <c r="Q473" i="7"/>
  <c r="S334" i="7"/>
  <c r="R473" i="7"/>
  <c r="S473" i="7"/>
  <c r="T334" i="7"/>
  <c r="U334" i="7"/>
  <c r="T473" i="7"/>
  <c r="V334" i="7"/>
  <c r="U473" i="7"/>
  <c r="W334" i="7"/>
  <c r="V473" i="7"/>
  <c r="X334" i="7"/>
  <c r="W473" i="7"/>
  <c r="X473" i="7"/>
  <c r="Y334" i="7"/>
  <c r="Z334" i="7"/>
  <c r="Y473" i="7"/>
  <c r="AA334" i="7"/>
  <c r="AB334" i="7"/>
  <c r="Z473" i="7"/>
  <c r="AC334" i="7"/>
  <c r="AA473" i="7"/>
  <c r="AB473" i="7"/>
  <c r="AC473" i="7"/>
  <c r="AD334" i="7"/>
  <c r="AE334" i="7"/>
  <c r="AD473" i="7"/>
  <c r="AF334" i="7"/>
  <c r="AE473" i="7"/>
  <c r="AG334" i="7"/>
  <c r="AF473" i="7"/>
  <c r="AG473" i="7"/>
  <c r="AH334" i="7"/>
  <c r="AI334" i="7"/>
  <c r="AH473" i="7"/>
  <c r="AJ334" i="7"/>
  <c r="AI473" i="7"/>
  <c r="AJ473" i="7"/>
  <c r="AK334" i="7"/>
  <c r="AK473" i="7"/>
  <c r="AL334" i="7"/>
  <c r="AL473" i="7"/>
  <c r="AM334" i="7"/>
  <c r="AM473" i="7"/>
  <c r="AN334" i="7"/>
  <c r="AO334" i="7"/>
  <c r="AN473" i="7"/>
  <c r="AP466" i="7"/>
  <c r="AP478" i="7" s="1"/>
  <c r="AP339" i="7"/>
  <c r="AP493" i="7"/>
  <c r="AP505" i="7" s="1"/>
  <c r="AP366" i="7"/>
  <c r="AP519" i="7"/>
  <c r="AP531" i="7" s="1"/>
  <c r="AP392" i="7"/>
  <c r="AO525" i="7"/>
  <c r="AP386" i="7"/>
  <c r="AP463" i="7"/>
  <c r="AP475" i="7" s="1"/>
  <c r="AP336" i="7"/>
  <c r="C360" i="7"/>
  <c r="D360" i="7"/>
  <c r="F360" i="7"/>
  <c r="C499" i="7"/>
  <c r="D499" i="7"/>
  <c r="E360" i="7"/>
  <c r="F499" i="7"/>
  <c r="G360" i="7"/>
  <c r="H360" i="7"/>
  <c r="G499" i="7"/>
  <c r="E499" i="7"/>
  <c r="I360" i="7"/>
  <c r="H499" i="7"/>
  <c r="I499" i="7"/>
  <c r="J360" i="7"/>
  <c r="K360" i="7"/>
  <c r="J499" i="7"/>
  <c r="K499" i="7"/>
  <c r="L360" i="7"/>
  <c r="L499" i="7"/>
  <c r="M360" i="7"/>
  <c r="M499" i="7"/>
  <c r="N360" i="7"/>
  <c r="N499" i="7"/>
  <c r="O360" i="7"/>
  <c r="P360" i="7"/>
  <c r="O499" i="7"/>
  <c r="P499" i="7"/>
  <c r="Q360" i="7"/>
  <c r="R360" i="7"/>
  <c r="Q499" i="7"/>
  <c r="S360" i="7"/>
  <c r="R499" i="7"/>
  <c r="S499" i="7"/>
  <c r="T360" i="7"/>
  <c r="T499" i="7"/>
  <c r="U360" i="7"/>
  <c r="U499" i="7"/>
  <c r="V360" i="7"/>
  <c r="V499" i="7"/>
  <c r="W360" i="7"/>
  <c r="W499" i="7"/>
  <c r="X360" i="7"/>
  <c r="X499" i="7"/>
  <c r="Y360" i="7"/>
  <c r="Y499" i="7"/>
  <c r="Z360" i="7"/>
  <c r="Z499" i="7"/>
  <c r="AA360" i="7"/>
  <c r="AB360" i="7"/>
  <c r="AA499" i="7"/>
  <c r="AC360" i="7"/>
  <c r="AB499" i="7"/>
  <c r="AC499" i="7"/>
  <c r="AD360" i="7"/>
  <c r="AE360" i="7"/>
  <c r="AD499" i="7"/>
  <c r="AF360" i="7"/>
  <c r="AE499" i="7"/>
  <c r="AG360" i="7"/>
  <c r="AF499" i="7"/>
  <c r="AG499" i="7"/>
  <c r="AH360" i="7"/>
  <c r="AH499" i="7"/>
  <c r="AI360" i="7"/>
  <c r="AJ360" i="7"/>
  <c r="AI499" i="7"/>
  <c r="AK360" i="7"/>
  <c r="AJ499" i="7"/>
  <c r="AK499" i="7"/>
  <c r="AL360" i="7"/>
  <c r="AM360" i="7"/>
  <c r="AL499" i="7"/>
  <c r="AM499" i="7"/>
  <c r="AN360" i="7"/>
  <c r="AO360" i="7"/>
  <c r="AN499" i="7"/>
  <c r="AP525" i="7"/>
  <c r="AP522" i="7"/>
  <c r="AP534" i="7" s="1"/>
  <c r="AP395" i="7"/>
  <c r="AP521" i="7"/>
  <c r="AP533" i="7" s="1"/>
  <c r="AP394" i="7"/>
  <c r="AP334" i="7"/>
  <c r="AP514" i="7"/>
  <c r="AP526" i="7" s="1"/>
  <c r="AP387" i="7"/>
  <c r="AP465" i="7"/>
  <c r="AP477" i="7" s="1"/>
  <c r="AP338" i="7"/>
  <c r="AP517" i="7"/>
  <c r="AP529" i="7" s="1"/>
  <c r="AP390" i="7"/>
  <c r="AO499" i="7"/>
  <c r="AP468" i="7"/>
  <c r="AP480" i="7" s="1"/>
  <c r="AP341" i="7"/>
  <c r="AP489" i="7"/>
  <c r="AP501" i="7" s="1"/>
  <c r="AP362" i="7"/>
  <c r="AP467" i="7"/>
  <c r="AP479" i="7" s="1"/>
  <c r="AP340" i="7"/>
  <c r="AO473" i="7"/>
  <c r="AO121" i="7"/>
  <c r="AO122" i="7" s="1"/>
  <c r="AP494" i="7"/>
  <c r="AP506" i="7" s="1"/>
  <c r="AP469" i="7"/>
  <c r="AP481" i="7" s="1"/>
  <c r="AP464" i="7"/>
  <c r="AP515" i="7"/>
  <c r="AC746" i="7"/>
  <c r="AC718" i="7" s="1"/>
  <c r="AC107" i="7" s="1"/>
  <c r="AP492" i="7"/>
  <c r="AP488" i="7"/>
  <c r="AP520" i="7"/>
  <c r="AP462" i="7"/>
  <c r="AP491" i="7"/>
  <c r="B741" i="7"/>
  <c r="B673" i="7"/>
  <c r="B740" i="7"/>
  <c r="B745" i="7"/>
  <c r="B744" i="7"/>
  <c r="B738" i="7"/>
  <c r="B743" i="7"/>
  <c r="B739" i="7"/>
  <c r="B742" i="7"/>
  <c r="B737" i="7"/>
  <c r="B674" i="7"/>
  <c r="B705" i="7"/>
  <c r="B706" i="7"/>
  <c r="B675" i="7"/>
  <c r="D736" i="7"/>
  <c r="D746" i="7" s="1"/>
  <c r="D718" i="7" s="1"/>
  <c r="D107" i="7" s="1"/>
  <c r="C736" i="7"/>
  <c r="E736" i="7"/>
  <c r="E746" i="7" s="1"/>
  <c r="E718" i="7" s="1"/>
  <c r="E107" i="7" s="1"/>
  <c r="F736" i="7"/>
  <c r="F746" i="7" s="1"/>
  <c r="F718" i="7" s="1"/>
  <c r="F107" i="7" s="1"/>
  <c r="G736" i="7"/>
  <c r="G746" i="7" s="1"/>
  <c r="G718" i="7" s="1"/>
  <c r="G107" i="7" s="1"/>
  <c r="H736" i="7"/>
  <c r="H746" i="7" s="1"/>
  <c r="H718" i="7" s="1"/>
  <c r="H107" i="7" s="1"/>
  <c r="I736" i="7"/>
  <c r="I746" i="7" s="1"/>
  <c r="I718" i="7" s="1"/>
  <c r="I107" i="7" s="1"/>
  <c r="J736" i="7"/>
  <c r="J746" i="7" s="1"/>
  <c r="J718" i="7" s="1"/>
  <c r="J107" i="7" s="1"/>
  <c r="K736" i="7"/>
  <c r="K746" i="7" s="1"/>
  <c r="K718" i="7" s="1"/>
  <c r="K107" i="7" s="1"/>
  <c r="L736" i="7"/>
  <c r="L746" i="7" s="1"/>
  <c r="L718" i="7" s="1"/>
  <c r="L107" i="7" s="1"/>
  <c r="M736" i="7"/>
  <c r="M746" i="7" s="1"/>
  <c r="M718" i="7" s="1"/>
  <c r="M107" i="7" s="1"/>
  <c r="N736" i="7"/>
  <c r="N746" i="7" s="1"/>
  <c r="N718" i="7" s="1"/>
  <c r="N107" i="7" s="1"/>
  <c r="O736" i="7"/>
  <c r="O746" i="7" s="1"/>
  <c r="O718" i="7" s="1"/>
  <c r="O107" i="7" s="1"/>
  <c r="P736" i="7"/>
  <c r="P746" i="7" s="1"/>
  <c r="P718" i="7" s="1"/>
  <c r="P107" i="7" s="1"/>
  <c r="Q736" i="7"/>
  <c r="Q746" i="7" s="1"/>
  <c r="Q718" i="7" s="1"/>
  <c r="Q107" i="7" s="1"/>
  <c r="R736" i="7"/>
  <c r="R746" i="7" s="1"/>
  <c r="R718" i="7" s="1"/>
  <c r="R107" i="7" s="1"/>
  <c r="S736" i="7"/>
  <c r="S746" i="7" s="1"/>
  <c r="S718" i="7" s="1"/>
  <c r="S107" i="7" s="1"/>
  <c r="T736" i="7"/>
  <c r="T746" i="7" s="1"/>
  <c r="T718" i="7" s="1"/>
  <c r="T107" i="7" s="1"/>
  <c r="U736" i="7"/>
  <c r="U746" i="7" s="1"/>
  <c r="U718" i="7" s="1"/>
  <c r="U107" i="7" s="1"/>
  <c r="V736" i="7"/>
  <c r="V746" i="7" s="1"/>
  <c r="V718" i="7" s="1"/>
  <c r="V107" i="7" s="1"/>
  <c r="AP714" i="7"/>
  <c r="AP686" i="7" s="1"/>
  <c r="AP106" i="7" s="1"/>
  <c r="AP113" i="7"/>
  <c r="D704" i="7"/>
  <c r="D714" i="7" s="1"/>
  <c r="D686" i="7" s="1"/>
  <c r="D106" i="7" s="1"/>
  <c r="C704" i="7"/>
  <c r="E704" i="7"/>
  <c r="E714" i="7" s="1"/>
  <c r="E686" i="7" s="1"/>
  <c r="E106" i="7" s="1"/>
  <c r="F704" i="7"/>
  <c r="F714" i="7" s="1"/>
  <c r="F686" i="7" s="1"/>
  <c r="F106" i="7" s="1"/>
  <c r="G704" i="7"/>
  <c r="G714" i="7" s="1"/>
  <c r="G686" i="7" s="1"/>
  <c r="G106" i="7" s="1"/>
  <c r="H704" i="7"/>
  <c r="H714" i="7" s="1"/>
  <c r="H686" i="7" s="1"/>
  <c r="H106" i="7" s="1"/>
  <c r="I704" i="7"/>
  <c r="I714" i="7" s="1"/>
  <c r="I686" i="7" s="1"/>
  <c r="I106" i="7" s="1"/>
  <c r="J704" i="7"/>
  <c r="J714" i="7" s="1"/>
  <c r="J686" i="7" s="1"/>
  <c r="J106" i="7" s="1"/>
  <c r="K704" i="7"/>
  <c r="K714" i="7" s="1"/>
  <c r="K686" i="7" s="1"/>
  <c r="K106" i="7" s="1"/>
  <c r="L704" i="7"/>
  <c r="L714" i="7" s="1"/>
  <c r="L686" i="7" s="1"/>
  <c r="L106" i="7" s="1"/>
  <c r="M704" i="7"/>
  <c r="M714" i="7" s="1"/>
  <c r="M686" i="7" s="1"/>
  <c r="N704" i="7"/>
  <c r="N714" i="7" s="1"/>
  <c r="N686" i="7" s="1"/>
  <c r="O704" i="7"/>
  <c r="O714" i="7" s="1"/>
  <c r="O686" i="7" s="1"/>
  <c r="P704" i="7"/>
  <c r="P714" i="7" s="1"/>
  <c r="P686" i="7" s="1"/>
  <c r="Q704" i="7"/>
  <c r="Q714" i="7" s="1"/>
  <c r="Q686" i="7" s="1"/>
  <c r="D672" i="7"/>
  <c r="D682" i="7" s="1"/>
  <c r="D654" i="7" s="1"/>
  <c r="C672" i="7"/>
  <c r="E672" i="7"/>
  <c r="E682" i="7" s="1"/>
  <c r="E654" i="7" s="1"/>
  <c r="F672" i="7"/>
  <c r="F682" i="7" s="1"/>
  <c r="F654" i="7" s="1"/>
  <c r="G672" i="7"/>
  <c r="G682" i="7" s="1"/>
  <c r="G654" i="7" s="1"/>
  <c r="H672" i="7"/>
  <c r="H682" i="7" s="1"/>
  <c r="H654" i="7" s="1"/>
  <c r="I672" i="7"/>
  <c r="I682" i="7" s="1"/>
  <c r="I654" i="7" s="1"/>
  <c r="J672" i="7"/>
  <c r="J682" i="7" s="1"/>
  <c r="J654" i="7" s="1"/>
  <c r="K672" i="7"/>
  <c r="K682" i="7" s="1"/>
  <c r="K654" i="7" s="1"/>
  <c r="L672" i="7"/>
  <c r="L682" i="7" s="1"/>
  <c r="L654" i="7" s="1"/>
  <c r="M672" i="7"/>
  <c r="M682" i="7" s="1"/>
  <c r="M654" i="7" s="1"/>
  <c r="N672" i="7"/>
  <c r="N682" i="7" s="1"/>
  <c r="N654" i="7" s="1"/>
  <c r="AA396" i="7" l="1"/>
  <c r="AM370" i="7"/>
  <c r="Z509" i="7"/>
  <c r="AL344" i="7"/>
  <c r="AM535" i="7"/>
  <c r="AF396" i="7"/>
  <c r="H396" i="7"/>
  <c r="AB344" i="7"/>
  <c r="O396" i="7"/>
  <c r="L370" i="7"/>
  <c r="X344" i="7"/>
  <c r="B337" i="7"/>
  <c r="B365" i="7"/>
  <c r="B364" i="7"/>
  <c r="AG509" i="7"/>
  <c r="AF370" i="7"/>
  <c r="W509" i="7"/>
  <c r="AB483" i="7"/>
  <c r="AL535" i="7"/>
  <c r="W370" i="7"/>
  <c r="H509" i="7"/>
  <c r="S344" i="7"/>
  <c r="I344" i="7"/>
  <c r="T396" i="7"/>
  <c r="L396" i="7"/>
  <c r="B367" i="7"/>
  <c r="B393" i="7"/>
  <c r="AO483" i="7"/>
  <c r="B501" i="7"/>
  <c r="B390" i="7"/>
  <c r="B387" i="7"/>
  <c r="B533" i="7"/>
  <c r="AN509" i="7"/>
  <c r="AL509" i="7"/>
  <c r="AJ509" i="7"/>
  <c r="AI370" i="7"/>
  <c r="AF509" i="7"/>
  <c r="AD509" i="7"/>
  <c r="AB509" i="7"/>
  <c r="AA370" i="7"/>
  <c r="Y370" i="7"/>
  <c r="U370" i="7"/>
  <c r="R509" i="7"/>
  <c r="Q370" i="7"/>
  <c r="O370" i="7"/>
  <c r="M370" i="7"/>
  <c r="J509" i="7"/>
  <c r="H370" i="7"/>
  <c r="D509" i="7"/>
  <c r="AO535" i="7"/>
  <c r="B505" i="7"/>
  <c r="AO344" i="7"/>
  <c r="AL483" i="7"/>
  <c r="AJ483" i="7"/>
  <c r="AI344" i="7"/>
  <c r="AG344" i="7"/>
  <c r="AE344" i="7"/>
  <c r="AA483" i="7"/>
  <c r="AA344" i="7"/>
  <c r="X483" i="7"/>
  <c r="W344" i="7"/>
  <c r="U344" i="7"/>
  <c r="Q344" i="7"/>
  <c r="N483" i="7"/>
  <c r="K483" i="7"/>
  <c r="J483" i="7"/>
  <c r="E483" i="7"/>
  <c r="F344" i="7"/>
  <c r="B343" i="7"/>
  <c r="AN396" i="7"/>
  <c r="AK535" i="7"/>
  <c r="AJ396" i="7"/>
  <c r="AG535" i="7"/>
  <c r="AE535" i="7"/>
  <c r="AC535" i="7"/>
  <c r="AB396" i="7"/>
  <c r="Z396" i="7"/>
  <c r="W535" i="7"/>
  <c r="U535" i="7"/>
  <c r="Q535" i="7"/>
  <c r="P396" i="7"/>
  <c r="N535" i="7"/>
  <c r="J396" i="7"/>
  <c r="G535" i="7"/>
  <c r="G396" i="7"/>
  <c r="B502" i="7"/>
  <c r="B507" i="7"/>
  <c r="B361" i="7"/>
  <c r="B508" i="7"/>
  <c r="B530" i="7"/>
  <c r="B388" i="7"/>
  <c r="B342" i="7"/>
  <c r="B389" i="7"/>
  <c r="B335" i="7"/>
  <c r="J370" i="7"/>
  <c r="B341" i="7"/>
  <c r="B529" i="7"/>
  <c r="B526" i="7"/>
  <c r="B395" i="7"/>
  <c r="AO370" i="7"/>
  <c r="AK370" i="7"/>
  <c r="AH509" i="7"/>
  <c r="AG370" i="7"/>
  <c r="AE370" i="7"/>
  <c r="AC370" i="7"/>
  <c r="X509" i="7"/>
  <c r="V509" i="7"/>
  <c r="T509" i="7"/>
  <c r="S370" i="7"/>
  <c r="P509" i="7"/>
  <c r="N509" i="7"/>
  <c r="L509" i="7"/>
  <c r="K370" i="7"/>
  <c r="I370" i="7"/>
  <c r="G370" i="7"/>
  <c r="B339" i="7"/>
  <c r="AN344" i="7"/>
  <c r="AI483" i="7"/>
  <c r="AH344" i="7"/>
  <c r="AE483" i="7"/>
  <c r="AD344" i="7"/>
  <c r="AC344" i="7"/>
  <c r="Y483" i="7"/>
  <c r="W483" i="7"/>
  <c r="U483" i="7"/>
  <c r="T344" i="7"/>
  <c r="Q483" i="7"/>
  <c r="P344" i="7"/>
  <c r="M483" i="7"/>
  <c r="L344" i="7"/>
  <c r="J344" i="7"/>
  <c r="H344" i="7"/>
  <c r="F483" i="7"/>
  <c r="B482" i="7"/>
  <c r="AL396" i="7"/>
  <c r="AI535" i="7"/>
  <c r="AH396" i="7"/>
  <c r="AD396" i="7"/>
  <c r="AA535" i="7"/>
  <c r="Y535" i="7"/>
  <c r="X396" i="7"/>
  <c r="V396" i="7"/>
  <c r="S535" i="7"/>
  <c r="R396" i="7"/>
  <c r="O535" i="7"/>
  <c r="L535" i="7"/>
  <c r="K535" i="7"/>
  <c r="I535" i="7"/>
  <c r="E396" i="7"/>
  <c r="D396" i="7"/>
  <c r="B391" i="7"/>
  <c r="B481" i="7"/>
  <c r="B480" i="7"/>
  <c r="B338" i="7"/>
  <c r="AN370" i="7"/>
  <c r="AL370" i="7"/>
  <c r="AI509" i="7"/>
  <c r="AH370" i="7"/>
  <c r="AE509" i="7"/>
  <c r="AD370" i="7"/>
  <c r="AA509" i="7"/>
  <c r="Z370" i="7"/>
  <c r="X370" i="7"/>
  <c r="V370" i="7"/>
  <c r="T370" i="7"/>
  <c r="Q509" i="7"/>
  <c r="O509" i="7"/>
  <c r="N370" i="7"/>
  <c r="E509" i="7"/>
  <c r="F509" i="7"/>
  <c r="F370" i="7"/>
  <c r="B475" i="7"/>
  <c r="B531" i="7"/>
  <c r="AM483" i="7"/>
  <c r="AK483" i="7"/>
  <c r="AJ344" i="7"/>
  <c r="AG483" i="7"/>
  <c r="AF344" i="7"/>
  <c r="AC483" i="7"/>
  <c r="Z483" i="7"/>
  <c r="Z344" i="7"/>
  <c r="V344" i="7"/>
  <c r="S483" i="7"/>
  <c r="R344" i="7"/>
  <c r="O483" i="7"/>
  <c r="L483" i="7"/>
  <c r="M344" i="7"/>
  <c r="I483" i="7"/>
  <c r="G483" i="7"/>
  <c r="E344" i="7"/>
  <c r="D344" i="7"/>
  <c r="AO396" i="7"/>
  <c r="AM396" i="7"/>
  <c r="AK396" i="7"/>
  <c r="AI396" i="7"/>
  <c r="AF535" i="7"/>
  <c r="AE396" i="7"/>
  <c r="AB535" i="7"/>
  <c r="Z535" i="7"/>
  <c r="X535" i="7"/>
  <c r="W396" i="7"/>
  <c r="U396" i="7"/>
  <c r="R535" i="7"/>
  <c r="P535" i="7"/>
  <c r="N396" i="7"/>
  <c r="K396" i="7"/>
  <c r="I396" i="7"/>
  <c r="F535" i="7"/>
  <c r="D535" i="7"/>
  <c r="B528" i="7"/>
  <c r="B369" i="7"/>
  <c r="B506" i="7"/>
  <c r="B362" i="7"/>
  <c r="AO509" i="7"/>
  <c r="B477" i="7"/>
  <c r="B394" i="7"/>
  <c r="AM509" i="7"/>
  <c r="AK509" i="7"/>
  <c r="AJ370" i="7"/>
  <c r="AC509" i="7"/>
  <c r="AB370" i="7"/>
  <c r="Y509" i="7"/>
  <c r="U509" i="7"/>
  <c r="S509" i="7"/>
  <c r="R370" i="7"/>
  <c r="P370" i="7"/>
  <c r="M509" i="7"/>
  <c r="K509" i="7"/>
  <c r="I509" i="7"/>
  <c r="G509" i="7"/>
  <c r="E370" i="7"/>
  <c r="D370" i="7"/>
  <c r="AN483" i="7"/>
  <c r="AM344" i="7"/>
  <c r="AK344" i="7"/>
  <c r="AH483" i="7"/>
  <c r="AF483" i="7"/>
  <c r="AD483" i="7"/>
  <c r="Y344" i="7"/>
  <c r="V483" i="7"/>
  <c r="T483" i="7"/>
  <c r="R483" i="7"/>
  <c r="P483" i="7"/>
  <c r="O344" i="7"/>
  <c r="N344" i="7"/>
  <c r="K344" i="7"/>
  <c r="H483" i="7"/>
  <c r="G344" i="7"/>
  <c r="D483" i="7"/>
  <c r="AN535" i="7"/>
  <c r="AJ535" i="7"/>
  <c r="AH535" i="7"/>
  <c r="AG396" i="7"/>
  <c r="AD535" i="7"/>
  <c r="AC396" i="7"/>
  <c r="Y396" i="7"/>
  <c r="V535" i="7"/>
  <c r="T535" i="7"/>
  <c r="S396" i="7"/>
  <c r="Q396" i="7"/>
  <c r="M535" i="7"/>
  <c r="M396" i="7"/>
  <c r="J535" i="7"/>
  <c r="H535" i="7"/>
  <c r="E535" i="7"/>
  <c r="F396" i="7"/>
  <c r="B363" i="7"/>
  <c r="B368" i="7"/>
  <c r="B479" i="7"/>
  <c r="B534" i="7"/>
  <c r="B478" i="7"/>
  <c r="B336" i="7"/>
  <c r="B392" i="7"/>
  <c r="AH105" i="7"/>
  <c r="AH615" i="7"/>
  <c r="AD105" i="7"/>
  <c r="AD615" i="7"/>
  <c r="Z105" i="7"/>
  <c r="Z615" i="7"/>
  <c r="V615" i="7"/>
  <c r="V105" i="7"/>
  <c r="AG105" i="7"/>
  <c r="AG615" i="7"/>
  <c r="AJ105" i="7"/>
  <c r="AJ615" i="7"/>
  <c r="AF105" i="7"/>
  <c r="AF615" i="7"/>
  <c r="AB105" i="7"/>
  <c r="AB615" i="7"/>
  <c r="AM105" i="7"/>
  <c r="AM615" i="7"/>
  <c r="AI105" i="7"/>
  <c r="AI615" i="7"/>
  <c r="AE105" i="7"/>
  <c r="AE615" i="7"/>
  <c r="AA105" i="7"/>
  <c r="AA615" i="7"/>
  <c r="W105" i="7"/>
  <c r="W615" i="7"/>
  <c r="AC105" i="7"/>
  <c r="AC615" i="7"/>
  <c r="X105" i="7"/>
  <c r="X615" i="7"/>
  <c r="AK105" i="7"/>
  <c r="AK615" i="7"/>
  <c r="U615" i="7"/>
  <c r="AN105" i="7"/>
  <c r="AN615" i="7"/>
  <c r="Y105" i="7"/>
  <c r="Y615" i="7"/>
  <c r="AP615" i="7"/>
  <c r="AL105" i="7"/>
  <c r="AL615" i="7"/>
  <c r="AO105" i="7"/>
  <c r="AO615" i="7"/>
  <c r="AP503" i="7"/>
  <c r="B503" i="7" s="1"/>
  <c r="AP504" i="7"/>
  <c r="B504" i="7" s="1"/>
  <c r="AP476" i="7"/>
  <c r="B476" i="7" s="1"/>
  <c r="AP532" i="7"/>
  <c r="B532" i="7" s="1"/>
  <c r="AP527" i="7"/>
  <c r="B527" i="7" s="1"/>
  <c r="AP500" i="7"/>
  <c r="B500" i="7" s="1"/>
  <c r="AP474" i="7"/>
  <c r="B474" i="7" s="1"/>
  <c r="AP121" i="7"/>
  <c r="AP122" i="7" s="1"/>
  <c r="AP370" i="7"/>
  <c r="AP396" i="7"/>
  <c r="B366" i="7"/>
  <c r="AP344" i="7"/>
  <c r="B340" i="7"/>
  <c r="N105" i="7"/>
  <c r="M105" i="7"/>
  <c r="P106" i="7"/>
  <c r="N106" i="7"/>
  <c r="Q106" i="7"/>
  <c r="O106" i="7"/>
  <c r="M106" i="7"/>
  <c r="K105" i="7"/>
  <c r="I105" i="7"/>
  <c r="G105" i="7"/>
  <c r="E105" i="7"/>
  <c r="D105" i="7"/>
  <c r="L105" i="7"/>
  <c r="J105" i="7"/>
  <c r="H105" i="7"/>
  <c r="F105" i="7"/>
  <c r="B672" i="7"/>
  <c r="C682" i="7"/>
  <c r="C654" i="7" s="1"/>
  <c r="B499" i="7"/>
  <c r="C509" i="7"/>
  <c r="B704" i="7"/>
  <c r="C714" i="7"/>
  <c r="C686" i="7" s="1"/>
  <c r="C746" i="7"/>
  <c r="C718" i="7" s="1"/>
  <c r="B736" i="7"/>
  <c r="C344" i="7"/>
  <c r="B334" i="7"/>
  <c r="C483" i="7"/>
  <c r="B473" i="7"/>
  <c r="C370" i="7"/>
  <c r="B360" i="7"/>
  <c r="C396" i="7"/>
  <c r="B386" i="7"/>
  <c r="B525" i="7"/>
  <c r="C535" i="7"/>
  <c r="AP509" i="7" l="1"/>
  <c r="AP483" i="7"/>
  <c r="AP535" i="7"/>
  <c r="C107" i="7"/>
  <c r="C720" i="7"/>
  <c r="D717" i="7" s="1"/>
  <c r="D720" i="7" s="1"/>
  <c r="E717" i="7" s="1"/>
  <c r="E720" i="7" s="1"/>
  <c r="F717" i="7" s="1"/>
  <c r="F720" i="7" s="1"/>
  <c r="G717" i="7" s="1"/>
  <c r="G720" i="7" s="1"/>
  <c r="H717" i="7" s="1"/>
  <c r="H720" i="7" s="1"/>
  <c r="I717" i="7" s="1"/>
  <c r="I720" i="7" s="1"/>
  <c r="J717" i="7" s="1"/>
  <c r="J720" i="7" s="1"/>
  <c r="K717" i="7" s="1"/>
  <c r="K720" i="7" s="1"/>
  <c r="L717" i="7" s="1"/>
  <c r="L720" i="7" s="1"/>
  <c r="M717" i="7" s="1"/>
  <c r="M720" i="7" s="1"/>
  <c r="N717" i="7" s="1"/>
  <c r="N720" i="7" s="1"/>
  <c r="O717" i="7" s="1"/>
  <c r="O720" i="7" s="1"/>
  <c r="P717" i="7" s="1"/>
  <c r="P720" i="7" s="1"/>
  <c r="Q717" i="7" s="1"/>
  <c r="Q720" i="7" s="1"/>
  <c r="R717" i="7" s="1"/>
  <c r="R720" i="7" s="1"/>
  <c r="S717" i="7" s="1"/>
  <c r="S720" i="7" s="1"/>
  <c r="T717" i="7" s="1"/>
  <c r="T720" i="7" s="1"/>
  <c r="U717" i="7" s="1"/>
  <c r="U720" i="7" s="1"/>
  <c r="V717" i="7" s="1"/>
  <c r="V720" i="7" s="1"/>
  <c r="W717" i="7" s="1"/>
  <c r="W720" i="7" s="1"/>
  <c r="X717" i="7" s="1"/>
  <c r="X720" i="7" s="1"/>
  <c r="Y717" i="7" s="1"/>
  <c r="Y720" i="7" s="1"/>
  <c r="Z717" i="7" s="1"/>
  <c r="Z720" i="7" s="1"/>
  <c r="AA717" i="7" s="1"/>
  <c r="AA720" i="7" s="1"/>
  <c r="AB717" i="7" s="1"/>
  <c r="AB720" i="7" s="1"/>
  <c r="AC717" i="7" s="1"/>
  <c r="AC720" i="7" s="1"/>
  <c r="AD717" i="7" s="1"/>
  <c r="AD720" i="7" s="1"/>
  <c r="AE717" i="7" s="1"/>
  <c r="AE720" i="7" s="1"/>
  <c r="AF717" i="7" s="1"/>
  <c r="AF720" i="7" s="1"/>
  <c r="AG717" i="7" s="1"/>
  <c r="AG720" i="7" s="1"/>
  <c r="AH717" i="7" s="1"/>
  <c r="AH720" i="7" s="1"/>
  <c r="AI717" i="7" s="1"/>
  <c r="AI720" i="7" s="1"/>
  <c r="AJ717" i="7" s="1"/>
  <c r="AJ720" i="7" s="1"/>
  <c r="AK717" i="7" s="1"/>
  <c r="AK720" i="7" s="1"/>
  <c r="AL717" i="7" s="1"/>
  <c r="AL720" i="7" s="1"/>
  <c r="AM717" i="7" s="1"/>
  <c r="AM720" i="7" s="1"/>
  <c r="AN717" i="7" s="1"/>
  <c r="AN720" i="7" s="1"/>
  <c r="AO717" i="7" s="1"/>
  <c r="AO720" i="7" s="1"/>
  <c r="AP717" i="7" s="1"/>
  <c r="AP720" i="7" s="1"/>
  <c r="C106" i="7"/>
  <c r="C688" i="7"/>
  <c r="D685" i="7" s="1"/>
  <c r="D688" i="7" s="1"/>
  <c r="E685" i="7" s="1"/>
  <c r="E688" i="7" s="1"/>
  <c r="F685" i="7" s="1"/>
  <c r="F688" i="7" s="1"/>
  <c r="G685" i="7" s="1"/>
  <c r="G688" i="7" s="1"/>
  <c r="H685" i="7" s="1"/>
  <c r="H688" i="7" s="1"/>
  <c r="I685" i="7" s="1"/>
  <c r="I688" i="7" s="1"/>
  <c r="J685" i="7" s="1"/>
  <c r="J688" i="7" s="1"/>
  <c r="K685" i="7" s="1"/>
  <c r="K688" i="7" s="1"/>
  <c r="L685" i="7" s="1"/>
  <c r="L688" i="7" s="1"/>
  <c r="M685" i="7" s="1"/>
  <c r="M688" i="7" s="1"/>
  <c r="N685" i="7" s="1"/>
  <c r="N688" i="7" s="1"/>
  <c r="O685" i="7" s="1"/>
  <c r="O688" i="7" s="1"/>
  <c r="P685" i="7" s="1"/>
  <c r="P688" i="7" s="1"/>
  <c r="Q685" i="7" s="1"/>
  <c r="Q688" i="7" s="1"/>
  <c r="R685" i="7" s="1"/>
  <c r="R688" i="7" s="1"/>
  <c r="S685" i="7" s="1"/>
  <c r="S688" i="7" s="1"/>
  <c r="T685" i="7" s="1"/>
  <c r="T688" i="7" s="1"/>
  <c r="U685" i="7" s="1"/>
  <c r="U688" i="7" s="1"/>
  <c r="V685" i="7" s="1"/>
  <c r="V688" i="7" s="1"/>
  <c r="W685" i="7" s="1"/>
  <c r="W688" i="7" s="1"/>
  <c r="X685" i="7" s="1"/>
  <c r="X688" i="7" s="1"/>
  <c r="Y685" i="7" s="1"/>
  <c r="Y688" i="7" s="1"/>
  <c r="Z685" i="7" s="1"/>
  <c r="Z688" i="7" s="1"/>
  <c r="AA685" i="7" s="1"/>
  <c r="AA688" i="7" s="1"/>
  <c r="AB685" i="7" s="1"/>
  <c r="AB688" i="7" s="1"/>
  <c r="AC685" i="7" s="1"/>
  <c r="AC688" i="7" s="1"/>
  <c r="AD685" i="7" s="1"/>
  <c r="AD688" i="7" s="1"/>
  <c r="AE685" i="7" s="1"/>
  <c r="AE688" i="7" s="1"/>
  <c r="AF685" i="7" s="1"/>
  <c r="AF688" i="7" s="1"/>
  <c r="AG685" i="7" s="1"/>
  <c r="AG688" i="7" s="1"/>
  <c r="AH685" i="7" s="1"/>
  <c r="AH688" i="7" s="1"/>
  <c r="AI685" i="7" s="1"/>
  <c r="AI688" i="7" s="1"/>
  <c r="AJ685" i="7" s="1"/>
  <c r="AJ688" i="7" s="1"/>
  <c r="AK685" i="7" s="1"/>
  <c r="AK688" i="7" s="1"/>
  <c r="AL685" i="7" s="1"/>
  <c r="AL688" i="7" s="1"/>
  <c r="AM685" i="7" s="1"/>
  <c r="AM688" i="7" s="1"/>
  <c r="AN685" i="7" s="1"/>
  <c r="AN688" i="7" s="1"/>
  <c r="AO685" i="7" s="1"/>
  <c r="AO688" i="7" s="1"/>
  <c r="AP685" i="7" s="1"/>
  <c r="AP688" i="7" s="1"/>
  <c r="C105" i="7"/>
  <c r="C656" i="7"/>
  <c r="D653" i="7" s="1"/>
  <c r="D656" i="7" s="1"/>
  <c r="E653" i="7" s="1"/>
  <c r="E656" i="7" s="1"/>
  <c r="F653" i="7" s="1"/>
  <c r="F656" i="7" s="1"/>
  <c r="G653" i="7" s="1"/>
  <c r="G656" i="7" s="1"/>
  <c r="H653" i="7" s="1"/>
  <c r="H656" i="7" s="1"/>
  <c r="I653" i="7" s="1"/>
  <c r="I656" i="7" s="1"/>
  <c r="J653" i="7" s="1"/>
  <c r="J656" i="7" s="1"/>
  <c r="K653" i="7" s="1"/>
  <c r="K656" i="7" s="1"/>
  <c r="L653" i="7" s="1"/>
  <c r="L656" i="7" s="1"/>
  <c r="M653" i="7" l="1"/>
  <c r="M656" i="7" s="1"/>
  <c r="N653" i="7" l="1"/>
  <c r="N656" i="7" s="1"/>
  <c r="AO602" i="7" l="1"/>
  <c r="AO38" i="7" s="1"/>
  <c r="AO598" i="7"/>
  <c r="AO563" i="7"/>
  <c r="AO137" i="7" s="1"/>
  <c r="AO594" i="7"/>
  <c r="AO590" i="7"/>
  <c r="AO557" i="7"/>
  <c r="AO136" i="7" s="1"/>
  <c r="AO55" i="7"/>
  <c r="AO74" i="7" s="1"/>
  <c r="AN598" i="7"/>
  <c r="AN563" i="7"/>
  <c r="AN137" i="7" s="1"/>
  <c r="AN602" i="7"/>
  <c r="AN38" i="7" s="1"/>
  <c r="AN590" i="7"/>
  <c r="AN557" i="7"/>
  <c r="AN136" i="7" s="1"/>
  <c r="AN594" i="7"/>
  <c r="AN55" i="7"/>
  <c r="AN74" i="7" s="1"/>
  <c r="AM594" i="7"/>
  <c r="AM590" i="7"/>
  <c r="AM557" i="7"/>
  <c r="AM136" i="7" s="1"/>
  <c r="AM55" i="7"/>
  <c r="AM74" i="7" s="1"/>
  <c r="AM602" i="7"/>
  <c r="AM38" i="7" s="1"/>
  <c r="AM598" i="7"/>
  <c r="AM563" i="7"/>
  <c r="AM137" i="7" s="1"/>
  <c r="AL598" i="7"/>
  <c r="AL563" i="7"/>
  <c r="AL137" i="7" s="1"/>
  <c r="AL602" i="7"/>
  <c r="AL38" i="7" s="1"/>
  <c r="AL590" i="7"/>
  <c r="AL557" i="7"/>
  <c r="AL136" i="7" s="1"/>
  <c r="AL594" i="7"/>
  <c r="AL55" i="7"/>
  <c r="AL74" i="7" s="1"/>
  <c r="AK602" i="7"/>
  <c r="AK38" i="7" s="1"/>
  <c r="AK598" i="7"/>
  <c r="AK594" i="7"/>
  <c r="AK590" i="7"/>
  <c r="AK557" i="7"/>
  <c r="AK136" i="7" s="1"/>
  <c r="AK55" i="7"/>
  <c r="AK74" i="7" s="1"/>
  <c r="AK563" i="7"/>
  <c r="AK137" i="7" s="1"/>
  <c r="AJ590" i="7"/>
  <c r="AJ557" i="7"/>
  <c r="AJ136" i="7" s="1"/>
  <c r="AJ594" i="7"/>
  <c r="AJ55" i="7"/>
  <c r="AJ74" i="7" s="1"/>
  <c r="AJ598" i="7"/>
  <c r="AJ563" i="7"/>
  <c r="AJ137" i="7" s="1"/>
  <c r="AJ602" i="7"/>
  <c r="AJ38" i="7" s="1"/>
  <c r="AH590" i="7"/>
  <c r="AH557" i="7"/>
  <c r="AH136" i="7" s="1"/>
  <c r="AH594" i="7"/>
  <c r="AH55" i="7"/>
  <c r="AH74" i="7" s="1"/>
  <c r="AH598" i="7"/>
  <c r="AH563" i="7"/>
  <c r="AH137" i="7" s="1"/>
  <c r="AH602" i="7"/>
  <c r="AH38" i="7" s="1"/>
  <c r="AG594" i="7"/>
  <c r="AG590" i="7"/>
  <c r="AG557" i="7"/>
  <c r="AG136" i="7" s="1"/>
  <c r="AG55" i="7"/>
  <c r="AG74" i="7" s="1"/>
  <c r="AG602" i="7"/>
  <c r="AG38" i="7" s="1"/>
  <c r="AG598" i="7"/>
  <c r="AG563" i="7"/>
  <c r="AG137" i="7" s="1"/>
  <c r="AP598" i="7"/>
  <c r="AP563" i="7"/>
  <c r="AP137" i="7" s="1"/>
  <c r="AP602" i="7"/>
  <c r="AP38" i="7" s="1"/>
  <c r="AP590" i="7"/>
  <c r="AP557" i="7"/>
  <c r="AP136" i="7" s="1"/>
  <c r="AP594" i="7"/>
  <c r="AP55" i="7"/>
  <c r="AP74" i="7" s="1"/>
  <c r="AI594" i="7"/>
  <c r="AI557" i="7"/>
  <c r="AI136" i="7" s="1"/>
  <c r="AI602" i="7"/>
  <c r="AI38" i="7" s="1"/>
  <c r="AI598" i="7"/>
  <c r="AI563" i="7"/>
  <c r="AI137" i="7" s="1"/>
  <c r="AI590" i="7"/>
  <c r="AI55" i="7"/>
  <c r="AI74" i="7" s="1"/>
  <c r="C590" i="7"/>
  <c r="C55" i="7"/>
  <c r="C74" i="7" s="1"/>
  <c r="C598" i="7"/>
  <c r="C594" i="7"/>
  <c r="C557" i="7"/>
  <c r="C136" i="7" s="1"/>
  <c r="C602" i="7"/>
  <c r="C38" i="7" s="1"/>
  <c r="C39" i="7" s="1"/>
  <c r="C563" i="7"/>
  <c r="C137" i="7" s="1"/>
  <c r="G602" i="7"/>
  <c r="G38" i="7" s="1"/>
  <c r="G563" i="7"/>
  <c r="G137" i="7" s="1"/>
  <c r="G590" i="7"/>
  <c r="G55" i="7"/>
  <c r="G74" i="7" s="1"/>
  <c r="G598" i="7"/>
  <c r="G594" i="7"/>
  <c r="G557" i="7"/>
  <c r="G136" i="7" s="1"/>
  <c r="K602" i="7"/>
  <c r="K38" i="7" s="1"/>
  <c r="K563" i="7"/>
  <c r="K137" i="7" s="1"/>
  <c r="K557" i="7"/>
  <c r="K136" i="7" s="1"/>
  <c r="K590" i="7"/>
  <c r="K598" i="7"/>
  <c r="K594" i="7"/>
  <c r="K55" i="7"/>
  <c r="K74" i="7" s="1"/>
  <c r="O602" i="7"/>
  <c r="O38" i="7" s="1"/>
  <c r="O590" i="7"/>
  <c r="O55" i="7"/>
  <c r="O74" i="7" s="1"/>
  <c r="O598" i="7"/>
  <c r="O594" i="7"/>
  <c r="O557" i="7"/>
  <c r="O136" i="7" s="1"/>
  <c r="O563" i="7"/>
  <c r="O137" i="7" s="1"/>
  <c r="S594" i="7"/>
  <c r="S557" i="7"/>
  <c r="S136" i="7" s="1"/>
  <c r="S602" i="7"/>
  <c r="S38" i="7" s="1"/>
  <c r="S563" i="7"/>
  <c r="S137" i="7" s="1"/>
  <c r="S590" i="7"/>
  <c r="S55" i="7"/>
  <c r="S74" i="7" s="1"/>
  <c r="S598" i="7"/>
  <c r="W594" i="7"/>
  <c r="W557" i="7"/>
  <c r="W136" i="7" s="1"/>
  <c r="W602" i="7"/>
  <c r="W38" i="7" s="1"/>
  <c r="W563" i="7"/>
  <c r="W137" i="7" s="1"/>
  <c r="W590" i="7"/>
  <c r="W55" i="7"/>
  <c r="W74" i="7" s="1"/>
  <c r="W598" i="7"/>
  <c r="AA594" i="7"/>
  <c r="AA557" i="7"/>
  <c r="AA136" i="7" s="1"/>
  <c r="AA602" i="7"/>
  <c r="AA38" i="7" s="1"/>
  <c r="AA563" i="7"/>
  <c r="AA137" i="7" s="1"/>
  <c r="AA590" i="7"/>
  <c r="AA55" i="7"/>
  <c r="AA74" i="7" s="1"/>
  <c r="AA598" i="7"/>
  <c r="AE602" i="7"/>
  <c r="AE38" i="7" s="1"/>
  <c r="AE563" i="7"/>
  <c r="AE137" i="7" s="1"/>
  <c r="AE590" i="7"/>
  <c r="AE55" i="7"/>
  <c r="AE74" i="7" s="1"/>
  <c r="AE598" i="7"/>
  <c r="AE594" i="7"/>
  <c r="AE557" i="7"/>
  <c r="AE136" i="7" s="1"/>
  <c r="F598" i="7"/>
  <c r="F602" i="7"/>
  <c r="F38" i="7" s="1"/>
  <c r="F557" i="7"/>
  <c r="F136" i="7" s="1"/>
  <c r="F55" i="7"/>
  <c r="F74" i="7" s="1"/>
  <c r="F563" i="7"/>
  <c r="F137" i="7" s="1"/>
  <c r="F590" i="7"/>
  <c r="F594" i="7"/>
  <c r="J557" i="7"/>
  <c r="J136" i="7" s="1"/>
  <c r="J55" i="7"/>
  <c r="J74" i="7" s="1"/>
  <c r="J563" i="7"/>
  <c r="J137" i="7" s="1"/>
  <c r="J590" i="7"/>
  <c r="J594" i="7"/>
  <c r="J598" i="7"/>
  <c r="J602" i="7"/>
  <c r="J38" i="7" s="1"/>
  <c r="N557" i="7"/>
  <c r="N136" i="7" s="1"/>
  <c r="N55" i="7"/>
  <c r="N74" i="7" s="1"/>
  <c r="N563" i="7"/>
  <c r="N137" i="7" s="1"/>
  <c r="N590" i="7"/>
  <c r="N594" i="7"/>
  <c r="N598" i="7"/>
  <c r="N602" i="7"/>
  <c r="N38" i="7" s="1"/>
  <c r="R590" i="7"/>
  <c r="R594" i="7"/>
  <c r="R598" i="7"/>
  <c r="R602" i="7"/>
  <c r="R38" i="7" s="1"/>
  <c r="R557" i="7"/>
  <c r="R136" i="7" s="1"/>
  <c r="R55" i="7"/>
  <c r="R74" i="7" s="1"/>
  <c r="R563" i="7"/>
  <c r="R137" i="7" s="1"/>
  <c r="V563" i="7"/>
  <c r="V137" i="7" s="1"/>
  <c r="V557" i="7"/>
  <c r="V136" i="7" s="1"/>
  <c r="V55" i="7"/>
  <c r="V74" i="7" s="1"/>
  <c r="V598" i="7"/>
  <c r="V602" i="7"/>
  <c r="V38" i="7" s="1"/>
  <c r="V590" i="7"/>
  <c r="V594" i="7"/>
  <c r="Z563" i="7"/>
  <c r="Z137" i="7" s="1"/>
  <c r="Z590" i="7"/>
  <c r="Z594" i="7"/>
  <c r="Z602" i="7"/>
  <c r="Z38" i="7" s="1"/>
  <c r="Z598" i="7"/>
  <c r="Z557" i="7"/>
  <c r="Z136" i="7" s="1"/>
  <c r="Z55" i="7"/>
  <c r="Z74" i="7" s="1"/>
  <c r="AD557" i="7"/>
  <c r="AD136" i="7" s="1"/>
  <c r="AD55" i="7"/>
  <c r="AD74" i="7" s="1"/>
  <c r="AD563" i="7"/>
  <c r="AD137" i="7" s="1"/>
  <c r="AD590" i="7"/>
  <c r="AD594" i="7"/>
  <c r="AD598" i="7"/>
  <c r="AD602" i="7"/>
  <c r="AD38" i="7" s="1"/>
  <c r="E602" i="7"/>
  <c r="E38" i="7" s="1"/>
  <c r="E563" i="7"/>
  <c r="E137" i="7" s="1"/>
  <c r="E590" i="7"/>
  <c r="E55" i="7"/>
  <c r="E74" i="7" s="1"/>
  <c r="E598" i="7"/>
  <c r="E594" i="7"/>
  <c r="E557" i="7"/>
  <c r="E136" i="7" s="1"/>
  <c r="I594" i="7"/>
  <c r="I557" i="7"/>
  <c r="I136" i="7" s="1"/>
  <c r="I602" i="7"/>
  <c r="I38" i="7" s="1"/>
  <c r="I563" i="7"/>
  <c r="I137" i="7" s="1"/>
  <c r="I590" i="7"/>
  <c r="I55" i="7"/>
  <c r="I74" i="7" s="1"/>
  <c r="I598" i="7"/>
  <c r="M602" i="7"/>
  <c r="M38" i="7" s="1"/>
  <c r="M594" i="7"/>
  <c r="M557" i="7"/>
  <c r="M136" i="7" s="1"/>
  <c r="M598" i="7"/>
  <c r="M563" i="7"/>
  <c r="M137" i="7" s="1"/>
  <c r="M590" i="7"/>
  <c r="M55" i="7"/>
  <c r="M74" i="7" s="1"/>
  <c r="Q602" i="7"/>
  <c r="Q38" i="7" s="1"/>
  <c r="Q563" i="7"/>
  <c r="Q137" i="7" s="1"/>
  <c r="Q590" i="7"/>
  <c r="Q55" i="7"/>
  <c r="Q74" i="7" s="1"/>
  <c r="Q598" i="7"/>
  <c r="Q594" i="7"/>
  <c r="Q557" i="7"/>
  <c r="Q136" i="7" s="1"/>
  <c r="U602" i="7"/>
  <c r="U38" i="7" s="1"/>
  <c r="U563" i="7"/>
  <c r="U137" i="7" s="1"/>
  <c r="U594" i="7"/>
  <c r="U55" i="7"/>
  <c r="U74" i="7" s="1"/>
  <c r="U598" i="7"/>
  <c r="U557" i="7"/>
  <c r="U136" i="7" s="1"/>
  <c r="U590" i="7"/>
  <c r="Y602" i="7"/>
  <c r="Y38" i="7" s="1"/>
  <c r="Y563" i="7"/>
  <c r="Y137" i="7" s="1"/>
  <c r="Y590" i="7"/>
  <c r="Y55" i="7"/>
  <c r="Y74" i="7" s="1"/>
  <c r="Y598" i="7"/>
  <c r="Y594" i="7"/>
  <c r="Y557" i="7"/>
  <c r="Y136" i="7" s="1"/>
  <c r="AC602" i="7"/>
  <c r="AC38" i="7" s="1"/>
  <c r="AC563" i="7"/>
  <c r="AC137" i="7" s="1"/>
  <c r="AC590" i="7"/>
  <c r="AC55" i="7"/>
  <c r="AC74" i="7" s="1"/>
  <c r="AC598" i="7"/>
  <c r="AC594" i="7"/>
  <c r="AC557" i="7"/>
  <c r="AC136" i="7" s="1"/>
  <c r="D598" i="7"/>
  <c r="D602" i="7"/>
  <c r="D38" i="7" s="1"/>
  <c r="D557" i="7"/>
  <c r="D136" i="7" s="1"/>
  <c r="D55" i="7"/>
  <c r="D74" i="7" s="1"/>
  <c r="D563" i="7"/>
  <c r="D137" i="7" s="1"/>
  <c r="D590" i="7"/>
  <c r="D594" i="7"/>
  <c r="H557" i="7"/>
  <c r="H136" i="7" s="1"/>
  <c r="H55" i="7"/>
  <c r="H74" i="7" s="1"/>
  <c r="H590" i="7"/>
  <c r="H594" i="7"/>
  <c r="H598" i="7"/>
  <c r="H602" i="7"/>
  <c r="H38" i="7" s="1"/>
  <c r="H563" i="7"/>
  <c r="H137" i="7" s="1"/>
  <c r="L557" i="7"/>
  <c r="L136" i="7" s="1"/>
  <c r="L55" i="7"/>
  <c r="L74" i="7" s="1"/>
  <c r="L563" i="7"/>
  <c r="L137" i="7" s="1"/>
  <c r="L590" i="7"/>
  <c r="L594" i="7"/>
  <c r="L598" i="7"/>
  <c r="L602" i="7"/>
  <c r="L38" i="7" s="1"/>
  <c r="P557" i="7"/>
  <c r="P136" i="7" s="1"/>
  <c r="P55" i="7"/>
  <c r="P74" i="7" s="1"/>
  <c r="P563" i="7"/>
  <c r="P137" i="7" s="1"/>
  <c r="P590" i="7"/>
  <c r="P594" i="7"/>
  <c r="P598" i="7"/>
  <c r="P602" i="7"/>
  <c r="P38" i="7" s="1"/>
  <c r="T598" i="7"/>
  <c r="T602" i="7"/>
  <c r="T38" i="7" s="1"/>
  <c r="T594" i="7"/>
  <c r="T557" i="7"/>
  <c r="T136" i="7" s="1"/>
  <c r="T563" i="7"/>
  <c r="T137" i="7" s="1"/>
  <c r="T590" i="7"/>
  <c r="T55" i="7"/>
  <c r="T74" i="7" s="1"/>
  <c r="X557" i="7"/>
  <c r="X136" i="7" s="1"/>
  <c r="X55" i="7"/>
  <c r="X74" i="7" s="1"/>
  <c r="X563" i="7"/>
  <c r="X137" i="7" s="1"/>
  <c r="X590" i="7"/>
  <c r="X594" i="7"/>
  <c r="X598" i="7"/>
  <c r="X602" i="7"/>
  <c r="X38" i="7" s="1"/>
  <c r="AB598" i="7"/>
  <c r="AB602" i="7"/>
  <c r="AB38" i="7" s="1"/>
  <c r="AB594" i="7"/>
  <c r="AB590" i="7"/>
  <c r="AB563" i="7"/>
  <c r="AB137" i="7" s="1"/>
  <c r="AB557" i="7"/>
  <c r="AB136" i="7" s="1"/>
  <c r="AB55" i="7"/>
  <c r="AB74" i="7" s="1"/>
  <c r="AF557" i="7"/>
  <c r="AF136" i="7" s="1"/>
  <c r="AF55" i="7"/>
  <c r="AF74" i="7" s="1"/>
  <c r="AF563" i="7"/>
  <c r="AF137" i="7" s="1"/>
  <c r="AF590" i="7"/>
  <c r="AF594" i="7"/>
  <c r="AF598" i="7"/>
  <c r="AF602" i="7"/>
  <c r="AF38" i="7" s="1"/>
  <c r="O653" i="7"/>
  <c r="O656" i="7" s="1"/>
  <c r="E647" i="7" l="1"/>
  <c r="J647" i="7"/>
  <c r="AP647" i="7"/>
  <c r="AJ647" i="7"/>
  <c r="AO647" i="7"/>
  <c r="Q647" i="7"/>
  <c r="K647" i="7"/>
  <c r="AI647" i="7"/>
  <c r="AH647" i="7"/>
  <c r="AN647" i="7"/>
  <c r="Y647" i="7"/>
  <c r="Y104" i="7" s="1"/>
  <c r="L647" i="7"/>
  <c r="AG647" i="7"/>
  <c r="AC647" i="7"/>
  <c r="X647" i="7"/>
  <c r="X104" i="7" s="1"/>
  <c r="H647" i="7"/>
  <c r="AF647" i="7"/>
  <c r="Z647" i="7"/>
  <c r="Z104" i="7" s="1"/>
  <c r="R647" i="7"/>
  <c r="AA647" i="7"/>
  <c r="AA649" i="7" s="1"/>
  <c r="AA104" i="7" s="1"/>
  <c r="W647" i="7"/>
  <c r="W104" i="7" s="1"/>
  <c r="S647" i="7"/>
  <c r="AL647" i="7"/>
  <c r="D647" i="7"/>
  <c r="T647" i="7"/>
  <c r="M647" i="7"/>
  <c r="AB647" i="7"/>
  <c r="I647" i="7"/>
  <c r="AE647" i="7"/>
  <c r="O647" i="7"/>
  <c r="G647" i="7"/>
  <c r="AK647" i="7"/>
  <c r="AM647" i="7"/>
  <c r="U647" i="7"/>
  <c r="U104" i="7" s="1"/>
  <c r="V647" i="7"/>
  <c r="V104" i="7" s="1"/>
  <c r="AD647" i="7"/>
  <c r="N647" i="7"/>
  <c r="P647" i="7"/>
  <c r="F647" i="7"/>
  <c r="C647" i="7"/>
  <c r="C604" i="7"/>
  <c r="B159" i="7"/>
  <c r="F16" i="1" s="1"/>
  <c r="AB244" i="7"/>
  <c r="AB204" i="7"/>
  <c r="AB85" i="7"/>
  <c r="X243" i="7"/>
  <c r="X203" i="7"/>
  <c r="X84" i="7"/>
  <c r="T241" i="7"/>
  <c r="T82" i="7"/>
  <c r="T201" i="7"/>
  <c r="T242" i="7"/>
  <c r="T202" i="7"/>
  <c r="T83" i="7"/>
  <c r="P241" i="7"/>
  <c r="P201" i="7"/>
  <c r="P82" i="7"/>
  <c r="L242" i="7"/>
  <c r="L202" i="7"/>
  <c r="L83" i="7"/>
  <c r="H241" i="7"/>
  <c r="H201" i="7"/>
  <c r="H82" i="7"/>
  <c r="D241" i="7"/>
  <c r="D82" i="7"/>
  <c r="D201" i="7"/>
  <c r="AC244" i="7"/>
  <c r="AC204" i="7"/>
  <c r="AC85" i="7"/>
  <c r="Y243" i="7"/>
  <c r="Y203" i="7"/>
  <c r="Y84" i="7"/>
  <c r="Q242" i="7"/>
  <c r="Q83" i="7"/>
  <c r="Q202" i="7"/>
  <c r="Q241" i="7"/>
  <c r="Q201" i="7"/>
  <c r="Q82" i="7"/>
  <c r="M244" i="7"/>
  <c r="M204" i="7"/>
  <c r="M85" i="7"/>
  <c r="I241" i="7"/>
  <c r="I201" i="7"/>
  <c r="I82" i="7"/>
  <c r="AD244" i="7"/>
  <c r="AD204" i="7"/>
  <c r="AD85" i="7"/>
  <c r="Z243" i="7"/>
  <c r="Z203" i="7"/>
  <c r="Z84" i="7"/>
  <c r="V244" i="7"/>
  <c r="V204" i="7"/>
  <c r="V85" i="7"/>
  <c r="R243" i="7"/>
  <c r="R84" i="7"/>
  <c r="R203" i="7"/>
  <c r="N244" i="7"/>
  <c r="N204" i="7"/>
  <c r="N85" i="7"/>
  <c r="J241" i="7"/>
  <c r="J82" i="7"/>
  <c r="J201" i="7"/>
  <c r="F244" i="7"/>
  <c r="F204" i="7"/>
  <c r="F85" i="7"/>
  <c r="AA243" i="7"/>
  <c r="AA203" i="7"/>
  <c r="AA84" i="7"/>
  <c r="W242" i="7"/>
  <c r="W202" i="7"/>
  <c r="W83" i="7"/>
  <c r="S241" i="7"/>
  <c r="S201" i="7"/>
  <c r="S82" i="7"/>
  <c r="O242" i="7"/>
  <c r="O202" i="7"/>
  <c r="O83" i="7"/>
  <c r="O241" i="7"/>
  <c r="O82" i="7"/>
  <c r="O201" i="7"/>
  <c r="K242" i="7"/>
  <c r="K83" i="7"/>
  <c r="K202" i="7"/>
  <c r="G244" i="7"/>
  <c r="G204" i="7"/>
  <c r="G85" i="7"/>
  <c r="AI244" i="7"/>
  <c r="AI204" i="7"/>
  <c r="AI85" i="7"/>
  <c r="AP242" i="7"/>
  <c r="AP202" i="7"/>
  <c r="AP83" i="7"/>
  <c r="AG244" i="7"/>
  <c r="AG204" i="7"/>
  <c r="AG85" i="7"/>
  <c r="AG242" i="7"/>
  <c r="AG202" i="7"/>
  <c r="AG83" i="7"/>
  <c r="AJ244" i="7"/>
  <c r="AJ204" i="7"/>
  <c r="AJ85" i="7"/>
  <c r="AJ242" i="7"/>
  <c r="AJ202" i="7"/>
  <c r="AJ83" i="7"/>
  <c r="AK242" i="7"/>
  <c r="AK83" i="7"/>
  <c r="AK202" i="7"/>
  <c r="AL243" i="7"/>
  <c r="AL203" i="7"/>
  <c r="AL84" i="7"/>
  <c r="AM243" i="7"/>
  <c r="AM203" i="7"/>
  <c r="AM84" i="7"/>
  <c r="AM241" i="7"/>
  <c r="AM201" i="7"/>
  <c r="AM82" i="7"/>
  <c r="AN244" i="7"/>
  <c r="AN204" i="7"/>
  <c r="AN85" i="7"/>
  <c r="AB241" i="7"/>
  <c r="AB201" i="7"/>
  <c r="AB82" i="7"/>
  <c r="P244" i="7"/>
  <c r="P204" i="7"/>
  <c r="P85" i="7"/>
  <c r="L241" i="7"/>
  <c r="L82" i="7"/>
  <c r="L201" i="7"/>
  <c r="H244" i="7"/>
  <c r="H204" i="7"/>
  <c r="H85" i="7"/>
  <c r="AC242" i="7"/>
  <c r="AC83" i="7"/>
  <c r="AC202" i="7"/>
  <c r="AC241" i="7"/>
  <c r="AC201" i="7"/>
  <c r="AC82" i="7"/>
  <c r="Y244" i="7"/>
  <c r="Y204" i="7"/>
  <c r="Y85" i="7"/>
  <c r="U243" i="7"/>
  <c r="U203" i="7"/>
  <c r="U84" i="7"/>
  <c r="M243" i="7"/>
  <c r="M203" i="7"/>
  <c r="M84" i="7"/>
  <c r="I242" i="7"/>
  <c r="I83" i="7"/>
  <c r="I202" i="7"/>
  <c r="E243" i="7"/>
  <c r="E203" i="7"/>
  <c r="E84" i="7"/>
  <c r="AD243" i="7"/>
  <c r="AD203" i="7"/>
  <c r="AD84" i="7"/>
  <c r="Z244" i="7"/>
  <c r="Z204" i="7"/>
  <c r="Z85" i="7"/>
  <c r="V243" i="7"/>
  <c r="V203" i="7"/>
  <c r="V84" i="7"/>
  <c r="R242" i="7"/>
  <c r="R202" i="7"/>
  <c r="R83" i="7"/>
  <c r="N243" i="7"/>
  <c r="N84" i="7"/>
  <c r="N203" i="7"/>
  <c r="J244" i="7"/>
  <c r="J204" i="7"/>
  <c r="J85" i="7"/>
  <c r="F242" i="7"/>
  <c r="F202" i="7"/>
  <c r="F83" i="7"/>
  <c r="F243" i="7"/>
  <c r="F84" i="7"/>
  <c r="F203" i="7"/>
  <c r="AE243" i="7"/>
  <c r="AE203" i="7"/>
  <c r="AE84" i="7"/>
  <c r="AA244" i="7"/>
  <c r="AA204" i="7"/>
  <c r="AA85" i="7"/>
  <c r="W243" i="7"/>
  <c r="W203" i="7"/>
  <c r="W84" i="7"/>
  <c r="S242" i="7"/>
  <c r="S202" i="7"/>
  <c r="S83" i="7"/>
  <c r="O243" i="7"/>
  <c r="O203" i="7"/>
  <c r="O84" i="7"/>
  <c r="G242" i="7"/>
  <c r="G202" i="7"/>
  <c r="G83" i="7"/>
  <c r="G241" i="7"/>
  <c r="G82" i="7"/>
  <c r="G201" i="7"/>
  <c r="C242" i="7"/>
  <c r="C202" i="7"/>
  <c r="C83" i="7"/>
  <c r="C241" i="7"/>
  <c r="C201" i="7"/>
  <c r="C82" i="7"/>
  <c r="AP244" i="7"/>
  <c r="AP204" i="7"/>
  <c r="AP85" i="7"/>
  <c r="AH243" i="7"/>
  <c r="AH203" i="7"/>
  <c r="AH84" i="7"/>
  <c r="AH241" i="7"/>
  <c r="AH82" i="7"/>
  <c r="AH201" i="7"/>
  <c r="AL242" i="7"/>
  <c r="AL202" i="7"/>
  <c r="AL83" i="7"/>
  <c r="AM244" i="7"/>
  <c r="AM204" i="7"/>
  <c r="AM85" i="7"/>
  <c r="AM242" i="7"/>
  <c r="AM202" i="7"/>
  <c r="AM83" i="7"/>
  <c r="AN241" i="7"/>
  <c r="AN201" i="7"/>
  <c r="AN82" i="7"/>
  <c r="AO241" i="7"/>
  <c r="AO201" i="7"/>
  <c r="AO82" i="7"/>
  <c r="X242" i="7"/>
  <c r="X202" i="7"/>
  <c r="X83" i="7"/>
  <c r="D244" i="7"/>
  <c r="D204" i="7"/>
  <c r="D85" i="7"/>
  <c r="Y242" i="7"/>
  <c r="Y83" i="7"/>
  <c r="Y202" i="7"/>
  <c r="Y241" i="7"/>
  <c r="Y201" i="7"/>
  <c r="Y82" i="7"/>
  <c r="U241" i="7"/>
  <c r="U201" i="7"/>
  <c r="U82" i="7"/>
  <c r="U244" i="7"/>
  <c r="U204" i="7"/>
  <c r="U85" i="7"/>
  <c r="Q243" i="7"/>
  <c r="Q203" i="7"/>
  <c r="Q84" i="7"/>
  <c r="M241" i="7"/>
  <c r="M201" i="7"/>
  <c r="M82" i="7"/>
  <c r="I243" i="7"/>
  <c r="I203" i="7"/>
  <c r="I84" i="7"/>
  <c r="E244" i="7"/>
  <c r="E204" i="7"/>
  <c r="E85" i="7"/>
  <c r="AD242" i="7"/>
  <c r="AD202" i="7"/>
  <c r="AD83" i="7"/>
  <c r="Z242" i="7"/>
  <c r="Z202" i="7"/>
  <c r="Z83" i="7"/>
  <c r="V242" i="7"/>
  <c r="V202" i="7"/>
  <c r="V83" i="7"/>
  <c r="R244" i="7"/>
  <c r="R204" i="7"/>
  <c r="R85" i="7"/>
  <c r="R241" i="7"/>
  <c r="R82" i="7"/>
  <c r="R201" i="7"/>
  <c r="N242" i="7"/>
  <c r="N202" i="7"/>
  <c r="N83" i="7"/>
  <c r="J243" i="7"/>
  <c r="J203" i="7"/>
  <c r="J84" i="7"/>
  <c r="F241" i="7"/>
  <c r="F82" i="7"/>
  <c r="F201" i="7"/>
  <c r="AE244" i="7"/>
  <c r="AE204" i="7"/>
  <c r="AE85" i="7"/>
  <c r="AA241" i="7"/>
  <c r="AA201" i="7"/>
  <c r="AA82" i="7"/>
  <c r="W244" i="7"/>
  <c r="W204" i="7"/>
  <c r="W85" i="7"/>
  <c r="S243" i="7"/>
  <c r="S203" i="7"/>
  <c r="S84" i="7"/>
  <c r="O244" i="7"/>
  <c r="O204" i="7"/>
  <c r="O85" i="7"/>
  <c r="K243" i="7"/>
  <c r="K203" i="7"/>
  <c r="K84" i="7"/>
  <c r="AI242" i="7"/>
  <c r="AI202" i="7"/>
  <c r="AI83" i="7"/>
  <c r="AP241" i="7"/>
  <c r="AP201" i="7"/>
  <c r="AP82" i="7"/>
  <c r="AJ243" i="7"/>
  <c r="AJ203" i="7"/>
  <c r="AJ84" i="7"/>
  <c r="AJ241" i="7"/>
  <c r="AJ82" i="7"/>
  <c r="AJ201" i="7"/>
  <c r="AK243" i="7"/>
  <c r="AK203" i="7"/>
  <c r="AK84" i="7"/>
  <c r="AL244" i="7"/>
  <c r="AL204" i="7"/>
  <c r="AL85" i="7"/>
  <c r="AN243" i="7"/>
  <c r="AN203" i="7"/>
  <c r="AN84" i="7"/>
  <c r="AO242" i="7"/>
  <c r="AO202" i="7"/>
  <c r="AO83" i="7"/>
  <c r="AO243" i="7"/>
  <c r="AO203" i="7"/>
  <c r="AO84" i="7"/>
  <c r="AF241" i="7"/>
  <c r="AF201" i="7"/>
  <c r="AF82" i="7"/>
  <c r="AF244" i="7"/>
  <c r="AF204" i="7"/>
  <c r="AF85" i="7"/>
  <c r="AB243" i="7"/>
  <c r="AB203" i="7"/>
  <c r="AB84" i="7"/>
  <c r="AF243" i="7"/>
  <c r="AF203" i="7"/>
  <c r="AF84" i="7"/>
  <c r="AB242" i="7"/>
  <c r="AB202" i="7"/>
  <c r="AB83" i="7"/>
  <c r="X241" i="7"/>
  <c r="X201" i="7"/>
  <c r="X82" i="7"/>
  <c r="T244" i="7"/>
  <c r="T204" i="7"/>
  <c r="T85" i="7"/>
  <c r="P243" i="7"/>
  <c r="P203" i="7"/>
  <c r="P84" i="7"/>
  <c r="L244" i="7"/>
  <c r="L204" i="7"/>
  <c r="L85" i="7"/>
  <c r="H243" i="7"/>
  <c r="H203" i="7"/>
  <c r="H84" i="7"/>
  <c r="AF242" i="7"/>
  <c r="AF202" i="7"/>
  <c r="AF83" i="7"/>
  <c r="X244" i="7"/>
  <c r="X204" i="7"/>
  <c r="X85" i="7"/>
  <c r="T243" i="7"/>
  <c r="T203" i="7"/>
  <c r="T84" i="7"/>
  <c r="P242" i="7"/>
  <c r="P202" i="7"/>
  <c r="P83" i="7"/>
  <c r="L243" i="7"/>
  <c r="L203" i="7"/>
  <c r="L84" i="7"/>
  <c r="H242" i="7"/>
  <c r="H202" i="7"/>
  <c r="H83" i="7"/>
  <c r="D242" i="7"/>
  <c r="D202" i="7"/>
  <c r="D83" i="7"/>
  <c r="D243" i="7"/>
  <c r="D203" i="7"/>
  <c r="D84" i="7"/>
  <c r="AC243" i="7"/>
  <c r="AC203" i="7"/>
  <c r="AC84" i="7"/>
  <c r="U242" i="7"/>
  <c r="U202" i="7"/>
  <c r="U83" i="7"/>
  <c r="Q244" i="7"/>
  <c r="Q204" i="7"/>
  <c r="Q85" i="7"/>
  <c r="M242" i="7"/>
  <c r="M202" i="7"/>
  <c r="M83" i="7"/>
  <c r="I244" i="7"/>
  <c r="I204" i="7"/>
  <c r="I85" i="7"/>
  <c r="E242" i="7"/>
  <c r="E202" i="7"/>
  <c r="E83" i="7"/>
  <c r="E241" i="7"/>
  <c r="E201" i="7"/>
  <c r="E82" i="7"/>
  <c r="AD241" i="7"/>
  <c r="AD201" i="7"/>
  <c r="AD82" i="7"/>
  <c r="Z241" i="7"/>
  <c r="Z201" i="7"/>
  <c r="Z82" i="7"/>
  <c r="V241" i="7"/>
  <c r="V201" i="7"/>
  <c r="V82" i="7"/>
  <c r="N241" i="7"/>
  <c r="N82" i="7"/>
  <c r="N201" i="7"/>
  <c r="J242" i="7"/>
  <c r="J202" i="7"/>
  <c r="J83" i="7"/>
  <c r="AE242" i="7"/>
  <c r="AE202" i="7"/>
  <c r="AE83" i="7"/>
  <c r="AE241" i="7"/>
  <c r="AE201" i="7"/>
  <c r="AE82" i="7"/>
  <c r="AA242" i="7"/>
  <c r="AA83" i="7"/>
  <c r="AA202" i="7"/>
  <c r="W241" i="7"/>
  <c r="W201" i="7"/>
  <c r="W82" i="7"/>
  <c r="S244" i="7"/>
  <c r="S204" i="7"/>
  <c r="S85" i="7"/>
  <c r="K241" i="7"/>
  <c r="K82" i="7"/>
  <c r="K201" i="7"/>
  <c r="K244" i="7"/>
  <c r="K204" i="7"/>
  <c r="K85" i="7"/>
  <c r="G243" i="7"/>
  <c r="G203" i="7"/>
  <c r="G84" i="7"/>
  <c r="C244" i="7"/>
  <c r="C85" i="7"/>
  <c r="C204" i="7"/>
  <c r="C243" i="7"/>
  <c r="C84" i="7"/>
  <c r="C203" i="7"/>
  <c r="AI241" i="7"/>
  <c r="AI201" i="7"/>
  <c r="AI82" i="7"/>
  <c r="AI243" i="7"/>
  <c r="AI203" i="7"/>
  <c r="AI84" i="7"/>
  <c r="AP243" i="7"/>
  <c r="AP203" i="7"/>
  <c r="AP84" i="7"/>
  <c r="AG243" i="7"/>
  <c r="AG203" i="7"/>
  <c r="AG84" i="7"/>
  <c r="AG241" i="7"/>
  <c r="AG201" i="7"/>
  <c r="AG82" i="7"/>
  <c r="AH244" i="7"/>
  <c r="AH204" i="7"/>
  <c r="AH85" i="7"/>
  <c r="AH242" i="7"/>
  <c r="AH202" i="7"/>
  <c r="AH83" i="7"/>
  <c r="AK241" i="7"/>
  <c r="AK201" i="7"/>
  <c r="AK82" i="7"/>
  <c r="AK244" i="7"/>
  <c r="AK204" i="7"/>
  <c r="AK85" i="7"/>
  <c r="AL241" i="7"/>
  <c r="AL201" i="7"/>
  <c r="AL82" i="7"/>
  <c r="AN242" i="7"/>
  <c r="AN202" i="7"/>
  <c r="AN83" i="7"/>
  <c r="AO244" i="7"/>
  <c r="AO204" i="7"/>
  <c r="AO85" i="7"/>
  <c r="AI39" i="7"/>
  <c r="AI604" i="7"/>
  <c r="AI219" i="7"/>
  <c r="AI138" i="7"/>
  <c r="AP219" i="7"/>
  <c r="AP138" i="7"/>
  <c r="AG39" i="7"/>
  <c r="AG604" i="7"/>
  <c r="AH39" i="7"/>
  <c r="AH604" i="7"/>
  <c r="AJ39" i="7"/>
  <c r="AJ604" i="7"/>
  <c r="AK219" i="7"/>
  <c r="AK138" i="7"/>
  <c r="AL219" i="7"/>
  <c r="AL138" i="7"/>
  <c r="AM39" i="7"/>
  <c r="AM604" i="7"/>
  <c r="AN219" i="7"/>
  <c r="AN138" i="7"/>
  <c r="AO219" i="7"/>
  <c r="AO138" i="7"/>
  <c r="AP39" i="7"/>
  <c r="AP604" i="7"/>
  <c r="AG219" i="7"/>
  <c r="AG138" i="7"/>
  <c r="AH219" i="7"/>
  <c r="AH138" i="7"/>
  <c r="AJ219" i="7"/>
  <c r="AJ138" i="7"/>
  <c r="AK39" i="7"/>
  <c r="AK604" i="7"/>
  <c r="AL39" i="7"/>
  <c r="AL604" i="7"/>
  <c r="AM219" i="7"/>
  <c r="AM138" i="7"/>
  <c r="AN39" i="7"/>
  <c r="AN604" i="7"/>
  <c r="AO39" i="7"/>
  <c r="AO604" i="7"/>
  <c r="AB39" i="7"/>
  <c r="AB604" i="7"/>
  <c r="T219" i="7"/>
  <c r="T138" i="7"/>
  <c r="L39" i="7"/>
  <c r="L604" i="7"/>
  <c r="L219" i="7"/>
  <c r="L138" i="7"/>
  <c r="AC39" i="7"/>
  <c r="AC604" i="7"/>
  <c r="Y219" i="7"/>
  <c r="Y138" i="7"/>
  <c r="U219" i="7"/>
  <c r="U138" i="7"/>
  <c r="Q219" i="7"/>
  <c r="Q138" i="7"/>
  <c r="E39" i="7"/>
  <c r="E604" i="7"/>
  <c r="Z219" i="7"/>
  <c r="Z138" i="7"/>
  <c r="R39" i="7"/>
  <c r="R604" i="7"/>
  <c r="J39" i="7"/>
  <c r="J604" i="7"/>
  <c r="J219" i="7"/>
  <c r="J138" i="7"/>
  <c r="F39" i="7"/>
  <c r="F604" i="7"/>
  <c r="F219" i="7"/>
  <c r="F138" i="7"/>
  <c r="AE39" i="7"/>
  <c r="AE604" i="7"/>
  <c r="W39" i="7"/>
  <c r="W604" i="7"/>
  <c r="W219" i="7"/>
  <c r="W138" i="7"/>
  <c r="O219" i="7"/>
  <c r="O138" i="7"/>
  <c r="K39" i="7"/>
  <c r="K604" i="7"/>
  <c r="G39" i="7"/>
  <c r="G604" i="7"/>
  <c r="AF39" i="7"/>
  <c r="AF604" i="7"/>
  <c r="AF219" i="7"/>
  <c r="AF138" i="7"/>
  <c r="AB219" i="7"/>
  <c r="AB138" i="7"/>
  <c r="X39" i="7"/>
  <c r="X604" i="7"/>
  <c r="X219" i="7"/>
  <c r="X138" i="7"/>
  <c r="T39" i="7"/>
  <c r="T604" i="7"/>
  <c r="P39" i="7"/>
  <c r="P604" i="7"/>
  <c r="P219" i="7"/>
  <c r="P138" i="7"/>
  <c r="H39" i="7"/>
  <c r="H604" i="7"/>
  <c r="H219" i="7"/>
  <c r="H138" i="7"/>
  <c r="D39" i="7"/>
  <c r="D604" i="7"/>
  <c r="D219" i="7"/>
  <c r="D138" i="7"/>
  <c r="AC219" i="7"/>
  <c r="AC138" i="7"/>
  <c r="Y39" i="7"/>
  <c r="Y604" i="7"/>
  <c r="U39" i="7"/>
  <c r="U604" i="7"/>
  <c r="Q39" i="7"/>
  <c r="Q604" i="7"/>
  <c r="M39" i="7"/>
  <c r="M604" i="7"/>
  <c r="M219" i="7"/>
  <c r="M138" i="7"/>
  <c r="I39" i="7"/>
  <c r="I604" i="7"/>
  <c r="I219" i="7"/>
  <c r="I138" i="7"/>
  <c r="E219" i="7"/>
  <c r="E138" i="7"/>
  <c r="AD39" i="7"/>
  <c r="AD604" i="7"/>
  <c r="AD219" i="7"/>
  <c r="AD138" i="7"/>
  <c r="Z39" i="7"/>
  <c r="Z604" i="7"/>
  <c r="V39" i="7"/>
  <c r="V604" i="7"/>
  <c r="V219" i="7"/>
  <c r="V138" i="7"/>
  <c r="R219" i="7"/>
  <c r="R138" i="7"/>
  <c r="N39" i="7"/>
  <c r="N604" i="7"/>
  <c r="N219" i="7"/>
  <c r="N138" i="7"/>
  <c r="AE219" i="7"/>
  <c r="AE138" i="7"/>
  <c r="AA39" i="7"/>
  <c r="AA604" i="7"/>
  <c r="AA219" i="7"/>
  <c r="AA138" i="7"/>
  <c r="S39" i="7"/>
  <c r="S604" i="7"/>
  <c r="S219" i="7"/>
  <c r="S138" i="7"/>
  <c r="O39" i="7"/>
  <c r="O604" i="7"/>
  <c r="K219" i="7"/>
  <c r="K138" i="7"/>
  <c r="G219" i="7"/>
  <c r="G138" i="7"/>
  <c r="C219" i="7"/>
  <c r="C138" i="7"/>
  <c r="P653" i="7"/>
  <c r="P656" i="7" s="1"/>
  <c r="C104" i="7" l="1"/>
  <c r="C615" i="7"/>
  <c r="P104" i="7"/>
  <c r="P615" i="7"/>
  <c r="O104" i="7"/>
  <c r="O615" i="7"/>
  <c r="I104" i="7"/>
  <c r="I615" i="7"/>
  <c r="M104" i="7"/>
  <c r="M615" i="7"/>
  <c r="D104" i="7"/>
  <c r="D615" i="7"/>
  <c r="S104" i="7"/>
  <c r="S615" i="7"/>
  <c r="H104" i="7"/>
  <c r="H615" i="7"/>
  <c r="L104" i="7"/>
  <c r="L615" i="7"/>
  <c r="Q104" i="7"/>
  <c r="Q615" i="7"/>
  <c r="J104" i="7"/>
  <c r="J615" i="7"/>
  <c r="F104" i="7"/>
  <c r="F615" i="7"/>
  <c r="N104" i="7"/>
  <c r="N615" i="7"/>
  <c r="G104" i="7"/>
  <c r="G615" i="7"/>
  <c r="T104" i="7"/>
  <c r="T615" i="7"/>
  <c r="R104" i="7"/>
  <c r="R615" i="7"/>
  <c r="K104" i="7"/>
  <c r="K615" i="7"/>
  <c r="E104" i="7"/>
  <c r="E615" i="7"/>
  <c r="B163" i="7"/>
  <c r="B162" i="7"/>
  <c r="V245" i="7"/>
  <c r="V246" i="7" s="1"/>
  <c r="Z245" i="7"/>
  <c r="Z246" i="7" s="1"/>
  <c r="C205" i="7"/>
  <c r="F245" i="7"/>
  <c r="F246" i="7" s="1"/>
  <c r="AJ245" i="7"/>
  <c r="AJ246" i="7" s="1"/>
  <c r="Y245" i="7"/>
  <c r="Y246" i="7" s="1"/>
  <c r="AA245" i="7"/>
  <c r="AA246" i="7" s="1"/>
  <c r="AK245" i="7"/>
  <c r="AK246" i="7" s="1"/>
  <c r="K245" i="7"/>
  <c r="K246" i="7" s="1"/>
  <c r="N245" i="7"/>
  <c r="N246" i="7" s="1"/>
  <c r="AL245" i="7"/>
  <c r="AL246" i="7" s="1"/>
  <c r="W245" i="7"/>
  <c r="W246" i="7" s="1"/>
  <c r="AD245" i="7"/>
  <c r="AD246" i="7" s="1"/>
  <c r="X245" i="7"/>
  <c r="X246" i="7" s="1"/>
  <c r="R245" i="7"/>
  <c r="R246" i="7" s="1"/>
  <c r="AN245" i="7"/>
  <c r="AN246" i="7" s="1"/>
  <c r="AH245" i="7"/>
  <c r="AH246" i="7" s="1"/>
  <c r="L245" i="7"/>
  <c r="L246" i="7" s="1"/>
  <c r="AM245" i="7"/>
  <c r="AM246" i="7" s="1"/>
  <c r="O245" i="7"/>
  <c r="O246" i="7" s="1"/>
  <c r="I245" i="7"/>
  <c r="I246" i="7" s="1"/>
  <c r="M245" i="7"/>
  <c r="M246" i="7" s="1"/>
  <c r="AO245" i="7"/>
  <c r="AO246" i="7" s="1"/>
  <c r="H245" i="7"/>
  <c r="H246" i="7" s="1"/>
  <c r="T245" i="7"/>
  <c r="T246" i="7" s="1"/>
  <c r="AE245" i="7"/>
  <c r="AE246" i="7" s="1"/>
  <c r="U245" i="7"/>
  <c r="U246" i="7" s="1"/>
  <c r="AB245" i="7"/>
  <c r="AB246" i="7" s="1"/>
  <c r="S245" i="7"/>
  <c r="S246" i="7" s="1"/>
  <c r="J245" i="7"/>
  <c r="J246" i="7" s="1"/>
  <c r="Q245" i="7"/>
  <c r="Q246" i="7" s="1"/>
  <c r="D245" i="7"/>
  <c r="D246" i="7" s="1"/>
  <c r="AG245" i="7"/>
  <c r="AG246" i="7" s="1"/>
  <c r="AI245" i="7"/>
  <c r="AI246" i="7" s="1"/>
  <c r="E245" i="7"/>
  <c r="E246" i="7" s="1"/>
  <c r="AF245" i="7"/>
  <c r="AF246" i="7" s="1"/>
  <c r="AP245" i="7"/>
  <c r="AP246" i="7" s="1"/>
  <c r="G245" i="7"/>
  <c r="G246" i="7" s="1"/>
  <c r="AC245" i="7"/>
  <c r="AC246" i="7" s="1"/>
  <c r="P245" i="7"/>
  <c r="P246" i="7" s="1"/>
  <c r="S86" i="7"/>
  <c r="AF86" i="7"/>
  <c r="AP86" i="7"/>
  <c r="AK205" i="7"/>
  <c r="AK206" i="7" s="1"/>
  <c r="AL86" i="7"/>
  <c r="S205" i="7"/>
  <c r="S206" i="7" s="1"/>
  <c r="AJ86" i="7"/>
  <c r="AJ205" i="7"/>
  <c r="AJ206" i="7" s="1"/>
  <c r="AK86" i="7"/>
  <c r="AP205" i="7"/>
  <c r="AP206" i="7" s="1"/>
  <c r="AH86" i="7"/>
  <c r="AH205" i="7"/>
  <c r="AH206" i="7" s="1"/>
  <c r="AO205" i="7"/>
  <c r="AO206" i="7" s="1"/>
  <c r="AN205" i="7"/>
  <c r="AN206" i="7" s="1"/>
  <c r="AN86" i="7"/>
  <c r="AL205" i="7"/>
  <c r="AL206" i="7" s="1"/>
  <c r="AM86" i="7"/>
  <c r="AM205" i="7"/>
  <c r="AM206" i="7" s="1"/>
  <c r="AG205" i="7"/>
  <c r="AG206" i="7" s="1"/>
  <c r="AG86" i="7"/>
  <c r="AI86" i="7"/>
  <c r="AI205" i="7"/>
  <c r="AI206" i="7" s="1"/>
  <c r="AO86" i="7"/>
  <c r="I86" i="7"/>
  <c r="P86" i="7"/>
  <c r="X205" i="7"/>
  <c r="X206" i="7" s="1"/>
  <c r="Z86" i="7"/>
  <c r="I205" i="7"/>
  <c r="I206" i="7" s="1"/>
  <c r="H86" i="7"/>
  <c r="N86" i="7"/>
  <c r="O86" i="7"/>
  <c r="V86" i="7"/>
  <c r="Q86" i="7"/>
  <c r="Y205" i="7"/>
  <c r="Y206" i="7" s="1"/>
  <c r="H205" i="7"/>
  <c r="H206" i="7" s="1"/>
  <c r="AA86" i="7"/>
  <c r="N205" i="7"/>
  <c r="N206" i="7" s="1"/>
  <c r="AD205" i="7"/>
  <c r="AD206" i="7" s="1"/>
  <c r="P205" i="7"/>
  <c r="P206" i="7" s="1"/>
  <c r="M205" i="7"/>
  <c r="M206" i="7" s="1"/>
  <c r="U86" i="7"/>
  <c r="D205" i="7"/>
  <c r="D206" i="7" s="1"/>
  <c r="T86" i="7"/>
  <c r="G86" i="7"/>
  <c r="K205" i="7"/>
  <c r="K206" i="7" s="1"/>
  <c r="W205" i="7"/>
  <c r="W206" i="7" s="1"/>
  <c r="AE205" i="7"/>
  <c r="AE206" i="7" s="1"/>
  <c r="F86" i="7"/>
  <c r="J205" i="7"/>
  <c r="J206" i="7" s="1"/>
  <c r="R86" i="7"/>
  <c r="E205" i="7"/>
  <c r="E206" i="7" s="1"/>
  <c r="AC205" i="7"/>
  <c r="AC206" i="7" s="1"/>
  <c r="L86" i="7"/>
  <c r="AB205" i="7"/>
  <c r="AB206" i="7" s="1"/>
  <c r="O205" i="7"/>
  <c r="O206" i="7" s="1"/>
  <c r="AA205" i="7"/>
  <c r="AA206" i="7" s="1"/>
  <c r="V205" i="7"/>
  <c r="V206" i="7" s="1"/>
  <c r="Z205" i="7"/>
  <c r="Z206" i="7" s="1"/>
  <c r="AD86" i="7"/>
  <c r="M86" i="7"/>
  <c r="Q205" i="7"/>
  <c r="Q206" i="7" s="1"/>
  <c r="U205" i="7"/>
  <c r="U206" i="7" s="1"/>
  <c r="Y86" i="7"/>
  <c r="D86" i="7"/>
  <c r="T205" i="7"/>
  <c r="T206" i="7" s="1"/>
  <c r="X86" i="7"/>
  <c r="AF205" i="7"/>
  <c r="AF206" i="7" s="1"/>
  <c r="C86" i="7"/>
  <c r="C245" i="7"/>
  <c r="G205" i="7"/>
  <c r="G206" i="7" s="1"/>
  <c r="K86" i="7"/>
  <c r="W86" i="7"/>
  <c r="AE86" i="7"/>
  <c r="F205" i="7"/>
  <c r="F206" i="7" s="1"/>
  <c r="J86" i="7"/>
  <c r="R205" i="7"/>
  <c r="R206" i="7" s="1"/>
  <c r="E86" i="7"/>
  <c r="AC86" i="7"/>
  <c r="L205" i="7"/>
  <c r="L206" i="7" s="1"/>
  <c r="AB86" i="7"/>
  <c r="Q653" i="7"/>
  <c r="Q656" i="7" s="1"/>
  <c r="B164" i="7" l="1"/>
  <c r="F11" i="1" s="1"/>
  <c r="R653" i="7"/>
  <c r="R656" i="7" s="1"/>
  <c r="AO644" i="7" l="1"/>
  <c r="AM644" i="7"/>
  <c r="AL644" i="7"/>
  <c r="AK644" i="7"/>
  <c r="AJ644" i="7"/>
  <c r="AI644" i="7"/>
  <c r="AF644" i="7"/>
  <c r="AN644" i="7"/>
  <c r="AH644" i="7"/>
  <c r="AG644" i="7"/>
  <c r="AE644" i="7"/>
  <c r="AC644" i="7"/>
  <c r="AA644" i="7"/>
  <c r="Y644" i="7"/>
  <c r="W644" i="7"/>
  <c r="U644" i="7"/>
  <c r="S644" i="7"/>
  <c r="Q644" i="7"/>
  <c r="O644" i="7"/>
  <c r="M644" i="7"/>
  <c r="K644" i="7"/>
  <c r="I644" i="7"/>
  <c r="G644" i="7"/>
  <c r="E644" i="7"/>
  <c r="C644" i="7"/>
  <c r="AD644" i="7"/>
  <c r="AB644" i="7"/>
  <c r="Z644" i="7"/>
  <c r="X644" i="7"/>
  <c r="V644" i="7"/>
  <c r="T644" i="7"/>
  <c r="R644" i="7"/>
  <c r="P644" i="7"/>
  <c r="N644" i="7"/>
  <c r="L644" i="7"/>
  <c r="J644" i="7"/>
  <c r="H644" i="7"/>
  <c r="F644" i="7"/>
  <c r="D644" i="7"/>
  <c r="S653" i="7"/>
  <c r="S656" i="7" s="1"/>
  <c r="K641" i="7" l="1"/>
  <c r="K643" i="7" s="1"/>
  <c r="S641" i="7"/>
  <c r="S643" i="7" s="1"/>
  <c r="M641" i="7"/>
  <c r="M643" i="7" s="1"/>
  <c r="U641" i="7"/>
  <c r="U643" i="7" s="1"/>
  <c r="G641" i="7"/>
  <c r="G643" i="7" s="1"/>
  <c r="O641" i="7"/>
  <c r="O643" i="7" s="1"/>
  <c r="E641" i="7"/>
  <c r="E643" i="7" s="1"/>
  <c r="I641" i="7"/>
  <c r="I643" i="7" s="1"/>
  <c r="Q641" i="7"/>
  <c r="Q643" i="7" s="1"/>
  <c r="AA641" i="7"/>
  <c r="AA643" i="7" s="1"/>
  <c r="AC641" i="7"/>
  <c r="AC643" i="7" s="1"/>
  <c r="AG641" i="7"/>
  <c r="AG643" i="7" s="1"/>
  <c r="W641" i="7"/>
  <c r="AE641" i="7"/>
  <c r="AE643" i="7" s="1"/>
  <c r="AJ641" i="7"/>
  <c r="AJ643" i="7" s="1"/>
  <c r="Y641" i="7"/>
  <c r="AH641" i="7"/>
  <c r="AI641" i="7"/>
  <c r="AO641" i="7"/>
  <c r="AK641" i="7"/>
  <c r="AL641" i="7"/>
  <c r="AP641" i="7"/>
  <c r="AM641" i="7"/>
  <c r="AN641" i="7"/>
  <c r="D641" i="7"/>
  <c r="F641" i="7"/>
  <c r="H641" i="7"/>
  <c r="J641" i="7"/>
  <c r="L641" i="7"/>
  <c r="N641" i="7"/>
  <c r="P641" i="7"/>
  <c r="R641" i="7"/>
  <c r="T641" i="7"/>
  <c r="V641" i="7"/>
  <c r="X641" i="7"/>
  <c r="Z641" i="7"/>
  <c r="AB641" i="7"/>
  <c r="AD641" i="7"/>
  <c r="AF641" i="7"/>
  <c r="C233" i="7"/>
  <c r="C246" i="7" s="1"/>
  <c r="C193" i="7"/>
  <c r="C206" i="7" s="1"/>
  <c r="T653" i="7"/>
  <c r="T656" i="7" s="1"/>
  <c r="Q103" i="7" l="1"/>
  <c r="O103" i="7"/>
  <c r="S103" i="7"/>
  <c r="G103" i="7"/>
  <c r="K103" i="7"/>
  <c r="E103" i="7"/>
  <c r="I103" i="7"/>
  <c r="AJ103" i="7"/>
  <c r="AJ108" i="7" s="1"/>
  <c r="AJ114" i="7" s="1"/>
  <c r="Z643" i="7"/>
  <c r="AL643" i="7"/>
  <c r="Y643" i="7"/>
  <c r="AM643" i="7"/>
  <c r="AK643" i="7"/>
  <c r="AA103" i="7"/>
  <c r="AA108" i="7" s="1"/>
  <c r="AA114" i="7" s="1"/>
  <c r="U103" i="7"/>
  <c r="AB643" i="7"/>
  <c r="V643" i="7"/>
  <c r="R643" i="7"/>
  <c r="R103" i="7" s="1"/>
  <c r="N643" i="7"/>
  <c r="N103" i="7" s="1"/>
  <c r="J643" i="7"/>
  <c r="F643" i="7"/>
  <c r="F103" i="7" s="1"/>
  <c r="AP643" i="7"/>
  <c r="AO643" i="7"/>
  <c r="W643" i="7"/>
  <c r="W103" i="7" s="1"/>
  <c r="W108" i="7" s="1"/>
  <c r="W114" i="7" s="1"/>
  <c r="M103" i="7"/>
  <c r="D643" i="7"/>
  <c r="AI643" i="7"/>
  <c r="AI103" i="7" s="1"/>
  <c r="AI108" i="7" s="1"/>
  <c r="AI114" i="7" s="1"/>
  <c r="AG103" i="7"/>
  <c r="AG108" i="7" s="1"/>
  <c r="AG114" i="7" s="1"/>
  <c r="AD643" i="7"/>
  <c r="AD103" i="7" s="1"/>
  <c r="AD108" i="7" s="1"/>
  <c r="AD114" i="7" s="1"/>
  <c r="X643" i="7"/>
  <c r="X103" i="7" s="1"/>
  <c r="X108" i="7" s="1"/>
  <c r="X114" i="7" s="1"/>
  <c r="T643" i="7"/>
  <c r="T103" i="7" s="1"/>
  <c r="P643" i="7"/>
  <c r="P103" i="7" s="1"/>
  <c r="L643" i="7"/>
  <c r="H643" i="7"/>
  <c r="H103" i="7" s="1"/>
  <c r="AN643" i="7"/>
  <c r="AN103" i="7" s="1"/>
  <c r="AN108" i="7" s="1"/>
  <c r="AN114" i="7" s="1"/>
  <c r="AH643" i="7"/>
  <c r="AE103" i="7"/>
  <c r="AE108" i="7" s="1"/>
  <c r="AE114" i="7" s="1"/>
  <c r="AC103" i="7"/>
  <c r="AC108" i="7" s="1"/>
  <c r="AC114" i="7" s="1"/>
  <c r="AF643" i="7"/>
  <c r="U653" i="7"/>
  <c r="U656" i="7" s="1"/>
  <c r="J103" i="7" l="1"/>
  <c r="Z103" i="7"/>
  <c r="Z108" i="7" s="1"/>
  <c r="Z114" i="7" s="1"/>
  <c r="AB103" i="7"/>
  <c r="AB108" i="7" s="1"/>
  <c r="AB114" i="7" s="1"/>
  <c r="AL103" i="7"/>
  <c r="AL108" i="7" s="1"/>
  <c r="AL114" i="7" s="1"/>
  <c r="Y103" i="7"/>
  <c r="Y108" i="7" s="1"/>
  <c r="Y114" i="7" s="1"/>
  <c r="AH103" i="7"/>
  <c r="AH108" i="7" s="1"/>
  <c r="AH114" i="7" s="1"/>
  <c r="D103" i="7"/>
  <c r="AK103" i="7"/>
  <c r="AK108" i="7" s="1"/>
  <c r="AK114" i="7" s="1"/>
  <c r="AP103" i="7"/>
  <c r="AP108" i="7" s="1"/>
  <c r="AP114" i="7" s="1"/>
  <c r="AM103" i="7"/>
  <c r="AM108" i="7" s="1"/>
  <c r="AM114" i="7" s="1"/>
  <c r="L103" i="7"/>
  <c r="V103" i="7"/>
  <c r="AO103" i="7"/>
  <c r="AO108" i="7" s="1"/>
  <c r="AO114" i="7" s="1"/>
  <c r="C643" i="7"/>
  <c r="AF103" i="7"/>
  <c r="AF108" i="7" s="1"/>
  <c r="AF114" i="7" s="1"/>
  <c r="V653" i="7"/>
  <c r="V656" i="7" s="1"/>
  <c r="V749" i="7" s="1"/>
  <c r="C103" i="7" l="1"/>
  <c r="W653" i="7"/>
  <c r="W656" i="7" s="1"/>
  <c r="W749" i="7" s="1"/>
  <c r="W750" i="7"/>
  <c r="W214" i="7" l="1"/>
  <c r="W177" i="7"/>
  <c r="W87" i="7"/>
  <c r="X653" i="7"/>
  <c r="X656" i="7" s="1"/>
  <c r="X749" i="7" s="1"/>
  <c r="X750" i="7"/>
  <c r="X214" i="7" l="1"/>
  <c r="X177" i="7"/>
  <c r="X87" i="7"/>
  <c r="Y653" i="7"/>
  <c r="Y656" i="7" s="1"/>
  <c r="Y749" i="7" s="1"/>
  <c r="Y750" i="7"/>
  <c r="Y214" i="7" l="1"/>
  <c r="Y177" i="7"/>
  <c r="Y87" i="7"/>
  <c r="Z653" i="7"/>
  <c r="Z656" i="7" s="1"/>
  <c r="Z749" i="7" s="1"/>
  <c r="Z750" i="7"/>
  <c r="AA653" i="7" l="1"/>
  <c r="AA656" i="7" s="1"/>
  <c r="AA749" i="7" s="1"/>
  <c r="AA750" i="7"/>
  <c r="Z214" i="7"/>
  <c r="Z177" i="7"/>
  <c r="Z87" i="7"/>
  <c r="AB653" i="7" l="1"/>
  <c r="AB656" i="7" s="1"/>
  <c r="AB749" i="7" s="1"/>
  <c r="AB750" i="7"/>
  <c r="AA214" i="7"/>
  <c r="AA177" i="7"/>
  <c r="AA87" i="7"/>
  <c r="AC653" i="7" l="1"/>
  <c r="AC656" i="7" s="1"/>
  <c r="AC749" i="7" s="1"/>
  <c r="AC750" i="7"/>
  <c r="AB214" i="7"/>
  <c r="AB177" i="7"/>
  <c r="AB87" i="7"/>
  <c r="AC214" i="7" l="1"/>
  <c r="AC177" i="7"/>
  <c r="AC87" i="7"/>
  <c r="AD653" i="7"/>
  <c r="AD656" i="7" s="1"/>
  <c r="AD749" i="7" s="1"/>
  <c r="AD750" i="7"/>
  <c r="AE653" i="7" l="1"/>
  <c r="AE656" i="7" s="1"/>
  <c r="AE749" i="7" s="1"/>
  <c r="AE750" i="7"/>
  <c r="AD214" i="7"/>
  <c r="AD177" i="7"/>
  <c r="AD87" i="7"/>
  <c r="AF653" i="7" l="1"/>
  <c r="AF656" i="7" s="1"/>
  <c r="AF749" i="7" s="1"/>
  <c r="AG750" i="7" s="1"/>
  <c r="AF750" i="7"/>
  <c r="AE214" i="7"/>
  <c r="AE177" i="7"/>
  <c r="AE87" i="7"/>
  <c r="AG653" i="7" l="1"/>
  <c r="AG656" i="7" s="1"/>
  <c r="AG749" i="7" s="1"/>
  <c r="AH750" i="7" s="1"/>
  <c r="AF214" i="7"/>
  <c r="AF177" i="7"/>
  <c r="AF87" i="7"/>
  <c r="AG177" i="7" l="1"/>
  <c r="AG214" i="7"/>
  <c r="AG87" i="7"/>
  <c r="M403" i="7"/>
  <c r="M405" i="7"/>
  <c r="M406" i="7"/>
  <c r="AH653" i="7"/>
  <c r="AH656" i="7" s="1"/>
  <c r="AH749" i="7" s="1"/>
  <c r="AI750" i="7" s="1"/>
  <c r="M263" i="7" l="1"/>
  <c r="AH214" i="7"/>
  <c r="AH87" i="7"/>
  <c r="AH177" i="7"/>
  <c r="M266" i="7"/>
  <c r="M402" i="7"/>
  <c r="AI653" i="7"/>
  <c r="AI656" i="7" s="1"/>
  <c r="AI749" i="7" s="1"/>
  <c r="AJ750" i="7" s="1"/>
  <c r="AI177" i="7" l="1"/>
  <c r="AI214" i="7"/>
  <c r="AI87" i="7"/>
  <c r="AJ653" i="7"/>
  <c r="AJ656" i="7" s="1"/>
  <c r="AJ749" i="7" s="1"/>
  <c r="AK750" i="7" s="1"/>
  <c r="AJ214" i="7" l="1"/>
  <c r="AJ177" i="7"/>
  <c r="AJ87" i="7"/>
  <c r="AK653" i="7"/>
  <c r="AK656" i="7" s="1"/>
  <c r="AK749" i="7" s="1"/>
  <c r="AL750" i="7" s="1"/>
  <c r="AK214" i="7" l="1"/>
  <c r="AK177" i="7"/>
  <c r="AK87" i="7"/>
  <c r="AL653" i="7"/>
  <c r="AL656" i="7" s="1"/>
  <c r="AL749" i="7" s="1"/>
  <c r="AM750" i="7" s="1"/>
  <c r="AL177" i="7" l="1"/>
  <c r="AL214" i="7"/>
  <c r="AL87" i="7"/>
  <c r="AM653" i="7"/>
  <c r="AM656" i="7" s="1"/>
  <c r="AM749" i="7" s="1"/>
  <c r="AN750" i="7" s="1"/>
  <c r="AM214" i="7" l="1"/>
  <c r="AM87" i="7"/>
  <c r="AM177" i="7"/>
  <c r="AN653" i="7"/>
  <c r="AN656" i="7" s="1"/>
  <c r="AN749" i="7" s="1"/>
  <c r="AO750" i="7" s="1"/>
  <c r="AN214" i="7" l="1"/>
  <c r="AN87" i="7"/>
  <c r="AN177" i="7"/>
  <c r="AO653" i="7"/>
  <c r="AO656" i="7" s="1"/>
  <c r="AO749" i="7" s="1"/>
  <c r="AP750" i="7" s="1"/>
  <c r="AO214" i="7" l="1"/>
  <c r="AO87" i="7"/>
  <c r="AO177" i="7"/>
  <c r="AP653" i="7"/>
  <c r="AP656" i="7" s="1"/>
  <c r="AP749" i="7" s="1"/>
  <c r="AP177" i="7" l="1"/>
  <c r="AP214" i="7"/>
  <c r="AP87" i="7"/>
  <c r="H76" i="7" l="1"/>
  <c r="AF76" i="7"/>
  <c r="AN76" i="7"/>
  <c r="AN614" i="7" s="1"/>
  <c r="AN616" i="7" s="1"/>
  <c r="AN618" i="7" s="1"/>
  <c r="AC76" i="7"/>
  <c r="AP76" i="7"/>
  <c r="AP614" i="7" s="1"/>
  <c r="AP616" i="7" s="1"/>
  <c r="AP618" i="7" s="1"/>
  <c r="AH76" i="7"/>
  <c r="AH614" i="7" s="1"/>
  <c r="AH616" i="7" s="1"/>
  <c r="AH618" i="7" s="1"/>
  <c r="AC80" i="7" l="1"/>
  <c r="AC614" i="7"/>
  <c r="AC616" i="7" s="1"/>
  <c r="AC618" i="7" s="1"/>
  <c r="AF80" i="7"/>
  <c r="AF614" i="7"/>
  <c r="AF616" i="7" s="1"/>
  <c r="AF618" i="7" s="1"/>
  <c r="H614" i="7"/>
  <c r="H616" i="7" s="1"/>
  <c r="AC176" i="7"/>
  <c r="Q76" i="7"/>
  <c r="H176" i="7"/>
  <c r="H80" i="7"/>
  <c r="H213" i="7"/>
  <c r="AC213" i="7"/>
  <c r="G76" i="7"/>
  <c r="AF213" i="7"/>
  <c r="AF176" i="7"/>
  <c r="L76" i="7"/>
  <c r="AO76" i="7"/>
  <c r="AO614" i="7" s="1"/>
  <c r="AO616" i="7" s="1"/>
  <c r="AO618" i="7" s="1"/>
  <c r="AM76" i="7"/>
  <c r="AM614" i="7" s="1"/>
  <c r="AM616" i="7" s="1"/>
  <c r="AM618" i="7" s="1"/>
  <c r="AI76" i="7"/>
  <c r="AI614" i="7" s="1"/>
  <c r="AI616" i="7" s="1"/>
  <c r="AI618" i="7" s="1"/>
  <c r="C614" i="7"/>
  <c r="C616" i="7" s="1"/>
  <c r="AN176" i="7"/>
  <c r="AN213" i="7"/>
  <c r="AN80" i="7"/>
  <c r="AP213" i="7"/>
  <c r="AP80" i="7"/>
  <c r="AP176" i="7"/>
  <c r="AB76" i="7"/>
  <c r="AB614" i="7" s="1"/>
  <c r="AB616" i="7" s="1"/>
  <c r="AB618" i="7" s="1"/>
  <c r="AD76" i="7"/>
  <c r="AD614" i="7" s="1"/>
  <c r="AD616" i="7" s="1"/>
  <c r="AD618" i="7" s="1"/>
  <c r="E76" i="7"/>
  <c r="AK76" i="7"/>
  <c r="AK614" i="7" s="1"/>
  <c r="AK616" i="7" s="1"/>
  <c r="AK618" i="7" s="1"/>
  <c r="U76" i="7"/>
  <c r="U614" i="7" s="1"/>
  <c r="U616" i="7" s="1"/>
  <c r="U618" i="7" s="1"/>
  <c r="AJ76" i="7"/>
  <c r="AJ614" i="7" s="1"/>
  <c r="AJ616" i="7" s="1"/>
  <c r="AJ618" i="7" s="1"/>
  <c r="J76" i="7"/>
  <c r="AG76" i="7"/>
  <c r="AG614" i="7" s="1"/>
  <c r="AG616" i="7" s="1"/>
  <c r="AG618" i="7" s="1"/>
  <c r="R76" i="7"/>
  <c r="AE76" i="7"/>
  <c r="AE614" i="7" s="1"/>
  <c r="AE616" i="7" s="1"/>
  <c r="AE618" i="7" s="1"/>
  <c r="AH213" i="7"/>
  <c r="AH176" i="7"/>
  <c r="AH80" i="7"/>
  <c r="N76" i="7"/>
  <c r="T76" i="7"/>
  <c r="AL76" i="7"/>
  <c r="AL614" i="7" s="1"/>
  <c r="AL616" i="7" s="1"/>
  <c r="AL618" i="7" s="1"/>
  <c r="C618" i="7" l="1"/>
  <c r="H618" i="7"/>
  <c r="H608" i="7"/>
  <c r="T749" i="7"/>
  <c r="T614" i="7"/>
  <c r="T616" i="7" s="1"/>
  <c r="Q614" i="7"/>
  <c r="Q616" i="7" s="1"/>
  <c r="R614" i="7"/>
  <c r="R616" i="7" s="1"/>
  <c r="AA76" i="7"/>
  <c r="M76" i="7"/>
  <c r="M176" i="7" s="1"/>
  <c r="F76" i="7"/>
  <c r="D76" i="7"/>
  <c r="K76" i="7"/>
  <c r="T80" i="7"/>
  <c r="T213" i="7"/>
  <c r="T176" i="7"/>
  <c r="R176" i="7"/>
  <c r="R80" i="7"/>
  <c r="R213" i="7"/>
  <c r="P76" i="7"/>
  <c r="J614" i="7"/>
  <c r="J616" i="7" s="1"/>
  <c r="J80" i="7"/>
  <c r="J213" i="7"/>
  <c r="J176" i="7"/>
  <c r="O76" i="7"/>
  <c r="S76" i="7"/>
  <c r="AJ80" i="7"/>
  <c r="AJ176" i="7"/>
  <c r="AJ213" i="7"/>
  <c r="AK176" i="7"/>
  <c r="AK80" i="7"/>
  <c r="AK213" i="7"/>
  <c r="E176" i="7"/>
  <c r="E80" i="7"/>
  <c r="E213" i="7"/>
  <c r="E614" i="7"/>
  <c r="E616" i="7" s="1"/>
  <c r="G80" i="7"/>
  <c r="G213" i="7"/>
  <c r="G176" i="7"/>
  <c r="G614" i="7"/>
  <c r="G616" i="7" s="1"/>
  <c r="Z76" i="7"/>
  <c r="Z614" i="7" s="1"/>
  <c r="Z616" i="7" s="1"/>
  <c r="Z618" i="7" s="1"/>
  <c r="AI80" i="7"/>
  <c r="AI213" i="7"/>
  <c r="AI176" i="7"/>
  <c r="X76" i="7"/>
  <c r="X614" i="7" s="1"/>
  <c r="X616" i="7" s="1"/>
  <c r="X618" i="7" s="1"/>
  <c r="Y76" i="7"/>
  <c r="Y614" i="7" s="1"/>
  <c r="Y616" i="7" s="1"/>
  <c r="Y618" i="7" s="1"/>
  <c r="AM80" i="7"/>
  <c r="AM176" i="7"/>
  <c r="AM213" i="7"/>
  <c r="AO80" i="7"/>
  <c r="AO176" i="7"/>
  <c r="AO213" i="7"/>
  <c r="L614" i="7"/>
  <c r="L616" i="7" s="1"/>
  <c r="L176" i="7"/>
  <c r="L213" i="7"/>
  <c r="L80" i="7"/>
  <c r="Q80" i="7"/>
  <c r="Q176" i="7"/>
  <c r="Q213" i="7"/>
  <c r="V76" i="7"/>
  <c r="V614" i="7" s="1"/>
  <c r="V616" i="7" s="1"/>
  <c r="V618" i="7" s="1"/>
  <c r="AL213" i="7"/>
  <c r="AL176" i="7"/>
  <c r="AL80" i="7"/>
  <c r="N176" i="7"/>
  <c r="N213" i="7"/>
  <c r="N80" i="7"/>
  <c r="N614" i="7"/>
  <c r="N616" i="7" s="1"/>
  <c r="AE176" i="7"/>
  <c r="AE80" i="7"/>
  <c r="AE213" i="7"/>
  <c r="W76" i="7"/>
  <c r="W614" i="7" s="1"/>
  <c r="W616" i="7" s="1"/>
  <c r="W618" i="7" s="1"/>
  <c r="AG213" i="7"/>
  <c r="AG80" i="7"/>
  <c r="AG176" i="7"/>
  <c r="U176" i="7"/>
  <c r="U80" i="7"/>
  <c r="U213" i="7"/>
  <c r="AD80" i="7"/>
  <c r="AD213" i="7"/>
  <c r="AD176" i="7"/>
  <c r="AB176" i="7"/>
  <c r="AB80" i="7"/>
  <c r="AB213" i="7"/>
  <c r="I76" i="7"/>
  <c r="AA213" i="7" l="1"/>
  <c r="AA614" i="7"/>
  <c r="AA616" i="7" s="1"/>
  <c r="AA618" i="7" s="1"/>
  <c r="R618" i="7"/>
  <c r="R608" i="7"/>
  <c r="Q618" i="7"/>
  <c r="Q608" i="7"/>
  <c r="L618" i="7"/>
  <c r="L608" i="7"/>
  <c r="J618" i="7"/>
  <c r="J608" i="7"/>
  <c r="T618" i="7"/>
  <c r="T608" i="7"/>
  <c r="G618" i="7"/>
  <c r="G608" i="7"/>
  <c r="N618" i="7"/>
  <c r="N608" i="7"/>
  <c r="E618" i="7"/>
  <c r="E608" i="7"/>
  <c r="U750" i="7"/>
  <c r="U635" i="7"/>
  <c r="U749" i="7"/>
  <c r="P614" i="7"/>
  <c r="P616" i="7" s="1"/>
  <c r="S614" i="7"/>
  <c r="S616" i="7" s="1"/>
  <c r="AA176" i="7"/>
  <c r="AA80" i="7"/>
  <c r="M213" i="7"/>
  <c r="M80" i="7"/>
  <c r="D176" i="7"/>
  <c r="M614" i="7"/>
  <c r="M616" i="7" s="1"/>
  <c r="D80" i="7"/>
  <c r="F614" i="7"/>
  <c r="F616" i="7" s="1"/>
  <c r="F213" i="7"/>
  <c r="F176" i="7"/>
  <c r="F80" i="7"/>
  <c r="D614" i="7"/>
  <c r="D616" i="7" s="1"/>
  <c r="D213" i="7"/>
  <c r="K213" i="7"/>
  <c r="K176" i="7"/>
  <c r="K614" i="7"/>
  <c r="K616" i="7" s="1"/>
  <c r="K80" i="7"/>
  <c r="W213" i="7"/>
  <c r="W176" i="7"/>
  <c r="W80" i="7"/>
  <c r="Y176" i="7"/>
  <c r="Y80" i="7"/>
  <c r="Y213" i="7"/>
  <c r="Z213" i="7"/>
  <c r="Z176" i="7"/>
  <c r="Z80" i="7"/>
  <c r="S176" i="7"/>
  <c r="S213" i="7"/>
  <c r="S80" i="7"/>
  <c r="O176" i="7"/>
  <c r="O614" i="7"/>
  <c r="O616" i="7" s="1"/>
  <c r="O213" i="7"/>
  <c r="O80" i="7"/>
  <c r="I80" i="7"/>
  <c r="I213" i="7"/>
  <c r="I176" i="7"/>
  <c r="I614" i="7"/>
  <c r="I616" i="7" s="1"/>
  <c r="V80" i="7"/>
  <c r="V213" i="7"/>
  <c r="V176" i="7"/>
  <c r="X176" i="7"/>
  <c r="X80" i="7"/>
  <c r="X213" i="7"/>
  <c r="P80" i="7"/>
  <c r="P213" i="7"/>
  <c r="P176" i="7"/>
  <c r="P618" i="7" l="1"/>
  <c r="P608" i="7"/>
  <c r="M618" i="7"/>
  <c r="M608" i="7"/>
  <c r="O618" i="7"/>
  <c r="O608" i="7"/>
  <c r="I618" i="7"/>
  <c r="I608" i="7"/>
  <c r="K618" i="7"/>
  <c r="K608" i="7"/>
  <c r="D618" i="7"/>
  <c r="D608" i="7"/>
  <c r="F618" i="7"/>
  <c r="F608" i="7"/>
  <c r="S618" i="7"/>
  <c r="S608" i="7"/>
  <c r="V750" i="7"/>
  <c r="V635" i="7"/>
  <c r="V102" i="7" s="1"/>
  <c r="V108" i="7" s="1"/>
  <c r="V114" i="7" s="1"/>
  <c r="U102" i="7"/>
  <c r="U108" i="7" s="1"/>
  <c r="U114" i="7" s="1"/>
  <c r="U87" i="7"/>
  <c r="U177" i="7"/>
  <c r="U214" i="7"/>
  <c r="V214" i="7" l="1"/>
  <c r="V177" i="7"/>
  <c r="V87" i="7"/>
  <c r="U121" i="7" l="1"/>
  <c r="U122" i="7" s="1"/>
  <c r="V121" i="7" l="1"/>
  <c r="V122" i="7" s="1"/>
  <c r="M404" i="7" l="1"/>
  <c r="M408" i="7" s="1"/>
  <c r="C313" i="7"/>
  <c r="B311" i="7" s="1" a="1"/>
  <c r="B311" i="7" s="1"/>
  <c r="M264" i="7"/>
  <c r="M268" i="7"/>
  <c r="M267" i="7"/>
  <c r="M265" i="7"/>
  <c r="M270" i="7" l="1"/>
  <c r="B270" i="7" l="1"/>
  <c r="B630" i="7" l="1"/>
  <c r="B621" i="7" l="1"/>
  <c r="B622" i="7" s="1"/>
  <c r="B631" i="7"/>
  <c r="N749" i="7"/>
  <c r="S102" i="7"/>
  <c r="S108" i="7" s="1"/>
  <c r="S114" i="7" s="1"/>
  <c r="O749" i="7"/>
  <c r="G749" i="7"/>
  <c r="L749" i="7"/>
  <c r="J749" i="7"/>
  <c r="C749" i="7"/>
  <c r="H749" i="7"/>
  <c r="K749" i="7"/>
  <c r="Q749" i="7"/>
  <c r="M749" i="7"/>
  <c r="B623" i="7" l="1"/>
  <c r="E749" i="7"/>
  <c r="F750" i="7" s="1"/>
  <c r="F177" i="7" s="1"/>
  <c r="S635" i="7"/>
  <c r="R749" i="7"/>
  <c r="S750" i="7" s="1"/>
  <c r="S177" i="7" s="1"/>
  <c r="D749" i="7"/>
  <c r="E750" i="7" s="1"/>
  <c r="E177" i="7" s="1"/>
  <c r="G635" i="7"/>
  <c r="F749" i="7"/>
  <c r="P749" i="7"/>
  <c r="Q750" i="7" s="1"/>
  <c r="Q214" i="7" s="1"/>
  <c r="T635" i="7"/>
  <c r="T102" i="7" s="1"/>
  <c r="T108" i="7" s="1"/>
  <c r="T114" i="7" s="1"/>
  <c r="S749" i="7"/>
  <c r="T750" i="7" s="1"/>
  <c r="T214" i="7" s="1"/>
  <c r="J635" i="7"/>
  <c r="I749" i="7"/>
  <c r="J750" i="7" s="1"/>
  <c r="J87" i="7" s="1"/>
  <c r="E635" i="7"/>
  <c r="E102" i="7" s="1"/>
  <c r="E108" i="7" s="1"/>
  <c r="E114" i="7" s="1"/>
  <c r="G750" i="7"/>
  <c r="G214" i="7" s="1"/>
  <c r="F635" i="7"/>
  <c r="F102" i="7" s="1"/>
  <c r="F108" i="7" s="1"/>
  <c r="F114" i="7" s="1"/>
  <c r="Q635" i="7"/>
  <c r="L635" i="7"/>
  <c r="L102" i="7" s="1"/>
  <c r="L108" i="7" s="1"/>
  <c r="L114" i="7" s="1"/>
  <c r="L750" i="7"/>
  <c r="C102" i="7"/>
  <c r="C108" i="7" s="1"/>
  <c r="C114" i="7" s="1"/>
  <c r="C750" i="7"/>
  <c r="N635" i="7"/>
  <c r="N750" i="7"/>
  <c r="I635" i="7"/>
  <c r="I102" i="7" s="1"/>
  <c r="I108" i="7" s="1"/>
  <c r="I114" i="7" s="1"/>
  <c r="I750" i="7"/>
  <c r="K635" i="7"/>
  <c r="K102" i="7" s="1"/>
  <c r="K108" i="7" s="1"/>
  <c r="K114" i="7" s="1"/>
  <c r="J102" i="7"/>
  <c r="J108" i="7" s="1"/>
  <c r="J114" i="7" s="1"/>
  <c r="K750" i="7"/>
  <c r="H635" i="7"/>
  <c r="H102" i="7" s="1"/>
  <c r="H108" i="7" s="1"/>
  <c r="H114" i="7" s="1"/>
  <c r="G102" i="7"/>
  <c r="G108" i="7" s="1"/>
  <c r="G114" i="7" s="1"/>
  <c r="H750" i="7"/>
  <c r="O635" i="7"/>
  <c r="N102" i="7"/>
  <c r="N108" i="7" s="1"/>
  <c r="N114" i="7" s="1"/>
  <c r="O750" i="7"/>
  <c r="R635" i="7"/>
  <c r="R102" i="7" s="1"/>
  <c r="R108" i="7" s="1"/>
  <c r="R114" i="7" s="1"/>
  <c r="Q102" i="7"/>
  <c r="Q108" i="7" s="1"/>
  <c r="Q114" i="7" s="1"/>
  <c r="R750" i="7"/>
  <c r="D635" i="7"/>
  <c r="D102" i="7" s="1"/>
  <c r="D108" i="7" s="1"/>
  <c r="D114" i="7" s="1"/>
  <c r="D750" i="7"/>
  <c r="M635" i="7"/>
  <c r="M102" i="7" s="1"/>
  <c r="M108" i="7" s="1"/>
  <c r="M114" i="7" s="1"/>
  <c r="M750" i="7"/>
  <c r="P635" i="7"/>
  <c r="P102" i="7" s="1"/>
  <c r="P108" i="7" s="1"/>
  <c r="P114" i="7" s="1"/>
  <c r="O102" i="7"/>
  <c r="O108" i="7" s="1"/>
  <c r="O114" i="7" s="1"/>
  <c r="P750" i="7"/>
  <c r="B118" i="7" l="1"/>
  <c r="B119" i="7" s="1"/>
  <c r="B611" i="7"/>
  <c r="C611" i="7" s="1"/>
  <c r="D611" i="7" s="1"/>
  <c r="E611" i="7" s="1"/>
  <c r="F611" i="7" s="1"/>
  <c r="G611" i="7" s="1"/>
  <c r="H611" i="7" s="1"/>
  <c r="I611" i="7" s="1"/>
  <c r="J611" i="7" s="1"/>
  <c r="K611" i="7" s="1"/>
  <c r="L611" i="7" s="1"/>
  <c r="M611" i="7" s="1"/>
  <c r="N611" i="7" s="1"/>
  <c r="O611" i="7" s="1"/>
  <c r="P611" i="7" s="1"/>
  <c r="Q611" i="7" s="1"/>
  <c r="R611" i="7" s="1"/>
  <c r="S611" i="7" s="1"/>
  <c r="T611" i="7" s="1"/>
  <c r="U611" i="7" s="1"/>
  <c r="V611" i="7" s="1"/>
  <c r="W611" i="7" s="1"/>
  <c r="X611" i="7" s="1"/>
  <c r="Y611" i="7" s="1"/>
  <c r="Z611" i="7" s="1"/>
  <c r="AA611" i="7" s="1"/>
  <c r="AB611" i="7" s="1"/>
  <c r="AC611" i="7" s="1"/>
  <c r="AD611" i="7" s="1"/>
  <c r="AE611" i="7" s="1"/>
  <c r="AF611" i="7" s="1"/>
  <c r="AG611" i="7" s="1"/>
  <c r="AH611" i="7" s="1"/>
  <c r="AI611" i="7" s="1"/>
  <c r="AJ611" i="7" s="1"/>
  <c r="AK611" i="7" s="1"/>
  <c r="AL611" i="7" s="1"/>
  <c r="AM611" i="7" s="1"/>
  <c r="AN611" i="7" s="1"/>
  <c r="AO611" i="7" s="1"/>
  <c r="AP611" i="7" s="1"/>
  <c r="J214" i="7"/>
  <c r="J177" i="7"/>
  <c r="F87" i="7"/>
  <c r="Q177" i="7"/>
  <c r="E214" i="7"/>
  <c r="F214" i="7"/>
  <c r="Q87" i="7"/>
  <c r="E87" i="7"/>
  <c r="B102" i="7"/>
  <c r="T177" i="7"/>
  <c r="T87" i="7"/>
  <c r="G87" i="7"/>
  <c r="S87" i="7"/>
  <c r="G177" i="7"/>
  <c r="S214" i="7"/>
  <c r="M177" i="7"/>
  <c r="M214" i="7"/>
  <c r="M87" i="7"/>
  <c r="I214" i="7"/>
  <c r="I177" i="7"/>
  <c r="I87" i="7"/>
  <c r="L177" i="7"/>
  <c r="L87" i="7"/>
  <c r="L214" i="7"/>
  <c r="H214" i="7"/>
  <c r="H177" i="7"/>
  <c r="H87" i="7"/>
  <c r="K214" i="7"/>
  <c r="K177" i="7"/>
  <c r="K87" i="7"/>
  <c r="R177" i="7"/>
  <c r="R214" i="7"/>
  <c r="R87" i="7"/>
  <c r="O87" i="7"/>
  <c r="O214" i="7"/>
  <c r="O177" i="7"/>
  <c r="C214" i="7"/>
  <c r="C177" i="7"/>
  <c r="C87" i="7"/>
  <c r="P177" i="7"/>
  <c r="P87" i="7"/>
  <c r="P214" i="7"/>
  <c r="D177" i="7"/>
  <c r="D87" i="7"/>
  <c r="D214" i="7"/>
  <c r="N177" i="7"/>
  <c r="N214" i="7"/>
  <c r="N87" i="7"/>
  <c r="C178" i="7" l="1"/>
  <c r="C88" i="7"/>
  <c r="C215" i="7"/>
  <c r="C121" i="7" l="1"/>
  <c r="C122" i="7" s="1"/>
  <c r="G401" i="7"/>
  <c r="G408" i="7" s="1"/>
  <c r="B410" i="7" s="1"/>
  <c r="G270" i="7"/>
  <c r="B272" i="7" s="1"/>
  <c r="AP549" i="7" l="1"/>
  <c r="R549" i="7"/>
  <c r="R550" i="7" s="1"/>
  <c r="R133" i="7" s="1"/>
  <c r="AO549" i="7"/>
  <c r="Q549" i="7"/>
  <c r="Q550" i="7" s="1"/>
  <c r="Q133" i="7" s="1"/>
  <c r="AM549" i="7"/>
  <c r="AM550" i="7" s="1"/>
  <c r="AM133" i="7" s="1"/>
  <c r="AL549" i="7"/>
  <c r="AL550" i="7" s="1"/>
  <c r="AL133" i="7" s="1"/>
  <c r="M549" i="7"/>
  <c r="M550" i="7" s="1"/>
  <c r="M133" i="7" s="1"/>
  <c r="L549" i="7"/>
  <c r="L550" i="7" s="1"/>
  <c r="L133" i="7" s="1"/>
  <c r="K549" i="7"/>
  <c r="K550" i="7" s="1"/>
  <c r="K133" i="7" s="1"/>
  <c r="J549" i="7"/>
  <c r="J550" i="7" s="1"/>
  <c r="J133" i="7" s="1"/>
  <c r="I549" i="7"/>
  <c r="I550" i="7" s="1"/>
  <c r="I133" i="7" s="1"/>
  <c r="H549" i="7"/>
  <c r="H550" i="7" s="1"/>
  <c r="H133" i="7" s="1"/>
  <c r="G549" i="7"/>
  <c r="F549" i="7"/>
  <c r="AC549" i="7"/>
  <c r="AC550" i="7" s="1"/>
  <c r="AC133" i="7" s="1"/>
  <c r="AA549" i="7"/>
  <c r="AA550" i="7" s="1"/>
  <c r="AA133" i="7" s="1"/>
  <c r="X549" i="7"/>
  <c r="X550" i="7" s="1"/>
  <c r="X133" i="7" s="1"/>
  <c r="V549" i="7"/>
  <c r="V550" i="7" s="1"/>
  <c r="V133" i="7" s="1"/>
  <c r="AN549" i="7"/>
  <c r="AN550" i="7" s="1"/>
  <c r="AN133" i="7" s="1"/>
  <c r="P549" i="7"/>
  <c r="P550" i="7" s="1"/>
  <c r="P133" i="7" s="1"/>
  <c r="O549" i="7"/>
  <c r="O550" i="7" s="1"/>
  <c r="O133" i="7" s="1"/>
  <c r="N549" i="7"/>
  <c r="N550" i="7" s="1"/>
  <c r="N133" i="7" s="1"/>
  <c r="AK549" i="7"/>
  <c r="AK550" i="7" s="1"/>
  <c r="AK133" i="7" s="1"/>
  <c r="AJ549" i="7"/>
  <c r="AJ550" i="7" s="1"/>
  <c r="AJ133" i="7" s="1"/>
  <c r="AI549" i="7"/>
  <c r="AH549" i="7"/>
  <c r="AG549" i="7"/>
  <c r="AF549" i="7"/>
  <c r="AE549" i="7"/>
  <c r="AE550" i="7" s="1"/>
  <c r="AE133" i="7" s="1"/>
  <c r="AD549" i="7"/>
  <c r="E549" i="7"/>
  <c r="AB549" i="7"/>
  <c r="D549" i="7"/>
  <c r="D550" i="7" s="1"/>
  <c r="D133" i="7" s="1"/>
  <c r="C549" i="7"/>
  <c r="Z549" i="7"/>
  <c r="Z550" i="7" s="1"/>
  <c r="Z133" i="7" s="1"/>
  <c r="Y549" i="7"/>
  <c r="Y550" i="7" s="1"/>
  <c r="Y133" i="7" s="1"/>
  <c r="W549" i="7"/>
  <c r="W550" i="7" s="1"/>
  <c r="W133" i="7" s="1"/>
  <c r="U549" i="7"/>
  <c r="U550" i="7" s="1"/>
  <c r="U133" i="7" s="1"/>
  <c r="T549" i="7"/>
  <c r="T550" i="7" s="1"/>
  <c r="T133" i="7" s="1"/>
  <c r="S549" i="7"/>
  <c r="S550" i="7" s="1"/>
  <c r="S133" i="7" s="1"/>
  <c r="F543" i="7"/>
  <c r="F544" i="7" s="1"/>
  <c r="F132" i="7" s="1"/>
  <c r="AC543" i="7"/>
  <c r="AC544" i="7" s="1"/>
  <c r="AC132" i="7" s="1"/>
  <c r="M543" i="7"/>
  <c r="M544" i="7" s="1"/>
  <c r="M132" i="7" s="1"/>
  <c r="Q543" i="7"/>
  <c r="Q544" i="7" s="1"/>
  <c r="Q132" i="7" s="1"/>
  <c r="L543" i="7"/>
  <c r="L544" i="7" s="1"/>
  <c r="L132" i="7" s="1"/>
  <c r="AP543" i="7"/>
  <c r="AP544" i="7" s="1"/>
  <c r="AP132" i="7" s="1"/>
  <c r="H543" i="7"/>
  <c r="H544" i="7" s="1"/>
  <c r="H132" i="7" s="1"/>
  <c r="X543" i="7"/>
  <c r="X544" i="7" s="1"/>
  <c r="X132" i="7" s="1"/>
  <c r="AL543" i="7"/>
  <c r="AL544" i="7" s="1"/>
  <c r="AL132" i="7" s="1"/>
  <c r="T543" i="7"/>
  <c r="T544" i="7" s="1"/>
  <c r="T132" i="7" s="1"/>
  <c r="AG543" i="7"/>
  <c r="AG544" i="7" s="1"/>
  <c r="AG132" i="7" s="1"/>
  <c r="AE543" i="7"/>
  <c r="AI543" i="7"/>
  <c r="AI544" i="7" s="1"/>
  <c r="AI132" i="7" s="1"/>
  <c r="AO543" i="7"/>
  <c r="AO544" i="7" s="1"/>
  <c r="AO132" i="7" s="1"/>
  <c r="W543" i="7"/>
  <c r="W544" i="7" s="1"/>
  <c r="W132" i="7" s="1"/>
  <c r="N543" i="7"/>
  <c r="N544" i="7" s="1"/>
  <c r="N132" i="7" s="1"/>
  <c r="AF543" i="7"/>
  <c r="AF544" i="7" s="1"/>
  <c r="AF132" i="7" s="1"/>
  <c r="AM543" i="7"/>
  <c r="AM544" i="7" s="1"/>
  <c r="AM132" i="7" s="1"/>
  <c r="K543" i="7"/>
  <c r="K544" i="7" s="1"/>
  <c r="K132" i="7" s="1"/>
  <c r="D543" i="7"/>
  <c r="D544" i="7" s="1"/>
  <c r="D132" i="7" s="1"/>
  <c r="AN543" i="7"/>
  <c r="AN544" i="7" s="1"/>
  <c r="AN132" i="7" s="1"/>
  <c r="U543" i="7"/>
  <c r="U544" i="7" s="1"/>
  <c r="U132" i="7" s="1"/>
  <c r="AA543" i="7"/>
  <c r="AA544" i="7" s="1"/>
  <c r="AA132" i="7" s="1"/>
  <c r="P543" i="7"/>
  <c r="P544" i="7" s="1"/>
  <c r="P132" i="7" s="1"/>
  <c r="V543" i="7"/>
  <c r="V544" i="7" s="1"/>
  <c r="V132" i="7" s="1"/>
  <c r="S543" i="7"/>
  <c r="S544" i="7" s="1"/>
  <c r="S132" i="7" s="1"/>
  <c r="AK543" i="7"/>
  <c r="AK544" i="7" s="1"/>
  <c r="AK132" i="7" s="1"/>
  <c r="C543" i="7"/>
  <c r="O543" i="7"/>
  <c r="O544" i="7" s="1"/>
  <c r="O132" i="7" s="1"/>
  <c r="Z543" i="7"/>
  <c r="Z544" i="7" s="1"/>
  <c r="Z132" i="7" s="1"/>
  <c r="R543" i="7"/>
  <c r="R544" i="7" s="1"/>
  <c r="R132" i="7" s="1"/>
  <c r="AB543" i="7"/>
  <c r="AB544" i="7" s="1"/>
  <c r="AB132" i="7" s="1"/>
  <c r="Y543" i="7"/>
  <c r="AD543" i="7"/>
  <c r="J543" i="7"/>
  <c r="J544" i="7" s="1"/>
  <c r="J132" i="7" s="1"/>
  <c r="AJ543" i="7"/>
  <c r="AJ544" i="7" s="1"/>
  <c r="AJ132" i="7" s="1"/>
  <c r="E543" i="7"/>
  <c r="E544" i="7" s="1"/>
  <c r="E132" i="7" s="1"/>
  <c r="AH543" i="7"/>
  <c r="AH544" i="7" s="1"/>
  <c r="AH132" i="7" s="1"/>
  <c r="G543" i="7"/>
  <c r="I543" i="7"/>
  <c r="I544" i="7" s="1"/>
  <c r="I132" i="7" s="1"/>
  <c r="Y544" i="7"/>
  <c r="Y132" i="7" s="1"/>
  <c r="AE544" i="7"/>
  <c r="AE132" i="7" s="1"/>
  <c r="G544" i="7"/>
  <c r="G132" i="7" s="1"/>
  <c r="AD544" i="7"/>
  <c r="AD132" i="7" s="1"/>
  <c r="AG550" i="7"/>
  <c r="AG133" i="7" s="1"/>
  <c r="G550" i="7"/>
  <c r="G133" i="7" s="1"/>
  <c r="AD550" i="7"/>
  <c r="AD133" i="7" s="1"/>
  <c r="F550" i="7"/>
  <c r="F133" i="7" s="1"/>
  <c r="E550" i="7"/>
  <c r="E133" i="7" s="1"/>
  <c r="AF550" i="7"/>
  <c r="AF133" i="7" s="1"/>
  <c r="AB550" i="7"/>
  <c r="AB133" i="7" s="1"/>
  <c r="AI550" i="7"/>
  <c r="AI133" i="7" s="1"/>
  <c r="AH550" i="7"/>
  <c r="AH133" i="7" s="1"/>
  <c r="AP550" i="7"/>
  <c r="AP133" i="7" s="1"/>
  <c r="AO550" i="7"/>
  <c r="AO133" i="7" s="1"/>
  <c r="H407" i="7"/>
  <c r="K407" i="7" s="1"/>
  <c r="L407" i="7" s="1"/>
  <c r="H269" i="7"/>
  <c r="K269" i="7" s="1"/>
  <c r="L269" i="7" s="1"/>
  <c r="D88" i="7"/>
  <c r="D89" i="7" s="1"/>
  <c r="D178" i="7"/>
  <c r="D215" i="7"/>
  <c r="H265" i="7"/>
  <c r="K265" i="7" s="1"/>
  <c r="L265" i="7" s="1"/>
  <c r="H268" i="7"/>
  <c r="K268" i="7" s="1"/>
  <c r="L268" i="7" s="1"/>
  <c r="H264" i="7"/>
  <c r="K264" i="7" s="1"/>
  <c r="L264" i="7" s="1"/>
  <c r="H267" i="7"/>
  <c r="K267" i="7" s="1"/>
  <c r="L267" i="7" s="1"/>
  <c r="H266" i="7"/>
  <c r="K266" i="7" s="1"/>
  <c r="L266" i="7" s="1"/>
  <c r="H263" i="7"/>
  <c r="H402" i="7"/>
  <c r="K402" i="7" s="1"/>
  <c r="L402" i="7" s="1"/>
  <c r="H401" i="7"/>
  <c r="H404" i="7"/>
  <c r="K404" i="7" s="1"/>
  <c r="L404" i="7" s="1"/>
  <c r="H406" i="7"/>
  <c r="K406" i="7" s="1"/>
  <c r="L406" i="7" s="1"/>
  <c r="H403" i="7"/>
  <c r="K403" i="7" s="1"/>
  <c r="L403" i="7" s="1"/>
  <c r="H405" i="7"/>
  <c r="K405" i="7" s="1"/>
  <c r="L405" i="7" s="1"/>
  <c r="AB134" i="7" l="1"/>
  <c r="AB218" i="7"/>
  <c r="Q134" i="7"/>
  <c r="Q218" i="7"/>
  <c r="T134" i="7"/>
  <c r="T218" i="7"/>
  <c r="W134" i="7"/>
  <c r="W218" i="7"/>
  <c r="U134" i="7"/>
  <c r="U218" i="7"/>
  <c r="D134" i="7"/>
  <c r="D218" i="7"/>
  <c r="E134" i="7"/>
  <c r="E218" i="7"/>
  <c r="K134" i="7"/>
  <c r="K218" i="7"/>
  <c r="AO134" i="7"/>
  <c r="AO218" i="7"/>
  <c r="S134" i="7"/>
  <c r="S218" i="7"/>
  <c r="AK134" i="7"/>
  <c r="AK218" i="7"/>
  <c r="I270" i="7"/>
  <c r="I269" i="7" s="1"/>
  <c r="J269" i="7" s="1"/>
  <c r="C544" i="7"/>
  <c r="C132" i="7" s="1"/>
  <c r="C218" i="7" s="1"/>
  <c r="I408" i="7"/>
  <c r="I404" i="7" s="1"/>
  <c r="J404" i="7" s="1"/>
  <c r="N404" i="7" s="1"/>
  <c r="C550" i="7"/>
  <c r="C133" i="7" s="1"/>
  <c r="M134" i="7"/>
  <c r="M218" i="7"/>
  <c r="G134" i="7"/>
  <c r="G218" i="7"/>
  <c r="AG134" i="7"/>
  <c r="AG218" i="7"/>
  <c r="AA134" i="7"/>
  <c r="AA218" i="7"/>
  <c r="O134" i="7"/>
  <c r="O218" i="7"/>
  <c r="F134" i="7"/>
  <c r="F218" i="7"/>
  <c r="L134" i="7"/>
  <c r="L218" i="7"/>
  <c r="AH134" i="7"/>
  <c r="AH218" i="7"/>
  <c r="AI134" i="7"/>
  <c r="AI218" i="7"/>
  <c r="AJ134" i="7"/>
  <c r="AJ218" i="7"/>
  <c r="V134" i="7"/>
  <c r="V218" i="7"/>
  <c r="X134" i="7"/>
  <c r="X218" i="7"/>
  <c r="N134" i="7"/>
  <c r="N218" i="7"/>
  <c r="Y134" i="7"/>
  <c r="Y218" i="7"/>
  <c r="P134" i="7"/>
  <c r="P218" i="7"/>
  <c r="H134" i="7"/>
  <c r="H218" i="7"/>
  <c r="AN134" i="7"/>
  <c r="AN218" i="7"/>
  <c r="R134" i="7"/>
  <c r="R218" i="7"/>
  <c r="Z134" i="7"/>
  <c r="Z218" i="7"/>
  <c r="AC134" i="7"/>
  <c r="AC218" i="7"/>
  <c r="AP134" i="7"/>
  <c r="AP218" i="7"/>
  <c r="I134" i="7"/>
  <c r="I218" i="7"/>
  <c r="AD134" i="7"/>
  <c r="AD218" i="7"/>
  <c r="AE134" i="7"/>
  <c r="AE218" i="7"/>
  <c r="AL134" i="7"/>
  <c r="AL218" i="7"/>
  <c r="J134" i="7"/>
  <c r="J218" i="7"/>
  <c r="AM134" i="7"/>
  <c r="AM218" i="7"/>
  <c r="AF134" i="7"/>
  <c r="AF218" i="7"/>
  <c r="H408" i="7"/>
  <c r="H270" i="7"/>
  <c r="D121" i="7"/>
  <c r="D122" i="7" s="1"/>
  <c r="D127" i="7" s="1"/>
  <c r="D128" i="7" s="1"/>
  <c r="K401" i="7"/>
  <c r="L401" i="7" s="1"/>
  <c r="L408" i="7" s="1"/>
  <c r="K263" i="7"/>
  <c r="L263" i="7" s="1"/>
  <c r="L270" i="7" s="1"/>
  <c r="I401" i="7" l="1"/>
  <c r="J401" i="7" s="1"/>
  <c r="I403" i="7"/>
  <c r="J403" i="7" s="1"/>
  <c r="N265" i="7" s="1"/>
  <c r="I406" i="7"/>
  <c r="J406" i="7" s="1"/>
  <c r="N268" i="7" s="1"/>
  <c r="I407" i="7"/>
  <c r="J407" i="7" s="1"/>
  <c r="I405" i="7"/>
  <c r="J405" i="7" s="1"/>
  <c r="N267" i="7" s="1"/>
  <c r="I402" i="7"/>
  <c r="J402" i="7" s="1"/>
  <c r="N402" i="7" s="1"/>
  <c r="I267" i="7"/>
  <c r="J267" i="7" s="1"/>
  <c r="I265" i="7"/>
  <c r="J265" i="7" s="1"/>
  <c r="I268" i="7"/>
  <c r="J268" i="7" s="1"/>
  <c r="I266" i="7"/>
  <c r="J266" i="7" s="1"/>
  <c r="I263" i="7"/>
  <c r="J263" i="7" s="1"/>
  <c r="I264" i="7"/>
  <c r="J264" i="7" s="1"/>
  <c r="E178" i="7"/>
  <c r="E121" i="7"/>
  <c r="E122" i="7" s="1"/>
  <c r="E215" i="7"/>
  <c r="E88" i="7"/>
  <c r="E89" i="7" s="1"/>
  <c r="N266" i="7"/>
  <c r="P402" i="7"/>
  <c r="C134" i="7"/>
  <c r="N264" i="7"/>
  <c r="N401" i="7"/>
  <c r="N263" i="7"/>
  <c r="N406" i="7"/>
  <c r="N403" i="7"/>
  <c r="N405" i="7"/>
  <c r="J408" i="7" l="1"/>
  <c r="J270" i="7"/>
  <c r="N408" i="7"/>
  <c r="N270" i="7"/>
  <c r="E127" i="7"/>
  <c r="E128" i="7" s="1"/>
  <c r="F88" i="7" l="1"/>
  <c r="F89" i="7" s="1"/>
  <c r="F215" i="7"/>
  <c r="F178" i="7"/>
  <c r="P408" i="7" l="1"/>
  <c r="C451" i="7" s="1"/>
  <c r="B451" i="7" s="1" a="1"/>
  <c r="B451" i="7" s="1"/>
  <c r="F121" i="7"/>
  <c r="F122" i="7" s="1"/>
  <c r="F127" i="7" s="1"/>
  <c r="F128" i="7" s="1"/>
  <c r="C179" i="7" l="1"/>
  <c r="G178" i="7" l="1"/>
  <c r="G88" i="7"/>
  <c r="G89" i="7" s="1"/>
  <c r="G215" i="7"/>
  <c r="C216" i="7" l="1"/>
  <c r="G121" i="7"/>
  <c r="G122" i="7" s="1"/>
  <c r="G127" i="7" s="1"/>
  <c r="G128" i="7" s="1"/>
  <c r="H215" i="7" l="1"/>
  <c r="H88" i="7"/>
  <c r="H89" i="7" s="1"/>
  <c r="H178" i="7"/>
  <c r="H121" i="7" l="1"/>
  <c r="H122" i="7" s="1"/>
  <c r="H127" i="7" s="1"/>
  <c r="H128" i="7" s="1"/>
  <c r="I215" i="7" l="1"/>
  <c r="I88" i="7"/>
  <c r="I89" i="7" s="1"/>
  <c r="I178" i="7"/>
  <c r="I121" i="7" l="1"/>
  <c r="I122" i="7" s="1"/>
  <c r="I127" i="7" s="1"/>
  <c r="I128" i="7" s="1"/>
  <c r="J88" i="7" l="1"/>
  <c r="J89" i="7" s="1"/>
  <c r="J215" i="7"/>
  <c r="J178" i="7"/>
  <c r="J121" i="7" l="1"/>
  <c r="J122" i="7" s="1"/>
  <c r="J127" i="7" s="1"/>
  <c r="J128" i="7" s="1"/>
  <c r="K178" i="7" l="1"/>
  <c r="K215" i="7"/>
  <c r="K88" i="7"/>
  <c r="K89" i="7" s="1"/>
  <c r="K121" i="7" l="1"/>
  <c r="K122" i="7" s="1"/>
  <c r="K127" i="7" s="1"/>
  <c r="K128" i="7" s="1"/>
  <c r="L215" i="7" l="1"/>
  <c r="L178" i="7"/>
  <c r="L88" i="7"/>
  <c r="L89" i="7" s="1"/>
  <c r="L121" i="7" l="1"/>
  <c r="L122" i="7" s="1"/>
  <c r="L127" i="7" s="1"/>
  <c r="L128" i="7" s="1"/>
  <c r="M88" i="7" l="1"/>
  <c r="M89" i="7" s="1"/>
  <c r="M178" i="7"/>
  <c r="M215" i="7"/>
  <c r="M121" i="7" l="1"/>
  <c r="M122" i="7" s="1"/>
  <c r="M127" i="7" s="1"/>
  <c r="M128" i="7" s="1"/>
  <c r="N178" i="7" l="1"/>
  <c r="N88" i="7"/>
  <c r="N89" i="7" s="1"/>
  <c r="N215" i="7"/>
  <c r="N121" i="7" l="1"/>
  <c r="N122" i="7" s="1"/>
  <c r="N127" i="7" s="1"/>
  <c r="N128" i="7" s="1"/>
  <c r="O88" i="7" l="1"/>
  <c r="O89" i="7" s="1"/>
  <c r="O215" i="7"/>
  <c r="O178" i="7"/>
  <c r="O121" i="7" l="1"/>
  <c r="O122" i="7" s="1"/>
  <c r="O127" i="7" s="1"/>
  <c r="O128" i="7" s="1"/>
  <c r="P88" i="7" l="1"/>
  <c r="P89" i="7" s="1"/>
  <c r="P215" i="7"/>
  <c r="P178" i="7"/>
  <c r="P121" i="7" l="1"/>
  <c r="P122" i="7" s="1"/>
  <c r="P127" i="7" s="1"/>
  <c r="P128" i="7" s="1"/>
  <c r="Q88" i="7" l="1"/>
  <c r="Q89" i="7" s="1"/>
  <c r="Q215" i="7"/>
  <c r="Q178" i="7"/>
  <c r="Q121" i="7" l="1"/>
  <c r="Q122" i="7" s="1"/>
  <c r="Q127" i="7" s="1"/>
  <c r="Q128" i="7" s="1"/>
  <c r="R178" i="7" l="1"/>
  <c r="R215" i="7"/>
  <c r="R88" i="7"/>
  <c r="R89" i="7" s="1"/>
  <c r="R121" i="7" l="1"/>
  <c r="R122" i="7" s="1"/>
  <c r="R127" i="7" s="1"/>
  <c r="R128" i="7" s="1"/>
  <c r="S88" i="7" l="1"/>
  <c r="S89" i="7" s="1"/>
  <c r="S215" i="7"/>
  <c r="S178" i="7"/>
  <c r="S121" i="7" l="1"/>
  <c r="S122" i="7" s="1"/>
  <c r="S127" i="7" s="1"/>
  <c r="S128" i="7" s="1"/>
  <c r="T88" i="7" l="1"/>
  <c r="T89" i="7" s="1"/>
  <c r="T178" i="7"/>
  <c r="T215" i="7"/>
  <c r="T121" i="7" l="1"/>
  <c r="T122" i="7" s="1"/>
  <c r="T127" i="7" s="1"/>
  <c r="T128" i="7" s="1"/>
  <c r="U215" i="7" l="1"/>
  <c r="U88" i="7"/>
  <c r="U89" i="7" s="1"/>
  <c r="U127" i="7" s="1"/>
  <c r="U128" i="7" s="1"/>
  <c r="U178" i="7"/>
  <c r="V88" i="7" l="1"/>
  <c r="V89" i="7" s="1"/>
  <c r="V127" i="7" s="1"/>
  <c r="V128" i="7" s="1"/>
  <c r="V215" i="7"/>
  <c r="V178" i="7"/>
  <c r="W215" i="7" l="1"/>
  <c r="W178" i="7"/>
  <c r="W88" i="7"/>
  <c r="W89" i="7" s="1"/>
  <c r="W127" i="7" s="1"/>
  <c r="W128" i="7" s="1"/>
  <c r="X215" i="7" l="1"/>
  <c r="X178" i="7"/>
  <c r="X88" i="7"/>
  <c r="X89" i="7" s="1"/>
  <c r="X127" i="7" s="1"/>
  <c r="X128" i="7" s="1"/>
  <c r="Y178" i="7" l="1"/>
  <c r="Y88" i="7"/>
  <c r="Y89" i="7" s="1"/>
  <c r="Y127" i="7" s="1"/>
  <c r="Y128" i="7" s="1"/>
  <c r="Y215" i="7"/>
  <c r="Z88" i="7" l="1"/>
  <c r="Z89" i="7" s="1"/>
  <c r="Z127" i="7" s="1"/>
  <c r="Z128" i="7" s="1"/>
  <c r="Z215" i="7"/>
  <c r="Z178" i="7"/>
  <c r="AA215" i="7" l="1"/>
  <c r="AA88" i="7"/>
  <c r="AA89" i="7" s="1"/>
  <c r="AA127" i="7" s="1"/>
  <c r="AA128" i="7" s="1"/>
  <c r="AA178" i="7"/>
  <c r="AB178" i="7" l="1"/>
  <c r="AB88" i="7"/>
  <c r="AB89" i="7" s="1"/>
  <c r="AB127" i="7" s="1"/>
  <c r="AB128" i="7" s="1"/>
  <c r="AB215" i="7"/>
  <c r="AC215" i="7" l="1"/>
  <c r="AC178" i="7"/>
  <c r="AC88" i="7"/>
  <c r="AC89" i="7" s="1"/>
  <c r="AC127" i="7" s="1"/>
  <c r="AC128" i="7" s="1"/>
  <c r="AD88" i="7" l="1"/>
  <c r="AD89" i="7" s="1"/>
  <c r="AD127" i="7" s="1"/>
  <c r="AD128" i="7" s="1"/>
  <c r="AD215" i="7"/>
  <c r="AD178" i="7"/>
  <c r="AE88" i="7" l="1"/>
  <c r="AE89" i="7" s="1"/>
  <c r="AE127" i="7" s="1"/>
  <c r="AE128" i="7" s="1"/>
  <c r="AE215" i="7"/>
  <c r="AE178" i="7"/>
  <c r="AF88" i="7" l="1"/>
  <c r="AF89" i="7" s="1"/>
  <c r="AF127" i="7" s="1"/>
  <c r="AF128" i="7" s="1"/>
  <c r="AF215" i="7"/>
  <c r="AF178" i="7"/>
  <c r="AG178" i="7" l="1"/>
  <c r="AG88" i="7"/>
  <c r="AG89" i="7" s="1"/>
  <c r="AG127" i="7" s="1"/>
  <c r="AG128" i="7" s="1"/>
  <c r="AG215" i="7"/>
  <c r="AH88" i="7" l="1"/>
  <c r="AH89" i="7" s="1"/>
  <c r="AH127" i="7" s="1"/>
  <c r="AH128" i="7" s="1"/>
  <c r="AH215" i="7"/>
  <c r="AH178" i="7"/>
  <c r="AI178" i="7" l="1"/>
  <c r="AI88" i="7"/>
  <c r="AI89" i="7" s="1"/>
  <c r="AI127" i="7" s="1"/>
  <c r="AI128" i="7" s="1"/>
  <c r="AI215" i="7"/>
  <c r="AJ88" i="7" l="1"/>
  <c r="AJ89" i="7" s="1"/>
  <c r="AJ127" i="7" s="1"/>
  <c r="AJ128" i="7" s="1"/>
  <c r="AJ215" i="7"/>
  <c r="AJ178" i="7"/>
  <c r="AK88" i="7" l="1"/>
  <c r="AK89" i="7" s="1"/>
  <c r="AK127" i="7" s="1"/>
  <c r="AK128" i="7" s="1"/>
  <c r="AK215" i="7"/>
  <c r="AK178" i="7"/>
  <c r="AL215" i="7" l="1"/>
  <c r="AL178" i="7"/>
  <c r="AL88" i="7"/>
  <c r="AL89" i="7" s="1"/>
  <c r="AL127" i="7" s="1"/>
  <c r="AL128" i="7" s="1"/>
  <c r="AM215" i="7" l="1"/>
  <c r="AM178" i="7"/>
  <c r="AM88" i="7"/>
  <c r="AM89" i="7" s="1"/>
  <c r="AM127" i="7" s="1"/>
  <c r="AM128" i="7" s="1"/>
  <c r="AN215" i="7" l="1"/>
  <c r="AN178" i="7"/>
  <c r="AN88" i="7"/>
  <c r="AN89" i="7" s="1"/>
  <c r="AN127" i="7" s="1"/>
  <c r="AN128" i="7" s="1"/>
  <c r="AO178" i="7" l="1"/>
  <c r="AO88" i="7"/>
  <c r="AO89" i="7" s="1"/>
  <c r="AO127" i="7" s="1"/>
  <c r="AO128" i="7" s="1"/>
  <c r="AO215" i="7"/>
  <c r="AP88" i="7" l="1"/>
  <c r="AP89" i="7" s="1"/>
  <c r="AP127" i="7" s="1"/>
  <c r="AP128" i="7" s="1"/>
  <c r="AP215" i="7"/>
  <c r="AP178" i="7"/>
  <c r="AP179" i="7"/>
  <c r="AP216" i="7"/>
  <c r="B160" i="7"/>
  <c r="F12" i="1" s="1"/>
  <c r="AO179" i="7"/>
  <c r="AO180" i="7" s="1"/>
  <c r="AO208" i="7" s="1"/>
  <c r="AO210" i="7" s="1"/>
  <c r="AO216" i="7"/>
  <c r="AN179" i="7"/>
  <c r="AN180" i="7" s="1"/>
  <c r="AN208" i="7" s="1"/>
  <c r="AN210" i="7" s="1"/>
  <c r="AN216" i="7"/>
  <c r="AM179" i="7"/>
  <c r="AM180" i="7" s="1"/>
  <c r="AM208" i="7" s="1"/>
  <c r="AM210" i="7" s="1"/>
  <c r="AM216" i="7"/>
  <c r="AL179" i="7"/>
  <c r="AL180" i="7" s="1"/>
  <c r="AL208" i="7" s="1"/>
  <c r="AL210" i="7" s="1"/>
  <c r="AL216" i="7"/>
  <c r="AK179" i="7"/>
  <c r="AK180" i="7" s="1"/>
  <c r="AK208" i="7" s="1"/>
  <c r="AK210" i="7" s="1"/>
  <c r="AK216" i="7"/>
  <c r="AJ179" i="7"/>
  <c r="AJ180" i="7" s="1"/>
  <c r="AJ208" i="7" s="1"/>
  <c r="AJ210" i="7" s="1"/>
  <c r="AJ216" i="7"/>
  <c r="AI179" i="7"/>
  <c r="AI180" i="7" s="1"/>
  <c r="AI208" i="7" s="1"/>
  <c r="AI210" i="7" s="1"/>
  <c r="AI216" i="7"/>
  <c r="AH179" i="7"/>
  <c r="AH180" i="7" s="1"/>
  <c r="AH208" i="7" s="1"/>
  <c r="AH210" i="7" s="1"/>
  <c r="AH216" i="7"/>
  <c r="AG179" i="7"/>
  <c r="AG180" i="7" s="1"/>
  <c r="AG208" i="7" s="1"/>
  <c r="AG210" i="7" s="1"/>
  <c r="AG216" i="7"/>
  <c r="AF179" i="7"/>
  <c r="AF180" i="7" s="1"/>
  <c r="AF208" i="7" s="1"/>
  <c r="AF210" i="7" s="1"/>
  <c r="AF216" i="7"/>
  <c r="AE179" i="7"/>
  <c r="AE180" i="7" s="1"/>
  <c r="AE208" i="7" s="1"/>
  <c r="AE210" i="7" s="1"/>
  <c r="AE216" i="7"/>
  <c r="AD179" i="7"/>
  <c r="AD180" i="7" s="1"/>
  <c r="AD208" i="7" s="1"/>
  <c r="AD210" i="7" s="1"/>
  <c r="AD216" i="7"/>
  <c r="AC179" i="7"/>
  <c r="AC180" i="7" s="1"/>
  <c r="AC208" i="7" s="1"/>
  <c r="AC210" i="7" s="1"/>
  <c r="AC216" i="7"/>
  <c r="AB179" i="7"/>
  <c r="AB180" i="7" s="1"/>
  <c r="AB208" i="7" s="1"/>
  <c r="AB210" i="7" s="1"/>
  <c r="AB216" i="7"/>
  <c r="AA179" i="7"/>
  <c r="AA180" i="7" s="1"/>
  <c r="AA208" i="7" s="1"/>
  <c r="AA210" i="7" s="1"/>
  <c r="AA216" i="7"/>
  <c r="Z179" i="7"/>
  <c r="Z180" i="7" s="1"/>
  <c r="Z208" i="7" s="1"/>
  <c r="Z210" i="7" s="1"/>
  <c r="Z216" i="7"/>
  <c r="Y179" i="7"/>
  <c r="Y180" i="7" s="1"/>
  <c r="Y208" i="7" s="1"/>
  <c r="Y210" i="7" s="1"/>
  <c r="Y216" i="7"/>
  <c r="X179" i="7"/>
  <c r="X180" i="7" s="1"/>
  <c r="X208" i="7" s="1"/>
  <c r="X210" i="7" s="1"/>
  <c r="X216" i="7"/>
  <c r="W179" i="7"/>
  <c r="W180" i="7" s="1"/>
  <c r="W208" i="7" s="1"/>
  <c r="W210" i="7" s="1"/>
  <c r="W216" i="7"/>
  <c r="V179" i="7"/>
  <c r="V180" i="7" s="1"/>
  <c r="V208" i="7" s="1"/>
  <c r="V210" i="7" s="1"/>
  <c r="V216" i="7"/>
  <c r="U179" i="7"/>
  <c r="U180" i="7" s="1"/>
  <c r="U208" i="7" s="1"/>
  <c r="U210" i="7" s="1"/>
  <c r="U216" i="7"/>
  <c r="T179" i="7"/>
  <c r="T180" i="7" s="1"/>
  <c r="T208" i="7" s="1"/>
  <c r="T210" i="7" s="1"/>
  <c r="T216" i="7"/>
  <c r="S179" i="7"/>
  <c r="S180" i="7" s="1"/>
  <c r="S208" i="7" s="1"/>
  <c r="S210" i="7" s="1"/>
  <c r="S216" i="7"/>
  <c r="R179" i="7"/>
  <c r="R180" i="7" s="1"/>
  <c r="R208" i="7" s="1"/>
  <c r="R210" i="7" s="1"/>
  <c r="R217" i="7" s="1"/>
  <c r="R216" i="7"/>
  <c r="Q179" i="7"/>
  <c r="Q180" i="7" s="1"/>
  <c r="Q208" i="7" s="1"/>
  <c r="Q210" i="7" s="1"/>
  <c r="Q140" i="7" s="1"/>
  <c r="Q216" i="7"/>
  <c r="P179" i="7"/>
  <c r="P180" i="7" s="1"/>
  <c r="P208" i="7" s="1"/>
  <c r="P210" i="7" s="1"/>
  <c r="P217" i="7" s="1"/>
  <c r="P216" i="7"/>
  <c r="O179" i="7"/>
  <c r="O180" i="7" s="1"/>
  <c r="O208" i="7" s="1"/>
  <c r="O210" i="7" s="1"/>
  <c r="O140" i="7" s="1"/>
  <c r="O216" i="7"/>
  <c r="N179" i="7"/>
  <c r="N180" i="7" s="1"/>
  <c r="N208" i="7" s="1"/>
  <c r="N210" i="7" s="1"/>
  <c r="N216" i="7"/>
  <c r="M179" i="7"/>
  <c r="M180" i="7" s="1"/>
  <c r="M208" i="7" s="1"/>
  <c r="M210" i="7" s="1"/>
  <c r="M140" i="7" s="1"/>
  <c r="M216" i="7"/>
  <c r="L179" i="7"/>
  <c r="L180" i="7" s="1"/>
  <c r="L208" i="7" s="1"/>
  <c r="L210" i="7" s="1"/>
  <c r="L216" i="7"/>
  <c r="K179" i="7"/>
  <c r="K180" i="7" s="1"/>
  <c r="K208" i="7" s="1"/>
  <c r="K210" i="7" s="1"/>
  <c r="K140" i="7" s="1"/>
  <c r="K216" i="7"/>
  <c r="J179" i="7"/>
  <c r="J180" i="7" s="1"/>
  <c r="J208" i="7" s="1"/>
  <c r="J210" i="7" s="1"/>
  <c r="J216" i="7"/>
  <c r="I179" i="7"/>
  <c r="I180" i="7" s="1"/>
  <c r="I208" i="7" s="1"/>
  <c r="I210" i="7" s="1"/>
  <c r="I216" i="7"/>
  <c r="H179" i="7"/>
  <c r="H180" i="7" s="1"/>
  <c r="H208" i="7" s="1"/>
  <c r="H210" i="7" s="1"/>
  <c r="H216" i="7"/>
  <c r="G179" i="7"/>
  <c r="G180" i="7" s="1"/>
  <c r="G208" i="7" s="1"/>
  <c r="G210" i="7" s="1"/>
  <c r="G140" i="7" s="1"/>
  <c r="G216" i="7"/>
  <c r="D179" i="7"/>
  <c r="D180" i="7" s="1"/>
  <c r="D208" i="7" s="1"/>
  <c r="D210" i="7" s="1"/>
  <c r="D216" i="7"/>
  <c r="F179" i="7"/>
  <c r="F180" i="7" s="1"/>
  <c r="F208" i="7" s="1"/>
  <c r="F210" i="7" s="1"/>
  <c r="F140" i="7" s="1"/>
  <c r="F216" i="7"/>
  <c r="E179" i="7"/>
  <c r="E180" i="7" s="1"/>
  <c r="E208" i="7" s="1"/>
  <c r="E210" i="7" s="1"/>
  <c r="E216" i="7"/>
  <c r="C76" i="7"/>
  <c r="C213" i="7" s="1"/>
  <c r="B644" i="7"/>
  <c r="B103" i="7" s="1"/>
  <c r="B108" i="7" s="1"/>
  <c r="B114" i="7" s="1"/>
  <c r="R220" i="7" l="1"/>
  <c r="R248" i="7" s="1"/>
  <c r="R250" i="7" s="1"/>
  <c r="R141" i="7" s="1"/>
  <c r="P220" i="7"/>
  <c r="P248" i="7" s="1"/>
  <c r="P250" i="7" s="1"/>
  <c r="P141" i="7" s="1"/>
  <c r="L217" i="7"/>
  <c r="L220" i="7" s="1"/>
  <c r="L248" i="7" s="1"/>
  <c r="L250" i="7" s="1"/>
  <c r="L141" i="7" s="1"/>
  <c r="L140" i="7"/>
  <c r="N217" i="7"/>
  <c r="N220" i="7" s="1"/>
  <c r="N248" i="7" s="1"/>
  <c r="N250" i="7" s="1"/>
  <c r="N141" i="7" s="1"/>
  <c r="N140" i="7"/>
  <c r="AP180" i="7"/>
  <c r="AP208" i="7" s="1"/>
  <c r="AP210" i="7" s="1"/>
  <c r="AP217" i="7" s="1"/>
  <c r="AP220" i="7" s="1"/>
  <c r="AP248" i="7" s="1"/>
  <c r="AP250" i="7" s="1"/>
  <c r="AP141" i="7" s="1"/>
  <c r="J140" i="7"/>
  <c r="J217" i="7"/>
  <c r="J220" i="7" s="1"/>
  <c r="J248" i="7" s="1"/>
  <c r="J250" i="7" s="1"/>
  <c r="J141" i="7" s="1"/>
  <c r="E140" i="7"/>
  <c r="E217" i="7"/>
  <c r="E220" i="7" s="1"/>
  <c r="E248" i="7" s="1"/>
  <c r="E250" i="7" s="1"/>
  <c r="E141" i="7" s="1"/>
  <c r="D140" i="7"/>
  <c r="D217" i="7"/>
  <c r="D220" i="7" s="1"/>
  <c r="D248" i="7" s="1"/>
  <c r="D250" i="7" s="1"/>
  <c r="D141" i="7" s="1"/>
  <c r="H140" i="7"/>
  <c r="H217" i="7"/>
  <c r="H220" i="7" s="1"/>
  <c r="H248" i="7" s="1"/>
  <c r="H250" i="7" s="1"/>
  <c r="H141" i="7" s="1"/>
  <c r="I140" i="7"/>
  <c r="Y217" i="7"/>
  <c r="Y220" i="7" s="1"/>
  <c r="Y248" i="7" s="1"/>
  <c r="Y250" i="7" s="1"/>
  <c r="Y141" i="7" s="1"/>
  <c r="Y140" i="7"/>
  <c r="AC217" i="7"/>
  <c r="AC220" i="7" s="1"/>
  <c r="AC248" i="7" s="1"/>
  <c r="AC250" i="7" s="1"/>
  <c r="AC141" i="7" s="1"/>
  <c r="AC140" i="7"/>
  <c r="AD140" i="7"/>
  <c r="AD217" i="7"/>
  <c r="AD220" i="7" s="1"/>
  <c r="AD248" i="7" s="1"/>
  <c r="AD250" i="7" s="1"/>
  <c r="AD141" i="7" s="1"/>
  <c r="AH140" i="7"/>
  <c r="AH217" i="7"/>
  <c r="AH220" i="7" s="1"/>
  <c r="AH248" i="7" s="1"/>
  <c r="AH250" i="7" s="1"/>
  <c r="AH141" i="7" s="1"/>
  <c r="AM217" i="7"/>
  <c r="AM220" i="7" s="1"/>
  <c r="AM248" i="7" s="1"/>
  <c r="AM250" i="7" s="1"/>
  <c r="AM141" i="7" s="1"/>
  <c r="AM140" i="7"/>
  <c r="Q217" i="7"/>
  <c r="Q220" i="7" s="1"/>
  <c r="Q248" i="7" s="1"/>
  <c r="Q250" i="7" s="1"/>
  <c r="Q141" i="7" s="1"/>
  <c r="Q142" i="7" s="1"/>
  <c r="Q143" i="7" s="1"/>
  <c r="W217" i="7"/>
  <c r="W220" i="7" s="1"/>
  <c r="W248" i="7" s="1"/>
  <c r="W250" i="7" s="1"/>
  <c r="W141" i="7" s="1"/>
  <c r="W140" i="7"/>
  <c r="X140" i="7"/>
  <c r="X217" i="7"/>
  <c r="X220" i="7" s="1"/>
  <c r="X248" i="7" s="1"/>
  <c r="X250" i="7" s="1"/>
  <c r="X141" i="7" s="1"/>
  <c r="AB140" i="7"/>
  <c r="AB217" i="7"/>
  <c r="AB220" i="7" s="1"/>
  <c r="AB248" i="7" s="1"/>
  <c r="AB250" i="7" s="1"/>
  <c r="AB141" i="7" s="1"/>
  <c r="AG217" i="7"/>
  <c r="AG220" i="7" s="1"/>
  <c r="AG248" i="7" s="1"/>
  <c r="AG250" i="7" s="1"/>
  <c r="AG141" i="7" s="1"/>
  <c r="AG140" i="7"/>
  <c r="AK217" i="7"/>
  <c r="AK220" i="7" s="1"/>
  <c r="AK248" i="7" s="1"/>
  <c r="AK250" i="7" s="1"/>
  <c r="AK141" i="7" s="1"/>
  <c r="AK140" i="7"/>
  <c r="AL140" i="7"/>
  <c r="AL217" i="7"/>
  <c r="AL220" i="7" s="1"/>
  <c r="AL248" i="7" s="1"/>
  <c r="AL250" i="7" s="1"/>
  <c r="AL141" i="7" s="1"/>
  <c r="F217" i="7"/>
  <c r="F220" i="7" s="1"/>
  <c r="F248" i="7" s="1"/>
  <c r="F250" i="7" s="1"/>
  <c r="F141" i="7" s="1"/>
  <c r="F142" i="7" s="1"/>
  <c r="F143" i="7" s="1"/>
  <c r="G217" i="7"/>
  <c r="G220" i="7" s="1"/>
  <c r="G248" i="7" s="1"/>
  <c r="G250" i="7" s="1"/>
  <c r="G141" i="7" s="1"/>
  <c r="G142" i="7" s="1"/>
  <c r="G143" i="7" s="1"/>
  <c r="I217" i="7"/>
  <c r="I220" i="7" s="1"/>
  <c r="I248" i="7" s="1"/>
  <c r="I250" i="7" s="1"/>
  <c r="I141" i="7" s="1"/>
  <c r="K217" i="7"/>
  <c r="K220" i="7" s="1"/>
  <c r="K248" i="7" s="1"/>
  <c r="K250" i="7" s="1"/>
  <c r="K141" i="7" s="1"/>
  <c r="K142" i="7" s="1"/>
  <c r="K143" i="7" s="1"/>
  <c r="M217" i="7"/>
  <c r="M220" i="7" s="1"/>
  <c r="M248" i="7" s="1"/>
  <c r="M250" i="7" s="1"/>
  <c r="M141" i="7" s="1"/>
  <c r="M142" i="7" s="1"/>
  <c r="M143" i="7" s="1"/>
  <c r="P140" i="7"/>
  <c r="P154" i="7"/>
  <c r="V140" i="7"/>
  <c r="V217" i="7"/>
  <c r="V220" i="7" s="1"/>
  <c r="V248" i="7" s="1"/>
  <c r="V250" i="7" s="1"/>
  <c r="V141" i="7" s="1"/>
  <c r="AA217" i="7"/>
  <c r="AA220" i="7" s="1"/>
  <c r="AA248" i="7" s="1"/>
  <c r="AA250" i="7" s="1"/>
  <c r="AA141" i="7" s="1"/>
  <c r="AA140" i="7"/>
  <c r="AF140" i="7"/>
  <c r="AF217" i="7"/>
  <c r="AF220" i="7" s="1"/>
  <c r="AF248" i="7" s="1"/>
  <c r="AF250" i="7" s="1"/>
  <c r="AF141" i="7" s="1"/>
  <c r="AJ140" i="7"/>
  <c r="AJ217" i="7"/>
  <c r="AJ220" i="7" s="1"/>
  <c r="AJ248" i="7" s="1"/>
  <c r="AJ250" i="7" s="1"/>
  <c r="AJ141" i="7" s="1"/>
  <c r="AO217" i="7"/>
  <c r="AO220" i="7" s="1"/>
  <c r="AO248" i="7" s="1"/>
  <c r="AO250" i="7" s="1"/>
  <c r="AO141" i="7" s="1"/>
  <c r="AO140" i="7"/>
  <c r="O217" i="7"/>
  <c r="O220" i="7" s="1"/>
  <c r="O248" i="7" s="1"/>
  <c r="O250" i="7" s="1"/>
  <c r="O141" i="7" s="1"/>
  <c r="O142" i="7" s="1"/>
  <c r="O143" i="7" s="1"/>
  <c r="R140" i="7"/>
  <c r="S217" i="7"/>
  <c r="S220" i="7" s="1"/>
  <c r="S248" i="7" s="1"/>
  <c r="S250" i="7" s="1"/>
  <c r="S141" i="7" s="1"/>
  <c r="S140" i="7"/>
  <c r="T140" i="7"/>
  <c r="T217" i="7"/>
  <c r="T220" i="7" s="1"/>
  <c r="T248" i="7" s="1"/>
  <c r="T250" i="7" s="1"/>
  <c r="T141" i="7" s="1"/>
  <c r="U217" i="7"/>
  <c r="U220" i="7" s="1"/>
  <c r="U248" i="7" s="1"/>
  <c r="U250" i="7" s="1"/>
  <c r="U141" i="7" s="1"/>
  <c r="U140" i="7"/>
  <c r="Z140" i="7"/>
  <c r="Z217" i="7"/>
  <c r="Z220" i="7" s="1"/>
  <c r="Z248" i="7" s="1"/>
  <c r="Z250" i="7" s="1"/>
  <c r="Z141" i="7" s="1"/>
  <c r="AE217" i="7"/>
  <c r="AE220" i="7" s="1"/>
  <c r="AE248" i="7" s="1"/>
  <c r="AE250" i="7" s="1"/>
  <c r="AE141" i="7" s="1"/>
  <c r="AE140" i="7"/>
  <c r="AI217" i="7"/>
  <c r="AI220" i="7" s="1"/>
  <c r="AI248" i="7" s="1"/>
  <c r="AI250" i="7" s="1"/>
  <c r="AI141" i="7" s="1"/>
  <c r="AI140" i="7"/>
  <c r="AN140" i="7"/>
  <c r="AN217" i="7"/>
  <c r="AN220" i="7" s="1"/>
  <c r="AN248" i="7" s="1"/>
  <c r="AN250" i="7" s="1"/>
  <c r="AN141" i="7" s="1"/>
  <c r="F269" i="7"/>
  <c r="O269" i="7" s="1"/>
  <c r="Q269" i="7" s="1"/>
  <c r="F407" i="7"/>
  <c r="O407" i="7" s="1"/>
  <c r="Q407" i="7" s="1"/>
  <c r="F404" i="7"/>
  <c r="O404" i="7" s="1"/>
  <c r="Q404" i="7" s="1"/>
  <c r="F403" i="7"/>
  <c r="O403" i="7" s="1"/>
  <c r="Q403" i="7" s="1"/>
  <c r="F268" i="7"/>
  <c r="O268" i="7" s="1"/>
  <c r="Q268" i="7" s="1"/>
  <c r="F265" i="7"/>
  <c r="O265" i="7" s="1"/>
  <c r="Q265" i="7" s="1"/>
  <c r="F264" i="7"/>
  <c r="O264" i="7" s="1"/>
  <c r="Q264" i="7" s="1"/>
  <c r="F402" i="7"/>
  <c r="O402" i="7" s="1"/>
  <c r="Q402" i="7" s="1"/>
  <c r="F406" i="7"/>
  <c r="O406" i="7" s="1"/>
  <c r="Q406" i="7" s="1"/>
  <c r="F267" i="7"/>
  <c r="O267" i="7" s="1"/>
  <c r="Q267" i="7" s="1"/>
  <c r="F266" i="7"/>
  <c r="O266" i="7" s="1"/>
  <c r="Q266" i="7" s="1"/>
  <c r="F405" i="7"/>
  <c r="O405" i="7" s="1"/>
  <c r="Q405" i="7" s="1"/>
  <c r="B120" i="7"/>
  <c r="C176" i="7"/>
  <c r="C180" i="7" s="1"/>
  <c r="C208" i="7" s="1"/>
  <c r="C210" i="7" s="1"/>
  <c r="C80" i="7"/>
  <c r="C89" i="7" s="1"/>
  <c r="C127" i="7" s="1"/>
  <c r="C128" i="7" s="1"/>
  <c r="B749" i="7"/>
  <c r="C641" i="7"/>
  <c r="R142" i="7" l="1"/>
  <c r="R143" i="7" s="1"/>
  <c r="R154" i="7"/>
  <c r="L154" i="7"/>
  <c r="AP140" i="7"/>
  <c r="AP142" i="7" s="1"/>
  <c r="AP143" i="7" s="1"/>
  <c r="AF154" i="7"/>
  <c r="AA154" i="7"/>
  <c r="V154" i="7"/>
  <c r="P142" i="7"/>
  <c r="P143" i="7" s="1"/>
  <c r="L142" i="7"/>
  <c r="L143" i="7" s="1"/>
  <c r="N142" i="7"/>
  <c r="N143" i="7" s="1"/>
  <c r="V142" i="7"/>
  <c r="V143" i="7" s="1"/>
  <c r="AN154" i="7"/>
  <c r="AI154" i="7"/>
  <c r="H154" i="7"/>
  <c r="E154" i="7"/>
  <c r="AD142" i="7"/>
  <c r="AD143" i="7" s="1"/>
  <c r="N154" i="7"/>
  <c r="AN142" i="7"/>
  <c r="AN143" i="7" s="1"/>
  <c r="AE142" i="7"/>
  <c r="AE143" i="7" s="1"/>
  <c r="AD154" i="7"/>
  <c r="AC154" i="7"/>
  <c r="AI142" i="7"/>
  <c r="AI143" i="7" s="1"/>
  <c r="AE154" i="7"/>
  <c r="S142" i="7"/>
  <c r="S143" i="7" s="1"/>
  <c r="AL154" i="7"/>
  <c r="AK154" i="7"/>
  <c r="X142" i="7"/>
  <c r="X143" i="7" s="1"/>
  <c r="H142" i="7"/>
  <c r="H143" i="7" s="1"/>
  <c r="G154" i="7"/>
  <c r="AP154" i="7"/>
  <c r="AL142" i="7"/>
  <c r="AL143" i="7" s="1"/>
  <c r="X154" i="7"/>
  <c r="W154" i="7"/>
  <c r="E142" i="7"/>
  <c r="E143" i="7" s="1"/>
  <c r="Z142" i="7"/>
  <c r="Z143" i="7" s="1"/>
  <c r="AJ154" i="7"/>
  <c r="AB154" i="7"/>
  <c r="M154" i="7"/>
  <c r="AH154" i="7"/>
  <c r="D154" i="7"/>
  <c r="J154" i="7"/>
  <c r="U142" i="7"/>
  <c r="U143" i="7" s="1"/>
  <c r="S154" i="7"/>
  <c r="AF142" i="7"/>
  <c r="AF143" i="7" s="1"/>
  <c r="AG142" i="7"/>
  <c r="AG143" i="7" s="1"/>
  <c r="AM142" i="7"/>
  <c r="AM143" i="7" s="1"/>
  <c r="Y142" i="7"/>
  <c r="Y143" i="7" s="1"/>
  <c r="D142" i="7"/>
  <c r="D143" i="7" s="1"/>
  <c r="K154" i="7"/>
  <c r="J142" i="7"/>
  <c r="J143" i="7" s="1"/>
  <c r="T154" i="7"/>
  <c r="AO142" i="7"/>
  <c r="AO143" i="7" s="1"/>
  <c r="Z154" i="7"/>
  <c r="U154" i="7"/>
  <c r="T142" i="7"/>
  <c r="T143" i="7" s="1"/>
  <c r="AO154" i="7"/>
  <c r="AJ142" i="7"/>
  <c r="AJ143" i="7" s="1"/>
  <c r="AA142" i="7"/>
  <c r="AA143" i="7" s="1"/>
  <c r="O154" i="7"/>
  <c r="AK142" i="7"/>
  <c r="AK143" i="7" s="1"/>
  <c r="AG154" i="7"/>
  <c r="AB142" i="7"/>
  <c r="AB143" i="7" s="1"/>
  <c r="W142" i="7"/>
  <c r="W143" i="7" s="1"/>
  <c r="Q154" i="7"/>
  <c r="AM154" i="7"/>
  <c r="AH142" i="7"/>
  <c r="AH143" i="7" s="1"/>
  <c r="AC142" i="7"/>
  <c r="AC143" i="7" s="1"/>
  <c r="Y154" i="7"/>
  <c r="I142" i="7"/>
  <c r="I143" i="7" s="1"/>
  <c r="I154" i="7"/>
  <c r="F154" i="7"/>
  <c r="B122" i="7"/>
  <c r="B127" i="7" s="1"/>
  <c r="B126" i="7"/>
  <c r="AK308" i="7"/>
  <c r="J308" i="7"/>
  <c r="Y308" i="7"/>
  <c r="Q308" i="7"/>
  <c r="F308" i="7"/>
  <c r="AI308" i="7"/>
  <c r="AH308" i="7"/>
  <c r="AG308" i="7"/>
  <c r="L308" i="7"/>
  <c r="D308" i="7"/>
  <c r="AE308" i="7"/>
  <c r="T308" i="7"/>
  <c r="E308" i="7"/>
  <c r="M308" i="7"/>
  <c r="H308" i="7"/>
  <c r="AM308" i="7"/>
  <c r="R308" i="7"/>
  <c r="S308" i="7"/>
  <c r="AA308" i="7"/>
  <c r="AJ308" i="7"/>
  <c r="K308" i="7"/>
  <c r="X308" i="7"/>
  <c r="W308" i="7"/>
  <c r="G308" i="7"/>
  <c r="AL308" i="7"/>
  <c r="AP308" i="7"/>
  <c r="AB308" i="7"/>
  <c r="Z308" i="7"/>
  <c r="AO308" i="7"/>
  <c r="N308" i="7"/>
  <c r="U308" i="7"/>
  <c r="V308" i="7"/>
  <c r="P308" i="7"/>
  <c r="AC308" i="7"/>
  <c r="AD308" i="7"/>
  <c r="AF308" i="7"/>
  <c r="AN308" i="7"/>
  <c r="O308" i="7"/>
  <c r="I308" i="7"/>
  <c r="C308" i="7"/>
  <c r="T448" i="7"/>
  <c r="K448" i="7"/>
  <c r="AK448" i="7"/>
  <c r="AC448" i="7"/>
  <c r="AF448" i="7"/>
  <c r="U448" i="7"/>
  <c r="AN448" i="7"/>
  <c r="S448" i="7"/>
  <c r="Q448" i="7"/>
  <c r="AP448" i="7"/>
  <c r="J448" i="7"/>
  <c r="I448" i="7"/>
  <c r="V448" i="7"/>
  <c r="AM448" i="7"/>
  <c r="O448" i="7"/>
  <c r="L448" i="7"/>
  <c r="Z448" i="7"/>
  <c r="W448" i="7"/>
  <c r="AE448" i="7"/>
  <c r="AO448" i="7"/>
  <c r="AA448" i="7"/>
  <c r="P448" i="7"/>
  <c r="AJ448" i="7"/>
  <c r="Y448" i="7"/>
  <c r="AI448" i="7"/>
  <c r="H448" i="7"/>
  <c r="AD448" i="7"/>
  <c r="N448" i="7"/>
  <c r="AL448" i="7"/>
  <c r="D448" i="7"/>
  <c r="X448" i="7"/>
  <c r="R448" i="7"/>
  <c r="AG448" i="7"/>
  <c r="AH448" i="7"/>
  <c r="G448" i="7"/>
  <c r="E448" i="7"/>
  <c r="M448" i="7"/>
  <c r="F448" i="7"/>
  <c r="AB448" i="7"/>
  <c r="C448" i="7"/>
  <c r="AK311" i="7"/>
  <c r="AP311" i="7"/>
  <c r="AD311" i="7"/>
  <c r="S311" i="7"/>
  <c r="M311" i="7"/>
  <c r="AM311" i="7"/>
  <c r="AI311" i="7"/>
  <c r="AB311" i="7"/>
  <c r="AL311" i="7"/>
  <c r="W311" i="7"/>
  <c r="J311" i="7"/>
  <c r="Y311" i="7"/>
  <c r="R311" i="7"/>
  <c r="AA311" i="7"/>
  <c r="AF311" i="7"/>
  <c r="N311" i="7"/>
  <c r="E311" i="7"/>
  <c r="I311" i="7"/>
  <c r="AG311" i="7"/>
  <c r="AC311" i="7"/>
  <c r="L311" i="7"/>
  <c r="AJ311" i="7"/>
  <c r="U311" i="7"/>
  <c r="P311" i="7"/>
  <c r="T311" i="7"/>
  <c r="X311" i="7"/>
  <c r="H311" i="7"/>
  <c r="Z311" i="7"/>
  <c r="F311" i="7"/>
  <c r="D311" i="7"/>
  <c r="AH311" i="7"/>
  <c r="V311" i="7"/>
  <c r="O311" i="7"/>
  <c r="G311" i="7"/>
  <c r="K311" i="7"/>
  <c r="Q311" i="7"/>
  <c r="AO311" i="7"/>
  <c r="AE311" i="7"/>
  <c r="AN311" i="7"/>
  <c r="C311" i="7"/>
  <c r="P449" i="7"/>
  <c r="G449" i="7"/>
  <c r="N449" i="7"/>
  <c r="AB449" i="7"/>
  <c r="AI449" i="7"/>
  <c r="AN449" i="7"/>
  <c r="Q449" i="7"/>
  <c r="O449" i="7"/>
  <c r="Z449" i="7"/>
  <c r="AD449" i="7"/>
  <c r="I449" i="7"/>
  <c r="AO449" i="7"/>
  <c r="L449" i="7"/>
  <c r="AK449" i="7"/>
  <c r="R449" i="7"/>
  <c r="AC449" i="7"/>
  <c r="AE449" i="7"/>
  <c r="AJ449" i="7"/>
  <c r="AM449" i="7"/>
  <c r="F449" i="7"/>
  <c r="AL449" i="7"/>
  <c r="AF449" i="7"/>
  <c r="X449" i="7"/>
  <c r="E449" i="7"/>
  <c r="S449" i="7"/>
  <c r="M449" i="7"/>
  <c r="D449" i="7"/>
  <c r="K449" i="7"/>
  <c r="Y449" i="7"/>
  <c r="AP449" i="7"/>
  <c r="H449" i="7"/>
  <c r="AG449" i="7"/>
  <c r="T449" i="7"/>
  <c r="AH449" i="7"/>
  <c r="AA449" i="7"/>
  <c r="V449" i="7"/>
  <c r="J449" i="7"/>
  <c r="U449" i="7"/>
  <c r="W449" i="7"/>
  <c r="C449" i="7"/>
  <c r="C217" i="7"/>
  <c r="C220" i="7" s="1"/>
  <c r="C248" i="7" s="1"/>
  <c r="C250" i="7" s="1"/>
  <c r="C141" i="7" s="1"/>
  <c r="C140" i="7"/>
  <c r="C270" i="7"/>
  <c r="F263" i="7"/>
  <c r="AN446" i="7"/>
  <c r="K446" i="7"/>
  <c r="O446" i="7"/>
  <c r="Y446" i="7"/>
  <c r="AE446" i="7"/>
  <c r="AC446" i="7"/>
  <c r="R446" i="7"/>
  <c r="Q446" i="7"/>
  <c r="AI446" i="7"/>
  <c r="C446" i="7"/>
  <c r="S446" i="7"/>
  <c r="T446" i="7"/>
  <c r="Z446" i="7"/>
  <c r="E446" i="7"/>
  <c r="V446" i="7"/>
  <c r="W446" i="7"/>
  <c r="I446" i="7"/>
  <c r="AP446" i="7"/>
  <c r="AA446" i="7"/>
  <c r="AH446" i="7"/>
  <c r="M446" i="7"/>
  <c r="H446" i="7"/>
  <c r="AM446" i="7"/>
  <c r="L446" i="7"/>
  <c r="F446" i="7"/>
  <c r="AD446" i="7"/>
  <c r="G446" i="7"/>
  <c r="AJ446" i="7"/>
  <c r="P446" i="7"/>
  <c r="X446" i="7"/>
  <c r="N446" i="7"/>
  <c r="J446" i="7"/>
  <c r="AO446" i="7"/>
  <c r="AF446" i="7"/>
  <c r="AB446" i="7"/>
  <c r="AL446" i="7"/>
  <c r="D446" i="7"/>
  <c r="AK446" i="7"/>
  <c r="U446" i="7"/>
  <c r="AG446" i="7"/>
  <c r="V445" i="7"/>
  <c r="H445" i="7"/>
  <c r="AI445" i="7"/>
  <c r="F445" i="7"/>
  <c r="G445" i="7"/>
  <c r="M445" i="7"/>
  <c r="AG445" i="7"/>
  <c r="AJ445" i="7"/>
  <c r="AN445" i="7"/>
  <c r="AA445" i="7"/>
  <c r="X445" i="7"/>
  <c r="R445" i="7"/>
  <c r="AL445" i="7"/>
  <c r="S445" i="7"/>
  <c r="AB445" i="7"/>
  <c r="AK445" i="7"/>
  <c r="Y445" i="7"/>
  <c r="I445" i="7"/>
  <c r="AF445" i="7"/>
  <c r="Q445" i="7"/>
  <c r="AC445" i="7"/>
  <c r="E445" i="7"/>
  <c r="AO445" i="7"/>
  <c r="W445" i="7"/>
  <c r="P445" i="7"/>
  <c r="N445" i="7"/>
  <c r="AE445" i="7"/>
  <c r="L445" i="7"/>
  <c r="Z445" i="7"/>
  <c r="O445" i="7"/>
  <c r="AP445" i="7"/>
  <c r="AM445" i="7"/>
  <c r="J445" i="7"/>
  <c r="AD445" i="7"/>
  <c r="U445" i="7"/>
  <c r="K445" i="7"/>
  <c r="D445" i="7"/>
  <c r="C445" i="7"/>
  <c r="AH445" i="7"/>
  <c r="T445" i="7"/>
  <c r="AO309" i="7"/>
  <c r="P309" i="7"/>
  <c r="AC309" i="7"/>
  <c r="AJ309" i="7"/>
  <c r="AM309" i="7"/>
  <c r="AA309" i="7"/>
  <c r="AP309" i="7"/>
  <c r="AD309" i="7"/>
  <c r="Y309" i="7"/>
  <c r="AN309" i="7"/>
  <c r="R309" i="7"/>
  <c r="F309" i="7"/>
  <c r="M309" i="7"/>
  <c r="U309" i="7"/>
  <c r="O309" i="7"/>
  <c r="V309" i="7"/>
  <c r="Z309" i="7"/>
  <c r="W309" i="7"/>
  <c r="N309" i="7"/>
  <c r="Q309" i="7"/>
  <c r="G309" i="7"/>
  <c r="E309" i="7"/>
  <c r="T309" i="7"/>
  <c r="AH309" i="7"/>
  <c r="L309" i="7"/>
  <c r="K309" i="7"/>
  <c r="I309" i="7"/>
  <c r="AL309" i="7"/>
  <c r="H309" i="7"/>
  <c r="X309" i="7"/>
  <c r="D309" i="7"/>
  <c r="J309" i="7"/>
  <c r="AB309" i="7"/>
  <c r="AE309" i="7"/>
  <c r="AG309" i="7"/>
  <c r="AF309" i="7"/>
  <c r="S309" i="7"/>
  <c r="AK309" i="7"/>
  <c r="AI309" i="7"/>
  <c r="C309" i="7"/>
  <c r="C408" i="7"/>
  <c r="F401" i="7"/>
  <c r="Y310" i="7"/>
  <c r="H310" i="7"/>
  <c r="AO310" i="7"/>
  <c r="AI310" i="7"/>
  <c r="M310" i="7"/>
  <c r="V310" i="7"/>
  <c r="AN310" i="7"/>
  <c r="E310" i="7"/>
  <c r="S310" i="7"/>
  <c r="J310" i="7"/>
  <c r="AP310" i="7"/>
  <c r="Z310" i="7"/>
  <c r="U310" i="7"/>
  <c r="AH310" i="7"/>
  <c r="AB310" i="7"/>
  <c r="AJ310" i="7"/>
  <c r="O310" i="7"/>
  <c r="R310" i="7"/>
  <c r="T310" i="7"/>
  <c r="AD310" i="7"/>
  <c r="K310" i="7"/>
  <c r="D310" i="7"/>
  <c r="W310" i="7"/>
  <c r="AM310" i="7"/>
  <c r="AE310" i="7"/>
  <c r="F310" i="7"/>
  <c r="AK310" i="7"/>
  <c r="AL310" i="7"/>
  <c r="P310" i="7"/>
  <c r="AA310" i="7"/>
  <c r="AG310" i="7"/>
  <c r="N310" i="7"/>
  <c r="G310" i="7"/>
  <c r="AC310" i="7"/>
  <c r="AF310" i="7"/>
  <c r="L310" i="7"/>
  <c r="I310" i="7"/>
  <c r="Q310" i="7"/>
  <c r="X310" i="7"/>
  <c r="C310" i="7"/>
  <c r="X307" i="7"/>
  <c r="T307" i="7"/>
  <c r="L307" i="7"/>
  <c r="AP307" i="7"/>
  <c r="Z307" i="7"/>
  <c r="AM307" i="7"/>
  <c r="AA307" i="7"/>
  <c r="F307" i="7"/>
  <c r="AJ307" i="7"/>
  <c r="R307" i="7"/>
  <c r="AL307" i="7"/>
  <c r="M307" i="7"/>
  <c r="P307" i="7"/>
  <c r="AB307" i="7"/>
  <c r="AN307" i="7"/>
  <c r="N307" i="7"/>
  <c r="AI307" i="7"/>
  <c r="AG307" i="7"/>
  <c r="AC307" i="7"/>
  <c r="AO307" i="7"/>
  <c r="J307" i="7"/>
  <c r="G307" i="7"/>
  <c r="V307" i="7"/>
  <c r="Y307" i="7"/>
  <c r="AD307" i="7"/>
  <c r="K307" i="7"/>
  <c r="AF307" i="7"/>
  <c r="W307" i="7"/>
  <c r="Q307" i="7"/>
  <c r="U307" i="7"/>
  <c r="O307" i="7"/>
  <c r="E307" i="7"/>
  <c r="AK307" i="7"/>
  <c r="AH307" i="7"/>
  <c r="D307" i="7"/>
  <c r="I307" i="7"/>
  <c r="S307" i="7"/>
  <c r="AE307" i="7"/>
  <c r="H307" i="7"/>
  <c r="C307" i="7"/>
  <c r="AO447" i="7"/>
  <c r="X447" i="7"/>
  <c r="AN447" i="7"/>
  <c r="P447" i="7"/>
  <c r="U447" i="7"/>
  <c r="AH447" i="7"/>
  <c r="AD447" i="7"/>
  <c r="V447" i="7"/>
  <c r="Z447" i="7"/>
  <c r="J447" i="7"/>
  <c r="E447" i="7"/>
  <c r="G447" i="7"/>
  <c r="S447" i="7"/>
  <c r="AK447" i="7"/>
  <c r="D447" i="7"/>
  <c r="Q447" i="7"/>
  <c r="AB447" i="7"/>
  <c r="AE447" i="7"/>
  <c r="H447" i="7"/>
  <c r="N447" i="7"/>
  <c r="O447" i="7"/>
  <c r="Y447" i="7"/>
  <c r="I447" i="7"/>
  <c r="F447" i="7"/>
  <c r="AA447" i="7"/>
  <c r="T447" i="7"/>
  <c r="AL447" i="7"/>
  <c r="AG447" i="7"/>
  <c r="AJ447" i="7"/>
  <c r="AI447" i="7"/>
  <c r="K447" i="7"/>
  <c r="AM447" i="7"/>
  <c r="AF447" i="7"/>
  <c r="L447" i="7"/>
  <c r="AC447" i="7"/>
  <c r="M447" i="7"/>
  <c r="R447" i="7"/>
  <c r="W447" i="7"/>
  <c r="AP447" i="7"/>
  <c r="C447" i="7"/>
  <c r="B449" i="7" l="1" a="1"/>
  <c r="B449" i="7" s="1"/>
  <c r="B310" i="7" a="1"/>
  <c r="B310" i="7" s="1"/>
  <c r="B447" i="7" a="1"/>
  <c r="B447" i="7" s="1"/>
  <c r="B309" i="7" a="1"/>
  <c r="B309" i="7" s="1"/>
  <c r="B445" i="7" a="1"/>
  <c r="B445" i="7" s="1"/>
  <c r="B306" i="7" a="1"/>
  <c r="B306" i="7" s="1"/>
  <c r="B448" i="7" a="1"/>
  <c r="B448" i="7" s="1"/>
  <c r="C154" i="7"/>
  <c r="B308" i="7" a="1"/>
  <c r="B308" i="7" s="1"/>
  <c r="F408" i="7"/>
  <c r="O401" i="7"/>
  <c r="F270" i="7"/>
  <c r="O263" i="7"/>
  <c r="B307" i="7" a="1"/>
  <c r="B307" i="7" s="1"/>
  <c r="B154" i="7"/>
  <c r="B128" i="7"/>
  <c r="B143" i="7" s="1"/>
  <c r="B446" i="7" a="1"/>
  <c r="B446" i="7" s="1"/>
  <c r="C142" i="7"/>
  <c r="C143" i="7" s="1"/>
  <c r="B158" i="7" l="1"/>
  <c r="E147" i="7"/>
  <c r="Y147" i="7"/>
  <c r="AP147" i="7"/>
  <c r="G147" i="7"/>
  <c r="T147" i="7"/>
  <c r="Z147" i="7"/>
  <c r="F147" i="7"/>
  <c r="U147" i="7"/>
  <c r="AA147" i="7"/>
  <c r="C147" i="7"/>
  <c r="W147" i="7"/>
  <c r="AB147" i="7"/>
  <c r="B151" i="7"/>
  <c r="F13" i="1" s="1"/>
  <c r="D147" i="7"/>
  <c r="I147" i="7"/>
  <c r="K147" i="7"/>
  <c r="O147" i="7"/>
  <c r="S147" i="7"/>
  <c r="X147" i="7"/>
  <c r="AD147" i="7"/>
  <c r="AF147" i="7"/>
  <c r="AH147" i="7"/>
  <c r="AL147" i="7"/>
  <c r="AN147" i="7"/>
  <c r="H147" i="7"/>
  <c r="N147" i="7"/>
  <c r="R147" i="7"/>
  <c r="V147" i="7"/>
  <c r="AC147" i="7"/>
  <c r="AI147" i="7"/>
  <c r="AM147" i="7"/>
  <c r="B147" i="7"/>
  <c r="M147" i="7"/>
  <c r="Q147" i="7"/>
  <c r="AJ147" i="7"/>
  <c r="J147" i="7"/>
  <c r="L147" i="7"/>
  <c r="P147" i="7"/>
  <c r="AE147" i="7"/>
  <c r="AG147" i="7"/>
  <c r="AK147" i="7"/>
  <c r="AO147" i="7"/>
  <c r="O408" i="7"/>
  <c r="Q401" i="7"/>
  <c r="Q263" i="7"/>
  <c r="O270" i="7"/>
  <c r="AO148" i="7" l="1"/>
  <c r="AP148" i="7"/>
  <c r="B148" i="7"/>
  <c r="C148" i="7"/>
  <c r="D148" i="7"/>
  <c r="I148" i="7"/>
  <c r="L148" i="7"/>
  <c r="P148" i="7"/>
  <c r="T148" i="7"/>
  <c r="AB148" i="7"/>
  <c r="AD148" i="7"/>
  <c r="AH148" i="7"/>
  <c r="AI148" i="7"/>
  <c r="AM148" i="7"/>
  <c r="H148" i="7"/>
  <c r="K148" i="7"/>
  <c r="O148" i="7"/>
  <c r="W148" i="7"/>
  <c r="X148" i="7"/>
  <c r="Z148" i="7"/>
  <c r="AF148" i="7"/>
  <c r="AL148" i="7"/>
  <c r="AM149" i="7" s="1"/>
  <c r="E148" i="7"/>
  <c r="F148" i="7"/>
  <c r="G148" i="7"/>
  <c r="J148" i="7"/>
  <c r="N148" i="7"/>
  <c r="R148" i="7"/>
  <c r="S148" i="7"/>
  <c r="U148" i="7"/>
  <c r="AA148" i="7"/>
  <c r="AC148" i="7"/>
  <c r="AE148" i="7"/>
  <c r="AG148" i="7"/>
  <c r="AJ148" i="7"/>
  <c r="AK148" i="7"/>
  <c r="AN148" i="7"/>
  <c r="AO149" i="7" s="1"/>
  <c r="M148" i="7"/>
  <c r="Q148" i="7"/>
  <c r="V148" i="7"/>
  <c r="Y148" i="7"/>
  <c r="Q408" i="7"/>
  <c r="AP444" i="7"/>
  <c r="AP452" i="7" s="1"/>
  <c r="D444" i="7"/>
  <c r="D452" i="7" s="1"/>
  <c r="E444" i="7"/>
  <c r="E452" i="7" s="1"/>
  <c r="M444" i="7"/>
  <c r="M452" i="7" s="1"/>
  <c r="AG444" i="7"/>
  <c r="AG452" i="7" s="1"/>
  <c r="G444" i="7"/>
  <c r="G452" i="7" s="1"/>
  <c r="Z444" i="7"/>
  <c r="Z452" i="7" s="1"/>
  <c r="K444" i="7"/>
  <c r="K452" i="7" s="1"/>
  <c r="AF444" i="7"/>
  <c r="AF452" i="7" s="1"/>
  <c r="O444" i="7"/>
  <c r="O452" i="7" s="1"/>
  <c r="Q444" i="7"/>
  <c r="Q452" i="7" s="1"/>
  <c r="AN444" i="7"/>
  <c r="AN452" i="7" s="1"/>
  <c r="R444" i="7"/>
  <c r="R452" i="7" s="1"/>
  <c r="AE444" i="7"/>
  <c r="AE452" i="7" s="1"/>
  <c r="AA444" i="7"/>
  <c r="AA452" i="7" s="1"/>
  <c r="P444" i="7"/>
  <c r="P452" i="7" s="1"/>
  <c r="I444" i="7"/>
  <c r="I452" i="7" s="1"/>
  <c r="V444" i="7"/>
  <c r="V452" i="7" s="1"/>
  <c r="AJ444" i="7"/>
  <c r="AJ452" i="7" s="1"/>
  <c r="AD444" i="7"/>
  <c r="AD452" i="7" s="1"/>
  <c r="L444" i="7"/>
  <c r="L452" i="7" s="1"/>
  <c r="AC444" i="7"/>
  <c r="AC452" i="7" s="1"/>
  <c r="Y444" i="7"/>
  <c r="Y452" i="7" s="1"/>
  <c r="C444" i="7"/>
  <c r="N444" i="7"/>
  <c r="N452" i="7" s="1"/>
  <c r="AH444" i="7"/>
  <c r="AH452" i="7" s="1"/>
  <c r="AB444" i="7"/>
  <c r="AB452" i="7" s="1"/>
  <c r="X444" i="7"/>
  <c r="X452" i="7" s="1"/>
  <c r="AK444" i="7"/>
  <c r="AK452" i="7" s="1"/>
  <c r="H444" i="7"/>
  <c r="H452" i="7" s="1"/>
  <c r="U444" i="7"/>
  <c r="U452" i="7" s="1"/>
  <c r="T444" i="7"/>
  <c r="T452" i="7" s="1"/>
  <c r="AL444" i="7"/>
  <c r="AL452" i="7" s="1"/>
  <c r="AM444" i="7"/>
  <c r="AM452" i="7" s="1"/>
  <c r="F444" i="7"/>
  <c r="F452" i="7" s="1"/>
  <c r="J444" i="7"/>
  <c r="J452" i="7" s="1"/>
  <c r="S444" i="7"/>
  <c r="S452" i="7" s="1"/>
  <c r="AO444" i="7"/>
  <c r="AO452" i="7" s="1"/>
  <c r="W444" i="7"/>
  <c r="W452" i="7" s="1"/>
  <c r="AI444" i="7"/>
  <c r="AI452" i="7" s="1"/>
  <c r="Q270" i="7"/>
  <c r="AN306" i="7"/>
  <c r="AN314" i="7" s="1"/>
  <c r="AI306" i="7"/>
  <c r="AI314" i="7" s="1"/>
  <c r="S306" i="7"/>
  <c r="S314" i="7" s="1"/>
  <c r="I306" i="7"/>
  <c r="I314" i="7" s="1"/>
  <c r="Y306" i="7"/>
  <c r="Y314" i="7" s="1"/>
  <c r="AG306" i="7"/>
  <c r="AG314" i="7" s="1"/>
  <c r="AF306" i="7"/>
  <c r="AF314" i="7" s="1"/>
  <c r="AL306" i="7"/>
  <c r="AL314" i="7" s="1"/>
  <c r="AC306" i="7"/>
  <c r="AC314" i="7" s="1"/>
  <c r="AK306" i="7"/>
  <c r="AK314" i="7" s="1"/>
  <c r="K306" i="7"/>
  <c r="K314" i="7" s="1"/>
  <c r="Z306" i="7"/>
  <c r="Z314" i="7" s="1"/>
  <c r="P306" i="7"/>
  <c r="P314" i="7" s="1"/>
  <c r="W306" i="7"/>
  <c r="W314" i="7" s="1"/>
  <c r="Q306" i="7"/>
  <c r="Q314" i="7" s="1"/>
  <c r="X306" i="7"/>
  <c r="X314" i="7" s="1"/>
  <c r="T306" i="7"/>
  <c r="T314" i="7" s="1"/>
  <c r="AM306" i="7"/>
  <c r="AM314" i="7" s="1"/>
  <c r="N306" i="7"/>
  <c r="N314" i="7" s="1"/>
  <c r="U306" i="7"/>
  <c r="U314" i="7" s="1"/>
  <c r="C306" i="7"/>
  <c r="C314" i="7" s="1"/>
  <c r="AJ306" i="7"/>
  <c r="AJ314" i="7" s="1"/>
  <c r="AE306" i="7"/>
  <c r="AE314" i="7" s="1"/>
  <c r="F306" i="7"/>
  <c r="F314" i="7" s="1"/>
  <c r="V306" i="7"/>
  <c r="V314" i="7" s="1"/>
  <c r="L306" i="7"/>
  <c r="L314" i="7" s="1"/>
  <c r="AB306" i="7"/>
  <c r="AB314" i="7" s="1"/>
  <c r="R306" i="7"/>
  <c r="R314" i="7" s="1"/>
  <c r="AD306" i="7"/>
  <c r="AD314" i="7" s="1"/>
  <c r="AO306" i="7"/>
  <c r="AO314" i="7" s="1"/>
  <c r="M306" i="7"/>
  <c r="M314" i="7" s="1"/>
  <c r="AA306" i="7"/>
  <c r="AA314" i="7" s="1"/>
  <c r="G306" i="7"/>
  <c r="G314" i="7" s="1"/>
  <c r="D306" i="7"/>
  <c r="D314" i="7" s="1"/>
  <c r="AH306" i="7"/>
  <c r="AH314" i="7" s="1"/>
  <c r="O306" i="7"/>
  <c r="O314" i="7" s="1"/>
  <c r="AP306" i="7"/>
  <c r="AP314" i="7" s="1"/>
  <c r="H306" i="7"/>
  <c r="H314" i="7" s="1"/>
  <c r="J306" i="7"/>
  <c r="J314" i="7" s="1"/>
  <c r="E306" i="7"/>
  <c r="E314" i="7" s="1"/>
  <c r="AF149" i="7" l="1"/>
  <c r="T149" i="7"/>
  <c r="W149" i="7"/>
  <c r="AL149" i="7"/>
  <c r="AD149" i="7"/>
  <c r="AB149" i="7"/>
  <c r="I149" i="7"/>
  <c r="B312" i="7" a="1"/>
  <c r="B312" i="7" s="1"/>
  <c r="L149" i="7"/>
  <c r="AP149" i="7"/>
  <c r="G149" i="7"/>
  <c r="AI149" i="7"/>
  <c r="D149" i="7"/>
  <c r="O149" i="7"/>
  <c r="S149" i="7"/>
  <c r="AH149" i="7"/>
  <c r="R149" i="7"/>
  <c r="C149" i="7"/>
  <c r="AA149" i="7"/>
  <c r="Q149" i="7"/>
  <c r="AK149" i="7"/>
  <c r="F149" i="7"/>
  <c r="Y149" i="7"/>
  <c r="AE149" i="7"/>
  <c r="M149" i="7"/>
  <c r="C452" i="7"/>
  <c r="B452" i="7" s="1" a="1"/>
  <c r="B452" i="7" s="1"/>
  <c r="B444" i="7" a="1"/>
  <c r="B444" i="7" s="1"/>
  <c r="N149" i="7"/>
  <c r="V149" i="7"/>
  <c r="K149" i="7"/>
  <c r="X149" i="7"/>
  <c r="AN149" i="7"/>
  <c r="AC149" i="7"/>
  <c r="J149" i="7"/>
  <c r="Z149" i="7"/>
  <c r="H149" i="7"/>
  <c r="AG149" i="7"/>
  <c r="P149" i="7"/>
  <c r="AJ149" i="7"/>
  <c r="U149" i="7"/>
  <c r="E149" i="7"/>
  <c r="B149"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<sst xmlns="http://schemas.openxmlformats.org/spreadsheetml/2006/main" count="820" uniqueCount="457">
  <si>
    <t>Property Tax</t>
  </si>
  <si>
    <t>Operating Year</t>
  </si>
  <si>
    <t>Investment Tax Credit</t>
  </si>
  <si>
    <t>Amount</t>
  </si>
  <si>
    <t>Federal</t>
  </si>
  <si>
    <t>State</t>
  </si>
  <si>
    <t>Production Tax Credit</t>
  </si>
  <si>
    <t>%</t>
  </si>
  <si>
    <t>Maximum</t>
  </si>
  <si>
    <t>Amount ($/kWh)</t>
  </si>
  <si>
    <t>Price  (¢/kWh)</t>
  </si>
  <si>
    <t>Capacity (DC kW)</t>
  </si>
  <si>
    <t>Fixed Cost ($/DC kW-yr)</t>
  </si>
  <si>
    <t>Total</t>
  </si>
  <si>
    <t>Variable Cost ($/AC-MWh)</t>
  </si>
  <si>
    <t>Investment Based Incentive (IBI)</t>
  </si>
  <si>
    <t>Yes</t>
  </si>
  <si>
    <t>No</t>
  </si>
  <si>
    <t>Total Expenses</t>
  </si>
  <si>
    <t>Production Based Incentive (included if available for debt service)</t>
  </si>
  <si>
    <t>Total PBI</t>
  </si>
  <si>
    <t>Funding</t>
  </si>
  <si>
    <t>Repayment</t>
  </si>
  <si>
    <t>Principal</t>
  </si>
  <si>
    <t>Interest</t>
  </si>
  <si>
    <t>Total P&amp;I</t>
  </si>
  <si>
    <t>EBITDA</t>
  </si>
  <si>
    <t>Less: Interest Payment</t>
  </si>
  <si>
    <t>Taxable Income Prior to Incentives</t>
  </si>
  <si>
    <t>Federal Income Taxes</t>
  </si>
  <si>
    <t>Less: Tax Depreciation</t>
  </si>
  <si>
    <t>Production Based Incentive (PBI)</t>
  </si>
  <si>
    <t>Incentive ($/kWh)</t>
  </si>
  <si>
    <t>Generation (kWh)</t>
  </si>
  <si>
    <t>Capacity Based Incentive (CBI)</t>
  </si>
  <si>
    <t>Plus: Interest Earned</t>
  </si>
  <si>
    <t>State Tax Benefit/(Liability)</t>
  </si>
  <si>
    <t>Total Taxable Incentives</t>
  </si>
  <si>
    <t>Taxable Income Including Incentives</t>
  </si>
  <si>
    <t>State Income Taxes</t>
  </si>
  <si>
    <t>Insurance</t>
  </si>
  <si>
    <t>5-yr MACRS</t>
  </si>
  <si>
    <t>15-yr MACRS</t>
  </si>
  <si>
    <t>5-yr SL</t>
  </si>
  <si>
    <t>15-yr SL</t>
  </si>
  <si>
    <t>20-yr SL</t>
  </si>
  <si>
    <t>39-yr SL</t>
  </si>
  <si>
    <t>Salvage Value</t>
  </si>
  <si>
    <t>Gross Amount Allocated</t>
  </si>
  <si>
    <t>Reduction: IBI</t>
  </si>
  <si>
    <t>Reduction: CBI</t>
  </si>
  <si>
    <t>Depreciable Basis Prior to ITC</t>
  </si>
  <si>
    <t>Depreciable Basis After ITC Reduction</t>
  </si>
  <si>
    <t>Applicable %</t>
  </si>
  <si>
    <t>State ITC</t>
  </si>
  <si>
    <t>ITC Qualifying Costs</t>
  </si>
  <si>
    <t>ITC Amount</t>
  </si>
  <si>
    <t>% of ITC Qualifying Costs</t>
  </si>
  <si>
    <t>ITC Basis Disallowance</t>
  </si>
  <si>
    <t>ITC as Fixed Amount</t>
  </si>
  <si>
    <t>ITC Reduction: State</t>
  </si>
  <si>
    <t>ITC Reduction: Federal</t>
  </si>
  <si>
    <t>Production Tax Credit (PTC)</t>
  </si>
  <si>
    <t>Production (MWh)</t>
  </si>
  <si>
    <t>Cash Flows from Investing Activities</t>
  </si>
  <si>
    <t>Cash Flows from Financing Activities</t>
  </si>
  <si>
    <t>Funding (through operations)</t>
  </si>
  <si>
    <t>Timing</t>
  </si>
  <si>
    <t>Depreciation Schedule Selected</t>
  </si>
  <si>
    <t>Year</t>
  </si>
  <si>
    <t>Depreciation Amount</t>
  </si>
  <si>
    <t>Tax Benefit/(Liability)</t>
  </si>
  <si>
    <t>Federal Tax Benefit/(Liability)</t>
  </si>
  <si>
    <t>State Depreciation Amounts</t>
  </si>
  <si>
    <t>Federal Depreciation Amounts</t>
  </si>
  <si>
    <t>Total Revenue</t>
  </si>
  <si>
    <t>Cash Flow: Project</t>
  </si>
  <si>
    <t>KEY</t>
  </si>
  <si>
    <t>First Year Bonus Depreciation</t>
  </si>
  <si>
    <t>Depreciable Basis After Bonus Reduction</t>
  </si>
  <si>
    <t>Major Equipment Replacement 1</t>
  </si>
  <si>
    <t>Major Equipment Replacement 2</t>
  </si>
  <si>
    <t>Major Equipment Replacement 3</t>
  </si>
  <si>
    <t>http://www.irs.gov/pub/irs-pdf/p946.pdf</t>
  </si>
  <si>
    <t>State PTC</t>
  </si>
  <si>
    <t>SYSTEM COSTS</t>
  </si>
  <si>
    <t>SYSTEM DESIGN</t>
  </si>
  <si>
    <t>FINANCIAL PARAMETERS</t>
  </si>
  <si>
    <t>Solution Mode</t>
  </si>
  <si>
    <t>IRR Target</t>
  </si>
  <si>
    <t>Target year</t>
  </si>
  <si>
    <t>Analysis Parameters</t>
  </si>
  <si>
    <t>Tax and Insurance Rates</t>
  </si>
  <si>
    <t>Federal income tax rate (%/year)</t>
  </si>
  <si>
    <t>State income tax rate (%/year)</t>
  </si>
  <si>
    <t>Insurance rate (annual, % of installed cost)</t>
  </si>
  <si>
    <t>PPA price escalation (%/year)</t>
  </si>
  <si>
    <t>Analysis period (years, 40 max)</t>
  </si>
  <si>
    <t>Inflation rate (%/year)</t>
  </si>
  <si>
    <t>Assessed percentage (% of total installed cost)</t>
  </si>
  <si>
    <t>Annual decline (%/year)</t>
  </si>
  <si>
    <t>Assesed value ($)</t>
  </si>
  <si>
    <t>Property tax rate (%/year)</t>
  </si>
  <si>
    <t>Property tax net assessed value</t>
  </si>
  <si>
    <t>O&amp;M production-based expense</t>
  </si>
  <si>
    <t>O&amp;M capacity-based expense</t>
  </si>
  <si>
    <t>PROJECT TERM DEBT</t>
  </si>
  <si>
    <t>Tenor (years)</t>
  </si>
  <si>
    <t>Annual all-in interest rate (%)</t>
  </si>
  <si>
    <t>Debt closing costs ($)</t>
  </si>
  <si>
    <t>Up-front fee (% of total debt)</t>
  </si>
  <si>
    <t>COST OF ACQUIRING FINANCING</t>
  </si>
  <si>
    <t>Loan 1</t>
  </si>
  <si>
    <t>Loan 2</t>
  </si>
  <si>
    <t>Loan 3</t>
  </si>
  <si>
    <t>Loan 4</t>
  </si>
  <si>
    <t>Loan 5</t>
  </si>
  <si>
    <t>Percent of installed cost</t>
  </si>
  <si>
    <t>Up-front fee (% of principal)</t>
  </si>
  <si>
    <t>Months prior to operation</t>
  </si>
  <si>
    <t>Annual interest rate (%)</t>
  </si>
  <si>
    <t>Total construction financing cost</t>
  </si>
  <si>
    <t>Totals:</t>
  </si>
  <si>
    <t>CONSTRUCTION FINANCING</t>
  </si>
  <si>
    <t>RESERVE ACCOUNTS</t>
  </si>
  <si>
    <t>Interest on reserves (%/year)</t>
  </si>
  <si>
    <t>Debt service reserve account (months of P&amp;I payments)</t>
  </si>
  <si>
    <t>Major equipment replacement reserve accounts</t>
  </si>
  <si>
    <t>Replacement  reserve 1</t>
  </si>
  <si>
    <t>Replacement  reserve 3</t>
  </si>
  <si>
    <t>Replacement  reserve 2</t>
  </si>
  <si>
    <t>Year 1 dollars</t>
  </si>
  <si>
    <t>Replacement frequency (years)</t>
  </si>
  <si>
    <t>Depreciation treatment for replacement reserves</t>
  </si>
  <si>
    <t>Working capital reserve (months of operating costs)</t>
  </si>
  <si>
    <t>TAX CREDITS</t>
  </si>
  <si>
    <t>DIRECT CASH INCENTIVES</t>
  </si>
  <si>
    <t>As fixed amount</t>
  </si>
  <si>
    <t>Federal ($)</t>
  </si>
  <si>
    <t>State ($)</t>
  </si>
  <si>
    <t>Federal (% of total installed cost)</t>
  </si>
  <si>
    <t>State (% of total installed cost)</t>
  </si>
  <si>
    <t>As percentage</t>
  </si>
  <si>
    <t>Sales tax (% of total direct cost)</t>
  </si>
  <si>
    <t>Total installed cost ($)</t>
  </si>
  <si>
    <t>OPERATION AND MAINTENANCE COSTS</t>
  </si>
  <si>
    <t>Fixed annual cost ($/yr)</t>
  </si>
  <si>
    <t>Variable cost by generation ($/MWh)</t>
  </si>
  <si>
    <t>Utility ($)</t>
  </si>
  <si>
    <t>Other ($)</t>
  </si>
  <si>
    <t>Utility (% of total installed cost)</t>
  </si>
  <si>
    <t>Other (% of total installed cost)</t>
  </si>
  <si>
    <t>Federal ($/W)</t>
  </si>
  <si>
    <t>State ($/W)</t>
  </si>
  <si>
    <t>Utility ($/W)</t>
  </si>
  <si>
    <t>Other ($/W)</t>
  </si>
  <si>
    <t>Amount ($/W)</t>
  </si>
  <si>
    <t>Federal ($/kWh)</t>
  </si>
  <si>
    <t>State ($/kWh)</t>
  </si>
  <si>
    <t>Utility ($/kWh)</t>
  </si>
  <si>
    <t>Other ($/kWh)</t>
  </si>
  <si>
    <t>Maximum ($)</t>
  </si>
  <si>
    <t>Classes</t>
  </si>
  <si>
    <t>DEPRECIATION</t>
  </si>
  <si>
    <t>Calculated</t>
  </si>
  <si>
    <t>Input from SAM</t>
  </si>
  <si>
    <t>End of analysis period value ($)</t>
  </si>
  <si>
    <t>Net salvage value (% of total installed cost)</t>
  </si>
  <si>
    <t>Total construction financing cost ($)</t>
  </si>
  <si>
    <t>Escalation (% above inflation)</t>
  </si>
  <si>
    <t>Utility</t>
  </si>
  <si>
    <t>Other</t>
  </si>
  <si>
    <t>Taxable Income before Incentives</t>
  </si>
  <si>
    <t>Taxable Income after Incentives</t>
  </si>
  <si>
    <t>For additional information on depreciation schedules, see IRS publication 946.</t>
  </si>
  <si>
    <t>Depreciation Percent (%)</t>
  </si>
  <si>
    <t>Plus: PBI (if not included above)</t>
  </si>
  <si>
    <t>Principal payment</t>
  </si>
  <si>
    <t>Interest payment</t>
  </si>
  <si>
    <t>Replacement cost ($/W)</t>
  </si>
  <si>
    <t>Nameplate capacity (kW)</t>
  </si>
  <si>
    <t>Non-depreciable</t>
  </si>
  <si>
    <t>Capital Costs</t>
  </si>
  <si>
    <t>Total installed cost</t>
  </si>
  <si>
    <t>Construction financing</t>
  </si>
  <si>
    <t xml:space="preserve">Reserve Accounts (Increase)/Decrease </t>
  </si>
  <si>
    <t>METRICS</t>
  </si>
  <si>
    <t>PPA price escalation (%/yr)</t>
  </si>
  <si>
    <r>
      <t>PPA price, year 1 (</t>
    </r>
    <r>
      <rPr>
        <sz val="10"/>
        <color theme="1"/>
        <rFont val="Calibri"/>
        <family val="2"/>
      </rPr>
      <t>¢</t>
    </r>
    <r>
      <rPr>
        <sz val="9"/>
        <color theme="1"/>
        <rFont val="Calibri"/>
        <family val="2"/>
      </rPr>
      <t>/kWh)</t>
    </r>
  </si>
  <si>
    <t>NPV of annual generation (kWh)</t>
  </si>
  <si>
    <t>NPV of annual costs ($)</t>
  </si>
  <si>
    <t>Annual costs ($)</t>
  </si>
  <si>
    <t>Total purchase of property</t>
  </si>
  <si>
    <t>Cumulative after-tax IRR (%)</t>
  </si>
  <si>
    <t>Year target IRR reached</t>
  </si>
  <si>
    <t>NPV of after-tax returns</t>
  </si>
  <si>
    <t>Annual PPA revenues ($)</t>
  </si>
  <si>
    <t>NPV of annual PPA revenues ($)</t>
  </si>
  <si>
    <t>Escalation (%/year)</t>
  </si>
  <si>
    <t>Amount ($)</t>
  </si>
  <si>
    <t>Term (years)</t>
  </si>
  <si>
    <t>Allocations (%)</t>
  </si>
  <si>
    <t>CONSTRUCTION FINANCING CALCULATION (provided here for reference, only total financing cost above is input to cash flow)</t>
  </si>
  <si>
    <t>Debt principal payment</t>
  </si>
  <si>
    <t>Issuance of equity</t>
  </si>
  <si>
    <t>Incentives and size of debt</t>
  </si>
  <si>
    <t>Size of debt</t>
  </si>
  <si>
    <t>FUEL COSTS (CSP, GENERIC, AND BIOPOWER SYSTEMS ONLY)</t>
  </si>
  <si>
    <t>Annual usage (kWh)</t>
  </si>
  <si>
    <t>Cost ($/MMBtu)</t>
  </si>
  <si>
    <t>Escalation (%/year above inflation)</t>
  </si>
  <si>
    <t>Fuel (CSP and generic system only)</t>
  </si>
  <si>
    <t>Depreciation Schedules (Half Year)</t>
  </si>
  <si>
    <t>Operation and maintenance (O&amp;M)</t>
  </si>
  <si>
    <t>Fixed</t>
  </si>
  <si>
    <t>Capacity</t>
  </si>
  <si>
    <t>Variable</t>
  </si>
  <si>
    <t>Biomass feedstock (Biopower only)</t>
  </si>
  <si>
    <t>Coal feedstock (Biopower only)</t>
  </si>
  <si>
    <t>PPA price ($/kWh)</t>
  </si>
  <si>
    <t>Avail. for debt svc.</t>
  </si>
  <si>
    <t>Federal taxable</t>
  </si>
  <si>
    <t>State taxable</t>
  </si>
  <si>
    <t>Red. fed. depr. &amp; ITC</t>
  </si>
  <si>
    <t>Red. st. depr. &amp; ITC</t>
  </si>
  <si>
    <t>Qual. for fed. ITC</t>
  </si>
  <si>
    <t>Qual. for state ITC</t>
  </si>
  <si>
    <t>Federal bonus</t>
  </si>
  <si>
    <t>State bonus</t>
  </si>
  <si>
    <t>Reduces depreciation basis</t>
  </si>
  <si>
    <t>Heat rate (MMBtu/MWh)</t>
  </si>
  <si>
    <t>Cash Flows from Operating Activities</t>
  </si>
  <si>
    <t>Reserve Capital Spending</t>
  </si>
  <si>
    <r>
      <t>Levelized PPA price (</t>
    </r>
    <r>
      <rPr>
        <sz val="10"/>
        <color theme="1"/>
        <rFont val="Calibri"/>
        <family val="2"/>
      </rPr>
      <t>¢</t>
    </r>
    <r>
      <rPr>
        <sz val="10"/>
        <color theme="1"/>
        <rFont val="Calibri"/>
        <family val="2"/>
        <scheme val="minor"/>
      </rPr>
      <t>/kWh)</t>
    </r>
  </si>
  <si>
    <t>Levelized PPA price nominal  (¢/kWh)</t>
  </si>
  <si>
    <t>Debt Parameters</t>
  </si>
  <si>
    <t>Value depends on option in SAM</t>
  </si>
  <si>
    <t>Debt service coverage ratio</t>
  </si>
  <si>
    <t>Ending balance</t>
  </si>
  <si>
    <t>Size of debt calculation</t>
  </si>
  <si>
    <t>Up-front fee amount ($, from SAM results)</t>
  </si>
  <si>
    <t>Debt closing costs</t>
  </si>
  <si>
    <t>Debt up-front fee</t>
  </si>
  <si>
    <t>Financing cost</t>
  </si>
  <si>
    <t>Cash available for debt service (CAFDS)</t>
  </si>
  <si>
    <t>Present value of CAFDS</t>
  </si>
  <si>
    <t>CAFDS</t>
  </si>
  <si>
    <t>Present value debt interest factor</t>
  </si>
  <si>
    <t>Total IBI</t>
  </si>
  <si>
    <t>Total CBI</t>
  </si>
  <si>
    <t>Plus: Interest earned on reserve accounts</t>
  </si>
  <si>
    <t>Less: Debt interest payment</t>
  </si>
  <si>
    <t>Operating cash distributions/(contributions)</t>
  </si>
  <si>
    <t>Project Returns</t>
  </si>
  <si>
    <t>Project Returns: Pre-Tax</t>
  </si>
  <si>
    <t>Project Returns: After-Tax</t>
  </si>
  <si>
    <t>ANNUAL VALUES</t>
  </si>
  <si>
    <t>Operation and maintenance costs specified as annual values</t>
  </si>
  <si>
    <t>N/A</t>
  </si>
  <si>
    <t>Production Based Incentive (PBI) specified as annual values</t>
  </si>
  <si>
    <t>Production Tax Credit (PTC) specified as annual values</t>
  </si>
  <si>
    <t>Unadjusted PTC ($/kWh)</t>
  </si>
  <si>
    <t>Adjusted PTC ($/MWh)</t>
  </si>
  <si>
    <t>Income tax rates specified as annual values</t>
  </si>
  <si>
    <t>State Tax Rate (%/year)</t>
  </si>
  <si>
    <t>Federal Tax Rate (%/year)</t>
  </si>
  <si>
    <t>Debt sizing and payment schedule</t>
  </si>
  <si>
    <t>Moratorium (years)</t>
  </si>
  <si>
    <t>Equal payments</t>
  </si>
  <si>
    <t>Constant DSCR (sculpted payments)</t>
  </si>
  <si>
    <t>Payment calculation</t>
  </si>
  <si>
    <t>P&amp;I for constant DSCR equal payments</t>
  </si>
  <si>
    <t>P&amp;I for mortgage style equal payments</t>
  </si>
  <si>
    <t>Principal for mortgage style fixed principal</t>
  </si>
  <si>
    <t>Working capital reserve</t>
  </si>
  <si>
    <t>Debt service reserve</t>
  </si>
  <si>
    <t>Beginning balance</t>
  </si>
  <si>
    <t>Release of funds</t>
  </si>
  <si>
    <t>Major equipment replacement reserve 1</t>
  </si>
  <si>
    <t>Timing of funding</t>
  </si>
  <si>
    <t>Cost of each occurrence</t>
  </si>
  <si>
    <t>Funding of each occurence</t>
  </si>
  <si>
    <t>Interest on reserves</t>
  </si>
  <si>
    <t>Total reserves</t>
  </si>
  <si>
    <t>Major equipment replacement reserve 2</t>
  </si>
  <si>
    <t>Major equipment replacement reserve 3</t>
  </si>
  <si>
    <t>Receivables reserve</t>
  </si>
  <si>
    <t>Major equipment reserve 1</t>
  </si>
  <si>
    <t>Major equipment reserve 2</t>
  </si>
  <si>
    <t>Major equipment reserve 3</t>
  </si>
  <si>
    <t>Major equipment spending 1</t>
  </si>
  <si>
    <t>Major equipment spending 2</t>
  </si>
  <si>
    <t>Major equipment spending 3</t>
  </si>
  <si>
    <t>Less: Receivables and replacement reserve funding</t>
  </si>
  <si>
    <t>Battery replacement</t>
  </si>
  <si>
    <t>Funding ($)</t>
  </si>
  <si>
    <t>Disbursement ($)</t>
  </si>
  <si>
    <t>Balance ($)</t>
  </si>
  <si>
    <t>Electricity bill without system</t>
  </si>
  <si>
    <t>Savings</t>
  </si>
  <si>
    <t>Electricity bill with system</t>
  </si>
  <si>
    <t>Agreement cost</t>
  </si>
  <si>
    <t>Payback</t>
  </si>
  <si>
    <t>Cumulative payback</t>
  </si>
  <si>
    <t>Electric bill with system ($)</t>
  </si>
  <si>
    <t>Developer NPV ($)</t>
  </si>
  <si>
    <t>Host NPV ($)</t>
  </si>
  <si>
    <t>Host real discount rate (%/year)</t>
  </si>
  <si>
    <t>Host nominal discount rate (%/year)</t>
  </si>
  <si>
    <t>Third Party Ownership - Host/Developer Cash Flow</t>
  </si>
  <si>
    <t>Third Party Ownership - Host/Developer Inputs</t>
  </si>
  <si>
    <t>Electric bill without sytem ($)</t>
  </si>
  <si>
    <t>Developer Operating Expenses</t>
  </si>
  <si>
    <t>Host Costs and Savings</t>
  </si>
  <si>
    <t>Developer Revenues and Costs</t>
  </si>
  <si>
    <t>Indifference point (¢/kWh)</t>
  </si>
  <si>
    <t>After-tax cash flow</t>
  </si>
  <si>
    <t>Developer NPV and IRR</t>
  </si>
  <si>
    <t>Developer Taxes</t>
  </si>
  <si>
    <t>Developer Incentive Amounts</t>
  </si>
  <si>
    <t>Developer Debt</t>
  </si>
  <si>
    <t>Developer Reserve Accounts</t>
  </si>
  <si>
    <t>Project (developer) real discount rate (%/year)</t>
  </si>
  <si>
    <t>Project (developer) nominal discount rate (%/year)</t>
  </si>
  <si>
    <t>Host electric bill</t>
  </si>
  <si>
    <r>
      <t>Host indifference point, year 1 (</t>
    </r>
    <r>
      <rPr>
        <sz val="10"/>
        <color theme="1"/>
        <rFont val="Calibri"/>
        <family val="2"/>
      </rPr>
      <t>¢</t>
    </r>
    <r>
      <rPr>
        <sz val="9"/>
        <color theme="1"/>
        <rFont val="Calibri"/>
        <family val="2"/>
      </rPr>
      <t>/kWh)</t>
    </r>
  </si>
  <si>
    <t>Levelized indifference point (nominal)  (¢/kWh)</t>
  </si>
  <si>
    <t>PPA price is modified by TOD multipliers</t>
  </si>
  <si>
    <t>Total agreement cost</t>
  </si>
  <si>
    <t>PPA price  (¢/kWh)</t>
  </si>
  <si>
    <t>Annual value from SAM</t>
  </si>
  <si>
    <t>Federal income tax rate in Year 1 (%/year)</t>
  </si>
  <si>
    <t>State income tax rate in Year 1 (%/year)</t>
  </si>
  <si>
    <t>LCOE, nominal  (¢/kWh)</t>
  </si>
  <si>
    <t>Debt percent (%) ("Calculated" for sculpted payments)</t>
  </si>
  <si>
    <t>Size of debt ($) ("N/A" for sculpted payments)</t>
  </si>
  <si>
    <t>Debt service coverage ratio ("Calculated" for mortgage style)</t>
  </si>
  <si>
    <t>Limit debt fraction (for sculpted payments only)</t>
  </si>
  <si>
    <t>Maximum debt percent (%) (for sculpted payments only)</t>
  </si>
  <si>
    <t>Annual payment schedule (for mortgage style debt only)</t>
  </si>
  <si>
    <t>Adjusted for size of debt limit</t>
  </si>
  <si>
    <t>PPA price by year ($/kWh)</t>
  </si>
  <si>
    <t>Capacity payments</t>
  </si>
  <si>
    <t>Curtailment payments</t>
  </si>
  <si>
    <t>PPA revenue</t>
  </si>
  <si>
    <r>
      <t>PPA revenue (</t>
    </r>
    <r>
      <rPr>
        <sz val="9"/>
        <color theme="1"/>
        <rFont val="Calibri"/>
        <family val="2"/>
      </rPr>
      <t>TOD price multipliers may apply)</t>
    </r>
  </si>
  <si>
    <t>Other revenue</t>
  </si>
  <si>
    <t>Depreciation</t>
  </si>
  <si>
    <t>Custom allocation (%/year)</t>
  </si>
  <si>
    <t>Estimates for levelized cost of storage (LCOS) calculations</t>
  </si>
  <si>
    <t>Storage costs ($)</t>
  </si>
  <si>
    <t>Storage energy discharged (kWh)</t>
  </si>
  <si>
    <t>Land lease</t>
  </si>
  <si>
    <t>Land lease payments ($)</t>
  </si>
  <si>
    <t>Custom</t>
  </si>
  <si>
    <t>Levelized Cost of Storage (Nominal)</t>
  </si>
  <si>
    <t>Annual storage costs ($)</t>
  </si>
  <si>
    <t>Annual storage energy discharged (kWh)</t>
  </si>
  <si>
    <t>NPV of annual storage costs ($)</t>
  </si>
  <si>
    <t>NPV of annual storage energy discharge (kWh)</t>
  </si>
  <si>
    <t>LCOS (¢/kWh)</t>
  </si>
  <si>
    <t>Energy</t>
  </si>
  <si>
    <t>Electricity to grid (kWh/year)</t>
  </si>
  <si>
    <t>Electricity from grid (kWh/year)</t>
  </si>
  <si>
    <t>Electricity to grid net (kWh/year)</t>
  </si>
  <si>
    <t>Electricity generated without storage (kWh/year)</t>
  </si>
  <si>
    <t>Battery annual energy discharged (kWh/year)</t>
  </si>
  <si>
    <t>Fuel cell annual energy discharged (kWh/year)</t>
  </si>
  <si>
    <t>Developer Revenue</t>
  </si>
  <si>
    <t>Electricity to grid (AC kWh)</t>
  </si>
  <si>
    <t>Electricity from grid (AC kWh)</t>
  </si>
  <si>
    <t>Electricity to grid net (AC kWh)</t>
  </si>
  <si>
    <t>Electricity generated without storage (AC kWh)</t>
  </si>
  <si>
    <t>Battery annual energy discharged (AC kWh)</t>
  </si>
  <si>
    <t>Fuel cell annual energy discharged (AC kWh)</t>
  </si>
  <si>
    <t>Electricity to grid (AC MWh)</t>
  </si>
  <si>
    <r>
      <t>LCOE (</t>
    </r>
    <r>
      <rPr>
        <sz val="10"/>
        <color theme="1"/>
        <rFont val="Calibri"/>
        <family val="2"/>
      </rPr>
      <t>¢</t>
    </r>
    <r>
      <rPr>
        <sz val="10"/>
        <color theme="1"/>
        <rFont val="Calibri"/>
        <family val="2"/>
        <scheme val="minor"/>
      </rPr>
      <t>/kWh)</t>
    </r>
  </si>
  <si>
    <t>Levelized COE and PPA Price (Nominal)</t>
  </si>
  <si>
    <t>Operating expenses specific to battery systems</t>
  </si>
  <si>
    <t>Battery fixed</t>
  </si>
  <si>
    <t>Battery capacity-based</t>
  </si>
  <si>
    <t>Battery variable</t>
  </si>
  <si>
    <t>Operating expenses specific to fuel cell systems</t>
  </si>
  <si>
    <t>Fuel cell fixed</t>
  </si>
  <si>
    <t>Fuel cell capacity-based</t>
  </si>
  <si>
    <t>Fuel cell variable</t>
  </si>
  <si>
    <t>Fuel cell replacement</t>
  </si>
  <si>
    <t>Fuel cell fuel</t>
  </si>
  <si>
    <t>Fuel costs</t>
  </si>
  <si>
    <t>Fuel</t>
  </si>
  <si>
    <t>Biomass feedstock</t>
  </si>
  <si>
    <t>Biomass coal feedstock</t>
  </si>
  <si>
    <t>Geothermal recapitalization</t>
  </si>
  <si>
    <t>Recapitalization</t>
  </si>
  <si>
    <t>Expenses Specific to Battery Systems</t>
  </si>
  <si>
    <t>Expenses Specific to Fuel Cell Systems</t>
  </si>
  <si>
    <t>Fuel (CSP, generic only)</t>
  </si>
  <si>
    <t>Land Lease</t>
  </si>
  <si>
    <t>LAND LEASE</t>
  </si>
  <si>
    <t>Land area estimate (acres)</t>
  </si>
  <si>
    <t>Annual land lease cost ($/acre)</t>
  </si>
  <si>
    <t>Land lease escalation rate (% above inflation)</t>
  </si>
  <si>
    <t>Thermal revenue (fuel cell only)</t>
  </si>
  <si>
    <t>Fixed cost by capacity ($/kW-yr)</t>
  </si>
  <si>
    <t>Investment Tax Credit (ITC) specified as annual values</t>
  </si>
  <si>
    <t>Federal ITC as fixed amount</t>
  </si>
  <si>
    <t>State ITC as fixed amount</t>
  </si>
  <si>
    <t>Federal ITC  percentage (%)</t>
  </si>
  <si>
    <t>Federal ITC as percentage maximum amount</t>
  </si>
  <si>
    <t>State ITC percentage (%)</t>
  </si>
  <si>
    <t>State ITC as percentage maximum amount</t>
  </si>
  <si>
    <t>Investment Tax Credit (ITC)</t>
  </si>
  <si>
    <t>ITC as fixed amount</t>
  </si>
  <si>
    <t>ITC  percentage (%)</t>
  </si>
  <si>
    <t>ITC as percentage maximum</t>
  </si>
  <si>
    <t>ITC as percentage amount</t>
  </si>
  <si>
    <t>ITC percentage (%)</t>
  </si>
  <si>
    <t>Depreciation and ITC Basis Calculation</t>
  </si>
  <si>
    <t>Other financing cost</t>
  </si>
  <si>
    <t>Other financing cost ($)</t>
  </si>
  <si>
    <t>State ITC qualifying costs</t>
  </si>
  <si>
    <t>State Depreciation and ITC</t>
  </si>
  <si>
    <t>State Depreciable Basis</t>
  </si>
  <si>
    <t>Depreciation Allocation</t>
  </si>
  <si>
    <t>Basis Reduction for IBI and CBI</t>
  </si>
  <si>
    <t>Basis Reduction for ITC as % of Qualifying Costs</t>
  </si>
  <si>
    <t>Red. for ITC as Fixed Amt.</t>
  </si>
  <si>
    <t>Basis Reduction for ITC</t>
  </si>
  <si>
    <t>Bonus</t>
  </si>
  <si>
    <t>Gross Basis Allocations</t>
  </si>
  <si>
    <t>Basis Reduction for IBI</t>
  </si>
  <si>
    <t>Basis Reduction for CBI</t>
  </si>
  <si>
    <t>Basis After IBI and CBI Reductions</t>
  </si>
  <si>
    <t>ITC as Percentage Amount</t>
  </si>
  <si>
    <t>50% Basis Reduction for ITC as %</t>
  </si>
  <si>
    <t>50% Basis Reduction for ITC as Fixed Amount</t>
  </si>
  <si>
    <t>State ITC Reduction</t>
  </si>
  <si>
    <t>Federal ITC Reduction</t>
  </si>
  <si>
    <t>Basis After ITC Reduction</t>
  </si>
  <si>
    <t>Bonus Depreciation Reduction</t>
  </si>
  <si>
    <t>State depreciation allocations</t>
  </si>
  <si>
    <t>Depreciable Basis Reduction for Income from Incentives</t>
  </si>
  <si>
    <t>Total basis reduction for IBI as fixed amount</t>
  </si>
  <si>
    <t>Total basis reduction for IBI as percentage</t>
  </si>
  <si>
    <t>Total basis reduction for CBI</t>
  </si>
  <si>
    <t>Deprecation of property purchased for installation</t>
  </si>
  <si>
    <t>Depreciation of major equipment replacement</t>
  </si>
  <si>
    <t>Federal Depreciation and ITC</t>
  </si>
  <si>
    <t>Federal Depreciable Basis</t>
  </si>
  <si>
    <t>Federal depreciation allocations</t>
  </si>
  <si>
    <t>Federal ITC qualifying costs</t>
  </si>
  <si>
    <t>Depreciation method</t>
  </si>
  <si>
    <t>Depreciation percentage (%)</t>
  </si>
  <si>
    <t>Depreciable basis prior to allocation</t>
  </si>
  <si>
    <t>ITC basis prior to qualification</t>
  </si>
  <si>
    <t>Basis for State and Federal Depreciation and ITC</t>
  </si>
  <si>
    <t>% of Basis Prior to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</si>
</sst>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0_);[Red]\(0\)"/>
    <numFmt numFmtId="165" formatCode="_(* #,##0.000_);_(* \(#,##0.000\);_(* &quot;-&quot;??_);_(@_)"/>
    <numFmt numFmtId="166" formatCode="_(* #,##0.000_);_(* \(#,##0.000\);_(* &quot;-&quot;???_);_(@_)"/>
    <numFmt numFmtId="167" formatCode="0.0%"/>
    <numFmt numFmtId="168" formatCode="_(* #,##0.00_);_(* \(#,##0.00\);_(* &quot;-&quot;_);_(@_)"/>
    <numFmt numFmtId="169" formatCode="0.0"/>
    <numFmt numFmtId="170" formatCode="#,##0.0"/>
    <numFmt numFmtId="171" formatCode="0_);\(0\)"/>
    <numFmt numFmtId="172" formatCode="#,##0.000"/>
    <numFmt numFmtId="173" formatCode="0.000"/>
  </numFmts>
  <fonts count="14" x14ac:knownFonts="1">
    <font>
      <sz val="11"/>
      <color theme="1"/>
      <name val="Calibri"/>
      <family val="2"/>
      <scheme val="minor"/>
    </font>
    <font>
      <sz val="11"/>
      <color theme="1"/>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rgb="FF0000CC"/>
      <name val="Calibri"/>
      <family val="2"/>
      <scheme val="minor"/>
    </font>
    <font>
      <b/>
      <sz val="10"/>
      <color rgb="FFFF0000"/>
      <name val="Calibri"/>
      <family val="2"/>
      <scheme val="minor"/>
    </font>
    <font>
      <sz val="9"/>
      <color theme="1"/>
      <name val="Calibri"/>
      <family val="2"/>
      <scheme val="minor"/>
    </font>
    <font>
      <sz val="10"/>
      <color theme="1"/>
      <name val="Calibri"/>
      <family val="2"/>
    </font>
    <font>
      <sz val="11"/>
      <name val="Calibri"/>
      <family val="2"/>
      <scheme val="minor"/>
    </font>
    <font>
      <sz val="9"/>
      <color theme="1"/>
      <name val="Calibri"/>
      <family val="2"/>
    </font>
    <font>
      <sz val="10"/>
      <name val="Arial"/>
      <family val="2"/>
    </font>
    <font>
      <b/>
      <sz val="14"/>
      <color theme="0"/>
      <name val="Segoe UI"/>
      <family val="2"/>
    </font>
  </fonts>
  <fills count="8">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1"/>
        <bgColor indexed="64"/>
      </patternFill>
    </fill>
    <fill>
      <patternFill patternType="solid">
        <fgColor theme="9" tint="0.59999389629810485"/>
        <bgColor indexed="64"/>
      </patternFill>
    </fill>
  </fills>
  <borders count="3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2" fillId="0" borderId="0"/>
    <xf numFmtId="9" fontId="12" fillId="0" borderId="0" applyFont="0" applyFill="0" applyBorder="0" applyAlignment="0" applyProtection="0"/>
  </cellStyleXfs>
  <cellXfs count="350">
    <xf numFmtId="0" fontId="0" fillId="0" borderId="0" xfId="0"/>
    <xf numFmtId="0" fontId="3" fillId="0" borderId="0" xfId="0" applyFont="1"/>
    <xf numFmtId="0" fontId="3" fillId="0" borderId="4" xfId="0" applyFont="1" applyBorder="1" applyAlignment="1">
      <alignment horizontal="center"/>
    </xf>
    <xf numFmtId="0" fontId="2" fillId="0" borderId="3" xfId="0" applyFont="1" applyBorder="1" applyAlignment="1">
      <alignment horizontal="center"/>
    </xf>
    <xf numFmtId="0" fontId="4" fillId="0" borderId="0" xfId="0" applyFont="1"/>
    <xf numFmtId="0" fontId="5" fillId="2" borderId="16" xfId="0" applyFont="1" applyFill="1" applyBorder="1"/>
    <xf numFmtId="0" fontId="4" fillId="2" borderId="17" xfId="0" applyFont="1" applyFill="1" applyBorder="1"/>
    <xf numFmtId="0" fontId="4" fillId="2" borderId="18" xfId="0" applyFont="1" applyFill="1" applyBorder="1"/>
    <xf numFmtId="0" fontId="4" fillId="0" borderId="7" xfId="0" applyFont="1" applyBorder="1" applyAlignment="1">
      <alignment horizontal="center"/>
    </xf>
    <xf numFmtId="0" fontId="4" fillId="0" borderId="22" xfId="0" applyFont="1" applyBorder="1"/>
    <xf numFmtId="0" fontId="3" fillId="0" borderId="15" xfId="0" applyFont="1" applyBorder="1" applyAlignment="1">
      <alignment horizontal="center"/>
    </xf>
    <xf numFmtId="166" fontId="3" fillId="0" borderId="0" xfId="0" applyNumberFormat="1" applyFont="1"/>
    <xf numFmtId="43" fontId="3" fillId="0" borderId="0" xfId="0" applyNumberFormat="1" applyFont="1"/>
    <xf numFmtId="0" fontId="3" fillId="0" borderId="7" xfId="0" applyFont="1" applyBorder="1" applyAlignment="1">
      <alignment horizontal="center"/>
    </xf>
    <xf numFmtId="41" fontId="4" fillId="0" borderId="0" xfId="0" applyNumberFormat="1" applyFont="1"/>
    <xf numFmtId="164" fontId="5" fillId="2" borderId="2" xfId="0" applyNumberFormat="1" applyFont="1" applyFill="1" applyBorder="1" applyAlignment="1">
      <alignment horizontal="center"/>
    </xf>
    <xf numFmtId="164" fontId="4" fillId="0" borderId="0" xfId="0" applyNumberFormat="1" applyFont="1" applyAlignment="1">
      <alignment horizontal="center"/>
    </xf>
    <xf numFmtId="0" fontId="4" fillId="0" borderId="0" xfId="0" applyFont="1" applyAlignment="1">
      <alignment horizontal="left"/>
    </xf>
    <xf numFmtId="10" fontId="4" fillId="0" borderId="0" xfId="1" applyNumberFormat="1" applyFont="1"/>
    <xf numFmtId="0" fontId="5" fillId="0" borderId="0" xfId="0" applyFont="1"/>
    <xf numFmtId="168" fontId="4" fillId="0" borderId="0" xfId="0" applyNumberFormat="1" applyFont="1"/>
    <xf numFmtId="0" fontId="4" fillId="0" borderId="0" xfId="0" applyFont="1" applyAlignment="1">
      <alignment horizontal="left" indent="2"/>
    </xf>
    <xf numFmtId="0" fontId="4" fillId="0" borderId="0" xfId="0" applyFont="1" applyAlignment="1">
      <alignment horizontal="left" indent="4"/>
    </xf>
    <xf numFmtId="167" fontId="4" fillId="0" borderId="0" xfId="1" applyNumberFormat="1" applyFont="1" applyBorder="1"/>
    <xf numFmtId="0" fontId="4" fillId="0" borderId="0" xfId="0" applyFont="1" applyAlignment="1">
      <alignment horizontal="right"/>
    </xf>
    <xf numFmtId="167" fontId="4" fillId="0" borderId="0" xfId="1" applyNumberFormat="1" applyFont="1"/>
    <xf numFmtId="0" fontId="5" fillId="0" borderId="16" xfId="0" applyFont="1" applyBorder="1"/>
    <xf numFmtId="0" fontId="4" fillId="0" borderId="18" xfId="0" applyFont="1" applyBorder="1"/>
    <xf numFmtId="0" fontId="4" fillId="0" borderId="17" xfId="0" applyFont="1" applyBorder="1"/>
    <xf numFmtId="41" fontId="3" fillId="0" borderId="0" xfId="0" applyNumberFormat="1" applyFont="1"/>
    <xf numFmtId="0" fontId="3" fillId="0" borderId="12" xfId="0" applyFont="1" applyBorder="1"/>
    <xf numFmtId="10" fontId="3" fillId="0" borderId="0" xfId="1" applyNumberFormat="1" applyFont="1" applyFill="1" applyBorder="1"/>
    <xf numFmtId="0" fontId="4" fillId="0" borderId="0" xfId="0" applyFont="1" applyAlignment="1">
      <alignment horizontal="center"/>
    </xf>
    <xf numFmtId="0" fontId="4" fillId="3" borderId="15" xfId="0" applyFont="1" applyFill="1" applyBorder="1"/>
    <xf numFmtId="0" fontId="4" fillId="0" borderId="15" xfId="0" applyFont="1" applyBorder="1"/>
    <xf numFmtId="0" fontId="4" fillId="0" borderId="15" xfId="0" applyFont="1" applyBorder="1" applyAlignment="1">
      <alignment horizontal="left" indent="1"/>
    </xf>
    <xf numFmtId="0" fontId="4" fillId="0" borderId="15" xfId="0" applyFont="1" applyBorder="1" applyAlignment="1">
      <alignment horizontal="left" indent="3"/>
    </xf>
    <xf numFmtId="0" fontId="4" fillId="0" borderId="16" xfId="0" applyFont="1" applyBorder="1" applyAlignment="1">
      <alignment horizontal="left" indent="1"/>
    </xf>
    <xf numFmtId="0" fontId="4" fillId="0" borderId="16" xfId="0" applyFont="1" applyBorder="1" applyAlignment="1">
      <alignment horizontal="right"/>
    </xf>
    <xf numFmtId="9" fontId="3" fillId="0" borderId="16" xfId="0" applyNumberFormat="1" applyFont="1" applyBorder="1"/>
    <xf numFmtId="9" fontId="4" fillId="0" borderId="17" xfId="1" applyFont="1" applyBorder="1"/>
    <xf numFmtId="43" fontId="4" fillId="3" borderId="17" xfId="3" applyFont="1" applyFill="1" applyBorder="1"/>
    <xf numFmtId="43" fontId="4" fillId="3" borderId="15" xfId="0" applyNumberFormat="1" applyFont="1" applyFill="1" applyBorder="1"/>
    <xf numFmtId="43" fontId="5" fillId="3" borderId="15" xfId="0" applyNumberFormat="1" applyFont="1" applyFill="1" applyBorder="1"/>
    <xf numFmtId="11" fontId="3" fillId="0" borderId="15" xfId="0" applyNumberFormat="1" applyFont="1" applyBorder="1"/>
    <xf numFmtId="0" fontId="4" fillId="0" borderId="15" xfId="0" applyFont="1" applyBorder="1" applyAlignment="1">
      <alignment horizontal="left" indent="2"/>
    </xf>
    <xf numFmtId="0" fontId="4" fillId="0" borderId="15" xfId="0" applyFont="1" applyBorder="1" applyAlignment="1">
      <alignment horizontal="left" indent="4"/>
    </xf>
    <xf numFmtId="0" fontId="4" fillId="0" borderId="13" xfId="0" applyFont="1" applyBorder="1" applyAlignment="1">
      <alignment horizontal="left" indent="1"/>
    </xf>
    <xf numFmtId="0" fontId="4" fillId="0" borderId="21" xfId="0" applyFont="1" applyBorder="1"/>
    <xf numFmtId="0" fontId="3" fillId="0" borderId="13" xfId="0" applyFont="1" applyBorder="1"/>
    <xf numFmtId="0" fontId="3" fillId="0" borderId="13" xfId="0" applyFont="1" applyBorder="1" applyAlignment="1">
      <alignment horizontal="center"/>
    </xf>
    <xf numFmtId="0" fontId="3" fillId="0" borderId="17" xfId="0" applyFont="1" applyBorder="1"/>
    <xf numFmtId="0" fontId="3" fillId="0" borderId="22" xfId="0" applyFont="1" applyBorder="1" applyAlignment="1">
      <alignment horizontal="center"/>
    </xf>
    <xf numFmtId="0" fontId="3" fillId="0" borderId="16" xfId="0" applyFont="1" applyBorder="1"/>
    <xf numFmtId="0" fontId="3" fillId="0" borderId="6" xfId="0" applyFont="1" applyBorder="1" applyAlignment="1">
      <alignment horizontal="center"/>
    </xf>
    <xf numFmtId="0" fontId="3" fillId="0" borderId="21" xfId="0" applyFont="1" applyBorder="1" applyAlignment="1">
      <alignment horizontal="center"/>
    </xf>
    <xf numFmtId="0" fontId="4" fillId="0" borderId="19" xfId="0" applyFont="1" applyBorder="1"/>
    <xf numFmtId="0" fontId="4" fillId="0" borderId="22" xfId="0" applyFont="1" applyBorder="1" applyAlignment="1">
      <alignment horizontal="left" indent="1"/>
    </xf>
    <xf numFmtId="0" fontId="3" fillId="0" borderId="0" xfId="0" applyFont="1" applyAlignment="1">
      <alignment horizontal="center"/>
    </xf>
    <xf numFmtId="165" fontId="3" fillId="0" borderId="0" xfId="0" applyNumberFormat="1" applyFont="1"/>
    <xf numFmtId="0" fontId="3" fillId="0" borderId="15" xfId="0" applyFont="1" applyBorder="1"/>
    <xf numFmtId="0" fontId="3" fillId="0" borderId="23" xfId="0" applyFont="1" applyBorder="1" applyAlignment="1">
      <alignment horizontal="center"/>
    </xf>
    <xf numFmtId="0" fontId="3" fillId="0" borderId="17" xfId="0" applyFont="1" applyBorder="1" applyAlignment="1">
      <alignment horizontal="center"/>
    </xf>
    <xf numFmtId="0" fontId="4" fillId="0" borderId="15" xfId="0" applyFont="1" applyBorder="1" applyAlignment="1">
      <alignment horizontal="center"/>
    </xf>
    <xf numFmtId="0" fontId="3" fillId="0" borderId="16" xfId="0" applyFont="1" applyBorder="1" applyAlignment="1">
      <alignment horizontal="center"/>
    </xf>
    <xf numFmtId="0" fontId="6" fillId="0" borderId="0" xfId="0" applyFont="1" applyAlignment="1">
      <alignment horizontal="center"/>
    </xf>
    <xf numFmtId="0" fontId="3" fillId="0" borderId="18" xfId="0" applyFont="1" applyBorder="1"/>
    <xf numFmtId="0" fontId="3" fillId="0" borderId="18" xfId="0" applyFont="1" applyBorder="1" applyAlignment="1">
      <alignment horizontal="center"/>
    </xf>
    <xf numFmtId="0" fontId="7" fillId="0" borderId="0" xfId="0" applyFont="1"/>
    <xf numFmtId="43" fontId="4" fillId="0" borderId="0" xfId="0" applyNumberFormat="1" applyFont="1"/>
    <xf numFmtId="0" fontId="4" fillId="0" borderId="13" xfId="0" applyFont="1" applyBorder="1" applyAlignment="1">
      <alignment horizontal="center"/>
    </xf>
    <xf numFmtId="0" fontId="4" fillId="0" borderId="13" xfId="0" applyFont="1" applyBorder="1" applyAlignment="1">
      <alignment horizontal="left" indent="2"/>
    </xf>
    <xf numFmtId="0" fontId="4" fillId="0" borderId="22" xfId="0" applyFont="1" applyBorder="1" applyAlignment="1">
      <alignment horizontal="left" indent="4"/>
    </xf>
    <xf numFmtId="0" fontId="5" fillId="0" borderId="4" xfId="0" applyFont="1" applyBorder="1"/>
    <xf numFmtId="0" fontId="4" fillId="0" borderId="23" xfId="0" applyFont="1" applyBorder="1" applyAlignment="1">
      <alignment horizontal="left" indent="4"/>
    </xf>
    <xf numFmtId="0" fontId="5" fillId="0" borderId="13" xfId="0" applyFont="1" applyBorder="1"/>
    <xf numFmtId="0" fontId="4" fillId="0" borderId="13" xfId="0" applyFont="1" applyBorder="1" applyAlignment="1">
      <alignment horizontal="center" wrapText="1"/>
    </xf>
    <xf numFmtId="0" fontId="4" fillId="0" borderId="23" xfId="0" applyFont="1" applyBorder="1" applyAlignment="1">
      <alignment horizontal="left" indent="2"/>
    </xf>
    <xf numFmtId="0" fontId="4" fillId="0" borderId="0" xfId="0" applyFont="1" applyAlignment="1">
      <alignment horizontal="left" indent="5"/>
    </xf>
    <xf numFmtId="0" fontId="2" fillId="0" borderId="0" xfId="0" applyFont="1"/>
    <xf numFmtId="0" fontId="5" fillId="2" borderId="15" xfId="0" applyFont="1" applyFill="1" applyBorder="1"/>
    <xf numFmtId="0" fontId="4" fillId="0" borderId="4" xfId="0" applyFont="1" applyBorder="1" applyAlignment="1">
      <alignment horizontal="right"/>
    </xf>
    <xf numFmtId="10" fontId="4" fillId="0" borderId="0" xfId="0" applyNumberFormat="1" applyFont="1"/>
    <xf numFmtId="10" fontId="4" fillId="0" borderId="0" xfId="0" applyNumberFormat="1" applyFont="1" applyAlignment="1">
      <alignment horizontal="right"/>
    </xf>
    <xf numFmtId="0" fontId="4" fillId="0" borderId="3" xfId="0" applyFont="1" applyBorder="1" applyAlignment="1">
      <alignment horizontal="left"/>
    </xf>
    <xf numFmtId="0" fontId="4" fillId="0" borderId="3" xfId="0" applyFont="1" applyBorder="1" applyAlignment="1">
      <alignment horizontal="left" indent="1"/>
    </xf>
    <xf numFmtId="0" fontId="4" fillId="0" borderId="0" xfId="0" applyFont="1" applyAlignment="1">
      <alignment horizontal="left" indent="1"/>
    </xf>
    <xf numFmtId="0" fontId="4" fillId="0" borderId="0" xfId="0" applyFont="1" applyAlignment="1">
      <alignment horizontal="left" indent="3"/>
    </xf>
    <xf numFmtId="0" fontId="5" fillId="0" borderId="0" xfId="0" applyFont="1" applyAlignment="1">
      <alignment horizontal="center"/>
    </xf>
    <xf numFmtId="10" fontId="4" fillId="0" borderId="0" xfId="1" applyNumberFormat="1" applyFont="1" applyFill="1" applyBorder="1"/>
    <xf numFmtId="10" fontId="4" fillId="0" borderId="0" xfId="1" applyNumberFormat="1" applyFont="1" applyBorder="1"/>
    <xf numFmtId="0" fontId="10" fillId="0" borderId="0" xfId="0" applyFont="1"/>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41" fontId="3" fillId="0" borderId="15" xfId="0" applyNumberFormat="1" applyFont="1" applyBorder="1" applyAlignment="1">
      <alignment horizontal="center"/>
    </xf>
    <xf numFmtId="2" fontId="3" fillId="0" borderId="15" xfId="1" applyNumberFormat="1" applyFont="1" applyFill="1" applyBorder="1"/>
    <xf numFmtId="2" fontId="4" fillId="0" borderId="0" xfId="0" applyNumberFormat="1" applyFont="1"/>
    <xf numFmtId="4" fontId="3" fillId="0" borderId="0" xfId="3" applyNumberFormat="1" applyFont="1" applyFill="1" applyBorder="1"/>
    <xf numFmtId="4" fontId="4" fillId="2" borderId="17" xfId="3" applyNumberFormat="1" applyFont="1" applyFill="1" applyBorder="1"/>
    <xf numFmtId="4" fontId="3" fillId="0" borderId="15" xfId="3" applyNumberFormat="1" applyFont="1" applyFill="1" applyBorder="1"/>
    <xf numFmtId="4" fontId="4" fillId="0" borderId="0" xfId="3" applyNumberFormat="1" applyFont="1"/>
    <xf numFmtId="4" fontId="3" fillId="0" borderId="3" xfId="0" applyNumberFormat="1" applyFont="1" applyBorder="1"/>
    <xf numFmtId="4" fontId="3" fillId="0" borderId="3" xfId="1" applyNumberFormat="1" applyFont="1" applyBorder="1"/>
    <xf numFmtId="4" fontId="2" fillId="2" borderId="17" xfId="0" applyNumberFormat="1" applyFont="1" applyFill="1" applyBorder="1"/>
    <xf numFmtId="4" fontId="3" fillId="0" borderId="15" xfId="0" applyNumberFormat="1" applyFont="1" applyBorder="1"/>
    <xf numFmtId="4" fontId="4" fillId="0" borderId="15" xfId="0" applyNumberFormat="1" applyFont="1" applyBorder="1"/>
    <xf numFmtId="4" fontId="4" fillId="2" borderId="17" xfId="0" applyNumberFormat="1" applyFont="1" applyFill="1" applyBorder="1"/>
    <xf numFmtId="4" fontId="4" fillId="0" borderId="0" xfId="0" applyNumberFormat="1" applyFont="1"/>
    <xf numFmtId="4" fontId="3" fillId="0" borderId="0" xfId="1" applyNumberFormat="1" applyFont="1" applyBorder="1"/>
    <xf numFmtId="4" fontId="3" fillId="0" borderId="15" xfId="1" applyNumberFormat="1" applyFont="1" applyBorder="1"/>
    <xf numFmtId="4" fontId="4" fillId="0" borderId="17" xfId="0" applyNumberFormat="1" applyFont="1" applyBorder="1"/>
    <xf numFmtId="4" fontId="3" fillId="0" borderId="17" xfId="0" applyNumberFormat="1" applyFont="1" applyBorder="1"/>
    <xf numFmtId="4" fontId="4" fillId="0" borderId="15" xfId="1" applyNumberFormat="1" applyFont="1" applyFill="1" applyBorder="1"/>
    <xf numFmtId="4" fontId="3" fillId="3" borderId="15" xfId="1" applyNumberFormat="1" applyFont="1" applyFill="1" applyBorder="1"/>
    <xf numFmtId="4" fontId="3" fillId="0" borderId="15" xfId="1" applyNumberFormat="1" applyFont="1" applyFill="1" applyBorder="1"/>
    <xf numFmtId="4" fontId="4" fillId="0" borderId="15" xfId="1" applyNumberFormat="1" applyFont="1" applyBorder="1"/>
    <xf numFmtId="4" fontId="3" fillId="0" borderId="0" xfId="0" applyNumberFormat="1" applyFont="1"/>
    <xf numFmtId="2" fontId="3" fillId="0" borderId="6" xfId="1" applyNumberFormat="1" applyFont="1" applyFill="1" applyBorder="1"/>
    <xf numFmtId="3" fontId="4" fillId="0" borderId="0" xfId="0" applyNumberFormat="1" applyFont="1"/>
    <xf numFmtId="3" fontId="4" fillId="0" borderId="1" xfId="0" applyNumberFormat="1" applyFont="1" applyBorder="1"/>
    <xf numFmtId="3" fontId="4" fillId="0" borderId="12" xfId="0" applyNumberFormat="1" applyFont="1" applyBorder="1"/>
    <xf numFmtId="3" fontId="4" fillId="0" borderId="19" xfId="0" applyNumberFormat="1" applyFont="1" applyBorder="1"/>
    <xf numFmtId="3" fontId="4" fillId="0" borderId="4" xfId="0" applyNumberFormat="1" applyFont="1" applyBorder="1"/>
    <xf numFmtId="3" fontId="4" fillId="0" borderId="20" xfId="0" applyNumberFormat="1" applyFont="1" applyBorder="1"/>
    <xf numFmtId="3" fontId="4" fillId="0" borderId="21" xfId="0" applyNumberFormat="1" applyFont="1" applyBorder="1"/>
    <xf numFmtId="3" fontId="4" fillId="0" borderId="22" xfId="0" applyNumberFormat="1" applyFont="1" applyBorder="1"/>
    <xf numFmtId="3" fontId="4" fillId="0" borderId="5" xfId="0" applyNumberFormat="1" applyFont="1" applyBorder="1"/>
    <xf numFmtId="1" fontId="4" fillId="0" borderId="20" xfId="1" applyNumberFormat="1" applyFont="1" applyFill="1" applyBorder="1"/>
    <xf numFmtId="1" fontId="4" fillId="0" borderId="0" xfId="1" applyNumberFormat="1" applyFont="1" applyFill="1" applyBorder="1"/>
    <xf numFmtId="1" fontId="4" fillId="0" borderId="18" xfId="1" applyNumberFormat="1" applyFont="1" applyFill="1" applyBorder="1"/>
    <xf numFmtId="170" fontId="4" fillId="0" borderId="0" xfId="1" applyNumberFormat="1" applyFont="1" applyFill="1" applyBorder="1"/>
    <xf numFmtId="3" fontId="4" fillId="0" borderId="16" xfId="0" applyNumberFormat="1" applyFont="1" applyBorder="1"/>
    <xf numFmtId="170" fontId="4" fillId="0" borderId="18" xfId="1" applyNumberFormat="1" applyFont="1" applyFill="1" applyBorder="1"/>
    <xf numFmtId="3" fontId="4" fillId="0" borderId="18" xfId="0" applyNumberFormat="1" applyFont="1" applyBorder="1"/>
    <xf numFmtId="3" fontId="4" fillId="0" borderId="17" xfId="0" applyNumberFormat="1" applyFont="1" applyBorder="1"/>
    <xf numFmtId="0" fontId="8" fillId="0" borderId="18" xfId="0" applyFont="1" applyBorder="1" applyAlignment="1">
      <alignment horizontal="center" wrapText="1"/>
    </xf>
    <xf numFmtId="4" fontId="3" fillId="0" borderId="16" xfId="0" applyNumberFormat="1" applyFont="1" applyBorder="1"/>
    <xf numFmtId="1" fontId="3" fillId="0" borderId="16" xfId="0" applyNumberFormat="1" applyFont="1" applyBorder="1"/>
    <xf numFmtId="37" fontId="3" fillId="0" borderId="16" xfId="0" applyNumberFormat="1" applyFont="1" applyBorder="1"/>
    <xf numFmtId="37" fontId="3" fillId="0" borderId="19" xfId="0" applyNumberFormat="1" applyFont="1" applyBorder="1"/>
    <xf numFmtId="2" fontId="3" fillId="0" borderId="23" xfId="1" applyNumberFormat="1" applyFont="1" applyFill="1" applyBorder="1"/>
    <xf numFmtId="4" fontId="3" fillId="0" borderId="23" xfId="0" applyNumberFormat="1" applyFont="1" applyBorder="1"/>
    <xf numFmtId="1" fontId="3" fillId="0" borderId="15" xfId="0" applyNumberFormat="1" applyFont="1" applyBorder="1"/>
    <xf numFmtId="3" fontId="4" fillId="0" borderId="2" xfId="0" applyNumberFormat="1" applyFont="1" applyBorder="1"/>
    <xf numFmtId="3" fontId="4" fillId="0" borderId="3" xfId="0" applyNumberFormat="1" applyFont="1" applyBorder="1"/>
    <xf numFmtId="2" fontId="3" fillId="3" borderId="16" xfId="1" applyNumberFormat="1" applyFont="1" applyFill="1" applyBorder="1"/>
    <xf numFmtId="2" fontId="4" fillId="0" borderId="1" xfId="0" applyNumberFormat="1" applyFont="1" applyBorder="1"/>
    <xf numFmtId="1" fontId="4" fillId="0" borderId="0" xfId="0" applyNumberFormat="1" applyFont="1"/>
    <xf numFmtId="170" fontId="4" fillId="0" borderId="0" xfId="0" applyNumberFormat="1" applyFont="1"/>
    <xf numFmtId="3" fontId="4" fillId="0" borderId="8" xfId="0" applyNumberFormat="1" applyFont="1" applyBorder="1"/>
    <xf numFmtId="1" fontId="4" fillId="0" borderId="3" xfId="0" applyNumberFormat="1" applyFont="1" applyBorder="1"/>
    <xf numFmtId="1" fontId="4" fillId="0" borderId="15" xfId="0" applyNumberFormat="1" applyFont="1" applyBorder="1"/>
    <xf numFmtId="3" fontId="3" fillId="0" borderId="0" xfId="0" applyNumberFormat="1" applyFont="1"/>
    <xf numFmtId="0" fontId="4" fillId="0" borderId="4" xfId="0" applyFont="1" applyBorder="1"/>
    <xf numFmtId="37" fontId="4" fillId="0" borderId="0" xfId="0" applyNumberFormat="1" applyFont="1"/>
    <xf numFmtId="37" fontId="4" fillId="0" borderId="1" xfId="0" applyNumberFormat="1" applyFont="1" applyBorder="1"/>
    <xf numFmtId="37" fontId="4" fillId="0" borderId="18" xfId="0" applyNumberFormat="1" applyFont="1" applyBorder="1"/>
    <xf numFmtId="37" fontId="4" fillId="0" borderId="2" xfId="0" applyNumberFormat="1" applyFont="1" applyBorder="1"/>
    <xf numFmtId="2" fontId="3" fillId="0" borderId="9" xfId="0" applyNumberFormat="1" applyFont="1" applyBorder="1"/>
    <xf numFmtId="2" fontId="3" fillId="0" borderId="10" xfId="0" applyNumberFormat="1" applyFont="1" applyBorder="1" applyAlignment="1">
      <alignment horizontal="right"/>
    </xf>
    <xf numFmtId="2" fontId="3" fillId="0" borderId="10" xfId="0" applyNumberFormat="1" applyFont="1" applyBorder="1"/>
    <xf numFmtId="2" fontId="3" fillId="0" borderId="11" xfId="0" applyNumberFormat="1" applyFont="1" applyBorder="1"/>
    <xf numFmtId="169" fontId="4" fillId="0" borderId="9" xfId="0" applyNumberFormat="1" applyFont="1" applyBorder="1"/>
    <xf numFmtId="169" fontId="4" fillId="0" borderId="0" xfId="1" applyNumberFormat="1" applyFont="1" applyBorder="1"/>
    <xf numFmtId="2" fontId="3" fillId="0" borderId="9" xfId="2" applyNumberFormat="1" applyFont="1" applyFill="1" applyBorder="1"/>
    <xf numFmtId="2" fontId="3" fillId="0" borderId="10" xfId="2" applyNumberFormat="1" applyFont="1" applyFill="1" applyBorder="1"/>
    <xf numFmtId="169" fontId="4" fillId="0" borderId="15" xfId="0" applyNumberFormat="1" applyFont="1" applyBorder="1"/>
    <xf numFmtId="169" fontId="4" fillId="0" borderId="0" xfId="1" applyNumberFormat="1" applyFont="1"/>
    <xf numFmtId="171" fontId="4" fillId="0" borderId="0" xfId="0" applyNumberFormat="1" applyFont="1"/>
    <xf numFmtId="37" fontId="4" fillId="0" borderId="3" xfId="0" applyNumberFormat="1" applyFont="1" applyBorder="1"/>
    <xf numFmtId="37" fontId="4" fillId="0" borderId="7" xfId="0" applyNumberFormat="1" applyFont="1" applyBorder="1"/>
    <xf numFmtId="37" fontId="4" fillId="0" borderId="4" xfId="0" applyNumberFormat="1" applyFont="1" applyBorder="1"/>
    <xf numFmtId="3" fontId="4" fillId="0" borderId="15" xfId="0" applyNumberFormat="1" applyFont="1" applyBorder="1"/>
    <xf numFmtId="37" fontId="4" fillId="0" borderId="15" xfId="0" applyNumberFormat="1" applyFont="1" applyBorder="1"/>
    <xf numFmtId="3" fontId="3" fillId="0" borderId="15" xfId="0" applyNumberFormat="1" applyFont="1" applyBorder="1"/>
    <xf numFmtId="43" fontId="4" fillId="0" borderId="4" xfId="0" applyNumberFormat="1" applyFont="1" applyBorder="1"/>
    <xf numFmtId="3" fontId="4" fillId="0" borderId="0" xfId="0" applyNumberFormat="1" applyFont="1" applyAlignment="1">
      <alignment horizontal="center"/>
    </xf>
    <xf numFmtId="3" fontId="4" fillId="0" borderId="0" xfId="0" applyNumberFormat="1" applyFont="1" applyAlignment="1">
      <alignment horizontal="right"/>
    </xf>
    <xf numFmtId="170" fontId="4" fillId="0" borderId="0" xfId="0" applyNumberFormat="1" applyFont="1" applyAlignment="1">
      <alignment horizontal="right"/>
    </xf>
    <xf numFmtId="3" fontId="4" fillId="0" borderId="0" xfId="0" quotePrefix="1" applyNumberFormat="1" applyFont="1"/>
    <xf numFmtId="2" fontId="3" fillId="0" borderId="15" xfId="0" applyNumberFormat="1" applyFont="1" applyBorder="1"/>
    <xf numFmtId="2" fontId="3" fillId="0" borderId="22" xfId="0" applyNumberFormat="1" applyFont="1" applyBorder="1"/>
    <xf numFmtId="2" fontId="4" fillId="0" borderId="15" xfId="0" applyNumberFormat="1" applyFont="1" applyBorder="1"/>
    <xf numFmtId="2" fontId="4" fillId="0" borderId="22" xfId="0" applyNumberFormat="1" applyFont="1" applyBorder="1"/>
    <xf numFmtId="1" fontId="4" fillId="0" borderId="22" xfId="0" applyNumberFormat="1" applyFont="1" applyBorder="1"/>
    <xf numFmtId="2" fontId="4" fillId="0" borderId="15" xfId="1" applyNumberFormat="1" applyFont="1" applyBorder="1"/>
    <xf numFmtId="2" fontId="4" fillId="0" borderId="22" xfId="1" applyNumberFormat="1" applyFont="1" applyBorder="1"/>
    <xf numFmtId="0" fontId="4" fillId="0" borderId="20" xfId="0" applyFont="1" applyBorder="1"/>
    <xf numFmtId="2" fontId="4" fillId="0" borderId="15" xfId="1" applyNumberFormat="1" applyFont="1" applyFill="1" applyBorder="1" applyAlignment="1">
      <alignment horizontal="right"/>
    </xf>
    <xf numFmtId="3" fontId="4" fillId="0" borderId="0" xfId="0" applyNumberFormat="1" applyFont="1" applyAlignment="1">
      <alignment horizontal="left"/>
    </xf>
    <xf numFmtId="0" fontId="3" fillId="0" borderId="0" xfId="0" applyFont="1" applyAlignment="1">
      <alignment horizontal="right"/>
    </xf>
    <xf numFmtId="3" fontId="5" fillId="2" borderId="15" xfId="0" applyNumberFormat="1" applyFont="1" applyFill="1" applyBorder="1" applyAlignment="1">
      <alignment horizontal="left"/>
    </xf>
    <xf numFmtId="3" fontId="5" fillId="2" borderId="15" xfId="0" quotePrefix="1" applyNumberFormat="1" applyFont="1" applyFill="1" applyBorder="1" applyAlignment="1">
      <alignment horizontal="center"/>
    </xf>
    <xf numFmtId="3" fontId="4" fillId="0" borderId="15" xfId="0" applyNumberFormat="1" applyFont="1" applyBorder="1" applyAlignment="1">
      <alignment horizontal="left"/>
    </xf>
    <xf numFmtId="172" fontId="4" fillId="0" borderId="0" xfId="0" applyNumberFormat="1" applyFont="1"/>
    <xf numFmtId="3" fontId="4" fillId="5" borderId="15" xfId="0" applyNumberFormat="1" applyFont="1" applyFill="1" applyBorder="1"/>
    <xf numFmtId="4" fontId="3" fillId="5" borderId="15" xfId="0" applyNumberFormat="1" applyFont="1" applyFill="1" applyBorder="1"/>
    <xf numFmtId="0" fontId="4" fillId="0" borderId="18" xfId="0" applyFont="1" applyBorder="1" applyAlignment="1">
      <alignment horizontal="left"/>
    </xf>
    <xf numFmtId="0" fontId="4" fillId="0" borderId="20" xfId="0" applyFont="1" applyBorder="1" applyAlignment="1">
      <alignment horizontal="left"/>
    </xf>
    <xf numFmtId="0" fontId="4" fillId="0" borderId="14" xfId="0" applyFont="1" applyBorder="1"/>
    <xf numFmtId="0" fontId="5" fillId="0" borderId="18" xfId="0" applyFont="1" applyBorder="1"/>
    <xf numFmtId="0" fontId="4" fillId="0" borderId="18" xfId="0" applyFont="1" applyBorder="1" applyAlignment="1">
      <alignment horizontal="left" indent="1"/>
    </xf>
    <xf numFmtId="4" fontId="4" fillId="0" borderId="3" xfId="0" applyNumberFormat="1" applyFont="1" applyBorder="1"/>
    <xf numFmtId="2" fontId="4" fillId="0" borderId="4" xfId="1" applyNumberFormat="1" applyFont="1" applyFill="1" applyBorder="1"/>
    <xf numFmtId="4" fontId="4" fillId="0" borderId="4" xfId="1" applyNumberFormat="1" applyFont="1" applyFill="1" applyBorder="1"/>
    <xf numFmtId="10" fontId="4" fillId="2" borderId="18" xfId="1" applyNumberFormat="1" applyFont="1" applyFill="1" applyBorder="1"/>
    <xf numFmtId="41" fontId="4" fillId="2" borderId="18" xfId="0" applyNumberFormat="1" applyFont="1" applyFill="1" applyBorder="1"/>
    <xf numFmtId="0" fontId="5" fillId="2" borderId="22" xfId="0" applyFont="1" applyFill="1" applyBorder="1"/>
    <xf numFmtId="41" fontId="4" fillId="2" borderId="20" xfId="0" applyNumberFormat="1" applyFont="1" applyFill="1" applyBorder="1"/>
    <xf numFmtId="0" fontId="4" fillId="0" borderId="15" xfId="0" applyFont="1" applyBorder="1" applyAlignment="1">
      <alignment horizontal="center" wrapText="1"/>
    </xf>
    <xf numFmtId="41" fontId="3" fillId="0" borderId="15" xfId="0" applyNumberFormat="1" applyFont="1" applyBorder="1" applyAlignment="1">
      <alignment horizontal="center" wrapText="1"/>
    </xf>
    <xf numFmtId="0" fontId="13" fillId="6" borderId="26" xfId="4" applyFont="1" applyFill="1" applyBorder="1" applyAlignment="1">
      <alignment horizontal="center"/>
    </xf>
    <xf numFmtId="0" fontId="5" fillId="2" borderId="19" xfId="0" applyFont="1" applyFill="1" applyBorder="1"/>
    <xf numFmtId="4" fontId="4" fillId="2" borderId="21" xfId="0" applyNumberFormat="1" applyFont="1" applyFill="1" applyBorder="1"/>
    <xf numFmtId="4" fontId="3" fillId="0" borderId="13" xfId="0" applyNumberFormat="1" applyFont="1" applyBorder="1"/>
    <xf numFmtId="0" fontId="4" fillId="0" borderId="16" xfId="0" applyFont="1" applyBorder="1" applyAlignment="1">
      <alignment horizontal="left"/>
    </xf>
    <xf numFmtId="0" fontId="3" fillId="4" borderId="22" xfId="0" applyFont="1" applyFill="1" applyBorder="1"/>
    <xf numFmtId="0" fontId="13" fillId="6" borderId="26" xfId="4" applyFont="1" applyFill="1" applyBorder="1" applyAlignment="1">
      <alignment horizontal="left"/>
    </xf>
    <xf numFmtId="0" fontId="3" fillId="6" borderId="2" xfId="0" applyFont="1" applyFill="1" applyBorder="1" applyAlignment="1">
      <alignment horizontal="left"/>
    </xf>
    <xf numFmtId="41" fontId="3" fillId="6" borderId="2" xfId="2" applyNumberFormat="1" applyFont="1" applyFill="1" applyBorder="1" applyAlignment="1">
      <alignment horizontal="left"/>
    </xf>
    <xf numFmtId="0" fontId="5" fillId="0" borderId="7" xfId="0" applyFont="1" applyBorder="1"/>
    <xf numFmtId="4" fontId="3" fillId="0" borderId="6" xfId="0" applyNumberFormat="1" applyFont="1" applyBorder="1"/>
    <xf numFmtId="0" fontId="5" fillId="0" borderId="27" xfId="0" applyFont="1" applyBorder="1"/>
    <xf numFmtId="4" fontId="4" fillId="0" borderId="28" xfId="0" applyNumberFormat="1" applyFont="1" applyBorder="1"/>
    <xf numFmtId="0" fontId="3" fillId="0" borderId="16" xfId="0" applyFont="1" applyBorder="1" applyAlignment="1">
      <alignment horizontal="right"/>
    </xf>
    <xf numFmtId="0" fontId="4" fillId="0" borderId="16" xfId="0" applyFont="1" applyBorder="1" applyAlignment="1">
      <alignment horizontal="center" wrapText="1"/>
    </xf>
    <xf numFmtId="41" fontId="3" fillId="0" borderId="16" xfId="0" applyNumberFormat="1" applyFont="1" applyBorder="1"/>
    <xf numFmtId="0" fontId="4" fillId="0" borderId="7" xfId="0" applyFont="1" applyBorder="1"/>
    <xf numFmtId="0" fontId="4" fillId="0" borderId="6" xfId="0" applyFont="1" applyBorder="1"/>
    <xf numFmtId="0" fontId="4" fillId="0" borderId="12" xfId="0" applyFont="1" applyBorder="1" applyAlignment="1">
      <alignment horizontal="center"/>
    </xf>
    <xf numFmtId="0" fontId="4" fillId="0" borderId="12" xfId="0" applyFont="1" applyBorder="1"/>
    <xf numFmtId="0" fontId="4" fillId="2" borderId="20" xfId="0" applyFont="1" applyFill="1" applyBorder="1"/>
    <xf numFmtId="0" fontId="4" fillId="2" borderId="21" xfId="0" applyFont="1" applyFill="1" applyBorder="1"/>
    <xf numFmtId="0" fontId="3" fillId="0" borderId="7" xfId="0" applyFont="1" applyBorder="1"/>
    <xf numFmtId="0" fontId="3" fillId="0" borderId="1" xfId="0" applyFont="1" applyBorder="1"/>
    <xf numFmtId="0" fontId="3" fillId="0" borderId="6" xfId="0" applyFont="1" applyBorder="1"/>
    <xf numFmtId="0" fontId="3" fillId="0" borderId="31" xfId="0" applyFont="1" applyBorder="1" applyAlignment="1">
      <alignment horizontal="center"/>
    </xf>
    <xf numFmtId="11" fontId="3" fillId="0" borderId="23" xfId="0" applyNumberFormat="1" applyFont="1" applyBorder="1"/>
    <xf numFmtId="4" fontId="3" fillId="7" borderId="15" xfId="0" applyNumberFormat="1" applyFont="1" applyFill="1" applyBorder="1"/>
    <xf numFmtId="0" fontId="4" fillId="7" borderId="29" xfId="0" applyFont="1" applyFill="1" applyBorder="1" applyAlignment="1">
      <alignment horizontal="left" indent="1"/>
    </xf>
    <xf numFmtId="4" fontId="3" fillId="7" borderId="30" xfId="0" applyNumberFormat="1" applyFont="1" applyFill="1" applyBorder="1"/>
    <xf numFmtId="3" fontId="3" fillId="7" borderId="30" xfId="1" applyNumberFormat="1" applyFont="1" applyFill="1" applyBorder="1"/>
    <xf numFmtId="0" fontId="4" fillId="7" borderId="24" xfId="0" applyFont="1" applyFill="1" applyBorder="1" applyAlignment="1">
      <alignment horizontal="left" indent="1"/>
    </xf>
    <xf numFmtId="4" fontId="3" fillId="7" borderId="25" xfId="0" applyNumberFormat="1" applyFont="1" applyFill="1" applyBorder="1"/>
    <xf numFmtId="4" fontId="3" fillId="3" borderId="15" xfId="0" applyNumberFormat="1" applyFont="1" applyFill="1" applyBorder="1"/>
    <xf numFmtId="0" fontId="3" fillId="0" borderId="2" xfId="0" applyFont="1" applyBorder="1" applyAlignment="1">
      <alignment horizontal="left"/>
    </xf>
    <xf numFmtId="0" fontId="3" fillId="0" borderId="0" xfId="0" applyFont="1" applyAlignment="1">
      <alignment horizontal="left"/>
    </xf>
    <xf numFmtId="0" fontId="2" fillId="0" borderId="15" xfId="0" applyFont="1" applyBorder="1" applyAlignment="1">
      <alignment horizontal="center"/>
    </xf>
    <xf numFmtId="0" fontId="13" fillId="0" borderId="0" xfId="4" applyFont="1" applyAlignment="1">
      <alignment horizontal="center"/>
    </xf>
    <xf numFmtId="0" fontId="13" fillId="6" borderId="32" xfId="4" applyFont="1" applyFill="1" applyBorder="1" applyAlignment="1">
      <alignment horizontal="center"/>
    </xf>
    <xf numFmtId="0" fontId="5" fillId="2" borderId="18" xfId="0" applyFont="1" applyFill="1" applyBorder="1" applyAlignment="1">
      <alignment horizontal="center" vertical="center"/>
    </xf>
    <xf numFmtId="0" fontId="4" fillId="4" borderId="15" xfId="0" applyFont="1" applyFill="1" applyBorder="1"/>
    <xf numFmtId="0" fontId="4" fillId="5" borderId="15" xfId="0" applyFont="1" applyFill="1" applyBorder="1"/>
    <xf numFmtId="3" fontId="5" fillId="0" borderId="16" xfId="0" applyNumberFormat="1" applyFont="1" applyBorder="1"/>
    <xf numFmtId="0" fontId="4" fillId="4" borderId="13" xfId="0" applyFont="1" applyFill="1" applyBorder="1"/>
    <xf numFmtId="0" fontId="4" fillId="5" borderId="13" xfId="0" applyFont="1" applyFill="1" applyBorder="1"/>
    <xf numFmtId="0" fontId="4" fillId="4" borderId="18" xfId="0" applyFont="1" applyFill="1" applyBorder="1"/>
    <xf numFmtId="0" fontId="4" fillId="4" borderId="17" xfId="0" applyFont="1" applyFill="1" applyBorder="1"/>
    <xf numFmtId="0" fontId="4" fillId="0" borderId="22" xfId="0" applyFont="1" applyBorder="1" applyAlignment="1">
      <alignment horizontal="left" indent="2"/>
    </xf>
    <xf numFmtId="0" fontId="4" fillId="4" borderId="22" xfId="0" applyFont="1" applyFill="1" applyBorder="1"/>
    <xf numFmtId="0" fontId="4" fillId="5" borderId="22" xfId="0" applyFont="1" applyFill="1" applyBorder="1"/>
    <xf numFmtId="2" fontId="3" fillId="0" borderId="16" xfId="1" applyNumberFormat="1" applyFont="1" applyFill="1" applyBorder="1"/>
    <xf numFmtId="0" fontId="3" fillId="0" borderId="13" xfId="0" applyFont="1" applyBorder="1" applyAlignment="1">
      <alignment horizontal="center" wrapText="1"/>
    </xf>
    <xf numFmtId="0" fontId="3" fillId="0" borderId="7" xfId="0" applyFont="1" applyBorder="1" applyAlignment="1">
      <alignment horizontal="center" wrapText="1"/>
    </xf>
    <xf numFmtId="2" fontId="3" fillId="0" borderId="23" xfId="1" applyNumberFormat="1" applyFont="1" applyBorder="1"/>
    <xf numFmtId="0" fontId="5" fillId="0" borderId="33" xfId="0" applyFont="1" applyBorder="1"/>
    <xf numFmtId="4" fontId="3" fillId="0" borderId="34" xfId="0" applyNumberFormat="1" applyFont="1" applyBorder="1"/>
    <xf numFmtId="0" fontId="2" fillId="0" borderId="16" xfId="0" applyFont="1" applyBorder="1" applyAlignment="1">
      <alignment horizontal="left"/>
    </xf>
    <xf numFmtId="0" fontId="3" fillId="0" borderId="15" xfId="0" applyFont="1" applyBorder="1" applyAlignment="1">
      <alignment horizontal="left" indent="1"/>
    </xf>
    <xf numFmtId="0" fontId="3" fillId="0" borderId="16" xfId="0" applyFont="1" applyBorder="1" applyAlignment="1">
      <alignment horizontal="left" indent="1"/>
    </xf>
    <xf numFmtId="0" fontId="13" fillId="6" borderId="32" xfId="4" applyFont="1" applyFill="1" applyBorder="1" applyAlignment="1">
      <alignment horizontal="left"/>
    </xf>
    <xf numFmtId="0" fontId="4" fillId="7" borderId="35" xfId="0" applyFont="1" applyFill="1" applyBorder="1" applyAlignment="1">
      <alignment horizontal="left" indent="1"/>
    </xf>
    <xf numFmtId="4" fontId="3" fillId="7" borderId="36" xfId="0" applyNumberFormat="1" applyFont="1" applyFill="1" applyBorder="1"/>
    <xf numFmtId="4" fontId="3" fillId="5" borderId="15" xfId="1" applyNumberFormat="1" applyFont="1" applyFill="1" applyBorder="1"/>
    <xf numFmtId="3" fontId="4" fillId="0" borderId="0" xfId="3" applyNumberFormat="1" applyFont="1"/>
    <xf numFmtId="172" fontId="3" fillId="7" borderId="30" xfId="0" applyNumberFormat="1" applyFont="1" applyFill="1" applyBorder="1"/>
    <xf numFmtId="172" fontId="3" fillId="0" borderId="15" xfId="0" applyNumberFormat="1" applyFont="1" applyBorder="1"/>
    <xf numFmtId="3" fontId="4" fillId="0" borderId="22" xfId="0" applyNumberFormat="1" applyFont="1" applyBorder="1" applyAlignment="1">
      <alignment horizontal="left" indent="1"/>
    </xf>
    <xf numFmtId="3" fontId="4" fillId="0" borderId="19" xfId="0" applyNumberFormat="1" applyFont="1" applyBorder="1" applyAlignment="1">
      <alignment horizontal="left" indent="1"/>
    </xf>
    <xf numFmtId="3" fontId="4" fillId="0" borderId="13" xfId="0" applyNumberFormat="1" applyFont="1" applyBorder="1"/>
    <xf numFmtId="3" fontId="4" fillId="5" borderId="13" xfId="0" applyNumberFormat="1" applyFont="1" applyFill="1" applyBorder="1"/>
    <xf numFmtId="0" fontId="5" fillId="2" borderId="17" xfId="0" applyFont="1" applyFill="1" applyBorder="1" applyAlignment="1">
      <alignment horizontal="center" vertical="center"/>
    </xf>
    <xf numFmtId="3" fontId="4" fillId="0" borderId="0" xfId="0" applyNumberFormat="1" applyFont="1" applyAlignment="1">
      <alignment horizontal="left" indent="1"/>
    </xf>
    <xf numFmtId="0" fontId="3" fillId="0" borderId="22" xfId="0" applyFont="1" applyBorder="1" applyAlignment="1">
      <alignment horizontal="left" indent="1"/>
    </xf>
    <xf numFmtId="0" fontId="3" fillId="0" borderId="13" xfId="0" applyFont="1" applyBorder="1" applyAlignment="1">
      <alignment horizontal="left" indent="1"/>
    </xf>
    <xf numFmtId="0" fontId="2" fillId="4" borderId="16" xfId="0" applyFont="1" applyFill="1" applyBorder="1" applyAlignment="1">
      <alignment horizontal="left"/>
    </xf>
    <xf numFmtId="0" fontId="3" fillId="0" borderId="12" xfId="0" applyFont="1" applyBorder="1" applyAlignment="1">
      <alignment horizontal="left" indent="1"/>
    </xf>
    <xf numFmtId="0" fontId="5" fillId="4" borderId="16" xfId="0" applyFont="1" applyFill="1" applyBorder="1"/>
    <xf numFmtId="3" fontId="4" fillId="4" borderId="18" xfId="0" applyNumberFormat="1" applyFont="1" applyFill="1" applyBorder="1"/>
    <xf numFmtId="3" fontId="4" fillId="4" borderId="17" xfId="0" applyNumberFormat="1" applyFont="1" applyFill="1" applyBorder="1"/>
    <xf numFmtId="3" fontId="4" fillId="5" borderId="12" xfId="0" applyNumberFormat="1" applyFont="1" applyFill="1" applyBorder="1"/>
    <xf numFmtId="3" fontId="4" fillId="5" borderId="22" xfId="0" applyNumberFormat="1" applyFont="1" applyFill="1" applyBorder="1"/>
    <xf numFmtId="2" fontId="4" fillId="0" borderId="0" xfId="1" applyNumberFormat="1" applyFont="1" applyFill="1" applyBorder="1"/>
    <xf numFmtId="4" fontId="4" fillId="0" borderId="16" xfId="1" applyNumberFormat="1" applyFont="1" applyFill="1" applyBorder="1"/>
    <xf numFmtId="2" fontId="4" fillId="0" borderId="16" xfId="1" applyNumberFormat="1" applyFont="1" applyFill="1" applyBorder="1"/>
    <xf numFmtId="3" fontId="5" fillId="0" borderId="22" xfId="0" applyNumberFormat="1" applyFont="1" applyBorder="1"/>
    <xf numFmtId="0" fontId="5" fillId="0" borderId="16" xfId="0" applyFont="1" applyBorder="1" applyAlignment="1">
      <alignment horizontal="center" vertical="center"/>
    </xf>
    <xf numFmtId="0" fontId="5" fillId="0" borderId="18" xfId="0" applyFont="1" applyBorder="1" applyAlignment="1">
      <alignment horizontal="center" vertical="center"/>
    </xf>
    <xf numFmtId="0" fontId="5" fillId="0" borderId="17" xfId="0" applyFont="1" applyBorder="1" applyAlignment="1">
      <alignment horizontal="center" vertical="center"/>
    </xf>
    <xf numFmtId="3" fontId="4" fillId="0" borderId="12" xfId="0" applyNumberFormat="1" applyFont="1" applyBorder="1" applyAlignment="1">
      <alignment horizontal="left" indent="1"/>
    </xf>
    <xf numFmtId="173" fontId="4" fillId="5" borderId="13" xfId="0" applyNumberFormat="1" applyFont="1" applyFill="1" applyBorder="1"/>
    <xf numFmtId="3" fontId="5" fillId="4" borderId="16" xfId="0" applyNumberFormat="1" applyFont="1" applyFill="1" applyBorder="1"/>
    <xf numFmtId="170" fontId="4" fillId="0" borderId="1" xfId="0" applyNumberFormat="1" applyFont="1" applyBorder="1"/>
    <xf numFmtId="170" fontId="4" fillId="0" borderId="0" xfId="3" applyNumberFormat="1" applyFont="1"/>
    <xf numFmtId="172" fontId="4" fillId="0" borderId="1" xfId="0" applyNumberFormat="1" applyFont="1" applyBorder="1"/>
    <xf numFmtId="0" fontId="3" fillId="0" borderId="7" xfId="0" applyFont="1" applyBorder="1" applyAlignment="1">
      <alignment horizontal="left" indent="1"/>
    </xf>
    <xf numFmtId="0" fontId="3" fillId="0" borderId="19" xfId="0" applyFont="1" applyBorder="1" applyAlignment="1">
      <alignment horizontal="left" indent="1"/>
    </xf>
    <xf numFmtId="4" fontId="3" fillId="4" borderId="18" xfId="0" applyNumberFormat="1" applyFont="1" applyFill="1" applyBorder="1"/>
    <xf numFmtId="4" fontId="3" fillId="4" borderId="17" xfId="0" applyNumberFormat="1" applyFont="1" applyFill="1" applyBorder="1"/>
    <xf numFmtId="4" fontId="3" fillId="5" borderId="13" xfId="0" applyNumberFormat="1" applyFont="1" applyFill="1" applyBorder="1"/>
    <xf numFmtId="4" fontId="3" fillId="5" borderId="22" xfId="0" applyNumberFormat="1" applyFont="1" applyFill="1" applyBorder="1"/>
    <xf numFmtId="0" fontId="4" fillId="0" borderId="19" xfId="0" applyFont="1" applyBorder="1" applyAlignment="1">
      <alignment horizontal="left" indent="1"/>
    </xf>
    <xf numFmtId="0" fontId="4" fillId="0" borderId="7" xfId="0" applyFont="1" applyBorder="1" applyAlignment="1">
      <alignment horizontal="left" indent="1"/>
    </xf>
    <xf numFmtId="0" fontId="3" fillId="0" borderId="0" xfId="4" applyFont="1" applyAlignment="1">
      <alignment horizontal="left" indent="1"/>
    </xf>
    <xf numFmtId="0" fontId="3" fillId="0" borderId="0" xfId="5" applyNumberFormat="1" applyFont="1" applyFill="1" applyBorder="1" applyAlignment="1">
      <alignment horizontal="right"/>
    </xf>
    <xf numFmtId="0" fontId="4" fillId="0" borderId="15" xfId="0" applyFont="1" applyBorder="1" applyAlignment="1">
      <alignment horizontal="left"/>
    </xf>
    <xf numFmtId="11" fontId="4" fillId="4" borderId="13" xfId="0" applyNumberFormat="1" applyFont="1" applyFill="1" applyBorder="1"/>
    <xf numFmtId="11" fontId="4" fillId="5" borderId="13" xfId="0" applyNumberFormat="1" applyFont="1" applyFill="1" applyBorder="1"/>
    <xf numFmtId="11" fontId="4" fillId="4" borderId="12" xfId="0" applyNumberFormat="1" applyFont="1" applyFill="1" applyBorder="1"/>
    <xf numFmtId="11" fontId="4" fillId="0" borderId="0" xfId="0" applyNumberFormat="1" applyFont="1"/>
    <xf numFmtId="0" fontId="5" fillId="0" borderId="16" xfId="0" applyFont="1" applyBorder="1" applyAlignment="1">
      <alignment horizontal="center"/>
    </xf>
    <xf numFmtId="0" fontId="5" fillId="0" borderId="15" xfId="0" applyFont="1" applyBorder="1" applyAlignment="1">
      <alignment horizontal="left"/>
    </xf>
    <xf numFmtId="0" fontId="5" fillId="0" borderId="15" xfId="0" applyFont="1" applyBorder="1" applyAlignment="1">
      <alignment horizontal="center"/>
    </xf>
    <xf numFmtId="0" fontId="4" fillId="0" borderId="18" xfId="0" applyFont="1" applyBorder="1" applyAlignment="1">
      <alignment horizontal="center" wrapText="1"/>
    </xf>
    <xf numFmtId="0" fontId="4" fillId="0" borderId="19" xfId="0" applyFont="1" applyBorder="1" applyAlignment="1">
      <alignment horizontal="center" wrapText="1"/>
    </xf>
    <xf numFmtId="0" fontId="4" fillId="0" borderId="20" xfId="0" applyFont="1" applyBorder="1" applyAlignment="1">
      <alignment horizontal="center" wrapText="1"/>
    </xf>
    <xf numFmtId="0" fontId="4" fillId="0" borderId="17" xfId="0" applyFont="1" applyBorder="1" applyAlignment="1">
      <alignment horizontal="center" wrapText="1"/>
    </xf>
    <xf numFmtId="0" fontId="4" fillId="0" borderId="21" xfId="0" applyFont="1" applyBorder="1" applyAlignment="1">
      <alignment horizontal="center" wrapText="1"/>
    </xf>
    <xf numFmtId="3" fontId="4" fillId="0" borderId="7" xfId="0" applyNumberFormat="1" applyFont="1" applyBorder="1"/>
    <xf numFmtId="3" fontId="4" fillId="0" borderId="6" xfId="0" applyNumberFormat="1" applyFont="1" applyBorder="1"/>
    <xf numFmtId="0" fontId="5" fillId="0" borderId="15" xfId="0" applyFont="1" applyBorder="1"/>
    <xf numFmtId="4" fontId="4" fillId="0" borderId="0" xfId="1" applyNumberFormat="1" applyFont="1" applyFill="1" applyBorder="1"/>
    <xf numFmtId="0" fontId="4" fillId="0" borderId="18" xfId="0" applyFont="1" applyBorder="1" applyAlignment="1">
      <alignment horizontal="left" indent="2"/>
    </xf>
    <xf numFmtId="0" fontId="8" fillId="0" borderId="17" xfId="0" applyFont="1" applyBorder="1" applyAlignment="1">
      <alignment horizontal="center" wrapText="1"/>
    </xf>
    <xf numFmtId="0" fontId="4" fillId="0" borderId="17" xfId="0" applyFont="1" applyBorder="1" applyAlignment="1">
      <alignment horizontal="left" indent="2"/>
    </xf>
    <xf numFmtId="0" fontId="4" fillId="0" borderId="16" xfId="0" applyFont="1" applyBorder="1" applyAlignment="1">
      <alignment horizontal="center"/>
    </xf>
    <xf numFmtId="0" fontId="4" fillId="0" borderId="17" xfId="0" applyFont="1" applyBorder="1" applyAlignment="1">
      <alignment horizontal="center"/>
    </xf>
    <xf numFmtId="0" fontId="5" fillId="0" borderId="16" xfId="0" applyFont="1" applyBorder="1" applyAlignment="1">
      <alignment horizontal="center"/>
    </xf>
    <xf numFmtId="0" fontId="5" fillId="0" borderId="18" xfId="0" applyFont="1" applyBorder="1" applyAlignment="1">
      <alignment horizontal="center"/>
    </xf>
    <xf numFmtId="0" fontId="5" fillId="0" borderId="17" xfId="0" applyFont="1" applyBorder="1" applyAlignment="1">
      <alignment horizontal="center"/>
    </xf>
    <xf numFmtId="0" fontId="5" fillId="0" borderId="22" xfId="0" applyFont="1" applyBorder="1" applyAlignment="1">
      <alignment horizontal="center" wrapText="1"/>
    </xf>
    <xf numFmtId="0" fontId="5" fillId="0" borderId="13" xfId="0" applyFont="1" applyBorder="1" applyAlignment="1">
      <alignment horizontal="center" wrapText="1"/>
    </xf>
    <xf numFmtId="0" fontId="5" fillId="0" borderId="19" xfId="0" applyFont="1" applyBorder="1" applyAlignment="1">
      <alignment horizontal="center"/>
    </xf>
    <xf numFmtId="0" fontId="5" fillId="0" borderId="21" xfId="0" applyFont="1" applyBorder="1" applyAlignment="1">
      <alignment horizontal="center"/>
    </xf>
    <xf numFmtId="0" fontId="5" fillId="0" borderId="20" xfId="0" applyFont="1" applyBorder="1" applyAlignment="1">
      <alignment horizontal="center"/>
    </xf>
    <xf numFmtId="0" fontId="4" fillId="0" borderId="22" xfId="0" applyFont="1" applyBorder="1" applyAlignment="1">
      <alignment horizontal="center" wrapText="1"/>
    </xf>
    <xf numFmtId="0" fontId="4" fillId="0" borderId="13" xfId="0" applyFont="1" applyBorder="1" applyAlignment="1">
      <alignment horizontal="center" wrapText="1"/>
    </xf>
    <xf numFmtId="41" fontId="5" fillId="0" borderId="19" xfId="0" applyNumberFormat="1" applyFont="1" applyBorder="1" applyAlignment="1">
      <alignment horizontal="center"/>
    </xf>
    <xf numFmtId="41" fontId="5" fillId="0" borderId="21" xfId="0" applyNumberFormat="1" applyFont="1" applyBorder="1" applyAlignment="1">
      <alignment horizontal="center"/>
    </xf>
  </cellXfs>
  <cellStyles count="6">
    <cellStyle name="Comma" xfId="3" builtinId="3"/>
    <cellStyle name="Currency" xfId="2" builtinId="4"/>
    <cellStyle name="Normal" xfId="0" builtinId="0"/>
    <cellStyle name="Normal 2" xfId="4" xr:uid="{00000000-0005-0000-0000-000003000000}"/>
    <cellStyle name="Percent" xfId="1" builtinId="5"/>
    <cellStyle name="Percent 2 2" xfId="5" xr:uid="{00000000-0005-0000-0000-000005000000}"/>
  </cellStyles>
  <dxfs count="0"/>
  <tableStyles count="0" defaultTableStyle="TableStyleMedium9" defaultPivotStyle="PivotStyleLight16"/>
  <colors>
    <mruColors>
      <color rgb="FFFF0000"/>
      <color rgb="FF0000CC"/>
      <color rgb="FF0000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xdr:col>
      <xdr:colOff>582083</xdr:colOff>
      <xdr:row>24</xdr:row>
      <xdr:rowOff>10584</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318250" y="3132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31747</xdr:colOff>
      <xdr:row>107</xdr:row>
      <xdr:rowOff>42334</xdr:rowOff>
    </xdr:from>
    <xdr:to>
      <xdr:col>7</xdr:col>
      <xdr:colOff>444497</xdr:colOff>
      <xdr:row>110</xdr:row>
      <xdr:rowOff>43604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334497" y="17991667"/>
          <a:ext cx="3429000" cy="4775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for a PBI or PTC amount indicates amounts entered as annual values. </a:t>
          </a:r>
          <a:r>
            <a:rPr lang="en-US" sz="1100" baseline="0"/>
            <a:t>See "ANNUAL VALUES" below.</a:t>
          </a:r>
          <a:endParaRPr lang="en-US" sz="1100"/>
        </a:p>
      </xdr:txBody>
    </xdr:sp>
    <xdr:clientData/>
  </xdr:twoCellAnchor>
  <xdr:twoCellAnchor>
    <xdr:from>
      <xdr:col>3</xdr:col>
      <xdr:colOff>57147</xdr:colOff>
      <xdr:row>42</xdr:row>
      <xdr:rowOff>4231</xdr:rowOff>
    </xdr:from>
    <xdr:to>
      <xdr:col>5</xdr:col>
      <xdr:colOff>10583</xdr:colOff>
      <xdr:row>51</xdr:row>
      <xdr:rowOff>148166</xdr:rowOff>
    </xdr:to>
    <xdr:sp macro="" textlink="">
      <xdr:nvSpPr>
        <xdr:cNvPr id="6" name="TextBox 5">
          <a:extLst>
            <a:ext uri="{FF2B5EF4-FFF2-40B4-BE49-F238E27FC236}">
              <a16:creationId xmlns:a16="http://schemas.microsoft.com/office/drawing/2014/main" id="{594AD579-CEBD-4CAE-ABEF-9FEFCE41B1F1}"/>
            </a:ext>
          </a:extLst>
        </xdr:cNvPr>
        <xdr:cNvSpPr txBox="1"/>
      </xdr:nvSpPr>
      <xdr:spPr>
        <a:xfrm>
          <a:off x="5793314" y="7433731"/>
          <a:ext cx="3520019" cy="1572685"/>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Cash flow reads the annual income tax rate from the table under </a:t>
          </a:r>
          <a:r>
            <a:rPr lang="en-US" sz="1100" baseline="0"/>
            <a:t>"ANNUAL VALUES" below. Year 1 values are shown here for reference.</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sales tax rate is shown here for reference, but is not used in the workbook calculations. SAM passes the total installed cost value to the spreadsheet. That value includes the sales tax, which is calculated on SAM's Installation Costs input page.</a:t>
          </a:r>
          <a:endParaRPr lang="en-US">
            <a:effectLst/>
          </a:endParaRPr>
        </a:p>
        <a:p>
          <a:endParaRPr lang="en-US" sz="1100"/>
        </a:p>
      </xdr:txBody>
    </xdr:sp>
    <xdr:clientData/>
  </xdr:twoCellAnchor>
  <xdr:twoCellAnchor>
    <xdr:from>
      <xdr:col>1</xdr:col>
      <xdr:colOff>1428749</xdr:colOff>
      <xdr:row>203</xdr:row>
      <xdr:rowOff>31750</xdr:rowOff>
    </xdr:from>
    <xdr:to>
      <xdr:col>1</xdr:col>
      <xdr:colOff>4011084</xdr:colOff>
      <xdr:row>209</xdr:row>
      <xdr:rowOff>105834</xdr:rowOff>
    </xdr:to>
    <xdr:sp macro="" textlink="">
      <xdr:nvSpPr>
        <xdr:cNvPr id="7" name="TextBox 6">
          <a:extLst>
            <a:ext uri="{FF2B5EF4-FFF2-40B4-BE49-F238E27FC236}">
              <a16:creationId xmlns:a16="http://schemas.microsoft.com/office/drawing/2014/main" id="{BE977134-0C2F-4D11-AE86-EEA1A68EB043}"/>
            </a:ext>
          </a:extLst>
        </xdr:cNvPr>
        <xdr:cNvSpPr txBox="1"/>
      </xdr:nvSpPr>
      <xdr:spPr>
        <a:xfrm>
          <a:off x="1661582" y="28966583"/>
          <a:ext cx="2582335" cy="1026584"/>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the debt fraction</a:t>
          </a:r>
          <a:r>
            <a:rPr lang="en-US" sz="1100" baseline="0"/>
            <a:t> input option, debt service reserve calculations involve an iterative calculation that is not replicated in this workbook. The iteration is required because the capital cost on which the debt amount depends includes the initial debt service funding amount.</a:t>
          </a:r>
          <a:endParaRPr lang="en-US">
            <a:effectLst/>
          </a:endParaRPr>
        </a:p>
      </xdr:txBody>
    </xdr:sp>
    <xdr:clientData/>
  </xdr:twoCellAnchor>
  <xdr:twoCellAnchor>
    <xdr:from>
      <xdr:col>3</xdr:col>
      <xdr:colOff>52916</xdr:colOff>
      <xdr:row>27</xdr:row>
      <xdr:rowOff>0</xdr:rowOff>
    </xdr:from>
    <xdr:to>
      <xdr:col>4</xdr:col>
      <xdr:colOff>2228852</xdr:colOff>
      <xdr:row>38</xdr:row>
      <xdr:rowOff>105833</xdr:rowOff>
    </xdr:to>
    <xdr:sp macro="" textlink="">
      <xdr:nvSpPr>
        <xdr:cNvPr id="10" name="TextBox 9">
          <a:extLst>
            <a:ext uri="{FF2B5EF4-FFF2-40B4-BE49-F238E27FC236}">
              <a16:creationId xmlns:a16="http://schemas.microsoft.com/office/drawing/2014/main" id="{FB98B764-A20D-487D-B58E-2421A2A10B80}"/>
            </a:ext>
          </a:extLst>
        </xdr:cNvPr>
        <xdr:cNvSpPr txBox="1"/>
      </xdr:nvSpPr>
      <xdr:spPr>
        <a:xfrm>
          <a:off x="5789083" y="5027083"/>
          <a:ext cx="3424769" cy="1873250"/>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 IRR target value of "N/A" indicates the solution mode in SAM is "Specify PPA price."</a:t>
          </a:r>
          <a:r>
            <a:rPr lang="en-US" sz="1100" baseline="0">
              <a:solidFill>
                <a:schemeClr val="dk1"/>
              </a:solidFill>
              <a:effectLst/>
              <a:latin typeface="+mn-lt"/>
              <a:ea typeface="+mn-ea"/>
              <a:cs typeface="+mn-cs"/>
            </a:rPr>
            <a:t>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If the PPA Price is modified by Time</a:t>
          </a:r>
          <a:r>
            <a:rPr lang="en-US" sz="1100" baseline="0"/>
            <a:t> of Delivery (TOD) multipliers, then the total PPA revenue in the cash flow is the sum of the products of PPA price ($/kWh), hourly (or subhourly) production (kWh) and TOD multiplier. The TOD multipliers do not appear in this workbook, but their effect is reflected in the annual PPA revenue row imported from SAM under"Annual Values" below.</a:t>
          </a:r>
          <a:endParaRPr lang="en-US">
            <a:effectLst/>
          </a:endParaRPr>
        </a:p>
        <a:p>
          <a:endParaRPr lang="en-US" sz="1100"/>
        </a:p>
      </xdr:txBody>
    </xdr:sp>
    <xdr:clientData/>
  </xdr:twoCellAnchor>
  <xdr:twoCellAnchor>
    <xdr:from>
      <xdr:col>3</xdr:col>
      <xdr:colOff>31750</xdr:colOff>
      <xdr:row>57</xdr:row>
      <xdr:rowOff>0</xdr:rowOff>
    </xdr:from>
    <xdr:to>
      <xdr:col>4</xdr:col>
      <xdr:colOff>2211917</xdr:colOff>
      <xdr:row>74</xdr:row>
      <xdr:rowOff>31750</xdr:rowOff>
    </xdr:to>
    <xdr:sp macro="" textlink="">
      <xdr:nvSpPr>
        <xdr:cNvPr id="11" name="TextBox 10">
          <a:extLst>
            <a:ext uri="{FF2B5EF4-FFF2-40B4-BE49-F238E27FC236}">
              <a16:creationId xmlns:a16="http://schemas.microsoft.com/office/drawing/2014/main" id="{08C570C4-1C8E-42C3-AC35-A7575AAA07F3}"/>
            </a:ext>
          </a:extLst>
        </xdr:cNvPr>
        <xdr:cNvSpPr txBox="1"/>
      </xdr:nvSpPr>
      <xdr:spPr>
        <a:xfrm>
          <a:off x="5767917" y="9821333"/>
          <a:ext cx="3429000" cy="2741084"/>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indent="0"/>
          <a:r>
            <a:rPr lang="en-US" sz="1100">
              <a:solidFill>
                <a:schemeClr val="dk1"/>
              </a:solidFill>
              <a:latin typeface="+mn-lt"/>
              <a:ea typeface="+mn-ea"/>
              <a:cs typeface="+mn-cs"/>
            </a:rPr>
            <a:t>Mortgage-style size of debt is the product of the debt fraction and total capital cost. The total capital cost includes debt service reserve funding and debt up-front costs, which are both calculated from the size of debt value. To calculate the value, SAM uses a two-step iteration that is not possible to replicate in this workbook using static formulas.</a:t>
          </a:r>
        </a:p>
        <a:p>
          <a:pPr marL="0" indent="0"/>
          <a:endParaRPr lang="en-US" sz="1100">
            <a:solidFill>
              <a:schemeClr val="dk1"/>
            </a:solidFill>
            <a:latin typeface="+mn-lt"/>
            <a:ea typeface="+mn-ea"/>
            <a:cs typeface="+mn-cs"/>
          </a:endParaRPr>
        </a:p>
        <a:p>
          <a:pPr marL="0" indent="0"/>
          <a:r>
            <a:rPr lang="en-US" sz="1100">
              <a:solidFill>
                <a:schemeClr val="dk1"/>
              </a:solidFill>
              <a:latin typeface="+mn-lt"/>
              <a:ea typeface="+mn-ea"/>
              <a:cs typeface="+mn-cs"/>
            </a:rPr>
            <a:t>Sculpted debt sizes</a:t>
          </a:r>
          <a:r>
            <a:rPr lang="en-US" sz="1100" baseline="0">
              <a:solidFill>
                <a:schemeClr val="dk1"/>
              </a:solidFill>
              <a:latin typeface="+mn-lt"/>
              <a:ea typeface="+mn-ea"/>
              <a:cs typeface="+mn-cs"/>
            </a:rPr>
            <a:t> debt based on EBITDA to maintain a constant DSCR from year to year.</a:t>
          </a:r>
          <a:endParaRPr lang="en-US" sz="1100">
            <a:solidFill>
              <a:schemeClr val="dk1"/>
            </a:solidFill>
            <a:latin typeface="+mn-lt"/>
            <a:ea typeface="+mn-ea"/>
            <a:cs typeface="+mn-cs"/>
          </a:endParaRPr>
        </a:p>
        <a:p>
          <a:pPr marL="0" indent="0"/>
          <a:endParaRPr lang="en-US" sz="1100">
            <a:solidFill>
              <a:schemeClr val="dk1"/>
            </a:solidFill>
            <a:latin typeface="+mn-lt"/>
            <a:ea typeface="+mn-ea"/>
            <a:cs typeface="+mn-cs"/>
          </a:endParaRPr>
        </a:p>
        <a:p>
          <a:pPr marL="0" indent="0"/>
          <a:r>
            <a:rPr lang="en-US" sz="1100">
              <a:solidFill>
                <a:schemeClr val="dk1"/>
              </a:solidFill>
              <a:latin typeface="+mn-lt"/>
              <a:ea typeface="+mn-ea"/>
              <a:cs typeface="+mn-cs"/>
            </a:rPr>
            <a:t>"Equal payments" for the annual payment schedule indicates a standard amortization with constant total annual P&amp;I payments. "Fixed principal" indicates fixed principal with declining interest annual payments.</a:t>
          </a:r>
        </a:p>
      </xdr:txBody>
    </xdr:sp>
    <xdr:clientData/>
  </xdr:twoCellAnchor>
  <xdr:twoCellAnchor>
    <xdr:from>
      <xdr:col>3</xdr:col>
      <xdr:colOff>31750</xdr:colOff>
      <xdr:row>17</xdr:row>
      <xdr:rowOff>0</xdr:rowOff>
    </xdr:from>
    <xdr:to>
      <xdr:col>4</xdr:col>
      <xdr:colOff>2275417</xdr:colOff>
      <xdr:row>22</xdr:row>
      <xdr:rowOff>52917</xdr:rowOff>
    </xdr:to>
    <xdr:sp macro="" textlink="">
      <xdr:nvSpPr>
        <xdr:cNvPr id="12" name="TextBox 11">
          <a:extLst>
            <a:ext uri="{FF2B5EF4-FFF2-40B4-BE49-F238E27FC236}">
              <a16:creationId xmlns:a16="http://schemas.microsoft.com/office/drawing/2014/main" id="{55E96286-3C7E-40A1-9621-CF0C71276B00}"/>
            </a:ext>
          </a:extLst>
        </xdr:cNvPr>
        <xdr:cNvSpPr txBox="1"/>
      </xdr:nvSpPr>
      <xdr:spPr>
        <a:xfrm>
          <a:off x="5767917" y="2804583"/>
          <a:ext cx="3492500" cy="846667"/>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indent="0"/>
          <a:r>
            <a:rPr lang="en-US" sz="1100">
              <a:solidFill>
                <a:schemeClr val="dk1"/>
              </a:solidFill>
              <a:effectLst/>
              <a:latin typeface="+mn-lt"/>
              <a:ea typeface="+mn-ea"/>
              <a:cs typeface="+mn-cs"/>
            </a:rPr>
            <a:t>'N/A' indicates O&amp;M or land lease  costs entered as annual values. See "ANNUAL VALUES" below. Additional operation and maintenance and fuel costs are listed below under "ANNUAL VALUES."</a:t>
          </a:r>
        </a:p>
        <a:p>
          <a:pPr marL="0" indent="0"/>
          <a:endParaRPr lang="en-US" sz="1100">
            <a:solidFill>
              <a:schemeClr val="dk1"/>
            </a:solidFill>
            <a:effectLst/>
            <a:latin typeface="+mn-lt"/>
            <a:ea typeface="+mn-ea"/>
            <a:cs typeface="+mn-cs"/>
          </a:endParaRPr>
        </a:p>
      </xdr:txBody>
    </xdr:sp>
    <xdr:clientData/>
  </xdr:twoCellAnchor>
  <xdr:twoCellAnchor>
    <xdr:from>
      <xdr:col>6</xdr:col>
      <xdr:colOff>42333</xdr:colOff>
      <xdr:row>100</xdr:row>
      <xdr:rowOff>42333</xdr:rowOff>
    </xdr:from>
    <xdr:to>
      <xdr:col>8</xdr:col>
      <xdr:colOff>973667</xdr:colOff>
      <xdr:row>103</xdr:row>
      <xdr:rowOff>148167</xdr:rowOff>
    </xdr:to>
    <xdr:sp macro="" textlink="">
      <xdr:nvSpPr>
        <xdr:cNvPr id="2" name="TextBox 1">
          <a:extLst>
            <a:ext uri="{FF2B5EF4-FFF2-40B4-BE49-F238E27FC236}">
              <a16:creationId xmlns:a16="http://schemas.microsoft.com/office/drawing/2014/main" id="{6033E1A7-9D34-4996-9523-9C2350DEAC52}"/>
            </a:ext>
          </a:extLst>
        </xdr:cNvPr>
        <xdr:cNvSpPr txBox="1"/>
      </xdr:nvSpPr>
      <xdr:spPr>
        <a:xfrm>
          <a:off x="11112500" y="16234833"/>
          <a:ext cx="3429000" cy="582084"/>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ITC allocated to multiple years, see "ANNUAL VALUES" below: Values here are shown as sums of annual values for reference.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Y213"/>
  <sheetViews>
    <sheetView tabSelected="1" zoomScale="90" zoomScaleNormal="90" workbookViewId="0"/>
  </sheetViews>
  <sheetFormatPr defaultColWidth="9.140625" defaultRowHeight="12.75" x14ac:dyDescent="0.2"/>
  <cols>
    <col min="1" max="1" width="3.42578125" style="4" customWidth="1"/>
    <col min="2" max="2" width="60.7109375" style="4" customWidth="1"/>
    <col min="3" max="3" width="21.7109375" style="4" customWidth="1"/>
    <col min="4" max="4" width="18.7109375" style="4" customWidth="1"/>
    <col min="5" max="5" width="34.7109375" style="4" customWidth="1"/>
    <col min="6" max="6" width="26.42578125" style="4" customWidth="1"/>
    <col min="7" max="9" width="18.7109375" style="4" customWidth="1"/>
    <col min="10" max="12" width="25.85546875" style="4" customWidth="1"/>
    <col min="13" max="13" width="21" style="4" customWidth="1"/>
    <col min="14" max="14" width="17" style="4" customWidth="1"/>
    <col min="15" max="251" width="13.7109375" style="4" customWidth="1"/>
    <col min="252" max="16384" width="9.140625" style="4"/>
  </cols>
  <sheetData>
    <row r="1" spans="1:48" ht="21" customHeight="1" x14ac:dyDescent="0.35">
      <c r="A1" s="249"/>
      <c r="B1" s="271" t="s">
        <v>310</v>
      </c>
      <c r="C1" s="250"/>
      <c r="D1" s="249"/>
      <c r="E1" s="249"/>
      <c r="F1" s="249"/>
      <c r="G1" s="249"/>
      <c r="H1" s="249"/>
      <c r="I1" s="249"/>
      <c r="J1" s="79"/>
      <c r="K1" s="79"/>
      <c r="L1" s="79"/>
      <c r="M1" s="79"/>
      <c r="N1" s="79"/>
    </row>
    <row r="2" spans="1:48" ht="12.75" customHeight="1" x14ac:dyDescent="0.2">
      <c r="B2" s="5" t="s">
        <v>86</v>
      </c>
      <c r="C2" s="104"/>
      <c r="D2" s="79"/>
      <c r="E2" s="80" t="s">
        <v>77</v>
      </c>
      <c r="G2" s="79"/>
      <c r="H2" s="191"/>
      <c r="J2" s="79"/>
      <c r="K2" s="79"/>
      <c r="L2" s="79"/>
      <c r="M2" s="79"/>
      <c r="N2" s="79"/>
    </row>
    <row r="3" spans="1:48" ht="12.75" customHeight="1" x14ac:dyDescent="0.2">
      <c r="B3" s="60" t="s">
        <v>180</v>
      </c>
      <c r="C3" s="105">
        <v>0</v>
      </c>
      <c r="D3" s="79"/>
      <c r="E3" s="33" t="s">
        <v>164</v>
      </c>
      <c r="G3" s="79"/>
      <c r="H3" s="191"/>
      <c r="I3" s="119"/>
      <c r="J3" s="79"/>
      <c r="K3" s="79"/>
      <c r="L3" s="79"/>
      <c r="M3" s="79"/>
      <c r="N3" s="79"/>
    </row>
    <row r="4" spans="1:48" ht="12.75" customHeight="1" x14ac:dyDescent="0.2">
      <c r="B4" s="1"/>
      <c r="C4" s="108"/>
      <c r="D4" s="79"/>
      <c r="E4" s="217" t="s">
        <v>165</v>
      </c>
      <c r="G4" s="79"/>
      <c r="H4" s="24"/>
      <c r="I4" s="117"/>
      <c r="J4" s="79"/>
      <c r="K4" s="79"/>
      <c r="L4" s="79"/>
      <c r="M4" s="79"/>
      <c r="N4" s="79"/>
    </row>
    <row r="5" spans="1:48" ht="12.75" customHeight="1" x14ac:dyDescent="0.2">
      <c r="B5" s="5" t="s">
        <v>85</v>
      </c>
      <c r="C5" s="107"/>
      <c r="D5" s="79"/>
      <c r="E5" s="197" t="s">
        <v>330</v>
      </c>
      <c r="I5" s="119"/>
      <c r="K5" s="79"/>
      <c r="L5" s="79"/>
      <c r="M5" s="79"/>
      <c r="N5" s="79"/>
    </row>
    <row r="6" spans="1:48" x14ac:dyDescent="0.2">
      <c r="B6" s="34" t="s">
        <v>144</v>
      </c>
      <c r="C6" s="175">
        <v>0</v>
      </c>
      <c r="E6" s="239" t="s">
        <v>236</v>
      </c>
      <c r="G6" s="79"/>
      <c r="H6" s="79"/>
      <c r="I6" s="79"/>
      <c r="J6" s="79"/>
      <c r="K6" s="1"/>
      <c r="M6" s="19"/>
    </row>
    <row r="7" spans="1:48" x14ac:dyDescent="0.2">
      <c r="C7" s="108"/>
      <c r="G7" s="32"/>
      <c r="H7" s="32"/>
      <c r="I7" s="32"/>
      <c r="J7" s="32"/>
      <c r="M7" s="18"/>
    </row>
    <row r="8" spans="1:48" x14ac:dyDescent="0.2">
      <c r="B8" s="5" t="s">
        <v>145</v>
      </c>
      <c r="C8" s="107"/>
      <c r="E8" s="192" t="s">
        <v>186</v>
      </c>
      <c r="F8" s="193"/>
      <c r="G8" s="153"/>
      <c r="H8" s="119"/>
      <c r="I8" s="119"/>
      <c r="J8" s="119"/>
      <c r="M8" s="89"/>
      <c r="N8" s="24"/>
    </row>
    <row r="9" spans="1:48" x14ac:dyDescent="0.2">
      <c r="B9" s="84" t="s">
        <v>146</v>
      </c>
      <c r="C9" s="102">
        <v>0</v>
      </c>
      <c r="E9" s="194" t="s">
        <v>188</v>
      </c>
      <c r="F9" s="105">
        <f>'Cash Flow'!C28</f>
        <v>0</v>
      </c>
      <c r="G9" s="153"/>
      <c r="J9" s="153"/>
      <c r="K9" s="82"/>
      <c r="M9" s="90"/>
      <c r="O9" s="83"/>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row>
    <row r="10" spans="1:48" x14ac:dyDescent="0.2">
      <c r="B10" s="85" t="s">
        <v>169</v>
      </c>
      <c r="C10" s="103">
        <v>0</v>
      </c>
      <c r="E10" s="194" t="s">
        <v>187</v>
      </c>
      <c r="F10" s="106">
        <f>ppa_escalation</f>
        <v>0</v>
      </c>
      <c r="G10" s="119"/>
      <c r="J10" s="119"/>
      <c r="M10" s="89"/>
      <c r="N10" s="24"/>
    </row>
    <row r="11" spans="1:48" x14ac:dyDescent="0.2">
      <c r="B11" s="84" t="s">
        <v>403</v>
      </c>
      <c r="C11" s="102">
        <v>0</v>
      </c>
      <c r="E11" s="194" t="s">
        <v>234</v>
      </c>
      <c r="F11" s="106">
        <f>'Cash Flow'!B164</f>
        <v>0</v>
      </c>
      <c r="G11" s="119"/>
      <c r="H11" s="119"/>
      <c r="I11" s="149"/>
      <c r="J11" s="119"/>
      <c r="M11" s="89"/>
      <c r="N11" s="24"/>
    </row>
    <row r="12" spans="1:48" x14ac:dyDescent="0.2">
      <c r="B12" s="85" t="s">
        <v>169</v>
      </c>
      <c r="C12" s="103">
        <v>0</v>
      </c>
      <c r="E12" s="194" t="s">
        <v>333</v>
      </c>
      <c r="F12" s="106">
        <f>'Cash Flow'!B160</f>
        <v>0</v>
      </c>
      <c r="G12" s="119"/>
      <c r="H12" s="119"/>
      <c r="I12" s="149"/>
      <c r="J12" s="119"/>
      <c r="M12" s="89"/>
      <c r="N12" s="24"/>
    </row>
    <row r="13" spans="1:48" x14ac:dyDescent="0.2">
      <c r="B13" s="84" t="s">
        <v>147</v>
      </c>
      <c r="C13" s="102">
        <v>0</v>
      </c>
      <c r="E13" s="194" t="s">
        <v>305</v>
      </c>
      <c r="F13" s="173">
        <f>'Cash Flow'!B151</f>
        <v>0</v>
      </c>
      <c r="G13" s="119"/>
      <c r="H13" s="119"/>
      <c r="I13" s="149"/>
      <c r="J13" s="119"/>
      <c r="M13" s="89"/>
      <c r="N13" s="24"/>
    </row>
    <row r="14" spans="1:48" x14ac:dyDescent="0.2">
      <c r="B14" s="35" t="s">
        <v>169</v>
      </c>
      <c r="C14" s="110">
        <v>0</v>
      </c>
      <c r="E14" s="194" t="s">
        <v>306</v>
      </c>
      <c r="F14" s="173">
        <f>'Cash Flow'!B21 + NPV(host_nominal_discount_rate/100,'Cash Flow'!C21:AP21)</f>
        <v>0</v>
      </c>
      <c r="G14" s="119"/>
      <c r="H14" s="119"/>
      <c r="I14" s="149"/>
      <c r="J14" s="119"/>
      <c r="M14" s="89"/>
      <c r="N14" s="24"/>
    </row>
    <row r="15" spans="1:48" x14ac:dyDescent="0.2">
      <c r="B15" s="314"/>
      <c r="C15" s="315"/>
      <c r="D15" s="1"/>
      <c r="E15" s="194" t="s">
        <v>325</v>
      </c>
      <c r="F15" s="105">
        <f>'Cash Flow'!C16</f>
        <v>0</v>
      </c>
      <c r="G15" s="119"/>
      <c r="H15" s="119"/>
      <c r="I15" s="149"/>
      <c r="J15" s="119"/>
      <c r="M15" s="89"/>
      <c r="N15" s="24"/>
    </row>
    <row r="16" spans="1:48" x14ac:dyDescent="0.2">
      <c r="B16" s="5" t="s">
        <v>398</v>
      </c>
      <c r="C16" s="107"/>
      <c r="D16" s="1"/>
      <c r="E16" s="194" t="s">
        <v>326</v>
      </c>
      <c r="F16" s="106">
        <f>IF('Cash Flow'!B159&lt;&gt;0,NPV(host_nominal_discount_rate/100,'Cash Flow'!C15:AP15)*100/NPV(host_nominal_discount_rate/100,'Cash Flow'!C156:AP156),0)</f>
        <v>0</v>
      </c>
      <c r="G16" s="119"/>
      <c r="H16" s="119"/>
      <c r="I16" s="149"/>
      <c r="J16" s="119"/>
      <c r="M16" s="89"/>
      <c r="N16" s="24"/>
    </row>
    <row r="17" spans="2:14" x14ac:dyDescent="0.2">
      <c r="B17" s="316" t="s">
        <v>399</v>
      </c>
      <c r="C17" s="105">
        <v>0</v>
      </c>
      <c r="D17" s="1"/>
      <c r="G17" s="119"/>
      <c r="H17" s="119"/>
      <c r="I17" s="149"/>
      <c r="J17" s="119"/>
      <c r="M17" s="89"/>
      <c r="N17" s="24"/>
    </row>
    <row r="18" spans="2:14" x14ac:dyDescent="0.2">
      <c r="B18" s="316" t="s">
        <v>400</v>
      </c>
      <c r="C18" s="105">
        <v>0</v>
      </c>
      <c r="D18" s="1"/>
      <c r="G18" s="119"/>
      <c r="H18" s="119"/>
      <c r="I18" s="149"/>
      <c r="J18" s="119"/>
      <c r="M18" s="89"/>
      <c r="N18" s="24"/>
    </row>
    <row r="19" spans="2:14" x14ac:dyDescent="0.2">
      <c r="B19" s="316" t="s">
        <v>401</v>
      </c>
      <c r="C19" s="105">
        <v>0</v>
      </c>
      <c r="D19" s="1"/>
      <c r="G19" s="119"/>
      <c r="H19" s="119"/>
      <c r="I19" s="149"/>
      <c r="J19" s="119"/>
      <c r="M19" s="89"/>
      <c r="N19" s="24"/>
    </row>
    <row r="20" spans="2:14" x14ac:dyDescent="0.2">
      <c r="G20" s="119"/>
      <c r="H20" s="119"/>
      <c r="I20" s="149"/>
      <c r="J20" s="119"/>
      <c r="M20" s="89"/>
      <c r="N20" s="24"/>
    </row>
    <row r="21" spans="2:14" x14ac:dyDescent="0.2">
      <c r="B21" s="213" t="s">
        <v>207</v>
      </c>
      <c r="C21" s="214"/>
      <c r="G21" s="119"/>
      <c r="H21" s="119"/>
      <c r="I21" s="149"/>
      <c r="J21" s="119"/>
      <c r="M21" s="89"/>
      <c r="N21" s="24"/>
    </row>
    <row r="22" spans="2:14" x14ac:dyDescent="0.2">
      <c r="B22" s="216" t="s">
        <v>211</v>
      </c>
      <c r="C22" s="112"/>
      <c r="G22" s="119"/>
      <c r="H22" s="119"/>
      <c r="I22" s="149"/>
      <c r="J22" s="119"/>
      <c r="M22" s="89"/>
      <c r="N22" s="24"/>
    </row>
    <row r="23" spans="2:14" x14ac:dyDescent="0.2">
      <c r="B23" s="47" t="s">
        <v>208</v>
      </c>
      <c r="C23" s="215">
        <v>0</v>
      </c>
      <c r="G23" s="119"/>
      <c r="H23" s="119"/>
      <c r="I23" s="149"/>
      <c r="J23" s="119"/>
      <c r="M23" s="89"/>
      <c r="N23" s="24"/>
    </row>
    <row r="24" spans="2:14" x14ac:dyDescent="0.2">
      <c r="B24" s="35" t="s">
        <v>230</v>
      </c>
      <c r="C24" s="106">
        <v>0</v>
      </c>
      <c r="G24" s="119"/>
      <c r="H24" s="119"/>
      <c r="I24" s="149"/>
      <c r="J24" s="119"/>
      <c r="M24" s="89"/>
      <c r="N24" s="24"/>
    </row>
    <row r="25" spans="2:14" x14ac:dyDescent="0.2">
      <c r="B25" s="85" t="s">
        <v>209</v>
      </c>
      <c r="C25" s="102">
        <v>0</v>
      </c>
      <c r="G25" s="178"/>
      <c r="H25" s="178"/>
      <c r="I25" s="179"/>
      <c r="J25" s="178"/>
      <c r="M25" s="89"/>
      <c r="N25" s="24"/>
    </row>
    <row r="26" spans="2:14" x14ac:dyDescent="0.2">
      <c r="B26" s="35" t="s">
        <v>210</v>
      </c>
      <c r="C26" s="115">
        <v>0</v>
      </c>
      <c r="G26" s="119"/>
      <c r="H26" s="119"/>
      <c r="I26" s="149"/>
      <c r="J26" s="119"/>
      <c r="M26" s="89"/>
      <c r="N26" s="24"/>
    </row>
    <row r="27" spans="2:14" x14ac:dyDescent="0.2">
      <c r="B27" s="86"/>
      <c r="C27" s="109"/>
      <c r="G27" s="119"/>
      <c r="H27" s="119"/>
      <c r="I27" s="149"/>
      <c r="J27" s="119"/>
      <c r="M27" s="89"/>
    </row>
    <row r="28" spans="2:14" ht="13.5" thickBot="1" x14ac:dyDescent="0.25">
      <c r="B28" s="213" t="s">
        <v>87</v>
      </c>
      <c r="C28" s="214"/>
      <c r="G28" s="119"/>
      <c r="H28" s="119"/>
      <c r="I28" s="149"/>
      <c r="J28" s="119"/>
      <c r="M28" s="89"/>
      <c r="N28" s="88"/>
    </row>
    <row r="29" spans="2:14" x14ac:dyDescent="0.2">
      <c r="B29" s="223" t="s">
        <v>88</v>
      </c>
      <c r="C29" s="224"/>
      <c r="G29" s="119"/>
      <c r="H29" s="119"/>
      <c r="I29" s="149"/>
      <c r="J29" s="119"/>
      <c r="M29" s="89"/>
      <c r="N29" s="1"/>
    </row>
    <row r="30" spans="2:14" x14ac:dyDescent="0.2">
      <c r="B30" s="240" t="s">
        <v>89</v>
      </c>
      <c r="C30" s="241" t="s">
        <v>164</v>
      </c>
      <c r="G30" s="119"/>
      <c r="H30" s="119"/>
      <c r="I30" s="149"/>
      <c r="J30" s="119"/>
      <c r="M30" s="89"/>
      <c r="N30" s="1"/>
    </row>
    <row r="31" spans="2:14" x14ac:dyDescent="0.2">
      <c r="B31" s="240" t="s">
        <v>90</v>
      </c>
      <c r="C31" s="242" t="s">
        <v>164</v>
      </c>
      <c r="G31" s="119"/>
      <c r="H31" s="119"/>
      <c r="I31" s="149"/>
      <c r="J31" s="119"/>
      <c r="M31" s="89"/>
      <c r="N31" s="1"/>
    </row>
    <row r="32" spans="2:14" x14ac:dyDescent="0.2">
      <c r="B32" s="240" t="s">
        <v>219</v>
      </c>
      <c r="C32" s="276">
        <v>0</v>
      </c>
      <c r="G32" s="119"/>
      <c r="H32" s="119"/>
      <c r="I32" s="149"/>
      <c r="J32" s="119"/>
      <c r="M32" s="89"/>
      <c r="N32" s="1"/>
    </row>
    <row r="33" spans="2:14" x14ac:dyDescent="0.2">
      <c r="B33" s="272" t="s">
        <v>96</v>
      </c>
      <c r="C33" s="273">
        <v>0</v>
      </c>
      <c r="G33" s="119"/>
      <c r="H33" s="119"/>
      <c r="I33" s="149"/>
      <c r="J33" s="119"/>
      <c r="M33" s="89"/>
      <c r="N33" s="1"/>
    </row>
    <row r="34" spans="2:14" ht="13.5" thickBot="1" x14ac:dyDescent="0.25">
      <c r="B34" s="243" t="s">
        <v>327</v>
      </c>
      <c r="C34" s="244" t="s">
        <v>17</v>
      </c>
      <c r="G34" s="119"/>
      <c r="H34" s="119"/>
      <c r="I34" s="149"/>
      <c r="J34" s="119"/>
      <c r="M34" s="89"/>
      <c r="N34" s="1"/>
    </row>
    <row r="35" spans="2:14" x14ac:dyDescent="0.2">
      <c r="B35" s="221" t="s">
        <v>91</v>
      </c>
      <c r="C35" s="222"/>
      <c r="G35" s="119"/>
      <c r="H35" s="119"/>
      <c r="I35" s="149"/>
      <c r="J35" s="119"/>
      <c r="M35" s="89"/>
      <c r="N35" s="1"/>
    </row>
    <row r="36" spans="2:14" x14ac:dyDescent="0.2">
      <c r="B36" s="35" t="s">
        <v>97</v>
      </c>
      <c r="C36" s="175">
        <v>0</v>
      </c>
      <c r="G36" s="119"/>
      <c r="H36" s="119"/>
      <c r="I36" s="149"/>
      <c r="J36" s="119"/>
      <c r="M36" s="89"/>
      <c r="N36" s="1"/>
    </row>
    <row r="37" spans="2:14" x14ac:dyDescent="0.2">
      <c r="B37" s="35" t="s">
        <v>98</v>
      </c>
      <c r="C37" s="110">
        <v>0</v>
      </c>
      <c r="G37" s="119"/>
      <c r="H37" s="119"/>
      <c r="I37" s="149"/>
      <c r="J37" s="119"/>
      <c r="K37" s="12"/>
      <c r="M37" s="89"/>
      <c r="N37" s="1"/>
    </row>
    <row r="38" spans="2:14" x14ac:dyDescent="0.2">
      <c r="B38" s="35" t="s">
        <v>307</v>
      </c>
      <c r="C38" s="113">
        <v>0</v>
      </c>
      <c r="G38" s="180"/>
      <c r="H38" s="119"/>
      <c r="I38" s="149"/>
      <c r="J38" s="119"/>
      <c r="K38" s="29"/>
      <c r="M38" s="89"/>
      <c r="N38" s="1"/>
    </row>
    <row r="39" spans="2:14" x14ac:dyDescent="0.2">
      <c r="B39" s="35" t="s">
        <v>308</v>
      </c>
      <c r="C39" s="114">
        <f>((inflation_rate/100+1)*(host_real_discount_rate/100+1)-1)*100</f>
        <v>0</v>
      </c>
      <c r="G39" s="119"/>
      <c r="H39" s="119"/>
      <c r="I39" s="149"/>
      <c r="J39" s="119"/>
      <c r="K39" s="29"/>
      <c r="M39" s="89"/>
      <c r="N39" s="1"/>
    </row>
    <row r="40" spans="2:14" x14ac:dyDescent="0.2">
      <c r="B40" s="35" t="s">
        <v>322</v>
      </c>
      <c r="C40" s="113">
        <v>0</v>
      </c>
      <c r="G40" s="180"/>
      <c r="H40" s="119"/>
      <c r="I40" s="149"/>
      <c r="J40" s="119"/>
      <c r="K40" s="29"/>
      <c r="M40" s="89"/>
      <c r="N40" s="1"/>
    </row>
    <row r="41" spans="2:14" x14ac:dyDescent="0.2">
      <c r="B41" s="35" t="s">
        <v>323</v>
      </c>
      <c r="C41" s="114">
        <f>((inflation_rate/100+1)*(real_discount_rate/100+1)-1)*100</f>
        <v>0</v>
      </c>
      <c r="G41" s="119"/>
      <c r="H41" s="119"/>
      <c r="I41" s="149"/>
      <c r="J41" s="119"/>
      <c r="K41" s="29"/>
      <c r="M41" s="89"/>
      <c r="N41" s="1"/>
    </row>
    <row r="42" spans="2:14" x14ac:dyDescent="0.2">
      <c r="B42" s="26" t="s">
        <v>92</v>
      </c>
      <c r="C42" s="112"/>
      <c r="G42" s="119"/>
      <c r="H42" s="119"/>
      <c r="I42" s="149"/>
      <c r="J42" s="119"/>
      <c r="M42" s="89"/>
      <c r="N42" s="1"/>
    </row>
    <row r="43" spans="2:14" x14ac:dyDescent="0.2">
      <c r="B43" s="35" t="s">
        <v>331</v>
      </c>
      <c r="C43" s="274">
        <f>AnnualTaxFederal</f>
        <v>0</v>
      </c>
      <c r="E43" s="190"/>
      <c r="F43" s="149"/>
      <c r="G43" s="119"/>
      <c r="H43" s="119"/>
      <c r="I43" s="149"/>
      <c r="J43" s="119"/>
      <c r="K43" s="12"/>
      <c r="M43" s="89"/>
      <c r="N43" s="1"/>
    </row>
    <row r="44" spans="2:14" x14ac:dyDescent="0.2">
      <c r="B44" s="35" t="s">
        <v>332</v>
      </c>
      <c r="C44" s="274">
        <f>AnnualTaxState</f>
        <v>0</v>
      </c>
      <c r="E44" s="190"/>
      <c r="F44" s="149"/>
      <c r="G44" s="119"/>
      <c r="H44" s="119"/>
      <c r="I44" s="149"/>
      <c r="J44" s="119"/>
      <c r="K44" s="29"/>
      <c r="M44" s="89"/>
      <c r="N44" s="1"/>
    </row>
    <row r="45" spans="2:14" x14ac:dyDescent="0.2">
      <c r="B45" s="35" t="s">
        <v>143</v>
      </c>
      <c r="C45" s="115">
        <v>0</v>
      </c>
      <c r="E45" s="190"/>
      <c r="F45" s="149"/>
      <c r="G45" s="119"/>
      <c r="H45" s="119"/>
      <c r="I45" s="149"/>
      <c r="J45" s="119"/>
      <c r="K45" s="29"/>
      <c r="M45" s="89"/>
      <c r="N45" s="1"/>
    </row>
    <row r="46" spans="2:14" x14ac:dyDescent="0.2">
      <c r="B46" s="35" t="s">
        <v>95</v>
      </c>
      <c r="C46" s="115">
        <v>0</v>
      </c>
      <c r="E46" s="177"/>
      <c r="F46" s="149"/>
      <c r="G46" s="119"/>
      <c r="H46" s="119"/>
      <c r="I46" s="149"/>
      <c r="J46" s="119"/>
      <c r="M46" s="89"/>
      <c r="N46" s="1"/>
    </row>
    <row r="47" spans="2:14" x14ac:dyDescent="0.2">
      <c r="B47" s="37" t="s">
        <v>0</v>
      </c>
      <c r="C47" s="111"/>
      <c r="E47" s="177"/>
      <c r="F47" s="149"/>
      <c r="G47" s="119"/>
      <c r="H47" s="119"/>
      <c r="I47" s="149"/>
      <c r="J47" s="119"/>
      <c r="K47" s="12"/>
      <c r="M47" s="89"/>
      <c r="N47" s="1"/>
    </row>
    <row r="48" spans="2:14" x14ac:dyDescent="0.2">
      <c r="B48" s="36" t="s">
        <v>99</v>
      </c>
      <c r="C48" s="116">
        <v>0</v>
      </c>
      <c r="E48" s="177"/>
      <c r="F48" s="149"/>
      <c r="G48" s="119"/>
      <c r="H48" s="119"/>
      <c r="I48" s="149"/>
      <c r="J48" s="119"/>
      <c r="K48" s="29"/>
      <c r="M48" s="89"/>
      <c r="N48" s="1"/>
    </row>
    <row r="49" spans="2:14" x14ac:dyDescent="0.2">
      <c r="B49" s="36" t="s">
        <v>101</v>
      </c>
      <c r="C49" s="245">
        <f>total_installed_cost*prop_tax_cost_assessed_percent/100</f>
        <v>0</v>
      </c>
      <c r="E49" s="177"/>
      <c r="F49" s="149"/>
      <c r="G49" s="119"/>
      <c r="H49" s="119"/>
      <c r="I49" s="149"/>
      <c r="J49" s="119"/>
      <c r="M49" s="89"/>
      <c r="N49" s="1"/>
    </row>
    <row r="50" spans="2:14" x14ac:dyDescent="0.2">
      <c r="B50" s="36" t="s">
        <v>100</v>
      </c>
      <c r="C50" s="115">
        <v>0</v>
      </c>
      <c r="E50" s="177"/>
      <c r="F50" s="149"/>
      <c r="G50" s="119"/>
      <c r="H50" s="119"/>
      <c r="I50" s="149"/>
      <c r="J50" s="119"/>
      <c r="K50" s="1"/>
      <c r="M50" s="89"/>
      <c r="N50" s="1"/>
    </row>
    <row r="51" spans="2:14" x14ac:dyDescent="0.2">
      <c r="B51" s="36" t="s">
        <v>102</v>
      </c>
      <c r="C51" s="115">
        <v>0</v>
      </c>
      <c r="E51" s="177"/>
      <c r="F51" s="149"/>
      <c r="G51" s="119"/>
      <c r="H51" s="119"/>
      <c r="I51" s="149"/>
      <c r="J51" s="119"/>
      <c r="M51" s="89"/>
      <c r="N51" s="1"/>
    </row>
    <row r="52" spans="2:14" x14ac:dyDescent="0.2">
      <c r="B52" s="26" t="s">
        <v>47</v>
      </c>
      <c r="C52" s="111"/>
      <c r="E52" s="177"/>
      <c r="F52" s="149"/>
      <c r="G52" s="119"/>
      <c r="H52" s="119"/>
      <c r="I52" s="149"/>
      <c r="J52" s="119"/>
      <c r="M52" s="89"/>
      <c r="N52" s="1"/>
    </row>
    <row r="53" spans="2:14" x14ac:dyDescent="0.2">
      <c r="B53" s="34" t="s">
        <v>167</v>
      </c>
      <c r="C53" s="110">
        <v>0</v>
      </c>
      <c r="E53" s="177"/>
      <c r="F53" s="149"/>
      <c r="G53" s="119"/>
      <c r="H53" s="119"/>
      <c r="I53" s="149"/>
      <c r="J53" s="119"/>
      <c r="M53" s="89"/>
      <c r="N53" s="1"/>
    </row>
    <row r="54" spans="2:14" x14ac:dyDescent="0.2">
      <c r="B54" s="34" t="s">
        <v>166</v>
      </c>
      <c r="C54" s="245">
        <f>total_installed_cost*salvage_percentage/100</f>
        <v>0</v>
      </c>
      <c r="G54" s="119"/>
      <c r="H54" s="119"/>
      <c r="I54" s="149"/>
      <c r="J54" s="119"/>
      <c r="M54" s="89"/>
      <c r="N54" s="1"/>
    </row>
    <row r="55" spans="2:14" x14ac:dyDescent="0.2">
      <c r="C55" s="117"/>
      <c r="I55" s="19"/>
      <c r="M55" s="89"/>
      <c r="N55" s="1"/>
    </row>
    <row r="56" spans="2:14" ht="13.5" thickBot="1" x14ac:dyDescent="0.25">
      <c r="B56" s="213" t="s">
        <v>106</v>
      </c>
      <c r="C56" s="214"/>
      <c r="I56" s="19"/>
      <c r="M56" s="89"/>
      <c r="N56" s="1"/>
    </row>
    <row r="57" spans="2:14" x14ac:dyDescent="0.2">
      <c r="B57" s="266" t="s">
        <v>266</v>
      </c>
      <c r="C57" s="267"/>
      <c r="I57" s="19"/>
      <c r="M57" s="89"/>
      <c r="N57" s="1"/>
    </row>
    <row r="58" spans="2:14" x14ac:dyDescent="0.2">
      <c r="B58" s="240" t="s">
        <v>334</v>
      </c>
      <c r="C58" s="241" t="s">
        <v>164</v>
      </c>
      <c r="I58" s="19"/>
      <c r="M58" s="89"/>
      <c r="N58" s="1"/>
    </row>
    <row r="59" spans="2:14" x14ac:dyDescent="0.2">
      <c r="B59" s="240" t="s">
        <v>335</v>
      </c>
      <c r="C59" s="241" t="s">
        <v>258</v>
      </c>
      <c r="I59" s="19"/>
      <c r="M59" s="89"/>
      <c r="N59" s="1"/>
    </row>
    <row r="60" spans="2:14" x14ac:dyDescent="0.2">
      <c r="B60" s="240" t="s">
        <v>336</v>
      </c>
      <c r="C60" s="241">
        <v>0</v>
      </c>
      <c r="I60" s="19"/>
      <c r="M60" s="89"/>
      <c r="N60" s="1"/>
    </row>
    <row r="61" spans="2:14" x14ac:dyDescent="0.2">
      <c r="B61" s="272" t="s">
        <v>337</v>
      </c>
      <c r="C61" s="273" t="s">
        <v>17</v>
      </c>
      <c r="I61" s="19"/>
      <c r="M61" s="89"/>
      <c r="N61" s="1"/>
    </row>
    <row r="62" spans="2:14" x14ac:dyDescent="0.2">
      <c r="B62" s="272" t="s">
        <v>338</v>
      </c>
      <c r="C62" s="273">
        <v>100</v>
      </c>
      <c r="I62" s="19"/>
      <c r="M62" s="89"/>
      <c r="N62" s="1"/>
    </row>
    <row r="63" spans="2:14" ht="13.5" thickBot="1" x14ac:dyDescent="0.25">
      <c r="B63" s="243" t="s">
        <v>339</v>
      </c>
      <c r="C63" s="244" t="s">
        <v>268</v>
      </c>
      <c r="I63" s="19"/>
      <c r="M63" s="89"/>
      <c r="N63" s="1"/>
    </row>
    <row r="64" spans="2:14" x14ac:dyDescent="0.2">
      <c r="B64" s="221" t="s">
        <v>235</v>
      </c>
      <c r="C64" s="215"/>
      <c r="E64" s="117"/>
      <c r="I64" s="19"/>
      <c r="M64" s="89"/>
      <c r="N64" s="1"/>
    </row>
    <row r="65" spans="2:14" x14ac:dyDescent="0.2">
      <c r="B65" s="35" t="s">
        <v>107</v>
      </c>
      <c r="C65" s="175">
        <v>0</v>
      </c>
      <c r="D65" s="81"/>
      <c r="E65" s="117"/>
      <c r="I65" s="19"/>
      <c r="M65" s="89"/>
      <c r="N65" s="1"/>
    </row>
    <row r="66" spans="2:14" x14ac:dyDescent="0.2">
      <c r="B66" s="35" t="s">
        <v>267</v>
      </c>
      <c r="C66" s="175">
        <v>0</v>
      </c>
      <c r="D66" s="81"/>
      <c r="E66" s="117"/>
      <c r="I66" s="19"/>
      <c r="M66" s="89"/>
      <c r="N66" s="1"/>
    </row>
    <row r="67" spans="2:14" x14ac:dyDescent="0.2">
      <c r="B67" s="35" t="s">
        <v>108</v>
      </c>
      <c r="C67" s="115">
        <v>0</v>
      </c>
      <c r="D67" s="81"/>
      <c r="E67" s="117"/>
      <c r="I67" s="19"/>
      <c r="M67" s="89"/>
      <c r="N67" s="1"/>
    </row>
    <row r="68" spans="2:14" x14ac:dyDescent="0.2">
      <c r="B68" s="35" t="s">
        <v>109</v>
      </c>
      <c r="C68" s="105">
        <v>0</v>
      </c>
      <c r="D68" s="81"/>
      <c r="E68" s="153"/>
      <c r="I68" s="19"/>
      <c r="M68" s="89"/>
      <c r="N68" s="1"/>
    </row>
    <row r="69" spans="2:14" x14ac:dyDescent="0.2">
      <c r="B69" s="35" t="s">
        <v>110</v>
      </c>
      <c r="C69" s="115">
        <v>0</v>
      </c>
      <c r="D69" s="81"/>
      <c r="E69" s="153"/>
      <c r="I69" s="19"/>
      <c r="M69" s="89"/>
      <c r="N69" s="1"/>
    </row>
    <row r="70" spans="2:14" x14ac:dyDescent="0.2">
      <c r="B70" s="35" t="s">
        <v>240</v>
      </c>
      <c r="C70" s="197">
        <v>0</v>
      </c>
      <c r="D70" s="24"/>
      <c r="I70" s="19"/>
      <c r="M70" s="89"/>
      <c r="N70" s="1"/>
    </row>
    <row r="71" spans="2:14" x14ac:dyDescent="0.2">
      <c r="C71" s="98"/>
      <c r="I71" s="19"/>
      <c r="M71" s="89"/>
      <c r="N71" s="1"/>
    </row>
    <row r="72" spans="2:14" x14ac:dyDescent="0.2">
      <c r="B72" s="5" t="s">
        <v>111</v>
      </c>
      <c r="C72" s="99"/>
      <c r="I72" s="19"/>
      <c r="M72" s="89"/>
      <c r="N72" s="1"/>
    </row>
    <row r="73" spans="2:14" x14ac:dyDescent="0.2">
      <c r="B73" s="34" t="s">
        <v>419</v>
      </c>
      <c r="C73" s="100">
        <v>0</v>
      </c>
      <c r="I73" s="19"/>
      <c r="M73" s="89"/>
      <c r="N73" s="1"/>
    </row>
    <row r="74" spans="2:14" x14ac:dyDescent="0.2">
      <c r="C74" s="98"/>
      <c r="I74" s="19"/>
      <c r="M74" s="89"/>
      <c r="N74" s="1"/>
    </row>
    <row r="75" spans="2:14" x14ac:dyDescent="0.2">
      <c r="B75" s="5" t="s">
        <v>123</v>
      </c>
      <c r="C75" s="99"/>
      <c r="M75" s="89"/>
      <c r="N75" s="1"/>
    </row>
    <row r="76" spans="2:14" x14ac:dyDescent="0.2">
      <c r="B76" s="34" t="s">
        <v>168</v>
      </c>
      <c r="C76" s="100">
        <v>0</v>
      </c>
      <c r="M76" s="89"/>
      <c r="N76" s="1"/>
    </row>
    <row r="77" spans="2:14" x14ac:dyDescent="0.2">
      <c r="C77" s="101"/>
      <c r="M77" s="89"/>
      <c r="N77" s="1"/>
    </row>
    <row r="78" spans="2:14" x14ac:dyDescent="0.2">
      <c r="B78" s="5" t="s">
        <v>202</v>
      </c>
      <c r="C78" s="7"/>
      <c r="D78" s="7"/>
      <c r="E78" s="7"/>
      <c r="F78" s="7"/>
      <c r="G78" s="7"/>
      <c r="H78" s="7"/>
      <c r="I78" s="6"/>
      <c r="M78" s="89"/>
      <c r="N78" s="1"/>
    </row>
    <row r="79" spans="2:14" ht="25.5" x14ac:dyDescent="0.2">
      <c r="B79" s="34"/>
      <c r="C79" s="211" t="s">
        <v>117</v>
      </c>
      <c r="D79" s="210" t="s">
        <v>118</v>
      </c>
      <c r="E79" s="210" t="s">
        <v>119</v>
      </c>
      <c r="F79" s="210" t="s">
        <v>120</v>
      </c>
      <c r="G79" s="210" t="s">
        <v>23</v>
      </c>
      <c r="H79" s="210" t="s">
        <v>24</v>
      </c>
      <c r="I79" s="210" t="s">
        <v>121</v>
      </c>
      <c r="M79" s="89"/>
      <c r="N79" s="1"/>
    </row>
    <row r="80" spans="2:14" x14ac:dyDescent="0.2">
      <c r="B80" s="34" t="s">
        <v>112</v>
      </c>
      <c r="C80" s="181">
        <v>0</v>
      </c>
      <c r="D80" s="183">
        <v>0</v>
      </c>
      <c r="E80" s="152">
        <v>0</v>
      </c>
      <c r="F80" s="186">
        <v>0</v>
      </c>
      <c r="G80" s="181">
        <f>C80/100*total_installed_cost</f>
        <v>0</v>
      </c>
      <c r="H80" s="181">
        <f>G80*F80/100*E80/12*0.5</f>
        <v>0</v>
      </c>
      <c r="I80" s="181">
        <f>H80+D80/100*G80</f>
        <v>0</v>
      </c>
      <c r="M80" s="89"/>
      <c r="N80" s="1"/>
    </row>
    <row r="81" spans="2:14" x14ac:dyDescent="0.2">
      <c r="B81" s="34" t="s">
        <v>113</v>
      </c>
      <c r="C81" s="181">
        <v>0</v>
      </c>
      <c r="D81" s="183">
        <v>0</v>
      </c>
      <c r="E81" s="152">
        <v>0</v>
      </c>
      <c r="F81" s="186">
        <v>0</v>
      </c>
      <c r="G81" s="181">
        <f>C81/100*total_installed_cost</f>
        <v>0</v>
      </c>
      <c r="H81" s="181">
        <f>G81*F81/100*E81/12*0.5</f>
        <v>0</v>
      </c>
      <c r="I81" s="181">
        <f t="shared" ref="I81:I84" si="0">H81+D81/100*G81</f>
        <v>0</v>
      </c>
      <c r="M81" s="89"/>
      <c r="N81" s="1"/>
    </row>
    <row r="82" spans="2:14" x14ac:dyDescent="0.2">
      <c r="B82" s="34" t="s">
        <v>114</v>
      </c>
      <c r="C82" s="181">
        <v>0</v>
      </c>
      <c r="D82" s="183">
        <v>0</v>
      </c>
      <c r="E82" s="152">
        <v>0</v>
      </c>
      <c r="F82" s="186">
        <v>0</v>
      </c>
      <c r="G82" s="181">
        <f>C82/100*total_installed_cost</f>
        <v>0</v>
      </c>
      <c r="H82" s="181">
        <f>G82*F82/100*E82/12*0.5</f>
        <v>0</v>
      </c>
      <c r="I82" s="181">
        <f t="shared" si="0"/>
        <v>0</v>
      </c>
      <c r="M82" s="89"/>
      <c r="N82" s="1"/>
    </row>
    <row r="83" spans="2:14" x14ac:dyDescent="0.2">
      <c r="B83" s="34" t="s">
        <v>115</v>
      </c>
      <c r="C83" s="181">
        <v>0</v>
      </c>
      <c r="D83" s="183">
        <v>0</v>
      </c>
      <c r="E83" s="152">
        <v>0</v>
      </c>
      <c r="F83" s="186">
        <v>0</v>
      </c>
      <c r="G83" s="181">
        <f>C83/100*total_installed_cost</f>
        <v>0</v>
      </c>
      <c r="H83" s="181">
        <f>G83*F83/100*E83/12*0.5</f>
        <v>0</v>
      </c>
      <c r="I83" s="181">
        <f t="shared" si="0"/>
        <v>0</v>
      </c>
      <c r="M83" s="89"/>
      <c r="N83" s="1"/>
    </row>
    <row r="84" spans="2:14" x14ac:dyDescent="0.2">
      <c r="B84" s="34" t="s">
        <v>116</v>
      </c>
      <c r="C84" s="182">
        <v>0</v>
      </c>
      <c r="D84" s="184">
        <v>0</v>
      </c>
      <c r="E84" s="185">
        <v>0</v>
      </c>
      <c r="F84" s="187">
        <v>0</v>
      </c>
      <c r="G84" s="181">
        <f>C84/100*total_installed_cost</f>
        <v>0</v>
      </c>
      <c r="H84" s="181">
        <f>G84*F84/100*E84/12*0.5</f>
        <v>0</v>
      </c>
      <c r="I84" s="181">
        <f t="shared" si="0"/>
        <v>0</v>
      </c>
      <c r="M84" s="89"/>
      <c r="N84" s="1"/>
    </row>
    <row r="85" spans="2:14" x14ac:dyDescent="0.2">
      <c r="B85" s="38" t="s">
        <v>122</v>
      </c>
      <c r="C85" s="39"/>
      <c r="D85" s="27"/>
      <c r="E85" s="27"/>
      <c r="F85" s="40"/>
      <c r="G85" s="41">
        <f>SUM(G80:G84)</f>
        <v>0</v>
      </c>
      <c r="H85" s="42">
        <f>SUM(H80:H84)</f>
        <v>0</v>
      </c>
      <c r="I85" s="43">
        <f>SUM(I80:I84)</f>
        <v>0</v>
      </c>
      <c r="M85" s="89"/>
      <c r="N85" s="1"/>
    </row>
    <row r="86" spans="2:14" x14ac:dyDescent="0.2">
      <c r="C86" s="101"/>
      <c r="M86" s="89"/>
      <c r="N86" s="1"/>
    </row>
    <row r="87" spans="2:14" x14ac:dyDescent="0.2">
      <c r="B87" s="5" t="s">
        <v>124</v>
      </c>
      <c r="C87" s="7"/>
      <c r="D87" s="7"/>
      <c r="E87" s="7"/>
      <c r="F87" s="154"/>
      <c r="M87" s="89"/>
      <c r="N87" s="1"/>
    </row>
    <row r="88" spans="2:14" x14ac:dyDescent="0.2">
      <c r="B88" s="34" t="s">
        <v>125</v>
      </c>
      <c r="C88" s="118">
        <v>0</v>
      </c>
      <c r="F88" s="154"/>
      <c r="M88" s="89"/>
      <c r="N88" s="1"/>
    </row>
    <row r="89" spans="2:14" x14ac:dyDescent="0.2">
      <c r="B89" s="34" t="s">
        <v>134</v>
      </c>
      <c r="C89" s="118">
        <v>0</v>
      </c>
      <c r="F89" s="154"/>
      <c r="M89" s="89"/>
      <c r="N89" s="1"/>
    </row>
    <row r="90" spans="2:14" x14ac:dyDescent="0.2">
      <c r="B90" s="9" t="s">
        <v>126</v>
      </c>
      <c r="C90" s="118">
        <v>0</v>
      </c>
      <c r="F90" s="154"/>
      <c r="M90" s="89"/>
      <c r="N90" s="1"/>
    </row>
    <row r="91" spans="2:14" x14ac:dyDescent="0.2">
      <c r="B91" s="9" t="s">
        <v>286</v>
      </c>
      <c r="C91" s="118">
        <v>0</v>
      </c>
      <c r="F91" s="154"/>
      <c r="M91" s="89"/>
      <c r="N91" s="1"/>
    </row>
    <row r="92" spans="2:14" x14ac:dyDescent="0.2">
      <c r="B92" s="34" t="s">
        <v>127</v>
      </c>
      <c r="C92" s="96" t="s">
        <v>179</v>
      </c>
      <c r="D92" s="210" t="s">
        <v>131</v>
      </c>
      <c r="E92" s="226" t="s">
        <v>132</v>
      </c>
      <c r="F92" s="154"/>
      <c r="M92" s="89"/>
      <c r="N92" s="1"/>
    </row>
    <row r="93" spans="2:14" x14ac:dyDescent="0.2">
      <c r="B93" s="47" t="s">
        <v>128</v>
      </c>
      <c r="C93" s="118">
        <v>0</v>
      </c>
      <c r="D93" s="245">
        <f>C93*system_capacity*1000</f>
        <v>0</v>
      </c>
      <c r="E93" s="227">
        <v>0</v>
      </c>
      <c r="F93" s="154"/>
      <c r="M93" s="89"/>
      <c r="N93" s="1"/>
    </row>
    <row r="94" spans="2:14" x14ac:dyDescent="0.2">
      <c r="B94" s="35" t="s">
        <v>130</v>
      </c>
      <c r="C94" s="118">
        <v>0</v>
      </c>
      <c r="D94" s="245">
        <f>C94*system_capacity*1000</f>
        <v>0</v>
      </c>
      <c r="E94" s="227">
        <v>0</v>
      </c>
      <c r="F94" s="154"/>
      <c r="M94" s="89"/>
      <c r="N94" s="1"/>
    </row>
    <row r="95" spans="2:14" x14ac:dyDescent="0.2">
      <c r="B95" s="57" t="s">
        <v>129</v>
      </c>
      <c r="C95" s="118">
        <v>0</v>
      </c>
      <c r="D95" s="245">
        <f>C95*system_capacity*1000</f>
        <v>0</v>
      </c>
      <c r="E95" s="227">
        <v>0</v>
      </c>
      <c r="F95" s="154"/>
      <c r="M95" s="89"/>
      <c r="N95" s="1"/>
    </row>
    <row r="96" spans="2:14" x14ac:dyDescent="0.2">
      <c r="B96" s="37" t="s">
        <v>133</v>
      </c>
      <c r="C96" s="28"/>
      <c r="D96" s="188"/>
      <c r="E96" s="188"/>
      <c r="F96" s="154"/>
      <c r="M96" s="89"/>
      <c r="N96" s="1"/>
    </row>
    <row r="97" spans="2:14" x14ac:dyDescent="0.2">
      <c r="B97" s="45" t="s">
        <v>4</v>
      </c>
      <c r="C97" s="225" t="s">
        <v>41</v>
      </c>
      <c r="D97" s="154"/>
      <c r="F97" s="154"/>
      <c r="M97" s="89"/>
      <c r="N97" s="1"/>
    </row>
    <row r="98" spans="2:14" x14ac:dyDescent="0.2">
      <c r="B98" s="45" t="s">
        <v>5</v>
      </c>
      <c r="C98" s="225" t="s">
        <v>41</v>
      </c>
      <c r="D98" s="228"/>
      <c r="E98" s="229"/>
      <c r="F98" s="154"/>
      <c r="M98" s="89"/>
      <c r="N98" s="1"/>
    </row>
    <row r="99" spans="2:14" x14ac:dyDescent="0.2">
      <c r="M99" s="89"/>
      <c r="N99" s="1"/>
    </row>
    <row r="100" spans="2:14" x14ac:dyDescent="0.2">
      <c r="B100" s="5" t="s">
        <v>135</v>
      </c>
      <c r="C100" s="7"/>
      <c r="D100" s="7"/>
      <c r="E100" s="7"/>
      <c r="F100" s="6"/>
      <c r="M100" s="89"/>
      <c r="N100" s="1"/>
    </row>
    <row r="101" spans="2:14" x14ac:dyDescent="0.2">
      <c r="B101" s="26" t="s">
        <v>2</v>
      </c>
      <c r="C101" s="27"/>
      <c r="D101" s="48"/>
      <c r="E101" s="336" t="s">
        <v>229</v>
      </c>
      <c r="F101" s="337"/>
      <c r="M101" s="89"/>
      <c r="N101" s="1"/>
    </row>
    <row r="102" spans="2:14" x14ac:dyDescent="0.2">
      <c r="B102" s="47" t="s">
        <v>137</v>
      </c>
      <c r="C102" s="8" t="s">
        <v>199</v>
      </c>
      <c r="D102" s="56"/>
      <c r="E102" s="210" t="s">
        <v>4</v>
      </c>
      <c r="F102" s="210" t="s">
        <v>5</v>
      </c>
      <c r="M102" s="89"/>
      <c r="N102" s="1"/>
    </row>
    <row r="103" spans="2:14" x14ac:dyDescent="0.2">
      <c r="B103" s="46" t="s">
        <v>138</v>
      </c>
      <c r="C103" s="137">
        <f>SUM(D177:AQ177)</f>
        <v>0</v>
      </c>
      <c r="D103" s="30"/>
      <c r="E103" s="10" t="s">
        <v>17</v>
      </c>
      <c r="F103" s="10" t="s">
        <v>17</v>
      </c>
      <c r="M103" s="89"/>
      <c r="N103" s="1"/>
    </row>
    <row r="104" spans="2:14" x14ac:dyDescent="0.2">
      <c r="B104" s="46" t="s">
        <v>139</v>
      </c>
      <c r="C104" s="137">
        <f>SUM(D178:AQ178)</f>
        <v>0</v>
      </c>
      <c r="D104" s="49"/>
      <c r="E104" s="55" t="s">
        <v>17</v>
      </c>
      <c r="F104" s="52" t="s">
        <v>17</v>
      </c>
      <c r="M104" s="89"/>
      <c r="N104" s="1"/>
    </row>
    <row r="105" spans="2:14" x14ac:dyDescent="0.2">
      <c r="B105" s="45" t="s">
        <v>142</v>
      </c>
      <c r="C105" s="10" t="s">
        <v>7</v>
      </c>
      <c r="D105" s="13" t="s">
        <v>161</v>
      </c>
      <c r="E105" s="53"/>
      <c r="F105" s="51"/>
      <c r="M105" s="89"/>
      <c r="N105" s="1"/>
    </row>
    <row r="106" spans="2:14" x14ac:dyDescent="0.2">
      <c r="B106" s="46" t="s">
        <v>140</v>
      </c>
      <c r="C106" s="96">
        <f>SUM(D179:AQ179)</f>
        <v>0</v>
      </c>
      <c r="D106" s="44">
        <f>SUM(D180:AQ180)</f>
        <v>0</v>
      </c>
      <c r="E106" s="50" t="s">
        <v>17</v>
      </c>
      <c r="F106" s="50" t="s">
        <v>17</v>
      </c>
      <c r="M106" s="89"/>
      <c r="N106" s="1"/>
    </row>
    <row r="107" spans="2:14" ht="13.5" thickBot="1" x14ac:dyDescent="0.25">
      <c r="B107" s="74" t="s">
        <v>141</v>
      </c>
      <c r="C107" s="265">
        <f>SUM(D181:AQ181)</f>
        <v>0</v>
      </c>
      <c r="D107" s="238">
        <f>SUM(D182:AQ182)</f>
        <v>0</v>
      </c>
      <c r="E107" s="61" t="s">
        <v>17</v>
      </c>
      <c r="F107" s="61" t="s">
        <v>17</v>
      </c>
      <c r="M107" s="89"/>
      <c r="N107" s="1"/>
    </row>
    <row r="108" spans="2:14" x14ac:dyDescent="0.2">
      <c r="B108" s="75" t="s">
        <v>6</v>
      </c>
      <c r="C108" s="263" t="s">
        <v>9</v>
      </c>
      <c r="D108" s="264" t="s">
        <v>200</v>
      </c>
      <c r="E108" s="13" t="s">
        <v>198</v>
      </c>
      <c r="F108" s="154"/>
      <c r="M108" s="89"/>
      <c r="N108" s="1"/>
    </row>
    <row r="109" spans="2:14" x14ac:dyDescent="0.2">
      <c r="B109" s="45" t="s">
        <v>4</v>
      </c>
      <c r="C109" s="277">
        <v>0</v>
      </c>
      <c r="D109" s="138">
        <v>0</v>
      </c>
      <c r="E109" s="262">
        <v>0</v>
      </c>
      <c r="F109" s="154"/>
      <c r="M109" s="89"/>
      <c r="N109" s="1"/>
    </row>
    <row r="110" spans="2:14" x14ac:dyDescent="0.2">
      <c r="B110" s="45" t="s">
        <v>5</v>
      </c>
      <c r="C110" s="277">
        <v>0</v>
      </c>
      <c r="D110" s="138">
        <v>0</v>
      </c>
      <c r="E110" s="262">
        <v>0</v>
      </c>
      <c r="F110" s="154"/>
      <c r="M110" s="89"/>
      <c r="N110" s="1"/>
    </row>
    <row r="111" spans="2:14" x14ac:dyDescent="0.2">
      <c r="B111" s="21"/>
      <c r="C111" s="11"/>
      <c r="D111" s="12"/>
      <c r="M111" s="89"/>
      <c r="N111" s="1"/>
    </row>
    <row r="112" spans="2:14" x14ac:dyDescent="0.2">
      <c r="B112" s="213" t="s">
        <v>136</v>
      </c>
      <c r="C112" s="232"/>
      <c r="D112" s="232"/>
      <c r="E112" s="232"/>
      <c r="F112" s="232"/>
      <c r="G112" s="232"/>
      <c r="H112" s="233"/>
      <c r="I112" s="32"/>
      <c r="M112" s="89"/>
    </row>
    <row r="113" spans="2:14" x14ac:dyDescent="0.2">
      <c r="B113" s="26" t="s">
        <v>15</v>
      </c>
      <c r="C113" s="27"/>
      <c r="D113" s="27"/>
      <c r="E113" s="66"/>
      <c r="F113" s="66"/>
      <c r="G113" s="66"/>
      <c r="H113" s="51"/>
      <c r="M113" s="89"/>
    </row>
    <row r="114" spans="2:14" x14ac:dyDescent="0.2">
      <c r="B114" s="71" t="s">
        <v>137</v>
      </c>
      <c r="C114" s="8" t="s">
        <v>199</v>
      </c>
      <c r="D114" s="230"/>
      <c r="E114" s="54" t="s">
        <v>221</v>
      </c>
      <c r="F114" s="50" t="s">
        <v>222</v>
      </c>
      <c r="G114" s="50" t="s">
        <v>223</v>
      </c>
      <c r="H114" s="50" t="s">
        <v>224</v>
      </c>
      <c r="K114" s="65"/>
      <c r="M114" s="89"/>
      <c r="N114" s="65"/>
    </row>
    <row r="115" spans="2:14" x14ac:dyDescent="0.2">
      <c r="B115" s="46" t="s">
        <v>138</v>
      </c>
      <c r="C115" s="139">
        <v>0</v>
      </c>
      <c r="D115" s="231"/>
      <c r="E115" s="62" t="s">
        <v>17</v>
      </c>
      <c r="F115" s="62" t="s">
        <v>17</v>
      </c>
      <c r="G115" s="10" t="s">
        <v>17</v>
      </c>
      <c r="H115" s="10" t="s">
        <v>17</v>
      </c>
      <c r="M115" s="89"/>
    </row>
    <row r="116" spans="2:14" x14ac:dyDescent="0.2">
      <c r="B116" s="46" t="s">
        <v>139</v>
      </c>
      <c r="C116" s="139">
        <v>0</v>
      </c>
      <c r="D116" s="231"/>
      <c r="E116" s="62" t="s">
        <v>17</v>
      </c>
      <c r="F116" s="62" t="s">
        <v>17</v>
      </c>
      <c r="G116" s="10" t="s">
        <v>17</v>
      </c>
      <c r="H116" s="10" t="s">
        <v>17</v>
      </c>
      <c r="M116" s="89"/>
    </row>
    <row r="117" spans="2:14" x14ac:dyDescent="0.2">
      <c r="B117" s="46" t="s">
        <v>148</v>
      </c>
      <c r="C117" s="139">
        <v>0</v>
      </c>
      <c r="D117" s="231"/>
      <c r="E117" s="62" t="s">
        <v>17</v>
      </c>
      <c r="F117" s="62" t="s">
        <v>17</v>
      </c>
      <c r="G117" s="62" t="s">
        <v>17</v>
      </c>
      <c r="H117" s="10" t="s">
        <v>17</v>
      </c>
      <c r="M117" s="89"/>
    </row>
    <row r="118" spans="2:14" x14ac:dyDescent="0.2">
      <c r="B118" s="72" t="s">
        <v>149</v>
      </c>
      <c r="C118" s="140">
        <v>0</v>
      </c>
      <c r="D118" s="231"/>
      <c r="E118" s="62" t="s">
        <v>17</v>
      </c>
      <c r="F118" s="62" t="s">
        <v>17</v>
      </c>
      <c r="G118" s="52" t="s">
        <v>17</v>
      </c>
      <c r="H118" s="52" t="s">
        <v>17</v>
      </c>
      <c r="M118" s="89"/>
    </row>
    <row r="119" spans="2:14" x14ac:dyDescent="0.2">
      <c r="B119" s="45" t="s">
        <v>142</v>
      </c>
      <c r="C119" s="63" t="s">
        <v>7</v>
      </c>
      <c r="D119" s="10" t="s">
        <v>161</v>
      </c>
      <c r="E119" s="64"/>
      <c r="F119" s="67"/>
      <c r="G119" s="67"/>
      <c r="H119" s="62"/>
      <c r="I119" s="32"/>
      <c r="K119" s="1"/>
      <c r="M119" s="89"/>
      <c r="N119" s="1"/>
    </row>
    <row r="120" spans="2:14" x14ac:dyDescent="0.2">
      <c r="B120" s="46" t="s">
        <v>140</v>
      </c>
      <c r="C120" s="96">
        <v>0</v>
      </c>
      <c r="D120" s="44">
        <v>9.9999999999999998E+37</v>
      </c>
      <c r="E120" s="62" t="s">
        <v>17</v>
      </c>
      <c r="F120" s="62" t="s">
        <v>17</v>
      </c>
      <c r="G120" s="10" t="s">
        <v>17</v>
      </c>
      <c r="H120" s="62" t="s">
        <v>17</v>
      </c>
      <c r="M120" s="1"/>
    </row>
    <row r="121" spans="2:14" x14ac:dyDescent="0.2">
      <c r="B121" s="46" t="s">
        <v>141</v>
      </c>
      <c r="C121" s="96">
        <v>0</v>
      </c>
      <c r="D121" s="44">
        <v>9.9999999999999998E+37</v>
      </c>
      <c r="E121" s="62" t="s">
        <v>17</v>
      </c>
      <c r="F121" s="62" t="s">
        <v>17</v>
      </c>
      <c r="G121" s="10" t="s">
        <v>17</v>
      </c>
      <c r="H121" s="10" t="s">
        <v>17</v>
      </c>
      <c r="M121" s="1"/>
    </row>
    <row r="122" spans="2:14" x14ac:dyDescent="0.2">
      <c r="B122" s="46" t="s">
        <v>150</v>
      </c>
      <c r="C122" s="96">
        <v>0</v>
      </c>
      <c r="D122" s="44">
        <v>9.9999999999999998E+37</v>
      </c>
      <c r="E122" s="62" t="s">
        <v>17</v>
      </c>
      <c r="F122" s="62" t="s">
        <v>17</v>
      </c>
      <c r="G122" s="10" t="s">
        <v>17</v>
      </c>
      <c r="H122" s="10" t="s">
        <v>17</v>
      </c>
      <c r="M122" s="1"/>
    </row>
    <row r="123" spans="2:14" ht="13.5" thickBot="1" x14ac:dyDescent="0.25">
      <c r="B123" s="74" t="s">
        <v>151</v>
      </c>
      <c r="C123" s="141">
        <v>0</v>
      </c>
      <c r="D123" s="238">
        <v>9.9999999999999998E+37</v>
      </c>
      <c r="E123" s="61" t="s">
        <v>17</v>
      </c>
      <c r="F123" s="237" t="s">
        <v>17</v>
      </c>
      <c r="G123" s="61" t="s">
        <v>17</v>
      </c>
      <c r="H123" s="61" t="s">
        <v>17</v>
      </c>
      <c r="M123" s="1"/>
    </row>
    <row r="124" spans="2:14" x14ac:dyDescent="0.2">
      <c r="B124" s="73" t="s">
        <v>34</v>
      </c>
      <c r="C124" s="70" t="s">
        <v>156</v>
      </c>
      <c r="D124" s="50" t="s">
        <v>161</v>
      </c>
      <c r="E124" s="234"/>
      <c r="F124" s="235"/>
      <c r="G124" s="235"/>
      <c r="H124" s="236"/>
      <c r="K124" s="58"/>
      <c r="L124" s="58"/>
      <c r="M124" s="1"/>
      <c r="N124" s="58"/>
    </row>
    <row r="125" spans="2:14" x14ac:dyDescent="0.2">
      <c r="B125" s="45" t="s">
        <v>152</v>
      </c>
      <c r="C125" s="105">
        <v>0</v>
      </c>
      <c r="D125" s="44">
        <v>9.9999999999999998E+37</v>
      </c>
      <c r="E125" s="62" t="s">
        <v>17</v>
      </c>
      <c r="F125" s="62" t="s">
        <v>17</v>
      </c>
      <c r="G125" s="10" t="s">
        <v>17</v>
      </c>
      <c r="H125" s="64" t="s">
        <v>17</v>
      </c>
      <c r="I125" s="154"/>
      <c r="M125" s="1"/>
    </row>
    <row r="126" spans="2:14" x14ac:dyDescent="0.2">
      <c r="B126" s="45" t="s">
        <v>153</v>
      </c>
      <c r="C126" s="105">
        <v>0</v>
      </c>
      <c r="D126" s="44">
        <v>9.9999999999999998E+37</v>
      </c>
      <c r="E126" s="62" t="s">
        <v>17</v>
      </c>
      <c r="F126" s="62" t="s">
        <v>17</v>
      </c>
      <c r="G126" s="62" t="s">
        <v>17</v>
      </c>
      <c r="H126" s="62" t="s">
        <v>17</v>
      </c>
      <c r="M126" s="1"/>
    </row>
    <row r="127" spans="2:14" x14ac:dyDescent="0.2">
      <c r="B127" s="45" t="s">
        <v>154</v>
      </c>
      <c r="C127" s="105">
        <v>0</v>
      </c>
      <c r="D127" s="44">
        <v>9.9999999999999998E+37</v>
      </c>
      <c r="E127" s="62" t="s">
        <v>17</v>
      </c>
      <c r="F127" s="62" t="s">
        <v>17</v>
      </c>
      <c r="G127" s="10" t="s">
        <v>17</v>
      </c>
      <c r="H127" s="10" t="s">
        <v>17</v>
      </c>
      <c r="M127" s="1"/>
    </row>
    <row r="128" spans="2:14" ht="13.5" thickBot="1" x14ac:dyDescent="0.25">
      <c r="B128" s="77" t="s">
        <v>155</v>
      </c>
      <c r="C128" s="142">
        <v>0</v>
      </c>
      <c r="D128" s="238">
        <v>9.9999999999999998E+37</v>
      </c>
      <c r="E128" s="61" t="s">
        <v>17</v>
      </c>
      <c r="F128" s="237" t="s">
        <v>17</v>
      </c>
      <c r="G128" s="61" t="s">
        <v>17</v>
      </c>
      <c r="H128" s="61" t="s">
        <v>17</v>
      </c>
      <c r="M128" s="1"/>
    </row>
    <row r="129" spans="2:14" x14ac:dyDescent="0.2">
      <c r="B129" s="75" t="s">
        <v>31</v>
      </c>
      <c r="C129" s="70" t="s">
        <v>9</v>
      </c>
      <c r="D129" s="50" t="s">
        <v>200</v>
      </c>
      <c r="E129" s="50" t="s">
        <v>198</v>
      </c>
      <c r="F129" s="50" t="s">
        <v>221</v>
      </c>
      <c r="G129" s="50" t="s">
        <v>222</v>
      </c>
      <c r="H129" s="76" t="s">
        <v>220</v>
      </c>
      <c r="I129" s="1"/>
      <c r="J129" s="1"/>
      <c r="K129" s="1"/>
      <c r="L129" s="58"/>
      <c r="M129" s="1"/>
      <c r="N129" s="1"/>
    </row>
    <row r="130" spans="2:14" x14ac:dyDescent="0.2">
      <c r="B130" s="45" t="s">
        <v>157</v>
      </c>
      <c r="C130" s="105">
        <v>0</v>
      </c>
      <c r="D130" s="143">
        <v>0</v>
      </c>
      <c r="E130" s="96">
        <v>0</v>
      </c>
      <c r="F130" s="62" t="s">
        <v>17</v>
      </c>
      <c r="G130" s="62" t="s">
        <v>16</v>
      </c>
      <c r="H130" s="95" t="s">
        <v>17</v>
      </c>
      <c r="I130" s="1"/>
      <c r="J130" s="1"/>
      <c r="K130" s="1"/>
      <c r="M130" s="1"/>
      <c r="N130" s="1"/>
    </row>
    <row r="131" spans="2:14" x14ac:dyDescent="0.2">
      <c r="B131" s="45" t="s">
        <v>158</v>
      </c>
      <c r="C131" s="105">
        <v>0</v>
      </c>
      <c r="D131" s="143">
        <v>0</v>
      </c>
      <c r="E131" s="96">
        <v>0</v>
      </c>
      <c r="F131" s="10" t="s">
        <v>17</v>
      </c>
      <c r="G131" s="62" t="s">
        <v>16</v>
      </c>
      <c r="H131" s="95" t="s">
        <v>17</v>
      </c>
      <c r="I131" s="1"/>
      <c r="J131" s="1"/>
      <c r="K131" s="1"/>
      <c r="M131" s="1"/>
      <c r="N131" s="1"/>
    </row>
    <row r="132" spans="2:14" x14ac:dyDescent="0.2">
      <c r="B132" s="45" t="s">
        <v>159</v>
      </c>
      <c r="C132" s="105">
        <v>0</v>
      </c>
      <c r="D132" s="143">
        <v>0</v>
      </c>
      <c r="E132" s="96">
        <v>0</v>
      </c>
      <c r="F132" s="62" t="s">
        <v>17</v>
      </c>
      <c r="G132" s="62" t="s">
        <v>16</v>
      </c>
      <c r="H132" s="95" t="s">
        <v>17</v>
      </c>
      <c r="I132" s="1"/>
      <c r="J132" s="1"/>
      <c r="K132" s="1"/>
      <c r="L132" s="1"/>
      <c r="M132" s="1"/>
      <c r="N132" s="1"/>
    </row>
    <row r="133" spans="2:14" x14ac:dyDescent="0.2">
      <c r="B133" s="45" t="s">
        <v>160</v>
      </c>
      <c r="C133" s="105">
        <v>0</v>
      </c>
      <c r="D133" s="143">
        <v>0</v>
      </c>
      <c r="E133" s="96">
        <v>0</v>
      </c>
      <c r="F133" s="62" t="s">
        <v>17</v>
      </c>
      <c r="G133" s="62" t="s">
        <v>16</v>
      </c>
      <c r="H133" s="62" t="s">
        <v>17</v>
      </c>
      <c r="L133" s="1"/>
    </row>
    <row r="134" spans="2:14" x14ac:dyDescent="0.2">
      <c r="B134" s="21"/>
      <c r="C134" s="59"/>
      <c r="D134" s="29"/>
      <c r="E134" s="31"/>
      <c r="F134" s="58"/>
      <c r="G134" s="58"/>
      <c r="H134" s="58"/>
      <c r="L134" s="1"/>
    </row>
    <row r="135" spans="2:14" x14ac:dyDescent="0.2">
      <c r="B135" s="5" t="s">
        <v>163</v>
      </c>
      <c r="C135" s="7"/>
      <c r="D135" s="7"/>
      <c r="E135" s="7"/>
      <c r="F135" s="7"/>
      <c r="G135" s="6"/>
      <c r="H135" s="32"/>
    </row>
    <row r="136" spans="2:14" ht="12.75" customHeight="1" x14ac:dyDescent="0.2">
      <c r="B136" s="34" t="s">
        <v>162</v>
      </c>
      <c r="C136" s="63" t="s">
        <v>201</v>
      </c>
      <c r="D136" s="63" t="s">
        <v>227</v>
      </c>
      <c r="E136" s="63" t="s">
        <v>228</v>
      </c>
      <c r="F136" s="63" t="s">
        <v>225</v>
      </c>
      <c r="G136" s="63" t="s">
        <v>226</v>
      </c>
      <c r="H136" s="32"/>
      <c r="I136" s="68"/>
    </row>
    <row r="137" spans="2:14" x14ac:dyDescent="0.2">
      <c r="B137" s="45" t="s">
        <v>41</v>
      </c>
      <c r="C137" s="96">
        <v>0</v>
      </c>
      <c r="D137" s="62" t="s">
        <v>17</v>
      </c>
      <c r="E137" s="62" t="s">
        <v>17</v>
      </c>
      <c r="F137" s="62" t="s">
        <v>17</v>
      </c>
      <c r="G137" s="62" t="s">
        <v>17</v>
      </c>
      <c r="H137" s="1"/>
    </row>
    <row r="138" spans="2:14" ht="12.75" customHeight="1" x14ac:dyDescent="0.2">
      <c r="B138" s="45" t="s">
        <v>42</v>
      </c>
      <c r="C138" s="96">
        <v>0</v>
      </c>
      <c r="D138" s="62" t="s">
        <v>17</v>
      </c>
      <c r="E138" s="10" t="s">
        <v>17</v>
      </c>
      <c r="F138" s="10" t="s">
        <v>17</v>
      </c>
      <c r="G138" s="10" t="s">
        <v>17</v>
      </c>
      <c r="H138" s="1"/>
    </row>
    <row r="139" spans="2:14" x14ac:dyDescent="0.2">
      <c r="B139" s="45" t="s">
        <v>43</v>
      </c>
      <c r="C139" s="96">
        <v>0</v>
      </c>
      <c r="D139" s="62" t="s">
        <v>17</v>
      </c>
      <c r="E139" s="10" t="s">
        <v>17</v>
      </c>
      <c r="F139" s="10" t="s">
        <v>17</v>
      </c>
      <c r="G139" s="10" t="s">
        <v>17</v>
      </c>
      <c r="H139" s="1"/>
    </row>
    <row r="140" spans="2:14" x14ac:dyDescent="0.2">
      <c r="B140" s="45" t="s">
        <v>44</v>
      </c>
      <c r="C140" s="96">
        <v>0</v>
      </c>
      <c r="D140" s="10" t="s">
        <v>17</v>
      </c>
      <c r="E140" s="10" t="s">
        <v>17</v>
      </c>
      <c r="F140" s="10" t="s">
        <v>17</v>
      </c>
      <c r="G140" s="10" t="s">
        <v>17</v>
      </c>
      <c r="H140" s="1"/>
    </row>
    <row r="141" spans="2:14" x14ac:dyDescent="0.2">
      <c r="B141" s="45" t="s">
        <v>45</v>
      </c>
      <c r="C141" s="96">
        <v>0</v>
      </c>
      <c r="D141" s="10" t="s">
        <v>17</v>
      </c>
      <c r="E141" s="10" t="s">
        <v>17</v>
      </c>
      <c r="F141" s="10" t="s">
        <v>17</v>
      </c>
      <c r="G141" s="10" t="s">
        <v>17</v>
      </c>
      <c r="H141" s="1"/>
    </row>
    <row r="142" spans="2:14" x14ac:dyDescent="0.2">
      <c r="B142" s="45" t="s">
        <v>46</v>
      </c>
      <c r="C142" s="96">
        <v>0</v>
      </c>
      <c r="D142" s="52" t="s">
        <v>17</v>
      </c>
      <c r="E142" s="52" t="s">
        <v>17</v>
      </c>
      <c r="F142" s="52" t="s">
        <v>17</v>
      </c>
      <c r="G142" s="52" t="s">
        <v>17</v>
      </c>
      <c r="H142" s="1"/>
    </row>
    <row r="143" spans="2:14" x14ac:dyDescent="0.2">
      <c r="B143" s="45" t="s">
        <v>354</v>
      </c>
      <c r="C143" s="96">
        <v>0</v>
      </c>
      <c r="D143" s="52" t="s">
        <v>17</v>
      </c>
      <c r="E143" s="52" t="s">
        <v>17</v>
      </c>
      <c r="F143" s="52" t="s">
        <v>17</v>
      </c>
      <c r="G143" s="52" t="s">
        <v>17</v>
      </c>
      <c r="H143" s="1"/>
    </row>
    <row r="144" spans="2:14" ht="12" customHeight="1" x14ac:dyDescent="0.2">
      <c r="B144" s="45" t="s">
        <v>181</v>
      </c>
      <c r="C144" s="146">
        <f>100-C145</f>
        <v>100</v>
      </c>
      <c r="D144" s="189">
        <v>0</v>
      </c>
      <c r="E144" s="189">
        <v>0</v>
      </c>
      <c r="F144" s="188"/>
      <c r="G144" s="188"/>
      <c r="H144" s="1"/>
    </row>
    <row r="145" spans="2:43" x14ac:dyDescent="0.2">
      <c r="B145" s="45" t="s">
        <v>13</v>
      </c>
      <c r="C145" s="146">
        <f>SUM(C137:C143)</f>
        <v>0</v>
      </c>
      <c r="D145" s="154"/>
      <c r="G145" s="24"/>
      <c r="H145" s="1"/>
    </row>
    <row r="146" spans="2:43" x14ac:dyDescent="0.2">
      <c r="E146" s="69"/>
    </row>
    <row r="147" spans="2:43" x14ac:dyDescent="0.2">
      <c r="B147" s="5" t="s">
        <v>256</v>
      </c>
      <c r="C147" s="251">
        <v>0</v>
      </c>
      <c r="D147" s="251">
        <f>C147+1</f>
        <v>1</v>
      </c>
      <c r="E147" s="251">
        <f>D147+1</f>
        <v>2</v>
      </c>
      <c r="F147" s="251">
        <f t="shared" ref="F147:AQ147" si="1">E147+1</f>
        <v>3</v>
      </c>
      <c r="G147" s="251">
        <f>F147+1</f>
        <v>4</v>
      </c>
      <c r="H147" s="251">
        <f t="shared" si="1"/>
        <v>5</v>
      </c>
      <c r="I147" s="251">
        <f t="shared" si="1"/>
        <v>6</v>
      </c>
      <c r="J147" s="251">
        <f t="shared" si="1"/>
        <v>7</v>
      </c>
      <c r="K147" s="251">
        <f t="shared" si="1"/>
        <v>8</v>
      </c>
      <c r="L147" s="251">
        <f t="shared" si="1"/>
        <v>9</v>
      </c>
      <c r="M147" s="251">
        <f t="shared" si="1"/>
        <v>10</v>
      </c>
      <c r="N147" s="251">
        <f t="shared" si="1"/>
        <v>11</v>
      </c>
      <c r="O147" s="251">
        <f t="shared" si="1"/>
        <v>12</v>
      </c>
      <c r="P147" s="251">
        <f t="shared" si="1"/>
        <v>13</v>
      </c>
      <c r="Q147" s="251">
        <f t="shared" si="1"/>
        <v>14</v>
      </c>
      <c r="R147" s="251">
        <f t="shared" si="1"/>
        <v>15</v>
      </c>
      <c r="S147" s="251">
        <f t="shared" si="1"/>
        <v>16</v>
      </c>
      <c r="T147" s="251">
        <f t="shared" si="1"/>
        <v>17</v>
      </c>
      <c r="U147" s="251">
        <f t="shared" si="1"/>
        <v>18</v>
      </c>
      <c r="V147" s="251">
        <f t="shared" si="1"/>
        <v>19</v>
      </c>
      <c r="W147" s="251">
        <f t="shared" si="1"/>
        <v>20</v>
      </c>
      <c r="X147" s="251">
        <f t="shared" si="1"/>
        <v>21</v>
      </c>
      <c r="Y147" s="251">
        <f t="shared" si="1"/>
        <v>22</v>
      </c>
      <c r="Z147" s="251">
        <f t="shared" si="1"/>
        <v>23</v>
      </c>
      <c r="AA147" s="251">
        <f t="shared" si="1"/>
        <v>24</v>
      </c>
      <c r="AB147" s="251">
        <f t="shared" si="1"/>
        <v>25</v>
      </c>
      <c r="AC147" s="251">
        <f t="shared" si="1"/>
        <v>26</v>
      </c>
      <c r="AD147" s="251">
        <f t="shared" si="1"/>
        <v>27</v>
      </c>
      <c r="AE147" s="251">
        <f t="shared" si="1"/>
        <v>28</v>
      </c>
      <c r="AF147" s="251">
        <f t="shared" si="1"/>
        <v>29</v>
      </c>
      <c r="AG147" s="251">
        <f t="shared" si="1"/>
        <v>30</v>
      </c>
      <c r="AH147" s="251">
        <f t="shared" si="1"/>
        <v>31</v>
      </c>
      <c r="AI147" s="251">
        <f t="shared" si="1"/>
        <v>32</v>
      </c>
      <c r="AJ147" s="251">
        <f t="shared" si="1"/>
        <v>33</v>
      </c>
      <c r="AK147" s="251">
        <f t="shared" si="1"/>
        <v>34</v>
      </c>
      <c r="AL147" s="251">
        <f t="shared" si="1"/>
        <v>35</v>
      </c>
      <c r="AM147" s="251">
        <f t="shared" si="1"/>
        <v>36</v>
      </c>
      <c r="AN147" s="251">
        <f t="shared" si="1"/>
        <v>37</v>
      </c>
      <c r="AO147" s="251">
        <f t="shared" si="1"/>
        <v>38</v>
      </c>
      <c r="AP147" s="251">
        <f t="shared" si="1"/>
        <v>39</v>
      </c>
      <c r="AQ147" s="282">
        <f t="shared" si="1"/>
        <v>40</v>
      </c>
    </row>
    <row r="148" spans="2:43" x14ac:dyDescent="0.2">
      <c r="B148" s="296" t="s">
        <v>361</v>
      </c>
      <c r="C148" s="297"/>
      <c r="D148" s="298"/>
      <c r="E148" s="298"/>
      <c r="F148" s="298"/>
      <c r="G148" s="298"/>
      <c r="H148" s="298"/>
      <c r="I148" s="298"/>
      <c r="J148" s="298"/>
      <c r="K148" s="298"/>
      <c r="L148" s="298"/>
      <c r="M148" s="298"/>
      <c r="N148" s="298"/>
      <c r="O148" s="298"/>
      <c r="P148" s="298"/>
      <c r="Q148" s="298"/>
      <c r="R148" s="298"/>
      <c r="S148" s="298"/>
      <c r="T148" s="298"/>
      <c r="U148" s="298"/>
      <c r="V148" s="298"/>
      <c r="W148" s="298"/>
      <c r="X148" s="298"/>
      <c r="Y148" s="298"/>
      <c r="Z148" s="298"/>
      <c r="AA148" s="298"/>
      <c r="AB148" s="298"/>
      <c r="AC148" s="298"/>
      <c r="AD148" s="298"/>
      <c r="AE148" s="298"/>
      <c r="AF148" s="298"/>
      <c r="AG148" s="298"/>
      <c r="AH148" s="298"/>
      <c r="AI148" s="298"/>
      <c r="AJ148" s="298"/>
      <c r="AK148" s="298"/>
      <c r="AL148" s="298"/>
      <c r="AM148" s="298"/>
      <c r="AN148" s="298"/>
      <c r="AO148" s="298"/>
      <c r="AP148" s="298"/>
      <c r="AQ148" s="299"/>
    </row>
    <row r="149" spans="2:43" x14ac:dyDescent="0.2">
      <c r="B149" s="278" t="s">
        <v>362</v>
      </c>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c r="AA149" s="196"/>
      <c r="AB149" s="196"/>
      <c r="AC149" s="196"/>
      <c r="AD149" s="196"/>
      <c r="AE149" s="196"/>
      <c r="AF149" s="196"/>
      <c r="AG149" s="196"/>
      <c r="AH149" s="196"/>
      <c r="AI149" s="196"/>
      <c r="AJ149" s="196"/>
      <c r="AK149" s="196"/>
      <c r="AL149" s="196"/>
      <c r="AM149" s="196"/>
      <c r="AN149" s="196"/>
      <c r="AO149" s="196"/>
      <c r="AP149" s="196"/>
      <c r="AQ149" s="196"/>
    </row>
    <row r="150" spans="2:43" x14ac:dyDescent="0.2">
      <c r="B150" s="278" t="s">
        <v>363</v>
      </c>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c r="AA150" s="196"/>
      <c r="AB150" s="196"/>
      <c r="AC150" s="196"/>
      <c r="AD150" s="196"/>
      <c r="AE150" s="196"/>
      <c r="AF150" s="196"/>
      <c r="AG150" s="196"/>
      <c r="AH150" s="196"/>
      <c r="AI150" s="196"/>
      <c r="AJ150" s="196"/>
      <c r="AK150" s="196"/>
      <c r="AL150" s="196"/>
      <c r="AM150" s="196"/>
      <c r="AN150" s="196"/>
      <c r="AO150" s="196"/>
      <c r="AP150" s="196"/>
      <c r="AQ150" s="196"/>
    </row>
    <row r="151" spans="2:43" x14ac:dyDescent="0.2">
      <c r="B151" s="278" t="s">
        <v>364</v>
      </c>
      <c r="C151" s="196"/>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c r="AA151" s="196"/>
      <c r="AB151" s="196"/>
      <c r="AC151" s="196"/>
      <c r="AD151" s="196"/>
      <c r="AE151" s="196"/>
      <c r="AF151" s="196"/>
      <c r="AG151" s="196"/>
      <c r="AH151" s="196"/>
      <c r="AI151" s="196"/>
      <c r="AJ151" s="196"/>
      <c r="AK151" s="196"/>
      <c r="AL151" s="196"/>
      <c r="AM151" s="196"/>
      <c r="AN151" s="196"/>
      <c r="AO151" s="196"/>
      <c r="AP151" s="196"/>
      <c r="AQ151" s="196"/>
    </row>
    <row r="152" spans="2:43" x14ac:dyDescent="0.2">
      <c r="B152" s="278" t="s">
        <v>365</v>
      </c>
      <c r="C152" s="196"/>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c r="AA152" s="196"/>
      <c r="AB152" s="196"/>
      <c r="AC152" s="196"/>
      <c r="AD152" s="196"/>
      <c r="AE152" s="196"/>
      <c r="AF152" s="196"/>
      <c r="AG152" s="196"/>
      <c r="AH152" s="196"/>
      <c r="AI152" s="196"/>
      <c r="AJ152" s="196"/>
      <c r="AK152" s="196"/>
      <c r="AL152" s="196"/>
      <c r="AM152" s="196"/>
      <c r="AN152" s="196"/>
      <c r="AO152" s="196"/>
      <c r="AP152" s="196"/>
      <c r="AQ152" s="196"/>
    </row>
    <row r="153" spans="2:43" x14ac:dyDescent="0.2">
      <c r="B153" s="278" t="s">
        <v>366</v>
      </c>
      <c r="C153" s="196"/>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c r="AA153" s="196"/>
      <c r="AB153" s="196"/>
      <c r="AC153" s="196"/>
      <c r="AD153" s="196"/>
      <c r="AE153" s="196"/>
      <c r="AF153" s="196"/>
      <c r="AG153" s="196"/>
      <c r="AH153" s="196"/>
      <c r="AI153" s="196"/>
      <c r="AJ153" s="196"/>
      <c r="AK153" s="196"/>
      <c r="AL153" s="196"/>
      <c r="AM153" s="196"/>
      <c r="AN153" s="196"/>
      <c r="AO153" s="196"/>
      <c r="AP153" s="196"/>
      <c r="AQ153" s="196"/>
    </row>
    <row r="154" spans="2:43" x14ac:dyDescent="0.2">
      <c r="B154" s="278" t="s">
        <v>367</v>
      </c>
      <c r="C154" s="196"/>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c r="AA154" s="196"/>
      <c r="AB154" s="196"/>
      <c r="AC154" s="196"/>
      <c r="AD154" s="196"/>
      <c r="AE154" s="196"/>
      <c r="AF154" s="196"/>
      <c r="AG154" s="196"/>
      <c r="AH154" s="196"/>
      <c r="AI154" s="196"/>
      <c r="AJ154" s="196"/>
      <c r="AK154" s="196"/>
      <c r="AL154" s="196"/>
      <c r="AM154" s="196"/>
      <c r="AN154" s="196"/>
      <c r="AO154" s="196"/>
      <c r="AP154" s="196"/>
      <c r="AQ154" s="196"/>
    </row>
    <row r="155" spans="2:43" x14ac:dyDescent="0.2">
      <c r="B155" s="302" t="s">
        <v>368</v>
      </c>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c r="AA155" s="289"/>
      <c r="AB155" s="289"/>
      <c r="AC155" s="289"/>
      <c r="AD155" s="289"/>
      <c r="AE155" s="289"/>
      <c r="AF155" s="289"/>
      <c r="AG155" s="289"/>
      <c r="AH155" s="289"/>
      <c r="AI155" s="289"/>
      <c r="AJ155" s="289"/>
      <c r="AK155" s="289"/>
      <c r="AL155" s="289"/>
      <c r="AM155" s="289"/>
      <c r="AN155" s="289"/>
      <c r="AO155" s="289"/>
      <c r="AP155" s="289"/>
      <c r="AQ155" s="290"/>
    </row>
    <row r="156" spans="2:43" x14ac:dyDescent="0.2">
      <c r="B156" s="300" t="s">
        <v>341</v>
      </c>
      <c r="C156" s="30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row>
    <row r="157" spans="2:43" x14ac:dyDescent="0.2">
      <c r="B157" s="278" t="s">
        <v>344</v>
      </c>
      <c r="C157" s="196"/>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c r="AA157" s="196"/>
      <c r="AB157" s="196"/>
      <c r="AC157" s="196"/>
      <c r="AD157" s="196"/>
      <c r="AE157" s="196"/>
      <c r="AF157" s="196"/>
      <c r="AG157" s="196"/>
      <c r="AH157" s="196"/>
      <c r="AI157" s="196"/>
      <c r="AJ157" s="196"/>
      <c r="AK157" s="196"/>
      <c r="AL157" s="196"/>
      <c r="AM157" s="196"/>
      <c r="AN157" s="196"/>
      <c r="AO157" s="196"/>
      <c r="AP157" s="196"/>
      <c r="AQ157" s="196"/>
    </row>
    <row r="158" spans="2:43" x14ac:dyDescent="0.2">
      <c r="B158" s="279" t="s">
        <v>342</v>
      </c>
      <c r="C158" s="196"/>
      <c r="D158" s="196"/>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c r="AA158" s="196"/>
      <c r="AB158" s="196"/>
      <c r="AC158" s="196"/>
      <c r="AD158" s="196"/>
      <c r="AE158" s="196"/>
      <c r="AF158" s="196"/>
      <c r="AG158" s="196"/>
      <c r="AH158" s="196"/>
      <c r="AI158" s="196"/>
      <c r="AJ158" s="196"/>
      <c r="AK158" s="196"/>
      <c r="AL158" s="196"/>
      <c r="AM158" s="196"/>
      <c r="AN158" s="196"/>
      <c r="AO158" s="196"/>
      <c r="AP158" s="196"/>
      <c r="AQ158" s="196"/>
    </row>
    <row r="159" spans="2:43" x14ac:dyDescent="0.2">
      <c r="B159" s="279" t="s">
        <v>343</v>
      </c>
      <c r="C159" s="196"/>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c r="AA159" s="196"/>
      <c r="AB159" s="196"/>
      <c r="AC159" s="196"/>
      <c r="AD159" s="196"/>
      <c r="AE159" s="196"/>
      <c r="AF159" s="196"/>
      <c r="AG159" s="196"/>
      <c r="AH159" s="196"/>
      <c r="AI159" s="196"/>
      <c r="AJ159" s="196"/>
      <c r="AK159" s="196"/>
      <c r="AL159" s="196"/>
      <c r="AM159" s="196"/>
      <c r="AN159" s="196"/>
      <c r="AO159" s="196"/>
      <c r="AP159" s="196"/>
      <c r="AQ159" s="196"/>
    </row>
    <row r="160" spans="2:43" x14ac:dyDescent="0.2">
      <c r="B160" s="279" t="s">
        <v>402</v>
      </c>
      <c r="C160" s="196"/>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c r="AA160" s="196"/>
      <c r="AB160" s="196"/>
      <c r="AC160" s="196"/>
      <c r="AD160" s="196"/>
      <c r="AE160" s="196"/>
      <c r="AF160" s="196"/>
      <c r="AG160" s="196"/>
      <c r="AH160" s="196"/>
      <c r="AI160" s="196"/>
      <c r="AJ160" s="196"/>
      <c r="AK160" s="196"/>
      <c r="AL160" s="196"/>
      <c r="AM160" s="196"/>
      <c r="AN160" s="196"/>
      <c r="AO160" s="196"/>
      <c r="AP160" s="196"/>
      <c r="AQ160" s="196"/>
    </row>
    <row r="161" spans="2:43" ht="13.5" customHeight="1" x14ac:dyDescent="0.2">
      <c r="B161" s="254" t="s">
        <v>324</v>
      </c>
    </row>
    <row r="162" spans="2:43" ht="13.5" customHeight="1" x14ac:dyDescent="0.2">
      <c r="B162" s="71" t="s">
        <v>304</v>
      </c>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c r="AA162" s="196"/>
      <c r="AB162" s="196"/>
      <c r="AC162" s="196"/>
      <c r="AD162" s="196"/>
      <c r="AE162" s="196"/>
      <c r="AF162" s="196"/>
      <c r="AG162" s="196"/>
      <c r="AH162" s="196"/>
      <c r="AI162" s="196"/>
      <c r="AJ162" s="196"/>
      <c r="AK162" s="196"/>
      <c r="AL162" s="196"/>
      <c r="AM162" s="196"/>
      <c r="AN162" s="196"/>
      <c r="AO162" s="196"/>
      <c r="AP162" s="196"/>
      <c r="AQ162" s="196"/>
    </row>
    <row r="163" spans="2:43" ht="13.5" customHeight="1" x14ac:dyDescent="0.2">
      <c r="B163" s="71" t="s">
        <v>311</v>
      </c>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row>
    <row r="164" spans="2:43" ht="13.5" customHeight="1" x14ac:dyDescent="0.2">
      <c r="B164" s="254" t="s">
        <v>257</v>
      </c>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7"/>
      <c r="Y164" s="257"/>
      <c r="Z164" s="257"/>
      <c r="AA164" s="257"/>
      <c r="AB164" s="257"/>
      <c r="AC164" s="257"/>
      <c r="AD164" s="257"/>
      <c r="AE164" s="257"/>
      <c r="AF164" s="257"/>
      <c r="AG164" s="257"/>
      <c r="AH164" s="257"/>
      <c r="AI164" s="257"/>
      <c r="AJ164" s="257"/>
      <c r="AK164" s="257"/>
      <c r="AL164" s="257"/>
      <c r="AM164" s="257"/>
      <c r="AN164" s="257"/>
      <c r="AO164" s="257"/>
      <c r="AP164" s="257"/>
      <c r="AQ164" s="258"/>
    </row>
    <row r="165" spans="2:43" ht="13.5" customHeight="1" x14ac:dyDescent="0.2">
      <c r="B165" s="71" t="s">
        <v>214</v>
      </c>
      <c r="C165" s="255"/>
      <c r="D165" s="256"/>
      <c r="E165" s="256"/>
      <c r="F165" s="256"/>
      <c r="G165" s="256"/>
      <c r="H165" s="256"/>
      <c r="I165" s="256"/>
      <c r="J165" s="256"/>
      <c r="K165" s="256"/>
      <c r="L165" s="256"/>
      <c r="M165" s="256"/>
      <c r="N165" s="256"/>
      <c r="O165" s="256"/>
      <c r="P165" s="256"/>
      <c r="Q165" s="256"/>
      <c r="R165" s="256"/>
      <c r="S165" s="256"/>
      <c r="T165" s="256"/>
      <c r="U165" s="256"/>
      <c r="V165" s="256"/>
      <c r="W165" s="256"/>
      <c r="X165" s="256"/>
      <c r="Y165" s="256"/>
      <c r="Z165" s="256"/>
      <c r="AA165" s="256"/>
      <c r="AB165" s="256"/>
      <c r="AC165" s="256"/>
      <c r="AD165" s="256"/>
      <c r="AE165" s="256"/>
      <c r="AF165" s="256"/>
      <c r="AG165" s="256"/>
      <c r="AH165" s="256"/>
      <c r="AI165" s="256"/>
      <c r="AJ165" s="256"/>
      <c r="AK165" s="256"/>
      <c r="AL165" s="256"/>
      <c r="AM165" s="256"/>
      <c r="AN165" s="256"/>
      <c r="AO165" s="256"/>
      <c r="AP165" s="256"/>
      <c r="AQ165" s="256"/>
    </row>
    <row r="166" spans="2:43" x14ac:dyDescent="0.2">
      <c r="B166" s="45" t="s">
        <v>12</v>
      </c>
      <c r="C166" s="252"/>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c r="AA166" s="253"/>
      <c r="AB166" s="253"/>
      <c r="AC166" s="253"/>
      <c r="AD166" s="253"/>
      <c r="AE166" s="253"/>
      <c r="AF166" s="253"/>
      <c r="AG166" s="253"/>
      <c r="AH166" s="253"/>
      <c r="AI166" s="253"/>
      <c r="AJ166" s="253"/>
      <c r="AK166" s="253"/>
      <c r="AL166" s="253"/>
      <c r="AM166" s="253"/>
      <c r="AN166" s="253"/>
      <c r="AO166" s="253"/>
      <c r="AP166" s="253"/>
      <c r="AQ166" s="253"/>
    </row>
    <row r="167" spans="2:43" ht="12" customHeight="1" x14ac:dyDescent="0.2">
      <c r="B167" s="259" t="s">
        <v>14</v>
      </c>
      <c r="C167" s="260"/>
      <c r="D167" s="261"/>
      <c r="E167" s="261"/>
      <c r="F167" s="261"/>
      <c r="G167" s="261"/>
      <c r="H167" s="261"/>
      <c r="I167" s="261"/>
      <c r="J167" s="261"/>
      <c r="K167" s="261"/>
      <c r="L167" s="261"/>
      <c r="M167" s="261"/>
      <c r="N167" s="261"/>
      <c r="O167" s="261"/>
      <c r="P167" s="261"/>
      <c r="Q167" s="261"/>
      <c r="R167" s="261"/>
      <c r="S167" s="261"/>
      <c r="T167" s="261"/>
      <c r="U167" s="261"/>
      <c r="V167" s="261"/>
      <c r="W167" s="261"/>
      <c r="X167" s="261"/>
      <c r="Y167" s="261"/>
      <c r="Z167" s="261"/>
      <c r="AA167" s="261"/>
      <c r="AB167" s="261"/>
      <c r="AC167" s="261"/>
      <c r="AD167" s="261"/>
      <c r="AE167" s="261"/>
      <c r="AF167" s="261"/>
      <c r="AG167" s="261"/>
      <c r="AH167" s="261"/>
      <c r="AI167" s="261"/>
      <c r="AJ167" s="261"/>
      <c r="AK167" s="261"/>
      <c r="AL167" s="261"/>
      <c r="AM167" s="261"/>
      <c r="AN167" s="261"/>
      <c r="AO167" s="261"/>
      <c r="AP167" s="261"/>
      <c r="AQ167" s="261"/>
    </row>
    <row r="168" spans="2:43" ht="12" customHeight="1" x14ac:dyDescent="0.2">
      <c r="B168" s="254" t="s">
        <v>263</v>
      </c>
      <c r="C168" s="257"/>
      <c r="D168" s="257"/>
      <c r="E168" s="257"/>
      <c r="F168" s="257"/>
      <c r="G168" s="257"/>
      <c r="H168" s="257"/>
      <c r="I168" s="257"/>
      <c r="J168" s="257"/>
      <c r="K168" s="257"/>
      <c r="L168" s="257"/>
      <c r="M168" s="257"/>
      <c r="N168" s="257"/>
      <c r="O168" s="257"/>
      <c r="P168" s="257"/>
      <c r="Q168" s="257"/>
      <c r="R168" s="257"/>
      <c r="S168" s="257"/>
      <c r="T168" s="257"/>
      <c r="U168" s="257"/>
      <c r="V168" s="257"/>
      <c r="W168" s="257"/>
      <c r="X168" s="257"/>
      <c r="Y168" s="257"/>
      <c r="Z168" s="257"/>
      <c r="AA168" s="257"/>
      <c r="AB168" s="257"/>
      <c r="AC168" s="257"/>
      <c r="AD168" s="257"/>
      <c r="AE168" s="257"/>
      <c r="AF168" s="257"/>
      <c r="AG168" s="257"/>
      <c r="AH168" s="257"/>
      <c r="AI168" s="257"/>
      <c r="AJ168" s="257"/>
      <c r="AK168" s="257"/>
      <c r="AL168" s="257"/>
      <c r="AM168" s="257"/>
      <c r="AN168" s="257"/>
      <c r="AO168" s="257"/>
      <c r="AP168" s="257"/>
      <c r="AQ168" s="258"/>
    </row>
    <row r="169" spans="2:43" ht="12" customHeight="1" x14ac:dyDescent="0.2">
      <c r="B169" s="71" t="s">
        <v>94</v>
      </c>
      <c r="C169" s="261"/>
      <c r="D169" s="261"/>
      <c r="E169" s="256"/>
      <c r="F169" s="256"/>
      <c r="G169" s="256"/>
      <c r="H169" s="256"/>
      <c r="I169" s="256"/>
      <c r="J169" s="256"/>
      <c r="K169" s="256"/>
      <c r="L169" s="256"/>
      <c r="M169" s="256"/>
      <c r="N169" s="256"/>
      <c r="O169" s="256"/>
      <c r="P169" s="256"/>
      <c r="Q169" s="256"/>
      <c r="R169" s="256"/>
      <c r="S169" s="256"/>
      <c r="T169" s="256"/>
      <c r="U169" s="256"/>
      <c r="V169" s="256"/>
      <c r="W169" s="256"/>
      <c r="X169" s="256"/>
      <c r="Y169" s="256"/>
      <c r="Z169" s="256"/>
      <c r="AA169" s="256"/>
      <c r="AB169" s="256"/>
      <c r="AC169" s="256"/>
      <c r="AD169" s="256"/>
      <c r="AE169" s="256"/>
      <c r="AF169" s="256"/>
      <c r="AG169" s="256"/>
      <c r="AH169" s="256"/>
      <c r="AI169" s="256"/>
      <c r="AJ169" s="256"/>
      <c r="AK169" s="256"/>
      <c r="AL169" s="256"/>
      <c r="AM169" s="256"/>
      <c r="AN169" s="256"/>
      <c r="AO169" s="256"/>
      <c r="AP169" s="256"/>
      <c r="AQ169" s="256"/>
    </row>
    <row r="170" spans="2:43" ht="12" customHeight="1" x14ac:dyDescent="0.2">
      <c r="B170" s="259" t="s">
        <v>93</v>
      </c>
      <c r="C170" s="261"/>
      <c r="D170" s="261"/>
      <c r="E170" s="261"/>
      <c r="F170" s="261"/>
      <c r="G170" s="261"/>
      <c r="H170" s="261"/>
      <c r="I170" s="261"/>
      <c r="J170" s="261"/>
      <c r="K170" s="261"/>
      <c r="L170" s="261"/>
      <c r="M170" s="261"/>
      <c r="N170" s="261"/>
      <c r="O170" s="261"/>
      <c r="P170" s="261"/>
      <c r="Q170" s="261"/>
      <c r="R170" s="261"/>
      <c r="S170" s="261"/>
      <c r="T170" s="261"/>
      <c r="U170" s="261"/>
      <c r="V170" s="261"/>
      <c r="W170" s="261"/>
      <c r="X170" s="261"/>
      <c r="Y170" s="261"/>
      <c r="Z170" s="261"/>
      <c r="AA170" s="261"/>
      <c r="AB170" s="261"/>
      <c r="AC170" s="261"/>
      <c r="AD170" s="261"/>
      <c r="AE170" s="261"/>
      <c r="AF170" s="261"/>
      <c r="AG170" s="261"/>
      <c r="AH170" s="261"/>
      <c r="AI170" s="261"/>
      <c r="AJ170" s="261"/>
      <c r="AK170" s="261"/>
      <c r="AL170" s="261"/>
      <c r="AM170" s="261"/>
      <c r="AN170" s="261"/>
      <c r="AO170" s="261"/>
      <c r="AP170" s="261"/>
      <c r="AQ170" s="261"/>
    </row>
    <row r="171" spans="2:43" x14ac:dyDescent="0.2">
      <c r="B171" s="254" t="s">
        <v>259</v>
      </c>
      <c r="C171" s="257"/>
      <c r="D171" s="257"/>
      <c r="E171" s="257"/>
      <c r="F171" s="257"/>
      <c r="G171" s="257"/>
      <c r="H171" s="257"/>
      <c r="I171" s="257"/>
      <c r="J171" s="257"/>
      <c r="K171" s="257"/>
      <c r="L171" s="257"/>
      <c r="M171" s="257"/>
      <c r="N171" s="257"/>
      <c r="O171" s="257"/>
      <c r="P171" s="257"/>
      <c r="Q171" s="257"/>
      <c r="R171" s="257"/>
      <c r="S171" s="257"/>
      <c r="T171" s="257"/>
      <c r="U171" s="257"/>
      <c r="V171" s="257"/>
      <c r="W171" s="257"/>
      <c r="X171" s="257"/>
      <c r="Y171" s="257"/>
      <c r="Z171" s="257"/>
      <c r="AA171" s="257"/>
      <c r="AB171" s="257"/>
      <c r="AC171" s="257"/>
      <c r="AD171" s="257"/>
      <c r="AE171" s="257"/>
      <c r="AF171" s="257"/>
      <c r="AG171" s="257"/>
      <c r="AH171" s="257"/>
      <c r="AI171" s="257"/>
      <c r="AJ171" s="257"/>
      <c r="AK171" s="257"/>
      <c r="AL171" s="257"/>
      <c r="AM171" s="257"/>
      <c r="AN171" s="257"/>
      <c r="AO171" s="257"/>
      <c r="AP171" s="257"/>
      <c r="AQ171" s="258"/>
    </row>
    <row r="172" spans="2:43" x14ac:dyDescent="0.2">
      <c r="B172" s="71" t="s">
        <v>4</v>
      </c>
      <c r="C172" s="255"/>
      <c r="D172" s="256"/>
      <c r="E172" s="256"/>
      <c r="F172" s="256"/>
      <c r="G172" s="256"/>
      <c r="H172" s="256"/>
      <c r="I172" s="256"/>
      <c r="J172" s="256"/>
      <c r="K172" s="256"/>
      <c r="L172" s="256"/>
      <c r="M172" s="256"/>
      <c r="N172" s="256"/>
      <c r="O172" s="256"/>
      <c r="P172" s="256"/>
      <c r="Q172" s="256"/>
      <c r="R172" s="256"/>
      <c r="S172" s="256"/>
      <c r="T172" s="256"/>
      <c r="U172" s="256"/>
      <c r="V172" s="256"/>
      <c r="W172" s="256"/>
      <c r="X172" s="256"/>
      <c r="Y172" s="256"/>
      <c r="Z172" s="256"/>
      <c r="AA172" s="256"/>
      <c r="AB172" s="256"/>
      <c r="AC172" s="256"/>
      <c r="AD172" s="256"/>
      <c r="AE172" s="256"/>
      <c r="AF172" s="256"/>
      <c r="AG172" s="256"/>
      <c r="AH172" s="256"/>
      <c r="AI172" s="256"/>
      <c r="AJ172" s="256"/>
      <c r="AK172" s="256"/>
      <c r="AL172" s="256"/>
      <c r="AM172" s="256"/>
      <c r="AN172" s="256"/>
      <c r="AO172" s="256"/>
      <c r="AP172" s="256"/>
      <c r="AQ172" s="256"/>
    </row>
    <row r="173" spans="2:43" x14ac:dyDescent="0.2">
      <c r="B173" s="45" t="s">
        <v>5</v>
      </c>
      <c r="C173" s="252"/>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c r="AA173" s="253"/>
      <c r="AB173" s="253"/>
      <c r="AC173" s="253"/>
      <c r="AD173" s="253"/>
      <c r="AE173" s="253"/>
      <c r="AF173" s="253"/>
      <c r="AG173" s="253"/>
      <c r="AH173" s="253"/>
      <c r="AI173" s="253"/>
      <c r="AJ173" s="253"/>
      <c r="AK173" s="253"/>
      <c r="AL173" s="253"/>
      <c r="AM173" s="253"/>
      <c r="AN173" s="253"/>
      <c r="AO173" s="253"/>
      <c r="AP173" s="253"/>
      <c r="AQ173" s="253"/>
    </row>
    <row r="174" spans="2:43" x14ac:dyDescent="0.2">
      <c r="B174" s="45" t="s">
        <v>170</v>
      </c>
      <c r="C174" s="252"/>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c r="AA174" s="253"/>
      <c r="AB174" s="253"/>
      <c r="AC174" s="253"/>
      <c r="AD174" s="253"/>
      <c r="AE174" s="253"/>
      <c r="AF174" s="253"/>
      <c r="AG174" s="253"/>
      <c r="AH174" s="253"/>
      <c r="AI174" s="253"/>
      <c r="AJ174" s="253"/>
      <c r="AK174" s="253"/>
      <c r="AL174" s="253"/>
      <c r="AM174" s="253"/>
      <c r="AN174" s="253"/>
      <c r="AO174" s="253"/>
      <c r="AP174" s="253"/>
      <c r="AQ174" s="253"/>
    </row>
    <row r="175" spans="2:43" x14ac:dyDescent="0.2">
      <c r="B175" s="259" t="s">
        <v>171</v>
      </c>
      <c r="C175" s="260"/>
      <c r="D175" s="261"/>
      <c r="E175" s="261"/>
      <c r="F175" s="261"/>
      <c r="G175" s="261"/>
      <c r="H175" s="261"/>
      <c r="I175" s="261"/>
      <c r="J175" s="261"/>
      <c r="K175" s="261"/>
      <c r="L175" s="261"/>
      <c r="M175" s="261"/>
      <c r="N175" s="261"/>
      <c r="O175" s="261"/>
      <c r="P175" s="261"/>
      <c r="Q175" s="261"/>
      <c r="R175" s="261"/>
      <c r="S175" s="261"/>
      <c r="T175" s="261"/>
      <c r="U175" s="261"/>
      <c r="V175" s="261"/>
      <c r="W175" s="261"/>
      <c r="X175" s="261"/>
      <c r="Y175" s="261"/>
      <c r="Z175" s="261"/>
      <c r="AA175" s="261"/>
      <c r="AB175" s="261"/>
      <c r="AC175" s="261"/>
      <c r="AD175" s="261"/>
      <c r="AE175" s="261"/>
      <c r="AF175" s="261"/>
      <c r="AG175" s="261"/>
      <c r="AH175" s="261"/>
      <c r="AI175" s="261"/>
      <c r="AJ175" s="261"/>
      <c r="AK175" s="261"/>
      <c r="AL175" s="261"/>
      <c r="AM175" s="261"/>
      <c r="AN175" s="261"/>
      <c r="AO175" s="261"/>
      <c r="AP175" s="261"/>
      <c r="AQ175" s="261"/>
    </row>
    <row r="176" spans="2:43" x14ac:dyDescent="0.2">
      <c r="B176" s="254" t="s">
        <v>404</v>
      </c>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8"/>
    </row>
    <row r="177" spans="2:103" x14ac:dyDescent="0.2">
      <c r="B177" s="312" t="s">
        <v>405</v>
      </c>
      <c r="C177" s="255"/>
      <c r="D177" s="256"/>
      <c r="E177" s="256"/>
      <c r="F177" s="256"/>
      <c r="G177" s="256"/>
      <c r="H177" s="256"/>
      <c r="I177" s="256"/>
      <c r="J177" s="256"/>
      <c r="K177" s="256"/>
      <c r="L177" s="256"/>
      <c r="M177" s="256"/>
      <c r="N177" s="256"/>
      <c r="O177" s="256"/>
      <c r="P177" s="256"/>
      <c r="Q177" s="256"/>
      <c r="R177" s="256"/>
      <c r="S177" s="256"/>
      <c r="T177" s="256"/>
      <c r="U177" s="256"/>
      <c r="V177" s="256"/>
      <c r="W177" s="256"/>
      <c r="X177" s="256"/>
      <c r="Y177" s="256"/>
      <c r="Z177" s="256"/>
      <c r="AA177" s="256"/>
      <c r="AB177" s="256"/>
      <c r="AC177" s="256"/>
      <c r="AD177" s="256"/>
      <c r="AE177" s="256"/>
      <c r="AF177" s="256"/>
      <c r="AG177" s="256"/>
      <c r="AH177" s="256"/>
      <c r="AI177" s="256"/>
      <c r="AJ177" s="256"/>
      <c r="AK177" s="256"/>
      <c r="AL177" s="256"/>
      <c r="AM177" s="256"/>
      <c r="AN177" s="256"/>
      <c r="AO177" s="256"/>
      <c r="AP177" s="256"/>
      <c r="AQ177" s="256"/>
    </row>
    <row r="178" spans="2:103" x14ac:dyDescent="0.2">
      <c r="B178" s="312" t="s">
        <v>406</v>
      </c>
      <c r="C178" s="255"/>
      <c r="D178" s="256"/>
      <c r="E178" s="256"/>
      <c r="F178" s="256"/>
      <c r="G178" s="256"/>
      <c r="H178" s="256"/>
      <c r="I178" s="256"/>
      <c r="J178" s="256"/>
      <c r="K178" s="256"/>
      <c r="L178" s="256"/>
      <c r="M178" s="256"/>
      <c r="N178" s="256"/>
      <c r="O178" s="256"/>
      <c r="P178" s="256"/>
      <c r="Q178" s="256"/>
      <c r="R178" s="256"/>
      <c r="S178" s="256"/>
      <c r="T178" s="256"/>
      <c r="U178" s="256"/>
      <c r="V178" s="256"/>
      <c r="W178" s="256"/>
      <c r="X178" s="256"/>
      <c r="Y178" s="256"/>
      <c r="Z178" s="256"/>
      <c r="AA178" s="256"/>
      <c r="AB178" s="256"/>
      <c r="AC178" s="256"/>
      <c r="AD178" s="256"/>
      <c r="AE178" s="256"/>
      <c r="AF178" s="256"/>
      <c r="AG178" s="256"/>
      <c r="AH178" s="256"/>
      <c r="AI178" s="256"/>
      <c r="AJ178" s="256"/>
      <c r="AK178" s="256"/>
      <c r="AL178" s="256"/>
      <c r="AM178" s="256"/>
      <c r="AN178" s="256"/>
      <c r="AO178" s="256"/>
      <c r="AP178" s="256"/>
      <c r="AQ178" s="256"/>
    </row>
    <row r="179" spans="2:103" x14ac:dyDescent="0.2">
      <c r="B179" s="312" t="s">
        <v>407</v>
      </c>
      <c r="C179" s="255"/>
      <c r="D179" s="256"/>
      <c r="E179" s="256"/>
      <c r="F179" s="256"/>
      <c r="G179" s="256"/>
      <c r="H179" s="256"/>
      <c r="I179" s="256"/>
      <c r="J179" s="256"/>
      <c r="K179" s="256"/>
      <c r="L179" s="256"/>
      <c r="M179" s="256"/>
      <c r="N179" s="256"/>
      <c r="O179" s="256"/>
      <c r="P179" s="256"/>
      <c r="Q179" s="256"/>
      <c r="R179" s="256"/>
      <c r="S179" s="256"/>
      <c r="T179" s="256"/>
      <c r="U179" s="256"/>
      <c r="V179" s="256"/>
      <c r="W179" s="256"/>
      <c r="X179" s="256"/>
      <c r="Y179" s="256"/>
      <c r="Z179" s="256"/>
      <c r="AA179" s="256"/>
      <c r="AB179" s="256"/>
      <c r="AC179" s="256"/>
      <c r="AD179" s="256"/>
      <c r="AE179" s="256"/>
      <c r="AF179" s="256"/>
      <c r="AG179" s="256"/>
      <c r="AH179" s="256"/>
      <c r="AI179" s="256"/>
      <c r="AJ179" s="256"/>
      <c r="AK179" s="256"/>
      <c r="AL179" s="256"/>
      <c r="AM179" s="256"/>
      <c r="AN179" s="256"/>
      <c r="AO179" s="256"/>
      <c r="AP179" s="256"/>
      <c r="AQ179" s="256"/>
    </row>
    <row r="180" spans="2:103" x14ac:dyDescent="0.2">
      <c r="B180" s="312" t="s">
        <v>408</v>
      </c>
      <c r="C180" s="317"/>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c r="AA180" s="318"/>
      <c r="AB180" s="318"/>
      <c r="AC180" s="318"/>
      <c r="AD180" s="318"/>
      <c r="AE180" s="318"/>
      <c r="AF180" s="318"/>
      <c r="AG180" s="318"/>
      <c r="AH180" s="318"/>
      <c r="AI180" s="318"/>
      <c r="AJ180" s="318"/>
      <c r="AK180" s="318"/>
      <c r="AL180" s="318"/>
      <c r="AM180" s="318"/>
      <c r="AN180" s="318"/>
      <c r="AO180" s="318"/>
      <c r="AP180" s="318"/>
      <c r="AQ180" s="318"/>
    </row>
    <row r="181" spans="2:103" x14ac:dyDescent="0.2">
      <c r="B181" s="312" t="s">
        <v>409</v>
      </c>
      <c r="C181" s="255"/>
      <c r="D181" s="256"/>
      <c r="E181" s="256"/>
      <c r="F181" s="256"/>
      <c r="G181" s="256"/>
      <c r="H181" s="256"/>
      <c r="I181" s="256"/>
      <c r="J181" s="256"/>
      <c r="K181" s="256"/>
      <c r="L181" s="256"/>
      <c r="M181" s="256"/>
      <c r="N181" s="256"/>
      <c r="O181" s="256"/>
      <c r="P181" s="256"/>
      <c r="Q181" s="256"/>
      <c r="R181" s="256"/>
      <c r="S181" s="256"/>
      <c r="T181" s="256"/>
      <c r="U181" s="256"/>
      <c r="V181" s="256"/>
      <c r="W181" s="256"/>
      <c r="X181" s="256"/>
      <c r="Y181" s="256"/>
      <c r="Z181" s="256"/>
      <c r="AA181" s="256"/>
      <c r="AB181" s="256"/>
      <c r="AC181" s="256"/>
      <c r="AD181" s="256"/>
      <c r="AE181" s="256"/>
      <c r="AF181" s="256"/>
      <c r="AG181" s="256"/>
      <c r="AH181" s="256"/>
      <c r="AI181" s="256"/>
      <c r="AJ181" s="256"/>
      <c r="AK181" s="256"/>
      <c r="AL181" s="256"/>
      <c r="AM181" s="256"/>
      <c r="AN181" s="256"/>
      <c r="AO181" s="256"/>
      <c r="AP181" s="256"/>
      <c r="AQ181" s="256"/>
    </row>
    <row r="182" spans="2:103" x14ac:dyDescent="0.2">
      <c r="B182" s="312" t="s">
        <v>410</v>
      </c>
      <c r="C182" s="319"/>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c r="AA182" s="318"/>
      <c r="AB182" s="318"/>
      <c r="AC182" s="318"/>
      <c r="AD182" s="318"/>
      <c r="AE182" s="318"/>
      <c r="AF182" s="318"/>
      <c r="AG182" s="318"/>
      <c r="AH182" s="318"/>
      <c r="AI182" s="318"/>
      <c r="AJ182" s="318"/>
      <c r="AK182" s="318"/>
      <c r="AL182" s="318"/>
      <c r="AM182" s="318"/>
      <c r="AN182" s="318"/>
      <c r="AO182" s="318"/>
      <c r="AP182" s="318"/>
      <c r="AQ182" s="318"/>
    </row>
    <row r="183" spans="2:103" x14ac:dyDescent="0.2">
      <c r="B183" s="254" t="s">
        <v>260</v>
      </c>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8"/>
    </row>
    <row r="184" spans="2:103" x14ac:dyDescent="0.2">
      <c r="B184" s="71" t="s">
        <v>4</v>
      </c>
      <c r="C184" s="255"/>
      <c r="D184" s="256"/>
      <c r="E184" s="256"/>
      <c r="F184" s="256"/>
      <c r="G184" s="256"/>
      <c r="H184" s="256"/>
      <c r="I184" s="256"/>
      <c r="J184" s="256"/>
      <c r="K184" s="256"/>
      <c r="L184" s="256"/>
      <c r="M184" s="256"/>
      <c r="N184" s="256"/>
      <c r="O184" s="256"/>
      <c r="P184" s="256"/>
      <c r="Q184" s="256"/>
      <c r="R184" s="256"/>
      <c r="S184" s="256"/>
      <c r="T184" s="256"/>
      <c r="U184" s="256"/>
      <c r="V184" s="256"/>
      <c r="W184" s="256"/>
      <c r="X184" s="256"/>
      <c r="Y184" s="256"/>
      <c r="Z184" s="256"/>
      <c r="AA184" s="256"/>
      <c r="AB184" s="256"/>
      <c r="AC184" s="256"/>
      <c r="AD184" s="256"/>
      <c r="AE184" s="256"/>
      <c r="AF184" s="256"/>
      <c r="AG184" s="256"/>
      <c r="AH184" s="256"/>
      <c r="AI184" s="256"/>
      <c r="AJ184" s="256"/>
      <c r="AK184" s="256"/>
      <c r="AL184" s="256"/>
      <c r="AM184" s="256"/>
      <c r="AN184" s="256"/>
      <c r="AO184" s="256"/>
      <c r="AP184" s="256"/>
      <c r="AQ184" s="256"/>
    </row>
    <row r="185" spans="2:103" x14ac:dyDescent="0.2">
      <c r="B185" s="45" t="s">
        <v>5</v>
      </c>
      <c r="C185" s="252"/>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c r="AA185" s="253"/>
      <c r="AB185" s="253"/>
      <c r="AC185" s="253"/>
      <c r="AD185" s="253"/>
      <c r="AE185" s="253"/>
      <c r="AF185" s="253"/>
      <c r="AG185" s="253"/>
      <c r="AH185" s="253"/>
      <c r="AI185" s="253"/>
      <c r="AJ185" s="253"/>
      <c r="AK185" s="253"/>
      <c r="AL185" s="253"/>
      <c r="AM185" s="253"/>
      <c r="AN185" s="253"/>
      <c r="AO185" s="253"/>
      <c r="AP185" s="253"/>
      <c r="AQ185" s="253"/>
    </row>
    <row r="186" spans="2:103" x14ac:dyDescent="0.2">
      <c r="B186" s="286" t="s">
        <v>378</v>
      </c>
      <c r="C186" s="308"/>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c r="AA186" s="308"/>
      <c r="AB186" s="308"/>
      <c r="AC186" s="308"/>
      <c r="AD186" s="308"/>
      <c r="AE186" s="308"/>
      <c r="AF186" s="308"/>
      <c r="AG186" s="308"/>
      <c r="AH186" s="308"/>
      <c r="AI186" s="308"/>
      <c r="AJ186" s="308"/>
      <c r="AK186" s="308"/>
      <c r="AL186" s="308"/>
      <c r="AM186" s="308"/>
      <c r="AN186" s="308"/>
      <c r="AO186" s="308"/>
      <c r="AP186" s="308"/>
      <c r="AQ186" s="309"/>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row>
    <row r="187" spans="2:103" x14ac:dyDescent="0.2">
      <c r="B187" s="306" t="s">
        <v>379</v>
      </c>
      <c r="C187" s="310"/>
      <c r="D187" s="310"/>
      <c r="E187" s="310"/>
      <c r="F187" s="310"/>
      <c r="G187" s="310"/>
      <c r="H187" s="310"/>
      <c r="I187" s="310"/>
      <c r="J187" s="310"/>
      <c r="K187" s="310"/>
      <c r="L187" s="310"/>
      <c r="M187" s="310"/>
      <c r="N187" s="310"/>
      <c r="O187" s="310"/>
      <c r="P187" s="310"/>
      <c r="Q187" s="310"/>
      <c r="R187" s="310"/>
      <c r="S187" s="310"/>
      <c r="T187" s="310"/>
      <c r="U187" s="310"/>
      <c r="V187" s="310"/>
      <c r="W187" s="310"/>
      <c r="X187" s="310"/>
      <c r="Y187" s="310"/>
      <c r="Z187" s="310"/>
      <c r="AA187" s="310"/>
      <c r="AB187" s="310"/>
      <c r="AC187" s="310"/>
      <c r="AD187" s="310"/>
      <c r="AE187" s="310"/>
      <c r="AF187" s="310"/>
      <c r="AG187" s="310"/>
      <c r="AH187" s="310"/>
      <c r="AI187" s="310"/>
      <c r="AJ187" s="310"/>
      <c r="AK187" s="310"/>
      <c r="AL187" s="310"/>
      <c r="AM187" s="310"/>
      <c r="AN187" s="310"/>
      <c r="AO187" s="310"/>
      <c r="AP187" s="310"/>
      <c r="AQ187" s="310"/>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row>
    <row r="188" spans="2:103" x14ac:dyDescent="0.2">
      <c r="B188" s="270" t="s">
        <v>380</v>
      </c>
      <c r="C188" s="310"/>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c r="AE188" s="197"/>
      <c r="AF188" s="197"/>
      <c r="AG188" s="197"/>
      <c r="AH188" s="197"/>
      <c r="AI188" s="197"/>
      <c r="AJ188" s="197"/>
      <c r="AK188" s="197"/>
      <c r="AL188" s="197"/>
      <c r="AM188" s="197"/>
      <c r="AN188" s="197"/>
      <c r="AO188" s="197"/>
      <c r="AP188" s="197"/>
      <c r="AQ188" s="197"/>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row>
    <row r="189" spans="2:103" x14ac:dyDescent="0.2">
      <c r="B189" s="270" t="s">
        <v>381</v>
      </c>
      <c r="C189" s="310"/>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row>
    <row r="190" spans="2:103" x14ac:dyDescent="0.2">
      <c r="B190" s="307" t="s">
        <v>294</v>
      </c>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c r="AA190" s="311"/>
      <c r="AB190" s="311"/>
      <c r="AC190" s="311"/>
      <c r="AD190" s="311"/>
      <c r="AE190" s="311"/>
      <c r="AF190" s="311"/>
      <c r="AG190" s="311"/>
      <c r="AH190" s="311"/>
      <c r="AI190" s="311"/>
      <c r="AJ190" s="311"/>
      <c r="AK190" s="311"/>
      <c r="AL190" s="311"/>
      <c r="AM190" s="311"/>
      <c r="AN190" s="311"/>
      <c r="AO190" s="311"/>
      <c r="AP190" s="311"/>
      <c r="AQ190" s="31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row>
    <row r="191" spans="2:103" x14ac:dyDescent="0.2">
      <c r="B191" s="286" t="s">
        <v>382</v>
      </c>
      <c r="C191" s="308"/>
      <c r="D191" s="308"/>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c r="AA191" s="308"/>
      <c r="AB191" s="308"/>
      <c r="AC191" s="308"/>
      <c r="AD191" s="308"/>
      <c r="AE191" s="308"/>
      <c r="AF191" s="308"/>
      <c r="AG191" s="308"/>
      <c r="AH191" s="308"/>
      <c r="AI191" s="308"/>
      <c r="AJ191" s="308"/>
      <c r="AK191" s="308"/>
      <c r="AL191" s="308"/>
      <c r="AM191" s="308"/>
      <c r="AN191" s="308"/>
      <c r="AO191" s="308"/>
      <c r="AP191" s="308"/>
      <c r="AQ191" s="309"/>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row>
    <row r="192" spans="2:103" x14ac:dyDescent="0.2">
      <c r="B192" s="306" t="s">
        <v>383</v>
      </c>
      <c r="C192" s="197"/>
      <c r="D192" s="310"/>
      <c r="E192" s="310"/>
      <c r="F192" s="310"/>
      <c r="G192" s="310"/>
      <c r="H192" s="310"/>
      <c r="I192" s="310"/>
      <c r="J192" s="310"/>
      <c r="K192" s="310"/>
      <c r="L192" s="310"/>
      <c r="M192" s="310"/>
      <c r="N192" s="310"/>
      <c r="O192" s="310"/>
      <c r="P192" s="310"/>
      <c r="Q192" s="310"/>
      <c r="R192" s="310"/>
      <c r="S192" s="310"/>
      <c r="T192" s="310"/>
      <c r="U192" s="310"/>
      <c r="V192" s="310"/>
      <c r="W192" s="310"/>
      <c r="X192" s="310"/>
      <c r="Y192" s="310"/>
      <c r="Z192" s="310"/>
      <c r="AA192" s="310"/>
      <c r="AB192" s="310"/>
      <c r="AC192" s="310"/>
      <c r="AD192" s="310"/>
      <c r="AE192" s="310"/>
      <c r="AF192" s="310"/>
      <c r="AG192" s="310"/>
      <c r="AH192" s="310"/>
      <c r="AI192" s="310"/>
      <c r="AJ192" s="310"/>
      <c r="AK192" s="310"/>
      <c r="AL192" s="310"/>
      <c r="AM192" s="310"/>
      <c r="AN192" s="310"/>
      <c r="AO192" s="310"/>
      <c r="AP192" s="310"/>
      <c r="AQ192" s="310"/>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row>
    <row r="193" spans="2:103" x14ac:dyDescent="0.2">
      <c r="B193" s="270" t="s">
        <v>384</v>
      </c>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c r="AE193" s="197"/>
      <c r="AF193" s="197"/>
      <c r="AG193" s="197"/>
      <c r="AH193" s="197"/>
      <c r="AI193" s="197"/>
      <c r="AJ193" s="197"/>
      <c r="AK193" s="197"/>
      <c r="AL193" s="197"/>
      <c r="AM193" s="197"/>
      <c r="AN193" s="197"/>
      <c r="AO193" s="197"/>
      <c r="AP193" s="197"/>
      <c r="AQ193" s="197"/>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row>
    <row r="194" spans="2:103" x14ac:dyDescent="0.2">
      <c r="B194" s="270" t="s">
        <v>385</v>
      </c>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c r="AA194" s="197"/>
      <c r="AB194" s="197"/>
      <c r="AC194" s="197"/>
      <c r="AD194" s="197"/>
      <c r="AE194" s="197"/>
      <c r="AF194" s="197"/>
      <c r="AG194" s="197"/>
      <c r="AH194" s="197"/>
      <c r="AI194" s="197"/>
      <c r="AJ194" s="197"/>
      <c r="AK194" s="197"/>
      <c r="AL194" s="197"/>
      <c r="AM194" s="197"/>
      <c r="AN194" s="197"/>
      <c r="AO194" s="197"/>
      <c r="AP194" s="197"/>
      <c r="AQ194" s="197"/>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row>
    <row r="195" spans="2:103" x14ac:dyDescent="0.2">
      <c r="B195" s="270" t="s">
        <v>386</v>
      </c>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c r="AA195" s="197"/>
      <c r="AB195" s="197"/>
      <c r="AC195" s="197"/>
      <c r="AD195" s="197"/>
      <c r="AE195" s="197"/>
      <c r="AF195" s="197"/>
      <c r="AG195" s="197"/>
      <c r="AH195" s="197"/>
      <c r="AI195" s="197"/>
      <c r="AJ195" s="197"/>
      <c r="AK195" s="197"/>
      <c r="AL195" s="197"/>
      <c r="AM195" s="197"/>
      <c r="AN195" s="197"/>
      <c r="AO195" s="197"/>
      <c r="AP195" s="197"/>
      <c r="AQ195" s="197"/>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row>
    <row r="196" spans="2:103" x14ac:dyDescent="0.2">
      <c r="B196" s="307" t="s">
        <v>387</v>
      </c>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c r="AA196" s="311"/>
      <c r="AB196" s="311"/>
      <c r="AC196" s="311"/>
      <c r="AD196" s="311"/>
      <c r="AE196" s="311"/>
      <c r="AF196" s="311"/>
      <c r="AG196" s="311"/>
      <c r="AH196" s="311"/>
      <c r="AI196" s="311"/>
      <c r="AJ196" s="311"/>
      <c r="AK196" s="311"/>
      <c r="AL196" s="311"/>
      <c r="AM196" s="311"/>
      <c r="AN196" s="311"/>
      <c r="AO196" s="311"/>
      <c r="AP196" s="311"/>
      <c r="AQ196" s="31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row>
    <row r="197" spans="2:103" x14ac:dyDescent="0.2">
      <c r="B197" s="286" t="s">
        <v>388</v>
      </c>
      <c r="C197" s="308"/>
      <c r="D197" s="308"/>
      <c r="E197" s="308"/>
      <c r="F197" s="308"/>
      <c r="G197" s="308"/>
      <c r="H197" s="308"/>
      <c r="I197" s="308"/>
      <c r="J197" s="308"/>
      <c r="K197" s="308"/>
      <c r="L197" s="308"/>
      <c r="M197" s="308"/>
      <c r="N197" s="308"/>
      <c r="O197" s="308"/>
      <c r="P197" s="308"/>
      <c r="Q197" s="308"/>
      <c r="R197" s="308"/>
      <c r="S197" s="308"/>
      <c r="T197" s="308"/>
      <c r="U197" s="308"/>
      <c r="V197" s="308"/>
      <c r="W197" s="308"/>
      <c r="X197" s="308"/>
      <c r="Y197" s="308"/>
      <c r="Z197" s="308"/>
      <c r="AA197" s="308"/>
      <c r="AB197" s="308"/>
      <c r="AC197" s="308"/>
      <c r="AD197" s="308"/>
      <c r="AE197" s="308"/>
      <c r="AF197" s="308"/>
      <c r="AG197" s="308"/>
      <c r="AH197" s="308"/>
      <c r="AI197" s="308"/>
      <c r="AJ197" s="308"/>
      <c r="AK197" s="308"/>
      <c r="AL197" s="308"/>
      <c r="AM197" s="308"/>
      <c r="AN197" s="308"/>
      <c r="AO197" s="308"/>
      <c r="AP197" s="308"/>
      <c r="AQ197" s="309"/>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row>
    <row r="198" spans="2:103" x14ac:dyDescent="0.2">
      <c r="B198" s="47" t="s">
        <v>389</v>
      </c>
      <c r="C198" s="310"/>
      <c r="D198" s="310"/>
      <c r="E198" s="310"/>
      <c r="F198" s="310"/>
      <c r="G198" s="310"/>
      <c r="H198" s="310"/>
      <c r="I198" s="310"/>
      <c r="J198" s="310"/>
      <c r="K198" s="310"/>
      <c r="L198" s="310"/>
      <c r="M198" s="310"/>
      <c r="N198" s="310"/>
      <c r="O198" s="310"/>
      <c r="P198" s="310"/>
      <c r="Q198" s="310"/>
      <c r="R198" s="310"/>
      <c r="S198" s="310"/>
      <c r="T198" s="310"/>
      <c r="U198" s="310"/>
      <c r="V198" s="310"/>
      <c r="W198" s="310"/>
      <c r="X198" s="310"/>
      <c r="Y198" s="310"/>
      <c r="Z198" s="310"/>
      <c r="AA198" s="310"/>
      <c r="AB198" s="310"/>
      <c r="AC198" s="310"/>
      <c r="AD198" s="310"/>
      <c r="AE198" s="310"/>
      <c r="AF198" s="310"/>
      <c r="AG198" s="310"/>
      <c r="AH198" s="310"/>
      <c r="AI198" s="310"/>
      <c r="AJ198" s="310"/>
      <c r="AK198" s="310"/>
      <c r="AL198" s="310"/>
      <c r="AM198" s="310"/>
      <c r="AN198" s="310"/>
      <c r="AO198" s="310"/>
      <c r="AP198" s="310"/>
      <c r="AQ198" s="310"/>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row>
    <row r="199" spans="2:103" x14ac:dyDescent="0.2">
      <c r="B199" s="37" t="s">
        <v>390</v>
      </c>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c r="AE199" s="197"/>
      <c r="AF199" s="197"/>
      <c r="AG199" s="197"/>
      <c r="AH199" s="197"/>
      <c r="AI199" s="197"/>
      <c r="AJ199" s="197"/>
      <c r="AK199" s="197"/>
      <c r="AL199" s="197"/>
      <c r="AM199" s="197"/>
      <c r="AN199" s="197"/>
      <c r="AO199" s="197"/>
      <c r="AP199" s="197"/>
      <c r="AQ199" s="197"/>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row>
    <row r="200" spans="2:103" x14ac:dyDescent="0.2">
      <c r="B200" s="312" t="s">
        <v>391</v>
      </c>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c r="AA200" s="311"/>
      <c r="AB200" s="311"/>
      <c r="AC200" s="311"/>
      <c r="AD200" s="311"/>
      <c r="AE200" s="311"/>
      <c r="AF200" s="311"/>
      <c r="AG200" s="311"/>
      <c r="AH200" s="311"/>
      <c r="AI200" s="311"/>
      <c r="AJ200" s="311"/>
      <c r="AK200" s="311"/>
      <c r="AL200" s="311"/>
      <c r="AM200" s="311"/>
      <c r="AN200" s="311"/>
      <c r="AO200" s="311"/>
      <c r="AP200" s="311"/>
      <c r="AQ200" s="31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row>
    <row r="201" spans="2:103" x14ac:dyDescent="0.2">
      <c r="B201" s="286" t="s">
        <v>392</v>
      </c>
      <c r="C201" s="308"/>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c r="AA201" s="308"/>
      <c r="AB201" s="308"/>
      <c r="AC201" s="308"/>
      <c r="AD201" s="308"/>
      <c r="AE201" s="308"/>
      <c r="AF201" s="308"/>
      <c r="AG201" s="308"/>
      <c r="AH201" s="308"/>
      <c r="AI201" s="308"/>
      <c r="AJ201" s="308"/>
      <c r="AK201" s="308"/>
      <c r="AL201" s="308"/>
      <c r="AM201" s="308"/>
      <c r="AN201" s="308"/>
      <c r="AO201" s="308"/>
      <c r="AP201" s="308"/>
      <c r="AQ201" s="309"/>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row>
    <row r="202" spans="2:103" x14ac:dyDescent="0.2">
      <c r="B202" s="313" t="s">
        <v>393</v>
      </c>
      <c r="C202" s="310"/>
      <c r="D202" s="310"/>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c r="AA202" s="310"/>
      <c r="AB202" s="310"/>
      <c r="AC202" s="310"/>
      <c r="AD202" s="310"/>
      <c r="AE202" s="310"/>
      <c r="AF202" s="310"/>
      <c r="AG202" s="310"/>
      <c r="AH202" s="310"/>
      <c r="AI202" s="310"/>
      <c r="AJ202" s="310"/>
      <c r="AK202" s="310"/>
      <c r="AL202" s="310"/>
      <c r="AM202" s="310"/>
      <c r="AN202" s="310"/>
      <c r="AO202" s="310"/>
      <c r="AP202" s="310"/>
      <c r="AQ202" s="310"/>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row>
    <row r="203" spans="2:103" x14ac:dyDescent="0.2">
      <c r="B203" s="268" t="s">
        <v>275</v>
      </c>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8"/>
    </row>
    <row r="204" spans="2:103" x14ac:dyDescent="0.2">
      <c r="B204" s="269" t="s">
        <v>295</v>
      </c>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c r="AA204" s="196"/>
      <c r="AB204" s="196"/>
      <c r="AC204" s="196"/>
      <c r="AD204" s="196"/>
      <c r="AE204" s="196"/>
      <c r="AF204" s="196"/>
      <c r="AG204" s="196"/>
      <c r="AH204" s="196"/>
      <c r="AI204" s="196"/>
      <c r="AJ204" s="196"/>
      <c r="AK204" s="196"/>
      <c r="AL204" s="196"/>
      <c r="AM204" s="196"/>
      <c r="AN204" s="196"/>
      <c r="AO204" s="196"/>
      <c r="AP204" s="196"/>
      <c r="AQ204" s="196"/>
    </row>
    <row r="205" spans="2:103" x14ac:dyDescent="0.2">
      <c r="B205" s="269" t="s">
        <v>296</v>
      </c>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row>
    <row r="206" spans="2:103" x14ac:dyDescent="0.2">
      <c r="B206" s="284" t="s">
        <v>297</v>
      </c>
      <c r="C206" s="291"/>
      <c r="D206" s="291"/>
      <c r="E206" s="291"/>
      <c r="F206" s="291"/>
      <c r="G206" s="291"/>
      <c r="H206" s="291"/>
      <c r="I206" s="291"/>
      <c r="J206" s="291"/>
      <c r="K206" s="291"/>
      <c r="L206" s="291"/>
      <c r="M206" s="291"/>
      <c r="N206" s="291"/>
      <c r="O206" s="291"/>
      <c r="P206" s="291"/>
      <c r="Q206" s="291"/>
      <c r="R206" s="291"/>
      <c r="S206" s="291"/>
      <c r="T206" s="291"/>
      <c r="U206" s="291"/>
      <c r="V206" s="291"/>
      <c r="W206" s="291"/>
      <c r="X206" s="291"/>
      <c r="Y206" s="291"/>
      <c r="Z206" s="291"/>
      <c r="AA206" s="291"/>
      <c r="AB206" s="291"/>
      <c r="AC206" s="291"/>
      <c r="AD206" s="291"/>
      <c r="AE206" s="291"/>
      <c r="AF206" s="291"/>
      <c r="AG206" s="291"/>
      <c r="AH206" s="291"/>
      <c r="AI206" s="291"/>
      <c r="AJ206" s="291"/>
      <c r="AK206" s="291"/>
      <c r="AL206" s="291"/>
      <c r="AM206" s="291"/>
      <c r="AN206" s="291"/>
      <c r="AO206" s="291"/>
      <c r="AP206" s="291"/>
      <c r="AQ206" s="291"/>
    </row>
    <row r="207" spans="2:103" x14ac:dyDescent="0.2">
      <c r="B207" s="286" t="s">
        <v>347</v>
      </c>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c r="AA207" s="289"/>
      <c r="AB207" s="289"/>
      <c r="AC207" s="289"/>
      <c r="AD207" s="289"/>
      <c r="AE207" s="289"/>
      <c r="AF207" s="289"/>
      <c r="AG207" s="289"/>
      <c r="AH207" s="289"/>
      <c r="AI207" s="289"/>
      <c r="AJ207" s="289"/>
      <c r="AK207" s="289"/>
      <c r="AL207" s="289"/>
      <c r="AM207" s="289"/>
      <c r="AN207" s="289"/>
      <c r="AO207" s="289"/>
      <c r="AP207" s="289"/>
      <c r="AQ207" s="290"/>
    </row>
    <row r="208" spans="2:103" x14ac:dyDescent="0.2">
      <c r="B208" s="287" t="s">
        <v>348</v>
      </c>
      <c r="C208" s="123"/>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c r="AB208" s="292"/>
      <c r="AC208" s="292"/>
      <c r="AD208" s="292"/>
      <c r="AE208" s="292"/>
      <c r="AF208" s="292"/>
      <c r="AG208" s="292"/>
      <c r="AH208" s="292"/>
      <c r="AI208" s="292"/>
      <c r="AJ208" s="292"/>
      <c r="AK208" s="292"/>
      <c r="AL208" s="292"/>
      <c r="AM208" s="292"/>
      <c r="AN208" s="292"/>
      <c r="AO208" s="292"/>
      <c r="AP208" s="292"/>
      <c r="AQ208" s="292"/>
    </row>
    <row r="209" spans="2:43" x14ac:dyDescent="0.2">
      <c r="B209" s="288" t="s">
        <v>349</v>
      </c>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c r="AA209" s="289"/>
      <c r="AB209" s="289"/>
      <c r="AC209" s="289"/>
      <c r="AD209" s="289"/>
      <c r="AE209" s="289"/>
      <c r="AF209" s="289"/>
      <c r="AG209" s="289"/>
      <c r="AH209" s="289"/>
      <c r="AI209" s="289"/>
      <c r="AJ209" s="289"/>
      <c r="AK209" s="289"/>
      <c r="AL209" s="289"/>
      <c r="AM209" s="289"/>
      <c r="AN209" s="289"/>
      <c r="AO209" s="289"/>
      <c r="AP209" s="289"/>
      <c r="AQ209" s="290"/>
    </row>
    <row r="210" spans="2:43" x14ac:dyDescent="0.2">
      <c r="B210" s="285" t="s">
        <v>350</v>
      </c>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row>
    <row r="211" spans="2:43" x14ac:dyDescent="0.2">
      <c r="B211" s="284" t="s">
        <v>351</v>
      </c>
      <c r="C211" s="291"/>
      <c r="D211" s="291"/>
      <c r="E211" s="291"/>
      <c r="F211" s="291"/>
      <c r="G211" s="291"/>
      <c r="H211" s="291"/>
      <c r="I211" s="291"/>
      <c r="J211" s="291"/>
      <c r="K211" s="291"/>
      <c r="L211" s="291"/>
      <c r="M211" s="291"/>
      <c r="N211" s="291"/>
      <c r="O211" s="291"/>
      <c r="P211" s="291"/>
      <c r="Q211" s="291"/>
      <c r="R211" s="291"/>
      <c r="S211" s="291"/>
      <c r="T211" s="291"/>
      <c r="U211" s="291"/>
      <c r="V211" s="291"/>
      <c r="W211" s="291"/>
      <c r="X211" s="291"/>
      <c r="Y211" s="291"/>
      <c r="Z211" s="291"/>
      <c r="AA211" s="291"/>
      <c r="AB211" s="291"/>
      <c r="AC211" s="291"/>
      <c r="AD211" s="291"/>
      <c r="AE211" s="291"/>
      <c r="AF211" s="291"/>
      <c r="AG211" s="291"/>
      <c r="AH211" s="291"/>
      <c r="AI211" s="291"/>
      <c r="AJ211" s="291"/>
      <c r="AK211" s="291"/>
      <c r="AL211" s="291"/>
      <c r="AM211" s="291"/>
      <c r="AN211" s="291"/>
      <c r="AO211" s="291"/>
      <c r="AP211" s="291"/>
      <c r="AQ211" s="291"/>
    </row>
    <row r="212" spans="2:43" x14ac:dyDescent="0.2">
      <c r="B212" s="288" t="s">
        <v>352</v>
      </c>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c r="AA212" s="289"/>
      <c r="AB212" s="289"/>
      <c r="AC212" s="289"/>
      <c r="AD212" s="289"/>
      <c r="AE212" s="289"/>
      <c r="AF212" s="289"/>
      <c r="AG212" s="289"/>
      <c r="AH212" s="289"/>
      <c r="AI212" s="289"/>
      <c r="AJ212" s="289"/>
      <c r="AK212" s="289"/>
      <c r="AL212" s="289"/>
      <c r="AM212" s="289"/>
      <c r="AN212" s="289"/>
      <c r="AO212" s="289"/>
      <c r="AP212" s="289"/>
      <c r="AQ212" s="290"/>
    </row>
    <row r="213" spans="2:43" x14ac:dyDescent="0.2">
      <c r="B213" s="285" t="s">
        <v>353</v>
      </c>
      <c r="C213" s="280"/>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row>
  </sheetData>
  <mergeCells count="1">
    <mergeCell ref="E101:F101"/>
  </mergeCells>
  <dataValidations xWindow="485" yWindow="427" count="8">
    <dataValidation type="list" allowBlank="1" showInputMessage="1" showErrorMessage="1" sqref="H133:H134 E103:F104 E106:F107 E125:H128 F130:G134 E120:H123 E115:H118 D137:G143" xr:uid="{00000000-0002-0000-0000-000000000000}">
      <formula1>"Yes,No"</formula1>
    </dataValidation>
    <dataValidation type="list" allowBlank="1" showInputMessage="1" showErrorMessage="1" sqref="N8 N10:N26" xr:uid="{00000000-0002-0000-0000-000001000000}">
      <formula1>"Initial Year Input, Annual Inputs"</formula1>
    </dataValidation>
    <dataValidation type="list" allowBlank="1" showInputMessage="1" showErrorMessage="1" errorTitle="State Depreciation Treatment" error="The single owner workbook does not handle custom depreciation schedules." sqref="C98" xr:uid="{00000000-0002-0000-0000-000002000000}">
      <formula1>$B$137:$B$142</formula1>
    </dataValidation>
    <dataValidation allowBlank="1" showInputMessage="1" showErrorMessage="1" sqref="W9 AH9 G40:J40 G38:J38" xr:uid="{00000000-0002-0000-0000-000003000000}"/>
    <dataValidation allowBlank="1" sqref="C45" xr:uid="{00000000-0002-0000-0000-000004000000}"/>
    <dataValidation errorTitle="Salvage Value" error="This is a calculated value shown for reference -- it should match the value in SAM. It is not used in the single owner workbook calculations." sqref="C54" xr:uid="{00000000-0002-0000-0000-000005000000}"/>
    <dataValidation type="custom" showErrorMessage="1" errorTitle="Target Year Error" error="Please enter a target year less than or equal to the analysis period." sqref="C31" xr:uid="{00000000-0002-0000-0000-000006000000}">
      <formula1>C31&lt;=C36</formula1>
    </dataValidation>
    <dataValidation type="list" allowBlank="1" showInputMessage="1" showErrorMessage="1" errorTitle="Federal Depreciation Treatment" error="The single owner workbook does not handle custom depreciation schedules." sqref="C97" xr:uid="{00000000-0002-0000-0000-000007000000}">
      <formula1>$B$137:$B$142</formula1>
    </dataValidation>
  </dataValidations>
  <pageMargins left="0.5" right="0.5" top="0.5" bottom="0.75" header="0.3" footer="0.3"/>
  <pageSetup scale="73" pageOrder="overThenDown" orientation="landscape" horizontalDpi="4294967294" r:id="rId1"/>
  <rowBreaks count="1" manualBreakCount="1">
    <brk id="111" min="1" max="1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AP750"/>
  <sheetViews>
    <sheetView zoomScale="90" zoomScaleNormal="9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x14ac:dyDescent="0.2"/>
  <cols>
    <col min="1" max="1" width="50.140625" style="4" customWidth="1"/>
    <col min="2" max="2" width="14.85546875" style="4" customWidth="1"/>
    <col min="3" max="3" width="13.7109375" style="4" customWidth="1"/>
    <col min="4" max="9" width="11.5703125" style="4" customWidth="1"/>
    <col min="10" max="10" width="12.7109375" style="4" customWidth="1"/>
    <col min="11" max="15" width="11.5703125" style="4" customWidth="1"/>
    <col min="16" max="17" width="12.85546875" style="4" customWidth="1"/>
    <col min="18" max="31" width="11.5703125" style="4" customWidth="1"/>
    <col min="32" max="32" width="11.42578125" style="4" customWidth="1"/>
    <col min="33" max="42" width="11.5703125" style="4" customWidth="1"/>
    <col min="43" max="16384" width="9.140625" style="4"/>
  </cols>
  <sheetData>
    <row r="1" spans="1:42" ht="21" thickBot="1" x14ac:dyDescent="0.4">
      <c r="A1" s="218" t="s">
        <v>309</v>
      </c>
      <c r="B1" s="212"/>
      <c r="C1" s="218"/>
    </row>
    <row r="2" spans="1:42" x14ac:dyDescent="0.2">
      <c r="A2" s="80" t="s">
        <v>1</v>
      </c>
      <c r="B2" s="15">
        <v>0</v>
      </c>
      <c r="C2" s="15" t="str">
        <f t="shared" ref="C2:AP2" si="0">IF(B2&lt;analysis_period,B2+1,"")</f>
        <v/>
      </c>
      <c r="D2" s="15" t="str">
        <f t="shared" si="0"/>
        <v/>
      </c>
      <c r="E2" s="15" t="str">
        <f t="shared" si="0"/>
        <v/>
      </c>
      <c r="F2" s="15" t="str">
        <f t="shared" si="0"/>
        <v/>
      </c>
      <c r="G2" s="15" t="str">
        <f t="shared" si="0"/>
        <v/>
      </c>
      <c r="H2" s="15" t="str">
        <f t="shared" si="0"/>
        <v/>
      </c>
      <c r="I2" s="15" t="str">
        <f t="shared" si="0"/>
        <v/>
      </c>
      <c r="J2" s="15" t="str">
        <f t="shared" si="0"/>
        <v/>
      </c>
      <c r="K2" s="15" t="str">
        <f t="shared" si="0"/>
        <v/>
      </c>
      <c r="L2" s="15" t="str">
        <f t="shared" si="0"/>
        <v/>
      </c>
      <c r="M2" s="15" t="str">
        <f t="shared" si="0"/>
        <v/>
      </c>
      <c r="N2" s="15" t="str">
        <f t="shared" si="0"/>
        <v/>
      </c>
      <c r="O2" s="15" t="str">
        <f t="shared" si="0"/>
        <v/>
      </c>
      <c r="P2" s="15" t="str">
        <f t="shared" si="0"/>
        <v/>
      </c>
      <c r="Q2" s="15" t="str">
        <f t="shared" si="0"/>
        <v/>
      </c>
      <c r="R2" s="15" t="str">
        <f t="shared" si="0"/>
        <v/>
      </c>
      <c r="S2" s="15" t="str">
        <f t="shared" si="0"/>
        <v/>
      </c>
      <c r="T2" s="15" t="str">
        <f t="shared" si="0"/>
        <v/>
      </c>
      <c r="U2" s="15" t="str">
        <f t="shared" si="0"/>
        <v/>
      </c>
      <c r="V2" s="15" t="str">
        <f t="shared" si="0"/>
        <v/>
      </c>
      <c r="W2" s="15" t="str">
        <f t="shared" si="0"/>
        <v/>
      </c>
      <c r="X2" s="15" t="str">
        <f t="shared" si="0"/>
        <v/>
      </c>
      <c r="Y2" s="15" t="str">
        <f t="shared" si="0"/>
        <v/>
      </c>
      <c r="Z2" s="15" t="str">
        <f t="shared" si="0"/>
        <v/>
      </c>
      <c r="AA2" s="15" t="str">
        <f t="shared" si="0"/>
        <v/>
      </c>
      <c r="AB2" s="15" t="str">
        <f t="shared" si="0"/>
        <v/>
      </c>
      <c r="AC2" s="15" t="str">
        <f t="shared" si="0"/>
        <v/>
      </c>
      <c r="AD2" s="15" t="str">
        <f t="shared" si="0"/>
        <v/>
      </c>
      <c r="AE2" s="15" t="str">
        <f t="shared" si="0"/>
        <v/>
      </c>
      <c r="AF2" s="15" t="str">
        <f t="shared" si="0"/>
        <v/>
      </c>
      <c r="AG2" s="15" t="str">
        <f t="shared" si="0"/>
        <v/>
      </c>
      <c r="AH2" s="15" t="str">
        <f t="shared" si="0"/>
        <v/>
      </c>
      <c r="AI2" s="15" t="str">
        <f t="shared" si="0"/>
        <v/>
      </c>
      <c r="AJ2" s="15" t="str">
        <f t="shared" si="0"/>
        <v/>
      </c>
      <c r="AK2" s="15" t="str">
        <f t="shared" si="0"/>
        <v/>
      </c>
      <c r="AL2" s="15" t="str">
        <f t="shared" si="0"/>
        <v/>
      </c>
      <c r="AM2" s="15" t="str">
        <f t="shared" si="0"/>
        <v/>
      </c>
      <c r="AN2" s="15" t="str">
        <f t="shared" si="0"/>
        <v/>
      </c>
      <c r="AO2" s="15" t="str">
        <f t="shared" si="0"/>
        <v/>
      </c>
      <c r="AP2" s="15" t="str">
        <f t="shared" si="0"/>
        <v/>
      </c>
    </row>
    <row r="3" spans="1:42" x14ac:dyDescent="0.2">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row>
    <row r="4" spans="1:42" x14ac:dyDescent="0.2">
      <c r="A4" s="80" t="s">
        <v>361</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spans="1:42" x14ac:dyDescent="0.2">
      <c r="A5" s="4" t="s">
        <v>369</v>
      </c>
      <c r="B5" s="149">
        <f t="array" ref="B5:AP6">Inputs!C149:AQ150</f>
        <v>0</v>
      </c>
      <c r="C5" s="149">
        <v>0</v>
      </c>
      <c r="D5" s="149">
        <v>0</v>
      </c>
      <c r="E5" s="149">
        <v>0</v>
      </c>
      <c r="F5" s="149">
        <v>0</v>
      </c>
      <c r="G5" s="149">
        <v>0</v>
      </c>
      <c r="H5" s="149">
        <v>0</v>
      </c>
      <c r="I5" s="149">
        <v>0</v>
      </c>
      <c r="J5" s="149">
        <v>0</v>
      </c>
      <c r="K5" s="149">
        <v>0</v>
      </c>
      <c r="L5" s="149">
        <v>0</v>
      </c>
      <c r="M5" s="149">
        <v>0</v>
      </c>
      <c r="N5" s="149">
        <v>0</v>
      </c>
      <c r="O5" s="149">
        <v>0</v>
      </c>
      <c r="P5" s="149">
        <v>0</v>
      </c>
      <c r="Q5" s="149">
        <v>0</v>
      </c>
      <c r="R5" s="149">
        <v>0</v>
      </c>
      <c r="S5" s="149">
        <v>0</v>
      </c>
      <c r="T5" s="149">
        <v>0</v>
      </c>
      <c r="U5" s="149">
        <v>0</v>
      </c>
      <c r="V5" s="149">
        <v>0</v>
      </c>
      <c r="W5" s="149">
        <v>0</v>
      </c>
      <c r="X5" s="149">
        <v>0</v>
      </c>
      <c r="Y5" s="149">
        <v>0</v>
      </c>
      <c r="Z5" s="149">
        <v>0</v>
      </c>
      <c r="AA5" s="149">
        <v>0</v>
      </c>
      <c r="AB5" s="149">
        <v>0</v>
      </c>
      <c r="AC5" s="149">
        <v>0</v>
      </c>
      <c r="AD5" s="149">
        <v>0</v>
      </c>
      <c r="AE5" s="149">
        <v>0</v>
      </c>
      <c r="AF5" s="149">
        <v>0</v>
      </c>
      <c r="AG5" s="149">
        <v>0</v>
      </c>
      <c r="AH5" s="149">
        <v>0</v>
      </c>
      <c r="AI5" s="149">
        <v>0</v>
      </c>
      <c r="AJ5" s="149">
        <v>0</v>
      </c>
      <c r="AK5" s="149">
        <v>0</v>
      </c>
      <c r="AL5" s="149">
        <v>0</v>
      </c>
      <c r="AM5" s="149">
        <v>0</v>
      </c>
      <c r="AN5" s="149">
        <v>0</v>
      </c>
      <c r="AO5" s="149">
        <v>0</v>
      </c>
      <c r="AP5" s="149">
        <v>0</v>
      </c>
    </row>
    <row r="6" spans="1:42" x14ac:dyDescent="0.2">
      <c r="A6" s="4" t="s">
        <v>370</v>
      </c>
      <c r="B6" s="303">
        <v>0</v>
      </c>
      <c r="C6" s="303">
        <v>0</v>
      </c>
      <c r="D6" s="303">
        <v>0</v>
      </c>
      <c r="E6" s="303">
        <v>0</v>
      </c>
      <c r="F6" s="303">
        <v>0</v>
      </c>
      <c r="G6" s="303">
        <v>0</v>
      </c>
      <c r="H6" s="303">
        <v>0</v>
      </c>
      <c r="I6" s="303">
        <v>0</v>
      </c>
      <c r="J6" s="303">
        <v>0</v>
      </c>
      <c r="K6" s="303">
        <v>0</v>
      </c>
      <c r="L6" s="303">
        <v>0</v>
      </c>
      <c r="M6" s="303">
        <v>0</v>
      </c>
      <c r="N6" s="303">
        <v>0</v>
      </c>
      <c r="O6" s="303">
        <v>0</v>
      </c>
      <c r="P6" s="303">
        <v>0</v>
      </c>
      <c r="Q6" s="303">
        <v>0</v>
      </c>
      <c r="R6" s="303">
        <v>0</v>
      </c>
      <c r="S6" s="303">
        <v>0</v>
      </c>
      <c r="T6" s="303">
        <v>0</v>
      </c>
      <c r="U6" s="303">
        <v>0</v>
      </c>
      <c r="V6" s="303">
        <v>0</v>
      </c>
      <c r="W6" s="303">
        <v>0</v>
      </c>
      <c r="X6" s="303">
        <v>0</v>
      </c>
      <c r="Y6" s="303">
        <v>0</v>
      </c>
      <c r="Z6" s="303">
        <v>0</v>
      </c>
      <c r="AA6" s="303">
        <v>0</v>
      </c>
      <c r="AB6" s="303">
        <v>0</v>
      </c>
      <c r="AC6" s="303">
        <v>0</v>
      </c>
      <c r="AD6" s="303">
        <v>0</v>
      </c>
      <c r="AE6" s="303">
        <v>0</v>
      </c>
      <c r="AF6" s="303">
        <v>0</v>
      </c>
      <c r="AG6" s="303">
        <v>0</v>
      </c>
      <c r="AH6" s="303">
        <v>0</v>
      </c>
      <c r="AI6" s="303">
        <v>0</v>
      </c>
      <c r="AJ6" s="303">
        <v>0</v>
      </c>
      <c r="AK6" s="303">
        <v>0</v>
      </c>
      <c r="AL6" s="303">
        <v>0</v>
      </c>
      <c r="AM6" s="303">
        <v>0</v>
      </c>
      <c r="AN6" s="303">
        <v>0</v>
      </c>
      <c r="AO6" s="303">
        <v>0</v>
      </c>
      <c r="AP6" s="303">
        <v>0</v>
      </c>
    </row>
    <row r="7" spans="1:42" x14ac:dyDescent="0.2">
      <c r="A7" s="17" t="s">
        <v>371</v>
      </c>
      <c r="B7" s="304">
        <f>SUM(B5:B6)</f>
        <v>0</v>
      </c>
      <c r="C7" s="304">
        <f t="shared" ref="C7:AP7" si="1">SUM(C5:C6)</f>
        <v>0</v>
      </c>
      <c r="D7" s="304">
        <f t="shared" si="1"/>
        <v>0</v>
      </c>
      <c r="E7" s="304">
        <f t="shared" si="1"/>
        <v>0</v>
      </c>
      <c r="F7" s="304">
        <f t="shared" si="1"/>
        <v>0</v>
      </c>
      <c r="G7" s="304">
        <f t="shared" si="1"/>
        <v>0</v>
      </c>
      <c r="H7" s="304">
        <f t="shared" si="1"/>
        <v>0</v>
      </c>
      <c r="I7" s="304">
        <f t="shared" si="1"/>
        <v>0</v>
      </c>
      <c r="J7" s="304">
        <f t="shared" si="1"/>
        <v>0</v>
      </c>
      <c r="K7" s="304">
        <f t="shared" si="1"/>
        <v>0</v>
      </c>
      <c r="L7" s="304">
        <f t="shared" si="1"/>
        <v>0</v>
      </c>
      <c r="M7" s="304">
        <f t="shared" si="1"/>
        <v>0</v>
      </c>
      <c r="N7" s="304">
        <f t="shared" si="1"/>
        <v>0</v>
      </c>
      <c r="O7" s="304">
        <f t="shared" si="1"/>
        <v>0</v>
      </c>
      <c r="P7" s="304">
        <f t="shared" si="1"/>
        <v>0</v>
      </c>
      <c r="Q7" s="304">
        <f t="shared" si="1"/>
        <v>0</v>
      </c>
      <c r="R7" s="304">
        <f t="shared" si="1"/>
        <v>0</v>
      </c>
      <c r="S7" s="304">
        <f t="shared" si="1"/>
        <v>0</v>
      </c>
      <c r="T7" s="304">
        <f t="shared" si="1"/>
        <v>0</v>
      </c>
      <c r="U7" s="304">
        <f t="shared" si="1"/>
        <v>0</v>
      </c>
      <c r="V7" s="304">
        <f t="shared" si="1"/>
        <v>0</v>
      </c>
      <c r="W7" s="304">
        <f t="shared" si="1"/>
        <v>0</v>
      </c>
      <c r="X7" s="304">
        <f t="shared" si="1"/>
        <v>0</v>
      </c>
      <c r="Y7" s="304">
        <f t="shared" si="1"/>
        <v>0</v>
      </c>
      <c r="Z7" s="304">
        <f t="shared" si="1"/>
        <v>0</v>
      </c>
      <c r="AA7" s="304">
        <f t="shared" si="1"/>
        <v>0</v>
      </c>
      <c r="AB7" s="304">
        <f t="shared" si="1"/>
        <v>0</v>
      </c>
      <c r="AC7" s="304">
        <f t="shared" si="1"/>
        <v>0</v>
      </c>
      <c r="AD7" s="304">
        <f t="shared" si="1"/>
        <v>0</v>
      </c>
      <c r="AE7" s="304">
        <f t="shared" si="1"/>
        <v>0</v>
      </c>
      <c r="AF7" s="304">
        <f t="shared" si="1"/>
        <v>0</v>
      </c>
      <c r="AG7" s="304">
        <f t="shared" si="1"/>
        <v>0</v>
      </c>
      <c r="AH7" s="304">
        <f t="shared" si="1"/>
        <v>0</v>
      </c>
      <c r="AI7" s="304">
        <f t="shared" si="1"/>
        <v>0</v>
      </c>
      <c r="AJ7" s="304">
        <f t="shared" si="1"/>
        <v>0</v>
      </c>
      <c r="AK7" s="304">
        <f t="shared" si="1"/>
        <v>0</v>
      </c>
      <c r="AL7" s="304">
        <f t="shared" si="1"/>
        <v>0</v>
      </c>
      <c r="AM7" s="304">
        <f t="shared" si="1"/>
        <v>0</v>
      </c>
      <c r="AN7" s="304">
        <f t="shared" si="1"/>
        <v>0</v>
      </c>
      <c r="AO7" s="304">
        <f t="shared" si="1"/>
        <v>0</v>
      </c>
      <c r="AP7" s="304">
        <f t="shared" si="1"/>
        <v>0</v>
      </c>
    </row>
    <row r="8" spans="1:42" x14ac:dyDescent="0.2">
      <c r="A8" s="17" t="s">
        <v>372</v>
      </c>
      <c r="B8" s="304">
        <f t="array" ref="B8:AP10">Inputs!C152:AQ154</f>
        <v>0</v>
      </c>
      <c r="C8" s="304">
        <v>0</v>
      </c>
      <c r="D8" s="304">
        <v>0</v>
      </c>
      <c r="E8" s="304">
        <v>0</v>
      </c>
      <c r="F8" s="304">
        <v>0</v>
      </c>
      <c r="G8" s="304">
        <v>0</v>
      </c>
      <c r="H8" s="304">
        <v>0</v>
      </c>
      <c r="I8" s="304">
        <v>0</v>
      </c>
      <c r="J8" s="304">
        <v>0</v>
      </c>
      <c r="K8" s="304">
        <v>0</v>
      </c>
      <c r="L8" s="304">
        <v>0</v>
      </c>
      <c r="M8" s="304">
        <v>0</v>
      </c>
      <c r="N8" s="304">
        <v>0</v>
      </c>
      <c r="O8" s="304">
        <v>0</v>
      </c>
      <c r="P8" s="304">
        <v>0</v>
      </c>
      <c r="Q8" s="304">
        <v>0</v>
      </c>
      <c r="R8" s="304">
        <v>0</v>
      </c>
      <c r="S8" s="304">
        <v>0</v>
      </c>
      <c r="T8" s="304">
        <v>0</v>
      </c>
      <c r="U8" s="304">
        <v>0</v>
      </c>
      <c r="V8" s="304">
        <v>0</v>
      </c>
      <c r="W8" s="304">
        <v>0</v>
      </c>
      <c r="X8" s="304">
        <v>0</v>
      </c>
      <c r="Y8" s="304">
        <v>0</v>
      </c>
      <c r="Z8" s="304">
        <v>0</v>
      </c>
      <c r="AA8" s="304">
        <v>0</v>
      </c>
      <c r="AB8" s="304">
        <v>0</v>
      </c>
      <c r="AC8" s="304">
        <v>0</v>
      </c>
      <c r="AD8" s="304">
        <v>0</v>
      </c>
      <c r="AE8" s="304">
        <v>0</v>
      </c>
      <c r="AF8" s="304">
        <v>0</v>
      </c>
      <c r="AG8" s="304">
        <v>0</v>
      </c>
      <c r="AH8" s="304">
        <v>0</v>
      </c>
      <c r="AI8" s="304">
        <v>0</v>
      </c>
      <c r="AJ8" s="304">
        <v>0</v>
      </c>
      <c r="AK8" s="304">
        <v>0</v>
      </c>
      <c r="AL8" s="304">
        <v>0</v>
      </c>
      <c r="AM8" s="304">
        <v>0</v>
      </c>
      <c r="AN8" s="304">
        <v>0</v>
      </c>
      <c r="AO8" s="304">
        <v>0</v>
      </c>
      <c r="AP8" s="304">
        <v>0</v>
      </c>
    </row>
    <row r="9" spans="1:42" x14ac:dyDescent="0.2">
      <c r="A9" s="17" t="s">
        <v>373</v>
      </c>
      <c r="B9" s="304">
        <v>0</v>
      </c>
      <c r="C9" s="304">
        <v>0</v>
      </c>
      <c r="D9" s="304">
        <v>0</v>
      </c>
      <c r="E9" s="304">
        <v>0</v>
      </c>
      <c r="F9" s="304">
        <v>0</v>
      </c>
      <c r="G9" s="304">
        <v>0</v>
      </c>
      <c r="H9" s="304">
        <v>0</v>
      </c>
      <c r="I9" s="304">
        <v>0</v>
      </c>
      <c r="J9" s="304">
        <v>0</v>
      </c>
      <c r="K9" s="304">
        <v>0</v>
      </c>
      <c r="L9" s="304">
        <v>0</v>
      </c>
      <c r="M9" s="304">
        <v>0</v>
      </c>
      <c r="N9" s="304">
        <v>0</v>
      </c>
      <c r="O9" s="304">
        <v>0</v>
      </c>
      <c r="P9" s="304">
        <v>0</v>
      </c>
      <c r="Q9" s="304">
        <v>0</v>
      </c>
      <c r="R9" s="304">
        <v>0</v>
      </c>
      <c r="S9" s="304">
        <v>0</v>
      </c>
      <c r="T9" s="304">
        <v>0</v>
      </c>
      <c r="U9" s="304">
        <v>0</v>
      </c>
      <c r="V9" s="304">
        <v>0</v>
      </c>
      <c r="W9" s="304">
        <v>0</v>
      </c>
      <c r="X9" s="304">
        <v>0</v>
      </c>
      <c r="Y9" s="304">
        <v>0</v>
      </c>
      <c r="Z9" s="304">
        <v>0</v>
      </c>
      <c r="AA9" s="304">
        <v>0</v>
      </c>
      <c r="AB9" s="304">
        <v>0</v>
      </c>
      <c r="AC9" s="304">
        <v>0</v>
      </c>
      <c r="AD9" s="304">
        <v>0</v>
      </c>
      <c r="AE9" s="304">
        <v>0</v>
      </c>
      <c r="AF9" s="304">
        <v>0</v>
      </c>
      <c r="AG9" s="304">
        <v>0</v>
      </c>
      <c r="AH9" s="304">
        <v>0</v>
      </c>
      <c r="AI9" s="304">
        <v>0</v>
      </c>
      <c r="AJ9" s="304">
        <v>0</v>
      </c>
      <c r="AK9" s="304">
        <v>0</v>
      </c>
      <c r="AL9" s="304">
        <v>0</v>
      </c>
      <c r="AM9" s="304">
        <v>0</v>
      </c>
      <c r="AN9" s="304">
        <v>0</v>
      </c>
      <c r="AO9" s="304">
        <v>0</v>
      </c>
      <c r="AP9" s="304">
        <v>0</v>
      </c>
    </row>
    <row r="10" spans="1:42" x14ac:dyDescent="0.2">
      <c r="A10" s="17" t="s">
        <v>374</v>
      </c>
      <c r="B10" s="304">
        <v>0</v>
      </c>
      <c r="C10" s="304">
        <v>0</v>
      </c>
      <c r="D10" s="304">
        <v>0</v>
      </c>
      <c r="E10" s="304">
        <v>0</v>
      </c>
      <c r="F10" s="304">
        <v>0</v>
      </c>
      <c r="G10" s="304">
        <v>0</v>
      </c>
      <c r="H10" s="304">
        <v>0</v>
      </c>
      <c r="I10" s="304">
        <v>0</v>
      </c>
      <c r="J10" s="304">
        <v>0</v>
      </c>
      <c r="K10" s="304">
        <v>0</v>
      </c>
      <c r="L10" s="304">
        <v>0</v>
      </c>
      <c r="M10" s="304">
        <v>0</v>
      </c>
      <c r="N10" s="304">
        <v>0</v>
      </c>
      <c r="O10" s="304">
        <v>0</v>
      </c>
      <c r="P10" s="304">
        <v>0</v>
      </c>
      <c r="Q10" s="304">
        <v>0</v>
      </c>
      <c r="R10" s="304">
        <v>0</v>
      </c>
      <c r="S10" s="304">
        <v>0</v>
      </c>
      <c r="T10" s="304">
        <v>0</v>
      </c>
      <c r="U10" s="304">
        <v>0</v>
      </c>
      <c r="V10" s="304">
        <v>0</v>
      </c>
      <c r="W10" s="304">
        <v>0</v>
      </c>
      <c r="X10" s="304">
        <v>0</v>
      </c>
      <c r="Y10" s="304">
        <v>0</v>
      </c>
      <c r="Z10" s="304">
        <v>0</v>
      </c>
      <c r="AA10" s="304">
        <v>0</v>
      </c>
      <c r="AB10" s="304">
        <v>0</v>
      </c>
      <c r="AC10" s="304">
        <v>0</v>
      </c>
      <c r="AD10" s="304">
        <v>0</v>
      </c>
      <c r="AE10" s="304">
        <v>0</v>
      </c>
      <c r="AF10" s="304">
        <v>0</v>
      </c>
      <c r="AG10" s="304">
        <v>0</v>
      </c>
      <c r="AH10" s="304">
        <v>0</v>
      </c>
      <c r="AI10" s="304">
        <v>0</v>
      </c>
      <c r="AJ10" s="304">
        <v>0</v>
      </c>
      <c r="AK10" s="304">
        <v>0</v>
      </c>
      <c r="AL10" s="304">
        <v>0</v>
      </c>
      <c r="AM10" s="304">
        <v>0</v>
      </c>
      <c r="AN10" s="304">
        <v>0</v>
      </c>
      <c r="AO10" s="304">
        <v>0</v>
      </c>
      <c r="AP10" s="304">
        <v>0</v>
      </c>
    </row>
    <row r="11" spans="1:42" x14ac:dyDescent="0.2">
      <c r="A11" s="17"/>
      <c r="B11" s="275"/>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row>
    <row r="12" spans="1:42" x14ac:dyDescent="0.2">
      <c r="A12" s="80" t="s">
        <v>313</v>
      </c>
      <c r="B12" s="7"/>
      <c r="C12" s="206"/>
      <c r="D12" s="206"/>
      <c r="E12" s="206"/>
      <c r="F12" s="206"/>
      <c r="G12" s="206"/>
      <c r="H12" s="206"/>
      <c r="I12" s="206"/>
      <c r="J12" s="207"/>
      <c r="K12" s="207"/>
      <c r="L12" s="207"/>
      <c r="M12" s="207"/>
      <c r="N12" s="207"/>
      <c r="O12" s="207"/>
      <c r="P12" s="207"/>
      <c r="Q12" s="207"/>
      <c r="R12" s="207"/>
      <c r="S12" s="207"/>
      <c r="T12" s="207"/>
      <c r="U12" s="207"/>
      <c r="V12" s="207"/>
      <c r="W12" s="207"/>
      <c r="X12" s="207"/>
      <c r="Y12" s="207"/>
      <c r="Z12" s="207"/>
      <c r="AA12" s="207"/>
      <c r="AB12" s="207"/>
      <c r="AC12" s="207"/>
      <c r="AD12" s="207"/>
      <c r="AE12" s="207"/>
      <c r="AF12" s="207"/>
      <c r="AG12" s="207"/>
      <c r="AH12" s="207"/>
      <c r="AI12" s="207"/>
      <c r="AJ12" s="207"/>
      <c r="AK12" s="207"/>
      <c r="AL12" s="207"/>
      <c r="AM12" s="207"/>
      <c r="AN12" s="207"/>
      <c r="AO12" s="207"/>
      <c r="AP12" s="207"/>
    </row>
    <row r="13" spans="1:42" x14ac:dyDescent="0.2">
      <c r="A13" s="4" t="s">
        <v>298</v>
      </c>
      <c r="B13" s="4">
        <f t="array" ref="B13:AP13">Inputs!C163:AQ163</f>
        <v>0</v>
      </c>
      <c r="C13" s="14">
        <v>0</v>
      </c>
      <c r="D13" s="14">
        <v>0</v>
      </c>
      <c r="E13" s="14">
        <v>0</v>
      </c>
      <c r="F13" s="14">
        <v>0</v>
      </c>
      <c r="G13" s="14">
        <v>0</v>
      </c>
      <c r="H13" s="14">
        <v>0</v>
      </c>
      <c r="I13" s="14">
        <v>0</v>
      </c>
      <c r="J13" s="14">
        <v>0</v>
      </c>
      <c r="K13" s="14">
        <v>0</v>
      </c>
      <c r="L13" s="14">
        <v>0</v>
      </c>
      <c r="M13" s="14">
        <v>0</v>
      </c>
      <c r="N13" s="14">
        <v>0</v>
      </c>
      <c r="O13" s="14">
        <v>0</v>
      </c>
      <c r="P13" s="14">
        <v>0</v>
      </c>
      <c r="Q13" s="14">
        <v>0</v>
      </c>
      <c r="R13" s="14">
        <v>0</v>
      </c>
      <c r="S13" s="14">
        <v>0</v>
      </c>
      <c r="T13" s="14">
        <v>0</v>
      </c>
      <c r="U13" s="14">
        <v>0</v>
      </c>
      <c r="V13" s="14">
        <v>0</v>
      </c>
      <c r="W13" s="14">
        <v>0</v>
      </c>
      <c r="X13" s="14">
        <v>0</v>
      </c>
      <c r="Y13" s="14">
        <v>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row>
    <row r="14" spans="1:42" x14ac:dyDescent="0.2">
      <c r="A14" s="4" t="s">
        <v>300</v>
      </c>
      <c r="B14" s="4">
        <f t="array" ref="B14:AP14">Inputs!C162:AQ162</f>
        <v>0</v>
      </c>
      <c r="C14" s="14">
        <v>0</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c r="AG14" s="14">
        <v>0</v>
      </c>
      <c r="AH14" s="14">
        <v>0</v>
      </c>
      <c r="AI14" s="14">
        <v>0</v>
      </c>
      <c r="AJ14" s="14">
        <v>0</v>
      </c>
      <c r="AK14" s="14">
        <v>0</v>
      </c>
      <c r="AL14" s="14">
        <v>0</v>
      </c>
      <c r="AM14" s="14">
        <v>0</v>
      </c>
      <c r="AN14" s="14">
        <v>0</v>
      </c>
      <c r="AO14" s="14">
        <v>0</v>
      </c>
      <c r="AP14" s="14">
        <v>0</v>
      </c>
    </row>
    <row r="15" spans="1:42" x14ac:dyDescent="0.2">
      <c r="A15" s="4" t="s">
        <v>299</v>
      </c>
      <c r="B15" s="119">
        <f>B13-B14</f>
        <v>0</v>
      </c>
      <c r="C15" s="119">
        <f>C13-C14</f>
        <v>0</v>
      </c>
      <c r="D15" s="119">
        <f t="shared" ref="D15:AP15" si="2">D13-D14</f>
        <v>0</v>
      </c>
      <c r="E15" s="119">
        <f t="shared" si="2"/>
        <v>0</v>
      </c>
      <c r="F15" s="119">
        <f t="shared" si="2"/>
        <v>0</v>
      </c>
      <c r="G15" s="119">
        <f t="shared" si="2"/>
        <v>0</v>
      </c>
      <c r="H15" s="119">
        <f t="shared" si="2"/>
        <v>0</v>
      </c>
      <c r="I15" s="119">
        <f t="shared" si="2"/>
        <v>0</v>
      </c>
      <c r="J15" s="119">
        <f t="shared" si="2"/>
        <v>0</v>
      </c>
      <c r="K15" s="119">
        <f t="shared" si="2"/>
        <v>0</v>
      </c>
      <c r="L15" s="119">
        <f t="shared" si="2"/>
        <v>0</v>
      </c>
      <c r="M15" s="119">
        <f t="shared" si="2"/>
        <v>0</v>
      </c>
      <c r="N15" s="119">
        <f t="shared" si="2"/>
        <v>0</v>
      </c>
      <c r="O15" s="119">
        <f t="shared" si="2"/>
        <v>0</v>
      </c>
      <c r="P15" s="119">
        <f t="shared" si="2"/>
        <v>0</v>
      </c>
      <c r="Q15" s="119">
        <f t="shared" si="2"/>
        <v>0</v>
      </c>
      <c r="R15" s="119">
        <f t="shared" si="2"/>
        <v>0</v>
      </c>
      <c r="S15" s="119">
        <f t="shared" si="2"/>
        <v>0</v>
      </c>
      <c r="T15" s="119">
        <f t="shared" si="2"/>
        <v>0</v>
      </c>
      <c r="U15" s="119">
        <f t="shared" si="2"/>
        <v>0</v>
      </c>
      <c r="V15" s="119">
        <f t="shared" si="2"/>
        <v>0</v>
      </c>
      <c r="W15" s="119">
        <f t="shared" si="2"/>
        <v>0</v>
      </c>
      <c r="X15" s="119">
        <f t="shared" si="2"/>
        <v>0</v>
      </c>
      <c r="Y15" s="119">
        <f t="shared" si="2"/>
        <v>0</v>
      </c>
      <c r="Z15" s="119">
        <f t="shared" si="2"/>
        <v>0</v>
      </c>
      <c r="AA15" s="119">
        <f t="shared" si="2"/>
        <v>0</v>
      </c>
      <c r="AB15" s="119">
        <f t="shared" si="2"/>
        <v>0</v>
      </c>
      <c r="AC15" s="119">
        <f t="shared" si="2"/>
        <v>0</v>
      </c>
      <c r="AD15" s="119">
        <f t="shared" si="2"/>
        <v>0</v>
      </c>
      <c r="AE15" s="119">
        <f t="shared" si="2"/>
        <v>0</v>
      </c>
      <c r="AF15" s="119">
        <f t="shared" si="2"/>
        <v>0</v>
      </c>
      <c r="AG15" s="119">
        <f t="shared" si="2"/>
        <v>0</v>
      </c>
      <c r="AH15" s="119">
        <f t="shared" si="2"/>
        <v>0</v>
      </c>
      <c r="AI15" s="119">
        <f t="shared" si="2"/>
        <v>0</v>
      </c>
      <c r="AJ15" s="119">
        <f t="shared" si="2"/>
        <v>0</v>
      </c>
      <c r="AK15" s="119">
        <f t="shared" si="2"/>
        <v>0</v>
      </c>
      <c r="AL15" s="119">
        <f t="shared" si="2"/>
        <v>0</v>
      </c>
      <c r="AM15" s="119">
        <f t="shared" si="2"/>
        <v>0</v>
      </c>
      <c r="AN15" s="119">
        <f t="shared" si="2"/>
        <v>0</v>
      </c>
      <c r="AO15" s="119">
        <f t="shared" si="2"/>
        <v>0</v>
      </c>
      <c r="AP15" s="119">
        <f t="shared" si="2"/>
        <v>0</v>
      </c>
    </row>
    <row r="16" spans="1:42" x14ac:dyDescent="0.2">
      <c r="A16" s="4" t="s">
        <v>315</v>
      </c>
      <c r="B16" s="195">
        <f>IF(B$5=0,0,B$15*100/B$5)</f>
        <v>0</v>
      </c>
      <c r="C16" s="195">
        <f>IF(C$5=0,0,C$15*100/C$5)</f>
        <v>0</v>
      </c>
      <c r="D16" s="195">
        <f t="shared" ref="D16:AP16" si="3">IF(D$5=0,0,D$15*100/D$5)</f>
        <v>0</v>
      </c>
      <c r="E16" s="195">
        <f t="shared" si="3"/>
        <v>0</v>
      </c>
      <c r="F16" s="195">
        <f t="shared" si="3"/>
        <v>0</v>
      </c>
      <c r="G16" s="195">
        <f t="shared" si="3"/>
        <v>0</v>
      </c>
      <c r="H16" s="195">
        <f t="shared" si="3"/>
        <v>0</v>
      </c>
      <c r="I16" s="195">
        <f t="shared" si="3"/>
        <v>0</v>
      </c>
      <c r="J16" s="195">
        <f t="shared" si="3"/>
        <v>0</v>
      </c>
      <c r="K16" s="195">
        <f t="shared" si="3"/>
        <v>0</v>
      </c>
      <c r="L16" s="195">
        <f t="shared" si="3"/>
        <v>0</v>
      </c>
      <c r="M16" s="195">
        <f t="shared" si="3"/>
        <v>0</v>
      </c>
      <c r="N16" s="195">
        <f t="shared" si="3"/>
        <v>0</v>
      </c>
      <c r="O16" s="195">
        <f t="shared" si="3"/>
        <v>0</v>
      </c>
      <c r="P16" s="195">
        <f t="shared" si="3"/>
        <v>0</v>
      </c>
      <c r="Q16" s="195">
        <f t="shared" si="3"/>
        <v>0</v>
      </c>
      <c r="R16" s="195">
        <f t="shared" si="3"/>
        <v>0</v>
      </c>
      <c r="S16" s="195">
        <f t="shared" si="3"/>
        <v>0</v>
      </c>
      <c r="T16" s="195">
        <f t="shared" si="3"/>
        <v>0</v>
      </c>
      <c r="U16" s="195">
        <f t="shared" si="3"/>
        <v>0</v>
      </c>
      <c r="V16" s="195">
        <f t="shared" si="3"/>
        <v>0</v>
      </c>
      <c r="W16" s="195">
        <f t="shared" si="3"/>
        <v>0</v>
      </c>
      <c r="X16" s="195">
        <f t="shared" si="3"/>
        <v>0</v>
      </c>
      <c r="Y16" s="195">
        <f t="shared" si="3"/>
        <v>0</v>
      </c>
      <c r="Z16" s="195">
        <f t="shared" si="3"/>
        <v>0</v>
      </c>
      <c r="AA16" s="195">
        <f t="shared" si="3"/>
        <v>0</v>
      </c>
      <c r="AB16" s="195">
        <f t="shared" si="3"/>
        <v>0</v>
      </c>
      <c r="AC16" s="195">
        <f t="shared" si="3"/>
        <v>0</v>
      </c>
      <c r="AD16" s="195">
        <f t="shared" si="3"/>
        <v>0</v>
      </c>
      <c r="AE16" s="195">
        <f t="shared" si="3"/>
        <v>0</v>
      </c>
      <c r="AF16" s="195">
        <f t="shared" si="3"/>
        <v>0</v>
      </c>
      <c r="AG16" s="195">
        <f t="shared" si="3"/>
        <v>0</v>
      </c>
      <c r="AH16" s="195">
        <f t="shared" si="3"/>
        <v>0</v>
      </c>
      <c r="AI16" s="195">
        <f t="shared" si="3"/>
        <v>0</v>
      </c>
      <c r="AJ16" s="195">
        <f t="shared" si="3"/>
        <v>0</v>
      </c>
      <c r="AK16" s="195">
        <f t="shared" si="3"/>
        <v>0</v>
      </c>
      <c r="AL16" s="195">
        <f t="shared" si="3"/>
        <v>0</v>
      </c>
      <c r="AM16" s="195">
        <f t="shared" si="3"/>
        <v>0</v>
      </c>
      <c r="AN16" s="195">
        <f t="shared" si="3"/>
        <v>0</v>
      </c>
      <c r="AO16" s="195">
        <f t="shared" si="3"/>
        <v>0</v>
      </c>
      <c r="AP16" s="195">
        <f t="shared" si="3"/>
        <v>0</v>
      </c>
    </row>
    <row r="17" spans="1:42" x14ac:dyDescent="0.2">
      <c r="A17" s="4" t="s">
        <v>301</v>
      </c>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row>
    <row r="18" spans="1:42" x14ac:dyDescent="0.2">
      <c r="A18" s="21" t="s">
        <v>371</v>
      </c>
      <c r="B18" s="119">
        <f>B$5</f>
        <v>0</v>
      </c>
      <c r="C18" s="119">
        <f>C$5</f>
        <v>0</v>
      </c>
      <c r="D18" s="119">
        <f t="shared" ref="D18:AP18" si="4">D$5</f>
        <v>0</v>
      </c>
      <c r="E18" s="119">
        <f t="shared" si="4"/>
        <v>0</v>
      </c>
      <c r="F18" s="119">
        <f t="shared" si="4"/>
        <v>0</v>
      </c>
      <c r="G18" s="119">
        <f t="shared" si="4"/>
        <v>0</v>
      </c>
      <c r="H18" s="119">
        <f t="shared" si="4"/>
        <v>0</v>
      </c>
      <c r="I18" s="119">
        <f t="shared" si="4"/>
        <v>0</v>
      </c>
      <c r="J18" s="119">
        <f t="shared" si="4"/>
        <v>0</v>
      </c>
      <c r="K18" s="119">
        <f t="shared" si="4"/>
        <v>0</v>
      </c>
      <c r="L18" s="119">
        <f t="shared" si="4"/>
        <v>0</v>
      </c>
      <c r="M18" s="119">
        <f t="shared" si="4"/>
        <v>0</v>
      </c>
      <c r="N18" s="119">
        <f t="shared" si="4"/>
        <v>0</v>
      </c>
      <c r="O18" s="119">
        <f t="shared" si="4"/>
        <v>0</v>
      </c>
      <c r="P18" s="119">
        <f t="shared" si="4"/>
        <v>0</v>
      </c>
      <c r="Q18" s="119">
        <f t="shared" si="4"/>
        <v>0</v>
      </c>
      <c r="R18" s="119">
        <f t="shared" si="4"/>
        <v>0</v>
      </c>
      <c r="S18" s="119">
        <f t="shared" si="4"/>
        <v>0</v>
      </c>
      <c r="T18" s="119">
        <f t="shared" si="4"/>
        <v>0</v>
      </c>
      <c r="U18" s="119">
        <f t="shared" si="4"/>
        <v>0</v>
      </c>
      <c r="V18" s="119">
        <f t="shared" si="4"/>
        <v>0</v>
      </c>
      <c r="W18" s="119">
        <f t="shared" si="4"/>
        <v>0</v>
      </c>
      <c r="X18" s="119">
        <f t="shared" si="4"/>
        <v>0</v>
      </c>
      <c r="Y18" s="119">
        <f t="shared" si="4"/>
        <v>0</v>
      </c>
      <c r="Z18" s="119">
        <f t="shared" si="4"/>
        <v>0</v>
      </c>
      <c r="AA18" s="119">
        <f t="shared" si="4"/>
        <v>0</v>
      </c>
      <c r="AB18" s="119">
        <f t="shared" si="4"/>
        <v>0</v>
      </c>
      <c r="AC18" s="119">
        <f t="shared" si="4"/>
        <v>0</v>
      </c>
      <c r="AD18" s="119">
        <f t="shared" si="4"/>
        <v>0</v>
      </c>
      <c r="AE18" s="119">
        <f t="shared" si="4"/>
        <v>0</v>
      </c>
      <c r="AF18" s="119">
        <f t="shared" si="4"/>
        <v>0</v>
      </c>
      <c r="AG18" s="119">
        <f t="shared" si="4"/>
        <v>0</v>
      </c>
      <c r="AH18" s="119">
        <f t="shared" si="4"/>
        <v>0</v>
      </c>
      <c r="AI18" s="119">
        <f t="shared" si="4"/>
        <v>0</v>
      </c>
      <c r="AJ18" s="119">
        <f t="shared" si="4"/>
        <v>0</v>
      </c>
      <c r="AK18" s="119">
        <f t="shared" si="4"/>
        <v>0</v>
      </c>
      <c r="AL18" s="119">
        <f t="shared" si="4"/>
        <v>0</v>
      </c>
      <c r="AM18" s="119">
        <f t="shared" si="4"/>
        <v>0</v>
      </c>
      <c r="AN18" s="119">
        <f t="shared" si="4"/>
        <v>0</v>
      </c>
      <c r="AO18" s="119">
        <f t="shared" si="4"/>
        <v>0</v>
      </c>
      <c r="AP18" s="119">
        <f t="shared" si="4"/>
        <v>0</v>
      </c>
    </row>
    <row r="19" spans="1:42" x14ac:dyDescent="0.2">
      <c r="A19" s="21" t="s">
        <v>329</v>
      </c>
      <c r="B19" s="195">
        <f t="array" ref="B19:AP19">Inputs!C156:AQ156</f>
        <v>0</v>
      </c>
      <c r="C19" s="195">
        <v>0</v>
      </c>
      <c r="D19" s="195">
        <v>0</v>
      </c>
      <c r="E19" s="195">
        <v>0</v>
      </c>
      <c r="F19" s="195">
        <v>0</v>
      </c>
      <c r="G19" s="195">
        <v>0</v>
      </c>
      <c r="H19" s="195">
        <v>0</v>
      </c>
      <c r="I19" s="195">
        <v>0</v>
      </c>
      <c r="J19" s="195">
        <v>0</v>
      </c>
      <c r="K19" s="195">
        <v>0</v>
      </c>
      <c r="L19" s="195">
        <v>0</v>
      </c>
      <c r="M19" s="195">
        <v>0</v>
      </c>
      <c r="N19" s="195">
        <v>0</v>
      </c>
      <c r="O19" s="195">
        <v>0</v>
      </c>
      <c r="P19" s="195">
        <v>0</v>
      </c>
      <c r="Q19" s="195">
        <v>0</v>
      </c>
      <c r="R19" s="195">
        <v>0</v>
      </c>
      <c r="S19" s="195">
        <v>0</v>
      </c>
      <c r="T19" s="195">
        <v>0</v>
      </c>
      <c r="U19" s="195">
        <v>0</v>
      </c>
      <c r="V19" s="195">
        <v>0</v>
      </c>
      <c r="W19" s="195">
        <v>0</v>
      </c>
      <c r="X19" s="195">
        <v>0</v>
      </c>
      <c r="Y19" s="195">
        <v>0</v>
      </c>
      <c r="Z19" s="195">
        <v>0</v>
      </c>
      <c r="AA19" s="195">
        <v>0</v>
      </c>
      <c r="AB19" s="195">
        <v>0</v>
      </c>
      <c r="AC19" s="195">
        <v>0</v>
      </c>
      <c r="AD19" s="195">
        <v>0</v>
      </c>
      <c r="AE19" s="195">
        <v>0</v>
      </c>
      <c r="AF19" s="195">
        <v>0</v>
      </c>
      <c r="AG19" s="195">
        <v>0</v>
      </c>
      <c r="AH19" s="195">
        <v>0</v>
      </c>
      <c r="AI19" s="195">
        <v>0</v>
      </c>
      <c r="AJ19" s="195">
        <v>0</v>
      </c>
      <c r="AK19" s="195">
        <v>0</v>
      </c>
      <c r="AL19" s="195">
        <v>0</v>
      </c>
      <c r="AM19" s="195">
        <v>0</v>
      </c>
      <c r="AN19" s="195">
        <v>0</v>
      </c>
      <c r="AO19" s="195">
        <v>0</v>
      </c>
      <c r="AP19" s="195">
        <v>0</v>
      </c>
    </row>
    <row r="20" spans="1:42" x14ac:dyDescent="0.2">
      <c r="A20" s="21" t="s">
        <v>328</v>
      </c>
      <c r="B20" s="119">
        <f>B$19*B$18/100</f>
        <v>0</v>
      </c>
      <c r="C20" s="119">
        <f t="shared" ref="C20:AP20" si="5">C$19*C$18/100</f>
        <v>0</v>
      </c>
      <c r="D20" s="119">
        <f t="shared" si="5"/>
        <v>0</v>
      </c>
      <c r="E20" s="119">
        <f t="shared" si="5"/>
        <v>0</v>
      </c>
      <c r="F20" s="119">
        <f t="shared" si="5"/>
        <v>0</v>
      </c>
      <c r="G20" s="119">
        <f t="shared" si="5"/>
        <v>0</v>
      </c>
      <c r="H20" s="119">
        <f t="shared" si="5"/>
        <v>0</v>
      </c>
      <c r="I20" s="119">
        <f t="shared" si="5"/>
        <v>0</v>
      </c>
      <c r="J20" s="119">
        <f t="shared" si="5"/>
        <v>0</v>
      </c>
      <c r="K20" s="119">
        <f t="shared" si="5"/>
        <v>0</v>
      </c>
      <c r="L20" s="119">
        <f t="shared" si="5"/>
        <v>0</v>
      </c>
      <c r="M20" s="119">
        <f t="shared" si="5"/>
        <v>0</v>
      </c>
      <c r="N20" s="119">
        <f t="shared" si="5"/>
        <v>0</v>
      </c>
      <c r="O20" s="119">
        <f t="shared" si="5"/>
        <v>0</v>
      </c>
      <c r="P20" s="119">
        <f t="shared" si="5"/>
        <v>0</v>
      </c>
      <c r="Q20" s="119">
        <f t="shared" si="5"/>
        <v>0</v>
      </c>
      <c r="R20" s="119">
        <f t="shared" si="5"/>
        <v>0</v>
      </c>
      <c r="S20" s="119">
        <f t="shared" si="5"/>
        <v>0</v>
      </c>
      <c r="T20" s="119">
        <f t="shared" si="5"/>
        <v>0</v>
      </c>
      <c r="U20" s="119">
        <f t="shared" si="5"/>
        <v>0</v>
      </c>
      <c r="V20" s="119">
        <f t="shared" si="5"/>
        <v>0</v>
      </c>
      <c r="W20" s="119">
        <f t="shared" si="5"/>
        <v>0</v>
      </c>
      <c r="X20" s="119">
        <f t="shared" si="5"/>
        <v>0</v>
      </c>
      <c r="Y20" s="119">
        <f t="shared" si="5"/>
        <v>0</v>
      </c>
      <c r="Z20" s="119">
        <f t="shared" si="5"/>
        <v>0</v>
      </c>
      <c r="AA20" s="119">
        <f t="shared" si="5"/>
        <v>0</v>
      </c>
      <c r="AB20" s="119">
        <f t="shared" si="5"/>
        <v>0</v>
      </c>
      <c r="AC20" s="119">
        <f t="shared" si="5"/>
        <v>0</v>
      </c>
      <c r="AD20" s="119">
        <f t="shared" si="5"/>
        <v>0</v>
      </c>
      <c r="AE20" s="119">
        <f t="shared" si="5"/>
        <v>0</v>
      </c>
      <c r="AF20" s="119">
        <f t="shared" si="5"/>
        <v>0</v>
      </c>
      <c r="AG20" s="119">
        <f t="shared" si="5"/>
        <v>0</v>
      </c>
      <c r="AH20" s="119">
        <f t="shared" si="5"/>
        <v>0</v>
      </c>
      <c r="AI20" s="119">
        <f t="shared" si="5"/>
        <v>0</v>
      </c>
      <c r="AJ20" s="119">
        <f t="shared" si="5"/>
        <v>0</v>
      </c>
      <c r="AK20" s="119">
        <f t="shared" si="5"/>
        <v>0</v>
      </c>
      <c r="AL20" s="119">
        <f t="shared" si="5"/>
        <v>0</v>
      </c>
      <c r="AM20" s="119">
        <f t="shared" si="5"/>
        <v>0</v>
      </c>
      <c r="AN20" s="119">
        <f t="shared" si="5"/>
        <v>0</v>
      </c>
      <c r="AO20" s="119">
        <f t="shared" si="5"/>
        <v>0</v>
      </c>
      <c r="AP20" s="119">
        <f t="shared" si="5"/>
        <v>0</v>
      </c>
    </row>
    <row r="21" spans="1:42" x14ac:dyDescent="0.2">
      <c r="A21" s="4" t="s">
        <v>316</v>
      </c>
      <c r="B21" s="119">
        <f>B$15-B$20</f>
        <v>0</v>
      </c>
      <c r="C21" s="119">
        <f t="shared" ref="C21:AP21" si="6">C$15-C$20</f>
        <v>0</v>
      </c>
      <c r="D21" s="119">
        <f t="shared" si="6"/>
        <v>0</v>
      </c>
      <c r="E21" s="119">
        <f t="shared" si="6"/>
        <v>0</v>
      </c>
      <c r="F21" s="119">
        <f t="shared" si="6"/>
        <v>0</v>
      </c>
      <c r="G21" s="119">
        <f t="shared" si="6"/>
        <v>0</v>
      </c>
      <c r="H21" s="119">
        <f t="shared" si="6"/>
        <v>0</v>
      </c>
      <c r="I21" s="119">
        <f t="shared" si="6"/>
        <v>0</v>
      </c>
      <c r="J21" s="119">
        <f t="shared" si="6"/>
        <v>0</v>
      </c>
      <c r="K21" s="119">
        <f t="shared" si="6"/>
        <v>0</v>
      </c>
      <c r="L21" s="119">
        <f t="shared" si="6"/>
        <v>0</v>
      </c>
      <c r="M21" s="119">
        <f t="shared" si="6"/>
        <v>0</v>
      </c>
      <c r="N21" s="119">
        <f t="shared" si="6"/>
        <v>0</v>
      </c>
      <c r="O21" s="119">
        <f t="shared" si="6"/>
        <v>0</v>
      </c>
      <c r="P21" s="119">
        <f t="shared" si="6"/>
        <v>0</v>
      </c>
      <c r="Q21" s="119">
        <f t="shared" si="6"/>
        <v>0</v>
      </c>
      <c r="R21" s="119">
        <f t="shared" si="6"/>
        <v>0</v>
      </c>
      <c r="S21" s="119">
        <f t="shared" si="6"/>
        <v>0</v>
      </c>
      <c r="T21" s="119">
        <f t="shared" si="6"/>
        <v>0</v>
      </c>
      <c r="U21" s="119">
        <f t="shared" si="6"/>
        <v>0</v>
      </c>
      <c r="V21" s="119">
        <f t="shared" si="6"/>
        <v>0</v>
      </c>
      <c r="W21" s="119">
        <f t="shared" si="6"/>
        <v>0</v>
      </c>
      <c r="X21" s="119">
        <f t="shared" si="6"/>
        <v>0</v>
      </c>
      <c r="Y21" s="119">
        <f t="shared" si="6"/>
        <v>0</v>
      </c>
      <c r="Z21" s="119">
        <f t="shared" si="6"/>
        <v>0</v>
      </c>
      <c r="AA21" s="119">
        <f t="shared" si="6"/>
        <v>0</v>
      </c>
      <c r="AB21" s="119">
        <f t="shared" si="6"/>
        <v>0</v>
      </c>
      <c r="AC21" s="119">
        <f t="shared" si="6"/>
        <v>0</v>
      </c>
      <c r="AD21" s="119">
        <f t="shared" si="6"/>
        <v>0</v>
      </c>
      <c r="AE21" s="119">
        <f t="shared" si="6"/>
        <v>0</v>
      </c>
      <c r="AF21" s="119">
        <f t="shared" si="6"/>
        <v>0</v>
      </c>
      <c r="AG21" s="119">
        <f t="shared" si="6"/>
        <v>0</v>
      </c>
      <c r="AH21" s="119">
        <f t="shared" si="6"/>
        <v>0</v>
      </c>
      <c r="AI21" s="119">
        <f t="shared" si="6"/>
        <v>0</v>
      </c>
      <c r="AJ21" s="119">
        <f t="shared" si="6"/>
        <v>0</v>
      </c>
      <c r="AK21" s="119">
        <f t="shared" si="6"/>
        <v>0</v>
      </c>
      <c r="AL21" s="119">
        <f t="shared" si="6"/>
        <v>0</v>
      </c>
      <c r="AM21" s="119">
        <f t="shared" si="6"/>
        <v>0</v>
      </c>
      <c r="AN21" s="119">
        <f t="shared" si="6"/>
        <v>0</v>
      </c>
      <c r="AO21" s="119">
        <f t="shared" si="6"/>
        <v>0</v>
      </c>
      <c r="AP21" s="119">
        <f t="shared" si="6"/>
        <v>0</v>
      </c>
    </row>
    <row r="22" spans="1:42" x14ac:dyDescent="0.2">
      <c r="A22" s="4" t="s">
        <v>302</v>
      </c>
      <c r="B22" s="119">
        <f>B$21</f>
        <v>0</v>
      </c>
      <c r="C22" s="119">
        <f t="shared" ref="C22:AP22" si="7">C$21</f>
        <v>0</v>
      </c>
      <c r="D22" s="119">
        <f t="shared" si="7"/>
        <v>0</v>
      </c>
      <c r="E22" s="119">
        <f t="shared" si="7"/>
        <v>0</v>
      </c>
      <c r="F22" s="119">
        <f t="shared" si="7"/>
        <v>0</v>
      </c>
      <c r="G22" s="119">
        <f t="shared" si="7"/>
        <v>0</v>
      </c>
      <c r="H22" s="119">
        <f t="shared" si="7"/>
        <v>0</v>
      </c>
      <c r="I22" s="119">
        <f t="shared" si="7"/>
        <v>0</v>
      </c>
      <c r="J22" s="119">
        <f t="shared" si="7"/>
        <v>0</v>
      </c>
      <c r="K22" s="119">
        <f t="shared" si="7"/>
        <v>0</v>
      </c>
      <c r="L22" s="119">
        <f t="shared" si="7"/>
        <v>0</v>
      </c>
      <c r="M22" s="119">
        <f t="shared" si="7"/>
        <v>0</v>
      </c>
      <c r="N22" s="119">
        <f t="shared" si="7"/>
        <v>0</v>
      </c>
      <c r="O22" s="119">
        <f t="shared" si="7"/>
        <v>0</v>
      </c>
      <c r="P22" s="119">
        <f t="shared" si="7"/>
        <v>0</v>
      </c>
      <c r="Q22" s="119">
        <f t="shared" si="7"/>
        <v>0</v>
      </c>
      <c r="R22" s="119">
        <f t="shared" si="7"/>
        <v>0</v>
      </c>
      <c r="S22" s="119">
        <f t="shared" si="7"/>
        <v>0</v>
      </c>
      <c r="T22" s="119">
        <f t="shared" si="7"/>
        <v>0</v>
      </c>
      <c r="U22" s="119">
        <f t="shared" si="7"/>
        <v>0</v>
      </c>
      <c r="V22" s="119">
        <f t="shared" si="7"/>
        <v>0</v>
      </c>
      <c r="W22" s="119">
        <f t="shared" si="7"/>
        <v>0</v>
      </c>
      <c r="X22" s="119">
        <f t="shared" si="7"/>
        <v>0</v>
      </c>
      <c r="Y22" s="119">
        <f t="shared" si="7"/>
        <v>0</v>
      </c>
      <c r="Z22" s="119">
        <f t="shared" si="7"/>
        <v>0</v>
      </c>
      <c r="AA22" s="119">
        <f t="shared" si="7"/>
        <v>0</v>
      </c>
      <c r="AB22" s="119">
        <f t="shared" si="7"/>
        <v>0</v>
      </c>
      <c r="AC22" s="119">
        <f t="shared" si="7"/>
        <v>0</v>
      </c>
      <c r="AD22" s="119">
        <f t="shared" si="7"/>
        <v>0</v>
      </c>
      <c r="AE22" s="119">
        <f t="shared" si="7"/>
        <v>0</v>
      </c>
      <c r="AF22" s="119">
        <f t="shared" si="7"/>
        <v>0</v>
      </c>
      <c r="AG22" s="119">
        <f t="shared" si="7"/>
        <v>0</v>
      </c>
      <c r="AH22" s="119">
        <f t="shared" si="7"/>
        <v>0</v>
      </c>
      <c r="AI22" s="119">
        <f t="shared" si="7"/>
        <v>0</v>
      </c>
      <c r="AJ22" s="119">
        <f t="shared" si="7"/>
        <v>0</v>
      </c>
      <c r="AK22" s="119">
        <f t="shared" si="7"/>
        <v>0</v>
      </c>
      <c r="AL22" s="119">
        <f t="shared" si="7"/>
        <v>0</v>
      </c>
      <c r="AM22" s="119">
        <f t="shared" si="7"/>
        <v>0</v>
      </c>
      <c r="AN22" s="119">
        <f t="shared" si="7"/>
        <v>0</v>
      </c>
      <c r="AO22" s="119">
        <f t="shared" si="7"/>
        <v>0</v>
      </c>
      <c r="AP22" s="119">
        <f t="shared" si="7"/>
        <v>0</v>
      </c>
    </row>
    <row r="23" spans="1:42" x14ac:dyDescent="0.2">
      <c r="A23" s="4" t="s">
        <v>303</v>
      </c>
      <c r="B23" s="119">
        <v>0</v>
      </c>
      <c r="C23" s="119">
        <f>B$23+C$22</f>
        <v>0</v>
      </c>
      <c r="D23" s="119">
        <f t="shared" ref="D23:AP23" si="8">C$23+D$22</f>
        <v>0</v>
      </c>
      <c r="E23" s="119">
        <f t="shared" si="8"/>
        <v>0</v>
      </c>
      <c r="F23" s="119">
        <f t="shared" si="8"/>
        <v>0</v>
      </c>
      <c r="G23" s="119">
        <f t="shared" si="8"/>
        <v>0</v>
      </c>
      <c r="H23" s="119">
        <f t="shared" si="8"/>
        <v>0</v>
      </c>
      <c r="I23" s="119">
        <f t="shared" si="8"/>
        <v>0</v>
      </c>
      <c r="J23" s="119">
        <f t="shared" si="8"/>
        <v>0</v>
      </c>
      <c r="K23" s="119">
        <f t="shared" si="8"/>
        <v>0</v>
      </c>
      <c r="L23" s="119">
        <f t="shared" si="8"/>
        <v>0</v>
      </c>
      <c r="M23" s="119">
        <f t="shared" si="8"/>
        <v>0</v>
      </c>
      <c r="N23" s="119">
        <f t="shared" si="8"/>
        <v>0</v>
      </c>
      <c r="O23" s="119">
        <f t="shared" si="8"/>
        <v>0</v>
      </c>
      <c r="P23" s="119">
        <f t="shared" si="8"/>
        <v>0</v>
      </c>
      <c r="Q23" s="119">
        <f t="shared" si="8"/>
        <v>0</v>
      </c>
      <c r="R23" s="119">
        <f t="shared" si="8"/>
        <v>0</v>
      </c>
      <c r="S23" s="119">
        <f t="shared" si="8"/>
        <v>0</v>
      </c>
      <c r="T23" s="119">
        <f t="shared" si="8"/>
        <v>0</v>
      </c>
      <c r="U23" s="119">
        <f t="shared" si="8"/>
        <v>0</v>
      </c>
      <c r="V23" s="119">
        <f t="shared" si="8"/>
        <v>0</v>
      </c>
      <c r="W23" s="119">
        <f t="shared" si="8"/>
        <v>0</v>
      </c>
      <c r="X23" s="119">
        <f t="shared" si="8"/>
        <v>0</v>
      </c>
      <c r="Y23" s="119">
        <f t="shared" si="8"/>
        <v>0</v>
      </c>
      <c r="Z23" s="119">
        <f t="shared" si="8"/>
        <v>0</v>
      </c>
      <c r="AA23" s="119">
        <f t="shared" si="8"/>
        <v>0</v>
      </c>
      <c r="AB23" s="119">
        <f t="shared" si="8"/>
        <v>0</v>
      </c>
      <c r="AC23" s="119">
        <f t="shared" si="8"/>
        <v>0</v>
      </c>
      <c r="AD23" s="119">
        <f t="shared" si="8"/>
        <v>0</v>
      </c>
      <c r="AE23" s="119">
        <f t="shared" si="8"/>
        <v>0</v>
      </c>
      <c r="AF23" s="119">
        <f t="shared" si="8"/>
        <v>0</v>
      </c>
      <c r="AG23" s="119">
        <f t="shared" si="8"/>
        <v>0</v>
      </c>
      <c r="AH23" s="119">
        <f t="shared" si="8"/>
        <v>0</v>
      </c>
      <c r="AI23" s="119">
        <f t="shared" si="8"/>
        <v>0</v>
      </c>
      <c r="AJ23" s="119">
        <f t="shared" si="8"/>
        <v>0</v>
      </c>
      <c r="AK23" s="119">
        <f t="shared" si="8"/>
        <v>0</v>
      </c>
      <c r="AL23" s="119">
        <f t="shared" si="8"/>
        <v>0</v>
      </c>
      <c r="AM23" s="119">
        <f t="shared" si="8"/>
        <v>0</v>
      </c>
      <c r="AN23" s="119">
        <f t="shared" si="8"/>
        <v>0</v>
      </c>
      <c r="AO23" s="119">
        <f t="shared" si="8"/>
        <v>0</v>
      </c>
      <c r="AP23" s="119">
        <f t="shared" si="8"/>
        <v>0</v>
      </c>
    </row>
    <row r="24" spans="1:42" x14ac:dyDescent="0.2">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row>
    <row r="25" spans="1:42" x14ac:dyDescent="0.2">
      <c r="A25" s="80" t="s">
        <v>314</v>
      </c>
      <c r="B25" s="7"/>
      <c r="C25" s="206"/>
      <c r="D25" s="206"/>
      <c r="E25" s="206"/>
      <c r="F25" s="206"/>
      <c r="G25" s="206"/>
      <c r="H25" s="206"/>
      <c r="I25" s="206"/>
      <c r="J25" s="207"/>
      <c r="K25" s="207"/>
      <c r="L25" s="207"/>
      <c r="M25" s="207"/>
      <c r="N25" s="207"/>
      <c r="O25" s="207"/>
      <c r="P25" s="207"/>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row>
    <row r="26" spans="1:42" x14ac:dyDescent="0.2">
      <c r="A26" s="4" t="s">
        <v>344</v>
      </c>
      <c r="C26" s="14"/>
      <c r="D26" s="20"/>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row>
    <row r="27" spans="1:42" x14ac:dyDescent="0.2">
      <c r="A27" s="21" t="s">
        <v>369</v>
      </c>
      <c r="C27" s="119">
        <f>C$5</f>
        <v>0</v>
      </c>
      <c r="D27" s="119">
        <f t="shared" ref="D27:AP27" si="9">D$5</f>
        <v>0</v>
      </c>
      <c r="E27" s="119">
        <f t="shared" si="9"/>
        <v>0</v>
      </c>
      <c r="F27" s="119">
        <f t="shared" si="9"/>
        <v>0</v>
      </c>
      <c r="G27" s="119">
        <f t="shared" si="9"/>
        <v>0</v>
      </c>
      <c r="H27" s="119">
        <f t="shared" si="9"/>
        <v>0</v>
      </c>
      <c r="I27" s="119">
        <f t="shared" si="9"/>
        <v>0</v>
      </c>
      <c r="J27" s="119">
        <f t="shared" si="9"/>
        <v>0</v>
      </c>
      <c r="K27" s="119">
        <f t="shared" si="9"/>
        <v>0</v>
      </c>
      <c r="L27" s="119">
        <f t="shared" si="9"/>
        <v>0</v>
      </c>
      <c r="M27" s="119">
        <f t="shared" si="9"/>
        <v>0</v>
      </c>
      <c r="N27" s="119">
        <f t="shared" si="9"/>
        <v>0</v>
      </c>
      <c r="O27" s="119">
        <f t="shared" si="9"/>
        <v>0</v>
      </c>
      <c r="P27" s="119">
        <f t="shared" si="9"/>
        <v>0</v>
      </c>
      <c r="Q27" s="119">
        <f t="shared" si="9"/>
        <v>0</v>
      </c>
      <c r="R27" s="119">
        <f t="shared" si="9"/>
        <v>0</v>
      </c>
      <c r="S27" s="119">
        <f t="shared" si="9"/>
        <v>0</v>
      </c>
      <c r="T27" s="119">
        <f t="shared" si="9"/>
        <v>0</v>
      </c>
      <c r="U27" s="119">
        <f t="shared" si="9"/>
        <v>0</v>
      </c>
      <c r="V27" s="119">
        <f t="shared" si="9"/>
        <v>0</v>
      </c>
      <c r="W27" s="119">
        <f t="shared" si="9"/>
        <v>0</v>
      </c>
      <c r="X27" s="119">
        <f t="shared" si="9"/>
        <v>0</v>
      </c>
      <c r="Y27" s="119">
        <f t="shared" si="9"/>
        <v>0</v>
      </c>
      <c r="Z27" s="119">
        <f t="shared" si="9"/>
        <v>0</v>
      </c>
      <c r="AA27" s="119">
        <f t="shared" si="9"/>
        <v>0</v>
      </c>
      <c r="AB27" s="119">
        <f t="shared" si="9"/>
        <v>0</v>
      </c>
      <c r="AC27" s="119">
        <f t="shared" si="9"/>
        <v>0</v>
      </c>
      <c r="AD27" s="119">
        <f t="shared" si="9"/>
        <v>0</v>
      </c>
      <c r="AE27" s="119">
        <f t="shared" si="9"/>
        <v>0</v>
      </c>
      <c r="AF27" s="119">
        <f t="shared" si="9"/>
        <v>0</v>
      </c>
      <c r="AG27" s="119">
        <f t="shared" si="9"/>
        <v>0</v>
      </c>
      <c r="AH27" s="119">
        <f t="shared" si="9"/>
        <v>0</v>
      </c>
      <c r="AI27" s="119">
        <f t="shared" si="9"/>
        <v>0</v>
      </c>
      <c r="AJ27" s="119">
        <f t="shared" si="9"/>
        <v>0</v>
      </c>
      <c r="AK27" s="119">
        <f t="shared" si="9"/>
        <v>0</v>
      </c>
      <c r="AL27" s="119">
        <f t="shared" si="9"/>
        <v>0</v>
      </c>
      <c r="AM27" s="119">
        <f t="shared" si="9"/>
        <v>0</v>
      </c>
      <c r="AN27" s="119">
        <f t="shared" si="9"/>
        <v>0</v>
      </c>
      <c r="AO27" s="119">
        <f t="shared" si="9"/>
        <v>0</v>
      </c>
      <c r="AP27" s="119">
        <f t="shared" si="9"/>
        <v>0</v>
      </c>
    </row>
    <row r="28" spans="1:42" x14ac:dyDescent="0.2">
      <c r="A28" s="21" t="s">
        <v>10</v>
      </c>
      <c r="B28" s="4">
        <f t="array" ref="B28:AP28">Inputs!C156:AQ156</f>
        <v>0</v>
      </c>
      <c r="C28" s="305">
        <v>0</v>
      </c>
      <c r="D28" s="305">
        <v>0</v>
      </c>
      <c r="E28" s="305">
        <v>0</v>
      </c>
      <c r="F28" s="305">
        <v>0</v>
      </c>
      <c r="G28" s="305">
        <v>0</v>
      </c>
      <c r="H28" s="305">
        <v>0</v>
      </c>
      <c r="I28" s="305">
        <v>0</v>
      </c>
      <c r="J28" s="305">
        <v>0</v>
      </c>
      <c r="K28" s="305">
        <v>0</v>
      </c>
      <c r="L28" s="305">
        <v>0</v>
      </c>
      <c r="M28" s="305">
        <v>0</v>
      </c>
      <c r="N28" s="305">
        <v>0</v>
      </c>
      <c r="O28" s="305">
        <v>0</v>
      </c>
      <c r="P28" s="305">
        <v>0</v>
      </c>
      <c r="Q28" s="305">
        <v>0</v>
      </c>
      <c r="R28" s="305">
        <v>0</v>
      </c>
      <c r="S28" s="305">
        <v>0</v>
      </c>
      <c r="T28" s="305">
        <v>0</v>
      </c>
      <c r="U28" s="305">
        <v>0</v>
      </c>
      <c r="V28" s="305">
        <v>0</v>
      </c>
      <c r="W28" s="305">
        <v>0</v>
      </c>
      <c r="X28" s="305">
        <v>0</v>
      </c>
      <c r="Y28" s="305">
        <v>0</v>
      </c>
      <c r="Z28" s="305">
        <v>0</v>
      </c>
      <c r="AA28" s="305">
        <v>0</v>
      </c>
      <c r="AB28" s="305">
        <v>0</v>
      </c>
      <c r="AC28" s="305">
        <v>0</v>
      </c>
      <c r="AD28" s="305">
        <v>0</v>
      </c>
      <c r="AE28" s="305">
        <v>0</v>
      </c>
      <c r="AF28" s="305">
        <v>0</v>
      </c>
      <c r="AG28" s="305">
        <v>0</v>
      </c>
      <c r="AH28" s="305">
        <v>0</v>
      </c>
      <c r="AI28" s="305">
        <v>0</v>
      </c>
      <c r="AJ28" s="305">
        <v>0</v>
      </c>
      <c r="AK28" s="305">
        <v>0</v>
      </c>
      <c r="AL28" s="305">
        <v>0</v>
      </c>
      <c r="AM28" s="305">
        <v>0</v>
      </c>
      <c r="AN28" s="305">
        <v>0</v>
      </c>
      <c r="AO28" s="305">
        <v>0</v>
      </c>
      <c r="AP28" s="305">
        <v>0</v>
      </c>
    </row>
    <row r="29" spans="1:42" x14ac:dyDescent="0.2">
      <c r="A29" s="21" t="s">
        <v>345</v>
      </c>
      <c r="B29" s="119">
        <f t="array" ref="B29:AP29">Inputs!C157:AQ157</f>
        <v>0</v>
      </c>
      <c r="C29" s="120">
        <v>0</v>
      </c>
      <c r="D29" s="120">
        <v>0</v>
      </c>
      <c r="E29" s="120">
        <v>0</v>
      </c>
      <c r="F29" s="120">
        <v>0</v>
      </c>
      <c r="G29" s="120">
        <v>0</v>
      </c>
      <c r="H29" s="120">
        <v>0</v>
      </c>
      <c r="I29" s="120">
        <v>0</v>
      </c>
      <c r="J29" s="120">
        <v>0</v>
      </c>
      <c r="K29" s="120">
        <v>0</v>
      </c>
      <c r="L29" s="120">
        <v>0</v>
      </c>
      <c r="M29" s="120">
        <v>0</v>
      </c>
      <c r="N29" s="120">
        <v>0</v>
      </c>
      <c r="O29" s="120">
        <v>0</v>
      </c>
      <c r="P29" s="120">
        <v>0</v>
      </c>
      <c r="Q29" s="120">
        <v>0</v>
      </c>
      <c r="R29" s="120">
        <v>0</v>
      </c>
      <c r="S29" s="120">
        <v>0</v>
      </c>
      <c r="T29" s="120">
        <v>0</v>
      </c>
      <c r="U29" s="120">
        <v>0</v>
      </c>
      <c r="V29" s="120">
        <v>0</v>
      </c>
      <c r="W29" s="120">
        <v>0</v>
      </c>
      <c r="X29" s="120">
        <v>0</v>
      </c>
      <c r="Y29" s="120">
        <v>0</v>
      </c>
      <c r="Z29" s="120">
        <v>0</v>
      </c>
      <c r="AA29" s="120">
        <v>0</v>
      </c>
      <c r="AB29" s="120">
        <v>0</v>
      </c>
      <c r="AC29" s="120">
        <v>0</v>
      </c>
      <c r="AD29" s="120">
        <v>0</v>
      </c>
      <c r="AE29" s="120">
        <v>0</v>
      </c>
      <c r="AF29" s="120">
        <v>0</v>
      </c>
      <c r="AG29" s="120">
        <v>0</v>
      </c>
      <c r="AH29" s="120">
        <v>0</v>
      </c>
      <c r="AI29" s="120">
        <v>0</v>
      </c>
      <c r="AJ29" s="120">
        <v>0</v>
      </c>
      <c r="AK29" s="120">
        <v>0</v>
      </c>
      <c r="AL29" s="120">
        <v>0</v>
      </c>
      <c r="AM29" s="120">
        <v>0</v>
      </c>
      <c r="AN29" s="120">
        <v>0</v>
      </c>
      <c r="AO29" s="120">
        <v>0</v>
      </c>
      <c r="AP29" s="120">
        <v>0</v>
      </c>
    </row>
    <row r="30" spans="1:42" x14ac:dyDescent="0.2">
      <c r="A30" s="17" t="s">
        <v>346</v>
      </c>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row>
    <row r="31" spans="1:42" x14ac:dyDescent="0.2">
      <c r="A31" s="283" t="s">
        <v>342</v>
      </c>
      <c r="B31" s="119">
        <f t="array" ref="B31:AP33">Inputs!C158:AQ160</f>
        <v>0</v>
      </c>
      <c r="C31" s="119">
        <v>0</v>
      </c>
      <c r="D31" s="119">
        <v>0</v>
      </c>
      <c r="E31" s="119">
        <v>0</v>
      </c>
      <c r="F31" s="119">
        <v>0</v>
      </c>
      <c r="G31" s="119">
        <v>0</v>
      </c>
      <c r="H31" s="119">
        <v>0</v>
      </c>
      <c r="I31" s="119">
        <v>0</v>
      </c>
      <c r="J31" s="119">
        <v>0</v>
      </c>
      <c r="K31" s="119">
        <v>0</v>
      </c>
      <c r="L31" s="119">
        <v>0</v>
      </c>
      <c r="M31" s="119">
        <v>0</v>
      </c>
      <c r="N31" s="119">
        <v>0</v>
      </c>
      <c r="O31" s="119">
        <v>0</v>
      </c>
      <c r="P31" s="119">
        <v>0</v>
      </c>
      <c r="Q31" s="119">
        <v>0</v>
      </c>
      <c r="R31" s="119">
        <v>0</v>
      </c>
      <c r="S31" s="119">
        <v>0</v>
      </c>
      <c r="T31" s="119">
        <v>0</v>
      </c>
      <c r="U31" s="119">
        <v>0</v>
      </c>
      <c r="V31" s="119">
        <v>0</v>
      </c>
      <c r="W31" s="119">
        <v>0</v>
      </c>
      <c r="X31" s="119">
        <v>0</v>
      </c>
      <c r="Y31" s="119">
        <v>0</v>
      </c>
      <c r="Z31" s="119">
        <v>0</v>
      </c>
      <c r="AA31" s="119">
        <v>0</v>
      </c>
      <c r="AB31" s="119">
        <v>0</v>
      </c>
      <c r="AC31" s="119">
        <v>0</v>
      </c>
      <c r="AD31" s="119">
        <v>0</v>
      </c>
      <c r="AE31" s="119">
        <v>0</v>
      </c>
      <c r="AF31" s="119">
        <v>0</v>
      </c>
      <c r="AG31" s="119">
        <v>0</v>
      </c>
      <c r="AH31" s="119">
        <v>0</v>
      </c>
      <c r="AI31" s="119">
        <v>0</v>
      </c>
      <c r="AJ31" s="119">
        <v>0</v>
      </c>
      <c r="AK31" s="119">
        <v>0</v>
      </c>
      <c r="AL31" s="119">
        <v>0</v>
      </c>
      <c r="AM31" s="119">
        <v>0</v>
      </c>
      <c r="AN31" s="119">
        <v>0</v>
      </c>
      <c r="AO31" s="119">
        <v>0</v>
      </c>
      <c r="AP31" s="119">
        <v>0</v>
      </c>
    </row>
    <row r="32" spans="1:42" x14ac:dyDescent="0.2">
      <c r="A32" s="283" t="s">
        <v>343</v>
      </c>
      <c r="B32" s="119">
        <v>0</v>
      </c>
      <c r="C32" s="119">
        <v>0</v>
      </c>
      <c r="D32" s="119">
        <v>0</v>
      </c>
      <c r="E32" s="119">
        <v>0</v>
      </c>
      <c r="F32" s="119">
        <v>0</v>
      </c>
      <c r="G32" s="119">
        <v>0</v>
      </c>
      <c r="H32" s="119">
        <v>0</v>
      </c>
      <c r="I32" s="119">
        <v>0</v>
      </c>
      <c r="J32" s="119">
        <v>0</v>
      </c>
      <c r="K32" s="119">
        <v>0</v>
      </c>
      <c r="L32" s="119">
        <v>0</v>
      </c>
      <c r="M32" s="119">
        <v>0</v>
      </c>
      <c r="N32" s="119">
        <v>0</v>
      </c>
      <c r="O32" s="119">
        <v>0</v>
      </c>
      <c r="P32" s="119">
        <v>0</v>
      </c>
      <c r="Q32" s="119">
        <v>0</v>
      </c>
      <c r="R32" s="119">
        <v>0</v>
      </c>
      <c r="S32" s="119">
        <v>0</v>
      </c>
      <c r="T32" s="119">
        <v>0</v>
      </c>
      <c r="U32" s="119">
        <v>0</v>
      </c>
      <c r="V32" s="119">
        <v>0</v>
      </c>
      <c r="W32" s="119">
        <v>0</v>
      </c>
      <c r="X32" s="119">
        <v>0</v>
      </c>
      <c r="Y32" s="119">
        <v>0</v>
      </c>
      <c r="Z32" s="119">
        <v>0</v>
      </c>
      <c r="AA32" s="119">
        <v>0</v>
      </c>
      <c r="AB32" s="119">
        <v>0</v>
      </c>
      <c r="AC32" s="119">
        <v>0</v>
      </c>
      <c r="AD32" s="119">
        <v>0</v>
      </c>
      <c r="AE32" s="119">
        <v>0</v>
      </c>
      <c r="AF32" s="119">
        <v>0</v>
      </c>
      <c r="AG32" s="119">
        <v>0</v>
      </c>
      <c r="AH32" s="119">
        <v>0</v>
      </c>
      <c r="AI32" s="119">
        <v>0</v>
      </c>
      <c r="AJ32" s="119">
        <v>0</v>
      </c>
      <c r="AK32" s="119">
        <v>0</v>
      </c>
      <c r="AL32" s="119">
        <v>0</v>
      </c>
      <c r="AM32" s="119">
        <v>0</v>
      </c>
      <c r="AN32" s="119">
        <v>0</v>
      </c>
      <c r="AO32" s="119">
        <v>0</v>
      </c>
      <c r="AP32" s="119">
        <v>0</v>
      </c>
    </row>
    <row r="33" spans="1:42" x14ac:dyDescent="0.2">
      <c r="A33" s="283" t="s">
        <v>402</v>
      </c>
      <c r="B33" s="119">
        <v>0</v>
      </c>
      <c r="C33" s="119">
        <v>0</v>
      </c>
      <c r="D33" s="119">
        <v>0</v>
      </c>
      <c r="E33" s="119">
        <v>0</v>
      </c>
      <c r="F33" s="119">
        <v>0</v>
      </c>
      <c r="G33" s="119">
        <v>0</v>
      </c>
      <c r="H33" s="119">
        <v>0</v>
      </c>
      <c r="I33" s="119">
        <v>0</v>
      </c>
      <c r="J33" s="119">
        <v>0</v>
      </c>
      <c r="K33" s="119">
        <v>0</v>
      </c>
      <c r="L33" s="119">
        <v>0</v>
      </c>
      <c r="M33" s="119">
        <v>0</v>
      </c>
      <c r="N33" s="119">
        <v>0</v>
      </c>
      <c r="O33" s="119">
        <v>0</v>
      </c>
      <c r="P33" s="119">
        <v>0</v>
      </c>
      <c r="Q33" s="119">
        <v>0</v>
      </c>
      <c r="R33" s="119">
        <v>0</v>
      </c>
      <c r="S33" s="119">
        <v>0</v>
      </c>
      <c r="T33" s="119">
        <v>0</v>
      </c>
      <c r="U33" s="119">
        <v>0</v>
      </c>
      <c r="V33" s="119">
        <v>0</v>
      </c>
      <c r="W33" s="119">
        <v>0</v>
      </c>
      <c r="X33" s="119">
        <v>0</v>
      </c>
      <c r="Y33" s="119">
        <v>0</v>
      </c>
      <c r="Z33" s="119">
        <v>0</v>
      </c>
      <c r="AA33" s="119">
        <v>0</v>
      </c>
      <c r="AB33" s="119">
        <v>0</v>
      </c>
      <c r="AC33" s="119">
        <v>0</v>
      </c>
      <c r="AD33" s="119">
        <v>0</v>
      </c>
      <c r="AE33" s="119">
        <v>0</v>
      </c>
      <c r="AF33" s="119">
        <v>0</v>
      </c>
      <c r="AG33" s="119">
        <v>0</v>
      </c>
      <c r="AH33" s="119">
        <v>0</v>
      </c>
      <c r="AI33" s="119">
        <v>0</v>
      </c>
      <c r="AJ33" s="119">
        <v>0</v>
      </c>
      <c r="AK33" s="119">
        <v>0</v>
      </c>
      <c r="AL33" s="119">
        <v>0</v>
      </c>
      <c r="AM33" s="119">
        <v>0</v>
      </c>
      <c r="AN33" s="119">
        <v>0</v>
      </c>
      <c r="AO33" s="119">
        <v>0</v>
      </c>
      <c r="AP33" s="119">
        <v>0</v>
      </c>
    </row>
    <row r="34" spans="1:42" x14ac:dyDescent="0.2">
      <c r="A34" s="4" t="s">
        <v>19</v>
      </c>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row>
    <row r="35" spans="1:42" x14ac:dyDescent="0.2">
      <c r="A35" s="21" t="s">
        <v>4</v>
      </c>
      <c r="B35" s="119"/>
      <c r="C35" s="119">
        <f t="shared" ref="C35:AP35" si="10">IF(pbi_fed_for_ds="Yes",C590,0)</f>
        <v>0</v>
      </c>
      <c r="D35" s="119">
        <f t="shared" si="10"/>
        <v>0</v>
      </c>
      <c r="E35" s="119">
        <f t="shared" si="10"/>
        <v>0</v>
      </c>
      <c r="F35" s="119">
        <f t="shared" si="10"/>
        <v>0</v>
      </c>
      <c r="G35" s="119">
        <f t="shared" si="10"/>
        <v>0</v>
      </c>
      <c r="H35" s="119">
        <f t="shared" si="10"/>
        <v>0</v>
      </c>
      <c r="I35" s="119">
        <f t="shared" si="10"/>
        <v>0</v>
      </c>
      <c r="J35" s="119">
        <f t="shared" si="10"/>
        <v>0</v>
      </c>
      <c r="K35" s="119">
        <f t="shared" si="10"/>
        <v>0</v>
      </c>
      <c r="L35" s="119">
        <f t="shared" si="10"/>
        <v>0</v>
      </c>
      <c r="M35" s="119">
        <f t="shared" si="10"/>
        <v>0</v>
      </c>
      <c r="N35" s="119">
        <f t="shared" si="10"/>
        <v>0</v>
      </c>
      <c r="O35" s="119">
        <f t="shared" si="10"/>
        <v>0</v>
      </c>
      <c r="P35" s="119">
        <f t="shared" si="10"/>
        <v>0</v>
      </c>
      <c r="Q35" s="119">
        <f t="shared" si="10"/>
        <v>0</v>
      </c>
      <c r="R35" s="119">
        <f t="shared" si="10"/>
        <v>0</v>
      </c>
      <c r="S35" s="119">
        <f t="shared" si="10"/>
        <v>0</v>
      </c>
      <c r="T35" s="119">
        <f t="shared" si="10"/>
        <v>0</v>
      </c>
      <c r="U35" s="119">
        <f t="shared" si="10"/>
        <v>0</v>
      </c>
      <c r="V35" s="119">
        <f t="shared" si="10"/>
        <v>0</v>
      </c>
      <c r="W35" s="119">
        <f t="shared" si="10"/>
        <v>0</v>
      </c>
      <c r="X35" s="119">
        <f t="shared" si="10"/>
        <v>0</v>
      </c>
      <c r="Y35" s="119">
        <f t="shared" si="10"/>
        <v>0</v>
      </c>
      <c r="Z35" s="119">
        <f t="shared" si="10"/>
        <v>0</v>
      </c>
      <c r="AA35" s="119">
        <f t="shared" si="10"/>
        <v>0</v>
      </c>
      <c r="AB35" s="119">
        <f t="shared" si="10"/>
        <v>0</v>
      </c>
      <c r="AC35" s="119">
        <f t="shared" si="10"/>
        <v>0</v>
      </c>
      <c r="AD35" s="119">
        <f t="shared" si="10"/>
        <v>0</v>
      </c>
      <c r="AE35" s="119">
        <f t="shared" si="10"/>
        <v>0</v>
      </c>
      <c r="AF35" s="119">
        <f t="shared" si="10"/>
        <v>0</v>
      </c>
      <c r="AG35" s="119">
        <f t="shared" si="10"/>
        <v>0</v>
      </c>
      <c r="AH35" s="119">
        <f t="shared" si="10"/>
        <v>0</v>
      </c>
      <c r="AI35" s="119">
        <f t="shared" si="10"/>
        <v>0</v>
      </c>
      <c r="AJ35" s="119">
        <f t="shared" si="10"/>
        <v>0</v>
      </c>
      <c r="AK35" s="119">
        <f t="shared" si="10"/>
        <v>0</v>
      </c>
      <c r="AL35" s="119">
        <f t="shared" si="10"/>
        <v>0</v>
      </c>
      <c r="AM35" s="119">
        <f t="shared" si="10"/>
        <v>0</v>
      </c>
      <c r="AN35" s="119">
        <f t="shared" si="10"/>
        <v>0</v>
      </c>
      <c r="AO35" s="119">
        <f t="shared" si="10"/>
        <v>0</v>
      </c>
      <c r="AP35" s="119">
        <f t="shared" si="10"/>
        <v>0</v>
      </c>
    </row>
    <row r="36" spans="1:42" x14ac:dyDescent="0.2">
      <c r="A36" s="21" t="s">
        <v>5</v>
      </c>
      <c r="B36" s="119"/>
      <c r="C36" s="119">
        <f t="shared" ref="C36:AP36" si="11">IF(pbi_sta_for_ds="Yes",C594,0)</f>
        <v>0</v>
      </c>
      <c r="D36" s="119">
        <f t="shared" si="11"/>
        <v>0</v>
      </c>
      <c r="E36" s="119">
        <f t="shared" si="11"/>
        <v>0</v>
      </c>
      <c r="F36" s="119">
        <f t="shared" si="11"/>
        <v>0</v>
      </c>
      <c r="G36" s="119">
        <f t="shared" si="11"/>
        <v>0</v>
      </c>
      <c r="H36" s="119">
        <f t="shared" si="11"/>
        <v>0</v>
      </c>
      <c r="I36" s="119">
        <f t="shared" si="11"/>
        <v>0</v>
      </c>
      <c r="J36" s="119">
        <f t="shared" si="11"/>
        <v>0</v>
      </c>
      <c r="K36" s="119">
        <f t="shared" si="11"/>
        <v>0</v>
      </c>
      <c r="L36" s="119">
        <f t="shared" si="11"/>
        <v>0</v>
      </c>
      <c r="M36" s="119">
        <f t="shared" si="11"/>
        <v>0</v>
      </c>
      <c r="N36" s="119">
        <f t="shared" si="11"/>
        <v>0</v>
      </c>
      <c r="O36" s="119">
        <f t="shared" si="11"/>
        <v>0</v>
      </c>
      <c r="P36" s="119">
        <f t="shared" si="11"/>
        <v>0</v>
      </c>
      <c r="Q36" s="119">
        <f t="shared" si="11"/>
        <v>0</v>
      </c>
      <c r="R36" s="119">
        <f t="shared" si="11"/>
        <v>0</v>
      </c>
      <c r="S36" s="119">
        <f t="shared" si="11"/>
        <v>0</v>
      </c>
      <c r="T36" s="119">
        <f t="shared" si="11"/>
        <v>0</v>
      </c>
      <c r="U36" s="119">
        <f t="shared" si="11"/>
        <v>0</v>
      </c>
      <c r="V36" s="119">
        <f t="shared" si="11"/>
        <v>0</v>
      </c>
      <c r="W36" s="119">
        <f t="shared" si="11"/>
        <v>0</v>
      </c>
      <c r="X36" s="119">
        <f t="shared" si="11"/>
        <v>0</v>
      </c>
      <c r="Y36" s="119">
        <f t="shared" si="11"/>
        <v>0</v>
      </c>
      <c r="Z36" s="119">
        <f t="shared" si="11"/>
        <v>0</v>
      </c>
      <c r="AA36" s="119">
        <f t="shared" si="11"/>
        <v>0</v>
      </c>
      <c r="AB36" s="119">
        <f t="shared" si="11"/>
        <v>0</v>
      </c>
      <c r="AC36" s="119">
        <f t="shared" si="11"/>
        <v>0</v>
      </c>
      <c r="AD36" s="119">
        <f t="shared" si="11"/>
        <v>0</v>
      </c>
      <c r="AE36" s="119">
        <f t="shared" si="11"/>
        <v>0</v>
      </c>
      <c r="AF36" s="119">
        <f t="shared" si="11"/>
        <v>0</v>
      </c>
      <c r="AG36" s="119">
        <f t="shared" si="11"/>
        <v>0</v>
      </c>
      <c r="AH36" s="119">
        <f t="shared" si="11"/>
        <v>0</v>
      </c>
      <c r="AI36" s="119">
        <f t="shared" si="11"/>
        <v>0</v>
      </c>
      <c r="AJ36" s="119">
        <f t="shared" si="11"/>
        <v>0</v>
      </c>
      <c r="AK36" s="119">
        <f t="shared" si="11"/>
        <v>0</v>
      </c>
      <c r="AL36" s="119">
        <f t="shared" si="11"/>
        <v>0</v>
      </c>
      <c r="AM36" s="119">
        <f t="shared" si="11"/>
        <v>0</v>
      </c>
      <c r="AN36" s="119">
        <f t="shared" si="11"/>
        <v>0</v>
      </c>
      <c r="AO36" s="119">
        <f t="shared" si="11"/>
        <v>0</v>
      </c>
      <c r="AP36" s="119">
        <f t="shared" si="11"/>
        <v>0</v>
      </c>
    </row>
    <row r="37" spans="1:42" x14ac:dyDescent="0.2">
      <c r="A37" s="21" t="s">
        <v>170</v>
      </c>
      <c r="B37" s="119"/>
      <c r="C37" s="119">
        <f t="shared" ref="C37:AP37" si="12">IF(pbi_uti_for_ds="Yes",C598,0)</f>
        <v>0</v>
      </c>
      <c r="D37" s="119">
        <f t="shared" si="12"/>
        <v>0</v>
      </c>
      <c r="E37" s="119">
        <f t="shared" si="12"/>
        <v>0</v>
      </c>
      <c r="F37" s="119">
        <f t="shared" si="12"/>
        <v>0</v>
      </c>
      <c r="G37" s="119">
        <f t="shared" si="12"/>
        <v>0</v>
      </c>
      <c r="H37" s="119">
        <f t="shared" si="12"/>
        <v>0</v>
      </c>
      <c r="I37" s="119">
        <f t="shared" si="12"/>
        <v>0</v>
      </c>
      <c r="J37" s="119">
        <f t="shared" si="12"/>
        <v>0</v>
      </c>
      <c r="K37" s="119">
        <f t="shared" si="12"/>
        <v>0</v>
      </c>
      <c r="L37" s="119">
        <f t="shared" si="12"/>
        <v>0</v>
      </c>
      <c r="M37" s="119">
        <f t="shared" si="12"/>
        <v>0</v>
      </c>
      <c r="N37" s="119">
        <f t="shared" si="12"/>
        <v>0</v>
      </c>
      <c r="O37" s="119">
        <f t="shared" si="12"/>
        <v>0</v>
      </c>
      <c r="P37" s="119">
        <f t="shared" si="12"/>
        <v>0</v>
      </c>
      <c r="Q37" s="119">
        <f t="shared" si="12"/>
        <v>0</v>
      </c>
      <c r="R37" s="119">
        <f t="shared" si="12"/>
        <v>0</v>
      </c>
      <c r="S37" s="119">
        <f t="shared" si="12"/>
        <v>0</v>
      </c>
      <c r="T37" s="119">
        <f t="shared" si="12"/>
        <v>0</v>
      </c>
      <c r="U37" s="119">
        <f t="shared" si="12"/>
        <v>0</v>
      </c>
      <c r="V37" s="119">
        <f t="shared" si="12"/>
        <v>0</v>
      </c>
      <c r="W37" s="119">
        <f t="shared" si="12"/>
        <v>0</v>
      </c>
      <c r="X37" s="119">
        <f t="shared" si="12"/>
        <v>0</v>
      </c>
      <c r="Y37" s="119">
        <f t="shared" si="12"/>
        <v>0</v>
      </c>
      <c r="Z37" s="119">
        <f t="shared" si="12"/>
        <v>0</v>
      </c>
      <c r="AA37" s="119">
        <f t="shared" si="12"/>
        <v>0</v>
      </c>
      <c r="AB37" s="119">
        <f t="shared" si="12"/>
        <v>0</v>
      </c>
      <c r="AC37" s="119">
        <f t="shared" si="12"/>
        <v>0</v>
      </c>
      <c r="AD37" s="119">
        <f t="shared" si="12"/>
        <v>0</v>
      </c>
      <c r="AE37" s="119">
        <f t="shared" si="12"/>
        <v>0</v>
      </c>
      <c r="AF37" s="119">
        <f t="shared" si="12"/>
        <v>0</v>
      </c>
      <c r="AG37" s="119">
        <f t="shared" si="12"/>
        <v>0</v>
      </c>
      <c r="AH37" s="119">
        <f t="shared" si="12"/>
        <v>0</v>
      </c>
      <c r="AI37" s="119">
        <f t="shared" si="12"/>
        <v>0</v>
      </c>
      <c r="AJ37" s="119">
        <f t="shared" si="12"/>
        <v>0</v>
      </c>
      <c r="AK37" s="119">
        <f t="shared" si="12"/>
        <v>0</v>
      </c>
      <c r="AL37" s="119">
        <f t="shared" si="12"/>
        <v>0</v>
      </c>
      <c r="AM37" s="119">
        <f t="shared" si="12"/>
        <v>0</v>
      </c>
      <c r="AN37" s="119">
        <f t="shared" si="12"/>
        <v>0</v>
      </c>
      <c r="AO37" s="119">
        <f t="shared" si="12"/>
        <v>0</v>
      </c>
      <c r="AP37" s="119">
        <f t="shared" si="12"/>
        <v>0</v>
      </c>
    </row>
    <row r="38" spans="1:42" x14ac:dyDescent="0.2">
      <c r="A38" s="21" t="s">
        <v>171</v>
      </c>
      <c r="B38" s="119"/>
      <c r="C38" s="120">
        <f t="shared" ref="C38:AP38" si="13">IF(pbi_oth_for_ds="Yes",C602,0)</f>
        <v>0</v>
      </c>
      <c r="D38" s="120">
        <f t="shared" si="13"/>
        <v>0</v>
      </c>
      <c r="E38" s="120">
        <f t="shared" si="13"/>
        <v>0</v>
      </c>
      <c r="F38" s="120">
        <f t="shared" si="13"/>
        <v>0</v>
      </c>
      <c r="G38" s="120">
        <f t="shared" si="13"/>
        <v>0</v>
      </c>
      <c r="H38" s="120">
        <f t="shared" si="13"/>
        <v>0</v>
      </c>
      <c r="I38" s="120">
        <f t="shared" si="13"/>
        <v>0</v>
      </c>
      <c r="J38" s="120">
        <f t="shared" si="13"/>
        <v>0</v>
      </c>
      <c r="K38" s="120">
        <f t="shared" si="13"/>
        <v>0</v>
      </c>
      <c r="L38" s="120">
        <f t="shared" si="13"/>
        <v>0</v>
      </c>
      <c r="M38" s="120">
        <f t="shared" si="13"/>
        <v>0</v>
      </c>
      <c r="N38" s="120">
        <f t="shared" si="13"/>
        <v>0</v>
      </c>
      <c r="O38" s="120">
        <f t="shared" si="13"/>
        <v>0</v>
      </c>
      <c r="P38" s="120">
        <f t="shared" si="13"/>
        <v>0</v>
      </c>
      <c r="Q38" s="120">
        <f t="shared" si="13"/>
        <v>0</v>
      </c>
      <c r="R38" s="120">
        <f t="shared" si="13"/>
        <v>0</v>
      </c>
      <c r="S38" s="120">
        <f t="shared" si="13"/>
        <v>0</v>
      </c>
      <c r="T38" s="120">
        <f t="shared" si="13"/>
        <v>0</v>
      </c>
      <c r="U38" s="120">
        <f t="shared" si="13"/>
        <v>0</v>
      </c>
      <c r="V38" s="120">
        <f t="shared" si="13"/>
        <v>0</v>
      </c>
      <c r="W38" s="120">
        <f t="shared" si="13"/>
        <v>0</v>
      </c>
      <c r="X38" s="120">
        <f t="shared" si="13"/>
        <v>0</v>
      </c>
      <c r="Y38" s="120">
        <f t="shared" si="13"/>
        <v>0</v>
      </c>
      <c r="Z38" s="120">
        <f t="shared" si="13"/>
        <v>0</v>
      </c>
      <c r="AA38" s="120">
        <f t="shared" si="13"/>
        <v>0</v>
      </c>
      <c r="AB38" s="120">
        <f t="shared" si="13"/>
        <v>0</v>
      </c>
      <c r="AC38" s="120">
        <f t="shared" si="13"/>
        <v>0</v>
      </c>
      <c r="AD38" s="120">
        <f t="shared" si="13"/>
        <v>0</v>
      </c>
      <c r="AE38" s="120">
        <f t="shared" si="13"/>
        <v>0</v>
      </c>
      <c r="AF38" s="120">
        <f t="shared" si="13"/>
        <v>0</v>
      </c>
      <c r="AG38" s="120">
        <f t="shared" si="13"/>
        <v>0</v>
      </c>
      <c r="AH38" s="120">
        <f t="shared" si="13"/>
        <v>0</v>
      </c>
      <c r="AI38" s="120">
        <f t="shared" si="13"/>
        <v>0</v>
      </c>
      <c r="AJ38" s="120">
        <f t="shared" si="13"/>
        <v>0</v>
      </c>
      <c r="AK38" s="120">
        <f t="shared" si="13"/>
        <v>0</v>
      </c>
      <c r="AL38" s="120">
        <f t="shared" si="13"/>
        <v>0</v>
      </c>
      <c r="AM38" s="120">
        <f t="shared" si="13"/>
        <v>0</v>
      </c>
      <c r="AN38" s="120">
        <f t="shared" si="13"/>
        <v>0</v>
      </c>
      <c r="AO38" s="120">
        <f t="shared" si="13"/>
        <v>0</v>
      </c>
      <c r="AP38" s="120">
        <f t="shared" si="13"/>
        <v>0</v>
      </c>
    </row>
    <row r="39" spans="1:42" x14ac:dyDescent="0.2">
      <c r="A39" s="21" t="s">
        <v>20</v>
      </c>
      <c r="B39" s="119"/>
      <c r="C39" s="119">
        <f>SUM(C35:C38)</f>
        <v>0</v>
      </c>
      <c r="D39" s="119">
        <f t="shared" ref="D39:AP39" si="14">SUM(D35:D38)</f>
        <v>0</v>
      </c>
      <c r="E39" s="119">
        <f t="shared" si="14"/>
        <v>0</v>
      </c>
      <c r="F39" s="119">
        <f t="shared" si="14"/>
        <v>0</v>
      </c>
      <c r="G39" s="119">
        <f t="shared" si="14"/>
        <v>0</v>
      </c>
      <c r="H39" s="119">
        <f t="shared" si="14"/>
        <v>0</v>
      </c>
      <c r="I39" s="119">
        <f t="shared" si="14"/>
        <v>0</v>
      </c>
      <c r="J39" s="119">
        <f t="shared" si="14"/>
        <v>0</v>
      </c>
      <c r="K39" s="119">
        <f t="shared" si="14"/>
        <v>0</v>
      </c>
      <c r="L39" s="119">
        <f t="shared" si="14"/>
        <v>0</v>
      </c>
      <c r="M39" s="119">
        <f t="shared" si="14"/>
        <v>0</v>
      </c>
      <c r="N39" s="119">
        <f t="shared" si="14"/>
        <v>0</v>
      </c>
      <c r="O39" s="119">
        <f t="shared" si="14"/>
        <v>0</v>
      </c>
      <c r="P39" s="119">
        <f t="shared" si="14"/>
        <v>0</v>
      </c>
      <c r="Q39" s="119">
        <f t="shared" si="14"/>
        <v>0</v>
      </c>
      <c r="R39" s="119">
        <f t="shared" si="14"/>
        <v>0</v>
      </c>
      <c r="S39" s="119">
        <f t="shared" si="14"/>
        <v>0</v>
      </c>
      <c r="T39" s="119">
        <f t="shared" si="14"/>
        <v>0</v>
      </c>
      <c r="U39" s="119">
        <f t="shared" si="14"/>
        <v>0</v>
      </c>
      <c r="V39" s="119">
        <f t="shared" si="14"/>
        <v>0</v>
      </c>
      <c r="W39" s="119">
        <f t="shared" si="14"/>
        <v>0</v>
      </c>
      <c r="X39" s="119">
        <f t="shared" si="14"/>
        <v>0</v>
      </c>
      <c r="Y39" s="119">
        <f t="shared" si="14"/>
        <v>0</v>
      </c>
      <c r="Z39" s="119">
        <f t="shared" si="14"/>
        <v>0</v>
      </c>
      <c r="AA39" s="119">
        <f t="shared" si="14"/>
        <v>0</v>
      </c>
      <c r="AB39" s="119">
        <f t="shared" si="14"/>
        <v>0</v>
      </c>
      <c r="AC39" s="119">
        <f t="shared" si="14"/>
        <v>0</v>
      </c>
      <c r="AD39" s="119">
        <f t="shared" si="14"/>
        <v>0</v>
      </c>
      <c r="AE39" s="119">
        <f t="shared" si="14"/>
        <v>0</v>
      </c>
      <c r="AF39" s="119">
        <f t="shared" si="14"/>
        <v>0</v>
      </c>
      <c r="AG39" s="119">
        <f t="shared" si="14"/>
        <v>0</v>
      </c>
      <c r="AH39" s="119">
        <f t="shared" si="14"/>
        <v>0</v>
      </c>
      <c r="AI39" s="119">
        <f t="shared" si="14"/>
        <v>0</v>
      </c>
      <c r="AJ39" s="119">
        <f t="shared" si="14"/>
        <v>0</v>
      </c>
      <c r="AK39" s="119">
        <f t="shared" si="14"/>
        <v>0</v>
      </c>
      <c r="AL39" s="119">
        <f t="shared" si="14"/>
        <v>0</v>
      </c>
      <c r="AM39" s="119">
        <f t="shared" si="14"/>
        <v>0</v>
      </c>
      <c r="AN39" s="119">
        <f t="shared" si="14"/>
        <v>0</v>
      </c>
      <c r="AO39" s="119">
        <f t="shared" si="14"/>
        <v>0</v>
      </c>
      <c r="AP39" s="119">
        <f t="shared" si="14"/>
        <v>0</v>
      </c>
    </row>
    <row r="40" spans="1:42" x14ac:dyDescent="0.2">
      <c r="A40" s="17" t="s">
        <v>47</v>
      </c>
      <c r="B40" s="119"/>
      <c r="C40" s="119">
        <f t="shared" ref="C40:AP40" si="15">IF(C2=analysis_period,total_installed_cost*salvage_percentage/100,0)</f>
        <v>0</v>
      </c>
      <c r="D40" s="119">
        <f t="shared" si="15"/>
        <v>0</v>
      </c>
      <c r="E40" s="119">
        <f t="shared" si="15"/>
        <v>0</v>
      </c>
      <c r="F40" s="119">
        <f t="shared" si="15"/>
        <v>0</v>
      </c>
      <c r="G40" s="119">
        <f t="shared" si="15"/>
        <v>0</v>
      </c>
      <c r="H40" s="119">
        <f t="shared" si="15"/>
        <v>0</v>
      </c>
      <c r="I40" s="119">
        <f t="shared" si="15"/>
        <v>0</v>
      </c>
      <c r="J40" s="119">
        <f t="shared" si="15"/>
        <v>0</v>
      </c>
      <c r="K40" s="119">
        <f t="shared" si="15"/>
        <v>0</v>
      </c>
      <c r="L40" s="119">
        <f t="shared" si="15"/>
        <v>0</v>
      </c>
      <c r="M40" s="119">
        <f t="shared" si="15"/>
        <v>0</v>
      </c>
      <c r="N40" s="119">
        <f t="shared" si="15"/>
        <v>0</v>
      </c>
      <c r="O40" s="119">
        <f t="shared" si="15"/>
        <v>0</v>
      </c>
      <c r="P40" s="119">
        <f t="shared" si="15"/>
        <v>0</v>
      </c>
      <c r="Q40" s="119">
        <f t="shared" si="15"/>
        <v>0</v>
      </c>
      <c r="R40" s="119">
        <f t="shared" si="15"/>
        <v>0</v>
      </c>
      <c r="S40" s="119">
        <f t="shared" si="15"/>
        <v>0</v>
      </c>
      <c r="T40" s="119">
        <f t="shared" si="15"/>
        <v>0</v>
      </c>
      <c r="U40" s="119">
        <f t="shared" si="15"/>
        <v>0</v>
      </c>
      <c r="V40" s="119">
        <f t="shared" si="15"/>
        <v>0</v>
      </c>
      <c r="W40" s="119">
        <f t="shared" si="15"/>
        <v>0</v>
      </c>
      <c r="X40" s="119">
        <f t="shared" si="15"/>
        <v>0</v>
      </c>
      <c r="Y40" s="119">
        <f t="shared" si="15"/>
        <v>0</v>
      </c>
      <c r="Z40" s="119">
        <f t="shared" si="15"/>
        <v>0</v>
      </c>
      <c r="AA40" s="119">
        <f t="shared" si="15"/>
        <v>0</v>
      </c>
      <c r="AB40" s="119">
        <f t="shared" si="15"/>
        <v>0</v>
      </c>
      <c r="AC40" s="119">
        <f t="shared" si="15"/>
        <v>0</v>
      </c>
      <c r="AD40" s="119">
        <f t="shared" si="15"/>
        <v>0</v>
      </c>
      <c r="AE40" s="119">
        <f t="shared" si="15"/>
        <v>0</v>
      </c>
      <c r="AF40" s="119">
        <f t="shared" si="15"/>
        <v>0</v>
      </c>
      <c r="AG40" s="119">
        <f t="shared" si="15"/>
        <v>0</v>
      </c>
      <c r="AH40" s="119">
        <f t="shared" si="15"/>
        <v>0</v>
      </c>
      <c r="AI40" s="119">
        <f t="shared" si="15"/>
        <v>0</v>
      </c>
      <c r="AJ40" s="119">
        <f t="shared" si="15"/>
        <v>0</v>
      </c>
      <c r="AK40" s="119">
        <f t="shared" si="15"/>
        <v>0</v>
      </c>
      <c r="AL40" s="119">
        <f t="shared" si="15"/>
        <v>0</v>
      </c>
      <c r="AM40" s="119">
        <f t="shared" si="15"/>
        <v>0</v>
      </c>
      <c r="AN40" s="119">
        <f t="shared" si="15"/>
        <v>0</v>
      </c>
      <c r="AO40" s="119">
        <f t="shared" si="15"/>
        <v>0</v>
      </c>
      <c r="AP40" s="119">
        <f t="shared" si="15"/>
        <v>0</v>
      </c>
    </row>
    <row r="41" spans="1:42" x14ac:dyDescent="0.2">
      <c r="A41" s="198" t="s">
        <v>75</v>
      </c>
      <c r="B41" s="134"/>
      <c r="C41" s="134">
        <f t="shared" ref="C41:AP41" si="16">IF(C$2&lt;=analysis_period,C$29+SUM(C31:C33)+C$39+C$40,0)</f>
        <v>0</v>
      </c>
      <c r="D41" s="134">
        <f t="shared" si="16"/>
        <v>0</v>
      </c>
      <c r="E41" s="134">
        <f t="shared" si="16"/>
        <v>0</v>
      </c>
      <c r="F41" s="134">
        <f t="shared" si="16"/>
        <v>0</v>
      </c>
      <c r="G41" s="134">
        <f t="shared" si="16"/>
        <v>0</v>
      </c>
      <c r="H41" s="134">
        <f t="shared" si="16"/>
        <v>0</v>
      </c>
      <c r="I41" s="134">
        <f t="shared" si="16"/>
        <v>0</v>
      </c>
      <c r="J41" s="134">
        <f t="shared" si="16"/>
        <v>0</v>
      </c>
      <c r="K41" s="134">
        <f t="shared" si="16"/>
        <v>0</v>
      </c>
      <c r="L41" s="134">
        <f t="shared" si="16"/>
        <v>0</v>
      </c>
      <c r="M41" s="134">
        <f t="shared" si="16"/>
        <v>0</v>
      </c>
      <c r="N41" s="134">
        <f t="shared" si="16"/>
        <v>0</v>
      </c>
      <c r="O41" s="134">
        <f t="shared" si="16"/>
        <v>0</v>
      </c>
      <c r="P41" s="134">
        <f t="shared" si="16"/>
        <v>0</v>
      </c>
      <c r="Q41" s="134">
        <f t="shared" si="16"/>
        <v>0</v>
      </c>
      <c r="R41" s="134">
        <f t="shared" si="16"/>
        <v>0</v>
      </c>
      <c r="S41" s="134">
        <f t="shared" si="16"/>
        <v>0</v>
      </c>
      <c r="T41" s="134">
        <f t="shared" si="16"/>
        <v>0</v>
      </c>
      <c r="U41" s="134">
        <f t="shared" si="16"/>
        <v>0</v>
      </c>
      <c r="V41" s="134">
        <f t="shared" si="16"/>
        <v>0</v>
      </c>
      <c r="W41" s="134">
        <f t="shared" si="16"/>
        <v>0</v>
      </c>
      <c r="X41" s="134">
        <f t="shared" si="16"/>
        <v>0</v>
      </c>
      <c r="Y41" s="134">
        <f t="shared" si="16"/>
        <v>0</v>
      </c>
      <c r="Z41" s="134">
        <f t="shared" si="16"/>
        <v>0</v>
      </c>
      <c r="AA41" s="134">
        <f t="shared" si="16"/>
        <v>0</v>
      </c>
      <c r="AB41" s="134">
        <f t="shared" si="16"/>
        <v>0</v>
      </c>
      <c r="AC41" s="134">
        <f t="shared" si="16"/>
        <v>0</v>
      </c>
      <c r="AD41" s="134">
        <f t="shared" si="16"/>
        <v>0</v>
      </c>
      <c r="AE41" s="134">
        <f t="shared" si="16"/>
        <v>0</v>
      </c>
      <c r="AF41" s="134">
        <f t="shared" si="16"/>
        <v>0</v>
      </c>
      <c r="AG41" s="134">
        <f t="shared" si="16"/>
        <v>0</v>
      </c>
      <c r="AH41" s="134">
        <f t="shared" si="16"/>
        <v>0</v>
      </c>
      <c r="AI41" s="134">
        <f t="shared" si="16"/>
        <v>0</v>
      </c>
      <c r="AJ41" s="134">
        <f t="shared" si="16"/>
        <v>0</v>
      </c>
      <c r="AK41" s="134">
        <f t="shared" si="16"/>
        <v>0</v>
      </c>
      <c r="AL41" s="134">
        <f t="shared" si="16"/>
        <v>0</v>
      </c>
      <c r="AM41" s="134">
        <f t="shared" si="16"/>
        <v>0</v>
      </c>
      <c r="AN41" s="134">
        <f t="shared" si="16"/>
        <v>0</v>
      </c>
      <c r="AO41" s="134">
        <f t="shared" si="16"/>
        <v>0</v>
      </c>
      <c r="AP41" s="134">
        <f t="shared" si="16"/>
        <v>0</v>
      </c>
    </row>
    <row r="42" spans="1:42" x14ac:dyDescent="0.2">
      <c r="A42" s="17"/>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row>
    <row r="43" spans="1:42" x14ac:dyDescent="0.2">
      <c r="A43" s="17" t="s">
        <v>103</v>
      </c>
      <c r="C43" s="119">
        <f>PropertyTaxAssessedValue</f>
        <v>0</v>
      </c>
      <c r="D43" s="119">
        <f t="shared" ref="D43:AP43" si="17">IF(D$2&lt;=analysis_period,PropertyTaxAssessedValue*(100-(D$2-1)*prop_tax_assessed_decline)/100,0)</f>
        <v>0</v>
      </c>
      <c r="E43" s="119">
        <f t="shared" si="17"/>
        <v>0</v>
      </c>
      <c r="F43" s="119">
        <f t="shared" si="17"/>
        <v>0</v>
      </c>
      <c r="G43" s="119">
        <f t="shared" si="17"/>
        <v>0</v>
      </c>
      <c r="H43" s="119">
        <f t="shared" si="17"/>
        <v>0</v>
      </c>
      <c r="I43" s="119">
        <f t="shared" si="17"/>
        <v>0</v>
      </c>
      <c r="J43" s="119">
        <f t="shared" si="17"/>
        <v>0</v>
      </c>
      <c r="K43" s="119">
        <f t="shared" si="17"/>
        <v>0</v>
      </c>
      <c r="L43" s="119">
        <f t="shared" si="17"/>
        <v>0</v>
      </c>
      <c r="M43" s="119">
        <f t="shared" si="17"/>
        <v>0</v>
      </c>
      <c r="N43" s="119">
        <f t="shared" si="17"/>
        <v>0</v>
      </c>
      <c r="O43" s="119">
        <f t="shared" si="17"/>
        <v>0</v>
      </c>
      <c r="P43" s="119">
        <f t="shared" si="17"/>
        <v>0</v>
      </c>
      <c r="Q43" s="119">
        <f t="shared" si="17"/>
        <v>0</v>
      </c>
      <c r="R43" s="119">
        <f t="shared" si="17"/>
        <v>0</v>
      </c>
      <c r="S43" s="119">
        <f t="shared" si="17"/>
        <v>0</v>
      </c>
      <c r="T43" s="119">
        <f t="shared" si="17"/>
        <v>0</v>
      </c>
      <c r="U43" s="119">
        <f t="shared" si="17"/>
        <v>0</v>
      </c>
      <c r="V43" s="119">
        <f t="shared" si="17"/>
        <v>0</v>
      </c>
      <c r="W43" s="119">
        <f t="shared" si="17"/>
        <v>0</v>
      </c>
      <c r="X43" s="119">
        <f t="shared" si="17"/>
        <v>0</v>
      </c>
      <c r="Y43" s="119">
        <f t="shared" si="17"/>
        <v>0</v>
      </c>
      <c r="Z43" s="119">
        <f t="shared" si="17"/>
        <v>0</v>
      </c>
      <c r="AA43" s="119">
        <f t="shared" si="17"/>
        <v>0</v>
      </c>
      <c r="AB43" s="119">
        <f t="shared" si="17"/>
        <v>0</v>
      </c>
      <c r="AC43" s="119">
        <f t="shared" si="17"/>
        <v>0</v>
      </c>
      <c r="AD43" s="119">
        <f t="shared" si="17"/>
        <v>0</v>
      </c>
      <c r="AE43" s="119">
        <f t="shared" si="17"/>
        <v>0</v>
      </c>
      <c r="AF43" s="119">
        <f t="shared" si="17"/>
        <v>0</v>
      </c>
      <c r="AG43" s="119">
        <f t="shared" si="17"/>
        <v>0</v>
      </c>
      <c r="AH43" s="119">
        <f t="shared" si="17"/>
        <v>0</v>
      </c>
      <c r="AI43" s="119">
        <f t="shared" si="17"/>
        <v>0</v>
      </c>
      <c r="AJ43" s="119">
        <f t="shared" si="17"/>
        <v>0</v>
      </c>
      <c r="AK43" s="119">
        <f t="shared" si="17"/>
        <v>0</v>
      </c>
      <c r="AL43" s="119">
        <f t="shared" si="17"/>
        <v>0</v>
      </c>
      <c r="AM43" s="119">
        <f t="shared" si="17"/>
        <v>0</v>
      </c>
      <c r="AN43" s="119">
        <f t="shared" si="17"/>
        <v>0</v>
      </c>
      <c r="AO43" s="119">
        <f t="shared" si="17"/>
        <v>0</v>
      </c>
      <c r="AP43" s="119">
        <f t="shared" si="17"/>
        <v>0</v>
      </c>
    </row>
    <row r="44" spans="1:42" x14ac:dyDescent="0.2">
      <c r="A44" s="21"/>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row>
    <row r="45" spans="1:42" x14ac:dyDescent="0.2">
      <c r="A45" s="19" t="s">
        <v>312</v>
      </c>
      <c r="C45" s="14"/>
      <c r="D45" s="14"/>
      <c r="E45" s="14"/>
      <c r="F45" s="14"/>
      <c r="G45" s="14"/>
      <c r="H45" s="14"/>
      <c r="I45" s="14"/>
      <c r="J45" s="14"/>
      <c r="K45" s="14"/>
      <c r="L45" s="14"/>
      <c r="M45" s="14"/>
      <c r="N45" s="14"/>
      <c r="O45" s="14"/>
      <c r="P45" s="14"/>
      <c r="Q45" s="14"/>
      <c r="R45" s="14"/>
      <c r="S45" s="14"/>
    </row>
    <row r="46" spans="1:42" x14ac:dyDescent="0.2">
      <c r="A46" s="4" t="s">
        <v>213</v>
      </c>
      <c r="C46" s="14"/>
      <c r="D46" s="14"/>
      <c r="E46" s="14"/>
      <c r="F46" s="14"/>
      <c r="G46" s="14"/>
      <c r="H46" s="14"/>
      <c r="I46" s="14"/>
      <c r="J46" s="14"/>
      <c r="K46" s="14"/>
      <c r="L46" s="14"/>
      <c r="M46" s="14"/>
      <c r="N46" s="14"/>
      <c r="O46" s="14"/>
      <c r="P46" s="14"/>
      <c r="Q46" s="14"/>
      <c r="R46" s="14"/>
      <c r="S46" s="14"/>
    </row>
    <row r="47" spans="1:42" x14ac:dyDescent="0.2">
      <c r="A47" s="86" t="s">
        <v>214</v>
      </c>
      <c r="C47" s="119">
        <f>IF(C$2&lt;=analysis_period,IF(om_fixed="n/a",Inputs!D165,om_fixed*(1+inflation_rate/100+om_fixed_escal/100)^B$2),0)</f>
        <v>0</v>
      </c>
      <c r="D47" s="119">
        <f>IF(D$2&lt;=analysis_period,IF(om_fixed="n/a",Inputs!E165,om_fixed*(1+inflation_rate/100+om_fixed_escal/100)^C$2),0)</f>
        <v>0</v>
      </c>
      <c r="E47" s="119">
        <f>IF(E$2&lt;=analysis_period,IF(om_fixed="n/a",Inputs!F165,om_fixed*(1+inflation_rate/100+om_fixed_escal/100)^D$2),0)</f>
        <v>0</v>
      </c>
      <c r="F47" s="119">
        <f>IF(F$2&lt;=analysis_period,IF(om_fixed="n/a",Inputs!G165,om_fixed*(1+inflation_rate/100+om_fixed_escal/100)^E$2),0)</f>
        <v>0</v>
      </c>
      <c r="G47" s="119">
        <f>IF(G$2&lt;=analysis_period,IF(om_fixed="n/a",Inputs!H165,om_fixed*(1+inflation_rate/100+om_fixed_escal/100)^F$2),0)</f>
        <v>0</v>
      </c>
      <c r="H47" s="119">
        <f>IF(H$2&lt;=analysis_period,IF(om_fixed="n/a",Inputs!I165,om_fixed*(1+inflation_rate/100+om_fixed_escal/100)^G$2),0)</f>
        <v>0</v>
      </c>
      <c r="I47" s="119">
        <f>IF(I$2&lt;=analysis_period,IF(om_fixed="n/a",Inputs!J165,om_fixed*(1+inflation_rate/100+om_fixed_escal/100)^H$2),0)</f>
        <v>0</v>
      </c>
      <c r="J47" s="119">
        <f>IF(J$2&lt;=analysis_period,IF(om_fixed="n/a",Inputs!K165,om_fixed*(1+inflation_rate/100+om_fixed_escal/100)^I$2),0)</f>
        <v>0</v>
      </c>
      <c r="K47" s="119">
        <f>IF(K$2&lt;=analysis_period,IF(om_fixed="n/a",Inputs!L165,om_fixed*(1+inflation_rate/100+om_fixed_escal/100)^J$2),0)</f>
        <v>0</v>
      </c>
      <c r="L47" s="119">
        <f>IF(L$2&lt;=analysis_period,IF(om_fixed="n/a",Inputs!M165,om_fixed*(1+inflation_rate/100+om_fixed_escal/100)^K$2),0)</f>
        <v>0</v>
      </c>
      <c r="M47" s="119">
        <f>IF(M$2&lt;=analysis_period,IF(om_fixed="n/a",Inputs!N165,om_fixed*(1+inflation_rate/100+om_fixed_escal/100)^L$2),0)</f>
        <v>0</v>
      </c>
      <c r="N47" s="119">
        <f>IF(N$2&lt;=analysis_period,IF(om_fixed="n/a",Inputs!O165,om_fixed*(1+inflation_rate/100+om_fixed_escal/100)^M$2),0)</f>
        <v>0</v>
      </c>
      <c r="O47" s="119">
        <f>IF(O$2&lt;=analysis_period,IF(om_fixed="n/a",Inputs!P165,om_fixed*(1+inflation_rate/100+om_fixed_escal/100)^N$2),0)</f>
        <v>0</v>
      </c>
      <c r="P47" s="119">
        <f>IF(P$2&lt;=analysis_period,IF(om_fixed="n/a",Inputs!Q165,om_fixed*(1+inflation_rate/100+om_fixed_escal/100)^O$2),0)</f>
        <v>0</v>
      </c>
      <c r="Q47" s="119">
        <f>IF(Q$2&lt;=analysis_period,IF(om_fixed="n/a",Inputs!R165,om_fixed*(1+inflation_rate/100+om_fixed_escal/100)^P$2),0)</f>
        <v>0</v>
      </c>
      <c r="R47" s="119">
        <f>IF(R$2&lt;=analysis_period,IF(om_fixed="n/a",Inputs!S165,om_fixed*(1+inflation_rate/100+om_fixed_escal/100)^Q$2),0)</f>
        <v>0</v>
      </c>
      <c r="S47" s="119">
        <f>IF(S$2&lt;=analysis_period,IF(om_fixed="n/a",Inputs!T165,om_fixed*(1+inflation_rate/100+om_fixed_escal/100)^R$2),0)</f>
        <v>0</v>
      </c>
      <c r="T47" s="119">
        <f>IF(T$2&lt;=analysis_period,IF(om_fixed="n/a",Inputs!U165,om_fixed*(1+inflation_rate/100+om_fixed_escal/100)^S$2),0)</f>
        <v>0</v>
      </c>
      <c r="U47" s="119">
        <f>IF(U$2&lt;=analysis_period,IF(om_fixed="n/a",Inputs!V165,om_fixed*(1+inflation_rate/100+om_fixed_escal/100)^T$2),0)</f>
        <v>0</v>
      </c>
      <c r="V47" s="119">
        <f>IF(V$2&lt;=analysis_period,IF(om_fixed="n/a",Inputs!W165,om_fixed*(1+inflation_rate/100+om_fixed_escal/100)^U$2),0)</f>
        <v>0</v>
      </c>
      <c r="W47" s="119">
        <f>IF(W$2&lt;=analysis_period,IF(om_fixed="n/a",Inputs!X165,om_fixed*(1+inflation_rate/100+om_fixed_escal/100)^V$2),0)</f>
        <v>0</v>
      </c>
      <c r="X47" s="119">
        <f>IF(X$2&lt;=analysis_period,IF(om_fixed="n/a",Inputs!Y165,om_fixed*(1+inflation_rate/100+om_fixed_escal/100)^W$2),0)</f>
        <v>0</v>
      </c>
      <c r="Y47" s="119">
        <f>IF(Y$2&lt;=analysis_period,IF(om_fixed="n/a",Inputs!Z165,om_fixed*(1+inflation_rate/100+om_fixed_escal/100)^X$2),0)</f>
        <v>0</v>
      </c>
      <c r="Z47" s="119">
        <f>IF(Z$2&lt;=analysis_period,IF(om_fixed="n/a",Inputs!AA165,om_fixed*(1+inflation_rate/100+om_fixed_escal/100)^Y$2),0)</f>
        <v>0</v>
      </c>
      <c r="AA47" s="119">
        <f>IF(AA$2&lt;=analysis_period,IF(om_fixed="n/a",Inputs!AB165,om_fixed*(1+inflation_rate/100+om_fixed_escal/100)^Z$2),0)</f>
        <v>0</v>
      </c>
      <c r="AB47" s="119">
        <f>IF(AB$2&lt;=analysis_period,IF(om_fixed="n/a",Inputs!AC165,om_fixed*(1+inflation_rate/100+om_fixed_escal/100)^AA$2),0)</f>
        <v>0</v>
      </c>
      <c r="AC47" s="119">
        <f>IF(AC$2&lt;=analysis_period,IF(om_fixed="n/a",Inputs!AD165,om_fixed*(1+inflation_rate/100+om_fixed_escal/100)^AB$2),0)</f>
        <v>0</v>
      </c>
      <c r="AD47" s="119">
        <f>IF(AD$2&lt;=analysis_period,IF(om_fixed="n/a",Inputs!AE165,om_fixed*(1+inflation_rate/100+om_fixed_escal/100)^AC$2),0)</f>
        <v>0</v>
      </c>
      <c r="AE47" s="119">
        <f>IF(AE$2&lt;=analysis_period,IF(om_fixed="n/a",Inputs!AF165,om_fixed*(1+inflation_rate/100+om_fixed_escal/100)^AD$2),0)</f>
        <v>0</v>
      </c>
      <c r="AF47" s="119">
        <f>IF(AF$2&lt;=analysis_period,IF(om_fixed="n/a",Inputs!AG165,om_fixed*(1+inflation_rate/100+om_fixed_escal/100)^AE$2),0)</f>
        <v>0</v>
      </c>
      <c r="AG47" s="119">
        <f>IF(AG$2&lt;=analysis_period,IF(om_fixed="n/a",Inputs!AH165,om_fixed*(1+inflation_rate/100+om_fixed_escal/100)^AF$2),0)</f>
        <v>0</v>
      </c>
      <c r="AH47" s="119">
        <f>IF(AH$2&lt;=analysis_period,IF(om_fixed="n/a",Inputs!AI165,om_fixed*(1+inflation_rate/100+om_fixed_escal/100)^AG$2),0)</f>
        <v>0</v>
      </c>
      <c r="AI47" s="119">
        <f>IF(AI$2&lt;=analysis_period,IF(om_fixed="n/a",Inputs!AJ165,om_fixed*(1+inflation_rate/100+om_fixed_escal/100)^AH$2),0)</f>
        <v>0</v>
      </c>
      <c r="AJ47" s="119">
        <f>IF(AJ$2&lt;=analysis_period,IF(om_fixed="n/a",Inputs!AK165,om_fixed*(1+inflation_rate/100+om_fixed_escal/100)^AI$2),0)</f>
        <v>0</v>
      </c>
      <c r="AK47" s="119">
        <f>IF(AK$2&lt;=analysis_period,IF(om_fixed="n/a",Inputs!AL165,om_fixed*(1+inflation_rate/100+om_fixed_escal/100)^AJ$2),0)</f>
        <v>0</v>
      </c>
      <c r="AL47" s="119">
        <f>IF(AL$2&lt;=analysis_period,IF(om_fixed="n/a",Inputs!AM165,om_fixed*(1+inflation_rate/100+om_fixed_escal/100)^AK$2),0)</f>
        <v>0</v>
      </c>
      <c r="AM47" s="119">
        <f>IF(AM$2&lt;=analysis_period,IF(om_fixed="n/a",Inputs!AN165,om_fixed*(1+inflation_rate/100+om_fixed_escal/100)^AL$2),0)</f>
        <v>0</v>
      </c>
      <c r="AN47" s="119">
        <f>IF(AN$2&lt;=analysis_period,IF(om_fixed="n/a",Inputs!AO165,om_fixed*(1+inflation_rate/100+om_fixed_escal/100)^AM$2),0)</f>
        <v>0</v>
      </c>
      <c r="AO47" s="119">
        <f>IF(AO$2&lt;=analysis_period,IF(om_fixed="n/a",Inputs!AP165,om_fixed*(1+inflation_rate/100+om_fixed_escal/100)^AN$2),0)</f>
        <v>0</v>
      </c>
      <c r="AP47" s="119">
        <f>IF(AP$2&lt;=analysis_period,IF(om_fixed="n/a",Inputs!AQ165,om_fixed*(1+inflation_rate/100+om_fixed_escal/100)^AO$2),0)</f>
        <v>0</v>
      </c>
    </row>
    <row r="48" spans="1:42" x14ac:dyDescent="0.2">
      <c r="A48" s="86" t="s">
        <v>215</v>
      </c>
    </row>
    <row r="49" spans="1:42" x14ac:dyDescent="0.2">
      <c r="A49" s="87" t="s">
        <v>11</v>
      </c>
      <c r="C49" s="149">
        <f t="shared" ref="C49:AP49" si="18">IF(C$2&lt;=analysis_period,system_capacity,0)</f>
        <v>0</v>
      </c>
      <c r="D49" s="149">
        <f t="shared" si="18"/>
        <v>0</v>
      </c>
      <c r="E49" s="149">
        <f t="shared" si="18"/>
        <v>0</v>
      </c>
      <c r="F49" s="149">
        <f t="shared" si="18"/>
        <v>0</v>
      </c>
      <c r="G49" s="149">
        <f t="shared" si="18"/>
        <v>0</v>
      </c>
      <c r="H49" s="149">
        <f t="shared" si="18"/>
        <v>0</v>
      </c>
      <c r="I49" s="149">
        <f t="shared" si="18"/>
        <v>0</v>
      </c>
      <c r="J49" s="149">
        <f t="shared" si="18"/>
        <v>0</v>
      </c>
      <c r="K49" s="149">
        <f t="shared" si="18"/>
        <v>0</v>
      </c>
      <c r="L49" s="149">
        <f t="shared" si="18"/>
        <v>0</v>
      </c>
      <c r="M49" s="149">
        <f t="shared" si="18"/>
        <v>0</v>
      </c>
      <c r="N49" s="149">
        <f t="shared" si="18"/>
        <v>0</v>
      </c>
      <c r="O49" s="149">
        <f t="shared" si="18"/>
        <v>0</v>
      </c>
      <c r="P49" s="149">
        <f t="shared" si="18"/>
        <v>0</v>
      </c>
      <c r="Q49" s="149">
        <f t="shared" si="18"/>
        <v>0</v>
      </c>
      <c r="R49" s="149">
        <f t="shared" si="18"/>
        <v>0</v>
      </c>
      <c r="S49" s="149">
        <f t="shared" si="18"/>
        <v>0</v>
      </c>
      <c r="T49" s="149">
        <f t="shared" si="18"/>
        <v>0</v>
      </c>
      <c r="U49" s="149">
        <f t="shared" si="18"/>
        <v>0</v>
      </c>
      <c r="V49" s="149">
        <f t="shared" si="18"/>
        <v>0</v>
      </c>
      <c r="W49" s="149">
        <f t="shared" si="18"/>
        <v>0</v>
      </c>
      <c r="X49" s="149">
        <f t="shared" si="18"/>
        <v>0</v>
      </c>
      <c r="Y49" s="149">
        <f t="shared" si="18"/>
        <v>0</v>
      </c>
      <c r="Z49" s="149">
        <f t="shared" si="18"/>
        <v>0</v>
      </c>
      <c r="AA49" s="149">
        <f t="shared" si="18"/>
        <v>0</v>
      </c>
      <c r="AB49" s="149">
        <f t="shared" si="18"/>
        <v>0</v>
      </c>
      <c r="AC49" s="149">
        <f t="shared" si="18"/>
        <v>0</v>
      </c>
      <c r="AD49" s="149">
        <f t="shared" si="18"/>
        <v>0</v>
      </c>
      <c r="AE49" s="149">
        <f t="shared" si="18"/>
        <v>0</v>
      </c>
      <c r="AF49" s="149">
        <f t="shared" si="18"/>
        <v>0</v>
      </c>
      <c r="AG49" s="149">
        <f t="shared" si="18"/>
        <v>0</v>
      </c>
      <c r="AH49" s="149">
        <f t="shared" si="18"/>
        <v>0</v>
      </c>
      <c r="AI49" s="149">
        <f t="shared" si="18"/>
        <v>0</v>
      </c>
      <c r="AJ49" s="149">
        <f t="shared" si="18"/>
        <v>0</v>
      </c>
      <c r="AK49" s="149">
        <f t="shared" si="18"/>
        <v>0</v>
      </c>
      <c r="AL49" s="149">
        <f t="shared" si="18"/>
        <v>0</v>
      </c>
      <c r="AM49" s="149">
        <f t="shared" si="18"/>
        <v>0</v>
      </c>
      <c r="AN49" s="149">
        <f t="shared" si="18"/>
        <v>0</v>
      </c>
      <c r="AO49" s="149">
        <f t="shared" si="18"/>
        <v>0</v>
      </c>
      <c r="AP49" s="149">
        <f t="shared" si="18"/>
        <v>0</v>
      </c>
    </row>
    <row r="50" spans="1:42" x14ac:dyDescent="0.2">
      <c r="A50" s="87" t="s">
        <v>12</v>
      </c>
      <c r="C50" s="147">
        <f>IF(C$2&lt;=analysis_period,IF(om_capacity="n/a",Inputs!D166,om_capacity*(1+inflation_rate/100+om_capacity_escal/100)^B$2),0)</f>
        <v>0</v>
      </c>
      <c r="D50" s="147">
        <f>IF(D$2&lt;=analysis_period,IF(om_capacity="n/a",Inputs!E166,om_capacity*(1+inflation_rate/100+om_capacity_escal/100)^C$2),0)</f>
        <v>0</v>
      </c>
      <c r="E50" s="147">
        <f>IF(E$2&lt;=analysis_period,IF(om_capacity="n/a",Inputs!F166,om_capacity*(1+inflation_rate/100+om_capacity_escal/100)^D$2),0)</f>
        <v>0</v>
      </c>
      <c r="F50" s="147">
        <f>IF(F$2&lt;=analysis_period,IF(om_capacity="n/a",Inputs!G166,om_capacity*(1+inflation_rate/100+om_capacity_escal/100)^E$2),0)</f>
        <v>0</v>
      </c>
      <c r="G50" s="147">
        <f>IF(G$2&lt;=analysis_period,IF(om_capacity="n/a",Inputs!H166,om_capacity*(1+inflation_rate/100+om_capacity_escal/100)^F$2),0)</f>
        <v>0</v>
      </c>
      <c r="H50" s="147">
        <f>IF(H$2&lt;=analysis_period,IF(om_capacity="n/a",Inputs!I166,om_capacity*(1+inflation_rate/100+om_capacity_escal/100)^G$2),0)</f>
        <v>0</v>
      </c>
      <c r="I50" s="147">
        <f>IF(I$2&lt;=analysis_period,IF(om_capacity="n/a",Inputs!J166,om_capacity*(1+inflation_rate/100+om_capacity_escal/100)^H$2),0)</f>
        <v>0</v>
      </c>
      <c r="J50" s="147">
        <f>IF(J$2&lt;=analysis_period,IF(om_capacity="n/a",Inputs!K166,om_capacity*(1+inflation_rate/100+om_capacity_escal/100)^I$2),0)</f>
        <v>0</v>
      </c>
      <c r="K50" s="147">
        <f>IF(K$2&lt;=analysis_period,IF(om_capacity="n/a",Inputs!L166,om_capacity*(1+inflation_rate/100+om_capacity_escal/100)^J$2),0)</f>
        <v>0</v>
      </c>
      <c r="L50" s="147">
        <f>IF(L$2&lt;=analysis_period,IF(om_capacity="n/a",Inputs!M166,om_capacity*(1+inflation_rate/100+om_capacity_escal/100)^K$2),0)</f>
        <v>0</v>
      </c>
      <c r="M50" s="147">
        <f>IF(M$2&lt;=analysis_period,IF(om_capacity="n/a",Inputs!N166,om_capacity*(1+inflation_rate/100+om_capacity_escal/100)^L$2),0)</f>
        <v>0</v>
      </c>
      <c r="N50" s="147">
        <f>IF(N$2&lt;=analysis_period,IF(om_capacity="n/a",Inputs!O166,om_capacity*(1+inflation_rate/100+om_capacity_escal/100)^M$2),0)</f>
        <v>0</v>
      </c>
      <c r="O50" s="147">
        <f>IF(O$2&lt;=analysis_period,IF(om_capacity="n/a",Inputs!P166,om_capacity*(1+inflation_rate/100+om_capacity_escal/100)^N$2),0)</f>
        <v>0</v>
      </c>
      <c r="P50" s="147">
        <f>IF(P$2&lt;=analysis_period,IF(om_capacity="n/a",Inputs!Q166,om_capacity*(1+inflation_rate/100+om_capacity_escal/100)^O$2),0)</f>
        <v>0</v>
      </c>
      <c r="Q50" s="147">
        <f>IF(Q$2&lt;=analysis_period,IF(om_capacity="n/a",Inputs!R166,om_capacity*(1+inflation_rate/100+om_capacity_escal/100)^P$2),0)</f>
        <v>0</v>
      </c>
      <c r="R50" s="147">
        <f>IF(R$2&lt;=analysis_period,IF(om_capacity="n/a",Inputs!S166,om_capacity*(1+inflation_rate/100+om_capacity_escal/100)^Q$2),0)</f>
        <v>0</v>
      </c>
      <c r="S50" s="147">
        <f>IF(S$2&lt;=analysis_period,IF(om_capacity="n/a",Inputs!T166,om_capacity*(1+inflation_rate/100+om_capacity_escal/100)^R$2),0)</f>
        <v>0</v>
      </c>
      <c r="T50" s="147">
        <f>IF(T$2&lt;=analysis_period,IF(om_capacity="n/a",Inputs!U166,om_capacity*(1+inflation_rate/100+om_capacity_escal/100)^S$2),0)</f>
        <v>0</v>
      </c>
      <c r="U50" s="147">
        <f>IF(U$2&lt;=analysis_period,IF(om_capacity="n/a",Inputs!V166,om_capacity*(1+inflation_rate/100+om_capacity_escal/100)^T$2),0)</f>
        <v>0</v>
      </c>
      <c r="V50" s="147">
        <f>IF(V$2&lt;=analysis_period,IF(om_capacity="n/a",Inputs!W166,om_capacity*(1+inflation_rate/100+om_capacity_escal/100)^U$2),0)</f>
        <v>0</v>
      </c>
      <c r="W50" s="147">
        <f>IF(W$2&lt;=analysis_period,IF(om_capacity="n/a",Inputs!X166,om_capacity*(1+inflation_rate/100+om_capacity_escal/100)^V$2),0)</f>
        <v>0</v>
      </c>
      <c r="X50" s="147">
        <f>IF(X$2&lt;=analysis_period,IF(om_capacity="n/a",Inputs!Y166,om_capacity*(1+inflation_rate/100+om_capacity_escal/100)^W$2),0)</f>
        <v>0</v>
      </c>
      <c r="Y50" s="147">
        <f>IF(Y$2&lt;=analysis_period,IF(om_capacity="n/a",Inputs!Z166,om_capacity*(1+inflation_rate/100+om_capacity_escal/100)^X$2),0)</f>
        <v>0</v>
      </c>
      <c r="Z50" s="147">
        <f>IF(Z$2&lt;=analysis_period,IF(om_capacity="n/a",Inputs!AA166,om_capacity*(1+inflation_rate/100+om_capacity_escal/100)^Y$2),0)</f>
        <v>0</v>
      </c>
      <c r="AA50" s="147">
        <f>IF(AA$2&lt;=analysis_period,IF(om_capacity="n/a",Inputs!AB166,om_capacity*(1+inflation_rate/100+om_capacity_escal/100)^Z$2),0)</f>
        <v>0</v>
      </c>
      <c r="AB50" s="147">
        <f>IF(AB$2&lt;=analysis_period,IF(om_capacity="n/a",Inputs!AC166,om_capacity*(1+inflation_rate/100+om_capacity_escal/100)^AA$2),0)</f>
        <v>0</v>
      </c>
      <c r="AC50" s="147">
        <f>IF(AC$2&lt;=analysis_period,IF(om_capacity="n/a",Inputs!AD166,om_capacity*(1+inflation_rate/100+om_capacity_escal/100)^AB$2),0)</f>
        <v>0</v>
      </c>
      <c r="AD50" s="147">
        <f>IF(AD$2&lt;=analysis_period,IF(om_capacity="n/a",Inputs!AE166,om_capacity*(1+inflation_rate/100+om_capacity_escal/100)^AC$2),0)</f>
        <v>0</v>
      </c>
      <c r="AE50" s="147">
        <f>IF(AE$2&lt;=analysis_period,IF(om_capacity="n/a",Inputs!AF166,om_capacity*(1+inflation_rate/100+om_capacity_escal/100)^AD$2),0)</f>
        <v>0</v>
      </c>
      <c r="AF50" s="147">
        <f>IF(AF$2&lt;=analysis_period,IF(om_capacity="n/a",Inputs!AG166,om_capacity*(1+inflation_rate/100+om_capacity_escal/100)^AE$2),0)</f>
        <v>0</v>
      </c>
      <c r="AG50" s="147">
        <f>IF(AG$2&lt;=analysis_period,IF(om_capacity="n/a",Inputs!AH166,om_capacity*(1+inflation_rate/100+om_capacity_escal/100)^AF$2),0)</f>
        <v>0</v>
      </c>
      <c r="AH50" s="147">
        <f>IF(AH$2&lt;=analysis_period,IF(om_capacity="n/a",Inputs!AI166,om_capacity*(1+inflation_rate/100+om_capacity_escal/100)^AG$2),0)</f>
        <v>0</v>
      </c>
      <c r="AI50" s="147">
        <f>IF(AI$2&lt;=analysis_period,IF(om_capacity="n/a",Inputs!AJ166,om_capacity*(1+inflation_rate/100+om_capacity_escal/100)^AH$2),0)</f>
        <v>0</v>
      </c>
      <c r="AJ50" s="147">
        <f>IF(AJ$2&lt;=analysis_period,IF(om_capacity="n/a",Inputs!AK166,om_capacity*(1+inflation_rate/100+om_capacity_escal/100)^AI$2),0)</f>
        <v>0</v>
      </c>
      <c r="AK50" s="147">
        <f>IF(AK$2&lt;=analysis_period,IF(om_capacity="n/a",Inputs!AL166,om_capacity*(1+inflation_rate/100+om_capacity_escal/100)^AJ$2),0)</f>
        <v>0</v>
      </c>
      <c r="AL50" s="147">
        <f>IF(AL$2&lt;=analysis_period,IF(om_capacity="n/a",Inputs!AM166,om_capacity*(1+inflation_rate/100+om_capacity_escal/100)^AK$2),0)</f>
        <v>0</v>
      </c>
      <c r="AM50" s="147">
        <f>IF(AM$2&lt;=analysis_period,IF(om_capacity="n/a",Inputs!AN166,om_capacity*(1+inflation_rate/100+om_capacity_escal/100)^AL$2),0)</f>
        <v>0</v>
      </c>
      <c r="AN50" s="147">
        <f>IF(AN$2&lt;=analysis_period,IF(om_capacity="n/a",Inputs!AO166,om_capacity*(1+inflation_rate/100+om_capacity_escal/100)^AM$2),0)</f>
        <v>0</v>
      </c>
      <c r="AO50" s="147">
        <f>IF(AO$2&lt;=analysis_period,IF(om_capacity="n/a",Inputs!AP166,om_capacity*(1+inflation_rate/100+om_capacity_escal/100)^AN$2),0)</f>
        <v>0</v>
      </c>
      <c r="AP50" s="147">
        <f>IF(AP$2&lt;=analysis_period,IF(om_capacity="n/a",Inputs!AQ166,om_capacity*(1+inflation_rate/100+om_capacity_escal/100)^AO$2),0)</f>
        <v>0</v>
      </c>
    </row>
    <row r="51" spans="1:42" x14ac:dyDescent="0.2">
      <c r="A51" s="87" t="s">
        <v>105</v>
      </c>
      <c r="C51" s="119">
        <f>C49*C50</f>
        <v>0</v>
      </c>
      <c r="D51" s="119">
        <f t="shared" ref="D51:AP51" si="19">D49*D50</f>
        <v>0</v>
      </c>
      <c r="E51" s="119">
        <f t="shared" si="19"/>
        <v>0</v>
      </c>
      <c r="F51" s="119">
        <f t="shared" si="19"/>
        <v>0</v>
      </c>
      <c r="G51" s="119">
        <f t="shared" si="19"/>
        <v>0</v>
      </c>
      <c r="H51" s="119">
        <f t="shared" si="19"/>
        <v>0</v>
      </c>
      <c r="I51" s="119">
        <f t="shared" si="19"/>
        <v>0</v>
      </c>
      <c r="J51" s="119">
        <f t="shared" si="19"/>
        <v>0</v>
      </c>
      <c r="K51" s="119">
        <f t="shared" si="19"/>
        <v>0</v>
      </c>
      <c r="L51" s="119">
        <f t="shared" si="19"/>
        <v>0</v>
      </c>
      <c r="M51" s="119">
        <f t="shared" si="19"/>
        <v>0</v>
      </c>
      <c r="N51" s="119">
        <f t="shared" si="19"/>
        <v>0</v>
      </c>
      <c r="O51" s="119">
        <f t="shared" si="19"/>
        <v>0</v>
      </c>
      <c r="P51" s="119">
        <f t="shared" si="19"/>
        <v>0</v>
      </c>
      <c r="Q51" s="119">
        <f t="shared" si="19"/>
        <v>0</v>
      </c>
      <c r="R51" s="119">
        <f t="shared" si="19"/>
        <v>0</v>
      </c>
      <c r="S51" s="119">
        <f t="shared" si="19"/>
        <v>0</v>
      </c>
      <c r="T51" s="119">
        <f t="shared" si="19"/>
        <v>0</v>
      </c>
      <c r="U51" s="119">
        <f t="shared" si="19"/>
        <v>0</v>
      </c>
      <c r="V51" s="119">
        <f t="shared" si="19"/>
        <v>0</v>
      </c>
      <c r="W51" s="119">
        <f t="shared" si="19"/>
        <v>0</v>
      </c>
      <c r="X51" s="119">
        <f t="shared" si="19"/>
        <v>0</v>
      </c>
      <c r="Y51" s="119">
        <f t="shared" si="19"/>
        <v>0</v>
      </c>
      <c r="Z51" s="119">
        <f t="shared" si="19"/>
        <v>0</v>
      </c>
      <c r="AA51" s="119">
        <f t="shared" si="19"/>
        <v>0</v>
      </c>
      <c r="AB51" s="119">
        <f t="shared" si="19"/>
        <v>0</v>
      </c>
      <c r="AC51" s="119">
        <f t="shared" si="19"/>
        <v>0</v>
      </c>
      <c r="AD51" s="119">
        <f t="shared" si="19"/>
        <v>0</v>
      </c>
      <c r="AE51" s="119">
        <f t="shared" si="19"/>
        <v>0</v>
      </c>
      <c r="AF51" s="119">
        <f t="shared" si="19"/>
        <v>0</v>
      </c>
      <c r="AG51" s="119">
        <f t="shared" si="19"/>
        <v>0</v>
      </c>
      <c r="AH51" s="119">
        <f t="shared" si="19"/>
        <v>0</v>
      </c>
      <c r="AI51" s="119">
        <f t="shared" si="19"/>
        <v>0</v>
      </c>
      <c r="AJ51" s="119">
        <f t="shared" si="19"/>
        <v>0</v>
      </c>
      <c r="AK51" s="119">
        <f t="shared" si="19"/>
        <v>0</v>
      </c>
      <c r="AL51" s="119">
        <f t="shared" si="19"/>
        <v>0</v>
      </c>
      <c r="AM51" s="119">
        <f t="shared" si="19"/>
        <v>0</v>
      </c>
      <c r="AN51" s="119">
        <f t="shared" si="19"/>
        <v>0</v>
      </c>
      <c r="AO51" s="119">
        <f t="shared" si="19"/>
        <v>0</v>
      </c>
      <c r="AP51" s="119">
        <f t="shared" si="19"/>
        <v>0</v>
      </c>
    </row>
    <row r="52" spans="1:42" x14ac:dyDescent="0.2">
      <c r="A52" s="86" t="s">
        <v>216</v>
      </c>
    </row>
    <row r="53" spans="1:42" x14ac:dyDescent="0.2">
      <c r="A53" s="87" t="s">
        <v>375</v>
      </c>
      <c r="C53" s="119">
        <f>IF(C$8=0,C$5,C$8)/1000</f>
        <v>0</v>
      </c>
      <c r="D53" s="119">
        <f t="shared" ref="D53:AP53" si="20">IF(D$8=0,D$5,D$8)/1000</f>
        <v>0</v>
      </c>
      <c r="E53" s="119">
        <f t="shared" si="20"/>
        <v>0</v>
      </c>
      <c r="F53" s="119">
        <f t="shared" si="20"/>
        <v>0</v>
      </c>
      <c r="G53" s="119">
        <f t="shared" si="20"/>
        <v>0</v>
      </c>
      <c r="H53" s="119">
        <f t="shared" si="20"/>
        <v>0</v>
      </c>
      <c r="I53" s="119">
        <f t="shared" si="20"/>
        <v>0</v>
      </c>
      <c r="J53" s="119">
        <f t="shared" si="20"/>
        <v>0</v>
      </c>
      <c r="K53" s="119">
        <f t="shared" si="20"/>
        <v>0</v>
      </c>
      <c r="L53" s="119">
        <f t="shared" si="20"/>
        <v>0</v>
      </c>
      <c r="M53" s="119">
        <f t="shared" si="20"/>
        <v>0</v>
      </c>
      <c r="N53" s="119">
        <f t="shared" si="20"/>
        <v>0</v>
      </c>
      <c r="O53" s="119">
        <f t="shared" si="20"/>
        <v>0</v>
      </c>
      <c r="P53" s="119">
        <f t="shared" si="20"/>
        <v>0</v>
      </c>
      <c r="Q53" s="119">
        <f t="shared" si="20"/>
        <v>0</v>
      </c>
      <c r="R53" s="119">
        <f t="shared" si="20"/>
        <v>0</v>
      </c>
      <c r="S53" s="119">
        <f t="shared" si="20"/>
        <v>0</v>
      </c>
      <c r="T53" s="119">
        <f t="shared" si="20"/>
        <v>0</v>
      </c>
      <c r="U53" s="119">
        <f t="shared" si="20"/>
        <v>0</v>
      </c>
      <c r="V53" s="119">
        <f t="shared" si="20"/>
        <v>0</v>
      </c>
      <c r="W53" s="119">
        <f t="shared" si="20"/>
        <v>0</v>
      </c>
      <c r="X53" s="119">
        <f t="shared" si="20"/>
        <v>0</v>
      </c>
      <c r="Y53" s="119">
        <f t="shared" si="20"/>
        <v>0</v>
      </c>
      <c r="Z53" s="119">
        <f t="shared" si="20"/>
        <v>0</v>
      </c>
      <c r="AA53" s="119">
        <f t="shared" si="20"/>
        <v>0</v>
      </c>
      <c r="AB53" s="119">
        <f t="shared" si="20"/>
        <v>0</v>
      </c>
      <c r="AC53" s="119">
        <f t="shared" si="20"/>
        <v>0</v>
      </c>
      <c r="AD53" s="119">
        <f t="shared" si="20"/>
        <v>0</v>
      </c>
      <c r="AE53" s="119">
        <f t="shared" si="20"/>
        <v>0</v>
      </c>
      <c r="AF53" s="119">
        <f t="shared" si="20"/>
        <v>0</v>
      </c>
      <c r="AG53" s="119">
        <f t="shared" si="20"/>
        <v>0</v>
      </c>
      <c r="AH53" s="119">
        <f t="shared" si="20"/>
        <v>0</v>
      </c>
      <c r="AI53" s="119">
        <f t="shared" si="20"/>
        <v>0</v>
      </c>
      <c r="AJ53" s="119">
        <f t="shared" si="20"/>
        <v>0</v>
      </c>
      <c r="AK53" s="119">
        <f t="shared" si="20"/>
        <v>0</v>
      </c>
      <c r="AL53" s="119">
        <f t="shared" si="20"/>
        <v>0</v>
      </c>
      <c r="AM53" s="119">
        <f t="shared" si="20"/>
        <v>0</v>
      </c>
      <c r="AN53" s="119">
        <f t="shared" si="20"/>
        <v>0</v>
      </c>
      <c r="AO53" s="119">
        <f t="shared" si="20"/>
        <v>0</v>
      </c>
      <c r="AP53" s="119">
        <f t="shared" si="20"/>
        <v>0</v>
      </c>
    </row>
    <row r="54" spans="1:42" x14ac:dyDescent="0.2">
      <c r="A54" s="87" t="s">
        <v>14</v>
      </c>
      <c r="C54" s="305">
        <f>IF(C$2&lt;=analysis_period,IF(om_production="n/a",Inputs!D167,om_production*(1+inflation_rate/100+om_production_escal/100)^B$2),0)</f>
        <v>0</v>
      </c>
      <c r="D54" s="305">
        <f>IF(D$2&lt;=analysis_period,IF(om_production="n/a",Inputs!E167,om_production*(1+inflation_rate/100+om_production_escal/100)^C$2),0)</f>
        <v>0</v>
      </c>
      <c r="E54" s="305">
        <f>IF(E$2&lt;=analysis_period,IF(om_production="n/a",Inputs!F167,om_production*(1+inflation_rate/100+om_production_escal/100)^D$2),0)</f>
        <v>0</v>
      </c>
      <c r="F54" s="305">
        <f>IF(F$2&lt;=analysis_period,IF(om_production="n/a",Inputs!G167,om_production*(1+inflation_rate/100+om_production_escal/100)^E$2),0)</f>
        <v>0</v>
      </c>
      <c r="G54" s="305">
        <f>IF(G$2&lt;=analysis_period,IF(om_production="n/a",Inputs!H167,om_production*(1+inflation_rate/100+om_production_escal/100)^F$2),0)</f>
        <v>0</v>
      </c>
      <c r="H54" s="305">
        <f>IF(H$2&lt;=analysis_period,IF(om_production="n/a",Inputs!I167,om_production*(1+inflation_rate/100+om_production_escal/100)^G$2),0)</f>
        <v>0</v>
      </c>
      <c r="I54" s="305">
        <f>IF(I$2&lt;=analysis_period,IF(om_production="n/a",Inputs!J167,om_production*(1+inflation_rate/100+om_production_escal/100)^H$2),0)</f>
        <v>0</v>
      </c>
      <c r="J54" s="305">
        <f>IF(J$2&lt;=analysis_period,IF(om_production="n/a",Inputs!K167,om_production*(1+inflation_rate/100+om_production_escal/100)^I$2),0)</f>
        <v>0</v>
      </c>
      <c r="K54" s="305">
        <f>IF(K$2&lt;=analysis_period,IF(om_production="n/a",Inputs!L167,om_production*(1+inflation_rate/100+om_production_escal/100)^J$2),0)</f>
        <v>0</v>
      </c>
      <c r="L54" s="305">
        <f>IF(L$2&lt;=analysis_period,IF(om_production="n/a",Inputs!M167,om_production*(1+inflation_rate/100+om_production_escal/100)^K$2),0)</f>
        <v>0</v>
      </c>
      <c r="M54" s="305">
        <f>IF(M$2&lt;=analysis_period,IF(om_production="n/a",Inputs!N167,om_production*(1+inflation_rate/100+om_production_escal/100)^L$2),0)</f>
        <v>0</v>
      </c>
      <c r="N54" s="305">
        <f>IF(N$2&lt;=analysis_period,IF(om_production="n/a",Inputs!O167,om_production*(1+inflation_rate/100+om_production_escal/100)^M$2),0)</f>
        <v>0</v>
      </c>
      <c r="O54" s="305">
        <f>IF(O$2&lt;=analysis_period,IF(om_production="n/a",Inputs!P167,om_production*(1+inflation_rate/100+om_production_escal/100)^N$2),0)</f>
        <v>0</v>
      </c>
      <c r="P54" s="305">
        <f>IF(P$2&lt;=analysis_period,IF(om_production="n/a",Inputs!Q167,om_production*(1+inflation_rate/100+om_production_escal/100)^O$2),0)</f>
        <v>0</v>
      </c>
      <c r="Q54" s="305">
        <f>IF(Q$2&lt;=analysis_period,IF(om_production="n/a",Inputs!R167,om_production*(1+inflation_rate/100+om_production_escal/100)^P$2),0)</f>
        <v>0</v>
      </c>
      <c r="R54" s="305">
        <f>IF(R$2&lt;=analysis_period,IF(om_production="n/a",Inputs!S167,om_production*(1+inflation_rate/100+om_production_escal/100)^Q$2),0)</f>
        <v>0</v>
      </c>
      <c r="S54" s="305">
        <f>IF(S$2&lt;=analysis_period,IF(om_production="n/a",Inputs!T167,om_production*(1+inflation_rate/100+om_production_escal/100)^R$2),0)</f>
        <v>0</v>
      </c>
      <c r="T54" s="305">
        <f>IF(T$2&lt;=analysis_period,IF(om_production="n/a",Inputs!U167,om_production*(1+inflation_rate/100+om_production_escal/100)^S$2),0)</f>
        <v>0</v>
      </c>
      <c r="U54" s="305">
        <f>IF(U$2&lt;=analysis_period,IF(om_production="n/a",Inputs!V167,om_production*(1+inflation_rate/100+om_production_escal/100)^T$2),0)</f>
        <v>0</v>
      </c>
      <c r="V54" s="305">
        <f>IF(V$2&lt;=analysis_period,IF(om_production="n/a",Inputs!W167,om_production*(1+inflation_rate/100+om_production_escal/100)^U$2),0)</f>
        <v>0</v>
      </c>
      <c r="W54" s="305">
        <f>IF(W$2&lt;=analysis_period,IF(om_production="n/a",Inputs!X167,om_production*(1+inflation_rate/100+om_production_escal/100)^V$2),0)</f>
        <v>0</v>
      </c>
      <c r="X54" s="305">
        <f>IF(X$2&lt;=analysis_period,IF(om_production="n/a",Inputs!Y167,om_production*(1+inflation_rate/100+om_production_escal/100)^W$2),0)</f>
        <v>0</v>
      </c>
      <c r="Y54" s="305">
        <f>IF(Y$2&lt;=analysis_period,IF(om_production="n/a",Inputs!Z167,om_production*(1+inflation_rate/100+om_production_escal/100)^X$2),0)</f>
        <v>0</v>
      </c>
      <c r="Z54" s="305">
        <f>IF(Z$2&lt;=analysis_period,IF(om_production="n/a",Inputs!AA167,om_production*(1+inflation_rate/100+om_production_escal/100)^Y$2),0)</f>
        <v>0</v>
      </c>
      <c r="AA54" s="305">
        <f>IF(AA$2&lt;=analysis_period,IF(om_production="n/a",Inputs!AB167,om_production*(1+inflation_rate/100+om_production_escal/100)^Z$2),0)</f>
        <v>0</v>
      </c>
      <c r="AB54" s="305">
        <f>IF(AB$2&lt;=analysis_period,IF(om_production="n/a",Inputs!AC167,om_production*(1+inflation_rate/100+om_production_escal/100)^AA$2),0)</f>
        <v>0</v>
      </c>
      <c r="AC54" s="305">
        <f>IF(AC$2&lt;=analysis_period,IF(om_production="n/a",Inputs!AD167,om_production*(1+inflation_rate/100+om_production_escal/100)^AB$2),0)</f>
        <v>0</v>
      </c>
      <c r="AD54" s="305">
        <f>IF(AD$2&lt;=analysis_period,IF(om_production="n/a",Inputs!AE167,om_production*(1+inflation_rate/100+om_production_escal/100)^AC$2),0)</f>
        <v>0</v>
      </c>
      <c r="AE54" s="305">
        <f>IF(AE$2&lt;=analysis_period,IF(om_production="n/a",Inputs!AF167,om_production*(1+inflation_rate/100+om_production_escal/100)^AD$2),0)</f>
        <v>0</v>
      </c>
      <c r="AF54" s="305">
        <f>IF(AF$2&lt;=analysis_period,IF(om_production="n/a",Inputs!AG167,om_production*(1+inflation_rate/100+om_production_escal/100)^AE$2),0)</f>
        <v>0</v>
      </c>
      <c r="AG54" s="305">
        <f>IF(AG$2&lt;=analysis_period,IF(om_production="n/a",Inputs!AH167,om_production*(1+inflation_rate/100+om_production_escal/100)^AF$2),0)</f>
        <v>0</v>
      </c>
      <c r="AH54" s="305">
        <f>IF(AH$2&lt;=analysis_period,IF(om_production="n/a",Inputs!AI167,om_production*(1+inflation_rate/100+om_production_escal/100)^AG$2),0)</f>
        <v>0</v>
      </c>
      <c r="AI54" s="305">
        <f>IF(AI$2&lt;=analysis_period,IF(om_production="n/a",Inputs!AJ167,om_production*(1+inflation_rate/100+om_production_escal/100)^AH$2),0)</f>
        <v>0</v>
      </c>
      <c r="AJ54" s="305">
        <f>IF(AJ$2&lt;=analysis_period,IF(om_production="n/a",Inputs!AK167,om_production*(1+inflation_rate/100+om_production_escal/100)^AI$2),0)</f>
        <v>0</v>
      </c>
      <c r="AK54" s="305">
        <f>IF(AK$2&lt;=analysis_period,IF(om_production="n/a",Inputs!AL167,om_production*(1+inflation_rate/100+om_production_escal/100)^AJ$2),0)</f>
        <v>0</v>
      </c>
      <c r="AL54" s="305">
        <f>IF(AL$2&lt;=analysis_period,IF(om_production="n/a",Inputs!AM167,om_production*(1+inflation_rate/100+om_production_escal/100)^AK$2),0)</f>
        <v>0</v>
      </c>
      <c r="AM54" s="305">
        <f>IF(AM$2&lt;=analysis_period,IF(om_production="n/a",Inputs!AN167,om_production*(1+inflation_rate/100+om_production_escal/100)^AL$2),0)</f>
        <v>0</v>
      </c>
      <c r="AN54" s="305">
        <f>IF(AN$2&lt;=analysis_period,IF(om_production="n/a",Inputs!AO167,om_production*(1+inflation_rate/100+om_production_escal/100)^AM$2),0)</f>
        <v>0</v>
      </c>
      <c r="AO54" s="305">
        <f>IF(AO$2&lt;=analysis_period,IF(om_production="n/a",Inputs!AP167,om_production*(1+inflation_rate/100+om_production_escal/100)^AN$2),0)</f>
        <v>0</v>
      </c>
      <c r="AP54" s="305">
        <f>IF(AP$2&lt;=analysis_period,IF(om_production="n/a",Inputs!AQ167,om_production*(1+inflation_rate/100+om_production_escal/100)^AO$2),0)</f>
        <v>0</v>
      </c>
    </row>
    <row r="55" spans="1:42" x14ac:dyDescent="0.2">
      <c r="A55" s="87" t="s">
        <v>104</v>
      </c>
      <c r="C55" s="150">
        <f>C53*C54</f>
        <v>0</v>
      </c>
      <c r="D55" s="150">
        <f t="shared" ref="D55:AP55" si="21">D53*D54</f>
        <v>0</v>
      </c>
      <c r="E55" s="150">
        <f t="shared" si="21"/>
        <v>0</v>
      </c>
      <c r="F55" s="150">
        <f t="shared" si="21"/>
        <v>0</v>
      </c>
      <c r="G55" s="150">
        <f t="shared" si="21"/>
        <v>0</v>
      </c>
      <c r="H55" s="150">
        <f t="shared" si="21"/>
        <v>0</v>
      </c>
      <c r="I55" s="150">
        <f t="shared" si="21"/>
        <v>0</v>
      </c>
      <c r="J55" s="150">
        <f t="shared" si="21"/>
        <v>0</v>
      </c>
      <c r="K55" s="150">
        <f t="shared" si="21"/>
        <v>0</v>
      </c>
      <c r="L55" s="150">
        <f t="shared" si="21"/>
        <v>0</v>
      </c>
      <c r="M55" s="150">
        <f t="shared" si="21"/>
        <v>0</v>
      </c>
      <c r="N55" s="150">
        <f t="shared" si="21"/>
        <v>0</v>
      </c>
      <c r="O55" s="150">
        <f t="shared" si="21"/>
        <v>0</v>
      </c>
      <c r="P55" s="150">
        <f t="shared" si="21"/>
        <v>0</v>
      </c>
      <c r="Q55" s="150">
        <f t="shared" si="21"/>
        <v>0</v>
      </c>
      <c r="R55" s="150">
        <f t="shared" si="21"/>
        <v>0</v>
      </c>
      <c r="S55" s="150">
        <f t="shared" si="21"/>
        <v>0</v>
      </c>
      <c r="T55" s="150">
        <f t="shared" si="21"/>
        <v>0</v>
      </c>
      <c r="U55" s="150">
        <f t="shared" si="21"/>
        <v>0</v>
      </c>
      <c r="V55" s="150">
        <f t="shared" si="21"/>
        <v>0</v>
      </c>
      <c r="W55" s="150">
        <f t="shared" si="21"/>
        <v>0</v>
      </c>
      <c r="X55" s="150">
        <f t="shared" si="21"/>
        <v>0</v>
      </c>
      <c r="Y55" s="150">
        <f t="shared" si="21"/>
        <v>0</v>
      </c>
      <c r="Z55" s="150">
        <f t="shared" si="21"/>
        <v>0</v>
      </c>
      <c r="AA55" s="150">
        <f t="shared" si="21"/>
        <v>0</v>
      </c>
      <c r="AB55" s="150">
        <f t="shared" si="21"/>
        <v>0</v>
      </c>
      <c r="AC55" s="150">
        <f t="shared" si="21"/>
        <v>0</v>
      </c>
      <c r="AD55" s="150">
        <f t="shared" si="21"/>
        <v>0</v>
      </c>
      <c r="AE55" s="150">
        <f t="shared" si="21"/>
        <v>0</v>
      </c>
      <c r="AF55" s="150">
        <f t="shared" si="21"/>
        <v>0</v>
      </c>
      <c r="AG55" s="150">
        <f t="shared" si="21"/>
        <v>0</v>
      </c>
      <c r="AH55" s="150">
        <f t="shared" si="21"/>
        <v>0</v>
      </c>
      <c r="AI55" s="150">
        <f t="shared" si="21"/>
        <v>0</v>
      </c>
      <c r="AJ55" s="150">
        <f t="shared" si="21"/>
        <v>0</v>
      </c>
      <c r="AK55" s="150">
        <f t="shared" si="21"/>
        <v>0</v>
      </c>
      <c r="AL55" s="150">
        <f t="shared" si="21"/>
        <v>0</v>
      </c>
      <c r="AM55" s="150">
        <f t="shared" si="21"/>
        <v>0</v>
      </c>
      <c r="AN55" s="150">
        <f t="shared" si="21"/>
        <v>0</v>
      </c>
      <c r="AO55" s="150">
        <f t="shared" si="21"/>
        <v>0</v>
      </c>
      <c r="AP55" s="150">
        <f t="shared" si="21"/>
        <v>0</v>
      </c>
    </row>
    <row r="56" spans="1:42" x14ac:dyDescent="0.2">
      <c r="A56" s="86" t="s">
        <v>394</v>
      </c>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row>
    <row r="57" spans="1:42" x14ac:dyDescent="0.2">
      <c r="A57" s="21" t="s">
        <v>379</v>
      </c>
      <c r="B57" s="4">
        <f t="array" ref="B57:AP60">Inputs!C187:AQ190</f>
        <v>0</v>
      </c>
      <c r="C57" s="119">
        <v>0</v>
      </c>
      <c r="D57" s="119">
        <v>0</v>
      </c>
      <c r="E57" s="119">
        <v>0</v>
      </c>
      <c r="F57" s="119">
        <v>0</v>
      </c>
      <c r="G57" s="119">
        <v>0</v>
      </c>
      <c r="H57" s="119">
        <v>0</v>
      </c>
      <c r="I57" s="119">
        <v>0</v>
      </c>
      <c r="J57" s="119">
        <v>0</v>
      </c>
      <c r="K57" s="119">
        <v>0</v>
      </c>
      <c r="L57" s="119">
        <v>0</v>
      </c>
      <c r="M57" s="119">
        <v>0</v>
      </c>
      <c r="N57" s="119">
        <v>0</v>
      </c>
      <c r="O57" s="119">
        <v>0</v>
      </c>
      <c r="P57" s="119">
        <v>0</v>
      </c>
      <c r="Q57" s="119">
        <v>0</v>
      </c>
      <c r="R57" s="119">
        <v>0</v>
      </c>
      <c r="S57" s="119">
        <v>0</v>
      </c>
      <c r="T57" s="119">
        <v>0</v>
      </c>
      <c r="U57" s="119">
        <v>0</v>
      </c>
      <c r="V57" s="119">
        <v>0</v>
      </c>
      <c r="W57" s="119">
        <v>0</v>
      </c>
      <c r="X57" s="119">
        <v>0</v>
      </c>
      <c r="Y57" s="119">
        <v>0</v>
      </c>
      <c r="Z57" s="119">
        <v>0</v>
      </c>
      <c r="AA57" s="119">
        <v>0</v>
      </c>
      <c r="AB57" s="119">
        <v>0</v>
      </c>
      <c r="AC57" s="119">
        <v>0</v>
      </c>
      <c r="AD57" s="119">
        <v>0</v>
      </c>
      <c r="AE57" s="119">
        <v>0</v>
      </c>
      <c r="AF57" s="119">
        <v>0</v>
      </c>
      <c r="AG57" s="119">
        <v>0</v>
      </c>
      <c r="AH57" s="119">
        <v>0</v>
      </c>
      <c r="AI57" s="119">
        <v>0</v>
      </c>
      <c r="AJ57" s="119">
        <v>0</v>
      </c>
      <c r="AK57" s="119">
        <v>0</v>
      </c>
      <c r="AL57" s="119">
        <v>0</v>
      </c>
      <c r="AM57" s="119">
        <v>0</v>
      </c>
      <c r="AN57" s="119">
        <v>0</v>
      </c>
      <c r="AO57" s="119">
        <v>0</v>
      </c>
      <c r="AP57" s="119">
        <v>0</v>
      </c>
    </row>
    <row r="58" spans="1:42" x14ac:dyDescent="0.2">
      <c r="A58" s="21" t="s">
        <v>380</v>
      </c>
      <c r="B58" s="4">
        <v>0</v>
      </c>
      <c r="C58" s="119">
        <v>0</v>
      </c>
      <c r="D58" s="119">
        <v>0</v>
      </c>
      <c r="E58" s="119">
        <v>0</v>
      </c>
      <c r="F58" s="119">
        <v>0</v>
      </c>
      <c r="G58" s="119">
        <v>0</v>
      </c>
      <c r="H58" s="119">
        <v>0</v>
      </c>
      <c r="I58" s="119">
        <v>0</v>
      </c>
      <c r="J58" s="119">
        <v>0</v>
      </c>
      <c r="K58" s="119">
        <v>0</v>
      </c>
      <c r="L58" s="119">
        <v>0</v>
      </c>
      <c r="M58" s="119">
        <v>0</v>
      </c>
      <c r="N58" s="119">
        <v>0</v>
      </c>
      <c r="O58" s="119">
        <v>0</v>
      </c>
      <c r="P58" s="119">
        <v>0</v>
      </c>
      <c r="Q58" s="119">
        <v>0</v>
      </c>
      <c r="R58" s="119">
        <v>0</v>
      </c>
      <c r="S58" s="119">
        <v>0</v>
      </c>
      <c r="T58" s="119">
        <v>0</v>
      </c>
      <c r="U58" s="119">
        <v>0</v>
      </c>
      <c r="V58" s="119">
        <v>0</v>
      </c>
      <c r="W58" s="119">
        <v>0</v>
      </c>
      <c r="X58" s="119">
        <v>0</v>
      </c>
      <c r="Y58" s="119">
        <v>0</v>
      </c>
      <c r="Z58" s="119">
        <v>0</v>
      </c>
      <c r="AA58" s="119">
        <v>0</v>
      </c>
      <c r="AB58" s="119">
        <v>0</v>
      </c>
      <c r="AC58" s="119">
        <v>0</v>
      </c>
      <c r="AD58" s="119">
        <v>0</v>
      </c>
      <c r="AE58" s="119">
        <v>0</v>
      </c>
      <c r="AF58" s="119">
        <v>0</v>
      </c>
      <c r="AG58" s="119">
        <v>0</v>
      </c>
      <c r="AH58" s="119">
        <v>0</v>
      </c>
      <c r="AI58" s="119">
        <v>0</v>
      </c>
      <c r="AJ58" s="119">
        <v>0</v>
      </c>
      <c r="AK58" s="119">
        <v>0</v>
      </c>
      <c r="AL58" s="119">
        <v>0</v>
      </c>
      <c r="AM58" s="119">
        <v>0</v>
      </c>
      <c r="AN58" s="119">
        <v>0</v>
      </c>
      <c r="AO58" s="119">
        <v>0</v>
      </c>
      <c r="AP58" s="119">
        <v>0</v>
      </c>
    </row>
    <row r="59" spans="1:42" x14ac:dyDescent="0.2">
      <c r="A59" s="21" t="s">
        <v>381</v>
      </c>
      <c r="B59" s="4">
        <v>0</v>
      </c>
      <c r="C59" s="119">
        <v>0</v>
      </c>
      <c r="D59" s="119">
        <v>0</v>
      </c>
      <c r="E59" s="119">
        <v>0</v>
      </c>
      <c r="F59" s="119">
        <v>0</v>
      </c>
      <c r="G59" s="119">
        <v>0</v>
      </c>
      <c r="H59" s="119">
        <v>0</v>
      </c>
      <c r="I59" s="119">
        <v>0</v>
      </c>
      <c r="J59" s="119">
        <v>0</v>
      </c>
      <c r="K59" s="119">
        <v>0</v>
      </c>
      <c r="L59" s="119">
        <v>0</v>
      </c>
      <c r="M59" s="119">
        <v>0</v>
      </c>
      <c r="N59" s="119">
        <v>0</v>
      </c>
      <c r="O59" s="119">
        <v>0</v>
      </c>
      <c r="P59" s="119">
        <v>0</v>
      </c>
      <c r="Q59" s="119">
        <v>0</v>
      </c>
      <c r="R59" s="119">
        <v>0</v>
      </c>
      <c r="S59" s="119">
        <v>0</v>
      </c>
      <c r="T59" s="119">
        <v>0</v>
      </c>
      <c r="U59" s="119">
        <v>0</v>
      </c>
      <c r="V59" s="119">
        <v>0</v>
      </c>
      <c r="W59" s="119">
        <v>0</v>
      </c>
      <c r="X59" s="119">
        <v>0</v>
      </c>
      <c r="Y59" s="119">
        <v>0</v>
      </c>
      <c r="Z59" s="119">
        <v>0</v>
      </c>
      <c r="AA59" s="119">
        <v>0</v>
      </c>
      <c r="AB59" s="119">
        <v>0</v>
      </c>
      <c r="AC59" s="119">
        <v>0</v>
      </c>
      <c r="AD59" s="119">
        <v>0</v>
      </c>
      <c r="AE59" s="119">
        <v>0</v>
      </c>
      <c r="AF59" s="119">
        <v>0</v>
      </c>
      <c r="AG59" s="119">
        <v>0</v>
      </c>
      <c r="AH59" s="119">
        <v>0</v>
      </c>
      <c r="AI59" s="119">
        <v>0</v>
      </c>
      <c r="AJ59" s="119">
        <v>0</v>
      </c>
      <c r="AK59" s="119">
        <v>0</v>
      </c>
      <c r="AL59" s="119">
        <v>0</v>
      </c>
      <c r="AM59" s="119">
        <v>0</v>
      </c>
      <c r="AN59" s="119">
        <v>0</v>
      </c>
      <c r="AO59" s="119">
        <v>0</v>
      </c>
      <c r="AP59" s="119">
        <v>0</v>
      </c>
    </row>
    <row r="60" spans="1:42" x14ac:dyDescent="0.2">
      <c r="A60" s="21" t="s">
        <v>294</v>
      </c>
      <c r="B60" s="4">
        <v>0</v>
      </c>
      <c r="C60" s="119">
        <v>0</v>
      </c>
      <c r="D60" s="119">
        <v>0</v>
      </c>
      <c r="E60" s="119">
        <v>0</v>
      </c>
      <c r="F60" s="119">
        <v>0</v>
      </c>
      <c r="G60" s="119">
        <v>0</v>
      </c>
      <c r="H60" s="119">
        <v>0</v>
      </c>
      <c r="I60" s="119">
        <v>0</v>
      </c>
      <c r="J60" s="119">
        <v>0</v>
      </c>
      <c r="K60" s="119">
        <v>0</v>
      </c>
      <c r="L60" s="119">
        <v>0</v>
      </c>
      <c r="M60" s="119">
        <v>0</v>
      </c>
      <c r="N60" s="119">
        <v>0</v>
      </c>
      <c r="O60" s="119">
        <v>0</v>
      </c>
      <c r="P60" s="119">
        <v>0</v>
      </c>
      <c r="Q60" s="119">
        <v>0</v>
      </c>
      <c r="R60" s="119">
        <v>0</v>
      </c>
      <c r="S60" s="119">
        <v>0</v>
      </c>
      <c r="T60" s="119">
        <v>0</v>
      </c>
      <c r="U60" s="119">
        <v>0</v>
      </c>
      <c r="V60" s="119">
        <v>0</v>
      </c>
      <c r="W60" s="119">
        <v>0</v>
      </c>
      <c r="X60" s="119">
        <v>0</v>
      </c>
      <c r="Y60" s="119">
        <v>0</v>
      </c>
      <c r="Z60" s="119">
        <v>0</v>
      </c>
      <c r="AA60" s="119">
        <v>0</v>
      </c>
      <c r="AB60" s="119">
        <v>0</v>
      </c>
      <c r="AC60" s="119">
        <v>0</v>
      </c>
      <c r="AD60" s="119">
        <v>0</v>
      </c>
      <c r="AE60" s="119">
        <v>0</v>
      </c>
      <c r="AF60" s="119">
        <v>0</v>
      </c>
      <c r="AG60" s="119">
        <v>0</v>
      </c>
      <c r="AH60" s="119">
        <v>0</v>
      </c>
      <c r="AI60" s="119">
        <v>0</v>
      </c>
      <c r="AJ60" s="119">
        <v>0</v>
      </c>
      <c r="AK60" s="119">
        <v>0</v>
      </c>
      <c r="AL60" s="119">
        <v>0</v>
      </c>
      <c r="AM60" s="119">
        <v>0</v>
      </c>
      <c r="AN60" s="119">
        <v>0</v>
      </c>
      <c r="AO60" s="119">
        <v>0</v>
      </c>
      <c r="AP60" s="119">
        <v>0</v>
      </c>
    </row>
    <row r="61" spans="1:42" x14ac:dyDescent="0.2">
      <c r="A61" s="86" t="s">
        <v>395</v>
      </c>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row>
    <row r="62" spans="1:42" x14ac:dyDescent="0.2">
      <c r="A62" s="21" t="s">
        <v>383</v>
      </c>
      <c r="B62" s="119">
        <f t="array" ref="B62:AP66">Inputs!C192:AQ196</f>
        <v>0</v>
      </c>
      <c r="C62" s="119">
        <v>0</v>
      </c>
      <c r="D62" s="119">
        <v>0</v>
      </c>
      <c r="E62" s="119">
        <v>0</v>
      </c>
      <c r="F62" s="119">
        <v>0</v>
      </c>
      <c r="G62" s="119">
        <v>0</v>
      </c>
      <c r="H62" s="119">
        <v>0</v>
      </c>
      <c r="I62" s="119">
        <v>0</v>
      </c>
      <c r="J62" s="119">
        <v>0</v>
      </c>
      <c r="K62" s="119">
        <v>0</v>
      </c>
      <c r="L62" s="119">
        <v>0</v>
      </c>
      <c r="M62" s="119">
        <v>0</v>
      </c>
      <c r="N62" s="119">
        <v>0</v>
      </c>
      <c r="O62" s="119">
        <v>0</v>
      </c>
      <c r="P62" s="119">
        <v>0</v>
      </c>
      <c r="Q62" s="119">
        <v>0</v>
      </c>
      <c r="R62" s="119">
        <v>0</v>
      </c>
      <c r="S62" s="119">
        <v>0</v>
      </c>
      <c r="T62" s="119">
        <v>0</v>
      </c>
      <c r="U62" s="119">
        <v>0</v>
      </c>
      <c r="V62" s="119">
        <v>0</v>
      </c>
      <c r="W62" s="119">
        <v>0</v>
      </c>
      <c r="X62" s="119">
        <v>0</v>
      </c>
      <c r="Y62" s="119">
        <v>0</v>
      </c>
      <c r="Z62" s="119">
        <v>0</v>
      </c>
      <c r="AA62" s="119">
        <v>0</v>
      </c>
      <c r="AB62" s="119">
        <v>0</v>
      </c>
      <c r="AC62" s="119">
        <v>0</v>
      </c>
      <c r="AD62" s="119">
        <v>0</v>
      </c>
      <c r="AE62" s="119">
        <v>0</v>
      </c>
      <c r="AF62" s="119">
        <v>0</v>
      </c>
      <c r="AG62" s="119">
        <v>0</v>
      </c>
      <c r="AH62" s="119">
        <v>0</v>
      </c>
      <c r="AI62" s="119">
        <v>0</v>
      </c>
      <c r="AJ62" s="119">
        <v>0</v>
      </c>
      <c r="AK62" s="119">
        <v>0</v>
      </c>
      <c r="AL62" s="119">
        <v>0</v>
      </c>
      <c r="AM62" s="119">
        <v>0</v>
      </c>
      <c r="AN62" s="119">
        <v>0</v>
      </c>
      <c r="AO62" s="119">
        <v>0</v>
      </c>
      <c r="AP62" s="119">
        <v>0</v>
      </c>
    </row>
    <row r="63" spans="1:42" x14ac:dyDescent="0.2">
      <c r="A63" s="21" t="s">
        <v>384</v>
      </c>
      <c r="B63" s="119">
        <v>0</v>
      </c>
      <c r="C63" s="119">
        <v>0</v>
      </c>
      <c r="D63" s="119">
        <v>0</v>
      </c>
      <c r="E63" s="119">
        <v>0</v>
      </c>
      <c r="F63" s="119">
        <v>0</v>
      </c>
      <c r="G63" s="119">
        <v>0</v>
      </c>
      <c r="H63" s="119">
        <v>0</v>
      </c>
      <c r="I63" s="119">
        <v>0</v>
      </c>
      <c r="J63" s="119">
        <v>0</v>
      </c>
      <c r="K63" s="119">
        <v>0</v>
      </c>
      <c r="L63" s="119">
        <v>0</v>
      </c>
      <c r="M63" s="119">
        <v>0</v>
      </c>
      <c r="N63" s="119">
        <v>0</v>
      </c>
      <c r="O63" s="119">
        <v>0</v>
      </c>
      <c r="P63" s="119">
        <v>0</v>
      </c>
      <c r="Q63" s="119">
        <v>0</v>
      </c>
      <c r="R63" s="119">
        <v>0</v>
      </c>
      <c r="S63" s="119">
        <v>0</v>
      </c>
      <c r="T63" s="119">
        <v>0</v>
      </c>
      <c r="U63" s="119">
        <v>0</v>
      </c>
      <c r="V63" s="119">
        <v>0</v>
      </c>
      <c r="W63" s="119">
        <v>0</v>
      </c>
      <c r="X63" s="119">
        <v>0</v>
      </c>
      <c r="Y63" s="119">
        <v>0</v>
      </c>
      <c r="Z63" s="119">
        <v>0</v>
      </c>
      <c r="AA63" s="119">
        <v>0</v>
      </c>
      <c r="AB63" s="119">
        <v>0</v>
      </c>
      <c r="AC63" s="119">
        <v>0</v>
      </c>
      <c r="AD63" s="119">
        <v>0</v>
      </c>
      <c r="AE63" s="119">
        <v>0</v>
      </c>
      <c r="AF63" s="119">
        <v>0</v>
      </c>
      <c r="AG63" s="119">
        <v>0</v>
      </c>
      <c r="AH63" s="119">
        <v>0</v>
      </c>
      <c r="AI63" s="119">
        <v>0</v>
      </c>
      <c r="AJ63" s="119">
        <v>0</v>
      </c>
      <c r="AK63" s="119">
        <v>0</v>
      </c>
      <c r="AL63" s="119">
        <v>0</v>
      </c>
      <c r="AM63" s="119">
        <v>0</v>
      </c>
      <c r="AN63" s="119">
        <v>0</v>
      </c>
      <c r="AO63" s="119">
        <v>0</v>
      </c>
      <c r="AP63" s="119">
        <v>0</v>
      </c>
    </row>
    <row r="64" spans="1:42" x14ac:dyDescent="0.2">
      <c r="A64" s="21" t="s">
        <v>385</v>
      </c>
      <c r="B64" s="119">
        <v>0</v>
      </c>
      <c r="C64" s="119">
        <v>0</v>
      </c>
      <c r="D64" s="119">
        <v>0</v>
      </c>
      <c r="E64" s="119">
        <v>0</v>
      </c>
      <c r="F64" s="119">
        <v>0</v>
      </c>
      <c r="G64" s="119">
        <v>0</v>
      </c>
      <c r="H64" s="119">
        <v>0</v>
      </c>
      <c r="I64" s="119">
        <v>0</v>
      </c>
      <c r="J64" s="119">
        <v>0</v>
      </c>
      <c r="K64" s="119">
        <v>0</v>
      </c>
      <c r="L64" s="119">
        <v>0</v>
      </c>
      <c r="M64" s="119">
        <v>0</v>
      </c>
      <c r="N64" s="119">
        <v>0</v>
      </c>
      <c r="O64" s="119">
        <v>0</v>
      </c>
      <c r="P64" s="119">
        <v>0</v>
      </c>
      <c r="Q64" s="119">
        <v>0</v>
      </c>
      <c r="R64" s="119">
        <v>0</v>
      </c>
      <c r="S64" s="119">
        <v>0</v>
      </c>
      <c r="T64" s="119">
        <v>0</v>
      </c>
      <c r="U64" s="119">
        <v>0</v>
      </c>
      <c r="V64" s="119">
        <v>0</v>
      </c>
      <c r="W64" s="119">
        <v>0</v>
      </c>
      <c r="X64" s="119">
        <v>0</v>
      </c>
      <c r="Y64" s="119">
        <v>0</v>
      </c>
      <c r="Z64" s="119">
        <v>0</v>
      </c>
      <c r="AA64" s="119">
        <v>0</v>
      </c>
      <c r="AB64" s="119">
        <v>0</v>
      </c>
      <c r="AC64" s="119">
        <v>0</v>
      </c>
      <c r="AD64" s="119">
        <v>0</v>
      </c>
      <c r="AE64" s="119">
        <v>0</v>
      </c>
      <c r="AF64" s="119">
        <v>0</v>
      </c>
      <c r="AG64" s="119">
        <v>0</v>
      </c>
      <c r="AH64" s="119">
        <v>0</v>
      </c>
      <c r="AI64" s="119">
        <v>0</v>
      </c>
      <c r="AJ64" s="119">
        <v>0</v>
      </c>
      <c r="AK64" s="119">
        <v>0</v>
      </c>
      <c r="AL64" s="119">
        <v>0</v>
      </c>
      <c r="AM64" s="119">
        <v>0</v>
      </c>
      <c r="AN64" s="119">
        <v>0</v>
      </c>
      <c r="AO64" s="119">
        <v>0</v>
      </c>
      <c r="AP64" s="119">
        <v>0</v>
      </c>
    </row>
    <row r="65" spans="1:42" x14ac:dyDescent="0.2">
      <c r="A65" s="21" t="s">
        <v>386</v>
      </c>
      <c r="B65" s="119">
        <v>0</v>
      </c>
      <c r="C65" s="119">
        <v>0</v>
      </c>
      <c r="D65" s="119">
        <v>0</v>
      </c>
      <c r="E65" s="119">
        <v>0</v>
      </c>
      <c r="F65" s="119">
        <v>0</v>
      </c>
      <c r="G65" s="119">
        <v>0</v>
      </c>
      <c r="H65" s="119">
        <v>0</v>
      </c>
      <c r="I65" s="119">
        <v>0</v>
      </c>
      <c r="J65" s="119">
        <v>0</v>
      </c>
      <c r="K65" s="119">
        <v>0</v>
      </c>
      <c r="L65" s="119">
        <v>0</v>
      </c>
      <c r="M65" s="119">
        <v>0</v>
      </c>
      <c r="N65" s="119">
        <v>0</v>
      </c>
      <c r="O65" s="119">
        <v>0</v>
      </c>
      <c r="P65" s="119">
        <v>0</v>
      </c>
      <c r="Q65" s="119">
        <v>0</v>
      </c>
      <c r="R65" s="119">
        <v>0</v>
      </c>
      <c r="S65" s="119">
        <v>0</v>
      </c>
      <c r="T65" s="119">
        <v>0</v>
      </c>
      <c r="U65" s="119">
        <v>0</v>
      </c>
      <c r="V65" s="119">
        <v>0</v>
      </c>
      <c r="W65" s="119">
        <v>0</v>
      </c>
      <c r="X65" s="119">
        <v>0</v>
      </c>
      <c r="Y65" s="119">
        <v>0</v>
      </c>
      <c r="Z65" s="119">
        <v>0</v>
      </c>
      <c r="AA65" s="119">
        <v>0</v>
      </c>
      <c r="AB65" s="119">
        <v>0</v>
      </c>
      <c r="AC65" s="119">
        <v>0</v>
      </c>
      <c r="AD65" s="119">
        <v>0</v>
      </c>
      <c r="AE65" s="119">
        <v>0</v>
      </c>
      <c r="AF65" s="119">
        <v>0</v>
      </c>
      <c r="AG65" s="119">
        <v>0</v>
      </c>
      <c r="AH65" s="119">
        <v>0</v>
      </c>
      <c r="AI65" s="119">
        <v>0</v>
      </c>
      <c r="AJ65" s="119">
        <v>0</v>
      </c>
      <c r="AK65" s="119">
        <v>0</v>
      </c>
      <c r="AL65" s="119">
        <v>0</v>
      </c>
      <c r="AM65" s="119">
        <v>0</v>
      </c>
      <c r="AN65" s="119">
        <v>0</v>
      </c>
      <c r="AO65" s="119">
        <v>0</v>
      </c>
      <c r="AP65" s="119">
        <v>0</v>
      </c>
    </row>
    <row r="66" spans="1:42" x14ac:dyDescent="0.2">
      <c r="A66" s="21" t="s">
        <v>387</v>
      </c>
      <c r="B66" s="119">
        <v>0</v>
      </c>
      <c r="C66" s="119">
        <v>0</v>
      </c>
      <c r="D66" s="119">
        <v>0</v>
      </c>
      <c r="E66" s="119">
        <v>0</v>
      </c>
      <c r="F66" s="119">
        <v>0</v>
      </c>
      <c r="G66" s="119">
        <v>0</v>
      </c>
      <c r="H66" s="119">
        <v>0</v>
      </c>
      <c r="I66" s="119">
        <v>0</v>
      </c>
      <c r="J66" s="119">
        <v>0</v>
      </c>
      <c r="K66" s="119">
        <v>0</v>
      </c>
      <c r="L66" s="119">
        <v>0</v>
      </c>
      <c r="M66" s="119">
        <v>0</v>
      </c>
      <c r="N66" s="119">
        <v>0</v>
      </c>
      <c r="O66" s="119">
        <v>0</v>
      </c>
      <c r="P66" s="119">
        <v>0</v>
      </c>
      <c r="Q66" s="119">
        <v>0</v>
      </c>
      <c r="R66" s="119">
        <v>0</v>
      </c>
      <c r="S66" s="119">
        <v>0</v>
      </c>
      <c r="T66" s="119">
        <v>0</v>
      </c>
      <c r="U66" s="119">
        <v>0</v>
      </c>
      <c r="V66" s="119">
        <v>0</v>
      </c>
      <c r="W66" s="119">
        <v>0</v>
      </c>
      <c r="X66" s="119">
        <v>0</v>
      </c>
      <c r="Y66" s="119">
        <v>0</v>
      </c>
      <c r="Z66" s="119">
        <v>0</v>
      </c>
      <c r="AA66" s="119">
        <v>0</v>
      </c>
      <c r="AB66" s="119">
        <v>0</v>
      </c>
      <c r="AC66" s="119">
        <v>0</v>
      </c>
      <c r="AD66" s="119">
        <v>0</v>
      </c>
      <c r="AE66" s="119">
        <v>0</v>
      </c>
      <c r="AF66" s="119">
        <v>0</v>
      </c>
      <c r="AG66" s="119">
        <v>0</v>
      </c>
      <c r="AH66" s="119">
        <v>0</v>
      </c>
      <c r="AI66" s="119">
        <v>0</v>
      </c>
      <c r="AJ66" s="119">
        <v>0</v>
      </c>
      <c r="AK66" s="119">
        <v>0</v>
      </c>
      <c r="AL66" s="119">
        <v>0</v>
      </c>
      <c r="AM66" s="119">
        <v>0</v>
      </c>
      <c r="AN66" s="119">
        <v>0</v>
      </c>
      <c r="AO66" s="119">
        <v>0</v>
      </c>
      <c r="AP66" s="119">
        <v>0</v>
      </c>
    </row>
    <row r="67" spans="1:42" x14ac:dyDescent="0.2">
      <c r="A67" s="86" t="s">
        <v>396</v>
      </c>
      <c r="B67" s="4">
        <f t="array" ref="B67:AP69">Inputs!C198:AQ200</f>
        <v>0</v>
      </c>
      <c r="C67" s="119">
        <v>0</v>
      </c>
      <c r="D67" s="119">
        <v>0</v>
      </c>
      <c r="E67" s="119">
        <v>0</v>
      </c>
      <c r="F67" s="119">
        <v>0</v>
      </c>
      <c r="G67" s="119">
        <v>0</v>
      </c>
      <c r="H67" s="119">
        <v>0</v>
      </c>
      <c r="I67" s="119">
        <v>0</v>
      </c>
      <c r="J67" s="119">
        <v>0</v>
      </c>
      <c r="K67" s="119">
        <v>0</v>
      </c>
      <c r="L67" s="119">
        <v>0</v>
      </c>
      <c r="M67" s="119">
        <v>0</v>
      </c>
      <c r="N67" s="119">
        <v>0</v>
      </c>
      <c r="O67" s="119">
        <v>0</v>
      </c>
      <c r="P67" s="119">
        <v>0</v>
      </c>
      <c r="Q67" s="119">
        <v>0</v>
      </c>
      <c r="R67" s="119">
        <v>0</v>
      </c>
      <c r="S67" s="119">
        <v>0</v>
      </c>
      <c r="T67" s="119">
        <v>0</v>
      </c>
      <c r="U67" s="119">
        <v>0</v>
      </c>
      <c r="V67" s="119">
        <v>0</v>
      </c>
      <c r="W67" s="119">
        <v>0</v>
      </c>
      <c r="X67" s="119">
        <v>0</v>
      </c>
      <c r="Y67" s="119">
        <v>0</v>
      </c>
      <c r="Z67" s="119">
        <v>0</v>
      </c>
      <c r="AA67" s="119">
        <v>0</v>
      </c>
      <c r="AB67" s="119">
        <v>0</v>
      </c>
      <c r="AC67" s="119">
        <v>0</v>
      </c>
      <c r="AD67" s="119">
        <v>0</v>
      </c>
      <c r="AE67" s="119">
        <v>0</v>
      </c>
      <c r="AF67" s="119">
        <v>0</v>
      </c>
      <c r="AG67" s="119">
        <v>0</v>
      </c>
      <c r="AH67" s="119">
        <v>0</v>
      </c>
      <c r="AI67" s="119">
        <v>0</v>
      </c>
      <c r="AJ67" s="119">
        <v>0</v>
      </c>
      <c r="AK67" s="119">
        <v>0</v>
      </c>
      <c r="AL67" s="119">
        <v>0</v>
      </c>
      <c r="AM67" s="119">
        <v>0</v>
      </c>
      <c r="AN67" s="119">
        <v>0</v>
      </c>
      <c r="AO67" s="119">
        <v>0</v>
      </c>
      <c r="AP67" s="119">
        <v>0</v>
      </c>
    </row>
    <row r="68" spans="1:42" x14ac:dyDescent="0.2">
      <c r="A68" s="86" t="s">
        <v>217</v>
      </c>
      <c r="B68" s="119">
        <v>0</v>
      </c>
      <c r="C68" s="119">
        <v>0</v>
      </c>
      <c r="D68" s="119">
        <v>0</v>
      </c>
      <c r="E68" s="119">
        <v>0</v>
      </c>
      <c r="F68" s="119">
        <v>0</v>
      </c>
      <c r="G68" s="119">
        <v>0</v>
      </c>
      <c r="H68" s="119">
        <v>0</v>
      </c>
      <c r="I68" s="119">
        <v>0</v>
      </c>
      <c r="J68" s="119">
        <v>0</v>
      </c>
      <c r="K68" s="119">
        <v>0</v>
      </c>
      <c r="L68" s="119">
        <v>0</v>
      </c>
      <c r="M68" s="119">
        <v>0</v>
      </c>
      <c r="N68" s="119">
        <v>0</v>
      </c>
      <c r="O68" s="119">
        <v>0</v>
      </c>
      <c r="P68" s="119">
        <v>0</v>
      </c>
      <c r="Q68" s="119">
        <v>0</v>
      </c>
      <c r="R68" s="119">
        <v>0</v>
      </c>
      <c r="S68" s="119">
        <v>0</v>
      </c>
      <c r="T68" s="119">
        <v>0</v>
      </c>
      <c r="U68" s="119">
        <v>0</v>
      </c>
      <c r="V68" s="119">
        <v>0</v>
      </c>
      <c r="W68" s="119">
        <v>0</v>
      </c>
      <c r="X68" s="119">
        <v>0</v>
      </c>
      <c r="Y68" s="119">
        <v>0</v>
      </c>
      <c r="Z68" s="119">
        <v>0</v>
      </c>
      <c r="AA68" s="119">
        <v>0</v>
      </c>
      <c r="AB68" s="119">
        <v>0</v>
      </c>
      <c r="AC68" s="119">
        <v>0</v>
      </c>
      <c r="AD68" s="119">
        <v>0</v>
      </c>
      <c r="AE68" s="119">
        <v>0</v>
      </c>
      <c r="AF68" s="119">
        <v>0</v>
      </c>
      <c r="AG68" s="119">
        <v>0</v>
      </c>
      <c r="AH68" s="119">
        <v>0</v>
      </c>
      <c r="AI68" s="119">
        <v>0</v>
      </c>
      <c r="AJ68" s="119">
        <v>0</v>
      </c>
      <c r="AK68" s="119">
        <v>0</v>
      </c>
      <c r="AL68" s="119">
        <v>0</v>
      </c>
      <c r="AM68" s="119">
        <v>0</v>
      </c>
      <c r="AN68" s="119">
        <v>0</v>
      </c>
      <c r="AO68" s="119">
        <v>0</v>
      </c>
      <c r="AP68" s="119">
        <v>0</v>
      </c>
    </row>
    <row r="69" spans="1:42" x14ac:dyDescent="0.2">
      <c r="A69" s="86" t="s">
        <v>218</v>
      </c>
      <c r="B69" s="119">
        <v>0</v>
      </c>
      <c r="C69" s="119">
        <v>0</v>
      </c>
      <c r="D69" s="119">
        <v>0</v>
      </c>
      <c r="E69" s="119">
        <v>0</v>
      </c>
      <c r="F69" s="119">
        <v>0</v>
      </c>
      <c r="G69" s="119">
        <v>0</v>
      </c>
      <c r="H69" s="119">
        <v>0</v>
      </c>
      <c r="I69" s="119">
        <v>0</v>
      </c>
      <c r="J69" s="119">
        <v>0</v>
      </c>
      <c r="K69" s="119">
        <v>0</v>
      </c>
      <c r="L69" s="119">
        <v>0</v>
      </c>
      <c r="M69" s="119">
        <v>0</v>
      </c>
      <c r="N69" s="119">
        <v>0</v>
      </c>
      <c r="O69" s="119">
        <v>0</v>
      </c>
      <c r="P69" s="119">
        <v>0</v>
      </c>
      <c r="Q69" s="119">
        <v>0</v>
      </c>
      <c r="R69" s="119">
        <v>0</v>
      </c>
      <c r="S69" s="119">
        <v>0</v>
      </c>
      <c r="T69" s="119">
        <v>0</v>
      </c>
      <c r="U69" s="119">
        <v>0</v>
      </c>
      <c r="V69" s="119">
        <v>0</v>
      </c>
      <c r="W69" s="119">
        <v>0</v>
      </c>
      <c r="X69" s="119">
        <v>0</v>
      </c>
      <c r="Y69" s="119">
        <v>0</v>
      </c>
      <c r="Z69" s="119">
        <v>0</v>
      </c>
      <c r="AA69" s="119">
        <v>0</v>
      </c>
      <c r="AB69" s="119">
        <v>0</v>
      </c>
      <c r="AC69" s="119">
        <v>0</v>
      </c>
      <c r="AD69" s="119">
        <v>0</v>
      </c>
      <c r="AE69" s="119">
        <v>0</v>
      </c>
      <c r="AF69" s="119">
        <v>0</v>
      </c>
      <c r="AG69" s="119">
        <v>0</v>
      </c>
      <c r="AH69" s="119">
        <v>0</v>
      </c>
      <c r="AI69" s="119">
        <v>0</v>
      </c>
      <c r="AJ69" s="119">
        <v>0</v>
      </c>
      <c r="AK69" s="119">
        <v>0</v>
      </c>
      <c r="AL69" s="119">
        <v>0</v>
      </c>
      <c r="AM69" s="119">
        <v>0</v>
      </c>
      <c r="AN69" s="119">
        <v>0</v>
      </c>
      <c r="AO69" s="119">
        <v>0</v>
      </c>
      <c r="AP69" s="119">
        <v>0</v>
      </c>
    </row>
    <row r="70" spans="1:42" x14ac:dyDescent="0.2">
      <c r="A70" s="86" t="s">
        <v>392</v>
      </c>
      <c r="B70" s="119">
        <f t="array" ref="B70:AP70">Inputs!C202:AQ202</f>
        <v>0</v>
      </c>
      <c r="C70" s="119">
        <v>0</v>
      </c>
      <c r="D70" s="119">
        <v>0</v>
      </c>
      <c r="E70" s="119">
        <v>0</v>
      </c>
      <c r="F70" s="119">
        <v>0</v>
      </c>
      <c r="G70" s="119">
        <v>0</v>
      </c>
      <c r="H70" s="119">
        <v>0</v>
      </c>
      <c r="I70" s="119">
        <v>0</v>
      </c>
      <c r="J70" s="119">
        <v>0</v>
      </c>
      <c r="K70" s="119">
        <v>0</v>
      </c>
      <c r="L70" s="119">
        <v>0</v>
      </c>
      <c r="M70" s="119">
        <v>0</v>
      </c>
      <c r="N70" s="119">
        <v>0</v>
      </c>
      <c r="O70" s="119">
        <v>0</v>
      </c>
      <c r="P70" s="119">
        <v>0</v>
      </c>
      <c r="Q70" s="119">
        <v>0</v>
      </c>
      <c r="R70" s="119">
        <v>0</v>
      </c>
      <c r="S70" s="119">
        <v>0</v>
      </c>
      <c r="T70" s="119">
        <v>0</v>
      </c>
      <c r="U70" s="119">
        <v>0</v>
      </c>
      <c r="V70" s="119">
        <v>0</v>
      </c>
      <c r="W70" s="119">
        <v>0</v>
      </c>
      <c r="X70" s="119">
        <v>0</v>
      </c>
      <c r="Y70" s="119">
        <v>0</v>
      </c>
      <c r="Z70" s="119">
        <v>0</v>
      </c>
      <c r="AA70" s="119">
        <v>0</v>
      </c>
      <c r="AB70" s="119">
        <v>0</v>
      </c>
      <c r="AC70" s="119">
        <v>0</v>
      </c>
      <c r="AD70" s="119">
        <v>0</v>
      </c>
      <c r="AE70" s="119">
        <v>0</v>
      </c>
      <c r="AF70" s="119">
        <v>0</v>
      </c>
      <c r="AG70" s="119">
        <v>0</v>
      </c>
      <c r="AH70" s="119">
        <v>0</v>
      </c>
      <c r="AI70" s="119">
        <v>0</v>
      </c>
      <c r="AJ70" s="119">
        <v>0</v>
      </c>
      <c r="AK70" s="119">
        <v>0</v>
      </c>
      <c r="AL70" s="119">
        <v>0</v>
      </c>
      <c r="AM70" s="119">
        <v>0</v>
      </c>
      <c r="AN70" s="119">
        <v>0</v>
      </c>
      <c r="AO70" s="119">
        <v>0</v>
      </c>
      <c r="AP70" s="119">
        <v>0</v>
      </c>
    </row>
    <row r="71" spans="1:42" x14ac:dyDescent="0.2">
      <c r="A71" s="17" t="s">
        <v>397</v>
      </c>
      <c r="C71" s="119">
        <f>IF(C$2&lt;=analysis_period,IF(om_land_lease="n/a",total_land_area*Inputs!D$204,total_land_area*om_land_lease*(1+inflation_rate/100+om_land_lease_escal/100)^B$2),0)</f>
        <v>0</v>
      </c>
      <c r="D71" s="119">
        <f>IF(D$2&lt;=analysis_period,IF(om_land_lease="n/a",total_land_area*Inputs!E$204,total_land_area*om_land_lease*(1+inflation_rate/100+om_land_lease_escal/100)^C$2),0)</f>
        <v>0</v>
      </c>
      <c r="E71" s="119">
        <f>IF(E$2&lt;=analysis_period,IF(om_land_lease="n/a",total_land_area*Inputs!F$204,total_land_area*om_land_lease*(1+inflation_rate/100+om_land_lease_escal/100)^D$2),0)</f>
        <v>0</v>
      </c>
      <c r="F71" s="119">
        <f>IF(F$2&lt;=analysis_period,IF(om_land_lease="n/a",total_land_area*Inputs!G$204,total_land_area*om_land_lease*(1+inflation_rate/100+om_land_lease_escal/100)^E$2),0)</f>
        <v>0</v>
      </c>
      <c r="G71" s="119">
        <f>IF(G$2&lt;=analysis_period,IF(om_land_lease="n/a",total_land_area*Inputs!H$204,total_land_area*om_land_lease*(1+inflation_rate/100+om_land_lease_escal/100)^F$2),0)</f>
        <v>0</v>
      </c>
      <c r="H71" s="119">
        <f>IF(H$2&lt;=analysis_period,IF(om_land_lease="n/a",total_land_area*Inputs!I$204,total_land_area*om_land_lease*(1+inflation_rate/100+om_land_lease_escal/100)^G$2),0)</f>
        <v>0</v>
      </c>
      <c r="I71" s="119">
        <f>IF(I$2&lt;=analysis_period,IF(om_land_lease="n/a",total_land_area*Inputs!J$204,total_land_area*om_land_lease*(1+inflation_rate/100+om_land_lease_escal/100)^H$2),0)</f>
        <v>0</v>
      </c>
      <c r="J71" s="119">
        <f>IF(J$2&lt;=analysis_period,IF(om_land_lease="n/a",total_land_area*Inputs!K$204,total_land_area*om_land_lease*(1+inflation_rate/100+om_land_lease_escal/100)^I$2),0)</f>
        <v>0</v>
      </c>
      <c r="K71" s="119">
        <f>IF(K$2&lt;=analysis_period,IF(om_land_lease="n/a",total_land_area*Inputs!L$204,total_land_area*om_land_lease*(1+inflation_rate/100+om_land_lease_escal/100)^J$2),0)</f>
        <v>0</v>
      </c>
      <c r="L71" s="119">
        <f>IF(L$2&lt;=analysis_period,IF(om_land_lease="n/a",total_land_area*Inputs!M$204,total_land_area*om_land_lease*(1+inflation_rate/100+om_land_lease_escal/100)^K$2),0)</f>
        <v>0</v>
      </c>
      <c r="M71" s="119">
        <f>IF(M$2&lt;=analysis_period,IF(om_land_lease="n/a",total_land_area*Inputs!N$204,total_land_area*om_land_lease*(1+inflation_rate/100+om_land_lease_escal/100)^L$2),0)</f>
        <v>0</v>
      </c>
      <c r="N71" s="119">
        <f>IF(N$2&lt;=analysis_period,IF(om_land_lease="n/a",total_land_area*Inputs!O$204,total_land_area*om_land_lease*(1+inflation_rate/100+om_land_lease_escal/100)^M$2),0)</f>
        <v>0</v>
      </c>
      <c r="O71" s="119">
        <f>IF(O$2&lt;=analysis_period,IF(om_land_lease="n/a",total_land_area*Inputs!P$204,total_land_area*om_land_lease*(1+inflation_rate/100+om_land_lease_escal/100)^N$2),0)</f>
        <v>0</v>
      </c>
      <c r="P71" s="119">
        <f>IF(P$2&lt;=analysis_period,IF(om_land_lease="n/a",total_land_area*Inputs!Q$204,total_land_area*om_land_lease*(1+inflation_rate/100+om_land_lease_escal/100)^O$2),0)</f>
        <v>0</v>
      </c>
      <c r="Q71" s="119">
        <f>IF(Q$2&lt;=analysis_period,IF(om_land_lease="n/a",total_land_area*Inputs!R$204,total_land_area*om_land_lease*(1+inflation_rate/100+om_land_lease_escal/100)^P$2),0)</f>
        <v>0</v>
      </c>
      <c r="R71" s="119">
        <f>IF(R$2&lt;=analysis_period,IF(om_land_lease="n/a",total_land_area*Inputs!S$204,total_land_area*om_land_lease*(1+inflation_rate/100+om_land_lease_escal/100)^Q$2),0)</f>
        <v>0</v>
      </c>
      <c r="S71" s="119">
        <f>IF(S$2&lt;=analysis_period,IF(om_land_lease="n/a",total_land_area*Inputs!T$204,total_land_area*om_land_lease*(1+inflation_rate/100+om_land_lease_escal/100)^R$2),0)</f>
        <v>0</v>
      </c>
      <c r="T71" s="119">
        <f>IF(T$2&lt;=analysis_period,IF(om_land_lease="n/a",total_land_area*Inputs!U$204,total_land_area*om_land_lease*(1+inflation_rate/100+om_land_lease_escal/100)^S$2),0)</f>
        <v>0</v>
      </c>
      <c r="U71" s="119">
        <f>IF(U$2&lt;=analysis_period,IF(om_land_lease="n/a",total_land_area*Inputs!V$204,total_land_area*om_land_lease*(1+inflation_rate/100+om_land_lease_escal/100)^T$2),0)</f>
        <v>0</v>
      </c>
      <c r="V71" s="119">
        <f>IF(V$2&lt;=analysis_period,IF(om_land_lease="n/a",total_land_area*Inputs!W$204,total_land_area*om_land_lease*(1+inflation_rate/100+om_land_lease_escal/100)^U$2),0)</f>
        <v>0</v>
      </c>
      <c r="W71" s="119">
        <f>IF(W$2&lt;=analysis_period,IF(om_land_lease="n/a",total_land_area*Inputs!X$204,total_land_area*om_land_lease*(1+inflation_rate/100+om_land_lease_escal/100)^V$2),0)</f>
        <v>0</v>
      </c>
      <c r="X71" s="119">
        <f>IF(X$2&lt;=analysis_period,IF(om_land_lease="n/a",total_land_area*Inputs!Y$204,total_land_area*om_land_lease*(1+inflation_rate/100+om_land_lease_escal/100)^W$2),0)</f>
        <v>0</v>
      </c>
      <c r="Y71" s="119">
        <f>IF(Y$2&lt;=analysis_period,IF(om_land_lease="n/a",total_land_area*Inputs!Z$204,total_land_area*om_land_lease*(1+inflation_rate/100+om_land_lease_escal/100)^X$2),0)</f>
        <v>0</v>
      </c>
      <c r="Z71" s="119">
        <f>IF(Z$2&lt;=analysis_period,IF(om_land_lease="n/a",total_land_area*Inputs!AA$204,total_land_area*om_land_lease*(1+inflation_rate/100+om_land_lease_escal/100)^Y$2),0)</f>
        <v>0</v>
      </c>
      <c r="AA71" s="119">
        <f>IF(AA$2&lt;=analysis_period,IF(om_land_lease="n/a",total_land_area*Inputs!AB$204,total_land_area*om_land_lease*(1+inflation_rate/100+om_land_lease_escal/100)^Z$2),0)</f>
        <v>0</v>
      </c>
      <c r="AB71" s="119">
        <f>IF(AB$2&lt;=analysis_period,IF(om_land_lease="n/a",total_land_area*Inputs!AC$204,total_land_area*om_land_lease*(1+inflation_rate/100+om_land_lease_escal/100)^AA$2),0)</f>
        <v>0</v>
      </c>
      <c r="AC71" s="119">
        <f>IF(AC$2&lt;=analysis_period,IF(om_land_lease="n/a",total_land_area*Inputs!AD$204,total_land_area*om_land_lease*(1+inflation_rate/100+om_land_lease_escal/100)^AB$2),0)</f>
        <v>0</v>
      </c>
      <c r="AD71" s="119">
        <f>IF(AD$2&lt;=analysis_period,IF(om_land_lease="n/a",total_land_area*Inputs!AE$204,total_land_area*om_land_lease*(1+inflation_rate/100+om_land_lease_escal/100)^AC$2),0)</f>
        <v>0</v>
      </c>
      <c r="AE71" s="119">
        <f>IF(AE$2&lt;=analysis_period,IF(om_land_lease="n/a",total_land_area*Inputs!AF$204,total_land_area*om_land_lease*(1+inflation_rate/100+om_land_lease_escal/100)^AD$2),0)</f>
        <v>0</v>
      </c>
      <c r="AF71" s="119">
        <f>IF(AF$2&lt;=analysis_period,IF(om_land_lease="n/a",total_land_area*Inputs!AG$204,total_land_area*om_land_lease*(1+inflation_rate/100+om_land_lease_escal/100)^AE$2),0)</f>
        <v>0</v>
      </c>
      <c r="AG71" s="119">
        <f>IF(AG$2&lt;=analysis_period,IF(om_land_lease="n/a",total_land_area*Inputs!AH$204,total_land_area*om_land_lease*(1+inflation_rate/100+om_land_lease_escal/100)^AF$2),0)</f>
        <v>0</v>
      </c>
      <c r="AH71" s="119">
        <f>IF(AH$2&lt;=analysis_period,IF(om_land_lease="n/a",total_land_area*Inputs!AI$204,total_land_area*om_land_lease*(1+inflation_rate/100+om_land_lease_escal/100)^AG$2),0)</f>
        <v>0</v>
      </c>
      <c r="AI71" s="119">
        <f>IF(AI$2&lt;=analysis_period,IF(om_land_lease="n/a",total_land_area*Inputs!AJ$204,total_land_area*om_land_lease*(1+inflation_rate/100+om_land_lease_escal/100)^AH$2),0)</f>
        <v>0</v>
      </c>
      <c r="AJ71" s="119">
        <f>IF(AJ$2&lt;=analysis_period,IF(om_land_lease="n/a",total_land_area*Inputs!AK$204,total_land_area*om_land_lease*(1+inflation_rate/100+om_land_lease_escal/100)^AI$2),0)</f>
        <v>0</v>
      </c>
      <c r="AK71" s="119">
        <f>IF(AK$2&lt;=analysis_period,IF(om_land_lease="n/a",total_land_area*Inputs!AL$204,total_land_area*om_land_lease*(1+inflation_rate/100+om_land_lease_escal/100)^AJ$2),0)</f>
        <v>0</v>
      </c>
      <c r="AL71" s="119">
        <f>IF(AL$2&lt;=analysis_period,IF(om_land_lease="n/a",total_land_area*Inputs!AM$204,total_land_area*om_land_lease*(1+inflation_rate/100+om_land_lease_escal/100)^AK$2),0)</f>
        <v>0</v>
      </c>
      <c r="AM71" s="119">
        <f>IF(AM$2&lt;=analysis_period,IF(om_land_lease="n/a",total_land_area*Inputs!AN$204,total_land_area*om_land_lease*(1+inflation_rate/100+om_land_lease_escal/100)^AL$2),0)</f>
        <v>0</v>
      </c>
      <c r="AN71" s="119">
        <f>IF(AN$2&lt;=analysis_period,IF(om_land_lease="n/a",total_land_area*Inputs!AO$204,total_land_area*om_land_lease*(1+inflation_rate/100+om_land_lease_escal/100)^AM$2),0)</f>
        <v>0</v>
      </c>
      <c r="AO71" s="119">
        <f>IF(AO$2&lt;=analysis_period,IF(om_land_lease="n/a",total_land_area*Inputs!AP$204,total_land_area*om_land_lease*(1+inflation_rate/100+om_land_lease_escal/100)^AN$2),0)</f>
        <v>0</v>
      </c>
      <c r="AP71" s="119">
        <f>IF(AP$2&lt;=analysis_period,IF(om_land_lease="n/a",total_land_area*Inputs!AQ$204,total_land_area*om_land_lease*(1+inflation_rate/100+om_land_lease_escal/100)^AO$2),0)</f>
        <v>0</v>
      </c>
    </row>
    <row r="72" spans="1:42" x14ac:dyDescent="0.2">
      <c r="A72" s="17" t="s">
        <v>0</v>
      </c>
      <c r="C72" s="119">
        <f t="shared" ref="C72:AP72" si="22">C43*property_tax_rate/100</f>
        <v>0</v>
      </c>
      <c r="D72" s="119">
        <f t="shared" si="22"/>
        <v>0</v>
      </c>
      <c r="E72" s="119">
        <f t="shared" si="22"/>
        <v>0</v>
      </c>
      <c r="F72" s="119">
        <f t="shared" si="22"/>
        <v>0</v>
      </c>
      <c r="G72" s="119">
        <f t="shared" si="22"/>
        <v>0</v>
      </c>
      <c r="H72" s="119">
        <f t="shared" si="22"/>
        <v>0</v>
      </c>
      <c r="I72" s="119">
        <f t="shared" si="22"/>
        <v>0</v>
      </c>
      <c r="J72" s="119">
        <f t="shared" si="22"/>
        <v>0</v>
      </c>
      <c r="K72" s="119">
        <f t="shared" si="22"/>
        <v>0</v>
      </c>
      <c r="L72" s="119">
        <f t="shared" si="22"/>
        <v>0</v>
      </c>
      <c r="M72" s="119">
        <f t="shared" si="22"/>
        <v>0</v>
      </c>
      <c r="N72" s="119">
        <f t="shared" si="22"/>
        <v>0</v>
      </c>
      <c r="O72" s="119">
        <f t="shared" si="22"/>
        <v>0</v>
      </c>
      <c r="P72" s="119">
        <f t="shared" si="22"/>
        <v>0</v>
      </c>
      <c r="Q72" s="119">
        <f t="shared" si="22"/>
        <v>0</v>
      </c>
      <c r="R72" s="119">
        <f t="shared" si="22"/>
        <v>0</v>
      </c>
      <c r="S72" s="119">
        <f t="shared" si="22"/>
        <v>0</v>
      </c>
      <c r="T72" s="119">
        <f t="shared" si="22"/>
        <v>0</v>
      </c>
      <c r="U72" s="119">
        <f t="shared" si="22"/>
        <v>0</v>
      </c>
      <c r="V72" s="119">
        <f t="shared" si="22"/>
        <v>0</v>
      </c>
      <c r="W72" s="119">
        <f t="shared" si="22"/>
        <v>0</v>
      </c>
      <c r="X72" s="119">
        <f t="shared" si="22"/>
        <v>0</v>
      </c>
      <c r="Y72" s="119">
        <f t="shared" si="22"/>
        <v>0</v>
      </c>
      <c r="Z72" s="119">
        <f t="shared" si="22"/>
        <v>0</v>
      </c>
      <c r="AA72" s="119">
        <f t="shared" si="22"/>
        <v>0</v>
      </c>
      <c r="AB72" s="119">
        <f t="shared" si="22"/>
        <v>0</v>
      </c>
      <c r="AC72" s="119">
        <f t="shared" si="22"/>
        <v>0</v>
      </c>
      <c r="AD72" s="119">
        <f t="shared" si="22"/>
        <v>0</v>
      </c>
      <c r="AE72" s="119">
        <f t="shared" si="22"/>
        <v>0</v>
      </c>
      <c r="AF72" s="119">
        <f t="shared" si="22"/>
        <v>0</v>
      </c>
      <c r="AG72" s="119">
        <f t="shared" si="22"/>
        <v>0</v>
      </c>
      <c r="AH72" s="119">
        <f t="shared" si="22"/>
        <v>0</v>
      </c>
      <c r="AI72" s="119">
        <f t="shared" si="22"/>
        <v>0</v>
      </c>
      <c r="AJ72" s="119">
        <f t="shared" si="22"/>
        <v>0</v>
      </c>
      <c r="AK72" s="119">
        <f t="shared" si="22"/>
        <v>0</v>
      </c>
      <c r="AL72" s="119">
        <f t="shared" si="22"/>
        <v>0</v>
      </c>
      <c r="AM72" s="119">
        <f t="shared" si="22"/>
        <v>0</v>
      </c>
      <c r="AN72" s="119">
        <f t="shared" si="22"/>
        <v>0</v>
      </c>
      <c r="AO72" s="119">
        <f t="shared" si="22"/>
        <v>0</v>
      </c>
      <c r="AP72" s="119">
        <f t="shared" si="22"/>
        <v>0</v>
      </c>
    </row>
    <row r="73" spans="1:42" x14ac:dyDescent="0.2">
      <c r="A73" s="17" t="s">
        <v>40</v>
      </c>
      <c r="C73" s="119">
        <f t="shared" ref="C73:AP73" si="23">IF(C$2&lt;=analysis_period,total_installed_cost*insurance_rate/100*(1+inflation_rate/100)^B$2,0)</f>
        <v>0</v>
      </c>
      <c r="D73" s="119">
        <f t="shared" si="23"/>
        <v>0</v>
      </c>
      <c r="E73" s="119">
        <f t="shared" si="23"/>
        <v>0</v>
      </c>
      <c r="F73" s="119">
        <f t="shared" si="23"/>
        <v>0</v>
      </c>
      <c r="G73" s="119">
        <f t="shared" si="23"/>
        <v>0</v>
      </c>
      <c r="H73" s="119">
        <f t="shared" si="23"/>
        <v>0</v>
      </c>
      <c r="I73" s="119">
        <f t="shared" si="23"/>
        <v>0</v>
      </c>
      <c r="J73" s="119">
        <f t="shared" si="23"/>
        <v>0</v>
      </c>
      <c r="K73" s="119">
        <f t="shared" si="23"/>
        <v>0</v>
      </c>
      <c r="L73" s="119">
        <f t="shared" si="23"/>
        <v>0</v>
      </c>
      <c r="M73" s="119">
        <f t="shared" si="23"/>
        <v>0</v>
      </c>
      <c r="N73" s="119">
        <f t="shared" si="23"/>
        <v>0</v>
      </c>
      <c r="O73" s="119">
        <f t="shared" si="23"/>
        <v>0</v>
      </c>
      <c r="P73" s="119">
        <f t="shared" si="23"/>
        <v>0</v>
      </c>
      <c r="Q73" s="119">
        <f t="shared" si="23"/>
        <v>0</v>
      </c>
      <c r="R73" s="119">
        <f t="shared" si="23"/>
        <v>0</v>
      </c>
      <c r="S73" s="119">
        <f t="shared" si="23"/>
        <v>0</v>
      </c>
      <c r="T73" s="119">
        <f t="shared" si="23"/>
        <v>0</v>
      </c>
      <c r="U73" s="119">
        <f t="shared" si="23"/>
        <v>0</v>
      </c>
      <c r="V73" s="119">
        <f t="shared" si="23"/>
        <v>0</v>
      </c>
      <c r="W73" s="119">
        <f t="shared" si="23"/>
        <v>0</v>
      </c>
      <c r="X73" s="119">
        <f t="shared" si="23"/>
        <v>0</v>
      </c>
      <c r="Y73" s="119">
        <f t="shared" si="23"/>
        <v>0</v>
      </c>
      <c r="Z73" s="119">
        <f t="shared" si="23"/>
        <v>0</v>
      </c>
      <c r="AA73" s="119">
        <f t="shared" si="23"/>
        <v>0</v>
      </c>
      <c r="AB73" s="119">
        <f t="shared" si="23"/>
        <v>0</v>
      </c>
      <c r="AC73" s="119">
        <f t="shared" si="23"/>
        <v>0</v>
      </c>
      <c r="AD73" s="119">
        <f t="shared" si="23"/>
        <v>0</v>
      </c>
      <c r="AE73" s="119">
        <f t="shared" si="23"/>
        <v>0</v>
      </c>
      <c r="AF73" s="119">
        <f t="shared" si="23"/>
        <v>0</v>
      </c>
      <c r="AG73" s="119">
        <f t="shared" si="23"/>
        <v>0</v>
      </c>
      <c r="AH73" s="119">
        <f t="shared" si="23"/>
        <v>0</v>
      </c>
      <c r="AI73" s="119">
        <f t="shared" si="23"/>
        <v>0</v>
      </c>
      <c r="AJ73" s="119">
        <f t="shared" si="23"/>
        <v>0</v>
      </c>
      <c r="AK73" s="119">
        <f t="shared" si="23"/>
        <v>0</v>
      </c>
      <c r="AL73" s="119">
        <f t="shared" si="23"/>
        <v>0</v>
      </c>
      <c r="AM73" s="119">
        <f t="shared" si="23"/>
        <v>0</v>
      </c>
      <c r="AN73" s="119">
        <f t="shared" si="23"/>
        <v>0</v>
      </c>
      <c r="AO73" s="119">
        <f t="shared" si="23"/>
        <v>0</v>
      </c>
      <c r="AP73" s="119">
        <f t="shared" si="23"/>
        <v>0</v>
      </c>
    </row>
    <row r="74" spans="1:42" x14ac:dyDescent="0.2">
      <c r="A74" s="27" t="s">
        <v>18</v>
      </c>
      <c r="B74" s="27"/>
      <c r="C74" s="134">
        <f>C$47+C$51+C$55+SUM(C57:C60)+SUM(C62:C73)</f>
        <v>0</v>
      </c>
      <c r="D74" s="134">
        <f t="shared" ref="D74:AP74" si="24">D$47+D$51+D$55+SUM(D57:D60)+SUM(D62:D73)</f>
        <v>0</v>
      </c>
      <c r="E74" s="134">
        <f t="shared" si="24"/>
        <v>0</v>
      </c>
      <c r="F74" s="134">
        <f t="shared" si="24"/>
        <v>0</v>
      </c>
      <c r="G74" s="134">
        <f t="shared" si="24"/>
        <v>0</v>
      </c>
      <c r="H74" s="134">
        <f t="shared" si="24"/>
        <v>0</v>
      </c>
      <c r="I74" s="134">
        <f t="shared" si="24"/>
        <v>0</v>
      </c>
      <c r="J74" s="134">
        <f t="shared" si="24"/>
        <v>0</v>
      </c>
      <c r="K74" s="134">
        <f t="shared" si="24"/>
        <v>0</v>
      </c>
      <c r="L74" s="134">
        <f t="shared" si="24"/>
        <v>0</v>
      </c>
      <c r="M74" s="134">
        <f t="shared" si="24"/>
        <v>0</v>
      </c>
      <c r="N74" s="134">
        <f t="shared" si="24"/>
        <v>0</v>
      </c>
      <c r="O74" s="134">
        <f t="shared" si="24"/>
        <v>0</v>
      </c>
      <c r="P74" s="134">
        <f t="shared" si="24"/>
        <v>0</v>
      </c>
      <c r="Q74" s="134">
        <f t="shared" si="24"/>
        <v>0</v>
      </c>
      <c r="R74" s="134">
        <f t="shared" si="24"/>
        <v>0</v>
      </c>
      <c r="S74" s="134">
        <f t="shared" si="24"/>
        <v>0</v>
      </c>
      <c r="T74" s="134">
        <f t="shared" si="24"/>
        <v>0</v>
      </c>
      <c r="U74" s="134">
        <f t="shared" si="24"/>
        <v>0</v>
      </c>
      <c r="V74" s="134">
        <f t="shared" si="24"/>
        <v>0</v>
      </c>
      <c r="W74" s="134">
        <f t="shared" si="24"/>
        <v>0</v>
      </c>
      <c r="X74" s="134">
        <f t="shared" si="24"/>
        <v>0</v>
      </c>
      <c r="Y74" s="134">
        <f t="shared" si="24"/>
        <v>0</v>
      </c>
      <c r="Z74" s="134">
        <f t="shared" si="24"/>
        <v>0</v>
      </c>
      <c r="AA74" s="134">
        <f t="shared" si="24"/>
        <v>0</v>
      </c>
      <c r="AB74" s="134">
        <f t="shared" si="24"/>
        <v>0</v>
      </c>
      <c r="AC74" s="134">
        <f t="shared" si="24"/>
        <v>0</v>
      </c>
      <c r="AD74" s="134">
        <f t="shared" si="24"/>
        <v>0</v>
      </c>
      <c r="AE74" s="134">
        <f t="shared" si="24"/>
        <v>0</v>
      </c>
      <c r="AF74" s="134">
        <f t="shared" si="24"/>
        <v>0</v>
      </c>
      <c r="AG74" s="134">
        <f t="shared" si="24"/>
        <v>0</v>
      </c>
      <c r="AH74" s="134">
        <f t="shared" si="24"/>
        <v>0</v>
      </c>
      <c r="AI74" s="134">
        <f t="shared" si="24"/>
        <v>0</v>
      </c>
      <c r="AJ74" s="134">
        <f t="shared" si="24"/>
        <v>0</v>
      </c>
      <c r="AK74" s="134">
        <f t="shared" si="24"/>
        <v>0</v>
      </c>
      <c r="AL74" s="134">
        <f t="shared" si="24"/>
        <v>0</v>
      </c>
      <c r="AM74" s="134">
        <f t="shared" si="24"/>
        <v>0</v>
      </c>
      <c r="AN74" s="134">
        <f t="shared" si="24"/>
        <v>0</v>
      </c>
      <c r="AO74" s="134">
        <f t="shared" si="24"/>
        <v>0</v>
      </c>
      <c r="AP74" s="134">
        <f t="shared" si="24"/>
        <v>0</v>
      </c>
    </row>
    <row r="76" spans="1:42" x14ac:dyDescent="0.2">
      <c r="A76" s="201" t="s">
        <v>26</v>
      </c>
      <c r="B76" s="27"/>
      <c r="C76" s="134">
        <f t="shared" ref="C76:AP76" si="25">C41-C74</f>
        <v>0</v>
      </c>
      <c r="D76" s="134">
        <f t="shared" si="25"/>
        <v>0</v>
      </c>
      <c r="E76" s="134">
        <f t="shared" si="25"/>
        <v>0</v>
      </c>
      <c r="F76" s="134">
        <f t="shared" si="25"/>
        <v>0</v>
      </c>
      <c r="G76" s="134">
        <f t="shared" si="25"/>
        <v>0</v>
      </c>
      <c r="H76" s="134">
        <f t="shared" si="25"/>
        <v>0</v>
      </c>
      <c r="I76" s="134">
        <f t="shared" si="25"/>
        <v>0</v>
      </c>
      <c r="J76" s="134">
        <f t="shared" si="25"/>
        <v>0</v>
      </c>
      <c r="K76" s="134">
        <f t="shared" si="25"/>
        <v>0</v>
      </c>
      <c r="L76" s="134">
        <f t="shared" si="25"/>
        <v>0</v>
      </c>
      <c r="M76" s="134">
        <f t="shared" si="25"/>
        <v>0</v>
      </c>
      <c r="N76" s="134">
        <f t="shared" si="25"/>
        <v>0</v>
      </c>
      <c r="O76" s="134">
        <f t="shared" si="25"/>
        <v>0</v>
      </c>
      <c r="P76" s="134">
        <f t="shared" si="25"/>
        <v>0</v>
      </c>
      <c r="Q76" s="134">
        <f t="shared" si="25"/>
        <v>0</v>
      </c>
      <c r="R76" s="134">
        <f t="shared" si="25"/>
        <v>0</v>
      </c>
      <c r="S76" s="134">
        <f t="shared" si="25"/>
        <v>0</v>
      </c>
      <c r="T76" s="134">
        <f t="shared" si="25"/>
        <v>0</v>
      </c>
      <c r="U76" s="134">
        <f t="shared" si="25"/>
        <v>0</v>
      </c>
      <c r="V76" s="134">
        <f t="shared" si="25"/>
        <v>0</v>
      </c>
      <c r="W76" s="134">
        <f t="shared" si="25"/>
        <v>0</v>
      </c>
      <c r="X76" s="134">
        <f t="shared" si="25"/>
        <v>0</v>
      </c>
      <c r="Y76" s="134">
        <f t="shared" si="25"/>
        <v>0</v>
      </c>
      <c r="Z76" s="134">
        <f t="shared" si="25"/>
        <v>0</v>
      </c>
      <c r="AA76" s="134">
        <f t="shared" si="25"/>
        <v>0</v>
      </c>
      <c r="AB76" s="134">
        <f t="shared" si="25"/>
        <v>0</v>
      </c>
      <c r="AC76" s="134">
        <f t="shared" si="25"/>
        <v>0</v>
      </c>
      <c r="AD76" s="134">
        <f t="shared" si="25"/>
        <v>0</v>
      </c>
      <c r="AE76" s="134">
        <f t="shared" si="25"/>
        <v>0</v>
      </c>
      <c r="AF76" s="134">
        <f t="shared" si="25"/>
        <v>0</v>
      </c>
      <c r="AG76" s="134">
        <f t="shared" si="25"/>
        <v>0</v>
      </c>
      <c r="AH76" s="134">
        <f t="shared" si="25"/>
        <v>0</v>
      </c>
      <c r="AI76" s="134">
        <f t="shared" si="25"/>
        <v>0</v>
      </c>
      <c r="AJ76" s="134">
        <f t="shared" si="25"/>
        <v>0</v>
      </c>
      <c r="AK76" s="134">
        <f t="shared" si="25"/>
        <v>0</v>
      </c>
      <c r="AL76" s="134">
        <f t="shared" si="25"/>
        <v>0</v>
      </c>
      <c r="AM76" s="134">
        <f t="shared" si="25"/>
        <v>0</v>
      </c>
      <c r="AN76" s="134">
        <f t="shared" si="25"/>
        <v>0</v>
      </c>
      <c r="AO76" s="134">
        <f t="shared" si="25"/>
        <v>0</v>
      </c>
      <c r="AP76" s="134">
        <f t="shared" si="25"/>
        <v>0</v>
      </c>
    </row>
    <row r="77" spans="1:42" x14ac:dyDescent="0.2">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row>
    <row r="78" spans="1:42" x14ac:dyDescent="0.2">
      <c r="A78" s="80" t="s">
        <v>76</v>
      </c>
      <c r="B78" s="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c r="AA78" s="207"/>
      <c r="AB78" s="207"/>
      <c r="AC78" s="207"/>
      <c r="AD78" s="207"/>
      <c r="AE78" s="207"/>
      <c r="AF78" s="207"/>
      <c r="AG78" s="207"/>
      <c r="AH78" s="207"/>
      <c r="AI78" s="207"/>
      <c r="AJ78" s="207"/>
      <c r="AK78" s="207"/>
      <c r="AL78" s="207"/>
      <c r="AM78" s="207"/>
      <c r="AN78" s="207"/>
      <c r="AO78" s="207"/>
      <c r="AP78" s="207"/>
    </row>
    <row r="79" spans="1:42" x14ac:dyDescent="0.2">
      <c r="A79" s="19" t="s">
        <v>231</v>
      </c>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row>
    <row r="80" spans="1:42" x14ac:dyDescent="0.2">
      <c r="A80" s="17" t="s">
        <v>26</v>
      </c>
      <c r="B80" s="119"/>
      <c r="C80" s="119">
        <f>C76</f>
        <v>0</v>
      </c>
      <c r="D80" s="119">
        <f t="shared" ref="D80:AP80" si="26">D76</f>
        <v>0</v>
      </c>
      <c r="E80" s="119">
        <f t="shared" si="26"/>
        <v>0</v>
      </c>
      <c r="F80" s="119">
        <f t="shared" si="26"/>
        <v>0</v>
      </c>
      <c r="G80" s="119">
        <f t="shared" si="26"/>
        <v>0</v>
      </c>
      <c r="H80" s="119">
        <f t="shared" si="26"/>
        <v>0</v>
      </c>
      <c r="I80" s="119">
        <f t="shared" si="26"/>
        <v>0</v>
      </c>
      <c r="J80" s="119">
        <f t="shared" si="26"/>
        <v>0</v>
      </c>
      <c r="K80" s="119">
        <f t="shared" si="26"/>
        <v>0</v>
      </c>
      <c r="L80" s="119">
        <f t="shared" si="26"/>
        <v>0</v>
      </c>
      <c r="M80" s="119">
        <f t="shared" si="26"/>
        <v>0</v>
      </c>
      <c r="N80" s="119">
        <f t="shared" si="26"/>
        <v>0</v>
      </c>
      <c r="O80" s="119">
        <f t="shared" si="26"/>
        <v>0</v>
      </c>
      <c r="P80" s="119">
        <f t="shared" si="26"/>
        <v>0</v>
      </c>
      <c r="Q80" s="119">
        <f t="shared" si="26"/>
        <v>0</v>
      </c>
      <c r="R80" s="119">
        <f t="shared" si="26"/>
        <v>0</v>
      </c>
      <c r="S80" s="119">
        <f t="shared" si="26"/>
        <v>0</v>
      </c>
      <c r="T80" s="119">
        <f t="shared" si="26"/>
        <v>0</v>
      </c>
      <c r="U80" s="119">
        <f t="shared" si="26"/>
        <v>0</v>
      </c>
      <c r="V80" s="119">
        <f t="shared" si="26"/>
        <v>0</v>
      </c>
      <c r="W80" s="119">
        <f t="shared" si="26"/>
        <v>0</v>
      </c>
      <c r="X80" s="119">
        <f t="shared" si="26"/>
        <v>0</v>
      </c>
      <c r="Y80" s="119">
        <f t="shared" si="26"/>
        <v>0</v>
      </c>
      <c r="Z80" s="119">
        <f t="shared" si="26"/>
        <v>0</v>
      </c>
      <c r="AA80" s="119">
        <f t="shared" si="26"/>
        <v>0</v>
      </c>
      <c r="AB80" s="119">
        <f t="shared" si="26"/>
        <v>0</v>
      </c>
      <c r="AC80" s="119">
        <f t="shared" si="26"/>
        <v>0</v>
      </c>
      <c r="AD80" s="119">
        <f t="shared" si="26"/>
        <v>0</v>
      </c>
      <c r="AE80" s="119">
        <f t="shared" si="26"/>
        <v>0</v>
      </c>
      <c r="AF80" s="119">
        <f t="shared" si="26"/>
        <v>0</v>
      </c>
      <c r="AG80" s="119">
        <f t="shared" si="26"/>
        <v>0</v>
      </c>
      <c r="AH80" s="119">
        <f t="shared" si="26"/>
        <v>0</v>
      </c>
      <c r="AI80" s="119">
        <f t="shared" si="26"/>
        <v>0</v>
      </c>
      <c r="AJ80" s="119">
        <f t="shared" si="26"/>
        <v>0</v>
      </c>
      <c r="AK80" s="119">
        <f t="shared" si="26"/>
        <v>0</v>
      </c>
      <c r="AL80" s="119">
        <f t="shared" si="26"/>
        <v>0</v>
      </c>
      <c r="AM80" s="119">
        <f t="shared" si="26"/>
        <v>0</v>
      </c>
      <c r="AN80" s="119">
        <f t="shared" si="26"/>
        <v>0</v>
      </c>
      <c r="AO80" s="119">
        <f t="shared" si="26"/>
        <v>0</v>
      </c>
      <c r="AP80" s="119">
        <f t="shared" si="26"/>
        <v>0</v>
      </c>
    </row>
    <row r="81" spans="1:42" x14ac:dyDescent="0.2">
      <c r="A81" s="17" t="s">
        <v>176</v>
      </c>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row>
    <row r="82" spans="1:42" x14ac:dyDescent="0.2">
      <c r="A82" s="21" t="str">
        <f>A35</f>
        <v>Federal</v>
      </c>
      <c r="B82" s="97"/>
      <c r="C82" s="119">
        <f t="shared" ref="C82:AP82" si="27">IF(pbi_fed_for_ds="Yes",0,C590)</f>
        <v>0</v>
      </c>
      <c r="D82" s="119">
        <f t="shared" si="27"/>
        <v>0</v>
      </c>
      <c r="E82" s="119">
        <f t="shared" si="27"/>
        <v>0</v>
      </c>
      <c r="F82" s="119">
        <f t="shared" si="27"/>
        <v>0</v>
      </c>
      <c r="G82" s="119">
        <f t="shared" si="27"/>
        <v>0</v>
      </c>
      <c r="H82" s="119">
        <f t="shared" si="27"/>
        <v>0</v>
      </c>
      <c r="I82" s="119">
        <f t="shared" si="27"/>
        <v>0</v>
      </c>
      <c r="J82" s="119">
        <f t="shared" si="27"/>
        <v>0</v>
      </c>
      <c r="K82" s="119">
        <f t="shared" si="27"/>
        <v>0</v>
      </c>
      <c r="L82" s="119">
        <f t="shared" si="27"/>
        <v>0</v>
      </c>
      <c r="M82" s="119">
        <f t="shared" si="27"/>
        <v>0</v>
      </c>
      <c r="N82" s="119">
        <f t="shared" si="27"/>
        <v>0</v>
      </c>
      <c r="O82" s="119">
        <f t="shared" si="27"/>
        <v>0</v>
      </c>
      <c r="P82" s="119">
        <f t="shared" si="27"/>
        <v>0</v>
      </c>
      <c r="Q82" s="119">
        <f t="shared" si="27"/>
        <v>0</v>
      </c>
      <c r="R82" s="119">
        <f t="shared" si="27"/>
        <v>0</v>
      </c>
      <c r="S82" s="119">
        <f t="shared" si="27"/>
        <v>0</v>
      </c>
      <c r="T82" s="119">
        <f t="shared" si="27"/>
        <v>0</v>
      </c>
      <c r="U82" s="119">
        <f t="shared" si="27"/>
        <v>0</v>
      </c>
      <c r="V82" s="119">
        <f t="shared" si="27"/>
        <v>0</v>
      </c>
      <c r="W82" s="119">
        <f t="shared" si="27"/>
        <v>0</v>
      </c>
      <c r="X82" s="119">
        <f t="shared" si="27"/>
        <v>0</v>
      </c>
      <c r="Y82" s="119">
        <f t="shared" si="27"/>
        <v>0</v>
      </c>
      <c r="Z82" s="119">
        <f t="shared" si="27"/>
        <v>0</v>
      </c>
      <c r="AA82" s="119">
        <f t="shared" si="27"/>
        <v>0</v>
      </c>
      <c r="AB82" s="119">
        <f t="shared" si="27"/>
        <v>0</v>
      </c>
      <c r="AC82" s="119">
        <f t="shared" si="27"/>
        <v>0</v>
      </c>
      <c r="AD82" s="119">
        <f t="shared" si="27"/>
        <v>0</v>
      </c>
      <c r="AE82" s="119">
        <f t="shared" si="27"/>
        <v>0</v>
      </c>
      <c r="AF82" s="119">
        <f t="shared" si="27"/>
        <v>0</v>
      </c>
      <c r="AG82" s="119">
        <f t="shared" si="27"/>
        <v>0</v>
      </c>
      <c r="AH82" s="119">
        <f t="shared" si="27"/>
        <v>0</v>
      </c>
      <c r="AI82" s="119">
        <f t="shared" si="27"/>
        <v>0</v>
      </c>
      <c r="AJ82" s="119">
        <f t="shared" si="27"/>
        <v>0</v>
      </c>
      <c r="AK82" s="119">
        <f t="shared" si="27"/>
        <v>0</v>
      </c>
      <c r="AL82" s="119">
        <f t="shared" si="27"/>
        <v>0</v>
      </c>
      <c r="AM82" s="119">
        <f t="shared" si="27"/>
        <v>0</v>
      </c>
      <c r="AN82" s="119">
        <f t="shared" si="27"/>
        <v>0</v>
      </c>
      <c r="AO82" s="119">
        <f t="shared" si="27"/>
        <v>0</v>
      </c>
      <c r="AP82" s="119">
        <f t="shared" si="27"/>
        <v>0</v>
      </c>
    </row>
    <row r="83" spans="1:42" x14ac:dyDescent="0.2">
      <c r="A83" s="21" t="str">
        <f>A36</f>
        <v>State</v>
      </c>
      <c r="B83" s="97"/>
      <c r="C83" s="119">
        <f t="shared" ref="C83:AP83" si="28">IF(pbi_sta_for_ds="Yes",0,C594)</f>
        <v>0</v>
      </c>
      <c r="D83" s="119">
        <f t="shared" si="28"/>
        <v>0</v>
      </c>
      <c r="E83" s="119">
        <f t="shared" si="28"/>
        <v>0</v>
      </c>
      <c r="F83" s="119">
        <f t="shared" si="28"/>
        <v>0</v>
      </c>
      <c r="G83" s="119">
        <f t="shared" si="28"/>
        <v>0</v>
      </c>
      <c r="H83" s="119">
        <f t="shared" si="28"/>
        <v>0</v>
      </c>
      <c r="I83" s="119">
        <f t="shared" si="28"/>
        <v>0</v>
      </c>
      <c r="J83" s="119">
        <f t="shared" si="28"/>
        <v>0</v>
      </c>
      <c r="K83" s="119">
        <f t="shared" si="28"/>
        <v>0</v>
      </c>
      <c r="L83" s="119">
        <f t="shared" si="28"/>
        <v>0</v>
      </c>
      <c r="M83" s="119">
        <f t="shared" si="28"/>
        <v>0</v>
      </c>
      <c r="N83" s="119">
        <f t="shared" si="28"/>
        <v>0</v>
      </c>
      <c r="O83" s="119">
        <f t="shared" si="28"/>
        <v>0</v>
      </c>
      <c r="P83" s="119">
        <f t="shared" si="28"/>
        <v>0</v>
      </c>
      <c r="Q83" s="119">
        <f t="shared" si="28"/>
        <v>0</v>
      </c>
      <c r="R83" s="119">
        <f t="shared" si="28"/>
        <v>0</v>
      </c>
      <c r="S83" s="119">
        <f t="shared" si="28"/>
        <v>0</v>
      </c>
      <c r="T83" s="119">
        <f t="shared" si="28"/>
        <v>0</v>
      </c>
      <c r="U83" s="119">
        <f t="shared" si="28"/>
        <v>0</v>
      </c>
      <c r="V83" s="119">
        <f t="shared" si="28"/>
        <v>0</v>
      </c>
      <c r="W83" s="119">
        <f t="shared" si="28"/>
        <v>0</v>
      </c>
      <c r="X83" s="119">
        <f t="shared" si="28"/>
        <v>0</v>
      </c>
      <c r="Y83" s="119">
        <f t="shared" si="28"/>
        <v>0</v>
      </c>
      <c r="Z83" s="119">
        <f t="shared" si="28"/>
        <v>0</v>
      </c>
      <c r="AA83" s="119">
        <f t="shared" si="28"/>
        <v>0</v>
      </c>
      <c r="AB83" s="119">
        <f t="shared" si="28"/>
        <v>0</v>
      </c>
      <c r="AC83" s="119">
        <f t="shared" si="28"/>
        <v>0</v>
      </c>
      <c r="AD83" s="119">
        <f t="shared" si="28"/>
        <v>0</v>
      </c>
      <c r="AE83" s="119">
        <f t="shared" si="28"/>
        <v>0</v>
      </c>
      <c r="AF83" s="119">
        <f t="shared" si="28"/>
        <v>0</v>
      </c>
      <c r="AG83" s="119">
        <f t="shared" si="28"/>
        <v>0</v>
      </c>
      <c r="AH83" s="119">
        <f t="shared" si="28"/>
        <v>0</v>
      </c>
      <c r="AI83" s="119">
        <f t="shared" si="28"/>
        <v>0</v>
      </c>
      <c r="AJ83" s="119">
        <f t="shared" si="28"/>
        <v>0</v>
      </c>
      <c r="AK83" s="119">
        <f t="shared" si="28"/>
        <v>0</v>
      </c>
      <c r="AL83" s="119">
        <f t="shared" si="28"/>
        <v>0</v>
      </c>
      <c r="AM83" s="119">
        <f t="shared" si="28"/>
        <v>0</v>
      </c>
      <c r="AN83" s="119">
        <f t="shared" si="28"/>
        <v>0</v>
      </c>
      <c r="AO83" s="119">
        <f t="shared" si="28"/>
        <v>0</v>
      </c>
      <c r="AP83" s="119">
        <f t="shared" si="28"/>
        <v>0</v>
      </c>
    </row>
    <row r="84" spans="1:42" x14ac:dyDescent="0.2">
      <c r="A84" s="21" t="str">
        <f>A37</f>
        <v>Utility</v>
      </c>
      <c r="B84" s="97"/>
      <c r="C84" s="119">
        <f t="shared" ref="C84:AP84" si="29">IF(pbi_uti_for_ds="Yes",0,C598)</f>
        <v>0</v>
      </c>
      <c r="D84" s="119">
        <f t="shared" si="29"/>
        <v>0</v>
      </c>
      <c r="E84" s="119">
        <f t="shared" si="29"/>
        <v>0</v>
      </c>
      <c r="F84" s="119">
        <f t="shared" si="29"/>
        <v>0</v>
      </c>
      <c r="G84" s="119">
        <f t="shared" si="29"/>
        <v>0</v>
      </c>
      <c r="H84" s="119">
        <f t="shared" si="29"/>
        <v>0</v>
      </c>
      <c r="I84" s="119">
        <f t="shared" si="29"/>
        <v>0</v>
      </c>
      <c r="J84" s="119">
        <f t="shared" si="29"/>
        <v>0</v>
      </c>
      <c r="K84" s="119">
        <f t="shared" si="29"/>
        <v>0</v>
      </c>
      <c r="L84" s="119">
        <f t="shared" si="29"/>
        <v>0</v>
      </c>
      <c r="M84" s="119">
        <f t="shared" si="29"/>
        <v>0</v>
      </c>
      <c r="N84" s="119">
        <f t="shared" si="29"/>
        <v>0</v>
      </c>
      <c r="O84" s="119">
        <f t="shared" si="29"/>
        <v>0</v>
      </c>
      <c r="P84" s="119">
        <f t="shared" si="29"/>
        <v>0</v>
      </c>
      <c r="Q84" s="119">
        <f t="shared" si="29"/>
        <v>0</v>
      </c>
      <c r="R84" s="119">
        <f t="shared" si="29"/>
        <v>0</v>
      </c>
      <c r="S84" s="119">
        <f t="shared" si="29"/>
        <v>0</v>
      </c>
      <c r="T84" s="119">
        <f t="shared" si="29"/>
        <v>0</v>
      </c>
      <c r="U84" s="119">
        <f t="shared" si="29"/>
        <v>0</v>
      </c>
      <c r="V84" s="119">
        <f t="shared" si="29"/>
        <v>0</v>
      </c>
      <c r="W84" s="119">
        <f t="shared" si="29"/>
        <v>0</v>
      </c>
      <c r="X84" s="119">
        <f t="shared" si="29"/>
        <v>0</v>
      </c>
      <c r="Y84" s="119">
        <f t="shared" si="29"/>
        <v>0</v>
      </c>
      <c r="Z84" s="119">
        <f t="shared" si="29"/>
        <v>0</v>
      </c>
      <c r="AA84" s="119">
        <f t="shared" si="29"/>
        <v>0</v>
      </c>
      <c r="AB84" s="119">
        <f t="shared" si="29"/>
        <v>0</v>
      </c>
      <c r="AC84" s="119">
        <f t="shared" si="29"/>
        <v>0</v>
      </c>
      <c r="AD84" s="119">
        <f t="shared" si="29"/>
        <v>0</v>
      </c>
      <c r="AE84" s="119">
        <f t="shared" si="29"/>
        <v>0</v>
      </c>
      <c r="AF84" s="119">
        <f t="shared" si="29"/>
        <v>0</v>
      </c>
      <c r="AG84" s="119">
        <f t="shared" si="29"/>
        <v>0</v>
      </c>
      <c r="AH84" s="119">
        <f t="shared" si="29"/>
        <v>0</v>
      </c>
      <c r="AI84" s="119">
        <f t="shared" si="29"/>
        <v>0</v>
      </c>
      <c r="AJ84" s="119">
        <f t="shared" si="29"/>
        <v>0</v>
      </c>
      <c r="AK84" s="119">
        <f t="shared" si="29"/>
        <v>0</v>
      </c>
      <c r="AL84" s="119">
        <f t="shared" si="29"/>
        <v>0</v>
      </c>
      <c r="AM84" s="119">
        <f t="shared" si="29"/>
        <v>0</v>
      </c>
      <c r="AN84" s="119">
        <f t="shared" si="29"/>
        <v>0</v>
      </c>
      <c r="AO84" s="119">
        <f t="shared" si="29"/>
        <v>0</v>
      </c>
      <c r="AP84" s="119">
        <f t="shared" si="29"/>
        <v>0</v>
      </c>
    </row>
    <row r="85" spans="1:42" x14ac:dyDescent="0.2">
      <c r="A85" s="21" t="str">
        <f>A38</f>
        <v>Other</v>
      </c>
      <c r="B85" s="97"/>
      <c r="C85" s="120">
        <f t="shared" ref="C85:AP85" si="30">IF(pbi_oth_for_ds="Yes",0,C602)</f>
        <v>0</v>
      </c>
      <c r="D85" s="120">
        <f t="shared" si="30"/>
        <v>0</v>
      </c>
      <c r="E85" s="120">
        <f t="shared" si="30"/>
        <v>0</v>
      </c>
      <c r="F85" s="120">
        <f t="shared" si="30"/>
        <v>0</v>
      </c>
      <c r="G85" s="120">
        <f t="shared" si="30"/>
        <v>0</v>
      </c>
      <c r="H85" s="120">
        <f t="shared" si="30"/>
        <v>0</v>
      </c>
      <c r="I85" s="120">
        <f t="shared" si="30"/>
        <v>0</v>
      </c>
      <c r="J85" s="120">
        <f t="shared" si="30"/>
        <v>0</v>
      </c>
      <c r="K85" s="120">
        <f t="shared" si="30"/>
        <v>0</v>
      </c>
      <c r="L85" s="120">
        <f t="shared" si="30"/>
        <v>0</v>
      </c>
      <c r="M85" s="120">
        <f t="shared" si="30"/>
        <v>0</v>
      </c>
      <c r="N85" s="120">
        <f t="shared" si="30"/>
        <v>0</v>
      </c>
      <c r="O85" s="120">
        <f t="shared" si="30"/>
        <v>0</v>
      </c>
      <c r="P85" s="120">
        <f t="shared" si="30"/>
        <v>0</v>
      </c>
      <c r="Q85" s="120">
        <f t="shared" si="30"/>
        <v>0</v>
      </c>
      <c r="R85" s="120">
        <f t="shared" si="30"/>
        <v>0</v>
      </c>
      <c r="S85" s="120">
        <f t="shared" si="30"/>
        <v>0</v>
      </c>
      <c r="T85" s="120">
        <f t="shared" si="30"/>
        <v>0</v>
      </c>
      <c r="U85" s="120">
        <f t="shared" si="30"/>
        <v>0</v>
      </c>
      <c r="V85" s="120">
        <f t="shared" si="30"/>
        <v>0</v>
      </c>
      <c r="W85" s="120">
        <f t="shared" si="30"/>
        <v>0</v>
      </c>
      <c r="X85" s="120">
        <f t="shared" si="30"/>
        <v>0</v>
      </c>
      <c r="Y85" s="120">
        <f t="shared" si="30"/>
        <v>0</v>
      </c>
      <c r="Z85" s="120">
        <f t="shared" si="30"/>
        <v>0</v>
      </c>
      <c r="AA85" s="120">
        <f t="shared" si="30"/>
        <v>0</v>
      </c>
      <c r="AB85" s="120">
        <f t="shared" si="30"/>
        <v>0</v>
      </c>
      <c r="AC85" s="120">
        <f t="shared" si="30"/>
        <v>0</v>
      </c>
      <c r="AD85" s="120">
        <f t="shared" si="30"/>
        <v>0</v>
      </c>
      <c r="AE85" s="120">
        <f t="shared" si="30"/>
        <v>0</v>
      </c>
      <c r="AF85" s="120">
        <f t="shared" si="30"/>
        <v>0</v>
      </c>
      <c r="AG85" s="120">
        <f t="shared" si="30"/>
        <v>0</v>
      </c>
      <c r="AH85" s="120">
        <f t="shared" si="30"/>
        <v>0</v>
      </c>
      <c r="AI85" s="120">
        <f t="shared" si="30"/>
        <v>0</v>
      </c>
      <c r="AJ85" s="120">
        <f t="shared" si="30"/>
        <v>0</v>
      </c>
      <c r="AK85" s="120">
        <f t="shared" si="30"/>
        <v>0</v>
      </c>
      <c r="AL85" s="120">
        <f t="shared" si="30"/>
        <v>0</v>
      </c>
      <c r="AM85" s="120">
        <f t="shared" si="30"/>
        <v>0</v>
      </c>
      <c r="AN85" s="120">
        <f t="shared" si="30"/>
        <v>0</v>
      </c>
      <c r="AO85" s="120">
        <f t="shared" si="30"/>
        <v>0</v>
      </c>
      <c r="AP85" s="120">
        <f t="shared" si="30"/>
        <v>0</v>
      </c>
    </row>
    <row r="86" spans="1:42" x14ac:dyDescent="0.2">
      <c r="A86" s="21" t="s">
        <v>13</v>
      </c>
      <c r="B86" s="97"/>
      <c r="C86" s="119">
        <f>SUM(C82:C85)</f>
        <v>0</v>
      </c>
      <c r="D86" s="119">
        <f t="shared" ref="D86:AP86" si="31">SUM(D82:D85)</f>
        <v>0</v>
      </c>
      <c r="E86" s="119">
        <f t="shared" si="31"/>
        <v>0</v>
      </c>
      <c r="F86" s="119">
        <f t="shared" si="31"/>
        <v>0</v>
      </c>
      <c r="G86" s="119">
        <f t="shared" si="31"/>
        <v>0</v>
      </c>
      <c r="H86" s="119">
        <f t="shared" si="31"/>
        <v>0</v>
      </c>
      <c r="I86" s="119">
        <f t="shared" si="31"/>
        <v>0</v>
      </c>
      <c r="J86" s="119">
        <f t="shared" si="31"/>
        <v>0</v>
      </c>
      <c r="K86" s="119">
        <f t="shared" si="31"/>
        <v>0</v>
      </c>
      <c r="L86" s="119">
        <f t="shared" si="31"/>
        <v>0</v>
      </c>
      <c r="M86" s="119">
        <f t="shared" si="31"/>
        <v>0</v>
      </c>
      <c r="N86" s="119">
        <f t="shared" si="31"/>
        <v>0</v>
      </c>
      <c r="O86" s="119">
        <f t="shared" si="31"/>
        <v>0</v>
      </c>
      <c r="P86" s="119">
        <f t="shared" si="31"/>
        <v>0</v>
      </c>
      <c r="Q86" s="119">
        <f t="shared" si="31"/>
        <v>0</v>
      </c>
      <c r="R86" s="119">
        <f t="shared" si="31"/>
        <v>0</v>
      </c>
      <c r="S86" s="119">
        <f t="shared" si="31"/>
        <v>0</v>
      </c>
      <c r="T86" s="119">
        <f t="shared" si="31"/>
        <v>0</v>
      </c>
      <c r="U86" s="119">
        <f t="shared" si="31"/>
        <v>0</v>
      </c>
      <c r="V86" s="119">
        <f t="shared" si="31"/>
        <v>0</v>
      </c>
      <c r="W86" s="119">
        <f t="shared" si="31"/>
        <v>0</v>
      </c>
      <c r="X86" s="119">
        <f t="shared" si="31"/>
        <v>0</v>
      </c>
      <c r="Y86" s="119">
        <f t="shared" si="31"/>
        <v>0</v>
      </c>
      <c r="Z86" s="119">
        <f t="shared" si="31"/>
        <v>0</v>
      </c>
      <c r="AA86" s="119">
        <f t="shared" si="31"/>
        <v>0</v>
      </c>
      <c r="AB86" s="119">
        <f t="shared" si="31"/>
        <v>0</v>
      </c>
      <c r="AC86" s="119">
        <f t="shared" si="31"/>
        <v>0</v>
      </c>
      <c r="AD86" s="119">
        <f t="shared" si="31"/>
        <v>0</v>
      </c>
      <c r="AE86" s="119">
        <f t="shared" si="31"/>
        <v>0</v>
      </c>
      <c r="AF86" s="119">
        <f t="shared" si="31"/>
        <v>0</v>
      </c>
      <c r="AG86" s="119">
        <f t="shared" si="31"/>
        <v>0</v>
      </c>
      <c r="AH86" s="119">
        <f t="shared" si="31"/>
        <v>0</v>
      </c>
      <c r="AI86" s="119">
        <f t="shared" si="31"/>
        <v>0</v>
      </c>
      <c r="AJ86" s="119">
        <f t="shared" si="31"/>
        <v>0</v>
      </c>
      <c r="AK86" s="119">
        <f t="shared" si="31"/>
        <v>0</v>
      </c>
      <c r="AL86" s="119">
        <f t="shared" si="31"/>
        <v>0</v>
      </c>
      <c r="AM86" s="119">
        <f t="shared" si="31"/>
        <v>0</v>
      </c>
      <c r="AN86" s="119">
        <f t="shared" si="31"/>
        <v>0</v>
      </c>
      <c r="AO86" s="119">
        <f t="shared" si="31"/>
        <v>0</v>
      </c>
      <c r="AP86" s="119">
        <f t="shared" si="31"/>
        <v>0</v>
      </c>
    </row>
    <row r="87" spans="1:42" x14ac:dyDescent="0.2">
      <c r="A87" s="17" t="s">
        <v>250</v>
      </c>
      <c r="B87" s="119">
        <v>0</v>
      </c>
      <c r="C87" s="119">
        <f t="shared" ref="C87:AP87" si="32">C750</f>
        <v>0</v>
      </c>
      <c r="D87" s="119">
        <f t="shared" si="32"/>
        <v>0</v>
      </c>
      <c r="E87" s="119">
        <f t="shared" si="32"/>
        <v>0</v>
      </c>
      <c r="F87" s="119">
        <f t="shared" si="32"/>
        <v>0</v>
      </c>
      <c r="G87" s="119">
        <f t="shared" si="32"/>
        <v>0</v>
      </c>
      <c r="H87" s="119">
        <f t="shared" si="32"/>
        <v>0</v>
      </c>
      <c r="I87" s="119">
        <f t="shared" si="32"/>
        <v>0</v>
      </c>
      <c r="J87" s="119">
        <f t="shared" si="32"/>
        <v>0</v>
      </c>
      <c r="K87" s="119">
        <f t="shared" si="32"/>
        <v>0</v>
      </c>
      <c r="L87" s="119">
        <f t="shared" si="32"/>
        <v>0</v>
      </c>
      <c r="M87" s="119">
        <f t="shared" si="32"/>
        <v>0</v>
      </c>
      <c r="N87" s="119">
        <f t="shared" si="32"/>
        <v>0</v>
      </c>
      <c r="O87" s="119">
        <f t="shared" si="32"/>
        <v>0</v>
      </c>
      <c r="P87" s="119">
        <f t="shared" si="32"/>
        <v>0</v>
      </c>
      <c r="Q87" s="119">
        <f t="shared" si="32"/>
        <v>0</v>
      </c>
      <c r="R87" s="119">
        <f t="shared" si="32"/>
        <v>0</v>
      </c>
      <c r="S87" s="119">
        <f t="shared" si="32"/>
        <v>0</v>
      </c>
      <c r="T87" s="119">
        <f t="shared" si="32"/>
        <v>0</v>
      </c>
      <c r="U87" s="119">
        <f t="shared" si="32"/>
        <v>0</v>
      </c>
      <c r="V87" s="119">
        <f t="shared" si="32"/>
        <v>0</v>
      </c>
      <c r="W87" s="119">
        <f t="shared" si="32"/>
        <v>0</v>
      </c>
      <c r="X87" s="119">
        <f t="shared" si="32"/>
        <v>0</v>
      </c>
      <c r="Y87" s="119">
        <f t="shared" si="32"/>
        <v>0</v>
      </c>
      <c r="Z87" s="119">
        <f t="shared" si="32"/>
        <v>0</v>
      </c>
      <c r="AA87" s="119">
        <f t="shared" si="32"/>
        <v>0</v>
      </c>
      <c r="AB87" s="119">
        <f t="shared" si="32"/>
        <v>0</v>
      </c>
      <c r="AC87" s="119">
        <f t="shared" si="32"/>
        <v>0</v>
      </c>
      <c r="AD87" s="119">
        <f t="shared" si="32"/>
        <v>0</v>
      </c>
      <c r="AE87" s="119">
        <f t="shared" si="32"/>
        <v>0</v>
      </c>
      <c r="AF87" s="119">
        <f t="shared" si="32"/>
        <v>0</v>
      </c>
      <c r="AG87" s="119">
        <f t="shared" si="32"/>
        <v>0</v>
      </c>
      <c r="AH87" s="119">
        <f t="shared" si="32"/>
        <v>0</v>
      </c>
      <c r="AI87" s="119">
        <f t="shared" si="32"/>
        <v>0</v>
      </c>
      <c r="AJ87" s="119">
        <f t="shared" si="32"/>
        <v>0</v>
      </c>
      <c r="AK87" s="119">
        <f t="shared" si="32"/>
        <v>0</v>
      </c>
      <c r="AL87" s="119">
        <f t="shared" si="32"/>
        <v>0</v>
      </c>
      <c r="AM87" s="119">
        <f t="shared" si="32"/>
        <v>0</v>
      </c>
      <c r="AN87" s="119">
        <f t="shared" si="32"/>
        <v>0</v>
      </c>
      <c r="AO87" s="119">
        <f t="shared" si="32"/>
        <v>0</v>
      </c>
      <c r="AP87" s="119">
        <f t="shared" si="32"/>
        <v>0</v>
      </c>
    </row>
    <row r="88" spans="1:42" x14ac:dyDescent="0.2">
      <c r="A88" s="17" t="s">
        <v>251</v>
      </c>
      <c r="B88" s="120">
        <v>0</v>
      </c>
      <c r="C88" s="120">
        <f t="shared" ref="C88:AP88" si="33">-C609</f>
        <v>0</v>
      </c>
      <c r="D88" s="120">
        <f t="shared" si="33"/>
        <v>0</v>
      </c>
      <c r="E88" s="120">
        <f t="shared" si="33"/>
        <v>0</v>
      </c>
      <c r="F88" s="120">
        <f t="shared" si="33"/>
        <v>0</v>
      </c>
      <c r="G88" s="120">
        <f t="shared" si="33"/>
        <v>0</v>
      </c>
      <c r="H88" s="120">
        <f t="shared" si="33"/>
        <v>0</v>
      </c>
      <c r="I88" s="120">
        <f t="shared" si="33"/>
        <v>0</v>
      </c>
      <c r="J88" s="120">
        <f t="shared" si="33"/>
        <v>0</v>
      </c>
      <c r="K88" s="120">
        <f t="shared" si="33"/>
        <v>0</v>
      </c>
      <c r="L88" s="120">
        <f t="shared" si="33"/>
        <v>0</v>
      </c>
      <c r="M88" s="120">
        <f t="shared" si="33"/>
        <v>0</v>
      </c>
      <c r="N88" s="120">
        <f t="shared" si="33"/>
        <v>0</v>
      </c>
      <c r="O88" s="120">
        <f t="shared" si="33"/>
        <v>0</v>
      </c>
      <c r="P88" s="120">
        <f t="shared" si="33"/>
        <v>0</v>
      </c>
      <c r="Q88" s="120">
        <f t="shared" si="33"/>
        <v>0</v>
      </c>
      <c r="R88" s="120">
        <f t="shared" si="33"/>
        <v>0</v>
      </c>
      <c r="S88" s="120">
        <f t="shared" si="33"/>
        <v>0</v>
      </c>
      <c r="T88" s="120">
        <f t="shared" si="33"/>
        <v>0</v>
      </c>
      <c r="U88" s="120">
        <f t="shared" si="33"/>
        <v>0</v>
      </c>
      <c r="V88" s="120">
        <f t="shared" si="33"/>
        <v>0</v>
      </c>
      <c r="W88" s="120">
        <f t="shared" si="33"/>
        <v>0</v>
      </c>
      <c r="X88" s="120">
        <f t="shared" si="33"/>
        <v>0</v>
      </c>
      <c r="Y88" s="120">
        <f t="shared" si="33"/>
        <v>0</v>
      </c>
      <c r="Z88" s="120">
        <f t="shared" si="33"/>
        <v>0</v>
      </c>
      <c r="AA88" s="120">
        <f t="shared" si="33"/>
        <v>0</v>
      </c>
      <c r="AB88" s="120">
        <f t="shared" si="33"/>
        <v>0</v>
      </c>
      <c r="AC88" s="120">
        <f t="shared" si="33"/>
        <v>0</v>
      </c>
      <c r="AD88" s="120">
        <f t="shared" si="33"/>
        <v>0</v>
      </c>
      <c r="AE88" s="120">
        <f t="shared" si="33"/>
        <v>0</v>
      </c>
      <c r="AF88" s="120">
        <f t="shared" si="33"/>
        <v>0</v>
      </c>
      <c r="AG88" s="120">
        <f t="shared" si="33"/>
        <v>0</v>
      </c>
      <c r="AH88" s="120">
        <f t="shared" si="33"/>
        <v>0</v>
      </c>
      <c r="AI88" s="120">
        <f t="shared" si="33"/>
        <v>0</v>
      </c>
      <c r="AJ88" s="120">
        <f t="shared" si="33"/>
        <v>0</v>
      </c>
      <c r="AK88" s="120">
        <f t="shared" si="33"/>
        <v>0</v>
      </c>
      <c r="AL88" s="120">
        <f t="shared" si="33"/>
        <v>0</v>
      </c>
      <c r="AM88" s="120">
        <f t="shared" si="33"/>
        <v>0</v>
      </c>
      <c r="AN88" s="120">
        <f t="shared" si="33"/>
        <v>0</v>
      </c>
      <c r="AO88" s="120">
        <f t="shared" si="33"/>
        <v>0</v>
      </c>
      <c r="AP88" s="120">
        <f t="shared" si="33"/>
        <v>0</v>
      </c>
    </row>
    <row r="89" spans="1:42" x14ac:dyDescent="0.2">
      <c r="A89" s="198" t="s">
        <v>13</v>
      </c>
      <c r="B89" s="134">
        <f>B80+B86+B87+B88</f>
        <v>0</v>
      </c>
      <c r="C89" s="134">
        <f>C80+C86+C87+C88</f>
        <v>0</v>
      </c>
      <c r="D89" s="134">
        <f t="shared" ref="D89:AP89" si="34">D80+D86+D87+D88</f>
        <v>0</v>
      </c>
      <c r="E89" s="134">
        <f t="shared" si="34"/>
        <v>0</v>
      </c>
      <c r="F89" s="134">
        <f t="shared" si="34"/>
        <v>0</v>
      </c>
      <c r="G89" s="134">
        <f t="shared" si="34"/>
        <v>0</v>
      </c>
      <c r="H89" s="134">
        <f t="shared" si="34"/>
        <v>0</v>
      </c>
      <c r="I89" s="134">
        <f t="shared" si="34"/>
        <v>0</v>
      </c>
      <c r="J89" s="134">
        <f t="shared" si="34"/>
        <v>0</v>
      </c>
      <c r="K89" s="134">
        <f t="shared" si="34"/>
        <v>0</v>
      </c>
      <c r="L89" s="134">
        <f t="shared" si="34"/>
        <v>0</v>
      </c>
      <c r="M89" s="134">
        <f t="shared" si="34"/>
        <v>0</v>
      </c>
      <c r="N89" s="134">
        <f t="shared" si="34"/>
        <v>0</v>
      </c>
      <c r="O89" s="134">
        <f t="shared" si="34"/>
        <v>0</v>
      </c>
      <c r="P89" s="134">
        <f t="shared" si="34"/>
        <v>0</v>
      </c>
      <c r="Q89" s="134">
        <f t="shared" si="34"/>
        <v>0</v>
      </c>
      <c r="R89" s="134">
        <f t="shared" si="34"/>
        <v>0</v>
      </c>
      <c r="S89" s="134">
        <f t="shared" si="34"/>
        <v>0</v>
      </c>
      <c r="T89" s="134">
        <f t="shared" si="34"/>
        <v>0</v>
      </c>
      <c r="U89" s="134">
        <f t="shared" si="34"/>
        <v>0</v>
      </c>
      <c r="V89" s="134">
        <f t="shared" si="34"/>
        <v>0</v>
      </c>
      <c r="W89" s="134">
        <f t="shared" si="34"/>
        <v>0</v>
      </c>
      <c r="X89" s="134">
        <f t="shared" si="34"/>
        <v>0</v>
      </c>
      <c r="Y89" s="134">
        <f t="shared" si="34"/>
        <v>0</v>
      </c>
      <c r="Z89" s="134">
        <f t="shared" si="34"/>
        <v>0</v>
      </c>
      <c r="AA89" s="134">
        <f t="shared" si="34"/>
        <v>0</v>
      </c>
      <c r="AB89" s="134">
        <f t="shared" si="34"/>
        <v>0</v>
      </c>
      <c r="AC89" s="134">
        <f t="shared" si="34"/>
        <v>0</v>
      </c>
      <c r="AD89" s="134">
        <f t="shared" si="34"/>
        <v>0</v>
      </c>
      <c r="AE89" s="134">
        <f t="shared" si="34"/>
        <v>0</v>
      </c>
      <c r="AF89" s="134">
        <f t="shared" si="34"/>
        <v>0</v>
      </c>
      <c r="AG89" s="134">
        <f t="shared" si="34"/>
        <v>0</v>
      </c>
      <c r="AH89" s="134">
        <f t="shared" si="34"/>
        <v>0</v>
      </c>
      <c r="AI89" s="134">
        <f t="shared" si="34"/>
        <v>0</v>
      </c>
      <c r="AJ89" s="134">
        <f t="shared" si="34"/>
        <v>0</v>
      </c>
      <c r="AK89" s="134">
        <f t="shared" si="34"/>
        <v>0</v>
      </c>
      <c r="AL89" s="134">
        <f t="shared" si="34"/>
        <v>0</v>
      </c>
      <c r="AM89" s="134">
        <f t="shared" si="34"/>
        <v>0</v>
      </c>
      <c r="AN89" s="134">
        <f t="shared" si="34"/>
        <v>0</v>
      </c>
      <c r="AO89" s="134">
        <f t="shared" si="34"/>
        <v>0</v>
      </c>
      <c r="AP89" s="134">
        <f t="shared" si="34"/>
        <v>0</v>
      </c>
    </row>
    <row r="90" spans="1:42" x14ac:dyDescent="0.2">
      <c r="A90" s="17"/>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row>
    <row r="91" spans="1:42" x14ac:dyDescent="0.2">
      <c r="A91" s="19" t="s">
        <v>64</v>
      </c>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row>
    <row r="92" spans="1:42" x14ac:dyDescent="0.2">
      <c r="A92" s="4" t="s">
        <v>182</v>
      </c>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row>
    <row r="93" spans="1:42" x14ac:dyDescent="0.2">
      <c r="A93" s="21" t="s">
        <v>183</v>
      </c>
      <c r="B93" s="119">
        <f>-total_installed_cost</f>
        <v>0</v>
      </c>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row>
    <row r="94" spans="1:42" x14ac:dyDescent="0.2">
      <c r="A94" s="21" t="s">
        <v>241</v>
      </c>
      <c r="B94" s="119">
        <f>-(cost_debt_closing)</f>
        <v>0</v>
      </c>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row>
    <row r="95" spans="1:42" x14ac:dyDescent="0.2">
      <c r="A95" s="21" t="s">
        <v>242</v>
      </c>
      <c r="B95" s="119">
        <f>-CostDebtUpfront</f>
        <v>0</v>
      </c>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row>
    <row r="96" spans="1:42" x14ac:dyDescent="0.2">
      <c r="A96" s="21" t="s">
        <v>243</v>
      </c>
      <c r="B96" s="119">
        <f>-cost_other_financing</f>
        <v>0</v>
      </c>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row>
    <row r="97" spans="1:42" x14ac:dyDescent="0.2">
      <c r="A97" s="21" t="s">
        <v>184</v>
      </c>
      <c r="B97" s="119">
        <f>-Inputs!I85</f>
        <v>0</v>
      </c>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row>
    <row r="98" spans="1:42" x14ac:dyDescent="0.2">
      <c r="A98" s="21" t="s">
        <v>248</v>
      </c>
      <c r="B98" s="119">
        <f>C571+C577</f>
        <v>0</v>
      </c>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row>
    <row r="99" spans="1:42" x14ac:dyDescent="0.2">
      <c r="A99" s="21" t="s">
        <v>249</v>
      </c>
      <c r="B99" s="120">
        <f>C584</f>
        <v>0</v>
      </c>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row>
    <row r="100" spans="1:42" x14ac:dyDescent="0.2">
      <c r="A100" s="21" t="s">
        <v>192</v>
      </c>
      <c r="B100" s="119">
        <f>SUM(B93:B99)</f>
        <v>0</v>
      </c>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row>
    <row r="101" spans="1:42" x14ac:dyDescent="0.2">
      <c r="A101" s="17" t="s">
        <v>185</v>
      </c>
      <c r="B101" s="119"/>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row>
    <row r="102" spans="1:42" x14ac:dyDescent="0.2">
      <c r="A102" s="21" t="s">
        <v>275</v>
      </c>
      <c r="B102" s="119">
        <f>-B636-B637</f>
        <v>0</v>
      </c>
      <c r="C102" s="119">
        <f t="shared" ref="C102:AP102" si="35">-C636-C637</f>
        <v>0</v>
      </c>
      <c r="D102" s="119">
        <f t="shared" si="35"/>
        <v>0</v>
      </c>
      <c r="E102" s="119">
        <f t="shared" si="35"/>
        <v>0</v>
      </c>
      <c r="F102" s="119">
        <f t="shared" si="35"/>
        <v>0</v>
      </c>
      <c r="G102" s="119">
        <f t="shared" si="35"/>
        <v>0</v>
      </c>
      <c r="H102" s="119">
        <f t="shared" si="35"/>
        <v>0</v>
      </c>
      <c r="I102" s="119">
        <f t="shared" si="35"/>
        <v>0</v>
      </c>
      <c r="J102" s="119">
        <f t="shared" si="35"/>
        <v>0</v>
      </c>
      <c r="K102" s="119">
        <f t="shared" si="35"/>
        <v>0</v>
      </c>
      <c r="L102" s="119">
        <f t="shared" si="35"/>
        <v>0</v>
      </c>
      <c r="M102" s="119">
        <f t="shared" si="35"/>
        <v>0</v>
      </c>
      <c r="N102" s="119">
        <f t="shared" si="35"/>
        <v>0</v>
      </c>
      <c r="O102" s="119">
        <f t="shared" si="35"/>
        <v>0</v>
      </c>
      <c r="P102" s="119">
        <f t="shared" si="35"/>
        <v>0</v>
      </c>
      <c r="Q102" s="119">
        <f t="shared" si="35"/>
        <v>0</v>
      </c>
      <c r="R102" s="119">
        <f t="shared" si="35"/>
        <v>0</v>
      </c>
      <c r="S102" s="119">
        <f t="shared" si="35"/>
        <v>0</v>
      </c>
      <c r="T102" s="119">
        <f t="shared" si="35"/>
        <v>0</v>
      </c>
      <c r="U102" s="119">
        <f t="shared" si="35"/>
        <v>0</v>
      </c>
      <c r="V102" s="119">
        <f t="shared" si="35"/>
        <v>0</v>
      </c>
      <c r="W102" s="119">
        <f t="shared" si="35"/>
        <v>0</v>
      </c>
      <c r="X102" s="119">
        <f t="shared" si="35"/>
        <v>0</v>
      </c>
      <c r="Y102" s="119">
        <f t="shared" si="35"/>
        <v>0</v>
      </c>
      <c r="Z102" s="119">
        <f t="shared" si="35"/>
        <v>0</v>
      </c>
      <c r="AA102" s="119">
        <f t="shared" si="35"/>
        <v>0</v>
      </c>
      <c r="AB102" s="119">
        <f t="shared" si="35"/>
        <v>0</v>
      </c>
      <c r="AC102" s="119">
        <f t="shared" si="35"/>
        <v>0</v>
      </c>
      <c r="AD102" s="119">
        <f t="shared" si="35"/>
        <v>0</v>
      </c>
      <c r="AE102" s="119">
        <f t="shared" si="35"/>
        <v>0</v>
      </c>
      <c r="AF102" s="119">
        <f t="shared" si="35"/>
        <v>0</v>
      </c>
      <c r="AG102" s="119">
        <f t="shared" si="35"/>
        <v>0</v>
      </c>
      <c r="AH102" s="119">
        <f t="shared" si="35"/>
        <v>0</v>
      </c>
      <c r="AI102" s="119">
        <f t="shared" si="35"/>
        <v>0</v>
      </c>
      <c r="AJ102" s="119">
        <f t="shared" si="35"/>
        <v>0</v>
      </c>
      <c r="AK102" s="119">
        <f t="shared" si="35"/>
        <v>0</v>
      </c>
      <c r="AL102" s="119">
        <f t="shared" si="35"/>
        <v>0</v>
      </c>
      <c r="AM102" s="119">
        <f t="shared" si="35"/>
        <v>0</v>
      </c>
      <c r="AN102" s="119">
        <f t="shared" si="35"/>
        <v>0</v>
      </c>
      <c r="AO102" s="119">
        <f t="shared" si="35"/>
        <v>0</v>
      </c>
      <c r="AP102" s="119">
        <f t="shared" si="35"/>
        <v>0</v>
      </c>
    </row>
    <row r="103" spans="1:42" x14ac:dyDescent="0.2">
      <c r="A103" s="21" t="s">
        <v>274</v>
      </c>
      <c r="B103" s="119">
        <f t="shared" ref="B103:AP103" si="36">-B642-B643</f>
        <v>0</v>
      </c>
      <c r="C103" s="119">
        <f t="shared" si="36"/>
        <v>0</v>
      </c>
      <c r="D103" s="119">
        <f t="shared" si="36"/>
        <v>0</v>
      </c>
      <c r="E103" s="119">
        <f t="shared" si="36"/>
        <v>0</v>
      </c>
      <c r="F103" s="119">
        <f t="shared" si="36"/>
        <v>0</v>
      </c>
      <c r="G103" s="119">
        <f t="shared" si="36"/>
        <v>0</v>
      </c>
      <c r="H103" s="119">
        <f t="shared" si="36"/>
        <v>0</v>
      </c>
      <c r="I103" s="119">
        <f t="shared" si="36"/>
        <v>0</v>
      </c>
      <c r="J103" s="119">
        <f t="shared" si="36"/>
        <v>0</v>
      </c>
      <c r="K103" s="119">
        <f t="shared" si="36"/>
        <v>0</v>
      </c>
      <c r="L103" s="119">
        <f t="shared" si="36"/>
        <v>0</v>
      </c>
      <c r="M103" s="119">
        <f t="shared" si="36"/>
        <v>0</v>
      </c>
      <c r="N103" s="119">
        <f t="shared" si="36"/>
        <v>0</v>
      </c>
      <c r="O103" s="119">
        <f t="shared" si="36"/>
        <v>0</v>
      </c>
      <c r="P103" s="119">
        <f t="shared" si="36"/>
        <v>0</v>
      </c>
      <c r="Q103" s="119">
        <f t="shared" si="36"/>
        <v>0</v>
      </c>
      <c r="R103" s="119">
        <f t="shared" si="36"/>
        <v>0</v>
      </c>
      <c r="S103" s="119">
        <f t="shared" si="36"/>
        <v>0</v>
      </c>
      <c r="T103" s="119">
        <f t="shared" si="36"/>
        <v>0</v>
      </c>
      <c r="U103" s="119">
        <f t="shared" si="36"/>
        <v>0</v>
      </c>
      <c r="V103" s="119">
        <f t="shared" si="36"/>
        <v>0</v>
      </c>
      <c r="W103" s="119">
        <f t="shared" si="36"/>
        <v>0</v>
      </c>
      <c r="X103" s="119">
        <f t="shared" si="36"/>
        <v>0</v>
      </c>
      <c r="Y103" s="119">
        <f t="shared" si="36"/>
        <v>0</v>
      </c>
      <c r="Z103" s="119">
        <f t="shared" si="36"/>
        <v>0</v>
      </c>
      <c r="AA103" s="119">
        <f t="shared" si="36"/>
        <v>0</v>
      </c>
      <c r="AB103" s="119">
        <f t="shared" si="36"/>
        <v>0</v>
      </c>
      <c r="AC103" s="119">
        <f t="shared" si="36"/>
        <v>0</v>
      </c>
      <c r="AD103" s="119">
        <f t="shared" si="36"/>
        <v>0</v>
      </c>
      <c r="AE103" s="119">
        <f t="shared" si="36"/>
        <v>0</v>
      </c>
      <c r="AF103" s="119">
        <f t="shared" si="36"/>
        <v>0</v>
      </c>
      <c r="AG103" s="119">
        <f t="shared" si="36"/>
        <v>0</v>
      </c>
      <c r="AH103" s="119">
        <f t="shared" si="36"/>
        <v>0</v>
      </c>
      <c r="AI103" s="119">
        <f t="shared" si="36"/>
        <v>0</v>
      </c>
      <c r="AJ103" s="119">
        <f t="shared" si="36"/>
        <v>0</v>
      </c>
      <c r="AK103" s="119">
        <f t="shared" si="36"/>
        <v>0</v>
      </c>
      <c r="AL103" s="119">
        <f t="shared" si="36"/>
        <v>0</v>
      </c>
      <c r="AM103" s="119">
        <f t="shared" si="36"/>
        <v>0</v>
      </c>
      <c r="AN103" s="119">
        <f t="shared" si="36"/>
        <v>0</v>
      </c>
      <c r="AO103" s="119">
        <f t="shared" si="36"/>
        <v>0</v>
      </c>
      <c r="AP103" s="119">
        <f t="shared" si="36"/>
        <v>0</v>
      </c>
    </row>
    <row r="104" spans="1:42" x14ac:dyDescent="0.2">
      <c r="A104" s="21" t="s">
        <v>286</v>
      </c>
      <c r="B104" s="119">
        <f>-B648-B649</f>
        <v>0</v>
      </c>
      <c r="C104" s="119">
        <f t="shared" ref="C104:AP104" si="37">-C648-C649</f>
        <v>0</v>
      </c>
      <c r="D104" s="119">
        <f t="shared" si="37"/>
        <v>0</v>
      </c>
      <c r="E104" s="119">
        <f t="shared" si="37"/>
        <v>0</v>
      </c>
      <c r="F104" s="119">
        <f t="shared" si="37"/>
        <v>0</v>
      </c>
      <c r="G104" s="119">
        <f t="shared" si="37"/>
        <v>0</v>
      </c>
      <c r="H104" s="119">
        <f t="shared" si="37"/>
        <v>0</v>
      </c>
      <c r="I104" s="119">
        <f t="shared" si="37"/>
        <v>0</v>
      </c>
      <c r="J104" s="119">
        <f t="shared" si="37"/>
        <v>0</v>
      </c>
      <c r="K104" s="119">
        <f t="shared" si="37"/>
        <v>0</v>
      </c>
      <c r="L104" s="119">
        <f t="shared" si="37"/>
        <v>0</v>
      </c>
      <c r="M104" s="119">
        <f t="shared" si="37"/>
        <v>0</v>
      </c>
      <c r="N104" s="119">
        <f t="shared" si="37"/>
        <v>0</v>
      </c>
      <c r="O104" s="119">
        <f t="shared" si="37"/>
        <v>0</v>
      </c>
      <c r="P104" s="119">
        <f t="shared" si="37"/>
        <v>0</v>
      </c>
      <c r="Q104" s="119">
        <f t="shared" si="37"/>
        <v>0</v>
      </c>
      <c r="R104" s="119">
        <f t="shared" si="37"/>
        <v>0</v>
      </c>
      <c r="S104" s="119">
        <f t="shared" si="37"/>
        <v>0</v>
      </c>
      <c r="T104" s="119">
        <f t="shared" si="37"/>
        <v>0</v>
      </c>
      <c r="U104" s="119">
        <f t="shared" si="37"/>
        <v>0</v>
      </c>
      <c r="V104" s="119">
        <f t="shared" si="37"/>
        <v>0</v>
      </c>
      <c r="W104" s="119">
        <f t="shared" si="37"/>
        <v>0</v>
      </c>
      <c r="X104" s="119">
        <f t="shared" si="37"/>
        <v>0</v>
      </c>
      <c r="Y104" s="119">
        <f t="shared" si="37"/>
        <v>0</v>
      </c>
      <c r="Z104" s="119">
        <f t="shared" si="37"/>
        <v>0</v>
      </c>
      <c r="AA104" s="119">
        <f t="shared" si="37"/>
        <v>0</v>
      </c>
      <c r="AB104" s="119">
        <f t="shared" si="37"/>
        <v>0</v>
      </c>
      <c r="AC104" s="119">
        <f t="shared" si="37"/>
        <v>0</v>
      </c>
      <c r="AD104" s="119">
        <f t="shared" si="37"/>
        <v>0</v>
      </c>
      <c r="AE104" s="119">
        <f t="shared" si="37"/>
        <v>0</v>
      </c>
      <c r="AF104" s="119">
        <f t="shared" si="37"/>
        <v>0</v>
      </c>
      <c r="AG104" s="119">
        <f t="shared" si="37"/>
        <v>0</v>
      </c>
      <c r="AH104" s="119">
        <f t="shared" si="37"/>
        <v>0</v>
      </c>
      <c r="AI104" s="119">
        <f t="shared" si="37"/>
        <v>0</v>
      </c>
      <c r="AJ104" s="119">
        <f t="shared" si="37"/>
        <v>0</v>
      </c>
      <c r="AK104" s="119">
        <f t="shared" si="37"/>
        <v>0</v>
      </c>
      <c r="AL104" s="119">
        <f t="shared" si="37"/>
        <v>0</v>
      </c>
      <c r="AM104" s="119">
        <f t="shared" si="37"/>
        <v>0</v>
      </c>
      <c r="AN104" s="119">
        <f t="shared" si="37"/>
        <v>0</v>
      </c>
      <c r="AO104" s="119">
        <f t="shared" si="37"/>
        <v>0</v>
      </c>
      <c r="AP104" s="119">
        <f t="shared" si="37"/>
        <v>0</v>
      </c>
    </row>
    <row r="105" spans="1:42" x14ac:dyDescent="0.2">
      <c r="A105" s="21" t="s">
        <v>287</v>
      </c>
      <c r="B105" s="119">
        <f>-B654-B655</f>
        <v>0</v>
      </c>
      <c r="C105" s="119">
        <f t="shared" ref="C105:AP105" si="38">-C654-C655</f>
        <v>0</v>
      </c>
      <c r="D105" s="119">
        <f t="shared" si="38"/>
        <v>0</v>
      </c>
      <c r="E105" s="119">
        <f t="shared" si="38"/>
        <v>0</v>
      </c>
      <c r="F105" s="119">
        <f t="shared" si="38"/>
        <v>0</v>
      </c>
      <c r="G105" s="119">
        <f t="shared" si="38"/>
        <v>0</v>
      </c>
      <c r="H105" s="119">
        <f t="shared" si="38"/>
        <v>0</v>
      </c>
      <c r="I105" s="119">
        <f t="shared" si="38"/>
        <v>0</v>
      </c>
      <c r="J105" s="119">
        <f t="shared" si="38"/>
        <v>0</v>
      </c>
      <c r="K105" s="119">
        <f t="shared" si="38"/>
        <v>0</v>
      </c>
      <c r="L105" s="119">
        <f t="shared" si="38"/>
        <v>0</v>
      </c>
      <c r="M105" s="119">
        <f t="shared" si="38"/>
        <v>0</v>
      </c>
      <c r="N105" s="119">
        <f t="shared" si="38"/>
        <v>0</v>
      </c>
      <c r="O105" s="119">
        <f t="shared" si="38"/>
        <v>0</v>
      </c>
      <c r="P105" s="119">
        <f t="shared" si="38"/>
        <v>0</v>
      </c>
      <c r="Q105" s="119">
        <f t="shared" si="38"/>
        <v>0</v>
      </c>
      <c r="R105" s="119">
        <f t="shared" si="38"/>
        <v>0</v>
      </c>
      <c r="S105" s="119">
        <f t="shared" si="38"/>
        <v>0</v>
      </c>
      <c r="T105" s="119">
        <f t="shared" si="38"/>
        <v>0</v>
      </c>
      <c r="U105" s="119">
        <f t="shared" si="38"/>
        <v>0</v>
      </c>
      <c r="V105" s="119">
        <f t="shared" si="38"/>
        <v>0</v>
      </c>
      <c r="W105" s="119">
        <f t="shared" si="38"/>
        <v>0</v>
      </c>
      <c r="X105" s="119">
        <f t="shared" si="38"/>
        <v>0</v>
      </c>
      <c r="Y105" s="119">
        <f t="shared" si="38"/>
        <v>0</v>
      </c>
      <c r="Z105" s="119">
        <f t="shared" si="38"/>
        <v>0</v>
      </c>
      <c r="AA105" s="119">
        <f t="shared" si="38"/>
        <v>0</v>
      </c>
      <c r="AB105" s="119">
        <f t="shared" si="38"/>
        <v>0</v>
      </c>
      <c r="AC105" s="119">
        <f t="shared" si="38"/>
        <v>0</v>
      </c>
      <c r="AD105" s="119">
        <f t="shared" si="38"/>
        <v>0</v>
      </c>
      <c r="AE105" s="119">
        <f t="shared" si="38"/>
        <v>0</v>
      </c>
      <c r="AF105" s="119">
        <f t="shared" si="38"/>
        <v>0</v>
      </c>
      <c r="AG105" s="119">
        <f t="shared" si="38"/>
        <v>0</v>
      </c>
      <c r="AH105" s="119">
        <f t="shared" si="38"/>
        <v>0</v>
      </c>
      <c r="AI105" s="119">
        <f t="shared" si="38"/>
        <v>0</v>
      </c>
      <c r="AJ105" s="119">
        <f t="shared" si="38"/>
        <v>0</v>
      </c>
      <c r="AK105" s="119">
        <f t="shared" si="38"/>
        <v>0</v>
      </c>
      <c r="AL105" s="119">
        <f t="shared" si="38"/>
        <v>0</v>
      </c>
      <c r="AM105" s="119">
        <f t="shared" si="38"/>
        <v>0</v>
      </c>
      <c r="AN105" s="119">
        <f t="shared" si="38"/>
        <v>0</v>
      </c>
      <c r="AO105" s="119">
        <f t="shared" si="38"/>
        <v>0</v>
      </c>
      <c r="AP105" s="119">
        <f t="shared" si="38"/>
        <v>0</v>
      </c>
    </row>
    <row r="106" spans="1:42" x14ac:dyDescent="0.2">
      <c r="A106" s="21" t="s">
        <v>288</v>
      </c>
      <c r="B106" s="119">
        <f>-B686-B687</f>
        <v>0</v>
      </c>
      <c r="C106" s="119">
        <f t="shared" ref="C106:AP106" si="39">-C686-C687</f>
        <v>0</v>
      </c>
      <c r="D106" s="119">
        <f t="shared" si="39"/>
        <v>0</v>
      </c>
      <c r="E106" s="119">
        <f t="shared" si="39"/>
        <v>0</v>
      </c>
      <c r="F106" s="119">
        <f t="shared" si="39"/>
        <v>0</v>
      </c>
      <c r="G106" s="119">
        <f t="shared" si="39"/>
        <v>0</v>
      </c>
      <c r="H106" s="119">
        <f t="shared" si="39"/>
        <v>0</v>
      </c>
      <c r="I106" s="119">
        <f t="shared" si="39"/>
        <v>0</v>
      </c>
      <c r="J106" s="119">
        <f t="shared" si="39"/>
        <v>0</v>
      </c>
      <c r="K106" s="119">
        <f t="shared" si="39"/>
        <v>0</v>
      </c>
      <c r="L106" s="119">
        <f t="shared" si="39"/>
        <v>0</v>
      </c>
      <c r="M106" s="119">
        <f t="shared" si="39"/>
        <v>0</v>
      </c>
      <c r="N106" s="119">
        <f t="shared" si="39"/>
        <v>0</v>
      </c>
      <c r="O106" s="119">
        <f t="shared" si="39"/>
        <v>0</v>
      </c>
      <c r="P106" s="119">
        <f t="shared" si="39"/>
        <v>0</v>
      </c>
      <c r="Q106" s="119">
        <f t="shared" si="39"/>
        <v>0</v>
      </c>
      <c r="R106" s="119">
        <f t="shared" si="39"/>
        <v>0</v>
      </c>
      <c r="S106" s="119">
        <f t="shared" si="39"/>
        <v>0</v>
      </c>
      <c r="T106" s="119">
        <f t="shared" si="39"/>
        <v>0</v>
      </c>
      <c r="U106" s="119">
        <f t="shared" si="39"/>
        <v>0</v>
      </c>
      <c r="V106" s="119">
        <f t="shared" si="39"/>
        <v>0</v>
      </c>
      <c r="W106" s="119">
        <f t="shared" si="39"/>
        <v>0</v>
      </c>
      <c r="X106" s="119">
        <f t="shared" si="39"/>
        <v>0</v>
      </c>
      <c r="Y106" s="119">
        <f t="shared" si="39"/>
        <v>0</v>
      </c>
      <c r="Z106" s="119">
        <f t="shared" si="39"/>
        <v>0</v>
      </c>
      <c r="AA106" s="119">
        <f t="shared" si="39"/>
        <v>0</v>
      </c>
      <c r="AB106" s="119">
        <f t="shared" si="39"/>
        <v>0</v>
      </c>
      <c r="AC106" s="119">
        <f t="shared" si="39"/>
        <v>0</v>
      </c>
      <c r="AD106" s="119">
        <f t="shared" si="39"/>
        <v>0</v>
      </c>
      <c r="AE106" s="119">
        <f t="shared" si="39"/>
        <v>0</v>
      </c>
      <c r="AF106" s="119">
        <f t="shared" si="39"/>
        <v>0</v>
      </c>
      <c r="AG106" s="119">
        <f t="shared" si="39"/>
        <v>0</v>
      </c>
      <c r="AH106" s="119">
        <f t="shared" si="39"/>
        <v>0</v>
      </c>
      <c r="AI106" s="119">
        <f t="shared" si="39"/>
        <v>0</v>
      </c>
      <c r="AJ106" s="119">
        <f t="shared" si="39"/>
        <v>0</v>
      </c>
      <c r="AK106" s="119">
        <f t="shared" si="39"/>
        <v>0</v>
      </c>
      <c r="AL106" s="119">
        <f t="shared" si="39"/>
        <v>0</v>
      </c>
      <c r="AM106" s="119">
        <f t="shared" si="39"/>
        <v>0</v>
      </c>
      <c r="AN106" s="119">
        <f t="shared" si="39"/>
        <v>0</v>
      </c>
      <c r="AO106" s="119">
        <f t="shared" si="39"/>
        <v>0</v>
      </c>
      <c r="AP106" s="119">
        <f t="shared" si="39"/>
        <v>0</v>
      </c>
    </row>
    <row r="107" spans="1:42" x14ac:dyDescent="0.2">
      <c r="A107" s="21" t="s">
        <v>289</v>
      </c>
      <c r="B107" s="120">
        <f>-B718-B719</f>
        <v>0</v>
      </c>
      <c r="C107" s="120">
        <f t="shared" ref="C107:AP107" si="40">-C718-C719</f>
        <v>0</v>
      </c>
      <c r="D107" s="120">
        <f t="shared" si="40"/>
        <v>0</v>
      </c>
      <c r="E107" s="120">
        <f t="shared" si="40"/>
        <v>0</v>
      </c>
      <c r="F107" s="120">
        <f t="shared" si="40"/>
        <v>0</v>
      </c>
      <c r="G107" s="120">
        <f t="shared" si="40"/>
        <v>0</v>
      </c>
      <c r="H107" s="120">
        <f t="shared" si="40"/>
        <v>0</v>
      </c>
      <c r="I107" s="120">
        <f t="shared" si="40"/>
        <v>0</v>
      </c>
      <c r="J107" s="120">
        <f t="shared" si="40"/>
        <v>0</v>
      </c>
      <c r="K107" s="120">
        <f t="shared" si="40"/>
        <v>0</v>
      </c>
      <c r="L107" s="120">
        <f t="shared" si="40"/>
        <v>0</v>
      </c>
      <c r="M107" s="120">
        <f t="shared" si="40"/>
        <v>0</v>
      </c>
      <c r="N107" s="120">
        <f t="shared" si="40"/>
        <v>0</v>
      </c>
      <c r="O107" s="120">
        <f t="shared" si="40"/>
        <v>0</v>
      </c>
      <c r="P107" s="120">
        <f t="shared" si="40"/>
        <v>0</v>
      </c>
      <c r="Q107" s="120">
        <f t="shared" si="40"/>
        <v>0</v>
      </c>
      <c r="R107" s="120">
        <f t="shared" si="40"/>
        <v>0</v>
      </c>
      <c r="S107" s="120">
        <f t="shared" si="40"/>
        <v>0</v>
      </c>
      <c r="T107" s="120">
        <f t="shared" si="40"/>
        <v>0</v>
      </c>
      <c r="U107" s="120">
        <f t="shared" si="40"/>
        <v>0</v>
      </c>
      <c r="V107" s="120">
        <f t="shared" si="40"/>
        <v>0</v>
      </c>
      <c r="W107" s="120">
        <f t="shared" si="40"/>
        <v>0</v>
      </c>
      <c r="X107" s="120">
        <f t="shared" si="40"/>
        <v>0</v>
      </c>
      <c r="Y107" s="120">
        <f t="shared" si="40"/>
        <v>0</v>
      </c>
      <c r="Z107" s="120">
        <f t="shared" si="40"/>
        <v>0</v>
      </c>
      <c r="AA107" s="120">
        <f t="shared" si="40"/>
        <v>0</v>
      </c>
      <c r="AB107" s="120">
        <f t="shared" si="40"/>
        <v>0</v>
      </c>
      <c r="AC107" s="120">
        <f t="shared" si="40"/>
        <v>0</v>
      </c>
      <c r="AD107" s="120">
        <f t="shared" si="40"/>
        <v>0</v>
      </c>
      <c r="AE107" s="120">
        <f t="shared" si="40"/>
        <v>0</v>
      </c>
      <c r="AF107" s="120">
        <f t="shared" si="40"/>
        <v>0</v>
      </c>
      <c r="AG107" s="120">
        <f t="shared" si="40"/>
        <v>0</v>
      </c>
      <c r="AH107" s="120">
        <f t="shared" si="40"/>
        <v>0</v>
      </c>
      <c r="AI107" s="120">
        <f t="shared" si="40"/>
        <v>0</v>
      </c>
      <c r="AJ107" s="120">
        <f t="shared" si="40"/>
        <v>0</v>
      </c>
      <c r="AK107" s="120">
        <f t="shared" si="40"/>
        <v>0</v>
      </c>
      <c r="AL107" s="120">
        <f t="shared" si="40"/>
        <v>0</v>
      </c>
      <c r="AM107" s="120">
        <f t="shared" si="40"/>
        <v>0</v>
      </c>
      <c r="AN107" s="120">
        <f t="shared" si="40"/>
        <v>0</v>
      </c>
      <c r="AO107" s="120">
        <f t="shared" si="40"/>
        <v>0</v>
      </c>
      <c r="AP107" s="120">
        <f t="shared" si="40"/>
        <v>0</v>
      </c>
    </row>
    <row r="108" spans="1:42" x14ac:dyDescent="0.2">
      <c r="A108" s="21" t="s">
        <v>13</v>
      </c>
      <c r="B108" s="119">
        <f>SUM(B102:B107)</f>
        <v>0</v>
      </c>
      <c r="C108" s="119">
        <f t="shared" ref="C108:AP108" si="41">SUM(C102:C107)</f>
        <v>0</v>
      </c>
      <c r="D108" s="119">
        <f t="shared" si="41"/>
        <v>0</v>
      </c>
      <c r="E108" s="119">
        <f t="shared" si="41"/>
        <v>0</v>
      </c>
      <c r="F108" s="119">
        <f t="shared" si="41"/>
        <v>0</v>
      </c>
      <c r="G108" s="119">
        <f t="shared" si="41"/>
        <v>0</v>
      </c>
      <c r="H108" s="119">
        <f t="shared" si="41"/>
        <v>0</v>
      </c>
      <c r="I108" s="119">
        <f t="shared" si="41"/>
        <v>0</v>
      </c>
      <c r="J108" s="119">
        <f t="shared" si="41"/>
        <v>0</v>
      </c>
      <c r="K108" s="119">
        <f t="shared" si="41"/>
        <v>0</v>
      </c>
      <c r="L108" s="119">
        <f t="shared" si="41"/>
        <v>0</v>
      </c>
      <c r="M108" s="119">
        <f t="shared" si="41"/>
        <v>0</v>
      </c>
      <c r="N108" s="119">
        <f t="shared" si="41"/>
        <v>0</v>
      </c>
      <c r="O108" s="119">
        <f t="shared" si="41"/>
        <v>0</v>
      </c>
      <c r="P108" s="119">
        <f t="shared" si="41"/>
        <v>0</v>
      </c>
      <c r="Q108" s="119">
        <f t="shared" si="41"/>
        <v>0</v>
      </c>
      <c r="R108" s="119">
        <f t="shared" si="41"/>
        <v>0</v>
      </c>
      <c r="S108" s="119">
        <f t="shared" si="41"/>
        <v>0</v>
      </c>
      <c r="T108" s="119">
        <f t="shared" si="41"/>
        <v>0</v>
      </c>
      <c r="U108" s="119">
        <f t="shared" si="41"/>
        <v>0</v>
      </c>
      <c r="V108" s="119">
        <f t="shared" si="41"/>
        <v>0</v>
      </c>
      <c r="W108" s="119">
        <f t="shared" si="41"/>
        <v>0</v>
      </c>
      <c r="X108" s="119">
        <f t="shared" si="41"/>
        <v>0</v>
      </c>
      <c r="Y108" s="119">
        <f t="shared" si="41"/>
        <v>0</v>
      </c>
      <c r="Z108" s="119">
        <f t="shared" si="41"/>
        <v>0</v>
      </c>
      <c r="AA108" s="119">
        <f t="shared" si="41"/>
        <v>0</v>
      </c>
      <c r="AB108" s="119">
        <f t="shared" si="41"/>
        <v>0</v>
      </c>
      <c r="AC108" s="119">
        <f t="shared" si="41"/>
        <v>0</v>
      </c>
      <c r="AD108" s="119">
        <f t="shared" si="41"/>
        <v>0</v>
      </c>
      <c r="AE108" s="119">
        <f t="shared" si="41"/>
        <v>0</v>
      </c>
      <c r="AF108" s="119">
        <f t="shared" si="41"/>
        <v>0</v>
      </c>
      <c r="AG108" s="119">
        <f t="shared" si="41"/>
        <v>0</v>
      </c>
      <c r="AH108" s="119">
        <f t="shared" si="41"/>
        <v>0</v>
      </c>
      <c r="AI108" s="119">
        <f t="shared" si="41"/>
        <v>0</v>
      </c>
      <c r="AJ108" s="119">
        <f t="shared" si="41"/>
        <v>0</v>
      </c>
      <c r="AK108" s="119">
        <f t="shared" si="41"/>
        <v>0</v>
      </c>
      <c r="AL108" s="119">
        <f t="shared" si="41"/>
        <v>0</v>
      </c>
      <c r="AM108" s="119">
        <f t="shared" si="41"/>
        <v>0</v>
      </c>
      <c r="AN108" s="119">
        <f t="shared" si="41"/>
        <v>0</v>
      </c>
      <c r="AO108" s="119">
        <f t="shared" si="41"/>
        <v>0</v>
      </c>
      <c r="AP108" s="119">
        <f t="shared" si="41"/>
        <v>0</v>
      </c>
    </row>
    <row r="109" spans="1:42" x14ac:dyDescent="0.2">
      <c r="A109" s="17" t="s">
        <v>232</v>
      </c>
    </row>
    <row r="110" spans="1:42" x14ac:dyDescent="0.2">
      <c r="A110" s="21" t="s">
        <v>290</v>
      </c>
      <c r="B110" s="119">
        <f>B655</f>
        <v>0</v>
      </c>
      <c r="C110" s="119">
        <f t="shared" ref="C110:AP110" si="42">C655</f>
        <v>0</v>
      </c>
      <c r="D110" s="119">
        <f t="shared" si="42"/>
        <v>0</v>
      </c>
      <c r="E110" s="119">
        <f t="shared" si="42"/>
        <v>0</v>
      </c>
      <c r="F110" s="119">
        <f t="shared" si="42"/>
        <v>0</v>
      </c>
      <c r="G110" s="119">
        <f t="shared" si="42"/>
        <v>0</v>
      </c>
      <c r="H110" s="119">
        <f t="shared" si="42"/>
        <v>0</v>
      </c>
      <c r="I110" s="119">
        <f t="shared" si="42"/>
        <v>0</v>
      </c>
      <c r="J110" s="119">
        <f t="shared" si="42"/>
        <v>0</v>
      </c>
      <c r="K110" s="119">
        <f t="shared" si="42"/>
        <v>0</v>
      </c>
      <c r="L110" s="119">
        <f t="shared" si="42"/>
        <v>0</v>
      </c>
      <c r="M110" s="119">
        <f t="shared" si="42"/>
        <v>0</v>
      </c>
      <c r="N110" s="119">
        <f t="shared" si="42"/>
        <v>0</v>
      </c>
      <c r="O110" s="119">
        <f t="shared" si="42"/>
        <v>0</v>
      </c>
      <c r="P110" s="119">
        <f t="shared" si="42"/>
        <v>0</v>
      </c>
      <c r="Q110" s="119">
        <f t="shared" si="42"/>
        <v>0</v>
      </c>
      <c r="R110" s="119">
        <f t="shared" si="42"/>
        <v>0</v>
      </c>
      <c r="S110" s="119">
        <f t="shared" si="42"/>
        <v>0</v>
      </c>
      <c r="T110" s="119">
        <f t="shared" si="42"/>
        <v>0</v>
      </c>
      <c r="U110" s="119">
        <f t="shared" si="42"/>
        <v>0</v>
      </c>
      <c r="V110" s="119">
        <f t="shared" si="42"/>
        <v>0</v>
      </c>
      <c r="W110" s="119">
        <f t="shared" si="42"/>
        <v>0</v>
      </c>
      <c r="X110" s="119">
        <f t="shared" si="42"/>
        <v>0</v>
      </c>
      <c r="Y110" s="119">
        <f t="shared" si="42"/>
        <v>0</v>
      </c>
      <c r="Z110" s="119">
        <f t="shared" si="42"/>
        <v>0</v>
      </c>
      <c r="AA110" s="119">
        <f t="shared" si="42"/>
        <v>0</v>
      </c>
      <c r="AB110" s="119">
        <f t="shared" si="42"/>
        <v>0</v>
      </c>
      <c r="AC110" s="119">
        <f t="shared" si="42"/>
        <v>0</v>
      </c>
      <c r="AD110" s="119">
        <f t="shared" si="42"/>
        <v>0</v>
      </c>
      <c r="AE110" s="119">
        <f t="shared" si="42"/>
        <v>0</v>
      </c>
      <c r="AF110" s="119">
        <f t="shared" si="42"/>
        <v>0</v>
      </c>
      <c r="AG110" s="119">
        <f t="shared" si="42"/>
        <v>0</v>
      </c>
      <c r="AH110" s="119">
        <f t="shared" si="42"/>
        <v>0</v>
      </c>
      <c r="AI110" s="119">
        <f t="shared" si="42"/>
        <v>0</v>
      </c>
      <c r="AJ110" s="119">
        <f t="shared" si="42"/>
        <v>0</v>
      </c>
      <c r="AK110" s="119">
        <f t="shared" si="42"/>
        <v>0</v>
      </c>
      <c r="AL110" s="119">
        <f t="shared" si="42"/>
        <v>0</v>
      </c>
      <c r="AM110" s="119">
        <f t="shared" si="42"/>
        <v>0</v>
      </c>
      <c r="AN110" s="119">
        <f t="shared" si="42"/>
        <v>0</v>
      </c>
      <c r="AO110" s="119">
        <f t="shared" si="42"/>
        <v>0</v>
      </c>
      <c r="AP110" s="119">
        <f t="shared" si="42"/>
        <v>0</v>
      </c>
    </row>
    <row r="111" spans="1:42" x14ac:dyDescent="0.2">
      <c r="A111" s="21" t="s">
        <v>291</v>
      </c>
      <c r="B111" s="119">
        <f>B687</f>
        <v>0</v>
      </c>
      <c r="C111" s="119">
        <f t="shared" ref="C111:AP111" si="43">C687</f>
        <v>0</v>
      </c>
      <c r="D111" s="119">
        <f t="shared" si="43"/>
        <v>0</v>
      </c>
      <c r="E111" s="119">
        <f t="shared" si="43"/>
        <v>0</v>
      </c>
      <c r="F111" s="119">
        <f t="shared" si="43"/>
        <v>0</v>
      </c>
      <c r="G111" s="119">
        <f t="shared" si="43"/>
        <v>0</v>
      </c>
      <c r="H111" s="119">
        <f t="shared" si="43"/>
        <v>0</v>
      </c>
      <c r="I111" s="119">
        <f t="shared" si="43"/>
        <v>0</v>
      </c>
      <c r="J111" s="119">
        <f t="shared" si="43"/>
        <v>0</v>
      </c>
      <c r="K111" s="119">
        <f t="shared" si="43"/>
        <v>0</v>
      </c>
      <c r="L111" s="119">
        <f t="shared" si="43"/>
        <v>0</v>
      </c>
      <c r="M111" s="119">
        <f t="shared" si="43"/>
        <v>0</v>
      </c>
      <c r="N111" s="119">
        <f t="shared" si="43"/>
        <v>0</v>
      </c>
      <c r="O111" s="119">
        <f t="shared" si="43"/>
        <v>0</v>
      </c>
      <c r="P111" s="119">
        <f t="shared" si="43"/>
        <v>0</v>
      </c>
      <c r="Q111" s="119">
        <f t="shared" si="43"/>
        <v>0</v>
      </c>
      <c r="R111" s="119">
        <f t="shared" si="43"/>
        <v>0</v>
      </c>
      <c r="S111" s="119">
        <f t="shared" si="43"/>
        <v>0</v>
      </c>
      <c r="T111" s="119">
        <f t="shared" si="43"/>
        <v>0</v>
      </c>
      <c r="U111" s="119">
        <f t="shared" si="43"/>
        <v>0</v>
      </c>
      <c r="V111" s="119">
        <f t="shared" si="43"/>
        <v>0</v>
      </c>
      <c r="W111" s="119">
        <f t="shared" si="43"/>
        <v>0</v>
      </c>
      <c r="X111" s="119">
        <f t="shared" si="43"/>
        <v>0</v>
      </c>
      <c r="Y111" s="119">
        <f t="shared" si="43"/>
        <v>0</v>
      </c>
      <c r="Z111" s="119">
        <f t="shared" si="43"/>
        <v>0</v>
      </c>
      <c r="AA111" s="119">
        <f t="shared" si="43"/>
        <v>0</v>
      </c>
      <c r="AB111" s="119">
        <f t="shared" si="43"/>
        <v>0</v>
      </c>
      <c r="AC111" s="119">
        <f t="shared" si="43"/>
        <v>0</v>
      </c>
      <c r="AD111" s="119">
        <f t="shared" si="43"/>
        <v>0</v>
      </c>
      <c r="AE111" s="119">
        <f t="shared" si="43"/>
        <v>0</v>
      </c>
      <c r="AF111" s="119">
        <f t="shared" si="43"/>
        <v>0</v>
      </c>
      <c r="AG111" s="119">
        <f t="shared" si="43"/>
        <v>0</v>
      </c>
      <c r="AH111" s="119">
        <f t="shared" si="43"/>
        <v>0</v>
      </c>
      <c r="AI111" s="119">
        <f t="shared" si="43"/>
        <v>0</v>
      </c>
      <c r="AJ111" s="119">
        <f t="shared" si="43"/>
        <v>0</v>
      </c>
      <c r="AK111" s="119">
        <f t="shared" si="43"/>
        <v>0</v>
      </c>
      <c r="AL111" s="119">
        <f t="shared" si="43"/>
        <v>0</v>
      </c>
      <c r="AM111" s="119">
        <f t="shared" si="43"/>
        <v>0</v>
      </c>
      <c r="AN111" s="119">
        <f t="shared" si="43"/>
        <v>0</v>
      </c>
      <c r="AO111" s="119">
        <f t="shared" si="43"/>
        <v>0</v>
      </c>
      <c r="AP111" s="119">
        <f t="shared" si="43"/>
        <v>0</v>
      </c>
    </row>
    <row r="112" spans="1:42" x14ac:dyDescent="0.2">
      <c r="A112" s="21" t="s">
        <v>292</v>
      </c>
      <c r="B112" s="120">
        <f>B719</f>
        <v>0</v>
      </c>
      <c r="C112" s="120">
        <f t="shared" ref="C112:AP112" si="44">C719</f>
        <v>0</v>
      </c>
      <c r="D112" s="120">
        <f t="shared" si="44"/>
        <v>0</v>
      </c>
      <c r="E112" s="120">
        <f t="shared" si="44"/>
        <v>0</v>
      </c>
      <c r="F112" s="120">
        <f t="shared" si="44"/>
        <v>0</v>
      </c>
      <c r="G112" s="120">
        <f t="shared" si="44"/>
        <v>0</v>
      </c>
      <c r="H112" s="120">
        <f t="shared" si="44"/>
        <v>0</v>
      </c>
      <c r="I112" s="120">
        <f t="shared" si="44"/>
        <v>0</v>
      </c>
      <c r="J112" s="120">
        <f t="shared" si="44"/>
        <v>0</v>
      </c>
      <c r="K112" s="120">
        <f t="shared" si="44"/>
        <v>0</v>
      </c>
      <c r="L112" s="120">
        <f t="shared" si="44"/>
        <v>0</v>
      </c>
      <c r="M112" s="120">
        <f t="shared" si="44"/>
        <v>0</v>
      </c>
      <c r="N112" s="120">
        <f t="shared" si="44"/>
        <v>0</v>
      </c>
      <c r="O112" s="120">
        <f t="shared" si="44"/>
        <v>0</v>
      </c>
      <c r="P112" s="120">
        <f t="shared" si="44"/>
        <v>0</v>
      </c>
      <c r="Q112" s="120">
        <f t="shared" si="44"/>
        <v>0</v>
      </c>
      <c r="R112" s="120">
        <f t="shared" si="44"/>
        <v>0</v>
      </c>
      <c r="S112" s="120">
        <f t="shared" si="44"/>
        <v>0</v>
      </c>
      <c r="T112" s="120">
        <f t="shared" si="44"/>
        <v>0</v>
      </c>
      <c r="U112" s="120">
        <f t="shared" si="44"/>
        <v>0</v>
      </c>
      <c r="V112" s="120">
        <f t="shared" si="44"/>
        <v>0</v>
      </c>
      <c r="W112" s="120">
        <f t="shared" si="44"/>
        <v>0</v>
      </c>
      <c r="X112" s="120">
        <f t="shared" si="44"/>
        <v>0</v>
      </c>
      <c r="Y112" s="120">
        <f t="shared" si="44"/>
        <v>0</v>
      </c>
      <c r="Z112" s="120">
        <f t="shared" si="44"/>
        <v>0</v>
      </c>
      <c r="AA112" s="120">
        <f t="shared" si="44"/>
        <v>0</v>
      </c>
      <c r="AB112" s="120">
        <f t="shared" si="44"/>
        <v>0</v>
      </c>
      <c r="AC112" s="120">
        <f t="shared" si="44"/>
        <v>0</v>
      </c>
      <c r="AD112" s="120">
        <f t="shared" si="44"/>
        <v>0</v>
      </c>
      <c r="AE112" s="120">
        <f t="shared" si="44"/>
        <v>0</v>
      </c>
      <c r="AF112" s="120">
        <f t="shared" si="44"/>
        <v>0</v>
      </c>
      <c r="AG112" s="120">
        <f t="shared" si="44"/>
        <v>0</v>
      </c>
      <c r="AH112" s="120">
        <f t="shared" si="44"/>
        <v>0</v>
      </c>
      <c r="AI112" s="120">
        <f t="shared" si="44"/>
        <v>0</v>
      </c>
      <c r="AJ112" s="120">
        <f t="shared" si="44"/>
        <v>0</v>
      </c>
      <c r="AK112" s="120">
        <f t="shared" si="44"/>
        <v>0</v>
      </c>
      <c r="AL112" s="120">
        <f t="shared" si="44"/>
        <v>0</v>
      </c>
      <c r="AM112" s="120">
        <f t="shared" si="44"/>
        <v>0</v>
      </c>
      <c r="AN112" s="120">
        <f t="shared" si="44"/>
        <v>0</v>
      </c>
      <c r="AO112" s="120">
        <f t="shared" si="44"/>
        <v>0</v>
      </c>
      <c r="AP112" s="120">
        <f t="shared" si="44"/>
        <v>0</v>
      </c>
    </row>
    <row r="113" spans="1:42" x14ac:dyDescent="0.2">
      <c r="A113" s="21" t="s">
        <v>13</v>
      </c>
      <c r="B113" s="124">
        <f>SUM(B110:B112)</f>
        <v>0</v>
      </c>
      <c r="C113" s="124">
        <f t="shared" ref="C113:AP113" si="45">SUM(C110:C112)</f>
        <v>0</v>
      </c>
      <c r="D113" s="124">
        <f t="shared" si="45"/>
        <v>0</v>
      </c>
      <c r="E113" s="124">
        <f t="shared" si="45"/>
        <v>0</v>
      </c>
      <c r="F113" s="124">
        <f t="shared" si="45"/>
        <v>0</v>
      </c>
      <c r="G113" s="124">
        <f t="shared" si="45"/>
        <v>0</v>
      </c>
      <c r="H113" s="124">
        <f t="shared" si="45"/>
        <v>0</v>
      </c>
      <c r="I113" s="124">
        <f t="shared" si="45"/>
        <v>0</v>
      </c>
      <c r="J113" s="124">
        <f t="shared" si="45"/>
        <v>0</v>
      </c>
      <c r="K113" s="124">
        <f t="shared" si="45"/>
        <v>0</v>
      </c>
      <c r="L113" s="124">
        <f t="shared" si="45"/>
        <v>0</v>
      </c>
      <c r="M113" s="124">
        <f t="shared" si="45"/>
        <v>0</v>
      </c>
      <c r="N113" s="124">
        <f t="shared" si="45"/>
        <v>0</v>
      </c>
      <c r="O113" s="124">
        <f t="shared" si="45"/>
        <v>0</v>
      </c>
      <c r="P113" s="124">
        <f t="shared" si="45"/>
        <v>0</v>
      </c>
      <c r="Q113" s="124">
        <f t="shared" si="45"/>
        <v>0</v>
      </c>
      <c r="R113" s="124">
        <f t="shared" si="45"/>
        <v>0</v>
      </c>
      <c r="S113" s="124">
        <f t="shared" si="45"/>
        <v>0</v>
      </c>
      <c r="T113" s="124">
        <f t="shared" si="45"/>
        <v>0</v>
      </c>
      <c r="U113" s="124">
        <f t="shared" si="45"/>
        <v>0</v>
      </c>
      <c r="V113" s="124">
        <f t="shared" si="45"/>
        <v>0</v>
      </c>
      <c r="W113" s="124">
        <f t="shared" si="45"/>
        <v>0</v>
      </c>
      <c r="X113" s="124">
        <f t="shared" si="45"/>
        <v>0</v>
      </c>
      <c r="Y113" s="124">
        <f t="shared" si="45"/>
        <v>0</v>
      </c>
      <c r="Z113" s="124">
        <f t="shared" si="45"/>
        <v>0</v>
      </c>
      <c r="AA113" s="124">
        <f t="shared" si="45"/>
        <v>0</v>
      </c>
      <c r="AB113" s="124">
        <f t="shared" si="45"/>
        <v>0</v>
      </c>
      <c r="AC113" s="124">
        <f t="shared" si="45"/>
        <v>0</v>
      </c>
      <c r="AD113" s="124">
        <f t="shared" si="45"/>
        <v>0</v>
      </c>
      <c r="AE113" s="124">
        <f t="shared" si="45"/>
        <v>0</v>
      </c>
      <c r="AF113" s="124">
        <f t="shared" si="45"/>
        <v>0</v>
      </c>
      <c r="AG113" s="124">
        <f t="shared" si="45"/>
        <v>0</v>
      </c>
      <c r="AH113" s="124">
        <f t="shared" si="45"/>
        <v>0</v>
      </c>
      <c r="AI113" s="124">
        <f t="shared" si="45"/>
        <v>0</v>
      </c>
      <c r="AJ113" s="124">
        <f t="shared" si="45"/>
        <v>0</v>
      </c>
      <c r="AK113" s="124">
        <f t="shared" si="45"/>
        <v>0</v>
      </c>
      <c r="AL113" s="124">
        <f t="shared" si="45"/>
        <v>0</v>
      </c>
      <c r="AM113" s="124">
        <f t="shared" si="45"/>
        <v>0</v>
      </c>
      <c r="AN113" s="124">
        <f t="shared" si="45"/>
        <v>0</v>
      </c>
      <c r="AO113" s="124">
        <f t="shared" si="45"/>
        <v>0</v>
      </c>
      <c r="AP113" s="124">
        <f t="shared" si="45"/>
        <v>0</v>
      </c>
    </row>
    <row r="114" spans="1:42" x14ac:dyDescent="0.2">
      <c r="A114" s="198" t="s">
        <v>13</v>
      </c>
      <c r="B114" s="134">
        <f>B100+B108+B113</f>
        <v>0</v>
      </c>
      <c r="C114" s="134">
        <f>C$108+C$113</f>
        <v>0</v>
      </c>
      <c r="D114" s="134">
        <f t="shared" ref="D114:AP114" si="46">D$108+D$113</f>
        <v>0</v>
      </c>
      <c r="E114" s="134">
        <f t="shared" si="46"/>
        <v>0</v>
      </c>
      <c r="F114" s="134">
        <f t="shared" si="46"/>
        <v>0</v>
      </c>
      <c r="G114" s="134">
        <f t="shared" si="46"/>
        <v>0</v>
      </c>
      <c r="H114" s="134">
        <f t="shared" si="46"/>
        <v>0</v>
      </c>
      <c r="I114" s="134">
        <f t="shared" si="46"/>
        <v>0</v>
      </c>
      <c r="J114" s="134">
        <f t="shared" si="46"/>
        <v>0</v>
      </c>
      <c r="K114" s="134">
        <f t="shared" si="46"/>
        <v>0</v>
      </c>
      <c r="L114" s="134">
        <f t="shared" si="46"/>
        <v>0</v>
      </c>
      <c r="M114" s="134">
        <f t="shared" si="46"/>
        <v>0</v>
      </c>
      <c r="N114" s="134">
        <f t="shared" si="46"/>
        <v>0</v>
      </c>
      <c r="O114" s="134">
        <f t="shared" si="46"/>
        <v>0</v>
      </c>
      <c r="P114" s="134">
        <f t="shared" si="46"/>
        <v>0</v>
      </c>
      <c r="Q114" s="134">
        <f t="shared" si="46"/>
        <v>0</v>
      </c>
      <c r="R114" s="134">
        <f t="shared" si="46"/>
        <v>0</v>
      </c>
      <c r="S114" s="134">
        <f t="shared" si="46"/>
        <v>0</v>
      </c>
      <c r="T114" s="134">
        <f t="shared" si="46"/>
        <v>0</v>
      </c>
      <c r="U114" s="134">
        <f t="shared" si="46"/>
        <v>0</v>
      </c>
      <c r="V114" s="134">
        <f t="shared" si="46"/>
        <v>0</v>
      </c>
      <c r="W114" s="134">
        <f t="shared" si="46"/>
        <v>0</v>
      </c>
      <c r="X114" s="134">
        <f t="shared" si="46"/>
        <v>0</v>
      </c>
      <c r="Y114" s="134">
        <f t="shared" si="46"/>
        <v>0</v>
      </c>
      <c r="Z114" s="134">
        <f t="shared" si="46"/>
        <v>0</v>
      </c>
      <c r="AA114" s="134">
        <f t="shared" si="46"/>
        <v>0</v>
      </c>
      <c r="AB114" s="134">
        <f t="shared" si="46"/>
        <v>0</v>
      </c>
      <c r="AC114" s="134">
        <f t="shared" si="46"/>
        <v>0</v>
      </c>
      <c r="AD114" s="134">
        <f t="shared" si="46"/>
        <v>0</v>
      </c>
      <c r="AE114" s="134">
        <f t="shared" si="46"/>
        <v>0</v>
      </c>
      <c r="AF114" s="134">
        <f t="shared" si="46"/>
        <v>0</v>
      </c>
      <c r="AG114" s="134">
        <f t="shared" si="46"/>
        <v>0</v>
      </c>
      <c r="AH114" s="134">
        <f t="shared" si="46"/>
        <v>0</v>
      </c>
      <c r="AI114" s="134">
        <f t="shared" si="46"/>
        <v>0</v>
      </c>
      <c r="AJ114" s="134">
        <f t="shared" si="46"/>
        <v>0</v>
      </c>
      <c r="AK114" s="134">
        <f t="shared" si="46"/>
        <v>0</v>
      </c>
      <c r="AL114" s="134">
        <f t="shared" si="46"/>
        <v>0</v>
      </c>
      <c r="AM114" s="134">
        <f t="shared" si="46"/>
        <v>0</v>
      </c>
      <c r="AN114" s="134">
        <f t="shared" si="46"/>
        <v>0</v>
      </c>
      <c r="AO114" s="134">
        <f t="shared" si="46"/>
        <v>0</v>
      </c>
      <c r="AP114" s="134">
        <f t="shared" si="46"/>
        <v>0</v>
      </c>
    </row>
    <row r="115" spans="1:42" x14ac:dyDescent="0.2">
      <c r="A115" s="17"/>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row>
    <row r="116" spans="1:42" x14ac:dyDescent="0.2">
      <c r="A116" s="19" t="s">
        <v>65</v>
      </c>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row>
    <row r="117" spans="1:42" x14ac:dyDescent="0.2">
      <c r="A117" s="17" t="s">
        <v>205</v>
      </c>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row>
    <row r="118" spans="1:42" x14ac:dyDescent="0.2">
      <c r="A118" s="86" t="s">
        <v>206</v>
      </c>
      <c r="B118" s="119">
        <f>$B$623</f>
        <v>0</v>
      </c>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row>
    <row r="119" spans="1:42" x14ac:dyDescent="0.2">
      <c r="A119" s="86" t="s">
        <v>13</v>
      </c>
      <c r="B119" s="124">
        <f>SUM(B118:B118)</f>
        <v>0</v>
      </c>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row>
    <row r="120" spans="1:42" x14ac:dyDescent="0.2">
      <c r="A120" s="17" t="s">
        <v>204</v>
      </c>
      <c r="B120" s="119">
        <f>-B114-B118</f>
        <v>0</v>
      </c>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row>
    <row r="121" spans="1:42" x14ac:dyDescent="0.2">
      <c r="A121" s="17" t="s">
        <v>203</v>
      </c>
      <c r="B121" s="120">
        <v>0</v>
      </c>
      <c r="C121" s="120">
        <f>-C610</f>
        <v>0</v>
      </c>
      <c r="D121" s="120">
        <f t="shared" ref="D121:AP121" si="47">-D610</f>
        <v>0</v>
      </c>
      <c r="E121" s="120">
        <f t="shared" si="47"/>
        <v>0</v>
      </c>
      <c r="F121" s="120">
        <f t="shared" si="47"/>
        <v>0</v>
      </c>
      <c r="G121" s="120">
        <f t="shared" si="47"/>
        <v>0</v>
      </c>
      <c r="H121" s="120">
        <f t="shared" si="47"/>
        <v>0</v>
      </c>
      <c r="I121" s="120">
        <f t="shared" si="47"/>
        <v>0</v>
      </c>
      <c r="J121" s="120">
        <f t="shared" si="47"/>
        <v>0</v>
      </c>
      <c r="K121" s="120">
        <f t="shared" si="47"/>
        <v>0</v>
      </c>
      <c r="L121" s="120">
        <f t="shared" si="47"/>
        <v>0</v>
      </c>
      <c r="M121" s="120">
        <f t="shared" si="47"/>
        <v>0</v>
      </c>
      <c r="N121" s="120">
        <f t="shared" si="47"/>
        <v>0</v>
      </c>
      <c r="O121" s="120">
        <f t="shared" si="47"/>
        <v>0</v>
      </c>
      <c r="P121" s="120">
        <f t="shared" si="47"/>
        <v>0</v>
      </c>
      <c r="Q121" s="120">
        <f t="shared" si="47"/>
        <v>0</v>
      </c>
      <c r="R121" s="120">
        <f t="shared" si="47"/>
        <v>0</v>
      </c>
      <c r="S121" s="120">
        <f t="shared" si="47"/>
        <v>0</v>
      </c>
      <c r="T121" s="120">
        <f t="shared" si="47"/>
        <v>0</v>
      </c>
      <c r="U121" s="120">
        <f t="shared" si="47"/>
        <v>0</v>
      </c>
      <c r="V121" s="120">
        <f t="shared" si="47"/>
        <v>0</v>
      </c>
      <c r="W121" s="120">
        <f t="shared" si="47"/>
        <v>0</v>
      </c>
      <c r="X121" s="120">
        <f t="shared" si="47"/>
        <v>0</v>
      </c>
      <c r="Y121" s="120">
        <f t="shared" si="47"/>
        <v>0</v>
      </c>
      <c r="Z121" s="120">
        <f t="shared" si="47"/>
        <v>0</v>
      </c>
      <c r="AA121" s="120">
        <f t="shared" si="47"/>
        <v>0</v>
      </c>
      <c r="AB121" s="120">
        <f t="shared" si="47"/>
        <v>0</v>
      </c>
      <c r="AC121" s="120">
        <f t="shared" si="47"/>
        <v>0</v>
      </c>
      <c r="AD121" s="120">
        <f t="shared" si="47"/>
        <v>0</v>
      </c>
      <c r="AE121" s="120">
        <f t="shared" si="47"/>
        <v>0</v>
      </c>
      <c r="AF121" s="120">
        <f t="shared" si="47"/>
        <v>0</v>
      </c>
      <c r="AG121" s="120">
        <f t="shared" si="47"/>
        <v>0</v>
      </c>
      <c r="AH121" s="120">
        <f t="shared" si="47"/>
        <v>0</v>
      </c>
      <c r="AI121" s="120">
        <f t="shared" si="47"/>
        <v>0</v>
      </c>
      <c r="AJ121" s="120">
        <f t="shared" si="47"/>
        <v>0</v>
      </c>
      <c r="AK121" s="120">
        <f t="shared" si="47"/>
        <v>0</v>
      </c>
      <c r="AL121" s="120">
        <f t="shared" si="47"/>
        <v>0</v>
      </c>
      <c r="AM121" s="120">
        <f t="shared" si="47"/>
        <v>0</v>
      </c>
      <c r="AN121" s="120">
        <f t="shared" si="47"/>
        <v>0</v>
      </c>
      <c r="AO121" s="120">
        <f t="shared" si="47"/>
        <v>0</v>
      </c>
      <c r="AP121" s="120">
        <f t="shared" si="47"/>
        <v>0</v>
      </c>
    </row>
    <row r="122" spans="1:42" x14ac:dyDescent="0.2">
      <c r="A122" s="199" t="s">
        <v>13</v>
      </c>
      <c r="B122" s="119">
        <f>SUM(B119:B121)</f>
        <v>0</v>
      </c>
      <c r="C122" s="124">
        <f>SUM(C119:C121)</f>
        <v>0</v>
      </c>
      <c r="D122" s="124">
        <f t="shared" ref="D122:AP122" si="48">SUM(D119:D121)</f>
        <v>0</v>
      </c>
      <c r="E122" s="124">
        <f t="shared" si="48"/>
        <v>0</v>
      </c>
      <c r="F122" s="124">
        <f t="shared" si="48"/>
        <v>0</v>
      </c>
      <c r="G122" s="124">
        <f t="shared" si="48"/>
        <v>0</v>
      </c>
      <c r="H122" s="124">
        <f t="shared" si="48"/>
        <v>0</v>
      </c>
      <c r="I122" s="124">
        <f t="shared" si="48"/>
        <v>0</v>
      </c>
      <c r="J122" s="124">
        <f t="shared" si="48"/>
        <v>0</v>
      </c>
      <c r="K122" s="124">
        <f t="shared" si="48"/>
        <v>0</v>
      </c>
      <c r="L122" s="124">
        <f t="shared" si="48"/>
        <v>0</v>
      </c>
      <c r="M122" s="124">
        <f t="shared" si="48"/>
        <v>0</v>
      </c>
      <c r="N122" s="124">
        <f t="shared" si="48"/>
        <v>0</v>
      </c>
      <c r="O122" s="124">
        <f t="shared" si="48"/>
        <v>0</v>
      </c>
      <c r="P122" s="124">
        <f t="shared" si="48"/>
        <v>0</v>
      </c>
      <c r="Q122" s="124">
        <f t="shared" si="48"/>
        <v>0</v>
      </c>
      <c r="R122" s="124">
        <f t="shared" si="48"/>
        <v>0</v>
      </c>
      <c r="S122" s="124">
        <f t="shared" si="48"/>
        <v>0</v>
      </c>
      <c r="T122" s="124">
        <f t="shared" si="48"/>
        <v>0</v>
      </c>
      <c r="U122" s="124">
        <f t="shared" si="48"/>
        <v>0</v>
      </c>
      <c r="V122" s="124">
        <f t="shared" si="48"/>
        <v>0</v>
      </c>
      <c r="W122" s="124">
        <f t="shared" si="48"/>
        <v>0</v>
      </c>
      <c r="X122" s="124">
        <f t="shared" si="48"/>
        <v>0</v>
      </c>
      <c r="Y122" s="124">
        <f t="shared" si="48"/>
        <v>0</v>
      </c>
      <c r="Z122" s="124">
        <f t="shared" si="48"/>
        <v>0</v>
      </c>
      <c r="AA122" s="124">
        <f t="shared" si="48"/>
        <v>0</v>
      </c>
      <c r="AB122" s="124">
        <f t="shared" si="48"/>
        <v>0</v>
      </c>
      <c r="AC122" s="124">
        <f t="shared" si="48"/>
        <v>0</v>
      </c>
      <c r="AD122" s="124">
        <f t="shared" si="48"/>
        <v>0</v>
      </c>
      <c r="AE122" s="124">
        <f t="shared" si="48"/>
        <v>0</v>
      </c>
      <c r="AF122" s="124">
        <f t="shared" si="48"/>
        <v>0</v>
      </c>
      <c r="AG122" s="124">
        <f t="shared" si="48"/>
        <v>0</v>
      </c>
      <c r="AH122" s="124">
        <f t="shared" si="48"/>
        <v>0</v>
      </c>
      <c r="AI122" s="124">
        <f t="shared" si="48"/>
        <v>0</v>
      </c>
      <c r="AJ122" s="124">
        <f t="shared" si="48"/>
        <v>0</v>
      </c>
      <c r="AK122" s="124">
        <f t="shared" si="48"/>
        <v>0</v>
      </c>
      <c r="AL122" s="124">
        <f t="shared" si="48"/>
        <v>0</v>
      </c>
      <c r="AM122" s="124">
        <f t="shared" si="48"/>
        <v>0</v>
      </c>
      <c r="AN122" s="124">
        <f t="shared" si="48"/>
        <v>0</v>
      </c>
      <c r="AO122" s="124">
        <f t="shared" si="48"/>
        <v>0</v>
      </c>
      <c r="AP122" s="124">
        <f t="shared" si="48"/>
        <v>0</v>
      </c>
    </row>
    <row r="123" spans="1:42" s="200" customFormat="1" ht="13.5" thickBot="1" x14ac:dyDescent="0.25">
      <c r="A123" s="199"/>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row>
    <row r="124" spans="1:42" ht="13.5" thickTop="1" x14ac:dyDescent="0.2">
      <c r="A124" s="80" t="s">
        <v>253</v>
      </c>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row>
    <row r="125" spans="1:42" x14ac:dyDescent="0.2">
      <c r="A125" s="19" t="s">
        <v>254</v>
      </c>
    </row>
    <row r="126" spans="1:42" x14ac:dyDescent="0.2">
      <c r="A126" s="86" t="s">
        <v>204</v>
      </c>
      <c r="B126" s="119">
        <f t="shared" ref="B126:AP126" si="49">-B120</f>
        <v>0</v>
      </c>
      <c r="C126" s="119">
        <f t="shared" si="49"/>
        <v>0</v>
      </c>
      <c r="D126" s="119">
        <f t="shared" si="49"/>
        <v>0</v>
      </c>
      <c r="E126" s="119">
        <f t="shared" si="49"/>
        <v>0</v>
      </c>
      <c r="F126" s="119">
        <f t="shared" si="49"/>
        <v>0</v>
      </c>
      <c r="G126" s="119">
        <f t="shared" si="49"/>
        <v>0</v>
      </c>
      <c r="H126" s="119">
        <f t="shared" si="49"/>
        <v>0</v>
      </c>
      <c r="I126" s="119">
        <f t="shared" si="49"/>
        <v>0</v>
      </c>
      <c r="J126" s="119">
        <f t="shared" si="49"/>
        <v>0</v>
      </c>
      <c r="K126" s="119">
        <f t="shared" si="49"/>
        <v>0</v>
      </c>
      <c r="L126" s="119">
        <f t="shared" si="49"/>
        <v>0</v>
      </c>
      <c r="M126" s="119">
        <f t="shared" si="49"/>
        <v>0</v>
      </c>
      <c r="N126" s="119">
        <f t="shared" si="49"/>
        <v>0</v>
      </c>
      <c r="O126" s="119">
        <f t="shared" si="49"/>
        <v>0</v>
      </c>
      <c r="P126" s="119">
        <f t="shared" si="49"/>
        <v>0</v>
      </c>
      <c r="Q126" s="119">
        <f t="shared" si="49"/>
        <v>0</v>
      </c>
      <c r="R126" s="119">
        <f t="shared" si="49"/>
        <v>0</v>
      </c>
      <c r="S126" s="119">
        <f t="shared" si="49"/>
        <v>0</v>
      </c>
      <c r="T126" s="119">
        <f t="shared" si="49"/>
        <v>0</v>
      </c>
      <c r="U126" s="119">
        <f t="shared" si="49"/>
        <v>0</v>
      </c>
      <c r="V126" s="119">
        <f t="shared" si="49"/>
        <v>0</v>
      </c>
      <c r="W126" s="119">
        <f t="shared" si="49"/>
        <v>0</v>
      </c>
      <c r="X126" s="119">
        <f t="shared" si="49"/>
        <v>0</v>
      </c>
      <c r="Y126" s="119">
        <f t="shared" si="49"/>
        <v>0</v>
      </c>
      <c r="Z126" s="119">
        <f t="shared" si="49"/>
        <v>0</v>
      </c>
      <c r="AA126" s="119">
        <f t="shared" si="49"/>
        <v>0</v>
      </c>
      <c r="AB126" s="119">
        <f t="shared" si="49"/>
        <v>0</v>
      </c>
      <c r="AC126" s="119">
        <f t="shared" si="49"/>
        <v>0</v>
      </c>
      <c r="AD126" s="119">
        <f t="shared" si="49"/>
        <v>0</v>
      </c>
      <c r="AE126" s="119">
        <f t="shared" si="49"/>
        <v>0</v>
      </c>
      <c r="AF126" s="119">
        <f t="shared" si="49"/>
        <v>0</v>
      </c>
      <c r="AG126" s="119">
        <f t="shared" si="49"/>
        <v>0</v>
      </c>
      <c r="AH126" s="119">
        <f t="shared" si="49"/>
        <v>0</v>
      </c>
      <c r="AI126" s="119">
        <f t="shared" si="49"/>
        <v>0</v>
      </c>
      <c r="AJ126" s="119">
        <f t="shared" si="49"/>
        <v>0</v>
      </c>
      <c r="AK126" s="119">
        <f t="shared" si="49"/>
        <v>0</v>
      </c>
      <c r="AL126" s="119">
        <f t="shared" si="49"/>
        <v>0</v>
      </c>
      <c r="AM126" s="119">
        <f t="shared" si="49"/>
        <v>0</v>
      </c>
      <c r="AN126" s="119">
        <f t="shared" si="49"/>
        <v>0</v>
      </c>
      <c r="AO126" s="119">
        <f t="shared" si="49"/>
        <v>0</v>
      </c>
      <c r="AP126" s="119">
        <f t="shared" si="49"/>
        <v>0</v>
      </c>
    </row>
    <row r="127" spans="1:42" x14ac:dyDescent="0.2">
      <c r="A127" s="86" t="s">
        <v>252</v>
      </c>
      <c r="B127" s="120">
        <f t="shared" ref="B127:AP127" si="50">B89+B114+B122</f>
        <v>0</v>
      </c>
      <c r="C127" s="120">
        <f t="shared" si="50"/>
        <v>0</v>
      </c>
      <c r="D127" s="120">
        <f t="shared" si="50"/>
        <v>0</v>
      </c>
      <c r="E127" s="120">
        <f t="shared" si="50"/>
        <v>0</v>
      </c>
      <c r="F127" s="120">
        <f t="shared" si="50"/>
        <v>0</v>
      </c>
      <c r="G127" s="120">
        <f t="shared" si="50"/>
        <v>0</v>
      </c>
      <c r="H127" s="120">
        <f t="shared" si="50"/>
        <v>0</v>
      </c>
      <c r="I127" s="120">
        <f t="shared" si="50"/>
        <v>0</v>
      </c>
      <c r="J127" s="120">
        <f t="shared" si="50"/>
        <v>0</v>
      </c>
      <c r="K127" s="120">
        <f t="shared" si="50"/>
        <v>0</v>
      </c>
      <c r="L127" s="120">
        <f t="shared" si="50"/>
        <v>0</v>
      </c>
      <c r="M127" s="120">
        <f t="shared" si="50"/>
        <v>0</v>
      </c>
      <c r="N127" s="120">
        <f t="shared" si="50"/>
        <v>0</v>
      </c>
      <c r="O127" s="120">
        <f t="shared" si="50"/>
        <v>0</v>
      </c>
      <c r="P127" s="120">
        <f t="shared" si="50"/>
        <v>0</v>
      </c>
      <c r="Q127" s="120">
        <f t="shared" si="50"/>
        <v>0</v>
      </c>
      <c r="R127" s="120">
        <f t="shared" si="50"/>
        <v>0</v>
      </c>
      <c r="S127" s="120">
        <f t="shared" si="50"/>
        <v>0</v>
      </c>
      <c r="T127" s="120">
        <f t="shared" si="50"/>
        <v>0</v>
      </c>
      <c r="U127" s="120">
        <f t="shared" si="50"/>
        <v>0</v>
      </c>
      <c r="V127" s="120">
        <f t="shared" si="50"/>
        <v>0</v>
      </c>
      <c r="W127" s="120">
        <f t="shared" si="50"/>
        <v>0</v>
      </c>
      <c r="X127" s="120">
        <f t="shared" si="50"/>
        <v>0</v>
      </c>
      <c r="Y127" s="120">
        <f t="shared" si="50"/>
        <v>0</v>
      </c>
      <c r="Z127" s="120">
        <f t="shared" si="50"/>
        <v>0</v>
      </c>
      <c r="AA127" s="120">
        <f t="shared" si="50"/>
        <v>0</v>
      </c>
      <c r="AB127" s="120">
        <f t="shared" si="50"/>
        <v>0</v>
      </c>
      <c r="AC127" s="120">
        <f t="shared" si="50"/>
        <v>0</v>
      </c>
      <c r="AD127" s="120">
        <f t="shared" si="50"/>
        <v>0</v>
      </c>
      <c r="AE127" s="120">
        <f t="shared" si="50"/>
        <v>0</v>
      </c>
      <c r="AF127" s="120">
        <f t="shared" si="50"/>
        <v>0</v>
      </c>
      <c r="AG127" s="120">
        <f t="shared" si="50"/>
        <v>0</v>
      </c>
      <c r="AH127" s="120">
        <f t="shared" si="50"/>
        <v>0</v>
      </c>
      <c r="AI127" s="120">
        <f t="shared" si="50"/>
        <v>0</v>
      </c>
      <c r="AJ127" s="120">
        <f t="shared" si="50"/>
        <v>0</v>
      </c>
      <c r="AK127" s="120">
        <f t="shared" si="50"/>
        <v>0</v>
      </c>
      <c r="AL127" s="120">
        <f t="shared" si="50"/>
        <v>0</v>
      </c>
      <c r="AM127" s="120">
        <f t="shared" si="50"/>
        <v>0</v>
      </c>
      <c r="AN127" s="120">
        <f t="shared" si="50"/>
        <v>0</v>
      </c>
      <c r="AO127" s="120">
        <f t="shared" si="50"/>
        <v>0</v>
      </c>
      <c r="AP127" s="120">
        <f t="shared" si="50"/>
        <v>0</v>
      </c>
    </row>
    <row r="128" spans="1:42" x14ac:dyDescent="0.2">
      <c r="A128" s="202" t="s">
        <v>13</v>
      </c>
      <c r="B128" s="134">
        <f>SUM(B126:B127)</f>
        <v>0</v>
      </c>
      <c r="C128" s="134">
        <f t="shared" ref="C128:AP128" si="51">SUM(C126:C127)</f>
        <v>0</v>
      </c>
      <c r="D128" s="134">
        <f t="shared" si="51"/>
        <v>0</v>
      </c>
      <c r="E128" s="134">
        <f t="shared" si="51"/>
        <v>0</v>
      </c>
      <c r="F128" s="134">
        <f t="shared" si="51"/>
        <v>0</v>
      </c>
      <c r="G128" s="134">
        <f t="shared" si="51"/>
        <v>0</v>
      </c>
      <c r="H128" s="134">
        <f t="shared" si="51"/>
        <v>0</v>
      </c>
      <c r="I128" s="134">
        <f t="shared" si="51"/>
        <v>0</v>
      </c>
      <c r="J128" s="134">
        <f t="shared" si="51"/>
        <v>0</v>
      </c>
      <c r="K128" s="134">
        <f t="shared" si="51"/>
        <v>0</v>
      </c>
      <c r="L128" s="134">
        <f t="shared" si="51"/>
        <v>0</v>
      </c>
      <c r="M128" s="134">
        <f t="shared" si="51"/>
        <v>0</v>
      </c>
      <c r="N128" s="134">
        <f t="shared" si="51"/>
        <v>0</v>
      </c>
      <c r="O128" s="134">
        <f t="shared" si="51"/>
        <v>0</v>
      </c>
      <c r="P128" s="134">
        <f t="shared" si="51"/>
        <v>0</v>
      </c>
      <c r="Q128" s="134">
        <f t="shared" si="51"/>
        <v>0</v>
      </c>
      <c r="R128" s="134">
        <f t="shared" si="51"/>
        <v>0</v>
      </c>
      <c r="S128" s="134">
        <f t="shared" si="51"/>
        <v>0</v>
      </c>
      <c r="T128" s="134">
        <f t="shared" si="51"/>
        <v>0</v>
      </c>
      <c r="U128" s="134">
        <f t="shared" si="51"/>
        <v>0</v>
      </c>
      <c r="V128" s="134">
        <f t="shared" si="51"/>
        <v>0</v>
      </c>
      <c r="W128" s="134">
        <f t="shared" si="51"/>
        <v>0</v>
      </c>
      <c r="X128" s="134">
        <f t="shared" si="51"/>
        <v>0</v>
      </c>
      <c r="Y128" s="134">
        <f t="shared" si="51"/>
        <v>0</v>
      </c>
      <c r="Z128" s="134">
        <f t="shared" si="51"/>
        <v>0</v>
      </c>
      <c r="AA128" s="134">
        <f t="shared" si="51"/>
        <v>0</v>
      </c>
      <c r="AB128" s="134">
        <f t="shared" si="51"/>
        <v>0</v>
      </c>
      <c r="AC128" s="134">
        <f t="shared" si="51"/>
        <v>0</v>
      </c>
      <c r="AD128" s="134">
        <f t="shared" si="51"/>
        <v>0</v>
      </c>
      <c r="AE128" s="134">
        <f t="shared" si="51"/>
        <v>0</v>
      </c>
      <c r="AF128" s="134">
        <f t="shared" si="51"/>
        <v>0</v>
      </c>
      <c r="AG128" s="134">
        <f t="shared" si="51"/>
        <v>0</v>
      </c>
      <c r="AH128" s="134">
        <f t="shared" si="51"/>
        <v>0</v>
      </c>
      <c r="AI128" s="134">
        <f t="shared" si="51"/>
        <v>0</v>
      </c>
      <c r="AJ128" s="134">
        <f t="shared" si="51"/>
        <v>0</v>
      </c>
      <c r="AK128" s="134">
        <f t="shared" si="51"/>
        <v>0</v>
      </c>
      <c r="AL128" s="134">
        <f t="shared" si="51"/>
        <v>0</v>
      </c>
      <c r="AM128" s="134">
        <f t="shared" si="51"/>
        <v>0</v>
      </c>
      <c r="AN128" s="134">
        <f t="shared" si="51"/>
        <v>0</v>
      </c>
      <c r="AO128" s="134">
        <f t="shared" si="51"/>
        <v>0</v>
      </c>
      <c r="AP128" s="134">
        <f t="shared" si="51"/>
        <v>0</v>
      </c>
    </row>
    <row r="129" spans="1:42" x14ac:dyDescent="0.2">
      <c r="A129" s="17"/>
    </row>
    <row r="130" spans="1:42" x14ac:dyDescent="0.2">
      <c r="A130" s="19" t="s">
        <v>255</v>
      </c>
    </row>
    <row r="131" spans="1:42" x14ac:dyDescent="0.2">
      <c r="A131" s="86" t="s">
        <v>2</v>
      </c>
    </row>
    <row r="132" spans="1:42" x14ac:dyDescent="0.2">
      <c r="A132" s="87" t="s">
        <v>5</v>
      </c>
      <c r="B132" s="119"/>
      <c r="C132" s="119">
        <f>C$544</f>
        <v>0</v>
      </c>
      <c r="D132" s="119">
        <f t="shared" ref="D132:AP132" si="52">D$544</f>
        <v>0</v>
      </c>
      <c r="E132" s="119">
        <f t="shared" si="52"/>
        <v>0</v>
      </c>
      <c r="F132" s="119">
        <f t="shared" si="52"/>
        <v>0</v>
      </c>
      <c r="G132" s="119">
        <f t="shared" si="52"/>
        <v>0</v>
      </c>
      <c r="H132" s="119">
        <f t="shared" si="52"/>
        <v>0</v>
      </c>
      <c r="I132" s="119">
        <f t="shared" si="52"/>
        <v>0</v>
      </c>
      <c r="J132" s="119">
        <f t="shared" si="52"/>
        <v>0</v>
      </c>
      <c r="K132" s="119">
        <f t="shared" si="52"/>
        <v>0</v>
      </c>
      <c r="L132" s="119">
        <f t="shared" si="52"/>
        <v>0</v>
      </c>
      <c r="M132" s="119">
        <f t="shared" si="52"/>
        <v>0</v>
      </c>
      <c r="N132" s="119">
        <f t="shared" si="52"/>
        <v>0</v>
      </c>
      <c r="O132" s="119">
        <f t="shared" si="52"/>
        <v>0</v>
      </c>
      <c r="P132" s="119">
        <f t="shared" si="52"/>
        <v>0</v>
      </c>
      <c r="Q132" s="119">
        <f t="shared" si="52"/>
        <v>0</v>
      </c>
      <c r="R132" s="119">
        <f t="shared" si="52"/>
        <v>0</v>
      </c>
      <c r="S132" s="119">
        <f t="shared" si="52"/>
        <v>0</v>
      </c>
      <c r="T132" s="119">
        <f t="shared" si="52"/>
        <v>0</v>
      </c>
      <c r="U132" s="119">
        <f t="shared" si="52"/>
        <v>0</v>
      </c>
      <c r="V132" s="119">
        <f t="shared" si="52"/>
        <v>0</v>
      </c>
      <c r="W132" s="119">
        <f t="shared" si="52"/>
        <v>0</v>
      </c>
      <c r="X132" s="119">
        <f t="shared" si="52"/>
        <v>0</v>
      </c>
      <c r="Y132" s="119">
        <f t="shared" si="52"/>
        <v>0</v>
      </c>
      <c r="Z132" s="119">
        <f t="shared" si="52"/>
        <v>0</v>
      </c>
      <c r="AA132" s="119">
        <f t="shared" si="52"/>
        <v>0</v>
      </c>
      <c r="AB132" s="119">
        <f t="shared" si="52"/>
        <v>0</v>
      </c>
      <c r="AC132" s="119">
        <f t="shared" si="52"/>
        <v>0</v>
      </c>
      <c r="AD132" s="119">
        <f t="shared" si="52"/>
        <v>0</v>
      </c>
      <c r="AE132" s="119">
        <f t="shared" si="52"/>
        <v>0</v>
      </c>
      <c r="AF132" s="119">
        <f t="shared" si="52"/>
        <v>0</v>
      </c>
      <c r="AG132" s="119">
        <f t="shared" si="52"/>
        <v>0</v>
      </c>
      <c r="AH132" s="119">
        <f t="shared" si="52"/>
        <v>0</v>
      </c>
      <c r="AI132" s="119">
        <f t="shared" si="52"/>
        <v>0</v>
      </c>
      <c r="AJ132" s="119">
        <f t="shared" si="52"/>
        <v>0</v>
      </c>
      <c r="AK132" s="119">
        <f t="shared" si="52"/>
        <v>0</v>
      </c>
      <c r="AL132" s="119">
        <f t="shared" si="52"/>
        <v>0</v>
      </c>
      <c r="AM132" s="119">
        <f t="shared" si="52"/>
        <v>0</v>
      </c>
      <c r="AN132" s="119">
        <f t="shared" si="52"/>
        <v>0</v>
      </c>
      <c r="AO132" s="119">
        <f t="shared" si="52"/>
        <v>0</v>
      </c>
      <c r="AP132" s="119">
        <f t="shared" si="52"/>
        <v>0</v>
      </c>
    </row>
    <row r="133" spans="1:42" x14ac:dyDescent="0.2">
      <c r="A133" s="87" t="s">
        <v>4</v>
      </c>
      <c r="B133" s="120"/>
      <c r="C133" s="120">
        <f>C$550</f>
        <v>0</v>
      </c>
      <c r="D133" s="120">
        <f t="shared" ref="D133:AP133" si="53">D$550</f>
        <v>0</v>
      </c>
      <c r="E133" s="120">
        <f t="shared" si="53"/>
        <v>0</v>
      </c>
      <c r="F133" s="120">
        <f t="shared" si="53"/>
        <v>0</v>
      </c>
      <c r="G133" s="120">
        <f t="shared" si="53"/>
        <v>0</v>
      </c>
      <c r="H133" s="120">
        <f t="shared" si="53"/>
        <v>0</v>
      </c>
      <c r="I133" s="120">
        <f t="shared" si="53"/>
        <v>0</v>
      </c>
      <c r="J133" s="120">
        <f t="shared" si="53"/>
        <v>0</v>
      </c>
      <c r="K133" s="120">
        <f t="shared" si="53"/>
        <v>0</v>
      </c>
      <c r="L133" s="120">
        <f t="shared" si="53"/>
        <v>0</v>
      </c>
      <c r="M133" s="120">
        <f t="shared" si="53"/>
        <v>0</v>
      </c>
      <c r="N133" s="120">
        <f t="shared" si="53"/>
        <v>0</v>
      </c>
      <c r="O133" s="120">
        <f t="shared" si="53"/>
        <v>0</v>
      </c>
      <c r="P133" s="120">
        <f t="shared" si="53"/>
        <v>0</v>
      </c>
      <c r="Q133" s="120">
        <f t="shared" si="53"/>
        <v>0</v>
      </c>
      <c r="R133" s="120">
        <f t="shared" si="53"/>
        <v>0</v>
      </c>
      <c r="S133" s="120">
        <f t="shared" si="53"/>
        <v>0</v>
      </c>
      <c r="T133" s="120">
        <f t="shared" si="53"/>
        <v>0</v>
      </c>
      <c r="U133" s="120">
        <f t="shared" si="53"/>
        <v>0</v>
      </c>
      <c r="V133" s="120">
        <f t="shared" si="53"/>
        <v>0</v>
      </c>
      <c r="W133" s="120">
        <f t="shared" si="53"/>
        <v>0</v>
      </c>
      <c r="X133" s="120">
        <f t="shared" si="53"/>
        <v>0</v>
      </c>
      <c r="Y133" s="120">
        <f t="shared" si="53"/>
        <v>0</v>
      </c>
      <c r="Z133" s="120">
        <f t="shared" si="53"/>
        <v>0</v>
      </c>
      <c r="AA133" s="120">
        <f t="shared" si="53"/>
        <v>0</v>
      </c>
      <c r="AB133" s="120">
        <f t="shared" si="53"/>
        <v>0</v>
      </c>
      <c r="AC133" s="120">
        <f t="shared" si="53"/>
        <v>0</v>
      </c>
      <c r="AD133" s="120">
        <f t="shared" si="53"/>
        <v>0</v>
      </c>
      <c r="AE133" s="120">
        <f t="shared" si="53"/>
        <v>0</v>
      </c>
      <c r="AF133" s="120">
        <f t="shared" si="53"/>
        <v>0</v>
      </c>
      <c r="AG133" s="120">
        <f t="shared" si="53"/>
        <v>0</v>
      </c>
      <c r="AH133" s="120">
        <f t="shared" si="53"/>
        <v>0</v>
      </c>
      <c r="AI133" s="120">
        <f t="shared" si="53"/>
        <v>0</v>
      </c>
      <c r="AJ133" s="120">
        <f t="shared" si="53"/>
        <v>0</v>
      </c>
      <c r="AK133" s="120">
        <f t="shared" si="53"/>
        <v>0</v>
      </c>
      <c r="AL133" s="120">
        <f t="shared" si="53"/>
        <v>0</v>
      </c>
      <c r="AM133" s="120">
        <f t="shared" si="53"/>
        <v>0</v>
      </c>
      <c r="AN133" s="120">
        <f t="shared" si="53"/>
        <v>0</v>
      </c>
      <c r="AO133" s="120">
        <f t="shared" si="53"/>
        <v>0</v>
      </c>
      <c r="AP133" s="120">
        <f t="shared" si="53"/>
        <v>0</v>
      </c>
    </row>
    <row r="134" spans="1:42" x14ac:dyDescent="0.2">
      <c r="A134" s="87" t="s">
        <v>13</v>
      </c>
      <c r="B134" s="119"/>
      <c r="C134" s="119">
        <f>SUM(C132:C133)</f>
        <v>0</v>
      </c>
      <c r="D134" s="119">
        <f t="shared" ref="D134:AP134" si="54">SUM(D132:D133)</f>
        <v>0</v>
      </c>
      <c r="E134" s="119">
        <f t="shared" si="54"/>
        <v>0</v>
      </c>
      <c r="F134" s="119">
        <f t="shared" si="54"/>
        <v>0</v>
      </c>
      <c r="G134" s="119">
        <f t="shared" si="54"/>
        <v>0</v>
      </c>
      <c r="H134" s="119">
        <f t="shared" si="54"/>
        <v>0</v>
      </c>
      <c r="I134" s="119">
        <f t="shared" si="54"/>
        <v>0</v>
      </c>
      <c r="J134" s="119">
        <f t="shared" si="54"/>
        <v>0</v>
      </c>
      <c r="K134" s="119">
        <f t="shared" si="54"/>
        <v>0</v>
      </c>
      <c r="L134" s="119">
        <f t="shared" si="54"/>
        <v>0</v>
      </c>
      <c r="M134" s="119">
        <f t="shared" si="54"/>
        <v>0</v>
      </c>
      <c r="N134" s="119">
        <f t="shared" si="54"/>
        <v>0</v>
      </c>
      <c r="O134" s="119">
        <f t="shared" si="54"/>
        <v>0</v>
      </c>
      <c r="P134" s="119">
        <f t="shared" si="54"/>
        <v>0</v>
      </c>
      <c r="Q134" s="119">
        <f t="shared" si="54"/>
        <v>0</v>
      </c>
      <c r="R134" s="119">
        <f t="shared" si="54"/>
        <v>0</v>
      </c>
      <c r="S134" s="119">
        <f t="shared" si="54"/>
        <v>0</v>
      </c>
      <c r="T134" s="119">
        <f t="shared" si="54"/>
        <v>0</v>
      </c>
      <c r="U134" s="119">
        <f t="shared" si="54"/>
        <v>0</v>
      </c>
      <c r="V134" s="119">
        <f t="shared" si="54"/>
        <v>0</v>
      </c>
      <c r="W134" s="119">
        <f t="shared" si="54"/>
        <v>0</v>
      </c>
      <c r="X134" s="119">
        <f t="shared" si="54"/>
        <v>0</v>
      </c>
      <c r="Y134" s="119">
        <f t="shared" si="54"/>
        <v>0</v>
      </c>
      <c r="Z134" s="119">
        <f t="shared" si="54"/>
        <v>0</v>
      </c>
      <c r="AA134" s="119">
        <f t="shared" si="54"/>
        <v>0</v>
      </c>
      <c r="AB134" s="119">
        <f t="shared" si="54"/>
        <v>0</v>
      </c>
      <c r="AC134" s="119">
        <f t="shared" si="54"/>
        <v>0</v>
      </c>
      <c r="AD134" s="119">
        <f t="shared" si="54"/>
        <v>0</v>
      </c>
      <c r="AE134" s="119">
        <f t="shared" si="54"/>
        <v>0</v>
      </c>
      <c r="AF134" s="119">
        <f t="shared" si="54"/>
        <v>0</v>
      </c>
      <c r="AG134" s="119">
        <f t="shared" si="54"/>
        <v>0</v>
      </c>
      <c r="AH134" s="119">
        <f t="shared" si="54"/>
        <v>0</v>
      </c>
      <c r="AI134" s="119">
        <f t="shared" si="54"/>
        <v>0</v>
      </c>
      <c r="AJ134" s="119">
        <f t="shared" si="54"/>
        <v>0</v>
      </c>
      <c r="AK134" s="119">
        <f t="shared" si="54"/>
        <v>0</v>
      </c>
      <c r="AL134" s="119">
        <f t="shared" si="54"/>
        <v>0</v>
      </c>
      <c r="AM134" s="119">
        <f t="shared" si="54"/>
        <v>0</v>
      </c>
      <c r="AN134" s="119">
        <f t="shared" si="54"/>
        <v>0</v>
      </c>
      <c r="AO134" s="119">
        <f t="shared" si="54"/>
        <v>0</v>
      </c>
      <c r="AP134" s="119">
        <f t="shared" si="54"/>
        <v>0</v>
      </c>
    </row>
    <row r="135" spans="1:42" x14ac:dyDescent="0.2">
      <c r="A135" s="86" t="s">
        <v>6</v>
      </c>
    </row>
    <row r="136" spans="1:42" x14ac:dyDescent="0.2">
      <c r="A136" s="87" t="s">
        <v>5</v>
      </c>
      <c r="B136" s="119">
        <f>B557</f>
        <v>0</v>
      </c>
      <c r="C136" s="119">
        <f t="shared" ref="C136:AO136" si="55">C557</f>
        <v>0</v>
      </c>
      <c r="D136" s="119">
        <f t="shared" si="55"/>
        <v>0</v>
      </c>
      <c r="E136" s="119">
        <f t="shared" si="55"/>
        <v>0</v>
      </c>
      <c r="F136" s="119">
        <f t="shared" si="55"/>
        <v>0</v>
      </c>
      <c r="G136" s="119">
        <f t="shared" si="55"/>
        <v>0</v>
      </c>
      <c r="H136" s="119">
        <f t="shared" si="55"/>
        <v>0</v>
      </c>
      <c r="I136" s="119">
        <f t="shared" si="55"/>
        <v>0</v>
      </c>
      <c r="J136" s="119">
        <f t="shared" si="55"/>
        <v>0</v>
      </c>
      <c r="K136" s="119">
        <f t="shared" si="55"/>
        <v>0</v>
      </c>
      <c r="L136" s="119">
        <f t="shared" si="55"/>
        <v>0</v>
      </c>
      <c r="M136" s="119">
        <f t="shared" si="55"/>
        <v>0</v>
      </c>
      <c r="N136" s="119">
        <f t="shared" si="55"/>
        <v>0</v>
      </c>
      <c r="O136" s="119">
        <f t="shared" si="55"/>
        <v>0</v>
      </c>
      <c r="P136" s="119">
        <f t="shared" si="55"/>
        <v>0</v>
      </c>
      <c r="Q136" s="119">
        <f t="shared" si="55"/>
        <v>0</v>
      </c>
      <c r="R136" s="119">
        <f t="shared" si="55"/>
        <v>0</v>
      </c>
      <c r="S136" s="119">
        <f t="shared" si="55"/>
        <v>0</v>
      </c>
      <c r="T136" s="119">
        <f t="shared" si="55"/>
        <v>0</v>
      </c>
      <c r="U136" s="119">
        <f t="shared" si="55"/>
        <v>0</v>
      </c>
      <c r="V136" s="119">
        <f t="shared" si="55"/>
        <v>0</v>
      </c>
      <c r="W136" s="119">
        <f t="shared" si="55"/>
        <v>0</v>
      </c>
      <c r="X136" s="119">
        <f t="shared" si="55"/>
        <v>0</v>
      </c>
      <c r="Y136" s="119">
        <f t="shared" si="55"/>
        <v>0</v>
      </c>
      <c r="Z136" s="119">
        <f t="shared" si="55"/>
        <v>0</v>
      </c>
      <c r="AA136" s="119">
        <f t="shared" si="55"/>
        <v>0</v>
      </c>
      <c r="AB136" s="119">
        <f t="shared" si="55"/>
        <v>0</v>
      </c>
      <c r="AC136" s="119">
        <f t="shared" si="55"/>
        <v>0</v>
      </c>
      <c r="AD136" s="119">
        <f t="shared" si="55"/>
        <v>0</v>
      </c>
      <c r="AE136" s="119">
        <f t="shared" si="55"/>
        <v>0</v>
      </c>
      <c r="AF136" s="119">
        <f t="shared" si="55"/>
        <v>0</v>
      </c>
      <c r="AG136" s="119">
        <f t="shared" si="55"/>
        <v>0</v>
      </c>
      <c r="AH136" s="119">
        <f t="shared" si="55"/>
        <v>0</v>
      </c>
      <c r="AI136" s="119">
        <f t="shared" si="55"/>
        <v>0</v>
      </c>
      <c r="AJ136" s="119">
        <f t="shared" si="55"/>
        <v>0</v>
      </c>
      <c r="AK136" s="119">
        <f t="shared" si="55"/>
        <v>0</v>
      </c>
      <c r="AL136" s="119">
        <f t="shared" si="55"/>
        <v>0</v>
      </c>
      <c r="AM136" s="119">
        <f t="shared" si="55"/>
        <v>0</v>
      </c>
      <c r="AN136" s="119">
        <f t="shared" si="55"/>
        <v>0</v>
      </c>
      <c r="AO136" s="119">
        <f t="shared" si="55"/>
        <v>0</v>
      </c>
      <c r="AP136" s="119">
        <f>AP557</f>
        <v>0</v>
      </c>
    </row>
    <row r="137" spans="1:42" x14ac:dyDescent="0.2">
      <c r="A137" s="87" t="s">
        <v>4</v>
      </c>
      <c r="B137" s="120">
        <f>B563</f>
        <v>0</v>
      </c>
      <c r="C137" s="120">
        <f t="shared" ref="C137:AO137" si="56">C563</f>
        <v>0</v>
      </c>
      <c r="D137" s="120">
        <f t="shared" si="56"/>
        <v>0</v>
      </c>
      <c r="E137" s="120">
        <f t="shared" si="56"/>
        <v>0</v>
      </c>
      <c r="F137" s="120">
        <f t="shared" si="56"/>
        <v>0</v>
      </c>
      <c r="G137" s="120">
        <f t="shared" si="56"/>
        <v>0</v>
      </c>
      <c r="H137" s="120">
        <f t="shared" si="56"/>
        <v>0</v>
      </c>
      <c r="I137" s="120">
        <f t="shared" si="56"/>
        <v>0</v>
      </c>
      <c r="J137" s="120">
        <f t="shared" si="56"/>
        <v>0</v>
      </c>
      <c r="K137" s="120">
        <f t="shared" si="56"/>
        <v>0</v>
      </c>
      <c r="L137" s="120">
        <f t="shared" si="56"/>
        <v>0</v>
      </c>
      <c r="M137" s="120">
        <f t="shared" si="56"/>
        <v>0</v>
      </c>
      <c r="N137" s="120">
        <f t="shared" si="56"/>
        <v>0</v>
      </c>
      <c r="O137" s="120">
        <f t="shared" si="56"/>
        <v>0</v>
      </c>
      <c r="P137" s="120">
        <f t="shared" si="56"/>
        <v>0</v>
      </c>
      <c r="Q137" s="120">
        <f t="shared" si="56"/>
        <v>0</v>
      </c>
      <c r="R137" s="120">
        <f t="shared" si="56"/>
        <v>0</v>
      </c>
      <c r="S137" s="120">
        <f t="shared" si="56"/>
        <v>0</v>
      </c>
      <c r="T137" s="120">
        <f t="shared" si="56"/>
        <v>0</v>
      </c>
      <c r="U137" s="120">
        <f t="shared" si="56"/>
        <v>0</v>
      </c>
      <c r="V137" s="120">
        <f t="shared" si="56"/>
        <v>0</v>
      </c>
      <c r="W137" s="120">
        <f t="shared" si="56"/>
        <v>0</v>
      </c>
      <c r="X137" s="120">
        <f t="shared" si="56"/>
        <v>0</v>
      </c>
      <c r="Y137" s="120">
        <f t="shared" si="56"/>
        <v>0</v>
      </c>
      <c r="Z137" s="120">
        <f t="shared" si="56"/>
        <v>0</v>
      </c>
      <c r="AA137" s="120">
        <f t="shared" si="56"/>
        <v>0</v>
      </c>
      <c r="AB137" s="120">
        <f t="shared" si="56"/>
        <v>0</v>
      </c>
      <c r="AC137" s="120">
        <f t="shared" si="56"/>
        <v>0</v>
      </c>
      <c r="AD137" s="120">
        <f t="shared" si="56"/>
        <v>0</v>
      </c>
      <c r="AE137" s="120">
        <f t="shared" si="56"/>
        <v>0</v>
      </c>
      <c r="AF137" s="120">
        <f t="shared" si="56"/>
        <v>0</v>
      </c>
      <c r="AG137" s="120">
        <f t="shared" si="56"/>
        <v>0</v>
      </c>
      <c r="AH137" s="120">
        <f t="shared" si="56"/>
        <v>0</v>
      </c>
      <c r="AI137" s="120">
        <f t="shared" si="56"/>
        <v>0</v>
      </c>
      <c r="AJ137" s="120">
        <f t="shared" si="56"/>
        <v>0</v>
      </c>
      <c r="AK137" s="120">
        <f t="shared" si="56"/>
        <v>0</v>
      </c>
      <c r="AL137" s="120">
        <f t="shared" si="56"/>
        <v>0</v>
      </c>
      <c r="AM137" s="120">
        <f t="shared" si="56"/>
        <v>0</v>
      </c>
      <c r="AN137" s="120">
        <f t="shared" si="56"/>
        <v>0</v>
      </c>
      <c r="AO137" s="120">
        <f t="shared" si="56"/>
        <v>0</v>
      </c>
      <c r="AP137" s="120">
        <f>AP563</f>
        <v>0</v>
      </c>
    </row>
    <row r="138" spans="1:42" x14ac:dyDescent="0.2">
      <c r="A138" s="87" t="s">
        <v>13</v>
      </c>
      <c r="B138" s="119">
        <f>SUM(B136:B137)</f>
        <v>0</v>
      </c>
      <c r="C138" s="119">
        <f>SUM(C136:C137)</f>
        <v>0</v>
      </c>
      <c r="D138" s="119">
        <f>SUM(D136:D137)</f>
        <v>0</v>
      </c>
      <c r="E138" s="119">
        <f t="shared" ref="E138:AP138" si="57">SUM(E136:E137)</f>
        <v>0</v>
      </c>
      <c r="F138" s="119">
        <f t="shared" si="57"/>
        <v>0</v>
      </c>
      <c r="G138" s="119">
        <f t="shared" si="57"/>
        <v>0</v>
      </c>
      <c r="H138" s="119">
        <f t="shared" si="57"/>
        <v>0</v>
      </c>
      <c r="I138" s="119">
        <f t="shared" si="57"/>
        <v>0</v>
      </c>
      <c r="J138" s="119">
        <f t="shared" si="57"/>
        <v>0</v>
      </c>
      <c r="K138" s="119">
        <f t="shared" si="57"/>
        <v>0</v>
      </c>
      <c r="L138" s="119">
        <f t="shared" si="57"/>
        <v>0</v>
      </c>
      <c r="M138" s="119">
        <f t="shared" si="57"/>
        <v>0</v>
      </c>
      <c r="N138" s="119">
        <f t="shared" si="57"/>
        <v>0</v>
      </c>
      <c r="O138" s="119">
        <f t="shared" si="57"/>
        <v>0</v>
      </c>
      <c r="P138" s="119">
        <f t="shared" si="57"/>
        <v>0</v>
      </c>
      <c r="Q138" s="119">
        <f t="shared" si="57"/>
        <v>0</v>
      </c>
      <c r="R138" s="119">
        <f t="shared" si="57"/>
        <v>0</v>
      </c>
      <c r="S138" s="119">
        <f t="shared" si="57"/>
        <v>0</v>
      </c>
      <c r="T138" s="119">
        <f t="shared" si="57"/>
        <v>0</v>
      </c>
      <c r="U138" s="119">
        <f t="shared" si="57"/>
        <v>0</v>
      </c>
      <c r="V138" s="119">
        <f t="shared" si="57"/>
        <v>0</v>
      </c>
      <c r="W138" s="119">
        <f t="shared" si="57"/>
        <v>0</v>
      </c>
      <c r="X138" s="119">
        <f t="shared" si="57"/>
        <v>0</v>
      </c>
      <c r="Y138" s="119">
        <f t="shared" si="57"/>
        <v>0</v>
      </c>
      <c r="Z138" s="119">
        <f t="shared" si="57"/>
        <v>0</v>
      </c>
      <c r="AA138" s="119">
        <f t="shared" si="57"/>
        <v>0</v>
      </c>
      <c r="AB138" s="119">
        <f t="shared" si="57"/>
        <v>0</v>
      </c>
      <c r="AC138" s="119">
        <f t="shared" si="57"/>
        <v>0</v>
      </c>
      <c r="AD138" s="119">
        <f t="shared" si="57"/>
        <v>0</v>
      </c>
      <c r="AE138" s="119">
        <f t="shared" si="57"/>
        <v>0</v>
      </c>
      <c r="AF138" s="119">
        <f t="shared" si="57"/>
        <v>0</v>
      </c>
      <c r="AG138" s="119">
        <f t="shared" si="57"/>
        <v>0</v>
      </c>
      <c r="AH138" s="119">
        <f t="shared" si="57"/>
        <v>0</v>
      </c>
      <c r="AI138" s="119">
        <f t="shared" si="57"/>
        <v>0</v>
      </c>
      <c r="AJ138" s="119">
        <f t="shared" si="57"/>
        <v>0</v>
      </c>
      <c r="AK138" s="119">
        <f t="shared" si="57"/>
        <v>0</v>
      </c>
      <c r="AL138" s="119">
        <f t="shared" si="57"/>
        <v>0</v>
      </c>
      <c r="AM138" s="119">
        <f t="shared" si="57"/>
        <v>0</v>
      </c>
      <c r="AN138" s="119">
        <f t="shared" si="57"/>
        <v>0</v>
      </c>
      <c r="AO138" s="119">
        <f t="shared" si="57"/>
        <v>0</v>
      </c>
      <c r="AP138" s="119">
        <f t="shared" si="57"/>
        <v>0</v>
      </c>
    </row>
    <row r="139" spans="1:42" x14ac:dyDescent="0.2">
      <c r="A139" s="86" t="s">
        <v>71</v>
      </c>
    </row>
    <row r="140" spans="1:42" x14ac:dyDescent="0.2">
      <c r="A140" s="87" t="s">
        <v>5</v>
      </c>
      <c r="B140" s="119">
        <f>B210</f>
        <v>0</v>
      </c>
      <c r="C140" s="119">
        <f>C210</f>
        <v>0</v>
      </c>
      <c r="D140" s="119">
        <f t="shared" ref="D140:AP140" si="58">D210</f>
        <v>0</v>
      </c>
      <c r="E140" s="119">
        <f t="shared" si="58"/>
        <v>0</v>
      </c>
      <c r="F140" s="119">
        <f t="shared" si="58"/>
        <v>0</v>
      </c>
      <c r="G140" s="119">
        <f t="shared" si="58"/>
        <v>0</v>
      </c>
      <c r="H140" s="119">
        <f t="shared" si="58"/>
        <v>0</v>
      </c>
      <c r="I140" s="119">
        <f t="shared" si="58"/>
        <v>0</v>
      </c>
      <c r="J140" s="119">
        <f t="shared" si="58"/>
        <v>0</v>
      </c>
      <c r="K140" s="119">
        <f t="shared" si="58"/>
        <v>0</v>
      </c>
      <c r="L140" s="119">
        <f t="shared" si="58"/>
        <v>0</v>
      </c>
      <c r="M140" s="119">
        <f t="shared" si="58"/>
        <v>0</v>
      </c>
      <c r="N140" s="119">
        <f t="shared" si="58"/>
        <v>0</v>
      </c>
      <c r="O140" s="119">
        <f t="shared" si="58"/>
        <v>0</v>
      </c>
      <c r="P140" s="119">
        <f t="shared" si="58"/>
        <v>0</v>
      </c>
      <c r="Q140" s="119">
        <f t="shared" si="58"/>
        <v>0</v>
      </c>
      <c r="R140" s="119">
        <f t="shared" si="58"/>
        <v>0</v>
      </c>
      <c r="S140" s="119">
        <f t="shared" si="58"/>
        <v>0</v>
      </c>
      <c r="T140" s="119">
        <f t="shared" si="58"/>
        <v>0</v>
      </c>
      <c r="U140" s="119">
        <f t="shared" si="58"/>
        <v>0</v>
      </c>
      <c r="V140" s="119">
        <f t="shared" si="58"/>
        <v>0</v>
      </c>
      <c r="W140" s="119">
        <f t="shared" si="58"/>
        <v>0</v>
      </c>
      <c r="X140" s="119">
        <f t="shared" si="58"/>
        <v>0</v>
      </c>
      <c r="Y140" s="119">
        <f t="shared" si="58"/>
        <v>0</v>
      </c>
      <c r="Z140" s="119">
        <f t="shared" si="58"/>
        <v>0</v>
      </c>
      <c r="AA140" s="119">
        <f t="shared" si="58"/>
        <v>0</v>
      </c>
      <c r="AB140" s="119">
        <f t="shared" si="58"/>
        <v>0</v>
      </c>
      <c r="AC140" s="119">
        <f t="shared" si="58"/>
        <v>0</v>
      </c>
      <c r="AD140" s="119">
        <f t="shared" si="58"/>
        <v>0</v>
      </c>
      <c r="AE140" s="119">
        <f t="shared" si="58"/>
        <v>0</v>
      </c>
      <c r="AF140" s="119">
        <f t="shared" si="58"/>
        <v>0</v>
      </c>
      <c r="AG140" s="119">
        <f t="shared" si="58"/>
        <v>0</v>
      </c>
      <c r="AH140" s="119">
        <f t="shared" si="58"/>
        <v>0</v>
      </c>
      <c r="AI140" s="119">
        <f t="shared" si="58"/>
        <v>0</v>
      </c>
      <c r="AJ140" s="119">
        <f t="shared" si="58"/>
        <v>0</v>
      </c>
      <c r="AK140" s="119">
        <f t="shared" si="58"/>
        <v>0</v>
      </c>
      <c r="AL140" s="119">
        <f t="shared" si="58"/>
        <v>0</v>
      </c>
      <c r="AM140" s="119">
        <f t="shared" si="58"/>
        <v>0</v>
      </c>
      <c r="AN140" s="119">
        <f t="shared" si="58"/>
        <v>0</v>
      </c>
      <c r="AO140" s="119">
        <f t="shared" si="58"/>
        <v>0</v>
      </c>
      <c r="AP140" s="119">
        <f t="shared" si="58"/>
        <v>0</v>
      </c>
    </row>
    <row r="141" spans="1:42" x14ac:dyDescent="0.2">
      <c r="A141" s="87" t="s">
        <v>4</v>
      </c>
      <c r="B141" s="119">
        <f>B250</f>
        <v>0</v>
      </c>
      <c r="C141" s="119">
        <f>C250</f>
        <v>0</v>
      </c>
      <c r="D141" s="119">
        <f t="shared" ref="D141:AP141" si="59">D250</f>
        <v>0</v>
      </c>
      <c r="E141" s="119">
        <f t="shared" si="59"/>
        <v>0</v>
      </c>
      <c r="F141" s="119">
        <f t="shared" si="59"/>
        <v>0</v>
      </c>
      <c r="G141" s="119">
        <f t="shared" si="59"/>
        <v>0</v>
      </c>
      <c r="H141" s="119">
        <f t="shared" si="59"/>
        <v>0</v>
      </c>
      <c r="I141" s="119">
        <f t="shared" si="59"/>
        <v>0</v>
      </c>
      <c r="J141" s="119">
        <f t="shared" si="59"/>
        <v>0</v>
      </c>
      <c r="K141" s="119">
        <f t="shared" si="59"/>
        <v>0</v>
      </c>
      <c r="L141" s="119">
        <f t="shared" si="59"/>
        <v>0</v>
      </c>
      <c r="M141" s="119">
        <f t="shared" si="59"/>
        <v>0</v>
      </c>
      <c r="N141" s="119">
        <f t="shared" si="59"/>
        <v>0</v>
      </c>
      <c r="O141" s="119">
        <f t="shared" si="59"/>
        <v>0</v>
      </c>
      <c r="P141" s="119">
        <f t="shared" si="59"/>
        <v>0</v>
      </c>
      <c r="Q141" s="119">
        <f t="shared" si="59"/>
        <v>0</v>
      </c>
      <c r="R141" s="119">
        <f t="shared" si="59"/>
        <v>0</v>
      </c>
      <c r="S141" s="119">
        <f t="shared" si="59"/>
        <v>0</v>
      </c>
      <c r="T141" s="119">
        <f t="shared" si="59"/>
        <v>0</v>
      </c>
      <c r="U141" s="119">
        <f t="shared" si="59"/>
        <v>0</v>
      </c>
      <c r="V141" s="119">
        <f t="shared" si="59"/>
        <v>0</v>
      </c>
      <c r="W141" s="119">
        <f t="shared" si="59"/>
        <v>0</v>
      </c>
      <c r="X141" s="119">
        <f t="shared" si="59"/>
        <v>0</v>
      </c>
      <c r="Y141" s="119">
        <f t="shared" si="59"/>
        <v>0</v>
      </c>
      <c r="Z141" s="119">
        <f t="shared" si="59"/>
        <v>0</v>
      </c>
      <c r="AA141" s="119">
        <f t="shared" si="59"/>
        <v>0</v>
      </c>
      <c r="AB141" s="119">
        <f t="shared" si="59"/>
        <v>0</v>
      </c>
      <c r="AC141" s="119">
        <f t="shared" si="59"/>
        <v>0</v>
      </c>
      <c r="AD141" s="119">
        <f t="shared" si="59"/>
        <v>0</v>
      </c>
      <c r="AE141" s="119">
        <f t="shared" si="59"/>
        <v>0</v>
      </c>
      <c r="AF141" s="119">
        <f t="shared" si="59"/>
        <v>0</v>
      </c>
      <c r="AG141" s="119">
        <f t="shared" si="59"/>
        <v>0</v>
      </c>
      <c r="AH141" s="119">
        <f t="shared" si="59"/>
        <v>0</v>
      </c>
      <c r="AI141" s="119">
        <f t="shared" si="59"/>
        <v>0</v>
      </c>
      <c r="AJ141" s="119">
        <f t="shared" si="59"/>
        <v>0</v>
      </c>
      <c r="AK141" s="119">
        <f t="shared" si="59"/>
        <v>0</v>
      </c>
      <c r="AL141" s="119">
        <f t="shared" si="59"/>
        <v>0</v>
      </c>
      <c r="AM141" s="119">
        <f t="shared" si="59"/>
        <v>0</v>
      </c>
      <c r="AN141" s="119">
        <f t="shared" si="59"/>
        <v>0</v>
      </c>
      <c r="AO141" s="119">
        <f t="shared" si="59"/>
        <v>0</v>
      </c>
      <c r="AP141" s="119">
        <f t="shared" si="59"/>
        <v>0</v>
      </c>
    </row>
    <row r="142" spans="1:42" x14ac:dyDescent="0.2">
      <c r="A142" s="87" t="s">
        <v>13</v>
      </c>
      <c r="B142" s="119">
        <f>SUM(B140:B141)</f>
        <v>0</v>
      </c>
      <c r="C142" s="119">
        <f>SUM(C140:C141)</f>
        <v>0</v>
      </c>
      <c r="D142" s="119">
        <f>SUM(D140:D141)</f>
        <v>0</v>
      </c>
      <c r="E142" s="119">
        <f t="shared" ref="E142:AP142" si="60">SUM(E140:E141)</f>
        <v>0</v>
      </c>
      <c r="F142" s="119">
        <f t="shared" si="60"/>
        <v>0</v>
      </c>
      <c r="G142" s="119">
        <f t="shared" si="60"/>
        <v>0</v>
      </c>
      <c r="H142" s="119">
        <f t="shared" si="60"/>
        <v>0</v>
      </c>
      <c r="I142" s="119">
        <f t="shared" si="60"/>
        <v>0</v>
      </c>
      <c r="J142" s="119">
        <f t="shared" si="60"/>
        <v>0</v>
      </c>
      <c r="K142" s="119">
        <f t="shared" si="60"/>
        <v>0</v>
      </c>
      <c r="L142" s="119">
        <f t="shared" si="60"/>
        <v>0</v>
      </c>
      <c r="M142" s="119">
        <f t="shared" si="60"/>
        <v>0</v>
      </c>
      <c r="N142" s="119">
        <f t="shared" si="60"/>
        <v>0</v>
      </c>
      <c r="O142" s="119">
        <f t="shared" si="60"/>
        <v>0</v>
      </c>
      <c r="P142" s="119">
        <f t="shared" si="60"/>
        <v>0</v>
      </c>
      <c r="Q142" s="119">
        <f t="shared" si="60"/>
        <v>0</v>
      </c>
      <c r="R142" s="119">
        <f t="shared" si="60"/>
        <v>0</v>
      </c>
      <c r="S142" s="119">
        <f t="shared" si="60"/>
        <v>0</v>
      </c>
      <c r="T142" s="119">
        <f t="shared" si="60"/>
        <v>0</v>
      </c>
      <c r="U142" s="119">
        <f t="shared" si="60"/>
        <v>0</v>
      </c>
      <c r="V142" s="119">
        <f t="shared" si="60"/>
        <v>0</v>
      </c>
      <c r="W142" s="119">
        <f t="shared" si="60"/>
        <v>0</v>
      </c>
      <c r="X142" s="119">
        <f t="shared" si="60"/>
        <v>0</v>
      </c>
      <c r="Y142" s="119">
        <f t="shared" si="60"/>
        <v>0</v>
      </c>
      <c r="Z142" s="119">
        <f t="shared" si="60"/>
        <v>0</v>
      </c>
      <c r="AA142" s="119">
        <f t="shared" si="60"/>
        <v>0</v>
      </c>
      <c r="AB142" s="119">
        <f t="shared" si="60"/>
        <v>0</v>
      </c>
      <c r="AC142" s="119">
        <f t="shared" si="60"/>
        <v>0</v>
      </c>
      <c r="AD142" s="119">
        <f t="shared" si="60"/>
        <v>0</v>
      </c>
      <c r="AE142" s="119">
        <f t="shared" si="60"/>
        <v>0</v>
      </c>
      <c r="AF142" s="119">
        <f t="shared" si="60"/>
        <v>0</v>
      </c>
      <c r="AG142" s="119">
        <f t="shared" si="60"/>
        <v>0</v>
      </c>
      <c r="AH142" s="119">
        <f t="shared" si="60"/>
        <v>0</v>
      </c>
      <c r="AI142" s="119">
        <f t="shared" si="60"/>
        <v>0</v>
      </c>
      <c r="AJ142" s="119">
        <f t="shared" si="60"/>
        <v>0</v>
      </c>
      <c r="AK142" s="119">
        <f t="shared" si="60"/>
        <v>0</v>
      </c>
      <c r="AL142" s="119">
        <f t="shared" si="60"/>
        <v>0</v>
      </c>
      <c r="AM142" s="119">
        <f t="shared" si="60"/>
        <v>0</v>
      </c>
      <c r="AN142" s="119">
        <f t="shared" si="60"/>
        <v>0</v>
      </c>
      <c r="AO142" s="119">
        <f t="shared" si="60"/>
        <v>0</v>
      </c>
      <c r="AP142" s="119">
        <f t="shared" si="60"/>
        <v>0</v>
      </c>
    </row>
    <row r="143" spans="1:42" x14ac:dyDescent="0.2">
      <c r="A143" s="202" t="s">
        <v>13</v>
      </c>
      <c r="B143" s="134">
        <f t="shared" ref="B143:AP143" si="61">B128+B134+B138+B142</f>
        <v>0</v>
      </c>
      <c r="C143" s="134">
        <f t="shared" si="61"/>
        <v>0</v>
      </c>
      <c r="D143" s="134">
        <f t="shared" si="61"/>
        <v>0</v>
      </c>
      <c r="E143" s="134">
        <f t="shared" si="61"/>
        <v>0</v>
      </c>
      <c r="F143" s="134">
        <f t="shared" si="61"/>
        <v>0</v>
      </c>
      <c r="G143" s="134">
        <f t="shared" si="61"/>
        <v>0</v>
      </c>
      <c r="H143" s="134">
        <f t="shared" si="61"/>
        <v>0</v>
      </c>
      <c r="I143" s="134">
        <f t="shared" si="61"/>
        <v>0</v>
      </c>
      <c r="J143" s="134">
        <f t="shared" si="61"/>
        <v>0</v>
      </c>
      <c r="K143" s="134">
        <f t="shared" si="61"/>
        <v>0</v>
      </c>
      <c r="L143" s="134">
        <f t="shared" si="61"/>
        <v>0</v>
      </c>
      <c r="M143" s="134">
        <f t="shared" si="61"/>
        <v>0</v>
      </c>
      <c r="N143" s="134">
        <f t="shared" si="61"/>
        <v>0</v>
      </c>
      <c r="O143" s="134">
        <f t="shared" si="61"/>
        <v>0</v>
      </c>
      <c r="P143" s="134">
        <f t="shared" si="61"/>
        <v>0</v>
      </c>
      <c r="Q143" s="134">
        <f t="shared" si="61"/>
        <v>0</v>
      </c>
      <c r="R143" s="134">
        <f t="shared" si="61"/>
        <v>0</v>
      </c>
      <c r="S143" s="134">
        <f t="shared" si="61"/>
        <v>0</v>
      </c>
      <c r="T143" s="134">
        <f t="shared" si="61"/>
        <v>0</v>
      </c>
      <c r="U143" s="134">
        <f t="shared" si="61"/>
        <v>0</v>
      </c>
      <c r="V143" s="134">
        <f t="shared" si="61"/>
        <v>0</v>
      </c>
      <c r="W143" s="134">
        <f t="shared" si="61"/>
        <v>0</v>
      </c>
      <c r="X143" s="134">
        <f t="shared" si="61"/>
        <v>0</v>
      </c>
      <c r="Y143" s="134">
        <f t="shared" si="61"/>
        <v>0</v>
      </c>
      <c r="Z143" s="134">
        <f t="shared" si="61"/>
        <v>0</v>
      </c>
      <c r="AA143" s="134">
        <f t="shared" si="61"/>
        <v>0</v>
      </c>
      <c r="AB143" s="134">
        <f t="shared" si="61"/>
        <v>0</v>
      </c>
      <c r="AC143" s="134">
        <f t="shared" si="61"/>
        <v>0</v>
      </c>
      <c r="AD143" s="134">
        <f t="shared" si="61"/>
        <v>0</v>
      </c>
      <c r="AE143" s="134">
        <f t="shared" si="61"/>
        <v>0</v>
      </c>
      <c r="AF143" s="134">
        <f t="shared" si="61"/>
        <v>0</v>
      </c>
      <c r="AG143" s="134">
        <f t="shared" si="61"/>
        <v>0</v>
      </c>
      <c r="AH143" s="134">
        <f t="shared" si="61"/>
        <v>0</v>
      </c>
      <c r="AI143" s="134">
        <f t="shared" si="61"/>
        <v>0</v>
      </c>
      <c r="AJ143" s="134">
        <f t="shared" si="61"/>
        <v>0</v>
      </c>
      <c r="AK143" s="134">
        <f t="shared" si="61"/>
        <v>0</v>
      </c>
      <c r="AL143" s="134">
        <f t="shared" si="61"/>
        <v>0</v>
      </c>
      <c r="AM143" s="134">
        <f t="shared" si="61"/>
        <v>0</v>
      </c>
      <c r="AN143" s="134">
        <f t="shared" si="61"/>
        <v>0</v>
      </c>
      <c r="AO143" s="134">
        <f t="shared" si="61"/>
        <v>0</v>
      </c>
      <c r="AP143" s="134">
        <f t="shared" si="61"/>
        <v>0</v>
      </c>
    </row>
    <row r="144" spans="1:42" x14ac:dyDescent="0.2">
      <c r="A144" s="86"/>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row>
    <row r="145" spans="1:42" x14ac:dyDescent="0.2">
      <c r="A145" s="80" t="s">
        <v>317</v>
      </c>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row>
    <row r="146" spans="1:42" x14ac:dyDescent="0.2">
      <c r="A146" s="87"/>
    </row>
    <row r="147" spans="1:42" x14ac:dyDescent="0.2">
      <c r="A147" s="86" t="s">
        <v>193</v>
      </c>
      <c r="B147" s="97">
        <f>ROUND(IF(ISERROR(IRR($B143:B143)),0,IRR($B143:B143)*100),4)</f>
        <v>0</v>
      </c>
      <c r="C147" s="97">
        <f>ROUND(IF(ISERROR(IRR($B143:C143)),0,IRR($B143:C143)*100),4)</f>
        <v>0</v>
      </c>
      <c r="D147" s="97">
        <f>ROUND(IF(ISERROR(IRR($B143:D143)),0,IRR($B143:D143)*100),4)</f>
        <v>0</v>
      </c>
      <c r="E147" s="97">
        <f>ROUND(IF(ISERROR(IRR($B143:E143)),0,IRR($B143:E143)*100),4)</f>
        <v>0</v>
      </c>
      <c r="F147" s="97">
        <f>ROUND(IF(ISERROR(IRR($B143:F143)),0,IRR($B143:F143)*100),4)</f>
        <v>0</v>
      </c>
      <c r="G147" s="97">
        <f>ROUND(IF(ISERROR(IRR($B143:G143)),0,IRR($B143:G143)*100),4)</f>
        <v>0</v>
      </c>
      <c r="H147" s="97">
        <f>ROUND(IF(ISERROR(IRR($B143:H143)),0,IRR($B143:H143)*100),4)</f>
        <v>0</v>
      </c>
      <c r="I147" s="97">
        <f>ROUND(IF(ISERROR(IRR($B143:I143)),0,IRR($B143:I143)*100),4)</f>
        <v>0</v>
      </c>
      <c r="J147" s="97">
        <f>ROUND(IF(ISERROR(IRR($B143:J143)),0,IRR($B143:J143)*100),4)</f>
        <v>0</v>
      </c>
      <c r="K147" s="97">
        <f>ROUND(IF(ISERROR(IRR($B143:K143)),0,IRR($B143:K143)*100),4)</f>
        <v>0</v>
      </c>
      <c r="L147" s="97">
        <f>ROUND(IF(ISERROR(IRR($B143:L143)),0,IRR($B143:L143)*100),4)</f>
        <v>0</v>
      </c>
      <c r="M147" s="97">
        <f>ROUND(IF(ISERROR(IRR($B143:M143)),0,IRR($B143:M143)*100),4)</f>
        <v>0</v>
      </c>
      <c r="N147" s="97">
        <f>ROUND(IF(ISERROR(IRR($B143:N143)),0,IRR($B143:N143)*100),4)</f>
        <v>0</v>
      </c>
      <c r="O147" s="97">
        <f>ROUND(IF(ISERROR(IRR($B143:O143)),0,IRR($B143:O143)*100),4)</f>
        <v>0</v>
      </c>
      <c r="P147" s="97">
        <f>ROUND(IF(ISERROR(IRR($B143:P143)),0,IRR($B143:P143)*100),4)</f>
        <v>0</v>
      </c>
      <c r="Q147" s="97">
        <f>ROUND(IF(ISERROR(IRR($B143:Q143)),0,IRR($B143:Q143)*100),4)</f>
        <v>0</v>
      </c>
      <c r="R147" s="97">
        <f>ROUND(IF(ISERROR(IRR($B143:R143)),0,IRR($B143:R143)*100),4)</f>
        <v>0</v>
      </c>
      <c r="S147" s="97">
        <f>ROUND(IF(ISERROR(IRR($B143:S143)),0,IRR($B143:S143)*100),4)</f>
        <v>0</v>
      </c>
      <c r="T147" s="97">
        <f>ROUND(IF(ISERROR(IRR($B143:T143)),0,IRR($B143:T143)*100),4)</f>
        <v>0</v>
      </c>
      <c r="U147" s="97">
        <f>ROUND(IF(ISERROR(IRR($B143:U143)),0,IRR($B143:U143)*100),4)</f>
        <v>0</v>
      </c>
      <c r="V147" s="97">
        <f>ROUND(IF(ISERROR(IRR($B143:V143)),0,IRR($B143:V143)*100),4)</f>
        <v>0</v>
      </c>
      <c r="W147" s="97">
        <f>ROUND(IF(ISERROR(IRR($B143:W143)),0,IRR($B143:W143)*100),4)</f>
        <v>0</v>
      </c>
      <c r="X147" s="97">
        <f>ROUND(IF(ISERROR(IRR($B143:X143)),0,IRR($B143:X143)*100),4)</f>
        <v>0</v>
      </c>
      <c r="Y147" s="97">
        <f>ROUND(IF(ISERROR(IRR($B143:Y143)),0,IRR($B143:Y143)*100),4)</f>
        <v>0</v>
      </c>
      <c r="Z147" s="97">
        <f>ROUND(IF(ISERROR(IRR($B143:Z143)),0,IRR($B143:Z143)*100),4)</f>
        <v>0</v>
      </c>
      <c r="AA147" s="97">
        <f>ROUND(IF(ISERROR(IRR($B143:AA143)),0,IRR($B143:AA143)*100),4)</f>
        <v>0</v>
      </c>
      <c r="AB147" s="97">
        <f>ROUND(IF(ISERROR(IRR($B143:AB143)),0,IRR($B143:AB143)*100),4)</f>
        <v>0</v>
      </c>
      <c r="AC147" s="97">
        <f>ROUND(IF(ISERROR(IRR($B143:AC143)),0,IRR($B143:AC143)*100),4)</f>
        <v>0</v>
      </c>
      <c r="AD147" s="97">
        <f>ROUND(IF(ISERROR(IRR($B143:AD143)),0,IRR($B143:AD143)*100),4)</f>
        <v>0</v>
      </c>
      <c r="AE147" s="97">
        <f>ROUND(IF(ISERROR(IRR($B143:AE143)),0,IRR($B143:AE143)*100),4)</f>
        <v>0</v>
      </c>
      <c r="AF147" s="97">
        <f>ROUND(IF(ISERROR(IRR($B143:AF143)),0,IRR($B143:AF143)*100),4)</f>
        <v>0</v>
      </c>
      <c r="AG147" s="97">
        <f>ROUND(IF(ISERROR(IRR($B143:AG143)),0,IRR($B143:AG143)*100),4)</f>
        <v>0</v>
      </c>
      <c r="AH147" s="97">
        <f>ROUND(IF(ISERROR(IRR($B143:AH143)),0,IRR($B143:AH143)*100),4)</f>
        <v>0</v>
      </c>
      <c r="AI147" s="97">
        <f>ROUND(IF(ISERROR(IRR($B143:AI143)),0,IRR($B143:AI143)*100),4)</f>
        <v>0</v>
      </c>
      <c r="AJ147" s="97">
        <f>ROUND(IF(ISERROR(IRR($B143:AJ143)),0,IRR($B143:AJ143)*100),4)</f>
        <v>0</v>
      </c>
      <c r="AK147" s="97">
        <f>ROUND(IF(ISERROR(IRR($B143:AK143)),0,IRR($B143:AK143)*100),4)</f>
        <v>0</v>
      </c>
      <c r="AL147" s="97">
        <f>ROUND(IF(ISERROR(IRR($B143:AL143)),0,IRR($B143:AL143)*100),4)</f>
        <v>0</v>
      </c>
      <c r="AM147" s="97">
        <f>ROUND(IF(ISERROR(IRR($B143:AM143)),0,IRR($B143:AM143)*100),4)</f>
        <v>0</v>
      </c>
      <c r="AN147" s="97">
        <f>ROUND(IF(ISERROR(IRR($B143:AN143)),0,IRR($B143:AN143)*100),4)</f>
        <v>0</v>
      </c>
      <c r="AO147" s="97">
        <f>ROUND(IF(ISERROR(IRR($B143:AO143)),0,IRR($B143:AO143)*100),4)</f>
        <v>0</v>
      </c>
      <c r="AP147" s="97">
        <f>ROUND(IF(ISERROR(IRR($B143:AP143)),0,IRR($B143:AP143)*100),4)</f>
        <v>0</v>
      </c>
    </row>
    <row r="148" spans="1:42" x14ac:dyDescent="0.2">
      <c r="A148" s="21" t="s">
        <v>8</v>
      </c>
      <c r="B148" s="97">
        <f>MAX($B$147:B147)</f>
        <v>0</v>
      </c>
      <c r="C148" s="97">
        <f>MAX($B$147:C147)</f>
        <v>0</v>
      </c>
      <c r="D148" s="97">
        <f>MAX($B$147:D147)</f>
        <v>0</v>
      </c>
      <c r="E148" s="97">
        <f>MAX($B$147:E147)</f>
        <v>0</v>
      </c>
      <c r="F148" s="97">
        <f>MAX($B$147:F147)</f>
        <v>0</v>
      </c>
      <c r="G148" s="97">
        <f>MAX($B$147:G147)</f>
        <v>0</v>
      </c>
      <c r="H148" s="97">
        <f>MAX($B$147:H147)</f>
        <v>0</v>
      </c>
      <c r="I148" s="97">
        <f>MAX($B$147:I147)</f>
        <v>0</v>
      </c>
      <c r="J148" s="97">
        <f>MAX($B$147:J147)</f>
        <v>0</v>
      </c>
      <c r="K148" s="97">
        <f>MAX($B$147:K147)</f>
        <v>0</v>
      </c>
      <c r="L148" s="97">
        <f>MAX($B$147:L147)</f>
        <v>0</v>
      </c>
      <c r="M148" s="97">
        <f>MAX($B$147:M147)</f>
        <v>0</v>
      </c>
      <c r="N148" s="97">
        <f>MAX($B$147:N147)</f>
        <v>0</v>
      </c>
      <c r="O148" s="97">
        <f>MAX($B$147:O147)</f>
        <v>0</v>
      </c>
      <c r="P148" s="97">
        <f>MAX($B$147:P147)</f>
        <v>0</v>
      </c>
      <c r="Q148" s="97">
        <f>MAX($B$147:Q147)</f>
        <v>0</v>
      </c>
      <c r="R148" s="97">
        <f>MAX($B$147:R147)</f>
        <v>0</v>
      </c>
      <c r="S148" s="97">
        <f>MAX($B$147:S147)</f>
        <v>0</v>
      </c>
      <c r="T148" s="97">
        <f>MAX($B$147:T147)</f>
        <v>0</v>
      </c>
      <c r="U148" s="97">
        <f>MAX($B$147:U147)</f>
        <v>0</v>
      </c>
      <c r="V148" s="97">
        <f>MAX($B$147:V147)</f>
        <v>0</v>
      </c>
      <c r="W148" s="97">
        <f>MAX($B$147:W147)</f>
        <v>0</v>
      </c>
      <c r="X148" s="97">
        <f>MAX($B$147:X147)</f>
        <v>0</v>
      </c>
      <c r="Y148" s="97">
        <f>MAX($B$147:Y147)</f>
        <v>0</v>
      </c>
      <c r="Z148" s="97">
        <f>MAX($B$147:Z147)</f>
        <v>0</v>
      </c>
      <c r="AA148" s="97">
        <f>MAX($B$147:AA147)</f>
        <v>0</v>
      </c>
      <c r="AB148" s="97">
        <f>MAX($B$147:AB147)</f>
        <v>0</v>
      </c>
      <c r="AC148" s="97">
        <f>MAX($B$147:AC147)</f>
        <v>0</v>
      </c>
      <c r="AD148" s="97">
        <f>MAX($B$147:AD147)</f>
        <v>0</v>
      </c>
      <c r="AE148" s="97">
        <f>MAX($B$147:AE147)</f>
        <v>0</v>
      </c>
      <c r="AF148" s="97">
        <f>MAX($B$147:AF147)</f>
        <v>0</v>
      </c>
      <c r="AG148" s="97">
        <f>MAX($B$147:AG147)</f>
        <v>0</v>
      </c>
      <c r="AH148" s="97">
        <f>MAX($B$147:AH147)</f>
        <v>0</v>
      </c>
      <c r="AI148" s="97">
        <f>MAX($B$147:AI147)</f>
        <v>0</v>
      </c>
      <c r="AJ148" s="97">
        <f>MAX($B$147:AJ147)</f>
        <v>0</v>
      </c>
      <c r="AK148" s="97">
        <f>MAX($B$147:AK147)</f>
        <v>0</v>
      </c>
      <c r="AL148" s="97">
        <f>MAX($B$147:AL147)</f>
        <v>0</v>
      </c>
      <c r="AM148" s="97">
        <f>MAX($B$147:AM147)</f>
        <v>0</v>
      </c>
      <c r="AN148" s="97">
        <f>MAX($B$147:AN147)</f>
        <v>0</v>
      </c>
      <c r="AO148" s="97">
        <f>MAX($B$147:AO147)</f>
        <v>0</v>
      </c>
      <c r="AP148" s="97">
        <f>MAX($B$147:AP147)</f>
        <v>0</v>
      </c>
    </row>
    <row r="149" spans="1:42" x14ac:dyDescent="0.2">
      <c r="A149" s="86" t="s">
        <v>194</v>
      </c>
      <c r="B149" s="151">
        <f>SUM(C149:AP149)</f>
        <v>0</v>
      </c>
      <c r="C149" s="148">
        <f t="shared" ref="C149:AP149" si="62">IF(AND(B148&lt;IRRTarget,C148&gt;=IRRTarget),C$2,0)</f>
        <v>0</v>
      </c>
      <c r="D149" s="148">
        <f t="shared" si="62"/>
        <v>0</v>
      </c>
      <c r="E149" s="148">
        <f t="shared" si="62"/>
        <v>0</v>
      </c>
      <c r="F149" s="148">
        <f t="shared" si="62"/>
        <v>0</v>
      </c>
      <c r="G149" s="148">
        <f t="shared" si="62"/>
        <v>0</v>
      </c>
      <c r="H149" s="148">
        <f t="shared" si="62"/>
        <v>0</v>
      </c>
      <c r="I149" s="148">
        <f t="shared" si="62"/>
        <v>0</v>
      </c>
      <c r="J149" s="148">
        <f t="shared" si="62"/>
        <v>0</v>
      </c>
      <c r="K149" s="148">
        <f t="shared" si="62"/>
        <v>0</v>
      </c>
      <c r="L149" s="148">
        <f t="shared" si="62"/>
        <v>0</v>
      </c>
      <c r="M149" s="148">
        <f t="shared" si="62"/>
        <v>0</v>
      </c>
      <c r="N149" s="148">
        <f>IF(AND(M148&lt;IRRTarget,N148&gt;=IRRTarget),N$2,0)</f>
        <v>0</v>
      </c>
      <c r="O149" s="148">
        <f t="shared" si="62"/>
        <v>0</v>
      </c>
      <c r="P149" s="148">
        <f t="shared" si="62"/>
        <v>0</v>
      </c>
      <c r="Q149" s="148">
        <f t="shared" si="62"/>
        <v>0</v>
      </c>
      <c r="R149" s="148">
        <f t="shared" si="62"/>
        <v>0</v>
      </c>
      <c r="S149" s="148">
        <f t="shared" si="62"/>
        <v>0</v>
      </c>
      <c r="T149" s="148">
        <f t="shared" si="62"/>
        <v>0</v>
      </c>
      <c r="U149" s="148">
        <f t="shared" si="62"/>
        <v>0</v>
      </c>
      <c r="V149" s="148">
        <f t="shared" si="62"/>
        <v>0</v>
      </c>
      <c r="W149" s="148">
        <f t="shared" si="62"/>
        <v>0</v>
      </c>
      <c r="X149" s="148">
        <f t="shared" si="62"/>
        <v>0</v>
      </c>
      <c r="Y149" s="148">
        <f t="shared" si="62"/>
        <v>0</v>
      </c>
      <c r="Z149" s="148">
        <f t="shared" si="62"/>
        <v>0</v>
      </c>
      <c r="AA149" s="148">
        <f t="shared" si="62"/>
        <v>0</v>
      </c>
      <c r="AB149" s="148">
        <f t="shared" si="62"/>
        <v>0</v>
      </c>
      <c r="AC149" s="148">
        <f t="shared" si="62"/>
        <v>0</v>
      </c>
      <c r="AD149" s="148">
        <f t="shared" si="62"/>
        <v>0</v>
      </c>
      <c r="AE149" s="148">
        <f t="shared" si="62"/>
        <v>0</v>
      </c>
      <c r="AF149" s="148">
        <f t="shared" si="62"/>
        <v>0</v>
      </c>
      <c r="AG149" s="148">
        <f t="shared" si="62"/>
        <v>0</v>
      </c>
      <c r="AH149" s="148">
        <f t="shared" si="62"/>
        <v>0</v>
      </c>
      <c r="AI149" s="148">
        <f t="shared" si="62"/>
        <v>0</v>
      </c>
      <c r="AJ149" s="148">
        <f t="shared" si="62"/>
        <v>0</v>
      </c>
      <c r="AK149" s="148">
        <f t="shared" si="62"/>
        <v>0</v>
      </c>
      <c r="AL149" s="148">
        <f t="shared" si="62"/>
        <v>0</v>
      </c>
      <c r="AM149" s="148">
        <f t="shared" si="62"/>
        <v>0</v>
      </c>
      <c r="AN149" s="148">
        <f t="shared" si="62"/>
        <v>0</v>
      </c>
      <c r="AO149" s="148">
        <f t="shared" si="62"/>
        <v>0</v>
      </c>
      <c r="AP149" s="148">
        <f t="shared" si="62"/>
        <v>0</v>
      </c>
    </row>
    <row r="150" spans="1:42" x14ac:dyDescent="0.2">
      <c r="A150" s="86"/>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c r="AB150" s="148"/>
      <c r="AC150" s="148"/>
      <c r="AD150" s="148"/>
      <c r="AE150" s="148"/>
      <c r="AF150" s="148"/>
      <c r="AG150" s="148"/>
      <c r="AH150" s="148"/>
      <c r="AI150" s="148"/>
      <c r="AJ150" s="148"/>
      <c r="AK150" s="148"/>
      <c r="AL150" s="148"/>
      <c r="AM150" s="148"/>
      <c r="AN150" s="148"/>
      <c r="AO150" s="148"/>
      <c r="AP150" s="148"/>
    </row>
    <row r="151" spans="1:42" x14ac:dyDescent="0.2">
      <c r="A151" s="86" t="s">
        <v>195</v>
      </c>
      <c r="B151" s="173">
        <f>B143+NPV(NominalDiscountRate/100,C143:AP143)</f>
        <v>0</v>
      </c>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c r="AB151" s="148"/>
      <c r="AC151" s="148"/>
      <c r="AD151" s="148"/>
      <c r="AE151" s="148"/>
      <c r="AF151" s="148"/>
      <c r="AG151" s="148"/>
      <c r="AH151" s="148"/>
      <c r="AI151" s="148"/>
      <c r="AJ151" s="148"/>
      <c r="AK151" s="148"/>
      <c r="AL151" s="148"/>
      <c r="AM151" s="148"/>
      <c r="AN151" s="148"/>
      <c r="AO151" s="148"/>
      <c r="AP151" s="148"/>
    </row>
    <row r="153" spans="1:42" x14ac:dyDescent="0.2">
      <c r="A153" s="80" t="s">
        <v>377</v>
      </c>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row>
    <row r="154" spans="1:42" x14ac:dyDescent="0.2">
      <c r="A154" s="17" t="s">
        <v>191</v>
      </c>
      <c r="B154" s="123">
        <f>B126</f>
        <v>0</v>
      </c>
      <c r="C154" s="119">
        <f t="shared" ref="C154:AP154" si="63">C604+C210+C250-C74-C609-C610+C134+C138-C642-C636-C637-C648-C654-C686-C718+C750-C643+C40</f>
        <v>0</v>
      </c>
      <c r="D154" s="119">
        <f t="shared" si="63"/>
        <v>0</v>
      </c>
      <c r="E154" s="119">
        <f t="shared" si="63"/>
        <v>0</v>
      </c>
      <c r="F154" s="119">
        <f t="shared" si="63"/>
        <v>0</v>
      </c>
      <c r="G154" s="119">
        <f t="shared" si="63"/>
        <v>0</v>
      </c>
      <c r="H154" s="119">
        <f t="shared" si="63"/>
        <v>0</v>
      </c>
      <c r="I154" s="119">
        <f t="shared" si="63"/>
        <v>0</v>
      </c>
      <c r="J154" s="119">
        <f t="shared" si="63"/>
        <v>0</v>
      </c>
      <c r="K154" s="119">
        <f t="shared" si="63"/>
        <v>0</v>
      </c>
      <c r="L154" s="119">
        <f t="shared" si="63"/>
        <v>0</v>
      </c>
      <c r="M154" s="119">
        <f t="shared" si="63"/>
        <v>0</v>
      </c>
      <c r="N154" s="119">
        <f t="shared" si="63"/>
        <v>0</v>
      </c>
      <c r="O154" s="119">
        <f t="shared" si="63"/>
        <v>0</v>
      </c>
      <c r="P154" s="119">
        <f t="shared" si="63"/>
        <v>0</v>
      </c>
      <c r="Q154" s="119">
        <f t="shared" si="63"/>
        <v>0</v>
      </c>
      <c r="R154" s="119">
        <f t="shared" si="63"/>
        <v>0</v>
      </c>
      <c r="S154" s="119">
        <f t="shared" si="63"/>
        <v>0</v>
      </c>
      <c r="T154" s="119">
        <f t="shared" si="63"/>
        <v>0</v>
      </c>
      <c r="U154" s="119">
        <f t="shared" si="63"/>
        <v>0</v>
      </c>
      <c r="V154" s="119">
        <f t="shared" si="63"/>
        <v>0</v>
      </c>
      <c r="W154" s="119">
        <f t="shared" si="63"/>
        <v>0</v>
      </c>
      <c r="X154" s="119">
        <f t="shared" si="63"/>
        <v>0</v>
      </c>
      <c r="Y154" s="119">
        <f t="shared" si="63"/>
        <v>0</v>
      </c>
      <c r="Z154" s="119">
        <f t="shared" si="63"/>
        <v>0</v>
      </c>
      <c r="AA154" s="119">
        <f t="shared" si="63"/>
        <v>0</v>
      </c>
      <c r="AB154" s="119">
        <f t="shared" si="63"/>
        <v>0</v>
      </c>
      <c r="AC154" s="119">
        <f t="shared" si="63"/>
        <v>0</v>
      </c>
      <c r="AD154" s="119">
        <f t="shared" si="63"/>
        <v>0</v>
      </c>
      <c r="AE154" s="119">
        <f t="shared" si="63"/>
        <v>0</v>
      </c>
      <c r="AF154" s="119">
        <f t="shared" si="63"/>
        <v>0</v>
      </c>
      <c r="AG154" s="119">
        <f t="shared" si="63"/>
        <v>0</v>
      </c>
      <c r="AH154" s="119">
        <f t="shared" si="63"/>
        <v>0</v>
      </c>
      <c r="AI154" s="119">
        <f t="shared" si="63"/>
        <v>0</v>
      </c>
      <c r="AJ154" s="119">
        <f t="shared" si="63"/>
        <v>0</v>
      </c>
      <c r="AK154" s="119">
        <f t="shared" si="63"/>
        <v>0</v>
      </c>
      <c r="AL154" s="119">
        <f t="shared" si="63"/>
        <v>0</v>
      </c>
      <c r="AM154" s="119">
        <f t="shared" si="63"/>
        <v>0</v>
      </c>
      <c r="AN154" s="119">
        <f t="shared" si="63"/>
        <v>0</v>
      </c>
      <c r="AO154" s="119">
        <f t="shared" si="63"/>
        <v>0</v>
      </c>
      <c r="AP154" s="119">
        <f t="shared" si="63"/>
        <v>0</v>
      </c>
    </row>
    <row r="155" spans="1:42" x14ac:dyDescent="0.2">
      <c r="A155" s="17" t="s">
        <v>196</v>
      </c>
      <c r="B155" s="123"/>
      <c r="C155" s="119">
        <f t="shared" ref="C155:AP155" si="64">C29</f>
        <v>0</v>
      </c>
      <c r="D155" s="119">
        <f t="shared" si="64"/>
        <v>0</v>
      </c>
      <c r="E155" s="119">
        <f t="shared" si="64"/>
        <v>0</v>
      </c>
      <c r="F155" s="119">
        <f t="shared" si="64"/>
        <v>0</v>
      </c>
      <c r="G155" s="119">
        <f t="shared" si="64"/>
        <v>0</v>
      </c>
      <c r="H155" s="119">
        <f t="shared" si="64"/>
        <v>0</v>
      </c>
      <c r="I155" s="119">
        <f t="shared" si="64"/>
        <v>0</v>
      </c>
      <c r="J155" s="119">
        <f t="shared" si="64"/>
        <v>0</v>
      </c>
      <c r="K155" s="119">
        <f t="shared" si="64"/>
        <v>0</v>
      </c>
      <c r="L155" s="119">
        <f t="shared" si="64"/>
        <v>0</v>
      </c>
      <c r="M155" s="119">
        <f t="shared" si="64"/>
        <v>0</v>
      </c>
      <c r="N155" s="119">
        <f t="shared" si="64"/>
        <v>0</v>
      </c>
      <c r="O155" s="119">
        <f t="shared" si="64"/>
        <v>0</v>
      </c>
      <c r="P155" s="119">
        <f t="shared" si="64"/>
        <v>0</v>
      </c>
      <c r="Q155" s="119">
        <f t="shared" si="64"/>
        <v>0</v>
      </c>
      <c r="R155" s="119">
        <f t="shared" si="64"/>
        <v>0</v>
      </c>
      <c r="S155" s="119">
        <f t="shared" si="64"/>
        <v>0</v>
      </c>
      <c r="T155" s="119">
        <f t="shared" si="64"/>
        <v>0</v>
      </c>
      <c r="U155" s="119">
        <f t="shared" si="64"/>
        <v>0</v>
      </c>
      <c r="V155" s="119">
        <f t="shared" si="64"/>
        <v>0</v>
      </c>
      <c r="W155" s="119">
        <f t="shared" si="64"/>
        <v>0</v>
      </c>
      <c r="X155" s="119">
        <f t="shared" si="64"/>
        <v>0</v>
      </c>
      <c r="Y155" s="119">
        <f t="shared" si="64"/>
        <v>0</v>
      </c>
      <c r="Z155" s="119">
        <f t="shared" si="64"/>
        <v>0</v>
      </c>
      <c r="AA155" s="119">
        <f t="shared" si="64"/>
        <v>0</v>
      </c>
      <c r="AB155" s="119">
        <f t="shared" si="64"/>
        <v>0</v>
      </c>
      <c r="AC155" s="119">
        <f t="shared" si="64"/>
        <v>0</v>
      </c>
      <c r="AD155" s="119">
        <f t="shared" si="64"/>
        <v>0</v>
      </c>
      <c r="AE155" s="119">
        <f t="shared" si="64"/>
        <v>0</v>
      </c>
      <c r="AF155" s="119">
        <f t="shared" si="64"/>
        <v>0</v>
      </c>
      <c r="AG155" s="119">
        <f t="shared" si="64"/>
        <v>0</v>
      </c>
      <c r="AH155" s="119">
        <f t="shared" si="64"/>
        <v>0</v>
      </c>
      <c r="AI155" s="119">
        <f t="shared" si="64"/>
        <v>0</v>
      </c>
      <c r="AJ155" s="119">
        <f t="shared" si="64"/>
        <v>0</v>
      </c>
      <c r="AK155" s="119">
        <f t="shared" si="64"/>
        <v>0</v>
      </c>
      <c r="AL155" s="119">
        <f t="shared" si="64"/>
        <v>0</v>
      </c>
      <c r="AM155" s="119">
        <f t="shared" si="64"/>
        <v>0</v>
      </c>
      <c r="AN155" s="119">
        <f t="shared" si="64"/>
        <v>0</v>
      </c>
      <c r="AO155" s="119">
        <f t="shared" si="64"/>
        <v>0</v>
      </c>
      <c r="AP155" s="119">
        <f t="shared" si="64"/>
        <v>0</v>
      </c>
    </row>
    <row r="156" spans="1:42" x14ac:dyDescent="0.2">
      <c r="A156" s="17" t="s">
        <v>369</v>
      </c>
      <c r="B156" s="123"/>
      <c r="C156" s="119">
        <f>C$5</f>
        <v>0</v>
      </c>
      <c r="D156" s="119">
        <f t="shared" ref="D156:AP156" si="65">D$5</f>
        <v>0</v>
      </c>
      <c r="E156" s="119">
        <f t="shared" si="65"/>
        <v>0</v>
      </c>
      <c r="F156" s="119">
        <f t="shared" si="65"/>
        <v>0</v>
      </c>
      <c r="G156" s="119">
        <f t="shared" si="65"/>
        <v>0</v>
      </c>
      <c r="H156" s="119">
        <f t="shared" si="65"/>
        <v>0</v>
      </c>
      <c r="I156" s="119">
        <f t="shared" si="65"/>
        <v>0</v>
      </c>
      <c r="J156" s="119">
        <f t="shared" si="65"/>
        <v>0</v>
      </c>
      <c r="K156" s="119">
        <f t="shared" si="65"/>
        <v>0</v>
      </c>
      <c r="L156" s="119">
        <f t="shared" si="65"/>
        <v>0</v>
      </c>
      <c r="M156" s="119">
        <f t="shared" si="65"/>
        <v>0</v>
      </c>
      <c r="N156" s="119">
        <f t="shared" si="65"/>
        <v>0</v>
      </c>
      <c r="O156" s="119">
        <f t="shared" si="65"/>
        <v>0</v>
      </c>
      <c r="P156" s="119">
        <f t="shared" si="65"/>
        <v>0</v>
      </c>
      <c r="Q156" s="119">
        <f t="shared" si="65"/>
        <v>0</v>
      </c>
      <c r="R156" s="119">
        <f t="shared" si="65"/>
        <v>0</v>
      </c>
      <c r="S156" s="119">
        <f t="shared" si="65"/>
        <v>0</v>
      </c>
      <c r="T156" s="119">
        <f t="shared" si="65"/>
        <v>0</v>
      </c>
      <c r="U156" s="119">
        <f t="shared" si="65"/>
        <v>0</v>
      </c>
      <c r="V156" s="119">
        <f t="shared" si="65"/>
        <v>0</v>
      </c>
      <c r="W156" s="119">
        <f t="shared" si="65"/>
        <v>0</v>
      </c>
      <c r="X156" s="119">
        <f t="shared" si="65"/>
        <v>0</v>
      </c>
      <c r="Y156" s="119">
        <f t="shared" si="65"/>
        <v>0</v>
      </c>
      <c r="Z156" s="119">
        <f t="shared" si="65"/>
        <v>0</v>
      </c>
      <c r="AA156" s="119">
        <f t="shared" si="65"/>
        <v>0</v>
      </c>
      <c r="AB156" s="119">
        <f t="shared" si="65"/>
        <v>0</v>
      </c>
      <c r="AC156" s="119">
        <f t="shared" si="65"/>
        <v>0</v>
      </c>
      <c r="AD156" s="119">
        <f t="shared" si="65"/>
        <v>0</v>
      </c>
      <c r="AE156" s="119">
        <f t="shared" si="65"/>
        <v>0</v>
      </c>
      <c r="AF156" s="119">
        <f t="shared" si="65"/>
        <v>0</v>
      </c>
      <c r="AG156" s="119">
        <f t="shared" si="65"/>
        <v>0</v>
      </c>
      <c r="AH156" s="119">
        <f t="shared" si="65"/>
        <v>0</v>
      </c>
      <c r="AI156" s="119">
        <f t="shared" si="65"/>
        <v>0</v>
      </c>
      <c r="AJ156" s="119">
        <f t="shared" si="65"/>
        <v>0</v>
      </c>
      <c r="AK156" s="119">
        <f t="shared" si="65"/>
        <v>0</v>
      </c>
      <c r="AL156" s="119">
        <f t="shared" si="65"/>
        <v>0</v>
      </c>
      <c r="AM156" s="119">
        <f t="shared" si="65"/>
        <v>0</v>
      </c>
      <c r="AN156" s="119">
        <f t="shared" si="65"/>
        <v>0</v>
      </c>
      <c r="AO156" s="119">
        <f t="shared" si="65"/>
        <v>0</v>
      </c>
      <c r="AP156" s="119">
        <f t="shared" si="65"/>
        <v>0</v>
      </c>
    </row>
    <row r="158" spans="1:42" x14ac:dyDescent="0.2">
      <c r="A158" s="4" t="s">
        <v>190</v>
      </c>
      <c r="B158" s="145">
        <f>-(B154+NPV(NominalDiscountRate/100,C154:AP154))</f>
        <v>0</v>
      </c>
      <c r="C158" s="119"/>
      <c r="D158" s="119"/>
    </row>
    <row r="159" spans="1:42" x14ac:dyDescent="0.2">
      <c r="A159" s="4" t="s">
        <v>189</v>
      </c>
      <c r="B159" s="145">
        <f>NPV(NominalDiscountRate/100,C156:AP156)</f>
        <v>0</v>
      </c>
    </row>
    <row r="160" spans="1:42" x14ac:dyDescent="0.2">
      <c r="A160" s="4" t="s">
        <v>376</v>
      </c>
      <c r="B160" s="203">
        <f>IF(B159=0,0,B158/B159*100)</f>
        <v>0</v>
      </c>
    </row>
    <row r="161" spans="1:42" x14ac:dyDescent="0.2">
      <c r="B161" s="195"/>
    </row>
    <row r="162" spans="1:42" x14ac:dyDescent="0.2">
      <c r="A162" s="4" t="s">
        <v>197</v>
      </c>
      <c r="B162" s="145">
        <f>NPV(NominalDiscountRate/100,C155:AP155)</f>
        <v>0</v>
      </c>
    </row>
    <row r="163" spans="1:42" x14ac:dyDescent="0.2">
      <c r="A163" s="4" t="s">
        <v>189</v>
      </c>
      <c r="B163" s="145">
        <f>B159</f>
        <v>0</v>
      </c>
    </row>
    <row r="164" spans="1:42" x14ac:dyDescent="0.2">
      <c r="A164" s="4" t="s">
        <v>233</v>
      </c>
      <c r="B164" s="203">
        <f>IF(B163=0,0,B162/B163*100)</f>
        <v>0</v>
      </c>
    </row>
    <row r="165" spans="1:42" x14ac:dyDescent="0.2">
      <c r="B165" s="108"/>
    </row>
    <row r="166" spans="1:42" x14ac:dyDescent="0.2">
      <c r="A166" s="80" t="s">
        <v>355</v>
      </c>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row>
    <row r="167" spans="1:42" x14ac:dyDescent="0.2">
      <c r="A167" s="4" t="s">
        <v>356</v>
      </c>
      <c r="B167" s="119">
        <f t="array" ref="B167:AP168">Inputs!C210:AQ211</f>
        <v>0</v>
      </c>
      <c r="C167" s="4">
        <v>0</v>
      </c>
      <c r="D167" s="4">
        <v>0</v>
      </c>
      <c r="E167" s="4">
        <v>0</v>
      </c>
      <c r="F167" s="4">
        <v>0</v>
      </c>
      <c r="G167" s="4">
        <v>0</v>
      </c>
      <c r="H167" s="4">
        <v>0</v>
      </c>
      <c r="I167" s="4">
        <v>0</v>
      </c>
      <c r="J167" s="4">
        <v>0</v>
      </c>
      <c r="K167" s="4">
        <v>0</v>
      </c>
      <c r="L167" s="4">
        <v>0</v>
      </c>
      <c r="M167" s="4">
        <v>0</v>
      </c>
      <c r="N167" s="4">
        <v>0</v>
      </c>
      <c r="O167" s="4">
        <v>0</v>
      </c>
      <c r="P167" s="4">
        <v>0</v>
      </c>
      <c r="Q167" s="4">
        <v>0</v>
      </c>
      <c r="R167" s="4">
        <v>0</v>
      </c>
      <c r="S167" s="4">
        <v>0</v>
      </c>
      <c r="T167" s="4">
        <v>0</v>
      </c>
      <c r="U167" s="4">
        <v>0</v>
      </c>
      <c r="V167" s="4">
        <v>0</v>
      </c>
      <c r="W167" s="4">
        <v>0</v>
      </c>
      <c r="X167" s="4">
        <v>0</v>
      </c>
      <c r="Y167" s="4">
        <v>0</v>
      </c>
      <c r="Z167" s="4">
        <v>0</v>
      </c>
      <c r="AA167" s="4">
        <v>0</v>
      </c>
      <c r="AB167" s="4">
        <v>0</v>
      </c>
      <c r="AC167" s="4">
        <v>0</v>
      </c>
      <c r="AD167" s="4">
        <v>0</v>
      </c>
      <c r="AE167" s="4">
        <v>0</v>
      </c>
      <c r="AF167" s="4">
        <v>0</v>
      </c>
      <c r="AG167" s="4">
        <v>0</v>
      </c>
      <c r="AH167" s="4">
        <v>0</v>
      </c>
      <c r="AI167" s="4">
        <v>0</v>
      </c>
      <c r="AJ167" s="4">
        <v>0</v>
      </c>
      <c r="AK167" s="4">
        <v>0</v>
      </c>
      <c r="AL167" s="4">
        <v>0</v>
      </c>
      <c r="AM167" s="4">
        <v>0</v>
      </c>
      <c r="AN167" s="4">
        <v>0</v>
      </c>
      <c r="AO167" s="4">
        <v>0</v>
      </c>
      <c r="AP167" s="4">
        <v>0</v>
      </c>
    </row>
    <row r="168" spans="1:42" x14ac:dyDescent="0.2">
      <c r="A168" s="4" t="s">
        <v>357</v>
      </c>
      <c r="B168" s="119">
        <v>0</v>
      </c>
      <c r="C168" s="4">
        <v>0</v>
      </c>
      <c r="D168" s="4">
        <v>0</v>
      </c>
      <c r="E168" s="4">
        <v>0</v>
      </c>
      <c r="F168" s="4">
        <v>0</v>
      </c>
      <c r="G168" s="4">
        <v>0</v>
      </c>
      <c r="H168" s="4">
        <v>0</v>
      </c>
      <c r="I168" s="4">
        <v>0</v>
      </c>
      <c r="J168" s="4">
        <v>0</v>
      </c>
      <c r="K168" s="4">
        <v>0</v>
      </c>
      <c r="L168" s="4">
        <v>0</v>
      </c>
      <c r="M168" s="4">
        <v>0</v>
      </c>
      <c r="N168" s="4">
        <v>0</v>
      </c>
      <c r="O168" s="4">
        <v>0</v>
      </c>
      <c r="P168" s="4">
        <v>0</v>
      </c>
      <c r="Q168" s="4">
        <v>0</v>
      </c>
      <c r="R168" s="4">
        <v>0</v>
      </c>
      <c r="S168" s="4">
        <v>0</v>
      </c>
      <c r="T168" s="4">
        <v>0</v>
      </c>
      <c r="U168" s="4">
        <v>0</v>
      </c>
      <c r="V168" s="4">
        <v>0</v>
      </c>
      <c r="W168" s="4">
        <v>0</v>
      </c>
      <c r="X168" s="4">
        <v>0</v>
      </c>
      <c r="Y168" s="4">
        <v>0</v>
      </c>
      <c r="Z168" s="4">
        <v>0</v>
      </c>
      <c r="AA168" s="4">
        <v>0</v>
      </c>
      <c r="AB168" s="4">
        <v>0</v>
      </c>
      <c r="AC168" s="4">
        <v>0</v>
      </c>
      <c r="AD168" s="4">
        <v>0</v>
      </c>
      <c r="AE168" s="4">
        <v>0</v>
      </c>
      <c r="AF168" s="4">
        <v>0</v>
      </c>
      <c r="AG168" s="4">
        <v>0</v>
      </c>
      <c r="AH168" s="4">
        <v>0</v>
      </c>
      <c r="AI168" s="4">
        <v>0</v>
      </c>
      <c r="AJ168" s="4">
        <v>0</v>
      </c>
      <c r="AK168" s="4">
        <v>0</v>
      </c>
      <c r="AL168" s="4">
        <v>0</v>
      </c>
      <c r="AM168" s="4">
        <v>0</v>
      </c>
      <c r="AN168" s="4">
        <v>0</v>
      </c>
      <c r="AO168" s="4">
        <v>0</v>
      </c>
      <c r="AP168" s="4">
        <v>0</v>
      </c>
    </row>
    <row r="170" spans="1:42" x14ac:dyDescent="0.2">
      <c r="A170" s="4" t="s">
        <v>358</v>
      </c>
      <c r="B170" s="173">
        <f>(B167+NPV(NominalDiscountRate/100,C167:AP167))</f>
        <v>0</v>
      </c>
    </row>
    <row r="171" spans="1:42" x14ac:dyDescent="0.2">
      <c r="A171" s="4" t="s">
        <v>359</v>
      </c>
      <c r="B171" s="173">
        <f>NPV(NominalDiscountRate/100,C168:AP168)</f>
        <v>0</v>
      </c>
    </row>
    <row r="172" spans="1:42" x14ac:dyDescent="0.2">
      <c r="A172" s="4" t="s">
        <v>360</v>
      </c>
      <c r="B172" s="106">
        <f>IF(B171=0,0,B170/B171*100)</f>
        <v>0</v>
      </c>
    </row>
    <row r="174" spans="1:42" x14ac:dyDescent="0.2">
      <c r="A174" s="80" t="s">
        <v>318</v>
      </c>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row>
    <row r="175" spans="1:42" x14ac:dyDescent="0.2">
      <c r="A175" s="19" t="s">
        <v>39</v>
      </c>
    </row>
    <row r="176" spans="1:42" x14ac:dyDescent="0.2">
      <c r="A176" s="86" t="s">
        <v>26</v>
      </c>
      <c r="C176" s="119">
        <f t="shared" ref="C176:AP176" si="66">C76</f>
        <v>0</v>
      </c>
      <c r="D176" s="119">
        <f t="shared" si="66"/>
        <v>0</v>
      </c>
      <c r="E176" s="119">
        <f t="shared" si="66"/>
        <v>0</v>
      </c>
      <c r="F176" s="119">
        <f t="shared" si="66"/>
        <v>0</v>
      </c>
      <c r="G176" s="119">
        <f t="shared" si="66"/>
        <v>0</v>
      </c>
      <c r="H176" s="119">
        <f t="shared" si="66"/>
        <v>0</v>
      </c>
      <c r="I176" s="119">
        <f t="shared" si="66"/>
        <v>0</v>
      </c>
      <c r="J176" s="119">
        <f t="shared" si="66"/>
        <v>0</v>
      </c>
      <c r="K176" s="119">
        <f t="shared" si="66"/>
        <v>0</v>
      </c>
      <c r="L176" s="119">
        <f t="shared" si="66"/>
        <v>0</v>
      </c>
      <c r="M176" s="119">
        <f t="shared" si="66"/>
        <v>0</v>
      </c>
      <c r="N176" s="119">
        <f t="shared" si="66"/>
        <v>0</v>
      </c>
      <c r="O176" s="119">
        <f t="shared" si="66"/>
        <v>0</v>
      </c>
      <c r="P176" s="119">
        <f t="shared" si="66"/>
        <v>0</v>
      </c>
      <c r="Q176" s="119">
        <f t="shared" si="66"/>
        <v>0</v>
      </c>
      <c r="R176" s="119">
        <f t="shared" si="66"/>
        <v>0</v>
      </c>
      <c r="S176" s="119">
        <f t="shared" si="66"/>
        <v>0</v>
      </c>
      <c r="T176" s="119">
        <f t="shared" si="66"/>
        <v>0</v>
      </c>
      <c r="U176" s="119">
        <f t="shared" si="66"/>
        <v>0</v>
      </c>
      <c r="V176" s="119">
        <f t="shared" si="66"/>
        <v>0</v>
      </c>
      <c r="W176" s="119">
        <f t="shared" si="66"/>
        <v>0</v>
      </c>
      <c r="X176" s="119">
        <f t="shared" si="66"/>
        <v>0</v>
      </c>
      <c r="Y176" s="119">
        <f t="shared" si="66"/>
        <v>0</v>
      </c>
      <c r="Z176" s="119">
        <f t="shared" si="66"/>
        <v>0</v>
      </c>
      <c r="AA176" s="119">
        <f t="shared" si="66"/>
        <v>0</v>
      </c>
      <c r="AB176" s="119">
        <f t="shared" si="66"/>
        <v>0</v>
      </c>
      <c r="AC176" s="119">
        <f t="shared" si="66"/>
        <v>0</v>
      </c>
      <c r="AD176" s="119">
        <f t="shared" si="66"/>
        <v>0</v>
      </c>
      <c r="AE176" s="119">
        <f t="shared" si="66"/>
        <v>0</v>
      </c>
      <c r="AF176" s="119">
        <f t="shared" si="66"/>
        <v>0</v>
      </c>
      <c r="AG176" s="119">
        <f t="shared" si="66"/>
        <v>0</v>
      </c>
      <c r="AH176" s="119">
        <f t="shared" si="66"/>
        <v>0</v>
      </c>
      <c r="AI176" s="119">
        <f t="shared" si="66"/>
        <v>0</v>
      </c>
      <c r="AJ176" s="119">
        <f t="shared" si="66"/>
        <v>0</v>
      </c>
      <c r="AK176" s="119">
        <f t="shared" si="66"/>
        <v>0</v>
      </c>
      <c r="AL176" s="119">
        <f t="shared" si="66"/>
        <v>0</v>
      </c>
      <c r="AM176" s="119">
        <f t="shared" si="66"/>
        <v>0</v>
      </c>
      <c r="AN176" s="119">
        <f t="shared" si="66"/>
        <v>0</v>
      </c>
      <c r="AO176" s="119">
        <f t="shared" si="66"/>
        <v>0</v>
      </c>
      <c r="AP176" s="119">
        <f t="shared" si="66"/>
        <v>0</v>
      </c>
    </row>
    <row r="177" spans="1:42" x14ac:dyDescent="0.2">
      <c r="A177" s="86" t="s">
        <v>35</v>
      </c>
      <c r="C177" s="119">
        <f t="shared" ref="C177:AP177" si="67">C750</f>
        <v>0</v>
      </c>
      <c r="D177" s="119">
        <f t="shared" si="67"/>
        <v>0</v>
      </c>
      <c r="E177" s="119">
        <f t="shared" si="67"/>
        <v>0</v>
      </c>
      <c r="F177" s="119">
        <f t="shared" si="67"/>
        <v>0</v>
      </c>
      <c r="G177" s="119">
        <f t="shared" si="67"/>
        <v>0</v>
      </c>
      <c r="H177" s="119">
        <f t="shared" si="67"/>
        <v>0</v>
      </c>
      <c r="I177" s="119">
        <f t="shared" si="67"/>
        <v>0</v>
      </c>
      <c r="J177" s="119">
        <f t="shared" si="67"/>
        <v>0</v>
      </c>
      <c r="K177" s="119">
        <f t="shared" si="67"/>
        <v>0</v>
      </c>
      <c r="L177" s="119">
        <f t="shared" si="67"/>
        <v>0</v>
      </c>
      <c r="M177" s="119">
        <f t="shared" si="67"/>
        <v>0</v>
      </c>
      <c r="N177" s="119">
        <f t="shared" si="67"/>
        <v>0</v>
      </c>
      <c r="O177" s="119">
        <f t="shared" si="67"/>
        <v>0</v>
      </c>
      <c r="P177" s="119">
        <f t="shared" si="67"/>
        <v>0</v>
      </c>
      <c r="Q177" s="119">
        <f t="shared" si="67"/>
        <v>0</v>
      </c>
      <c r="R177" s="119">
        <f t="shared" si="67"/>
        <v>0</v>
      </c>
      <c r="S177" s="119">
        <f t="shared" si="67"/>
        <v>0</v>
      </c>
      <c r="T177" s="119">
        <f t="shared" si="67"/>
        <v>0</v>
      </c>
      <c r="U177" s="119">
        <f t="shared" si="67"/>
        <v>0</v>
      </c>
      <c r="V177" s="119">
        <f t="shared" si="67"/>
        <v>0</v>
      </c>
      <c r="W177" s="119">
        <f t="shared" si="67"/>
        <v>0</v>
      </c>
      <c r="X177" s="119">
        <f t="shared" si="67"/>
        <v>0</v>
      </c>
      <c r="Y177" s="119">
        <f t="shared" si="67"/>
        <v>0</v>
      </c>
      <c r="Z177" s="119">
        <f t="shared" si="67"/>
        <v>0</v>
      </c>
      <c r="AA177" s="119">
        <f t="shared" si="67"/>
        <v>0</v>
      </c>
      <c r="AB177" s="119">
        <f t="shared" si="67"/>
        <v>0</v>
      </c>
      <c r="AC177" s="119">
        <f t="shared" si="67"/>
        <v>0</v>
      </c>
      <c r="AD177" s="119">
        <f t="shared" si="67"/>
        <v>0</v>
      </c>
      <c r="AE177" s="119">
        <f t="shared" si="67"/>
        <v>0</v>
      </c>
      <c r="AF177" s="119">
        <f t="shared" si="67"/>
        <v>0</v>
      </c>
      <c r="AG177" s="119">
        <f t="shared" si="67"/>
        <v>0</v>
      </c>
      <c r="AH177" s="119">
        <f t="shared" si="67"/>
        <v>0</v>
      </c>
      <c r="AI177" s="119">
        <f t="shared" si="67"/>
        <v>0</v>
      </c>
      <c r="AJ177" s="119">
        <f t="shared" si="67"/>
        <v>0</v>
      </c>
      <c r="AK177" s="119">
        <f t="shared" si="67"/>
        <v>0</v>
      </c>
      <c r="AL177" s="119">
        <f t="shared" si="67"/>
        <v>0</v>
      </c>
      <c r="AM177" s="119">
        <f t="shared" si="67"/>
        <v>0</v>
      </c>
      <c r="AN177" s="119">
        <f t="shared" si="67"/>
        <v>0</v>
      </c>
      <c r="AO177" s="119">
        <f t="shared" si="67"/>
        <v>0</v>
      </c>
      <c r="AP177" s="119">
        <f t="shared" si="67"/>
        <v>0</v>
      </c>
    </row>
    <row r="178" spans="1:42" x14ac:dyDescent="0.2">
      <c r="A178" s="86" t="s">
        <v>27</v>
      </c>
      <c r="C178" s="119">
        <f t="shared" ref="C178:AP178" si="68">-C609</f>
        <v>0</v>
      </c>
      <c r="D178" s="119">
        <f t="shared" si="68"/>
        <v>0</v>
      </c>
      <c r="E178" s="119">
        <f t="shared" si="68"/>
        <v>0</v>
      </c>
      <c r="F178" s="119">
        <f t="shared" si="68"/>
        <v>0</v>
      </c>
      <c r="G178" s="119">
        <f t="shared" si="68"/>
        <v>0</v>
      </c>
      <c r="H178" s="119">
        <f t="shared" si="68"/>
        <v>0</v>
      </c>
      <c r="I178" s="119">
        <f t="shared" si="68"/>
        <v>0</v>
      </c>
      <c r="J178" s="119">
        <f t="shared" si="68"/>
        <v>0</v>
      </c>
      <c r="K178" s="119">
        <f t="shared" si="68"/>
        <v>0</v>
      </c>
      <c r="L178" s="119">
        <f t="shared" si="68"/>
        <v>0</v>
      </c>
      <c r="M178" s="119">
        <f t="shared" si="68"/>
        <v>0</v>
      </c>
      <c r="N178" s="119">
        <f t="shared" si="68"/>
        <v>0</v>
      </c>
      <c r="O178" s="119">
        <f t="shared" si="68"/>
        <v>0</v>
      </c>
      <c r="P178" s="119">
        <f t="shared" si="68"/>
        <v>0</v>
      </c>
      <c r="Q178" s="119">
        <f t="shared" si="68"/>
        <v>0</v>
      </c>
      <c r="R178" s="119">
        <f t="shared" si="68"/>
        <v>0</v>
      </c>
      <c r="S178" s="119">
        <f t="shared" si="68"/>
        <v>0</v>
      </c>
      <c r="T178" s="119">
        <f t="shared" si="68"/>
        <v>0</v>
      </c>
      <c r="U178" s="119">
        <f t="shared" si="68"/>
        <v>0</v>
      </c>
      <c r="V178" s="119">
        <f t="shared" si="68"/>
        <v>0</v>
      </c>
      <c r="W178" s="119">
        <f t="shared" si="68"/>
        <v>0</v>
      </c>
      <c r="X178" s="119">
        <f t="shared" si="68"/>
        <v>0</v>
      </c>
      <c r="Y178" s="119">
        <f t="shared" si="68"/>
        <v>0</v>
      </c>
      <c r="Z178" s="119">
        <f t="shared" si="68"/>
        <v>0</v>
      </c>
      <c r="AA178" s="119">
        <f t="shared" si="68"/>
        <v>0</v>
      </c>
      <c r="AB178" s="119">
        <f t="shared" si="68"/>
        <v>0</v>
      </c>
      <c r="AC178" s="119">
        <f t="shared" si="68"/>
        <v>0</v>
      </c>
      <c r="AD178" s="119">
        <f t="shared" si="68"/>
        <v>0</v>
      </c>
      <c r="AE178" s="119">
        <f t="shared" si="68"/>
        <v>0</v>
      </c>
      <c r="AF178" s="119">
        <f t="shared" si="68"/>
        <v>0</v>
      </c>
      <c r="AG178" s="119">
        <f t="shared" si="68"/>
        <v>0</v>
      </c>
      <c r="AH178" s="119">
        <f t="shared" si="68"/>
        <v>0</v>
      </c>
      <c r="AI178" s="119">
        <f t="shared" si="68"/>
        <v>0</v>
      </c>
      <c r="AJ178" s="119">
        <f t="shared" si="68"/>
        <v>0</v>
      </c>
      <c r="AK178" s="119">
        <f t="shared" si="68"/>
        <v>0</v>
      </c>
      <c r="AL178" s="119">
        <f t="shared" si="68"/>
        <v>0</v>
      </c>
      <c r="AM178" s="119">
        <f t="shared" si="68"/>
        <v>0</v>
      </c>
      <c r="AN178" s="119">
        <f t="shared" si="68"/>
        <v>0</v>
      </c>
      <c r="AO178" s="119">
        <f t="shared" si="68"/>
        <v>0</v>
      </c>
      <c r="AP178" s="119">
        <f t="shared" si="68"/>
        <v>0</v>
      </c>
    </row>
    <row r="179" spans="1:42" x14ac:dyDescent="0.2">
      <c r="A179" s="86" t="s">
        <v>30</v>
      </c>
      <c r="C179" s="120">
        <f t="shared" ref="C179:AP179" si="69">IF(C$2&lt;=analysis_period,-C314-C344-C370-C396,0)</f>
        <v>0</v>
      </c>
      <c r="D179" s="120">
        <f t="shared" si="69"/>
        <v>0</v>
      </c>
      <c r="E179" s="120">
        <f t="shared" si="69"/>
        <v>0</v>
      </c>
      <c r="F179" s="120">
        <f t="shared" si="69"/>
        <v>0</v>
      </c>
      <c r="G179" s="120">
        <f t="shared" si="69"/>
        <v>0</v>
      </c>
      <c r="H179" s="120">
        <f t="shared" si="69"/>
        <v>0</v>
      </c>
      <c r="I179" s="120">
        <f t="shared" si="69"/>
        <v>0</v>
      </c>
      <c r="J179" s="120">
        <f t="shared" si="69"/>
        <v>0</v>
      </c>
      <c r="K179" s="120">
        <f t="shared" si="69"/>
        <v>0</v>
      </c>
      <c r="L179" s="120">
        <f t="shared" si="69"/>
        <v>0</v>
      </c>
      <c r="M179" s="120">
        <f t="shared" si="69"/>
        <v>0</v>
      </c>
      <c r="N179" s="120">
        <f t="shared" si="69"/>
        <v>0</v>
      </c>
      <c r="O179" s="120">
        <f t="shared" si="69"/>
        <v>0</v>
      </c>
      <c r="P179" s="120">
        <f t="shared" si="69"/>
        <v>0</v>
      </c>
      <c r="Q179" s="120">
        <f t="shared" si="69"/>
        <v>0</v>
      </c>
      <c r="R179" s="120">
        <f t="shared" si="69"/>
        <v>0</v>
      </c>
      <c r="S179" s="120">
        <f t="shared" si="69"/>
        <v>0</v>
      </c>
      <c r="T179" s="120">
        <f t="shared" si="69"/>
        <v>0</v>
      </c>
      <c r="U179" s="120">
        <f t="shared" si="69"/>
        <v>0</v>
      </c>
      <c r="V179" s="120">
        <f t="shared" si="69"/>
        <v>0</v>
      </c>
      <c r="W179" s="120">
        <f t="shared" si="69"/>
        <v>0</v>
      </c>
      <c r="X179" s="120">
        <f t="shared" si="69"/>
        <v>0</v>
      </c>
      <c r="Y179" s="120">
        <f t="shared" si="69"/>
        <v>0</v>
      </c>
      <c r="Z179" s="120">
        <f t="shared" si="69"/>
        <v>0</v>
      </c>
      <c r="AA179" s="120">
        <f t="shared" si="69"/>
        <v>0</v>
      </c>
      <c r="AB179" s="120">
        <f t="shared" si="69"/>
        <v>0</v>
      </c>
      <c r="AC179" s="120">
        <f t="shared" si="69"/>
        <v>0</v>
      </c>
      <c r="AD179" s="120">
        <f t="shared" si="69"/>
        <v>0</v>
      </c>
      <c r="AE179" s="120">
        <f t="shared" si="69"/>
        <v>0</v>
      </c>
      <c r="AF179" s="120">
        <f t="shared" si="69"/>
        <v>0</v>
      </c>
      <c r="AG179" s="120">
        <f t="shared" si="69"/>
        <v>0</v>
      </c>
      <c r="AH179" s="120">
        <f t="shared" si="69"/>
        <v>0</v>
      </c>
      <c r="AI179" s="120">
        <f t="shared" si="69"/>
        <v>0</v>
      </c>
      <c r="AJ179" s="120">
        <f t="shared" si="69"/>
        <v>0</v>
      </c>
      <c r="AK179" s="120">
        <f t="shared" si="69"/>
        <v>0</v>
      </c>
      <c r="AL179" s="120">
        <f t="shared" si="69"/>
        <v>0</v>
      </c>
      <c r="AM179" s="120">
        <f t="shared" si="69"/>
        <v>0</v>
      </c>
      <c r="AN179" s="120">
        <f t="shared" si="69"/>
        <v>0</v>
      </c>
      <c r="AO179" s="120">
        <f t="shared" si="69"/>
        <v>0</v>
      </c>
      <c r="AP179" s="120">
        <f t="shared" si="69"/>
        <v>0</v>
      </c>
    </row>
    <row r="180" spans="1:42" x14ac:dyDescent="0.2">
      <c r="A180" s="86" t="s">
        <v>172</v>
      </c>
      <c r="C180" s="119">
        <f t="shared" ref="C180:AP180" si="70">SUM(C176:C179)</f>
        <v>0</v>
      </c>
      <c r="D180" s="119">
        <f t="shared" si="70"/>
        <v>0</v>
      </c>
      <c r="E180" s="119">
        <f t="shared" si="70"/>
        <v>0</v>
      </c>
      <c r="F180" s="119">
        <f t="shared" si="70"/>
        <v>0</v>
      </c>
      <c r="G180" s="119">
        <f t="shared" si="70"/>
        <v>0</v>
      </c>
      <c r="H180" s="119">
        <f t="shared" si="70"/>
        <v>0</v>
      </c>
      <c r="I180" s="119">
        <f t="shared" si="70"/>
        <v>0</v>
      </c>
      <c r="J180" s="119">
        <f t="shared" si="70"/>
        <v>0</v>
      </c>
      <c r="K180" s="119">
        <f t="shared" si="70"/>
        <v>0</v>
      </c>
      <c r="L180" s="119">
        <f t="shared" si="70"/>
        <v>0</v>
      </c>
      <c r="M180" s="119">
        <f t="shared" si="70"/>
        <v>0</v>
      </c>
      <c r="N180" s="119">
        <f t="shared" si="70"/>
        <v>0</v>
      </c>
      <c r="O180" s="119">
        <f t="shared" si="70"/>
        <v>0</v>
      </c>
      <c r="P180" s="119">
        <f t="shared" si="70"/>
        <v>0</v>
      </c>
      <c r="Q180" s="119">
        <f t="shared" si="70"/>
        <v>0</v>
      </c>
      <c r="R180" s="119">
        <f t="shared" si="70"/>
        <v>0</v>
      </c>
      <c r="S180" s="119">
        <f t="shared" si="70"/>
        <v>0</v>
      </c>
      <c r="T180" s="119">
        <f t="shared" si="70"/>
        <v>0</v>
      </c>
      <c r="U180" s="119">
        <f t="shared" si="70"/>
        <v>0</v>
      </c>
      <c r="V180" s="119">
        <f t="shared" si="70"/>
        <v>0</v>
      </c>
      <c r="W180" s="119">
        <f t="shared" si="70"/>
        <v>0</v>
      </c>
      <c r="X180" s="119">
        <f t="shared" si="70"/>
        <v>0</v>
      </c>
      <c r="Y180" s="119">
        <f t="shared" si="70"/>
        <v>0</v>
      </c>
      <c r="Z180" s="119">
        <f t="shared" si="70"/>
        <v>0</v>
      </c>
      <c r="AA180" s="119">
        <f t="shared" si="70"/>
        <v>0</v>
      </c>
      <c r="AB180" s="119">
        <f t="shared" si="70"/>
        <v>0</v>
      </c>
      <c r="AC180" s="119">
        <f t="shared" si="70"/>
        <v>0</v>
      </c>
      <c r="AD180" s="119">
        <f t="shared" si="70"/>
        <v>0</v>
      </c>
      <c r="AE180" s="119">
        <f t="shared" si="70"/>
        <v>0</v>
      </c>
      <c r="AF180" s="119">
        <f t="shared" si="70"/>
        <v>0</v>
      </c>
      <c r="AG180" s="119">
        <f t="shared" si="70"/>
        <v>0</v>
      </c>
      <c r="AH180" s="119">
        <f t="shared" si="70"/>
        <v>0</v>
      </c>
      <c r="AI180" s="119">
        <f t="shared" si="70"/>
        <v>0</v>
      </c>
      <c r="AJ180" s="119">
        <f t="shared" si="70"/>
        <v>0</v>
      </c>
      <c r="AK180" s="119">
        <f t="shared" si="70"/>
        <v>0</v>
      </c>
      <c r="AL180" s="119">
        <f t="shared" si="70"/>
        <v>0</v>
      </c>
      <c r="AM180" s="119">
        <f t="shared" si="70"/>
        <v>0</v>
      </c>
      <c r="AN180" s="119">
        <f t="shared" si="70"/>
        <v>0</v>
      </c>
      <c r="AO180" s="119">
        <f t="shared" si="70"/>
        <v>0</v>
      </c>
      <c r="AP180" s="119">
        <f t="shared" si="70"/>
        <v>0</v>
      </c>
    </row>
    <row r="181" spans="1:42" x14ac:dyDescent="0.2">
      <c r="A181" s="86" t="str">
        <f>Inputs!B113</f>
        <v>Investment Based Incentive (IBI)</v>
      </c>
    </row>
    <row r="182" spans="1:42" x14ac:dyDescent="0.2">
      <c r="A182" s="87" t="str">
        <f>Inputs!B114</f>
        <v>As fixed amount</v>
      </c>
    </row>
    <row r="183" spans="1:42" x14ac:dyDescent="0.2">
      <c r="A183" s="78" t="s">
        <v>4</v>
      </c>
      <c r="C183" s="119">
        <f>IF(ibi_fed_amount_tax_sta="Yes",C567,0)</f>
        <v>0</v>
      </c>
    </row>
    <row r="184" spans="1:42" x14ac:dyDescent="0.2">
      <c r="A184" s="78" t="s">
        <v>5</v>
      </c>
      <c r="C184" s="119">
        <f>IF(ibi_sta_amount_tax_sta="Yes",C568,0)</f>
        <v>0</v>
      </c>
    </row>
    <row r="185" spans="1:42" x14ac:dyDescent="0.2">
      <c r="A185" s="78" t="s">
        <v>170</v>
      </c>
      <c r="C185" s="119">
        <f>IF(ibi_uti_amount_tax_sta="Yes",C569,0)</f>
        <v>0</v>
      </c>
    </row>
    <row r="186" spans="1:42" x14ac:dyDescent="0.2">
      <c r="A186" s="78" t="s">
        <v>171</v>
      </c>
      <c r="C186" s="120">
        <f>IF(ibi_oth_amount_tax_sta="Yes",C570,0)</f>
        <v>0</v>
      </c>
    </row>
    <row r="187" spans="1:42" x14ac:dyDescent="0.2">
      <c r="A187" s="78" t="s">
        <v>13</v>
      </c>
      <c r="C187" s="119">
        <f>SUM(C183:C186)</f>
        <v>0</v>
      </c>
    </row>
    <row r="188" spans="1:42" x14ac:dyDescent="0.2">
      <c r="A188" s="87" t="str">
        <f>Inputs!B119</f>
        <v>As percentage</v>
      </c>
      <c r="C188" s="14"/>
    </row>
    <row r="189" spans="1:42" x14ac:dyDescent="0.2">
      <c r="A189" s="78" t="s">
        <v>4</v>
      </c>
      <c r="C189" s="119">
        <f>IF(ibi_fed_percent_tax_sta="Yes",C573,0)</f>
        <v>0</v>
      </c>
    </row>
    <row r="190" spans="1:42" x14ac:dyDescent="0.2">
      <c r="A190" s="78" t="s">
        <v>5</v>
      </c>
      <c r="C190" s="119">
        <f>IF(ibi_sta_percent_tax_sta="Yes",C574,0)</f>
        <v>0</v>
      </c>
    </row>
    <row r="191" spans="1:42" x14ac:dyDescent="0.2">
      <c r="A191" s="78" t="s">
        <v>170</v>
      </c>
      <c r="C191" s="119">
        <f>IF(ibi_uti_percent_tax_sta="Yes",C575,0)</f>
        <v>0</v>
      </c>
    </row>
    <row r="192" spans="1:42" x14ac:dyDescent="0.2">
      <c r="A192" s="78" t="s">
        <v>171</v>
      </c>
      <c r="C192" s="120">
        <f>IF(ibi_oth_percent_tax_sta="Yes",C576,0)</f>
        <v>0</v>
      </c>
    </row>
    <row r="193" spans="1:42" x14ac:dyDescent="0.2">
      <c r="A193" s="78" t="s">
        <v>13</v>
      </c>
      <c r="C193" s="119">
        <f>SUM(C189:C192)</f>
        <v>0</v>
      </c>
    </row>
    <row r="194" spans="1:42" x14ac:dyDescent="0.2">
      <c r="A194" s="86" t="str">
        <f>Inputs!B124</f>
        <v>Capacity Based Incentive (CBI)</v>
      </c>
    </row>
    <row r="195" spans="1:42" x14ac:dyDescent="0.2">
      <c r="A195" s="87" t="s">
        <v>4</v>
      </c>
      <c r="C195" s="119">
        <f>IF(cbi_fed_tax_sta="Yes",C580,0)</f>
        <v>0</v>
      </c>
    </row>
    <row r="196" spans="1:42" x14ac:dyDescent="0.2">
      <c r="A196" s="87" t="s">
        <v>5</v>
      </c>
      <c r="C196" s="119">
        <f>IF(cbi_sta_tax_sta="Yes",C581,0)</f>
        <v>0</v>
      </c>
    </row>
    <row r="197" spans="1:42" x14ac:dyDescent="0.2">
      <c r="A197" s="87" t="s">
        <v>170</v>
      </c>
      <c r="C197" s="119">
        <f>IF(cbi_uti_tax_sta="Yes",C582,0)</f>
        <v>0</v>
      </c>
    </row>
    <row r="198" spans="1:42" x14ac:dyDescent="0.2">
      <c r="A198" s="87" t="s">
        <v>171</v>
      </c>
      <c r="C198" s="120">
        <f>IF(cbi_oth_tax_sta="Yes",C583,0)</f>
        <v>0</v>
      </c>
    </row>
    <row r="199" spans="1:42" x14ac:dyDescent="0.2">
      <c r="A199" s="87" t="s">
        <v>13</v>
      </c>
      <c r="C199" s="119">
        <f>SUM(C195:C198)</f>
        <v>0</v>
      </c>
    </row>
    <row r="200" spans="1:42" x14ac:dyDescent="0.2">
      <c r="A200" s="86" t="str">
        <f>Inputs!B129</f>
        <v>Production Based Incentive (PBI)</v>
      </c>
      <c r="C200" s="14"/>
    </row>
    <row r="201" spans="1:42" x14ac:dyDescent="0.2">
      <c r="A201" s="87" t="s">
        <v>4</v>
      </c>
      <c r="C201" s="119">
        <f t="shared" ref="C201:AP201" si="71">IF(AND(pbi_fed_tax_sta="Yes",pbi_fed_for_ds="No"),C590,0)</f>
        <v>0</v>
      </c>
      <c r="D201" s="119">
        <f t="shared" si="71"/>
        <v>0</v>
      </c>
      <c r="E201" s="119">
        <f t="shared" si="71"/>
        <v>0</v>
      </c>
      <c r="F201" s="119">
        <f t="shared" si="71"/>
        <v>0</v>
      </c>
      <c r="G201" s="119">
        <f t="shared" si="71"/>
        <v>0</v>
      </c>
      <c r="H201" s="119">
        <f t="shared" si="71"/>
        <v>0</v>
      </c>
      <c r="I201" s="119">
        <f t="shared" si="71"/>
        <v>0</v>
      </c>
      <c r="J201" s="119">
        <f t="shared" si="71"/>
        <v>0</v>
      </c>
      <c r="K201" s="119">
        <f t="shared" si="71"/>
        <v>0</v>
      </c>
      <c r="L201" s="119">
        <f t="shared" si="71"/>
        <v>0</v>
      </c>
      <c r="M201" s="119">
        <f t="shared" si="71"/>
        <v>0</v>
      </c>
      <c r="N201" s="119">
        <f t="shared" si="71"/>
        <v>0</v>
      </c>
      <c r="O201" s="119">
        <f t="shared" si="71"/>
        <v>0</v>
      </c>
      <c r="P201" s="119">
        <f t="shared" si="71"/>
        <v>0</v>
      </c>
      <c r="Q201" s="119">
        <f t="shared" si="71"/>
        <v>0</v>
      </c>
      <c r="R201" s="119">
        <f t="shared" si="71"/>
        <v>0</v>
      </c>
      <c r="S201" s="119">
        <f t="shared" si="71"/>
        <v>0</v>
      </c>
      <c r="T201" s="119">
        <f t="shared" si="71"/>
        <v>0</v>
      </c>
      <c r="U201" s="119">
        <f t="shared" si="71"/>
        <v>0</v>
      </c>
      <c r="V201" s="119">
        <f t="shared" si="71"/>
        <v>0</v>
      </c>
      <c r="W201" s="119">
        <f t="shared" si="71"/>
        <v>0</v>
      </c>
      <c r="X201" s="119">
        <f t="shared" si="71"/>
        <v>0</v>
      </c>
      <c r="Y201" s="119">
        <f t="shared" si="71"/>
        <v>0</v>
      </c>
      <c r="Z201" s="119">
        <f t="shared" si="71"/>
        <v>0</v>
      </c>
      <c r="AA201" s="119">
        <f t="shared" si="71"/>
        <v>0</v>
      </c>
      <c r="AB201" s="119">
        <f t="shared" si="71"/>
        <v>0</v>
      </c>
      <c r="AC201" s="119">
        <f t="shared" si="71"/>
        <v>0</v>
      </c>
      <c r="AD201" s="119">
        <f t="shared" si="71"/>
        <v>0</v>
      </c>
      <c r="AE201" s="119">
        <f t="shared" si="71"/>
        <v>0</v>
      </c>
      <c r="AF201" s="119">
        <f t="shared" si="71"/>
        <v>0</v>
      </c>
      <c r="AG201" s="119">
        <f t="shared" si="71"/>
        <v>0</v>
      </c>
      <c r="AH201" s="119">
        <f t="shared" si="71"/>
        <v>0</v>
      </c>
      <c r="AI201" s="119">
        <f t="shared" si="71"/>
        <v>0</v>
      </c>
      <c r="AJ201" s="119">
        <f t="shared" si="71"/>
        <v>0</v>
      </c>
      <c r="AK201" s="119">
        <f t="shared" si="71"/>
        <v>0</v>
      </c>
      <c r="AL201" s="119">
        <f t="shared" si="71"/>
        <v>0</v>
      </c>
      <c r="AM201" s="119">
        <f t="shared" si="71"/>
        <v>0</v>
      </c>
      <c r="AN201" s="119">
        <f t="shared" si="71"/>
        <v>0</v>
      </c>
      <c r="AO201" s="119">
        <f t="shared" si="71"/>
        <v>0</v>
      </c>
      <c r="AP201" s="119">
        <f t="shared" si="71"/>
        <v>0</v>
      </c>
    </row>
    <row r="202" spans="1:42" x14ac:dyDescent="0.2">
      <c r="A202" s="87" t="s">
        <v>5</v>
      </c>
      <c r="C202" s="119">
        <f t="shared" ref="C202:AP202" si="72">IF(AND(pbi_sta_tax_sta="Yes",pbi_sta_for_ds="No"),C594,0)</f>
        <v>0</v>
      </c>
      <c r="D202" s="119">
        <f t="shared" si="72"/>
        <v>0</v>
      </c>
      <c r="E202" s="119">
        <f t="shared" si="72"/>
        <v>0</v>
      </c>
      <c r="F202" s="119">
        <f t="shared" si="72"/>
        <v>0</v>
      </c>
      <c r="G202" s="119">
        <f t="shared" si="72"/>
        <v>0</v>
      </c>
      <c r="H202" s="119">
        <f t="shared" si="72"/>
        <v>0</v>
      </c>
      <c r="I202" s="119">
        <f t="shared" si="72"/>
        <v>0</v>
      </c>
      <c r="J202" s="119">
        <f t="shared" si="72"/>
        <v>0</v>
      </c>
      <c r="K202" s="119">
        <f t="shared" si="72"/>
        <v>0</v>
      </c>
      <c r="L202" s="119">
        <f t="shared" si="72"/>
        <v>0</v>
      </c>
      <c r="M202" s="119">
        <f t="shared" si="72"/>
        <v>0</v>
      </c>
      <c r="N202" s="119">
        <f t="shared" si="72"/>
        <v>0</v>
      </c>
      <c r="O202" s="119">
        <f t="shared" si="72"/>
        <v>0</v>
      </c>
      <c r="P202" s="119">
        <f t="shared" si="72"/>
        <v>0</v>
      </c>
      <c r="Q202" s="119">
        <f t="shared" si="72"/>
        <v>0</v>
      </c>
      <c r="R202" s="119">
        <f t="shared" si="72"/>
        <v>0</v>
      </c>
      <c r="S202" s="119">
        <f t="shared" si="72"/>
        <v>0</v>
      </c>
      <c r="T202" s="119">
        <f t="shared" si="72"/>
        <v>0</v>
      </c>
      <c r="U202" s="119">
        <f t="shared" si="72"/>
        <v>0</v>
      </c>
      <c r="V202" s="119">
        <f t="shared" si="72"/>
        <v>0</v>
      </c>
      <c r="W202" s="119">
        <f t="shared" si="72"/>
        <v>0</v>
      </c>
      <c r="X202" s="119">
        <f t="shared" si="72"/>
        <v>0</v>
      </c>
      <c r="Y202" s="119">
        <f t="shared" si="72"/>
        <v>0</v>
      </c>
      <c r="Z202" s="119">
        <f t="shared" si="72"/>
        <v>0</v>
      </c>
      <c r="AA202" s="119">
        <f t="shared" si="72"/>
        <v>0</v>
      </c>
      <c r="AB202" s="119">
        <f t="shared" si="72"/>
        <v>0</v>
      </c>
      <c r="AC202" s="119">
        <f t="shared" si="72"/>
        <v>0</v>
      </c>
      <c r="AD202" s="119">
        <f t="shared" si="72"/>
        <v>0</v>
      </c>
      <c r="AE202" s="119">
        <f t="shared" si="72"/>
        <v>0</v>
      </c>
      <c r="AF202" s="119">
        <f t="shared" si="72"/>
        <v>0</v>
      </c>
      <c r="AG202" s="119">
        <f t="shared" si="72"/>
        <v>0</v>
      </c>
      <c r="AH202" s="119">
        <f t="shared" si="72"/>
        <v>0</v>
      </c>
      <c r="AI202" s="119">
        <f t="shared" si="72"/>
        <v>0</v>
      </c>
      <c r="AJ202" s="119">
        <f t="shared" si="72"/>
        <v>0</v>
      </c>
      <c r="AK202" s="119">
        <f t="shared" si="72"/>
        <v>0</v>
      </c>
      <c r="AL202" s="119">
        <f t="shared" si="72"/>
        <v>0</v>
      </c>
      <c r="AM202" s="119">
        <f t="shared" si="72"/>
        <v>0</v>
      </c>
      <c r="AN202" s="119">
        <f t="shared" si="72"/>
        <v>0</v>
      </c>
      <c r="AO202" s="119">
        <f t="shared" si="72"/>
        <v>0</v>
      </c>
      <c r="AP202" s="119">
        <f t="shared" si="72"/>
        <v>0</v>
      </c>
    </row>
    <row r="203" spans="1:42" x14ac:dyDescent="0.2">
      <c r="A203" s="87" t="s">
        <v>170</v>
      </c>
      <c r="C203" s="119">
        <f t="shared" ref="C203:AP203" si="73">IF(AND(pbi_uti_tax_sta="Yes",pbi_uti_for_ds="No"),C598,0)</f>
        <v>0</v>
      </c>
      <c r="D203" s="119">
        <f t="shared" si="73"/>
        <v>0</v>
      </c>
      <c r="E203" s="119">
        <f t="shared" si="73"/>
        <v>0</v>
      </c>
      <c r="F203" s="119">
        <f t="shared" si="73"/>
        <v>0</v>
      </c>
      <c r="G203" s="119">
        <f t="shared" si="73"/>
        <v>0</v>
      </c>
      <c r="H203" s="119">
        <f t="shared" si="73"/>
        <v>0</v>
      </c>
      <c r="I203" s="119">
        <f t="shared" si="73"/>
        <v>0</v>
      </c>
      <c r="J203" s="119">
        <f t="shared" si="73"/>
        <v>0</v>
      </c>
      <c r="K203" s="119">
        <f t="shared" si="73"/>
        <v>0</v>
      </c>
      <c r="L203" s="119">
        <f t="shared" si="73"/>
        <v>0</v>
      </c>
      <c r="M203" s="119">
        <f t="shared" si="73"/>
        <v>0</v>
      </c>
      <c r="N203" s="119">
        <f t="shared" si="73"/>
        <v>0</v>
      </c>
      <c r="O203" s="119">
        <f t="shared" si="73"/>
        <v>0</v>
      </c>
      <c r="P203" s="119">
        <f t="shared" si="73"/>
        <v>0</v>
      </c>
      <c r="Q203" s="119">
        <f t="shared" si="73"/>
        <v>0</v>
      </c>
      <c r="R203" s="119">
        <f t="shared" si="73"/>
        <v>0</v>
      </c>
      <c r="S203" s="119">
        <f t="shared" si="73"/>
        <v>0</v>
      </c>
      <c r="T203" s="119">
        <f t="shared" si="73"/>
        <v>0</v>
      </c>
      <c r="U203" s="119">
        <f t="shared" si="73"/>
        <v>0</v>
      </c>
      <c r="V203" s="119">
        <f t="shared" si="73"/>
        <v>0</v>
      </c>
      <c r="W203" s="119">
        <f t="shared" si="73"/>
        <v>0</v>
      </c>
      <c r="X203" s="119">
        <f t="shared" si="73"/>
        <v>0</v>
      </c>
      <c r="Y203" s="119">
        <f t="shared" si="73"/>
        <v>0</v>
      </c>
      <c r="Z203" s="119">
        <f t="shared" si="73"/>
        <v>0</v>
      </c>
      <c r="AA203" s="119">
        <f t="shared" si="73"/>
        <v>0</v>
      </c>
      <c r="AB203" s="119">
        <f t="shared" si="73"/>
        <v>0</v>
      </c>
      <c r="AC203" s="119">
        <f t="shared" si="73"/>
        <v>0</v>
      </c>
      <c r="AD203" s="119">
        <f t="shared" si="73"/>
        <v>0</v>
      </c>
      <c r="AE203" s="119">
        <f t="shared" si="73"/>
        <v>0</v>
      </c>
      <c r="AF203" s="119">
        <f t="shared" si="73"/>
        <v>0</v>
      </c>
      <c r="AG203" s="119">
        <f t="shared" si="73"/>
        <v>0</v>
      </c>
      <c r="AH203" s="119">
        <f t="shared" si="73"/>
        <v>0</v>
      </c>
      <c r="AI203" s="119">
        <f t="shared" si="73"/>
        <v>0</v>
      </c>
      <c r="AJ203" s="119">
        <f t="shared" si="73"/>
        <v>0</v>
      </c>
      <c r="AK203" s="119">
        <f t="shared" si="73"/>
        <v>0</v>
      </c>
      <c r="AL203" s="119">
        <f t="shared" si="73"/>
        <v>0</v>
      </c>
      <c r="AM203" s="119">
        <f t="shared" si="73"/>
        <v>0</v>
      </c>
      <c r="AN203" s="119">
        <f t="shared" si="73"/>
        <v>0</v>
      </c>
      <c r="AO203" s="119">
        <f t="shared" si="73"/>
        <v>0</v>
      </c>
      <c r="AP203" s="119">
        <f t="shared" si="73"/>
        <v>0</v>
      </c>
    </row>
    <row r="204" spans="1:42" x14ac:dyDescent="0.2">
      <c r="A204" s="87" t="s">
        <v>171</v>
      </c>
      <c r="C204" s="120">
        <f t="shared" ref="C204:AP204" si="74">IF(AND(pbi_oth_tax_sta="Yes",pbi_oth_for_ds="No"),C602,0)</f>
        <v>0</v>
      </c>
      <c r="D204" s="120">
        <f t="shared" si="74"/>
        <v>0</v>
      </c>
      <c r="E204" s="120">
        <f t="shared" si="74"/>
        <v>0</v>
      </c>
      <c r="F204" s="120">
        <f t="shared" si="74"/>
        <v>0</v>
      </c>
      <c r="G204" s="120">
        <f t="shared" si="74"/>
        <v>0</v>
      </c>
      <c r="H204" s="120">
        <f t="shared" si="74"/>
        <v>0</v>
      </c>
      <c r="I204" s="120">
        <f t="shared" si="74"/>
        <v>0</v>
      </c>
      <c r="J204" s="120">
        <f t="shared" si="74"/>
        <v>0</v>
      </c>
      <c r="K204" s="120">
        <f t="shared" si="74"/>
        <v>0</v>
      </c>
      <c r="L204" s="120">
        <f t="shared" si="74"/>
        <v>0</v>
      </c>
      <c r="M204" s="120">
        <f t="shared" si="74"/>
        <v>0</v>
      </c>
      <c r="N204" s="120">
        <f t="shared" si="74"/>
        <v>0</v>
      </c>
      <c r="O204" s="120">
        <f t="shared" si="74"/>
        <v>0</v>
      </c>
      <c r="P204" s="120">
        <f t="shared" si="74"/>
        <v>0</v>
      </c>
      <c r="Q204" s="120">
        <f t="shared" si="74"/>
        <v>0</v>
      </c>
      <c r="R204" s="120">
        <f t="shared" si="74"/>
        <v>0</v>
      </c>
      <c r="S204" s="120">
        <f t="shared" si="74"/>
        <v>0</v>
      </c>
      <c r="T204" s="120">
        <f t="shared" si="74"/>
        <v>0</v>
      </c>
      <c r="U204" s="120">
        <f t="shared" si="74"/>
        <v>0</v>
      </c>
      <c r="V204" s="120">
        <f t="shared" si="74"/>
        <v>0</v>
      </c>
      <c r="W204" s="120">
        <f t="shared" si="74"/>
        <v>0</v>
      </c>
      <c r="X204" s="120">
        <f t="shared" si="74"/>
        <v>0</v>
      </c>
      <c r="Y204" s="120">
        <f t="shared" si="74"/>
        <v>0</v>
      </c>
      <c r="Z204" s="120">
        <f t="shared" si="74"/>
        <v>0</v>
      </c>
      <c r="AA204" s="120">
        <f t="shared" si="74"/>
        <v>0</v>
      </c>
      <c r="AB204" s="120">
        <f t="shared" si="74"/>
        <v>0</v>
      </c>
      <c r="AC204" s="120">
        <f t="shared" si="74"/>
        <v>0</v>
      </c>
      <c r="AD204" s="120">
        <f t="shared" si="74"/>
        <v>0</v>
      </c>
      <c r="AE204" s="120">
        <f t="shared" si="74"/>
        <v>0</v>
      </c>
      <c r="AF204" s="120">
        <f t="shared" si="74"/>
        <v>0</v>
      </c>
      <c r="AG204" s="120">
        <f t="shared" si="74"/>
        <v>0</v>
      </c>
      <c r="AH204" s="120">
        <f t="shared" si="74"/>
        <v>0</v>
      </c>
      <c r="AI204" s="120">
        <f t="shared" si="74"/>
        <v>0</v>
      </c>
      <c r="AJ204" s="120">
        <f t="shared" si="74"/>
        <v>0</v>
      </c>
      <c r="AK204" s="120">
        <f t="shared" si="74"/>
        <v>0</v>
      </c>
      <c r="AL204" s="120">
        <f t="shared" si="74"/>
        <v>0</v>
      </c>
      <c r="AM204" s="120">
        <f t="shared" si="74"/>
        <v>0</v>
      </c>
      <c r="AN204" s="120">
        <f t="shared" si="74"/>
        <v>0</v>
      </c>
      <c r="AO204" s="120">
        <f t="shared" si="74"/>
        <v>0</v>
      </c>
      <c r="AP204" s="120">
        <f t="shared" si="74"/>
        <v>0</v>
      </c>
    </row>
    <row r="205" spans="1:42" x14ac:dyDescent="0.2">
      <c r="A205" s="87" t="s">
        <v>13</v>
      </c>
      <c r="C205" s="144">
        <f>SUM(C201:C204)</f>
        <v>0</v>
      </c>
      <c r="D205" s="144">
        <f t="shared" ref="D205:AL205" si="75">SUM(D201:D204)</f>
        <v>0</v>
      </c>
      <c r="E205" s="144">
        <f t="shared" si="75"/>
        <v>0</v>
      </c>
      <c r="F205" s="144">
        <f t="shared" si="75"/>
        <v>0</v>
      </c>
      <c r="G205" s="144">
        <f t="shared" si="75"/>
        <v>0</v>
      </c>
      <c r="H205" s="144">
        <f t="shared" si="75"/>
        <v>0</v>
      </c>
      <c r="I205" s="144">
        <f t="shared" si="75"/>
        <v>0</v>
      </c>
      <c r="J205" s="144">
        <f t="shared" si="75"/>
        <v>0</v>
      </c>
      <c r="K205" s="144">
        <f t="shared" si="75"/>
        <v>0</v>
      </c>
      <c r="L205" s="144">
        <f t="shared" si="75"/>
        <v>0</v>
      </c>
      <c r="M205" s="144">
        <f t="shared" si="75"/>
        <v>0</v>
      </c>
      <c r="N205" s="144">
        <f t="shared" si="75"/>
        <v>0</v>
      </c>
      <c r="O205" s="144">
        <f t="shared" si="75"/>
        <v>0</v>
      </c>
      <c r="P205" s="144">
        <f t="shared" si="75"/>
        <v>0</v>
      </c>
      <c r="Q205" s="144">
        <f t="shared" si="75"/>
        <v>0</v>
      </c>
      <c r="R205" s="144">
        <f t="shared" si="75"/>
        <v>0</v>
      </c>
      <c r="S205" s="144">
        <f t="shared" si="75"/>
        <v>0</v>
      </c>
      <c r="T205" s="144">
        <f t="shared" si="75"/>
        <v>0</v>
      </c>
      <c r="U205" s="144">
        <f t="shared" si="75"/>
        <v>0</v>
      </c>
      <c r="V205" s="144">
        <f t="shared" si="75"/>
        <v>0</v>
      </c>
      <c r="W205" s="144">
        <f t="shared" si="75"/>
        <v>0</v>
      </c>
      <c r="X205" s="144">
        <f t="shared" si="75"/>
        <v>0</v>
      </c>
      <c r="Y205" s="144">
        <f t="shared" si="75"/>
        <v>0</v>
      </c>
      <c r="Z205" s="144">
        <f t="shared" si="75"/>
        <v>0</v>
      </c>
      <c r="AA205" s="144">
        <f t="shared" si="75"/>
        <v>0</v>
      </c>
      <c r="AB205" s="144">
        <f t="shared" si="75"/>
        <v>0</v>
      </c>
      <c r="AC205" s="144">
        <f t="shared" si="75"/>
        <v>0</v>
      </c>
      <c r="AD205" s="144">
        <f t="shared" si="75"/>
        <v>0</v>
      </c>
      <c r="AE205" s="144">
        <f t="shared" si="75"/>
        <v>0</v>
      </c>
      <c r="AF205" s="144">
        <f t="shared" si="75"/>
        <v>0</v>
      </c>
      <c r="AG205" s="144">
        <f t="shared" si="75"/>
        <v>0</v>
      </c>
      <c r="AH205" s="144">
        <f t="shared" si="75"/>
        <v>0</v>
      </c>
      <c r="AI205" s="144">
        <f t="shared" si="75"/>
        <v>0</v>
      </c>
      <c r="AJ205" s="144">
        <f t="shared" si="75"/>
        <v>0</v>
      </c>
      <c r="AK205" s="144">
        <f t="shared" si="75"/>
        <v>0</v>
      </c>
      <c r="AL205" s="144">
        <f t="shared" si="75"/>
        <v>0</v>
      </c>
      <c r="AM205" s="144">
        <f>SUM(AM201:AM204)</f>
        <v>0</v>
      </c>
      <c r="AN205" s="144">
        <f t="shared" ref="AN205:AP205" si="76">SUM(AN201:AN204)</f>
        <v>0</v>
      </c>
      <c r="AO205" s="144">
        <f t="shared" si="76"/>
        <v>0</v>
      </c>
      <c r="AP205" s="144">
        <f t="shared" si="76"/>
        <v>0</v>
      </c>
    </row>
    <row r="206" spans="1:42" x14ac:dyDescent="0.2">
      <c r="A206" s="86" t="s">
        <v>37</v>
      </c>
      <c r="C206" s="119">
        <f>C187+C193+C199+C205</f>
        <v>0</v>
      </c>
      <c r="D206" s="119">
        <f>D187+D193+D199+D205</f>
        <v>0</v>
      </c>
      <c r="E206" s="119">
        <f t="shared" ref="E206:AP206" si="77">E187+E193+E199+E205</f>
        <v>0</v>
      </c>
      <c r="F206" s="119">
        <f t="shared" si="77"/>
        <v>0</v>
      </c>
      <c r="G206" s="119">
        <f t="shared" si="77"/>
        <v>0</v>
      </c>
      <c r="H206" s="119">
        <f t="shared" si="77"/>
        <v>0</v>
      </c>
      <c r="I206" s="119">
        <f t="shared" si="77"/>
        <v>0</v>
      </c>
      <c r="J206" s="119">
        <f t="shared" si="77"/>
        <v>0</v>
      </c>
      <c r="K206" s="119">
        <f t="shared" si="77"/>
        <v>0</v>
      </c>
      <c r="L206" s="119">
        <f t="shared" si="77"/>
        <v>0</v>
      </c>
      <c r="M206" s="119">
        <f t="shared" si="77"/>
        <v>0</v>
      </c>
      <c r="N206" s="119">
        <f t="shared" si="77"/>
        <v>0</v>
      </c>
      <c r="O206" s="119">
        <f t="shared" si="77"/>
        <v>0</v>
      </c>
      <c r="P206" s="119">
        <f t="shared" si="77"/>
        <v>0</v>
      </c>
      <c r="Q206" s="119">
        <f t="shared" si="77"/>
        <v>0</v>
      </c>
      <c r="R206" s="119">
        <f t="shared" si="77"/>
        <v>0</v>
      </c>
      <c r="S206" s="119">
        <f t="shared" si="77"/>
        <v>0</v>
      </c>
      <c r="T206" s="119">
        <f t="shared" si="77"/>
        <v>0</v>
      </c>
      <c r="U206" s="119">
        <f t="shared" si="77"/>
        <v>0</v>
      </c>
      <c r="V206" s="119">
        <f t="shared" si="77"/>
        <v>0</v>
      </c>
      <c r="W206" s="119">
        <f t="shared" si="77"/>
        <v>0</v>
      </c>
      <c r="X206" s="119">
        <f t="shared" si="77"/>
        <v>0</v>
      </c>
      <c r="Y206" s="119">
        <f t="shared" si="77"/>
        <v>0</v>
      </c>
      <c r="Z206" s="119">
        <f t="shared" si="77"/>
        <v>0</v>
      </c>
      <c r="AA206" s="119">
        <f t="shared" si="77"/>
        <v>0</v>
      </c>
      <c r="AB206" s="119">
        <f t="shared" si="77"/>
        <v>0</v>
      </c>
      <c r="AC206" s="119">
        <f t="shared" si="77"/>
        <v>0</v>
      </c>
      <c r="AD206" s="119">
        <f t="shared" si="77"/>
        <v>0</v>
      </c>
      <c r="AE206" s="119">
        <f t="shared" si="77"/>
        <v>0</v>
      </c>
      <c r="AF206" s="119">
        <f t="shared" si="77"/>
        <v>0</v>
      </c>
      <c r="AG206" s="119">
        <f t="shared" si="77"/>
        <v>0</v>
      </c>
      <c r="AH206" s="119">
        <f t="shared" si="77"/>
        <v>0</v>
      </c>
      <c r="AI206" s="119">
        <f t="shared" si="77"/>
        <v>0</v>
      </c>
      <c r="AJ206" s="119">
        <f t="shared" si="77"/>
        <v>0</v>
      </c>
      <c r="AK206" s="119">
        <f t="shared" si="77"/>
        <v>0</v>
      </c>
      <c r="AL206" s="119">
        <f t="shared" si="77"/>
        <v>0</v>
      </c>
      <c r="AM206" s="119">
        <f t="shared" si="77"/>
        <v>0</v>
      </c>
      <c r="AN206" s="119">
        <f t="shared" si="77"/>
        <v>0</v>
      </c>
      <c r="AO206" s="119">
        <f t="shared" si="77"/>
        <v>0</v>
      </c>
      <c r="AP206" s="119">
        <f t="shared" si="77"/>
        <v>0</v>
      </c>
    </row>
    <row r="207" spans="1:42" x14ac:dyDescent="0.2">
      <c r="A207" s="87"/>
    </row>
    <row r="208" spans="1:42" x14ac:dyDescent="0.2">
      <c r="A208" s="86" t="s">
        <v>173</v>
      </c>
      <c r="C208" s="155">
        <f>C180+C206</f>
        <v>0</v>
      </c>
      <c r="D208" s="155">
        <f t="shared" ref="D208:AP208" si="78">D180+D206</f>
        <v>0</v>
      </c>
      <c r="E208" s="155">
        <f t="shared" si="78"/>
        <v>0</v>
      </c>
      <c r="F208" s="155">
        <f t="shared" si="78"/>
        <v>0</v>
      </c>
      <c r="G208" s="155">
        <f t="shared" si="78"/>
        <v>0</v>
      </c>
      <c r="H208" s="155">
        <f t="shared" si="78"/>
        <v>0</v>
      </c>
      <c r="I208" s="155">
        <f t="shared" si="78"/>
        <v>0</v>
      </c>
      <c r="J208" s="155">
        <f t="shared" si="78"/>
        <v>0</v>
      </c>
      <c r="K208" s="155">
        <f t="shared" si="78"/>
        <v>0</v>
      </c>
      <c r="L208" s="155">
        <f t="shared" si="78"/>
        <v>0</v>
      </c>
      <c r="M208" s="155">
        <f t="shared" si="78"/>
        <v>0</v>
      </c>
      <c r="N208" s="155">
        <f t="shared" si="78"/>
        <v>0</v>
      </c>
      <c r="O208" s="155">
        <f t="shared" si="78"/>
        <v>0</v>
      </c>
      <c r="P208" s="155">
        <f t="shared" si="78"/>
        <v>0</v>
      </c>
      <c r="Q208" s="155">
        <f t="shared" si="78"/>
        <v>0</v>
      </c>
      <c r="R208" s="155">
        <f t="shared" si="78"/>
        <v>0</v>
      </c>
      <c r="S208" s="155">
        <f t="shared" si="78"/>
        <v>0</v>
      </c>
      <c r="T208" s="155">
        <f t="shared" si="78"/>
        <v>0</v>
      </c>
      <c r="U208" s="155">
        <f t="shared" si="78"/>
        <v>0</v>
      </c>
      <c r="V208" s="155">
        <f t="shared" si="78"/>
        <v>0</v>
      </c>
      <c r="W208" s="155">
        <f t="shared" si="78"/>
        <v>0</v>
      </c>
      <c r="X208" s="155">
        <f t="shared" si="78"/>
        <v>0</v>
      </c>
      <c r="Y208" s="155">
        <f t="shared" si="78"/>
        <v>0</v>
      </c>
      <c r="Z208" s="155">
        <f t="shared" si="78"/>
        <v>0</v>
      </c>
      <c r="AA208" s="155">
        <f t="shared" si="78"/>
        <v>0</v>
      </c>
      <c r="AB208" s="155">
        <f t="shared" si="78"/>
        <v>0</v>
      </c>
      <c r="AC208" s="155">
        <f t="shared" si="78"/>
        <v>0</v>
      </c>
      <c r="AD208" s="155">
        <f t="shared" si="78"/>
        <v>0</v>
      </c>
      <c r="AE208" s="155">
        <f t="shared" si="78"/>
        <v>0</v>
      </c>
      <c r="AF208" s="155">
        <f t="shared" si="78"/>
        <v>0</v>
      </c>
      <c r="AG208" s="155">
        <f t="shared" si="78"/>
        <v>0</v>
      </c>
      <c r="AH208" s="155">
        <f t="shared" si="78"/>
        <v>0</v>
      </c>
      <c r="AI208" s="155">
        <f t="shared" si="78"/>
        <v>0</v>
      </c>
      <c r="AJ208" s="155">
        <f t="shared" si="78"/>
        <v>0</v>
      </c>
      <c r="AK208" s="155">
        <f t="shared" si="78"/>
        <v>0</v>
      </c>
      <c r="AL208" s="155">
        <f t="shared" si="78"/>
        <v>0</v>
      </c>
      <c r="AM208" s="155">
        <f t="shared" si="78"/>
        <v>0</v>
      </c>
      <c r="AN208" s="155">
        <f t="shared" si="78"/>
        <v>0</v>
      </c>
      <c r="AO208" s="155">
        <f t="shared" si="78"/>
        <v>0</v>
      </c>
      <c r="AP208" s="155">
        <f t="shared" si="78"/>
        <v>0</v>
      </c>
    </row>
    <row r="209" spans="1:42" x14ac:dyDescent="0.2">
      <c r="A209" s="86" t="s">
        <v>264</v>
      </c>
      <c r="B209" s="4">
        <f t="array" ref="B209:AP209">Inputs!C169:AQ169</f>
        <v>0</v>
      </c>
      <c r="C209" s="155">
        <v>0</v>
      </c>
      <c r="D209" s="155">
        <v>0</v>
      </c>
      <c r="E209" s="155">
        <v>0</v>
      </c>
      <c r="F209" s="155">
        <v>0</v>
      </c>
      <c r="G209" s="155">
        <v>0</v>
      </c>
      <c r="H209" s="155">
        <v>0</v>
      </c>
      <c r="I209" s="155">
        <v>0</v>
      </c>
      <c r="J209" s="155">
        <v>0</v>
      </c>
      <c r="K209" s="155">
        <v>0</v>
      </c>
      <c r="L209" s="155">
        <v>0</v>
      </c>
      <c r="M209" s="155">
        <v>0</v>
      </c>
      <c r="N209" s="155">
        <v>0</v>
      </c>
      <c r="O209" s="155">
        <v>0</v>
      </c>
      <c r="P209" s="155">
        <v>0</v>
      </c>
      <c r="Q209" s="155">
        <v>0</v>
      </c>
      <c r="R209" s="155">
        <v>0</v>
      </c>
      <c r="S209" s="155">
        <v>0</v>
      </c>
      <c r="T209" s="155">
        <v>0</v>
      </c>
      <c r="U209" s="155">
        <v>0</v>
      </c>
      <c r="V209" s="155">
        <v>0</v>
      </c>
      <c r="W209" s="155">
        <v>0</v>
      </c>
      <c r="X209" s="155">
        <v>0</v>
      </c>
      <c r="Y209" s="155">
        <v>0</v>
      </c>
      <c r="Z209" s="155">
        <v>0</v>
      </c>
      <c r="AA209" s="155">
        <v>0</v>
      </c>
      <c r="AB209" s="155">
        <v>0</v>
      </c>
      <c r="AC209" s="155">
        <v>0</v>
      </c>
      <c r="AD209" s="155">
        <v>0</v>
      </c>
      <c r="AE209" s="155">
        <v>0</v>
      </c>
      <c r="AF209" s="155">
        <v>0</v>
      </c>
      <c r="AG209" s="155">
        <v>0</v>
      </c>
      <c r="AH209" s="155">
        <v>0</v>
      </c>
      <c r="AI209" s="155">
        <v>0</v>
      </c>
      <c r="AJ209" s="155">
        <v>0</v>
      </c>
      <c r="AK209" s="155">
        <v>0</v>
      </c>
      <c r="AL209" s="155">
        <v>0</v>
      </c>
      <c r="AM209" s="155">
        <v>0</v>
      </c>
      <c r="AN209" s="155">
        <v>0</v>
      </c>
      <c r="AO209" s="155">
        <v>0</v>
      </c>
      <c r="AP209" s="155">
        <v>0</v>
      </c>
    </row>
    <row r="210" spans="1:42" x14ac:dyDescent="0.2">
      <c r="A210" s="17" t="s">
        <v>36</v>
      </c>
      <c r="C210" s="158">
        <f>C208*-C209/100</f>
        <v>0</v>
      </c>
      <c r="D210" s="158">
        <f t="shared" ref="D210:AP210" si="79">D208*-D209/100</f>
        <v>0</v>
      </c>
      <c r="E210" s="158">
        <f t="shared" si="79"/>
        <v>0</v>
      </c>
      <c r="F210" s="158">
        <f t="shared" si="79"/>
        <v>0</v>
      </c>
      <c r="G210" s="158">
        <f t="shared" si="79"/>
        <v>0</v>
      </c>
      <c r="H210" s="158">
        <f t="shared" si="79"/>
        <v>0</v>
      </c>
      <c r="I210" s="158">
        <f t="shared" si="79"/>
        <v>0</v>
      </c>
      <c r="J210" s="158">
        <f t="shared" si="79"/>
        <v>0</v>
      </c>
      <c r="K210" s="158">
        <f t="shared" si="79"/>
        <v>0</v>
      </c>
      <c r="L210" s="158">
        <f t="shared" si="79"/>
        <v>0</v>
      </c>
      <c r="M210" s="158">
        <f t="shared" si="79"/>
        <v>0</v>
      </c>
      <c r="N210" s="158">
        <f t="shared" si="79"/>
        <v>0</v>
      </c>
      <c r="O210" s="158">
        <f t="shared" si="79"/>
        <v>0</v>
      </c>
      <c r="P210" s="158">
        <f t="shared" si="79"/>
        <v>0</v>
      </c>
      <c r="Q210" s="158">
        <f t="shared" si="79"/>
        <v>0</v>
      </c>
      <c r="R210" s="158">
        <f t="shared" si="79"/>
        <v>0</v>
      </c>
      <c r="S210" s="158">
        <f t="shared" si="79"/>
        <v>0</v>
      </c>
      <c r="T210" s="158">
        <f t="shared" si="79"/>
        <v>0</v>
      </c>
      <c r="U210" s="158">
        <f t="shared" si="79"/>
        <v>0</v>
      </c>
      <c r="V210" s="158">
        <f t="shared" si="79"/>
        <v>0</v>
      </c>
      <c r="W210" s="158">
        <f t="shared" si="79"/>
        <v>0</v>
      </c>
      <c r="X210" s="158">
        <f t="shared" si="79"/>
        <v>0</v>
      </c>
      <c r="Y210" s="158">
        <f t="shared" si="79"/>
        <v>0</v>
      </c>
      <c r="Z210" s="158">
        <f t="shared" si="79"/>
        <v>0</v>
      </c>
      <c r="AA210" s="158">
        <f t="shared" si="79"/>
        <v>0</v>
      </c>
      <c r="AB210" s="158">
        <f t="shared" si="79"/>
        <v>0</v>
      </c>
      <c r="AC210" s="158">
        <f t="shared" si="79"/>
        <v>0</v>
      </c>
      <c r="AD210" s="158">
        <f t="shared" si="79"/>
        <v>0</v>
      </c>
      <c r="AE210" s="158">
        <f t="shared" si="79"/>
        <v>0</v>
      </c>
      <c r="AF210" s="158">
        <f t="shared" si="79"/>
        <v>0</v>
      </c>
      <c r="AG210" s="158">
        <f t="shared" si="79"/>
        <v>0</v>
      </c>
      <c r="AH210" s="158">
        <f t="shared" si="79"/>
        <v>0</v>
      </c>
      <c r="AI210" s="158">
        <f t="shared" si="79"/>
        <v>0</v>
      </c>
      <c r="AJ210" s="158">
        <f t="shared" si="79"/>
        <v>0</v>
      </c>
      <c r="AK210" s="158">
        <f t="shared" si="79"/>
        <v>0</v>
      </c>
      <c r="AL210" s="158">
        <f t="shared" si="79"/>
        <v>0</v>
      </c>
      <c r="AM210" s="158">
        <f t="shared" si="79"/>
        <v>0</v>
      </c>
      <c r="AN210" s="158">
        <f t="shared" si="79"/>
        <v>0</v>
      </c>
      <c r="AO210" s="158">
        <f t="shared" si="79"/>
        <v>0</v>
      </c>
      <c r="AP210" s="158">
        <f t="shared" si="79"/>
        <v>0</v>
      </c>
    </row>
    <row r="212" spans="1:42" x14ac:dyDescent="0.2">
      <c r="A212" s="19" t="s">
        <v>29</v>
      </c>
    </row>
    <row r="213" spans="1:42" x14ac:dyDescent="0.2">
      <c r="A213" s="86" t="s">
        <v>26</v>
      </c>
      <c r="C213" s="155">
        <f>C$76</f>
        <v>0</v>
      </c>
      <c r="D213" s="155">
        <f t="shared" ref="D213:AP213" si="80">D$76</f>
        <v>0</v>
      </c>
      <c r="E213" s="155">
        <f t="shared" si="80"/>
        <v>0</v>
      </c>
      <c r="F213" s="155">
        <f t="shared" si="80"/>
        <v>0</v>
      </c>
      <c r="G213" s="155">
        <f t="shared" si="80"/>
        <v>0</v>
      </c>
      <c r="H213" s="155">
        <f t="shared" si="80"/>
        <v>0</v>
      </c>
      <c r="I213" s="155">
        <f t="shared" si="80"/>
        <v>0</v>
      </c>
      <c r="J213" s="155">
        <f t="shared" si="80"/>
        <v>0</v>
      </c>
      <c r="K213" s="155">
        <f t="shared" si="80"/>
        <v>0</v>
      </c>
      <c r="L213" s="155">
        <f t="shared" si="80"/>
        <v>0</v>
      </c>
      <c r="M213" s="155">
        <f t="shared" si="80"/>
        <v>0</v>
      </c>
      <c r="N213" s="155">
        <f t="shared" si="80"/>
        <v>0</v>
      </c>
      <c r="O213" s="155">
        <f t="shared" si="80"/>
        <v>0</v>
      </c>
      <c r="P213" s="155">
        <f t="shared" si="80"/>
        <v>0</v>
      </c>
      <c r="Q213" s="155">
        <f t="shared" si="80"/>
        <v>0</v>
      </c>
      <c r="R213" s="155">
        <f t="shared" si="80"/>
        <v>0</v>
      </c>
      <c r="S213" s="155">
        <f t="shared" si="80"/>
        <v>0</v>
      </c>
      <c r="T213" s="155">
        <f t="shared" si="80"/>
        <v>0</v>
      </c>
      <c r="U213" s="155">
        <f t="shared" si="80"/>
        <v>0</v>
      </c>
      <c r="V213" s="155">
        <f t="shared" si="80"/>
        <v>0</v>
      </c>
      <c r="W213" s="155">
        <f t="shared" si="80"/>
        <v>0</v>
      </c>
      <c r="X213" s="155">
        <f t="shared" si="80"/>
        <v>0</v>
      </c>
      <c r="Y213" s="155">
        <f t="shared" si="80"/>
        <v>0</v>
      </c>
      <c r="Z213" s="155">
        <f t="shared" si="80"/>
        <v>0</v>
      </c>
      <c r="AA213" s="155">
        <f t="shared" si="80"/>
        <v>0</v>
      </c>
      <c r="AB213" s="155">
        <f t="shared" si="80"/>
        <v>0</v>
      </c>
      <c r="AC213" s="155">
        <f t="shared" si="80"/>
        <v>0</v>
      </c>
      <c r="AD213" s="155">
        <f t="shared" si="80"/>
        <v>0</v>
      </c>
      <c r="AE213" s="155">
        <f t="shared" si="80"/>
        <v>0</v>
      </c>
      <c r="AF213" s="155">
        <f t="shared" si="80"/>
        <v>0</v>
      </c>
      <c r="AG213" s="155">
        <f t="shared" si="80"/>
        <v>0</v>
      </c>
      <c r="AH213" s="155">
        <f t="shared" si="80"/>
        <v>0</v>
      </c>
      <c r="AI213" s="155">
        <f t="shared" si="80"/>
        <v>0</v>
      </c>
      <c r="AJ213" s="155">
        <f t="shared" si="80"/>
        <v>0</v>
      </c>
      <c r="AK213" s="155">
        <f t="shared" si="80"/>
        <v>0</v>
      </c>
      <c r="AL213" s="155">
        <f t="shared" si="80"/>
        <v>0</v>
      </c>
      <c r="AM213" s="155">
        <f t="shared" si="80"/>
        <v>0</v>
      </c>
      <c r="AN213" s="155">
        <f t="shared" si="80"/>
        <v>0</v>
      </c>
      <c r="AO213" s="155">
        <f t="shared" si="80"/>
        <v>0</v>
      </c>
      <c r="AP213" s="155">
        <f t="shared" si="80"/>
        <v>0</v>
      </c>
    </row>
    <row r="214" spans="1:42" x14ac:dyDescent="0.2">
      <c r="A214" s="86" t="s">
        <v>35</v>
      </c>
      <c r="C214" s="155">
        <f t="shared" ref="C214:AP214" si="81">C750</f>
        <v>0</v>
      </c>
      <c r="D214" s="155">
        <f t="shared" si="81"/>
        <v>0</v>
      </c>
      <c r="E214" s="155">
        <f t="shared" si="81"/>
        <v>0</v>
      </c>
      <c r="F214" s="155">
        <f t="shared" si="81"/>
        <v>0</v>
      </c>
      <c r="G214" s="155">
        <f t="shared" si="81"/>
        <v>0</v>
      </c>
      <c r="H214" s="155">
        <f t="shared" si="81"/>
        <v>0</v>
      </c>
      <c r="I214" s="155">
        <f t="shared" si="81"/>
        <v>0</v>
      </c>
      <c r="J214" s="155">
        <f t="shared" si="81"/>
        <v>0</v>
      </c>
      <c r="K214" s="155">
        <f t="shared" si="81"/>
        <v>0</v>
      </c>
      <c r="L214" s="155">
        <f t="shared" si="81"/>
        <v>0</v>
      </c>
      <c r="M214" s="155">
        <f t="shared" si="81"/>
        <v>0</v>
      </c>
      <c r="N214" s="155">
        <f t="shared" si="81"/>
        <v>0</v>
      </c>
      <c r="O214" s="155">
        <f t="shared" si="81"/>
        <v>0</v>
      </c>
      <c r="P214" s="155">
        <f t="shared" si="81"/>
        <v>0</v>
      </c>
      <c r="Q214" s="155">
        <f t="shared" si="81"/>
        <v>0</v>
      </c>
      <c r="R214" s="155">
        <f t="shared" si="81"/>
        <v>0</v>
      </c>
      <c r="S214" s="155">
        <f t="shared" si="81"/>
        <v>0</v>
      </c>
      <c r="T214" s="155">
        <f t="shared" si="81"/>
        <v>0</v>
      </c>
      <c r="U214" s="155">
        <f t="shared" si="81"/>
        <v>0</v>
      </c>
      <c r="V214" s="155">
        <f t="shared" si="81"/>
        <v>0</v>
      </c>
      <c r="W214" s="155">
        <f t="shared" si="81"/>
        <v>0</v>
      </c>
      <c r="X214" s="155">
        <f t="shared" si="81"/>
        <v>0</v>
      </c>
      <c r="Y214" s="155">
        <f t="shared" si="81"/>
        <v>0</v>
      </c>
      <c r="Z214" s="155">
        <f t="shared" si="81"/>
        <v>0</v>
      </c>
      <c r="AA214" s="155">
        <f t="shared" si="81"/>
        <v>0</v>
      </c>
      <c r="AB214" s="155">
        <f t="shared" si="81"/>
        <v>0</v>
      </c>
      <c r="AC214" s="155">
        <f t="shared" si="81"/>
        <v>0</v>
      </c>
      <c r="AD214" s="155">
        <f t="shared" si="81"/>
        <v>0</v>
      </c>
      <c r="AE214" s="155">
        <f t="shared" si="81"/>
        <v>0</v>
      </c>
      <c r="AF214" s="155">
        <f t="shared" si="81"/>
        <v>0</v>
      </c>
      <c r="AG214" s="155">
        <f t="shared" si="81"/>
        <v>0</v>
      </c>
      <c r="AH214" s="155">
        <f t="shared" si="81"/>
        <v>0</v>
      </c>
      <c r="AI214" s="155">
        <f t="shared" si="81"/>
        <v>0</v>
      </c>
      <c r="AJ214" s="155">
        <f t="shared" si="81"/>
        <v>0</v>
      </c>
      <c r="AK214" s="155">
        <f t="shared" si="81"/>
        <v>0</v>
      </c>
      <c r="AL214" s="155">
        <f t="shared" si="81"/>
        <v>0</v>
      </c>
      <c r="AM214" s="155">
        <f t="shared" si="81"/>
        <v>0</v>
      </c>
      <c r="AN214" s="155">
        <f t="shared" si="81"/>
        <v>0</v>
      </c>
      <c r="AO214" s="155">
        <f t="shared" si="81"/>
        <v>0</v>
      </c>
      <c r="AP214" s="155">
        <f t="shared" si="81"/>
        <v>0</v>
      </c>
    </row>
    <row r="215" spans="1:42" x14ac:dyDescent="0.2">
      <c r="A215" s="86" t="s">
        <v>27</v>
      </c>
      <c r="C215" s="155">
        <f t="shared" ref="C215:AP215" si="82">-C609</f>
        <v>0</v>
      </c>
      <c r="D215" s="155">
        <f t="shared" si="82"/>
        <v>0</v>
      </c>
      <c r="E215" s="155">
        <f t="shared" si="82"/>
        <v>0</v>
      </c>
      <c r="F215" s="155">
        <f t="shared" si="82"/>
        <v>0</v>
      </c>
      <c r="G215" s="155">
        <f t="shared" si="82"/>
        <v>0</v>
      </c>
      <c r="H215" s="155">
        <f t="shared" si="82"/>
        <v>0</v>
      </c>
      <c r="I215" s="155">
        <f t="shared" si="82"/>
        <v>0</v>
      </c>
      <c r="J215" s="155">
        <f t="shared" si="82"/>
        <v>0</v>
      </c>
      <c r="K215" s="155">
        <f t="shared" si="82"/>
        <v>0</v>
      </c>
      <c r="L215" s="155">
        <f t="shared" si="82"/>
        <v>0</v>
      </c>
      <c r="M215" s="155">
        <f t="shared" si="82"/>
        <v>0</v>
      </c>
      <c r="N215" s="155">
        <f t="shared" si="82"/>
        <v>0</v>
      </c>
      <c r="O215" s="155">
        <f t="shared" si="82"/>
        <v>0</v>
      </c>
      <c r="P215" s="155">
        <f t="shared" si="82"/>
        <v>0</v>
      </c>
      <c r="Q215" s="155">
        <f t="shared" si="82"/>
        <v>0</v>
      </c>
      <c r="R215" s="155">
        <f t="shared" si="82"/>
        <v>0</v>
      </c>
      <c r="S215" s="155">
        <f t="shared" si="82"/>
        <v>0</v>
      </c>
      <c r="T215" s="155">
        <f t="shared" si="82"/>
        <v>0</v>
      </c>
      <c r="U215" s="155">
        <f t="shared" si="82"/>
        <v>0</v>
      </c>
      <c r="V215" s="155">
        <f t="shared" si="82"/>
        <v>0</v>
      </c>
      <c r="W215" s="155">
        <f t="shared" si="82"/>
        <v>0</v>
      </c>
      <c r="X215" s="155">
        <f t="shared" si="82"/>
        <v>0</v>
      </c>
      <c r="Y215" s="155">
        <f t="shared" si="82"/>
        <v>0</v>
      </c>
      <c r="Z215" s="155">
        <f t="shared" si="82"/>
        <v>0</v>
      </c>
      <c r="AA215" s="155">
        <f t="shared" si="82"/>
        <v>0</v>
      </c>
      <c r="AB215" s="155">
        <f t="shared" si="82"/>
        <v>0</v>
      </c>
      <c r="AC215" s="155">
        <f t="shared" si="82"/>
        <v>0</v>
      </c>
      <c r="AD215" s="155">
        <f t="shared" si="82"/>
        <v>0</v>
      </c>
      <c r="AE215" s="155">
        <f t="shared" si="82"/>
        <v>0</v>
      </c>
      <c r="AF215" s="155">
        <f t="shared" si="82"/>
        <v>0</v>
      </c>
      <c r="AG215" s="155">
        <f t="shared" si="82"/>
        <v>0</v>
      </c>
      <c r="AH215" s="155">
        <f t="shared" si="82"/>
        <v>0</v>
      </c>
      <c r="AI215" s="155">
        <f t="shared" si="82"/>
        <v>0</v>
      </c>
      <c r="AJ215" s="155">
        <f t="shared" si="82"/>
        <v>0</v>
      </c>
      <c r="AK215" s="155">
        <f t="shared" si="82"/>
        <v>0</v>
      </c>
      <c r="AL215" s="155">
        <f t="shared" si="82"/>
        <v>0</v>
      </c>
      <c r="AM215" s="155">
        <f t="shared" si="82"/>
        <v>0</v>
      </c>
      <c r="AN215" s="155">
        <f t="shared" si="82"/>
        <v>0</v>
      </c>
      <c r="AO215" s="155">
        <f t="shared" si="82"/>
        <v>0</v>
      </c>
      <c r="AP215" s="155">
        <f t="shared" si="82"/>
        <v>0</v>
      </c>
    </row>
    <row r="216" spans="1:42" x14ac:dyDescent="0.2">
      <c r="A216" s="86" t="s">
        <v>30</v>
      </c>
      <c r="C216" s="155">
        <f t="shared" ref="C216:AP216" si="83">IF(C$2&lt;=analysis_period,-C452-C483-C509-C535,0)</f>
        <v>0</v>
      </c>
      <c r="D216" s="155">
        <f t="shared" si="83"/>
        <v>0</v>
      </c>
      <c r="E216" s="155">
        <f t="shared" si="83"/>
        <v>0</v>
      </c>
      <c r="F216" s="155">
        <f t="shared" si="83"/>
        <v>0</v>
      </c>
      <c r="G216" s="155">
        <f t="shared" si="83"/>
        <v>0</v>
      </c>
      <c r="H216" s="155">
        <f t="shared" si="83"/>
        <v>0</v>
      </c>
      <c r="I216" s="155">
        <f t="shared" si="83"/>
        <v>0</v>
      </c>
      <c r="J216" s="155">
        <f t="shared" si="83"/>
        <v>0</v>
      </c>
      <c r="K216" s="155">
        <f t="shared" si="83"/>
        <v>0</v>
      </c>
      <c r="L216" s="155">
        <f t="shared" si="83"/>
        <v>0</v>
      </c>
      <c r="M216" s="155">
        <f t="shared" si="83"/>
        <v>0</v>
      </c>
      <c r="N216" s="155">
        <f t="shared" si="83"/>
        <v>0</v>
      </c>
      <c r="O216" s="155">
        <f t="shared" si="83"/>
        <v>0</v>
      </c>
      <c r="P216" s="155">
        <f t="shared" si="83"/>
        <v>0</v>
      </c>
      <c r="Q216" s="155">
        <f t="shared" si="83"/>
        <v>0</v>
      </c>
      <c r="R216" s="155">
        <f t="shared" si="83"/>
        <v>0</v>
      </c>
      <c r="S216" s="155">
        <f t="shared" si="83"/>
        <v>0</v>
      </c>
      <c r="T216" s="155">
        <f t="shared" si="83"/>
        <v>0</v>
      </c>
      <c r="U216" s="155">
        <f t="shared" si="83"/>
        <v>0</v>
      </c>
      <c r="V216" s="155">
        <f t="shared" si="83"/>
        <v>0</v>
      </c>
      <c r="W216" s="155">
        <f t="shared" si="83"/>
        <v>0</v>
      </c>
      <c r="X216" s="155">
        <f t="shared" si="83"/>
        <v>0</v>
      </c>
      <c r="Y216" s="155">
        <f t="shared" si="83"/>
        <v>0</v>
      </c>
      <c r="Z216" s="155">
        <f t="shared" si="83"/>
        <v>0</v>
      </c>
      <c r="AA216" s="155">
        <f t="shared" si="83"/>
        <v>0</v>
      </c>
      <c r="AB216" s="155">
        <f t="shared" si="83"/>
        <v>0</v>
      </c>
      <c r="AC216" s="155">
        <f t="shared" si="83"/>
        <v>0</v>
      </c>
      <c r="AD216" s="155">
        <f t="shared" si="83"/>
        <v>0</v>
      </c>
      <c r="AE216" s="155">
        <f t="shared" si="83"/>
        <v>0</v>
      </c>
      <c r="AF216" s="155">
        <f t="shared" si="83"/>
        <v>0</v>
      </c>
      <c r="AG216" s="155">
        <f t="shared" si="83"/>
        <v>0</v>
      </c>
      <c r="AH216" s="155">
        <f t="shared" si="83"/>
        <v>0</v>
      </c>
      <c r="AI216" s="155">
        <f t="shared" si="83"/>
        <v>0</v>
      </c>
      <c r="AJ216" s="155">
        <f t="shared" si="83"/>
        <v>0</v>
      </c>
      <c r="AK216" s="155">
        <f t="shared" si="83"/>
        <v>0</v>
      </c>
      <c r="AL216" s="155">
        <f t="shared" si="83"/>
        <v>0</v>
      </c>
      <c r="AM216" s="155">
        <f t="shared" si="83"/>
        <v>0</v>
      </c>
      <c r="AN216" s="155">
        <f t="shared" si="83"/>
        <v>0</v>
      </c>
      <c r="AO216" s="155">
        <f t="shared" si="83"/>
        <v>0</v>
      </c>
      <c r="AP216" s="155">
        <f t="shared" si="83"/>
        <v>0</v>
      </c>
    </row>
    <row r="217" spans="1:42" x14ac:dyDescent="0.2">
      <c r="A217" s="86" t="s">
        <v>36</v>
      </c>
      <c r="C217" s="155">
        <f>C210</f>
        <v>0</v>
      </c>
      <c r="D217" s="155">
        <f t="shared" ref="D217:AP217" si="84">D210</f>
        <v>0</v>
      </c>
      <c r="E217" s="155">
        <f t="shared" si="84"/>
        <v>0</v>
      </c>
      <c r="F217" s="155">
        <f t="shared" si="84"/>
        <v>0</v>
      </c>
      <c r="G217" s="155">
        <f t="shared" si="84"/>
        <v>0</v>
      </c>
      <c r="H217" s="155">
        <f t="shared" si="84"/>
        <v>0</v>
      </c>
      <c r="I217" s="155">
        <f t="shared" si="84"/>
        <v>0</v>
      </c>
      <c r="J217" s="155">
        <f t="shared" si="84"/>
        <v>0</v>
      </c>
      <c r="K217" s="155">
        <f t="shared" si="84"/>
        <v>0</v>
      </c>
      <c r="L217" s="155">
        <f t="shared" si="84"/>
        <v>0</v>
      </c>
      <c r="M217" s="155">
        <f t="shared" si="84"/>
        <v>0</v>
      </c>
      <c r="N217" s="155">
        <f t="shared" si="84"/>
        <v>0</v>
      </c>
      <c r="O217" s="155">
        <f t="shared" si="84"/>
        <v>0</v>
      </c>
      <c r="P217" s="155">
        <f t="shared" si="84"/>
        <v>0</v>
      </c>
      <c r="Q217" s="155">
        <f t="shared" si="84"/>
        <v>0</v>
      </c>
      <c r="R217" s="155">
        <f t="shared" si="84"/>
        <v>0</v>
      </c>
      <c r="S217" s="155">
        <f t="shared" si="84"/>
        <v>0</v>
      </c>
      <c r="T217" s="155">
        <f t="shared" si="84"/>
        <v>0</v>
      </c>
      <c r="U217" s="155">
        <f t="shared" si="84"/>
        <v>0</v>
      </c>
      <c r="V217" s="155">
        <f t="shared" si="84"/>
        <v>0</v>
      </c>
      <c r="W217" s="155">
        <f t="shared" si="84"/>
        <v>0</v>
      </c>
      <c r="X217" s="155">
        <f t="shared" si="84"/>
        <v>0</v>
      </c>
      <c r="Y217" s="155">
        <f t="shared" si="84"/>
        <v>0</v>
      </c>
      <c r="Z217" s="155">
        <f t="shared" si="84"/>
        <v>0</v>
      </c>
      <c r="AA217" s="155">
        <f t="shared" si="84"/>
        <v>0</v>
      </c>
      <c r="AB217" s="155">
        <f t="shared" si="84"/>
        <v>0</v>
      </c>
      <c r="AC217" s="155">
        <f t="shared" si="84"/>
        <v>0</v>
      </c>
      <c r="AD217" s="155">
        <f t="shared" si="84"/>
        <v>0</v>
      </c>
      <c r="AE217" s="155">
        <f t="shared" si="84"/>
        <v>0</v>
      </c>
      <c r="AF217" s="155">
        <f t="shared" si="84"/>
        <v>0</v>
      </c>
      <c r="AG217" s="155">
        <f t="shared" si="84"/>
        <v>0</v>
      </c>
      <c r="AH217" s="155">
        <f t="shared" si="84"/>
        <v>0</v>
      </c>
      <c r="AI217" s="155">
        <f t="shared" si="84"/>
        <v>0</v>
      </c>
      <c r="AJ217" s="155">
        <f t="shared" si="84"/>
        <v>0</v>
      </c>
      <c r="AK217" s="155">
        <f t="shared" si="84"/>
        <v>0</v>
      </c>
      <c r="AL217" s="155">
        <f t="shared" si="84"/>
        <v>0</v>
      </c>
      <c r="AM217" s="155">
        <f t="shared" si="84"/>
        <v>0</v>
      </c>
      <c r="AN217" s="155">
        <f t="shared" si="84"/>
        <v>0</v>
      </c>
      <c r="AO217" s="155">
        <f t="shared" si="84"/>
        <v>0</v>
      </c>
      <c r="AP217" s="155">
        <f t="shared" si="84"/>
        <v>0</v>
      </c>
    </row>
    <row r="218" spans="1:42" x14ac:dyDescent="0.2">
      <c r="A218" s="86" t="s">
        <v>54</v>
      </c>
      <c r="C218" s="155">
        <f>C132</f>
        <v>0</v>
      </c>
      <c r="D218" s="155">
        <f t="shared" ref="D218:AP218" si="85">D132</f>
        <v>0</v>
      </c>
      <c r="E218" s="155">
        <f t="shared" si="85"/>
        <v>0</v>
      </c>
      <c r="F218" s="155">
        <f t="shared" si="85"/>
        <v>0</v>
      </c>
      <c r="G218" s="155">
        <f t="shared" si="85"/>
        <v>0</v>
      </c>
      <c r="H218" s="155">
        <f t="shared" si="85"/>
        <v>0</v>
      </c>
      <c r="I218" s="155">
        <f t="shared" si="85"/>
        <v>0</v>
      </c>
      <c r="J218" s="155">
        <f t="shared" si="85"/>
        <v>0</v>
      </c>
      <c r="K218" s="155">
        <f t="shared" si="85"/>
        <v>0</v>
      </c>
      <c r="L218" s="155">
        <f t="shared" si="85"/>
        <v>0</v>
      </c>
      <c r="M218" s="155">
        <f t="shared" si="85"/>
        <v>0</v>
      </c>
      <c r="N218" s="155">
        <f t="shared" si="85"/>
        <v>0</v>
      </c>
      <c r="O218" s="155">
        <f t="shared" si="85"/>
        <v>0</v>
      </c>
      <c r="P218" s="155">
        <f t="shared" si="85"/>
        <v>0</v>
      </c>
      <c r="Q218" s="155">
        <f t="shared" si="85"/>
        <v>0</v>
      </c>
      <c r="R218" s="155">
        <f t="shared" si="85"/>
        <v>0</v>
      </c>
      <c r="S218" s="155">
        <f t="shared" si="85"/>
        <v>0</v>
      </c>
      <c r="T218" s="155">
        <f t="shared" si="85"/>
        <v>0</v>
      </c>
      <c r="U218" s="155">
        <f t="shared" si="85"/>
        <v>0</v>
      </c>
      <c r="V218" s="155">
        <f t="shared" si="85"/>
        <v>0</v>
      </c>
      <c r="W218" s="155">
        <f t="shared" si="85"/>
        <v>0</v>
      </c>
      <c r="X218" s="155">
        <f t="shared" si="85"/>
        <v>0</v>
      </c>
      <c r="Y218" s="155">
        <f t="shared" si="85"/>
        <v>0</v>
      </c>
      <c r="Z218" s="155">
        <f t="shared" si="85"/>
        <v>0</v>
      </c>
      <c r="AA218" s="155">
        <f t="shared" si="85"/>
        <v>0</v>
      </c>
      <c r="AB218" s="155">
        <f t="shared" si="85"/>
        <v>0</v>
      </c>
      <c r="AC218" s="155">
        <f t="shared" si="85"/>
        <v>0</v>
      </c>
      <c r="AD218" s="155">
        <f t="shared" si="85"/>
        <v>0</v>
      </c>
      <c r="AE218" s="155">
        <f t="shared" si="85"/>
        <v>0</v>
      </c>
      <c r="AF218" s="155">
        <f t="shared" si="85"/>
        <v>0</v>
      </c>
      <c r="AG218" s="155">
        <f t="shared" si="85"/>
        <v>0</v>
      </c>
      <c r="AH218" s="155">
        <f t="shared" si="85"/>
        <v>0</v>
      </c>
      <c r="AI218" s="155">
        <f t="shared" si="85"/>
        <v>0</v>
      </c>
      <c r="AJ218" s="155">
        <f t="shared" si="85"/>
        <v>0</v>
      </c>
      <c r="AK218" s="155">
        <f t="shared" si="85"/>
        <v>0</v>
      </c>
      <c r="AL218" s="155">
        <f t="shared" si="85"/>
        <v>0</v>
      </c>
      <c r="AM218" s="155">
        <f t="shared" si="85"/>
        <v>0</v>
      </c>
      <c r="AN218" s="155">
        <f t="shared" si="85"/>
        <v>0</v>
      </c>
      <c r="AO218" s="155">
        <f t="shared" si="85"/>
        <v>0</v>
      </c>
      <c r="AP218" s="155">
        <f t="shared" si="85"/>
        <v>0</v>
      </c>
    </row>
    <row r="219" spans="1:42" x14ac:dyDescent="0.2">
      <c r="A219" s="86" t="s">
        <v>84</v>
      </c>
      <c r="C219" s="156">
        <f t="shared" ref="C219:AP219" si="86">C136</f>
        <v>0</v>
      </c>
      <c r="D219" s="156">
        <f t="shared" si="86"/>
        <v>0</v>
      </c>
      <c r="E219" s="156">
        <f t="shared" si="86"/>
        <v>0</v>
      </c>
      <c r="F219" s="156">
        <f t="shared" si="86"/>
        <v>0</v>
      </c>
      <c r="G219" s="156">
        <f t="shared" si="86"/>
        <v>0</v>
      </c>
      <c r="H219" s="156">
        <f t="shared" si="86"/>
        <v>0</v>
      </c>
      <c r="I219" s="156">
        <f t="shared" si="86"/>
        <v>0</v>
      </c>
      <c r="J219" s="156">
        <f t="shared" si="86"/>
        <v>0</v>
      </c>
      <c r="K219" s="156">
        <f t="shared" si="86"/>
        <v>0</v>
      </c>
      <c r="L219" s="156">
        <f t="shared" si="86"/>
        <v>0</v>
      </c>
      <c r="M219" s="156">
        <f t="shared" si="86"/>
        <v>0</v>
      </c>
      <c r="N219" s="156">
        <f t="shared" si="86"/>
        <v>0</v>
      </c>
      <c r="O219" s="156">
        <f t="shared" si="86"/>
        <v>0</v>
      </c>
      <c r="P219" s="156">
        <f t="shared" si="86"/>
        <v>0</v>
      </c>
      <c r="Q219" s="156">
        <f t="shared" si="86"/>
        <v>0</v>
      </c>
      <c r="R219" s="156">
        <f t="shared" si="86"/>
        <v>0</v>
      </c>
      <c r="S219" s="156">
        <f t="shared" si="86"/>
        <v>0</v>
      </c>
      <c r="T219" s="156">
        <f t="shared" si="86"/>
        <v>0</v>
      </c>
      <c r="U219" s="156">
        <f t="shared" si="86"/>
        <v>0</v>
      </c>
      <c r="V219" s="156">
        <f t="shared" si="86"/>
        <v>0</v>
      </c>
      <c r="W219" s="156">
        <f t="shared" si="86"/>
        <v>0</v>
      </c>
      <c r="X219" s="156">
        <f t="shared" si="86"/>
        <v>0</v>
      </c>
      <c r="Y219" s="156">
        <f t="shared" si="86"/>
        <v>0</v>
      </c>
      <c r="Z219" s="156">
        <f t="shared" si="86"/>
        <v>0</v>
      </c>
      <c r="AA219" s="156">
        <f t="shared" si="86"/>
        <v>0</v>
      </c>
      <c r="AB219" s="156">
        <f t="shared" si="86"/>
        <v>0</v>
      </c>
      <c r="AC219" s="156">
        <f t="shared" si="86"/>
        <v>0</v>
      </c>
      <c r="AD219" s="156">
        <f t="shared" si="86"/>
        <v>0</v>
      </c>
      <c r="AE219" s="156">
        <f t="shared" si="86"/>
        <v>0</v>
      </c>
      <c r="AF219" s="156">
        <f t="shared" si="86"/>
        <v>0</v>
      </c>
      <c r="AG219" s="156">
        <f t="shared" si="86"/>
        <v>0</v>
      </c>
      <c r="AH219" s="156">
        <f t="shared" si="86"/>
        <v>0</v>
      </c>
      <c r="AI219" s="156">
        <f t="shared" si="86"/>
        <v>0</v>
      </c>
      <c r="AJ219" s="156">
        <f t="shared" si="86"/>
        <v>0</v>
      </c>
      <c r="AK219" s="156">
        <f t="shared" si="86"/>
        <v>0</v>
      </c>
      <c r="AL219" s="156">
        <f t="shared" si="86"/>
        <v>0</v>
      </c>
      <c r="AM219" s="156">
        <f t="shared" si="86"/>
        <v>0</v>
      </c>
      <c r="AN219" s="156">
        <f t="shared" si="86"/>
        <v>0</v>
      </c>
      <c r="AO219" s="156">
        <f t="shared" si="86"/>
        <v>0</v>
      </c>
      <c r="AP219" s="156">
        <f t="shared" si="86"/>
        <v>0</v>
      </c>
    </row>
    <row r="220" spans="1:42" x14ac:dyDescent="0.2">
      <c r="A220" s="86" t="s">
        <v>28</v>
      </c>
      <c r="C220" s="155">
        <f>SUM(C213:C219)</f>
        <v>0</v>
      </c>
      <c r="D220" s="155">
        <f t="shared" ref="D220:AP220" si="87">SUM(D213:D219)</f>
        <v>0</v>
      </c>
      <c r="E220" s="155">
        <f t="shared" si="87"/>
        <v>0</v>
      </c>
      <c r="F220" s="155">
        <f t="shared" si="87"/>
        <v>0</v>
      </c>
      <c r="G220" s="155">
        <f t="shared" si="87"/>
        <v>0</v>
      </c>
      <c r="H220" s="155">
        <f t="shared" si="87"/>
        <v>0</v>
      </c>
      <c r="I220" s="155">
        <f t="shared" si="87"/>
        <v>0</v>
      </c>
      <c r="J220" s="155">
        <f t="shared" si="87"/>
        <v>0</v>
      </c>
      <c r="K220" s="155">
        <f t="shared" si="87"/>
        <v>0</v>
      </c>
      <c r="L220" s="155">
        <f t="shared" si="87"/>
        <v>0</v>
      </c>
      <c r="M220" s="155">
        <f t="shared" si="87"/>
        <v>0</v>
      </c>
      <c r="N220" s="155">
        <f t="shared" si="87"/>
        <v>0</v>
      </c>
      <c r="O220" s="155">
        <f t="shared" si="87"/>
        <v>0</v>
      </c>
      <c r="P220" s="155">
        <f t="shared" si="87"/>
        <v>0</v>
      </c>
      <c r="Q220" s="155">
        <f t="shared" si="87"/>
        <v>0</v>
      </c>
      <c r="R220" s="155">
        <f t="shared" si="87"/>
        <v>0</v>
      </c>
      <c r="S220" s="155">
        <f t="shared" si="87"/>
        <v>0</v>
      </c>
      <c r="T220" s="155">
        <f t="shared" si="87"/>
        <v>0</v>
      </c>
      <c r="U220" s="155">
        <f t="shared" si="87"/>
        <v>0</v>
      </c>
      <c r="V220" s="155">
        <f t="shared" si="87"/>
        <v>0</v>
      </c>
      <c r="W220" s="155">
        <f t="shared" si="87"/>
        <v>0</v>
      </c>
      <c r="X220" s="155">
        <f t="shared" si="87"/>
        <v>0</v>
      </c>
      <c r="Y220" s="155">
        <f t="shared" si="87"/>
        <v>0</v>
      </c>
      <c r="Z220" s="155">
        <f t="shared" si="87"/>
        <v>0</v>
      </c>
      <c r="AA220" s="155">
        <f t="shared" si="87"/>
        <v>0</v>
      </c>
      <c r="AB220" s="155">
        <f t="shared" si="87"/>
        <v>0</v>
      </c>
      <c r="AC220" s="155">
        <f t="shared" si="87"/>
        <v>0</v>
      </c>
      <c r="AD220" s="155">
        <f t="shared" si="87"/>
        <v>0</v>
      </c>
      <c r="AE220" s="155">
        <f t="shared" si="87"/>
        <v>0</v>
      </c>
      <c r="AF220" s="155">
        <f t="shared" si="87"/>
        <v>0</v>
      </c>
      <c r="AG220" s="155">
        <f t="shared" si="87"/>
        <v>0</v>
      </c>
      <c r="AH220" s="155">
        <f t="shared" si="87"/>
        <v>0</v>
      </c>
      <c r="AI220" s="155">
        <f t="shared" si="87"/>
        <v>0</v>
      </c>
      <c r="AJ220" s="155">
        <f t="shared" si="87"/>
        <v>0</v>
      </c>
      <c r="AK220" s="155">
        <f t="shared" si="87"/>
        <v>0</v>
      </c>
      <c r="AL220" s="155">
        <f t="shared" si="87"/>
        <v>0</v>
      </c>
      <c r="AM220" s="155">
        <f t="shared" si="87"/>
        <v>0</v>
      </c>
      <c r="AN220" s="155">
        <f t="shared" si="87"/>
        <v>0</v>
      </c>
      <c r="AO220" s="155">
        <f t="shared" si="87"/>
        <v>0</v>
      </c>
      <c r="AP220" s="155">
        <f t="shared" si="87"/>
        <v>0</v>
      </c>
    </row>
    <row r="221" spans="1:42" x14ac:dyDescent="0.2">
      <c r="A221" s="86" t="str">
        <f>Inputs!B113</f>
        <v>Investment Based Incentive (IBI)</v>
      </c>
    </row>
    <row r="222" spans="1:42" x14ac:dyDescent="0.2">
      <c r="A222" s="87" t="str">
        <f>Inputs!B114</f>
        <v>As fixed amount</v>
      </c>
    </row>
    <row r="223" spans="1:42" x14ac:dyDescent="0.2">
      <c r="A223" s="78" t="s">
        <v>4</v>
      </c>
      <c r="C223" s="155">
        <f>IF(ibi_fed_amount_tax_fed="Yes",C567,0)</f>
        <v>0</v>
      </c>
    </row>
    <row r="224" spans="1:42" x14ac:dyDescent="0.2">
      <c r="A224" s="78" t="s">
        <v>5</v>
      </c>
      <c r="C224" s="155">
        <f>IF(ibi_sta_amount_tax_fed="Yes",C568,0)</f>
        <v>0</v>
      </c>
    </row>
    <row r="225" spans="1:42" x14ac:dyDescent="0.2">
      <c r="A225" s="78" t="s">
        <v>170</v>
      </c>
      <c r="C225" s="155">
        <f>IF(ibi_uti_amount_tax_fed="Yes",C569,0)</f>
        <v>0</v>
      </c>
    </row>
    <row r="226" spans="1:42" x14ac:dyDescent="0.2">
      <c r="A226" s="78" t="s">
        <v>171</v>
      </c>
      <c r="C226" s="156">
        <f>IF(ibi_oth_amount_tax_fed="Yes",C570,0)</f>
        <v>0</v>
      </c>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row>
    <row r="227" spans="1:42" x14ac:dyDescent="0.2">
      <c r="A227" s="78" t="s">
        <v>13</v>
      </c>
      <c r="C227" s="155">
        <f>SUM(C223:C226)</f>
        <v>0</v>
      </c>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row>
    <row r="228" spans="1:42" x14ac:dyDescent="0.2">
      <c r="A228" s="87" t="str">
        <f>Inputs!B119</f>
        <v>As percentage</v>
      </c>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row>
    <row r="229" spans="1:42" x14ac:dyDescent="0.2">
      <c r="A229" s="78" t="s">
        <v>4</v>
      </c>
      <c r="C229" s="155">
        <f>IF(ibi_fed_percent_tax_fed="Yes",C573,0)</f>
        <v>0</v>
      </c>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row>
    <row r="230" spans="1:42" x14ac:dyDescent="0.2">
      <c r="A230" s="78" t="s">
        <v>5</v>
      </c>
      <c r="C230" s="155">
        <f>IF(ibi_sta_percent_tax_fed="Yes",C574,0)</f>
        <v>0</v>
      </c>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row>
    <row r="231" spans="1:42" x14ac:dyDescent="0.2">
      <c r="A231" s="78" t="s">
        <v>170</v>
      </c>
      <c r="C231" s="155">
        <f>IF(ibi_uti_percent_tax_fed="Yes",C575,0)</f>
        <v>0</v>
      </c>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row>
    <row r="232" spans="1:42" x14ac:dyDescent="0.2">
      <c r="A232" s="78" t="s">
        <v>171</v>
      </c>
      <c r="C232" s="156">
        <f>IF(ibi_oth_percent_tax_fed="Yes",C576,0)</f>
        <v>0</v>
      </c>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row>
    <row r="233" spans="1:42" x14ac:dyDescent="0.2">
      <c r="A233" s="78" t="s">
        <v>13</v>
      </c>
      <c r="C233" s="155">
        <f>SUM(C229:C232)</f>
        <v>0</v>
      </c>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row>
    <row r="234" spans="1:42" x14ac:dyDescent="0.2">
      <c r="A234" s="86" t="str">
        <f>Inputs!B124</f>
        <v>Capacity Based Incentive (CBI)</v>
      </c>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row>
    <row r="235" spans="1:42" x14ac:dyDescent="0.2">
      <c r="A235" s="87" t="s">
        <v>4</v>
      </c>
      <c r="C235" s="155">
        <f>IF(cbi_fed_tax_fed="Yes",C580,0)</f>
        <v>0</v>
      </c>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row>
    <row r="236" spans="1:42" x14ac:dyDescent="0.2">
      <c r="A236" s="87" t="s">
        <v>5</v>
      </c>
      <c r="C236" s="155">
        <f>IF(cbi_sta_tax_fed="Yes",C581,0)</f>
        <v>0</v>
      </c>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row>
    <row r="237" spans="1:42" x14ac:dyDescent="0.2">
      <c r="A237" s="87" t="s">
        <v>170</v>
      </c>
      <c r="C237" s="155">
        <f>IF(cbi_uti_tax_fed="Yes",C582,0)</f>
        <v>0</v>
      </c>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row>
    <row r="238" spans="1:42" x14ac:dyDescent="0.2">
      <c r="A238" s="87" t="s">
        <v>171</v>
      </c>
      <c r="C238" s="156">
        <f>IF(cbi_oth_tax_fed="Yes",C583,0)</f>
        <v>0</v>
      </c>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row>
    <row r="239" spans="1:42" x14ac:dyDescent="0.2">
      <c r="A239" s="87" t="s">
        <v>13</v>
      </c>
      <c r="C239" s="155">
        <f>SUM(C235:C238)</f>
        <v>0</v>
      </c>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row>
    <row r="240" spans="1:42" x14ac:dyDescent="0.2">
      <c r="A240" s="86" t="str">
        <f>Inputs!B129</f>
        <v>Production Based Incentive (PBI)</v>
      </c>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row>
    <row r="241" spans="1:42" x14ac:dyDescent="0.2">
      <c r="A241" s="87" t="s">
        <v>4</v>
      </c>
      <c r="C241" s="155">
        <f t="shared" ref="C241:AP241" si="88">IF(AND(pbi_fed_tax_fed="Yes",pbi_fed_for_ds="No"),C590,0)</f>
        <v>0</v>
      </c>
      <c r="D241" s="155">
        <f t="shared" si="88"/>
        <v>0</v>
      </c>
      <c r="E241" s="155">
        <f t="shared" si="88"/>
        <v>0</v>
      </c>
      <c r="F241" s="155">
        <f t="shared" si="88"/>
        <v>0</v>
      </c>
      <c r="G241" s="155">
        <f t="shared" si="88"/>
        <v>0</v>
      </c>
      <c r="H241" s="155">
        <f t="shared" si="88"/>
        <v>0</v>
      </c>
      <c r="I241" s="155">
        <f t="shared" si="88"/>
        <v>0</v>
      </c>
      <c r="J241" s="155">
        <f t="shared" si="88"/>
        <v>0</v>
      </c>
      <c r="K241" s="155">
        <f t="shared" si="88"/>
        <v>0</v>
      </c>
      <c r="L241" s="155">
        <f t="shared" si="88"/>
        <v>0</v>
      </c>
      <c r="M241" s="155">
        <f t="shared" si="88"/>
        <v>0</v>
      </c>
      <c r="N241" s="155">
        <f t="shared" si="88"/>
        <v>0</v>
      </c>
      <c r="O241" s="155">
        <f t="shared" si="88"/>
        <v>0</v>
      </c>
      <c r="P241" s="155">
        <f t="shared" si="88"/>
        <v>0</v>
      </c>
      <c r="Q241" s="155">
        <f t="shared" si="88"/>
        <v>0</v>
      </c>
      <c r="R241" s="155">
        <f t="shared" si="88"/>
        <v>0</v>
      </c>
      <c r="S241" s="155">
        <f t="shared" si="88"/>
        <v>0</v>
      </c>
      <c r="T241" s="155">
        <f t="shared" si="88"/>
        <v>0</v>
      </c>
      <c r="U241" s="155">
        <f t="shared" si="88"/>
        <v>0</v>
      </c>
      <c r="V241" s="155">
        <f t="shared" si="88"/>
        <v>0</v>
      </c>
      <c r="W241" s="155">
        <f t="shared" si="88"/>
        <v>0</v>
      </c>
      <c r="X241" s="155">
        <f t="shared" si="88"/>
        <v>0</v>
      </c>
      <c r="Y241" s="155">
        <f t="shared" si="88"/>
        <v>0</v>
      </c>
      <c r="Z241" s="155">
        <f t="shared" si="88"/>
        <v>0</v>
      </c>
      <c r="AA241" s="155">
        <f t="shared" si="88"/>
        <v>0</v>
      </c>
      <c r="AB241" s="155">
        <f t="shared" si="88"/>
        <v>0</v>
      </c>
      <c r="AC241" s="155">
        <f t="shared" si="88"/>
        <v>0</v>
      </c>
      <c r="AD241" s="155">
        <f t="shared" si="88"/>
        <v>0</v>
      </c>
      <c r="AE241" s="155">
        <f t="shared" si="88"/>
        <v>0</v>
      </c>
      <c r="AF241" s="155">
        <f t="shared" si="88"/>
        <v>0</v>
      </c>
      <c r="AG241" s="155">
        <f t="shared" si="88"/>
        <v>0</v>
      </c>
      <c r="AH241" s="155">
        <f t="shared" si="88"/>
        <v>0</v>
      </c>
      <c r="AI241" s="155">
        <f t="shared" si="88"/>
        <v>0</v>
      </c>
      <c r="AJ241" s="155">
        <f t="shared" si="88"/>
        <v>0</v>
      </c>
      <c r="AK241" s="155">
        <f t="shared" si="88"/>
        <v>0</v>
      </c>
      <c r="AL241" s="155">
        <f t="shared" si="88"/>
        <v>0</v>
      </c>
      <c r="AM241" s="155">
        <f t="shared" si="88"/>
        <v>0</v>
      </c>
      <c r="AN241" s="155">
        <f t="shared" si="88"/>
        <v>0</v>
      </c>
      <c r="AO241" s="155">
        <f t="shared" si="88"/>
        <v>0</v>
      </c>
      <c r="AP241" s="155">
        <f t="shared" si="88"/>
        <v>0</v>
      </c>
    </row>
    <row r="242" spans="1:42" x14ac:dyDescent="0.2">
      <c r="A242" s="87" t="s">
        <v>5</v>
      </c>
      <c r="C242" s="155">
        <f t="shared" ref="C242:AP242" si="89">IF(AND(pbi_sta_tax_fed="Yes",pbi_sta_for_ds="No"),C594,0)</f>
        <v>0</v>
      </c>
      <c r="D242" s="155">
        <f t="shared" si="89"/>
        <v>0</v>
      </c>
      <c r="E242" s="155">
        <f t="shared" si="89"/>
        <v>0</v>
      </c>
      <c r="F242" s="155">
        <f t="shared" si="89"/>
        <v>0</v>
      </c>
      <c r="G242" s="155">
        <f t="shared" si="89"/>
        <v>0</v>
      </c>
      <c r="H242" s="155">
        <f t="shared" si="89"/>
        <v>0</v>
      </c>
      <c r="I242" s="155">
        <f t="shared" si="89"/>
        <v>0</v>
      </c>
      <c r="J242" s="155">
        <f t="shared" si="89"/>
        <v>0</v>
      </c>
      <c r="K242" s="155">
        <f t="shared" si="89"/>
        <v>0</v>
      </c>
      <c r="L242" s="155">
        <f t="shared" si="89"/>
        <v>0</v>
      </c>
      <c r="M242" s="155">
        <f t="shared" si="89"/>
        <v>0</v>
      </c>
      <c r="N242" s="155">
        <f t="shared" si="89"/>
        <v>0</v>
      </c>
      <c r="O242" s="155">
        <f t="shared" si="89"/>
        <v>0</v>
      </c>
      <c r="P242" s="155">
        <f t="shared" si="89"/>
        <v>0</v>
      </c>
      <c r="Q242" s="155">
        <f t="shared" si="89"/>
        <v>0</v>
      </c>
      <c r="R242" s="155">
        <f t="shared" si="89"/>
        <v>0</v>
      </c>
      <c r="S242" s="155">
        <f t="shared" si="89"/>
        <v>0</v>
      </c>
      <c r="T242" s="155">
        <f t="shared" si="89"/>
        <v>0</v>
      </c>
      <c r="U242" s="155">
        <f t="shared" si="89"/>
        <v>0</v>
      </c>
      <c r="V242" s="155">
        <f t="shared" si="89"/>
        <v>0</v>
      </c>
      <c r="W242" s="155">
        <f t="shared" si="89"/>
        <v>0</v>
      </c>
      <c r="X242" s="155">
        <f t="shared" si="89"/>
        <v>0</v>
      </c>
      <c r="Y242" s="155">
        <f t="shared" si="89"/>
        <v>0</v>
      </c>
      <c r="Z242" s="155">
        <f t="shared" si="89"/>
        <v>0</v>
      </c>
      <c r="AA242" s="155">
        <f t="shared" si="89"/>
        <v>0</v>
      </c>
      <c r="AB242" s="155">
        <f t="shared" si="89"/>
        <v>0</v>
      </c>
      <c r="AC242" s="155">
        <f t="shared" si="89"/>
        <v>0</v>
      </c>
      <c r="AD242" s="155">
        <f t="shared" si="89"/>
        <v>0</v>
      </c>
      <c r="AE242" s="155">
        <f t="shared" si="89"/>
        <v>0</v>
      </c>
      <c r="AF242" s="155">
        <f t="shared" si="89"/>
        <v>0</v>
      </c>
      <c r="AG242" s="155">
        <f t="shared" si="89"/>
        <v>0</v>
      </c>
      <c r="AH242" s="155">
        <f t="shared" si="89"/>
        <v>0</v>
      </c>
      <c r="AI242" s="155">
        <f t="shared" si="89"/>
        <v>0</v>
      </c>
      <c r="AJ242" s="155">
        <f t="shared" si="89"/>
        <v>0</v>
      </c>
      <c r="AK242" s="155">
        <f t="shared" si="89"/>
        <v>0</v>
      </c>
      <c r="AL242" s="155">
        <f t="shared" si="89"/>
        <v>0</v>
      </c>
      <c r="AM242" s="155">
        <f t="shared" si="89"/>
        <v>0</v>
      </c>
      <c r="AN242" s="155">
        <f t="shared" si="89"/>
        <v>0</v>
      </c>
      <c r="AO242" s="155">
        <f t="shared" si="89"/>
        <v>0</v>
      </c>
      <c r="AP242" s="155">
        <f t="shared" si="89"/>
        <v>0</v>
      </c>
    </row>
    <row r="243" spans="1:42" x14ac:dyDescent="0.2">
      <c r="A243" s="87" t="s">
        <v>170</v>
      </c>
      <c r="C243" s="155">
        <f t="shared" ref="C243:AP243" si="90">IF(AND(pbi_uti_tax_fed="Yes",pbi_uti_for_ds="No"),C598,0)</f>
        <v>0</v>
      </c>
      <c r="D243" s="155">
        <f t="shared" si="90"/>
        <v>0</v>
      </c>
      <c r="E243" s="155">
        <f t="shared" si="90"/>
        <v>0</v>
      </c>
      <c r="F243" s="155">
        <f t="shared" si="90"/>
        <v>0</v>
      </c>
      <c r="G243" s="155">
        <f t="shared" si="90"/>
        <v>0</v>
      </c>
      <c r="H243" s="155">
        <f t="shared" si="90"/>
        <v>0</v>
      </c>
      <c r="I243" s="155">
        <f t="shared" si="90"/>
        <v>0</v>
      </c>
      <c r="J243" s="155">
        <f t="shared" si="90"/>
        <v>0</v>
      </c>
      <c r="K243" s="155">
        <f t="shared" si="90"/>
        <v>0</v>
      </c>
      <c r="L243" s="155">
        <f t="shared" si="90"/>
        <v>0</v>
      </c>
      <c r="M243" s="155">
        <f t="shared" si="90"/>
        <v>0</v>
      </c>
      <c r="N243" s="155">
        <f t="shared" si="90"/>
        <v>0</v>
      </c>
      <c r="O243" s="155">
        <f t="shared" si="90"/>
        <v>0</v>
      </c>
      <c r="P243" s="155">
        <f t="shared" si="90"/>
        <v>0</v>
      </c>
      <c r="Q243" s="155">
        <f t="shared" si="90"/>
        <v>0</v>
      </c>
      <c r="R243" s="155">
        <f t="shared" si="90"/>
        <v>0</v>
      </c>
      <c r="S243" s="155">
        <f t="shared" si="90"/>
        <v>0</v>
      </c>
      <c r="T243" s="155">
        <f t="shared" si="90"/>
        <v>0</v>
      </c>
      <c r="U243" s="155">
        <f t="shared" si="90"/>
        <v>0</v>
      </c>
      <c r="V243" s="155">
        <f t="shared" si="90"/>
        <v>0</v>
      </c>
      <c r="W243" s="155">
        <f t="shared" si="90"/>
        <v>0</v>
      </c>
      <c r="X243" s="155">
        <f t="shared" si="90"/>
        <v>0</v>
      </c>
      <c r="Y243" s="155">
        <f t="shared" si="90"/>
        <v>0</v>
      </c>
      <c r="Z243" s="155">
        <f t="shared" si="90"/>
        <v>0</v>
      </c>
      <c r="AA243" s="155">
        <f t="shared" si="90"/>
        <v>0</v>
      </c>
      <c r="AB243" s="155">
        <f t="shared" si="90"/>
        <v>0</v>
      </c>
      <c r="AC243" s="155">
        <f t="shared" si="90"/>
        <v>0</v>
      </c>
      <c r="AD243" s="155">
        <f t="shared" si="90"/>
        <v>0</v>
      </c>
      <c r="AE243" s="155">
        <f t="shared" si="90"/>
        <v>0</v>
      </c>
      <c r="AF243" s="155">
        <f t="shared" si="90"/>
        <v>0</v>
      </c>
      <c r="AG243" s="155">
        <f t="shared" si="90"/>
        <v>0</v>
      </c>
      <c r="AH243" s="155">
        <f t="shared" si="90"/>
        <v>0</v>
      </c>
      <c r="AI243" s="155">
        <f t="shared" si="90"/>
        <v>0</v>
      </c>
      <c r="AJ243" s="155">
        <f t="shared" si="90"/>
        <v>0</v>
      </c>
      <c r="AK243" s="155">
        <f t="shared" si="90"/>
        <v>0</v>
      </c>
      <c r="AL243" s="155">
        <f t="shared" si="90"/>
        <v>0</v>
      </c>
      <c r="AM243" s="155">
        <f t="shared" si="90"/>
        <v>0</v>
      </c>
      <c r="AN243" s="155">
        <f t="shared" si="90"/>
        <v>0</v>
      </c>
      <c r="AO243" s="155">
        <f t="shared" si="90"/>
        <v>0</v>
      </c>
      <c r="AP243" s="155">
        <f t="shared" si="90"/>
        <v>0</v>
      </c>
    </row>
    <row r="244" spans="1:42" x14ac:dyDescent="0.2">
      <c r="A244" s="87" t="s">
        <v>171</v>
      </c>
      <c r="C244" s="155">
        <f t="shared" ref="C244:AP244" si="91">IF(AND(pbi_oth_tax_fed="Yes",pbi_oth_for_ds="No"),C602,0)</f>
        <v>0</v>
      </c>
      <c r="D244" s="155">
        <f t="shared" si="91"/>
        <v>0</v>
      </c>
      <c r="E244" s="155">
        <f t="shared" si="91"/>
        <v>0</v>
      </c>
      <c r="F244" s="155">
        <f t="shared" si="91"/>
        <v>0</v>
      </c>
      <c r="G244" s="155">
        <f t="shared" si="91"/>
        <v>0</v>
      </c>
      <c r="H244" s="155">
        <f t="shared" si="91"/>
        <v>0</v>
      </c>
      <c r="I244" s="155">
        <f t="shared" si="91"/>
        <v>0</v>
      </c>
      <c r="J244" s="155">
        <f t="shared" si="91"/>
        <v>0</v>
      </c>
      <c r="K244" s="155">
        <f t="shared" si="91"/>
        <v>0</v>
      </c>
      <c r="L244" s="155">
        <f t="shared" si="91"/>
        <v>0</v>
      </c>
      <c r="M244" s="155">
        <f t="shared" si="91"/>
        <v>0</v>
      </c>
      <c r="N244" s="155">
        <f t="shared" si="91"/>
        <v>0</v>
      </c>
      <c r="O244" s="155">
        <f t="shared" si="91"/>
        <v>0</v>
      </c>
      <c r="P244" s="155">
        <f t="shared" si="91"/>
        <v>0</v>
      </c>
      <c r="Q244" s="155">
        <f t="shared" si="91"/>
        <v>0</v>
      </c>
      <c r="R244" s="155">
        <f t="shared" si="91"/>
        <v>0</v>
      </c>
      <c r="S244" s="155">
        <f t="shared" si="91"/>
        <v>0</v>
      </c>
      <c r="T244" s="155">
        <f t="shared" si="91"/>
        <v>0</v>
      </c>
      <c r="U244" s="155">
        <f t="shared" si="91"/>
        <v>0</v>
      </c>
      <c r="V244" s="155">
        <f t="shared" si="91"/>
        <v>0</v>
      </c>
      <c r="W244" s="155">
        <f t="shared" si="91"/>
        <v>0</v>
      </c>
      <c r="X244" s="155">
        <f t="shared" si="91"/>
        <v>0</v>
      </c>
      <c r="Y244" s="155">
        <f t="shared" si="91"/>
        <v>0</v>
      </c>
      <c r="Z244" s="155">
        <f t="shared" si="91"/>
        <v>0</v>
      </c>
      <c r="AA244" s="155">
        <f t="shared" si="91"/>
        <v>0</v>
      </c>
      <c r="AB244" s="155">
        <f t="shared" si="91"/>
        <v>0</v>
      </c>
      <c r="AC244" s="155">
        <f t="shared" si="91"/>
        <v>0</v>
      </c>
      <c r="AD244" s="155">
        <f t="shared" si="91"/>
        <v>0</v>
      </c>
      <c r="AE244" s="155">
        <f t="shared" si="91"/>
        <v>0</v>
      </c>
      <c r="AF244" s="155">
        <f t="shared" si="91"/>
        <v>0</v>
      </c>
      <c r="AG244" s="155">
        <f t="shared" si="91"/>
        <v>0</v>
      </c>
      <c r="AH244" s="155">
        <f t="shared" si="91"/>
        <v>0</v>
      </c>
      <c r="AI244" s="155">
        <f t="shared" si="91"/>
        <v>0</v>
      </c>
      <c r="AJ244" s="155">
        <f t="shared" si="91"/>
        <v>0</v>
      </c>
      <c r="AK244" s="155">
        <f t="shared" si="91"/>
        <v>0</v>
      </c>
      <c r="AL244" s="155">
        <f t="shared" si="91"/>
        <v>0</v>
      </c>
      <c r="AM244" s="155">
        <f t="shared" si="91"/>
        <v>0</v>
      </c>
      <c r="AN244" s="155">
        <f t="shared" si="91"/>
        <v>0</v>
      </c>
      <c r="AO244" s="155">
        <f t="shared" si="91"/>
        <v>0</v>
      </c>
      <c r="AP244" s="155">
        <f t="shared" si="91"/>
        <v>0</v>
      </c>
    </row>
    <row r="245" spans="1:42" x14ac:dyDescent="0.2">
      <c r="A245" s="87" t="s">
        <v>13</v>
      </c>
      <c r="C245" s="157">
        <f>SUM(C241:C244)</f>
        <v>0</v>
      </c>
      <c r="D245" s="157">
        <f t="shared" ref="D245:AP245" si="92">SUM(D241:D244)</f>
        <v>0</v>
      </c>
      <c r="E245" s="157">
        <f t="shared" si="92"/>
        <v>0</v>
      </c>
      <c r="F245" s="157">
        <f t="shared" si="92"/>
        <v>0</v>
      </c>
      <c r="G245" s="157">
        <f t="shared" si="92"/>
        <v>0</v>
      </c>
      <c r="H245" s="157">
        <f t="shared" si="92"/>
        <v>0</v>
      </c>
      <c r="I245" s="157">
        <f t="shared" si="92"/>
        <v>0</v>
      </c>
      <c r="J245" s="157">
        <f t="shared" si="92"/>
        <v>0</v>
      </c>
      <c r="K245" s="157">
        <f t="shared" si="92"/>
        <v>0</v>
      </c>
      <c r="L245" s="157">
        <f t="shared" si="92"/>
        <v>0</v>
      </c>
      <c r="M245" s="157">
        <f t="shared" si="92"/>
        <v>0</v>
      </c>
      <c r="N245" s="157">
        <f t="shared" si="92"/>
        <v>0</v>
      </c>
      <c r="O245" s="157">
        <f t="shared" si="92"/>
        <v>0</v>
      </c>
      <c r="P245" s="157">
        <f t="shared" si="92"/>
        <v>0</v>
      </c>
      <c r="Q245" s="157">
        <f t="shared" si="92"/>
        <v>0</v>
      </c>
      <c r="R245" s="157">
        <f t="shared" si="92"/>
        <v>0</v>
      </c>
      <c r="S245" s="157">
        <f t="shared" si="92"/>
        <v>0</v>
      </c>
      <c r="T245" s="157">
        <f t="shared" si="92"/>
        <v>0</v>
      </c>
      <c r="U245" s="157">
        <f t="shared" si="92"/>
        <v>0</v>
      </c>
      <c r="V245" s="157">
        <f t="shared" si="92"/>
        <v>0</v>
      </c>
      <c r="W245" s="157">
        <f t="shared" si="92"/>
        <v>0</v>
      </c>
      <c r="X245" s="157">
        <f t="shared" si="92"/>
        <v>0</v>
      </c>
      <c r="Y245" s="157">
        <f t="shared" si="92"/>
        <v>0</v>
      </c>
      <c r="Z245" s="157">
        <f t="shared" si="92"/>
        <v>0</v>
      </c>
      <c r="AA245" s="157">
        <f t="shared" si="92"/>
        <v>0</v>
      </c>
      <c r="AB245" s="157">
        <f t="shared" si="92"/>
        <v>0</v>
      </c>
      <c r="AC245" s="157">
        <f t="shared" si="92"/>
        <v>0</v>
      </c>
      <c r="AD245" s="157">
        <f t="shared" si="92"/>
        <v>0</v>
      </c>
      <c r="AE245" s="157">
        <f t="shared" si="92"/>
        <v>0</v>
      </c>
      <c r="AF245" s="157">
        <f t="shared" si="92"/>
        <v>0</v>
      </c>
      <c r="AG245" s="157">
        <f t="shared" si="92"/>
        <v>0</v>
      </c>
      <c r="AH245" s="157">
        <f t="shared" si="92"/>
        <v>0</v>
      </c>
      <c r="AI245" s="157">
        <f t="shared" si="92"/>
        <v>0</v>
      </c>
      <c r="AJ245" s="157">
        <f t="shared" si="92"/>
        <v>0</v>
      </c>
      <c r="AK245" s="157">
        <f t="shared" si="92"/>
        <v>0</v>
      </c>
      <c r="AL245" s="157">
        <f t="shared" si="92"/>
        <v>0</v>
      </c>
      <c r="AM245" s="157">
        <f t="shared" si="92"/>
        <v>0</v>
      </c>
      <c r="AN245" s="157">
        <f t="shared" si="92"/>
        <v>0</v>
      </c>
      <c r="AO245" s="157">
        <f t="shared" si="92"/>
        <v>0</v>
      </c>
      <c r="AP245" s="157">
        <f t="shared" si="92"/>
        <v>0</v>
      </c>
    </row>
    <row r="246" spans="1:42" x14ac:dyDescent="0.2">
      <c r="A246" s="86" t="s">
        <v>37</v>
      </c>
      <c r="C246" s="155">
        <f>C227+C233+C239+C245</f>
        <v>0</v>
      </c>
      <c r="D246" s="155">
        <f t="shared" ref="D246:AP246" si="93">D227+D233+D239+D245</f>
        <v>0</v>
      </c>
      <c r="E246" s="155">
        <f t="shared" si="93"/>
        <v>0</v>
      </c>
      <c r="F246" s="155">
        <f t="shared" si="93"/>
        <v>0</v>
      </c>
      <c r="G246" s="155">
        <f t="shared" si="93"/>
        <v>0</v>
      </c>
      <c r="H246" s="155">
        <f t="shared" si="93"/>
        <v>0</v>
      </c>
      <c r="I246" s="155">
        <f t="shared" si="93"/>
        <v>0</v>
      </c>
      <c r="J246" s="155">
        <f t="shared" si="93"/>
        <v>0</v>
      </c>
      <c r="K246" s="155">
        <f t="shared" si="93"/>
        <v>0</v>
      </c>
      <c r="L246" s="155">
        <f t="shared" si="93"/>
        <v>0</v>
      </c>
      <c r="M246" s="155">
        <f t="shared" si="93"/>
        <v>0</v>
      </c>
      <c r="N246" s="155">
        <f t="shared" si="93"/>
        <v>0</v>
      </c>
      <c r="O246" s="155">
        <f t="shared" si="93"/>
        <v>0</v>
      </c>
      <c r="P246" s="155">
        <f t="shared" si="93"/>
        <v>0</v>
      </c>
      <c r="Q246" s="155">
        <f t="shared" si="93"/>
        <v>0</v>
      </c>
      <c r="R246" s="155">
        <f t="shared" si="93"/>
        <v>0</v>
      </c>
      <c r="S246" s="155">
        <f t="shared" si="93"/>
        <v>0</v>
      </c>
      <c r="T246" s="155">
        <f t="shared" si="93"/>
        <v>0</v>
      </c>
      <c r="U246" s="155">
        <f t="shared" si="93"/>
        <v>0</v>
      </c>
      <c r="V246" s="155">
        <f t="shared" si="93"/>
        <v>0</v>
      </c>
      <c r="W246" s="155">
        <f t="shared" si="93"/>
        <v>0</v>
      </c>
      <c r="X246" s="155">
        <f t="shared" si="93"/>
        <v>0</v>
      </c>
      <c r="Y246" s="155">
        <f t="shared" si="93"/>
        <v>0</v>
      </c>
      <c r="Z246" s="155">
        <f t="shared" si="93"/>
        <v>0</v>
      </c>
      <c r="AA246" s="155">
        <f t="shared" si="93"/>
        <v>0</v>
      </c>
      <c r="AB246" s="155">
        <f t="shared" si="93"/>
        <v>0</v>
      </c>
      <c r="AC246" s="155">
        <f t="shared" si="93"/>
        <v>0</v>
      </c>
      <c r="AD246" s="155">
        <f t="shared" si="93"/>
        <v>0</v>
      </c>
      <c r="AE246" s="155">
        <f t="shared" si="93"/>
        <v>0</v>
      </c>
      <c r="AF246" s="155">
        <f t="shared" si="93"/>
        <v>0</v>
      </c>
      <c r="AG246" s="155">
        <f t="shared" si="93"/>
        <v>0</v>
      </c>
      <c r="AH246" s="155">
        <f t="shared" si="93"/>
        <v>0</v>
      </c>
      <c r="AI246" s="155">
        <f t="shared" si="93"/>
        <v>0</v>
      </c>
      <c r="AJ246" s="155">
        <f t="shared" si="93"/>
        <v>0</v>
      </c>
      <c r="AK246" s="155">
        <f t="shared" si="93"/>
        <v>0</v>
      </c>
      <c r="AL246" s="155">
        <f t="shared" si="93"/>
        <v>0</v>
      </c>
      <c r="AM246" s="155">
        <f t="shared" si="93"/>
        <v>0</v>
      </c>
      <c r="AN246" s="155">
        <f t="shared" si="93"/>
        <v>0</v>
      </c>
      <c r="AO246" s="155">
        <f t="shared" si="93"/>
        <v>0</v>
      </c>
      <c r="AP246" s="155">
        <f t="shared" si="93"/>
        <v>0</v>
      </c>
    </row>
    <row r="247" spans="1:42" x14ac:dyDescent="0.2">
      <c r="A247" s="87"/>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row>
    <row r="248" spans="1:42" x14ac:dyDescent="0.2">
      <c r="A248" s="86" t="s">
        <v>38</v>
      </c>
      <c r="C248" s="158">
        <f>C220+C246</f>
        <v>0</v>
      </c>
      <c r="D248" s="158">
        <f t="shared" ref="D248:AP248" si="94">D220+D246</f>
        <v>0</v>
      </c>
      <c r="E248" s="158">
        <f t="shared" si="94"/>
        <v>0</v>
      </c>
      <c r="F248" s="158">
        <f t="shared" si="94"/>
        <v>0</v>
      </c>
      <c r="G248" s="158">
        <f t="shared" si="94"/>
        <v>0</v>
      </c>
      <c r="H248" s="158">
        <f t="shared" si="94"/>
        <v>0</v>
      </c>
      <c r="I248" s="158">
        <f t="shared" si="94"/>
        <v>0</v>
      </c>
      <c r="J248" s="158">
        <f t="shared" si="94"/>
        <v>0</v>
      </c>
      <c r="K248" s="158">
        <f t="shared" si="94"/>
        <v>0</v>
      </c>
      <c r="L248" s="158">
        <f t="shared" si="94"/>
        <v>0</v>
      </c>
      <c r="M248" s="158">
        <f t="shared" si="94"/>
        <v>0</v>
      </c>
      <c r="N248" s="158">
        <f t="shared" si="94"/>
        <v>0</v>
      </c>
      <c r="O248" s="158">
        <f t="shared" si="94"/>
        <v>0</v>
      </c>
      <c r="P248" s="158">
        <f t="shared" si="94"/>
        <v>0</v>
      </c>
      <c r="Q248" s="158">
        <f t="shared" si="94"/>
        <v>0</v>
      </c>
      <c r="R248" s="158">
        <f t="shared" si="94"/>
        <v>0</v>
      </c>
      <c r="S248" s="158">
        <f t="shared" si="94"/>
        <v>0</v>
      </c>
      <c r="T248" s="158">
        <f t="shared" si="94"/>
        <v>0</v>
      </c>
      <c r="U248" s="158">
        <f t="shared" si="94"/>
        <v>0</v>
      </c>
      <c r="V248" s="158">
        <f t="shared" si="94"/>
        <v>0</v>
      </c>
      <c r="W248" s="158">
        <f t="shared" si="94"/>
        <v>0</v>
      </c>
      <c r="X248" s="158">
        <f t="shared" si="94"/>
        <v>0</v>
      </c>
      <c r="Y248" s="158">
        <f t="shared" si="94"/>
        <v>0</v>
      </c>
      <c r="Z248" s="158">
        <f t="shared" si="94"/>
        <v>0</v>
      </c>
      <c r="AA248" s="158">
        <f t="shared" si="94"/>
        <v>0</v>
      </c>
      <c r="AB248" s="158">
        <f t="shared" si="94"/>
        <v>0</v>
      </c>
      <c r="AC248" s="158">
        <f t="shared" si="94"/>
        <v>0</v>
      </c>
      <c r="AD248" s="158">
        <f t="shared" si="94"/>
        <v>0</v>
      </c>
      <c r="AE248" s="158">
        <f t="shared" si="94"/>
        <v>0</v>
      </c>
      <c r="AF248" s="158">
        <f t="shared" si="94"/>
        <v>0</v>
      </c>
      <c r="AG248" s="158">
        <f t="shared" si="94"/>
        <v>0</v>
      </c>
      <c r="AH248" s="158">
        <f t="shared" si="94"/>
        <v>0</v>
      </c>
      <c r="AI248" s="158">
        <f t="shared" si="94"/>
        <v>0</v>
      </c>
      <c r="AJ248" s="158">
        <f t="shared" si="94"/>
        <v>0</v>
      </c>
      <c r="AK248" s="158">
        <f t="shared" si="94"/>
        <v>0</v>
      </c>
      <c r="AL248" s="158">
        <f t="shared" si="94"/>
        <v>0</v>
      </c>
      <c r="AM248" s="158">
        <f t="shared" si="94"/>
        <v>0</v>
      </c>
      <c r="AN248" s="158">
        <f t="shared" si="94"/>
        <v>0</v>
      </c>
      <c r="AO248" s="158">
        <f t="shared" si="94"/>
        <v>0</v>
      </c>
      <c r="AP248" s="158">
        <f t="shared" si="94"/>
        <v>0</v>
      </c>
    </row>
    <row r="249" spans="1:42" x14ac:dyDescent="0.2">
      <c r="A249" s="86" t="s">
        <v>265</v>
      </c>
      <c r="B249" s="4">
        <f t="array" ref="B249:AP249">Inputs!C170:AQ170</f>
        <v>0</v>
      </c>
      <c r="C249" s="157">
        <v>0</v>
      </c>
      <c r="D249" s="157">
        <v>0</v>
      </c>
      <c r="E249" s="157">
        <v>0</v>
      </c>
      <c r="F249" s="157">
        <v>0</v>
      </c>
      <c r="G249" s="157">
        <v>0</v>
      </c>
      <c r="H249" s="157">
        <v>0</v>
      </c>
      <c r="I249" s="157">
        <v>0</v>
      </c>
      <c r="J249" s="157">
        <v>0</v>
      </c>
      <c r="K249" s="157">
        <v>0</v>
      </c>
      <c r="L249" s="157">
        <v>0</v>
      </c>
      <c r="M249" s="157">
        <v>0</v>
      </c>
      <c r="N249" s="157">
        <v>0</v>
      </c>
      <c r="O249" s="157">
        <v>0</v>
      </c>
      <c r="P249" s="157">
        <v>0</v>
      </c>
      <c r="Q249" s="157">
        <v>0</v>
      </c>
      <c r="R249" s="157">
        <v>0</v>
      </c>
      <c r="S249" s="157">
        <v>0</v>
      </c>
      <c r="T249" s="157">
        <v>0</v>
      </c>
      <c r="U249" s="157">
        <v>0</v>
      </c>
      <c r="V249" s="157">
        <v>0</v>
      </c>
      <c r="W249" s="157">
        <v>0</v>
      </c>
      <c r="X249" s="157">
        <v>0</v>
      </c>
      <c r="Y249" s="157">
        <v>0</v>
      </c>
      <c r="Z249" s="157">
        <v>0</v>
      </c>
      <c r="AA249" s="157">
        <v>0</v>
      </c>
      <c r="AB249" s="157">
        <v>0</v>
      </c>
      <c r="AC249" s="157">
        <v>0</v>
      </c>
      <c r="AD249" s="157">
        <v>0</v>
      </c>
      <c r="AE249" s="157">
        <v>0</v>
      </c>
      <c r="AF249" s="157">
        <v>0</v>
      </c>
      <c r="AG249" s="157">
        <v>0</v>
      </c>
      <c r="AH249" s="157">
        <v>0</v>
      </c>
      <c r="AI249" s="157">
        <v>0</v>
      </c>
      <c r="AJ249" s="157">
        <v>0</v>
      </c>
      <c r="AK249" s="157">
        <v>0</v>
      </c>
      <c r="AL249" s="157">
        <v>0</v>
      </c>
      <c r="AM249" s="157">
        <v>0</v>
      </c>
      <c r="AN249" s="157">
        <v>0</v>
      </c>
      <c r="AO249" s="157">
        <v>0</v>
      </c>
      <c r="AP249" s="157">
        <v>0</v>
      </c>
    </row>
    <row r="250" spans="1:42" x14ac:dyDescent="0.2">
      <c r="A250" s="86" t="s">
        <v>72</v>
      </c>
      <c r="C250" s="158">
        <f>C248*-C249/100</f>
        <v>0</v>
      </c>
      <c r="D250" s="158">
        <f t="shared" ref="D250:AP250" si="95">D248*-D249/100</f>
        <v>0</v>
      </c>
      <c r="E250" s="158">
        <f t="shared" si="95"/>
        <v>0</v>
      </c>
      <c r="F250" s="158">
        <f t="shared" si="95"/>
        <v>0</v>
      </c>
      <c r="G250" s="158">
        <f t="shared" si="95"/>
        <v>0</v>
      </c>
      <c r="H250" s="158">
        <f t="shared" si="95"/>
        <v>0</v>
      </c>
      <c r="I250" s="158">
        <f t="shared" si="95"/>
        <v>0</v>
      </c>
      <c r="J250" s="158">
        <f t="shared" si="95"/>
        <v>0</v>
      </c>
      <c r="K250" s="158">
        <f t="shared" si="95"/>
        <v>0</v>
      </c>
      <c r="L250" s="158">
        <f t="shared" si="95"/>
        <v>0</v>
      </c>
      <c r="M250" s="158">
        <f t="shared" si="95"/>
        <v>0</v>
      </c>
      <c r="N250" s="158">
        <f t="shared" si="95"/>
        <v>0</v>
      </c>
      <c r="O250" s="158">
        <f t="shared" si="95"/>
        <v>0</v>
      </c>
      <c r="P250" s="158">
        <f t="shared" si="95"/>
        <v>0</v>
      </c>
      <c r="Q250" s="158">
        <f t="shared" si="95"/>
        <v>0</v>
      </c>
      <c r="R250" s="158">
        <f t="shared" si="95"/>
        <v>0</v>
      </c>
      <c r="S250" s="158">
        <f t="shared" si="95"/>
        <v>0</v>
      </c>
      <c r="T250" s="158">
        <f t="shared" si="95"/>
        <v>0</v>
      </c>
      <c r="U250" s="158">
        <f t="shared" si="95"/>
        <v>0</v>
      </c>
      <c r="V250" s="158">
        <f t="shared" si="95"/>
        <v>0</v>
      </c>
      <c r="W250" s="158">
        <f t="shared" si="95"/>
        <v>0</v>
      </c>
      <c r="X250" s="158">
        <f t="shared" si="95"/>
        <v>0</v>
      </c>
      <c r="Y250" s="158">
        <f t="shared" si="95"/>
        <v>0</v>
      </c>
      <c r="Z250" s="158">
        <f t="shared" si="95"/>
        <v>0</v>
      </c>
      <c r="AA250" s="158">
        <f t="shared" si="95"/>
        <v>0</v>
      </c>
      <c r="AB250" s="158">
        <f t="shared" si="95"/>
        <v>0</v>
      </c>
      <c r="AC250" s="158">
        <f t="shared" si="95"/>
        <v>0</v>
      </c>
      <c r="AD250" s="158">
        <f t="shared" si="95"/>
        <v>0</v>
      </c>
      <c r="AE250" s="158">
        <f t="shared" si="95"/>
        <v>0</v>
      </c>
      <c r="AF250" s="158">
        <f t="shared" si="95"/>
        <v>0</v>
      </c>
      <c r="AG250" s="158">
        <f t="shared" si="95"/>
        <v>0</v>
      </c>
      <c r="AH250" s="158">
        <f t="shared" si="95"/>
        <v>0</v>
      </c>
      <c r="AI250" s="158">
        <f t="shared" si="95"/>
        <v>0</v>
      </c>
      <c r="AJ250" s="158">
        <f t="shared" si="95"/>
        <v>0</v>
      </c>
      <c r="AK250" s="158">
        <f t="shared" si="95"/>
        <v>0</v>
      </c>
      <c r="AL250" s="158">
        <f t="shared" si="95"/>
        <v>0</v>
      </c>
      <c r="AM250" s="158">
        <f t="shared" si="95"/>
        <v>0</v>
      </c>
      <c r="AN250" s="158">
        <f t="shared" si="95"/>
        <v>0</v>
      </c>
      <c r="AO250" s="158">
        <f t="shared" si="95"/>
        <v>0</v>
      </c>
      <c r="AP250" s="158">
        <f t="shared" si="95"/>
        <v>0</v>
      </c>
    </row>
    <row r="251" spans="1:42" x14ac:dyDescent="0.2">
      <c r="A251" s="21"/>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row>
    <row r="252" spans="1:42" x14ac:dyDescent="0.2">
      <c r="A252" s="80" t="s">
        <v>417</v>
      </c>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row>
    <row r="253" spans="1:42" x14ac:dyDescent="0.2">
      <c r="A253" s="19" t="s">
        <v>455</v>
      </c>
      <c r="B253" s="155"/>
    </row>
    <row r="254" spans="1:42" x14ac:dyDescent="0.2">
      <c r="A254" s="86" t="s">
        <v>183</v>
      </c>
      <c r="B254" s="155">
        <f>total_installed_cost</f>
        <v>0</v>
      </c>
    </row>
    <row r="255" spans="1:42" x14ac:dyDescent="0.2">
      <c r="A255" s="86" t="s">
        <v>418</v>
      </c>
      <c r="B255" s="155">
        <f>cost_other_financing</f>
        <v>0</v>
      </c>
    </row>
    <row r="256" spans="1:42" x14ac:dyDescent="0.2">
      <c r="A256" s="86" t="s">
        <v>184</v>
      </c>
      <c r="B256" s="156">
        <f>Inputs!$I$85</f>
        <v>0</v>
      </c>
    </row>
    <row r="257" spans="1:17" x14ac:dyDescent="0.2">
      <c r="A257" s="17" t="s">
        <v>453</v>
      </c>
      <c r="B257" s="155">
        <f>SUM(B254:B256)</f>
        <v>0</v>
      </c>
    </row>
    <row r="258" spans="1:17" x14ac:dyDescent="0.2">
      <c r="A258" s="17" t="s">
        <v>454</v>
      </c>
      <c r="B258" s="155">
        <f>B257</f>
        <v>0</v>
      </c>
    </row>
    <row r="259" spans="1:17" x14ac:dyDescent="0.2">
      <c r="A259" s="19"/>
      <c r="B259" s="155"/>
    </row>
    <row r="260" spans="1:17" x14ac:dyDescent="0.2">
      <c r="A260" s="19" t="s">
        <v>421</v>
      </c>
      <c r="B260" s="155"/>
    </row>
    <row r="261" spans="1:17" ht="15" customHeight="1" x14ac:dyDescent="0.2">
      <c r="A261" s="322" t="s">
        <v>422</v>
      </c>
      <c r="B261" s="343" t="s">
        <v>423</v>
      </c>
      <c r="C261" s="345"/>
      <c r="D261" s="343" t="s">
        <v>424</v>
      </c>
      <c r="E261" s="345"/>
      <c r="F261" s="344"/>
      <c r="G261" s="343" t="s">
        <v>425</v>
      </c>
      <c r="H261" s="345"/>
      <c r="I261" s="345"/>
      <c r="J261" s="344"/>
      <c r="K261" s="348" t="s">
        <v>426</v>
      </c>
      <c r="L261" s="349"/>
      <c r="M261" s="338" t="s">
        <v>427</v>
      </c>
      <c r="N261" s="339"/>
      <c r="O261" s="340"/>
      <c r="P261" s="323" t="s">
        <v>428</v>
      </c>
      <c r="Q261" s="341" t="s">
        <v>422</v>
      </c>
    </row>
    <row r="262" spans="1:17" ht="51" x14ac:dyDescent="0.2">
      <c r="A262" s="35" t="s">
        <v>440</v>
      </c>
      <c r="B262" s="226" t="s">
        <v>456</v>
      </c>
      <c r="C262" s="324" t="s">
        <v>429</v>
      </c>
      <c r="D262" s="226" t="s">
        <v>430</v>
      </c>
      <c r="E262" s="324" t="s">
        <v>431</v>
      </c>
      <c r="F262" s="327" t="s">
        <v>432</v>
      </c>
      <c r="G262" s="226" t="s">
        <v>55</v>
      </c>
      <c r="H262" s="324" t="s">
        <v>57</v>
      </c>
      <c r="I262" s="324" t="s">
        <v>433</v>
      </c>
      <c r="J262" s="324" t="s">
        <v>434</v>
      </c>
      <c r="K262" s="226" t="s">
        <v>59</v>
      </c>
      <c r="L262" s="324" t="s">
        <v>435</v>
      </c>
      <c r="M262" s="325" t="s">
        <v>436</v>
      </c>
      <c r="N262" s="326" t="s">
        <v>437</v>
      </c>
      <c r="O262" s="328" t="s">
        <v>438</v>
      </c>
      <c r="P262" s="210" t="s">
        <v>439</v>
      </c>
      <c r="Q262" s="342"/>
    </row>
    <row r="263" spans="1:17" x14ac:dyDescent="0.2">
      <c r="A263" s="21" t="str">
        <f>Inputs!B137</f>
        <v>5-yr MACRS</v>
      </c>
      <c r="B263" s="204">
        <f>IF(Inputs!$C$145=0,0,depr_alloc_macrs_5_percent*100/Inputs!$C$145)</f>
        <v>0</v>
      </c>
      <c r="C263" s="119">
        <f>$B$257*depr_alloc_macrs_5_percent/100</f>
        <v>0</v>
      </c>
      <c r="D263" s="123">
        <f>$B263/100*($B$281+$B$287)</f>
        <v>0</v>
      </c>
      <c r="E263" s="119">
        <f>$B263/100*$B$293</f>
        <v>0</v>
      </c>
      <c r="F263" s="121">
        <f>C263-D263-E263</f>
        <v>0</v>
      </c>
      <c r="G263" s="122">
        <f>IF(Inputs!G137="Yes",F263,0)</f>
        <v>0</v>
      </c>
      <c r="H263" s="128">
        <f t="shared" ref="H263:H269" si="96">IF($G$270=0,0,G263/$G$270)*100</f>
        <v>0</v>
      </c>
      <c r="I263" s="124">
        <f t="shared" ref="I263:I269" si="97">$I$270*H263/100</f>
        <v>0</v>
      </c>
      <c r="J263" s="125">
        <f>I263*0.5</f>
        <v>0</v>
      </c>
      <c r="K263" s="122">
        <f t="shared" ref="K263:K269" si="98">H263/100*$K$270</f>
        <v>0</v>
      </c>
      <c r="L263" s="124">
        <f>K263*0.5</f>
        <v>0</v>
      </c>
      <c r="M263" s="122">
        <f t="shared" ref="M263:M269" si="99">IF(itc_sta_amount_deprbas_sta="Yes",L263,0)+IF(itc_sta_percent_deprbas_sta="Yes",J263,0)</f>
        <v>0</v>
      </c>
      <c r="N263" s="124">
        <f t="shared" ref="N263:N269" si="100">IF(itc_fed_amount_deprbas_sta="Yes",L401,0)+IF(itc_fed_percent_deprbas_sta="Yes",J401,0)</f>
        <v>0</v>
      </c>
      <c r="O263" s="125">
        <f t="shared" ref="O263:O269" si="101">F263-M263-N263</f>
        <v>0</v>
      </c>
      <c r="P263" s="125">
        <f t="shared" ref="P263:P269" si="102">IF(depr_bonus_sta="Yes",O263*depr_bonus_sta/100,0)</f>
        <v>0</v>
      </c>
      <c r="Q263" s="126">
        <f>O263-P263</f>
        <v>0</v>
      </c>
    </row>
    <row r="264" spans="1:17" x14ac:dyDescent="0.2">
      <c r="A264" s="21" t="str">
        <f>Inputs!B138</f>
        <v>15-yr MACRS</v>
      </c>
      <c r="B264" s="204">
        <f>IF(Inputs!$C$145=0,0,depr_alloc_macrs_15_percent*100/Inputs!$C$145)</f>
        <v>0</v>
      </c>
      <c r="C264" s="119">
        <f>$B$257*depr_alloc_macrs_15_percent/100</f>
        <v>0</v>
      </c>
      <c r="D264" s="123">
        <f t="shared" ref="D264:D269" si="103">$B264/100*($B$281+$B$287)</f>
        <v>0</v>
      </c>
      <c r="E264" s="119">
        <f t="shared" ref="E264:E269" si="104">$B264/100*$B$293</f>
        <v>0</v>
      </c>
      <c r="F264" s="121">
        <f t="shared" ref="F264:F269" si="105">C264-D264-E264</f>
        <v>0</v>
      </c>
      <c r="G264" s="123">
        <f>IF(Inputs!G138="Yes",F264,0)</f>
        <v>0</v>
      </c>
      <c r="H264" s="129">
        <f t="shared" si="96"/>
        <v>0</v>
      </c>
      <c r="I264" s="119">
        <f t="shared" si="97"/>
        <v>0</v>
      </c>
      <c r="J264" s="127">
        <f t="shared" ref="J264:J269" si="106">I264*0.5</f>
        <v>0</v>
      </c>
      <c r="K264" s="123">
        <f t="shared" si="98"/>
        <v>0</v>
      </c>
      <c r="L264" s="119">
        <f t="shared" ref="L264:L269" si="107">K264*0.5</f>
        <v>0</v>
      </c>
      <c r="M264" s="123">
        <f t="shared" si="99"/>
        <v>0</v>
      </c>
      <c r="N264" s="119">
        <f t="shared" si="100"/>
        <v>0</v>
      </c>
      <c r="O264" s="127">
        <f t="shared" si="101"/>
        <v>0</v>
      </c>
      <c r="P264" s="127">
        <f t="shared" si="102"/>
        <v>0</v>
      </c>
      <c r="Q264" s="121">
        <f t="shared" ref="Q264:Q269" si="108">O264-P264</f>
        <v>0</v>
      </c>
    </row>
    <row r="265" spans="1:17" x14ac:dyDescent="0.2">
      <c r="A265" s="21" t="str">
        <f>Inputs!B139</f>
        <v>5-yr SL</v>
      </c>
      <c r="B265" s="204">
        <f>IF(Inputs!$C$145=0,0,depr_alloc_sl_5_percent*100/Inputs!$C$145)</f>
        <v>0</v>
      </c>
      <c r="C265" s="119">
        <f>$B$257*depr_alloc_sl_5_percent/100</f>
        <v>0</v>
      </c>
      <c r="D265" s="123">
        <f t="shared" si="103"/>
        <v>0</v>
      </c>
      <c r="E265" s="119">
        <f t="shared" si="104"/>
        <v>0</v>
      </c>
      <c r="F265" s="121">
        <f t="shared" si="105"/>
        <v>0</v>
      </c>
      <c r="G265" s="123">
        <f>IF(Inputs!G139="Yes",F265,0)</f>
        <v>0</v>
      </c>
      <c r="H265" s="129">
        <f t="shared" si="96"/>
        <v>0</v>
      </c>
      <c r="I265" s="119">
        <f t="shared" si="97"/>
        <v>0</v>
      </c>
      <c r="J265" s="127">
        <f t="shared" si="106"/>
        <v>0</v>
      </c>
      <c r="K265" s="123">
        <f t="shared" si="98"/>
        <v>0</v>
      </c>
      <c r="L265" s="119">
        <f t="shared" si="107"/>
        <v>0</v>
      </c>
      <c r="M265" s="123">
        <f t="shared" si="99"/>
        <v>0</v>
      </c>
      <c r="N265" s="119">
        <f t="shared" si="100"/>
        <v>0</v>
      </c>
      <c r="O265" s="127">
        <f t="shared" si="101"/>
        <v>0</v>
      </c>
      <c r="P265" s="127">
        <f t="shared" si="102"/>
        <v>0</v>
      </c>
      <c r="Q265" s="121">
        <f t="shared" si="108"/>
        <v>0</v>
      </c>
    </row>
    <row r="266" spans="1:17" x14ac:dyDescent="0.2">
      <c r="A266" s="21" t="str">
        <f>Inputs!B140</f>
        <v>15-yr SL</v>
      </c>
      <c r="B266" s="204">
        <f>IF(Inputs!$C$145=0,0,depr_alloc_sl_15_percent*100/Inputs!$C$145)</f>
        <v>0</v>
      </c>
      <c r="C266" s="119">
        <f>$B$257*depr_alloc_sl_15_percent/100</f>
        <v>0</v>
      </c>
      <c r="D266" s="123">
        <f t="shared" si="103"/>
        <v>0</v>
      </c>
      <c r="E266" s="119">
        <f t="shared" si="104"/>
        <v>0</v>
      </c>
      <c r="F266" s="121">
        <f t="shared" si="105"/>
        <v>0</v>
      </c>
      <c r="G266" s="123">
        <f>IF(Inputs!G140="Yes",F266,0)</f>
        <v>0</v>
      </c>
      <c r="H266" s="129">
        <f t="shared" si="96"/>
        <v>0</v>
      </c>
      <c r="I266" s="119">
        <f t="shared" si="97"/>
        <v>0</v>
      </c>
      <c r="J266" s="127">
        <f t="shared" si="106"/>
        <v>0</v>
      </c>
      <c r="K266" s="123">
        <f t="shared" si="98"/>
        <v>0</v>
      </c>
      <c r="L266" s="119">
        <f t="shared" si="107"/>
        <v>0</v>
      </c>
      <c r="M266" s="123">
        <f t="shared" si="99"/>
        <v>0</v>
      </c>
      <c r="N266" s="119">
        <f t="shared" si="100"/>
        <v>0</v>
      </c>
      <c r="O266" s="127">
        <f t="shared" si="101"/>
        <v>0</v>
      </c>
      <c r="P266" s="127">
        <f t="shared" si="102"/>
        <v>0</v>
      </c>
      <c r="Q266" s="121">
        <f t="shared" si="108"/>
        <v>0</v>
      </c>
    </row>
    <row r="267" spans="1:17" x14ac:dyDescent="0.2">
      <c r="A267" s="21" t="str">
        <f>Inputs!B141</f>
        <v>20-yr SL</v>
      </c>
      <c r="B267" s="204">
        <f>IF(Inputs!$C$145=0,0,depr_alloc_sl_20_percent*100/Inputs!$C$145)</f>
        <v>0</v>
      </c>
      <c r="C267" s="119">
        <f>$B$257*depr_alloc_sl_20_percent/100</f>
        <v>0</v>
      </c>
      <c r="D267" s="123">
        <f t="shared" si="103"/>
        <v>0</v>
      </c>
      <c r="E267" s="119">
        <f t="shared" si="104"/>
        <v>0</v>
      </c>
      <c r="F267" s="121">
        <f t="shared" si="105"/>
        <v>0</v>
      </c>
      <c r="G267" s="123">
        <f>IF(Inputs!G141="Yes",F267,0)</f>
        <v>0</v>
      </c>
      <c r="H267" s="129">
        <f t="shared" si="96"/>
        <v>0</v>
      </c>
      <c r="I267" s="119">
        <f t="shared" si="97"/>
        <v>0</v>
      </c>
      <c r="J267" s="127">
        <f t="shared" si="106"/>
        <v>0</v>
      </c>
      <c r="K267" s="123">
        <f t="shared" si="98"/>
        <v>0</v>
      </c>
      <c r="L267" s="119">
        <f t="shared" si="107"/>
        <v>0</v>
      </c>
      <c r="M267" s="123">
        <f t="shared" si="99"/>
        <v>0</v>
      </c>
      <c r="N267" s="119">
        <f t="shared" si="100"/>
        <v>0</v>
      </c>
      <c r="O267" s="127">
        <f t="shared" si="101"/>
        <v>0</v>
      </c>
      <c r="P267" s="127">
        <f t="shared" si="102"/>
        <v>0</v>
      </c>
      <c r="Q267" s="121">
        <f t="shared" si="108"/>
        <v>0</v>
      </c>
    </row>
    <row r="268" spans="1:17" x14ac:dyDescent="0.2">
      <c r="A268" s="21" t="str">
        <f>Inputs!B142</f>
        <v>39-yr SL</v>
      </c>
      <c r="B268" s="204">
        <f>IF(Inputs!$C$145=0,0,depr_alloc_sl_39_percent*100/Inputs!$C$145)</f>
        <v>0</v>
      </c>
      <c r="C268" s="119">
        <f>$B$257*depr_alloc_sl_39_percent/100</f>
        <v>0</v>
      </c>
      <c r="D268" s="123">
        <f t="shared" si="103"/>
        <v>0</v>
      </c>
      <c r="E268" s="119">
        <f t="shared" si="104"/>
        <v>0</v>
      </c>
      <c r="F268" s="121">
        <f t="shared" si="105"/>
        <v>0</v>
      </c>
      <c r="G268" s="123">
        <f>IF(Inputs!G142="Yes",F268,0)</f>
        <v>0</v>
      </c>
      <c r="H268" s="129">
        <f t="shared" si="96"/>
        <v>0</v>
      </c>
      <c r="I268" s="119">
        <f t="shared" si="97"/>
        <v>0</v>
      </c>
      <c r="J268" s="127">
        <f t="shared" si="106"/>
        <v>0</v>
      </c>
      <c r="K268" s="123">
        <f t="shared" si="98"/>
        <v>0</v>
      </c>
      <c r="L268" s="119">
        <f t="shared" si="107"/>
        <v>0</v>
      </c>
      <c r="M268" s="123">
        <f t="shared" si="99"/>
        <v>0</v>
      </c>
      <c r="N268" s="119">
        <f t="shared" si="100"/>
        <v>0</v>
      </c>
      <c r="O268" s="127">
        <f t="shared" si="101"/>
        <v>0</v>
      </c>
      <c r="P268" s="127">
        <f t="shared" si="102"/>
        <v>0</v>
      </c>
      <c r="Q268" s="121">
        <f t="shared" si="108"/>
        <v>0</v>
      </c>
    </row>
    <row r="269" spans="1:17" x14ac:dyDescent="0.2">
      <c r="A269" s="21" t="s">
        <v>354</v>
      </c>
      <c r="B269" s="293">
        <f>IF(Inputs!$C$145=0,0,depr_alloc_custom_percent*100/Inputs!$C$145)</f>
        <v>0</v>
      </c>
      <c r="C269" s="119">
        <f>$B$257*depr_alloc_custom_percent/100</f>
        <v>0</v>
      </c>
      <c r="D269" s="123">
        <f t="shared" si="103"/>
        <v>0</v>
      </c>
      <c r="E269" s="119">
        <f t="shared" si="104"/>
        <v>0</v>
      </c>
      <c r="F269" s="121">
        <f t="shared" si="105"/>
        <v>0</v>
      </c>
      <c r="G269" s="123">
        <f>IF(Inputs!G143="Yes",F269,0)</f>
        <v>0</v>
      </c>
      <c r="H269" s="129">
        <f t="shared" si="96"/>
        <v>0</v>
      </c>
      <c r="I269" s="119">
        <f t="shared" si="97"/>
        <v>0</v>
      </c>
      <c r="J269" s="127">
        <f t="shared" si="106"/>
        <v>0</v>
      </c>
      <c r="K269" s="123">
        <f t="shared" si="98"/>
        <v>0</v>
      </c>
      <c r="L269" s="119">
        <f t="shared" si="107"/>
        <v>0</v>
      </c>
      <c r="M269" s="329">
        <f t="shared" si="99"/>
        <v>0</v>
      </c>
      <c r="N269" s="120">
        <f t="shared" si="100"/>
        <v>0</v>
      </c>
      <c r="O269" s="330">
        <f t="shared" si="101"/>
        <v>0</v>
      </c>
      <c r="P269" s="127">
        <f t="shared" si="102"/>
        <v>0</v>
      </c>
      <c r="Q269" s="121">
        <f t="shared" si="108"/>
        <v>0</v>
      </c>
    </row>
    <row r="270" spans="1:17" x14ac:dyDescent="0.2">
      <c r="A270" s="335" t="s">
        <v>13</v>
      </c>
      <c r="B270" s="295">
        <f>SUM(B263:B268)</f>
        <v>0</v>
      </c>
      <c r="C270" s="134">
        <f t="shared" ref="C270:H270" si="109">SUM(C263:C269)</f>
        <v>0</v>
      </c>
      <c r="D270" s="132">
        <f t="shared" si="109"/>
        <v>0</v>
      </c>
      <c r="E270" s="134">
        <f t="shared" si="109"/>
        <v>0</v>
      </c>
      <c r="F270" s="173">
        <f t="shared" si="109"/>
        <v>0</v>
      </c>
      <c r="G270" s="132">
        <f t="shared" si="109"/>
        <v>0</v>
      </c>
      <c r="H270" s="130">
        <f t="shared" si="109"/>
        <v>0</v>
      </c>
      <c r="I270" s="134">
        <f>SUM(C543:AP543)</f>
        <v>0</v>
      </c>
      <c r="J270" s="134">
        <f>SUM(J263:J269)</f>
        <v>0</v>
      </c>
      <c r="K270" s="132">
        <f>SUM(C540:AP540)</f>
        <v>0</v>
      </c>
      <c r="L270" s="135">
        <f t="shared" ref="L270:Q270" si="110">SUM(L263:L269)</f>
        <v>0</v>
      </c>
      <c r="M270" s="120">
        <f t="shared" si="110"/>
        <v>0</v>
      </c>
      <c r="N270" s="120">
        <f t="shared" si="110"/>
        <v>0</v>
      </c>
      <c r="O270" s="280">
        <f t="shared" si="110"/>
        <v>0</v>
      </c>
      <c r="P270" s="173">
        <f t="shared" si="110"/>
        <v>0</v>
      </c>
      <c r="Q270" s="173">
        <f t="shared" si="110"/>
        <v>0</v>
      </c>
    </row>
    <row r="271" spans="1:17" x14ac:dyDescent="0.2">
      <c r="A271" s="21"/>
      <c r="B271" s="293"/>
      <c r="C271" s="119"/>
      <c r="D271" s="119"/>
      <c r="E271" s="119"/>
      <c r="F271" s="119"/>
      <c r="G271" s="119"/>
      <c r="H271" s="129"/>
      <c r="I271" s="119"/>
      <c r="J271" s="119"/>
      <c r="K271" s="119"/>
      <c r="L271" s="119"/>
      <c r="M271" s="119"/>
      <c r="N271" s="119"/>
      <c r="O271" s="119"/>
      <c r="P271" s="119"/>
      <c r="Q271" s="119"/>
    </row>
    <row r="272" spans="1:17" x14ac:dyDescent="0.2">
      <c r="A272" s="17" t="s">
        <v>420</v>
      </c>
      <c r="B272" s="293">
        <f>G270</f>
        <v>0</v>
      </c>
      <c r="C272" s="119"/>
      <c r="D272" s="119"/>
      <c r="E272" s="119"/>
      <c r="F272" s="119"/>
      <c r="G272" s="119"/>
      <c r="H272" s="129"/>
      <c r="I272" s="119"/>
      <c r="J272" s="119"/>
      <c r="K272" s="119"/>
      <c r="L272" s="119"/>
      <c r="M272" s="119"/>
      <c r="N272" s="119"/>
      <c r="O272" s="119"/>
      <c r="P272" s="119"/>
      <c r="Q272" s="119"/>
    </row>
    <row r="274" spans="1:2" x14ac:dyDescent="0.2">
      <c r="A274" s="4" t="s">
        <v>441</v>
      </c>
    </row>
    <row r="275" spans="1:2" x14ac:dyDescent="0.2">
      <c r="A275" s="86" t="str">
        <f t="shared" ref="A275:A280" si="111">A565</f>
        <v>Investment Based Incentive (IBI)</v>
      </c>
    </row>
    <row r="276" spans="1:2" x14ac:dyDescent="0.2">
      <c r="A276" s="21" t="str">
        <f t="shared" si="111"/>
        <v>As fixed amount</v>
      </c>
    </row>
    <row r="277" spans="1:2" x14ac:dyDescent="0.2">
      <c r="A277" s="87" t="str">
        <f t="shared" si="111"/>
        <v>Federal ($)</v>
      </c>
      <c r="B277" s="155">
        <f>IF(ibi_fed_amount_deprbas_sta="Yes",ibi_fed_amount,0)</f>
        <v>0</v>
      </c>
    </row>
    <row r="278" spans="1:2" x14ac:dyDescent="0.2">
      <c r="A278" s="87" t="str">
        <f t="shared" si="111"/>
        <v>State ($)</v>
      </c>
      <c r="B278" s="155">
        <f>IF(ibi_sta_amount_deprbas_sta="Yes",ibi_sta_amount,0)</f>
        <v>0</v>
      </c>
    </row>
    <row r="279" spans="1:2" x14ac:dyDescent="0.2">
      <c r="A279" s="87" t="str">
        <f t="shared" si="111"/>
        <v>Utility ($)</v>
      </c>
      <c r="B279" s="155">
        <f>IF(ibi_uti_amount_deprbas_sta="Yes",ibi_uti_amount,0)</f>
        <v>0</v>
      </c>
    </row>
    <row r="280" spans="1:2" x14ac:dyDescent="0.2">
      <c r="A280" s="87" t="str">
        <f t="shared" si="111"/>
        <v>Other ($)</v>
      </c>
      <c r="B280" s="156">
        <f>IF(ibi_oth_amount_deprbas_sta="Yes",ibi_oth_amount,0)</f>
        <v>0</v>
      </c>
    </row>
    <row r="281" spans="1:2" x14ac:dyDescent="0.2">
      <c r="A281" s="87" t="s">
        <v>442</v>
      </c>
      <c r="B281" s="155">
        <f>SUM(B277:B280)</f>
        <v>0</v>
      </c>
    </row>
    <row r="282" spans="1:2" x14ac:dyDescent="0.2">
      <c r="A282" s="21" t="str">
        <f>A572</f>
        <v>As percentage</v>
      </c>
    </row>
    <row r="283" spans="1:2" x14ac:dyDescent="0.2">
      <c r="A283" s="87" t="str">
        <f>A573</f>
        <v>Federal (% of total installed cost)</v>
      </c>
      <c r="B283" s="155">
        <f>IF(ibi_fed_percent_deprbas_sta="Yes",C573,0)</f>
        <v>0</v>
      </c>
    </row>
    <row r="284" spans="1:2" x14ac:dyDescent="0.2">
      <c r="A284" s="87" t="str">
        <f>A574</f>
        <v>State (% of total installed cost)</v>
      </c>
      <c r="B284" s="155">
        <f>IF(ibi_sta_percent_deprbas_sta="Yes",C574,0)</f>
        <v>0</v>
      </c>
    </row>
    <row r="285" spans="1:2" x14ac:dyDescent="0.2">
      <c r="A285" s="87" t="str">
        <f>A575</f>
        <v>Utility (% of total installed cost)</v>
      </c>
      <c r="B285" s="155">
        <f>IF(ibi_uti_percent_deprbas_sta="Yes",C575,0)</f>
        <v>0</v>
      </c>
    </row>
    <row r="286" spans="1:2" x14ac:dyDescent="0.2">
      <c r="A286" s="87" t="str">
        <f>A576</f>
        <v>Other (% of total installed cost)</v>
      </c>
      <c r="B286" s="156">
        <f>IF(ibi_oth_percent_deprbas_sta="Yes",C576,0)</f>
        <v>0</v>
      </c>
    </row>
    <row r="287" spans="1:2" x14ac:dyDescent="0.2">
      <c r="A287" s="87" t="s">
        <v>443</v>
      </c>
      <c r="B287" s="155">
        <f>SUM(B283:B286)</f>
        <v>0</v>
      </c>
    </row>
    <row r="288" spans="1:2" x14ac:dyDescent="0.2">
      <c r="A288" s="86" t="str">
        <f>A579</f>
        <v>Capacity Based Incentive (CBI)</v>
      </c>
    </row>
    <row r="289" spans="1:42" x14ac:dyDescent="0.2">
      <c r="A289" s="21" t="str">
        <f>A580</f>
        <v>Federal ($/W)</v>
      </c>
      <c r="B289" s="155">
        <f>IF(cbi_fed_deprbas_sta="Yes",C580,0)</f>
        <v>0</v>
      </c>
    </row>
    <row r="290" spans="1:42" x14ac:dyDescent="0.2">
      <c r="A290" s="21" t="str">
        <f>A581</f>
        <v>State ($/W)</v>
      </c>
      <c r="B290" s="155">
        <f>IF(cbi_sta_deprbas_sta="Yes",C581,0)</f>
        <v>0</v>
      </c>
    </row>
    <row r="291" spans="1:42" x14ac:dyDescent="0.2">
      <c r="A291" s="21" t="str">
        <f>A582</f>
        <v>Utility ($/W)</v>
      </c>
      <c r="B291" s="155">
        <f>IF(cbi_uti_deprbas_sta="Yes",C582,0)</f>
        <v>0</v>
      </c>
    </row>
    <row r="292" spans="1:42" x14ac:dyDescent="0.2">
      <c r="A292" s="21" t="str">
        <f>A583</f>
        <v>Other ($/W)</v>
      </c>
      <c r="B292" s="155">
        <f>IF(cbi_oth_deprbas_sta="Yes",C583,0)</f>
        <v>0</v>
      </c>
    </row>
    <row r="293" spans="1:42" x14ac:dyDescent="0.2">
      <c r="A293" s="21" t="s">
        <v>444</v>
      </c>
      <c r="B293" s="158">
        <f>SUM(B289:B292)</f>
        <v>0</v>
      </c>
    </row>
    <row r="295" spans="1:42" x14ac:dyDescent="0.2">
      <c r="A295" s="4" t="s">
        <v>73</v>
      </c>
    </row>
    <row r="296" spans="1:42" x14ac:dyDescent="0.2">
      <c r="A296" s="86" t="s">
        <v>445</v>
      </c>
    </row>
    <row r="297" spans="1:42" x14ac:dyDescent="0.2">
      <c r="A297" s="21" t="s">
        <v>53</v>
      </c>
    </row>
    <row r="298" spans="1:42" x14ac:dyDescent="0.2">
      <c r="A298" s="22" t="str">
        <f t="shared" ref="A298:A303" si="112">A263</f>
        <v>5-yr MACRS</v>
      </c>
      <c r="B298" s="163" cm="1">
        <f t="array" ref="B298">SUM(IF(ISNUMBER(C299:AP299),C299:AP299))</f>
        <v>0</v>
      </c>
      <c r="C298" s="164" t="e">
        <f>LOOKUP(C$2,'Depreciation Schedules'!$A$3:$A$42,'Depreciation Schedules'!$B$3:$B$42)</f>
        <v>#N/A</v>
      </c>
      <c r="D298" s="164" t="e">
        <f>LOOKUP(D$2,'Depreciation Schedules'!$A$3:$A$42,'Depreciation Schedules'!$B$3:$B$42)</f>
        <v>#N/A</v>
      </c>
      <c r="E298" s="164" t="e">
        <f>LOOKUP(E$2,'Depreciation Schedules'!$A$3:$A$42,'Depreciation Schedules'!$B$3:$B$42)</f>
        <v>#N/A</v>
      </c>
      <c r="F298" s="164" t="e">
        <f>LOOKUP(F$2,'Depreciation Schedules'!$A$3:$A$42,'Depreciation Schedules'!$B$3:$B$42)</f>
        <v>#N/A</v>
      </c>
      <c r="G298" s="164" t="e">
        <f>LOOKUP(G$2,'Depreciation Schedules'!$A$3:$A$42,'Depreciation Schedules'!$B$3:$B$42)</f>
        <v>#N/A</v>
      </c>
      <c r="H298" s="164" t="e">
        <f>LOOKUP(H$2,'Depreciation Schedules'!$A$3:$A$42,'Depreciation Schedules'!$B$3:$B$42)</f>
        <v>#N/A</v>
      </c>
      <c r="I298" s="164" t="e">
        <f>LOOKUP(I$2,'Depreciation Schedules'!$A$3:$A$42,'Depreciation Schedules'!$B$3:$B$42)</f>
        <v>#N/A</v>
      </c>
      <c r="J298" s="164" t="e">
        <f>LOOKUP(J$2,'Depreciation Schedules'!$A$3:$A$42,'Depreciation Schedules'!$B$3:$B$42)</f>
        <v>#N/A</v>
      </c>
      <c r="K298" s="164" t="e">
        <f>LOOKUP(K$2,'Depreciation Schedules'!$A$3:$A$42,'Depreciation Schedules'!$B$3:$B$42)</f>
        <v>#N/A</v>
      </c>
      <c r="L298" s="164" t="e">
        <f>LOOKUP(L$2,'Depreciation Schedules'!$A$3:$A$42,'Depreciation Schedules'!$B$3:$B$42)</f>
        <v>#N/A</v>
      </c>
      <c r="M298" s="164" t="e">
        <f>LOOKUP(M$2,'Depreciation Schedules'!$A$3:$A$42,'Depreciation Schedules'!$B$3:$B$42)</f>
        <v>#N/A</v>
      </c>
      <c r="N298" s="164" t="e">
        <f>LOOKUP(N$2,'Depreciation Schedules'!$A$3:$A$42,'Depreciation Schedules'!$B$3:$B$42)</f>
        <v>#N/A</v>
      </c>
      <c r="O298" s="164" t="e">
        <f>LOOKUP(O$2,'Depreciation Schedules'!$A$3:$A$42,'Depreciation Schedules'!$B$3:$B$42)</f>
        <v>#N/A</v>
      </c>
      <c r="P298" s="164" t="e">
        <f>LOOKUP(P$2,'Depreciation Schedules'!$A$3:$A$42,'Depreciation Schedules'!$B$3:$B$42)</f>
        <v>#N/A</v>
      </c>
      <c r="Q298" s="164" t="e">
        <f>LOOKUP(Q$2,'Depreciation Schedules'!$A$3:$A$42,'Depreciation Schedules'!$B$3:$B$42)</f>
        <v>#N/A</v>
      </c>
      <c r="R298" s="164" t="e">
        <f>LOOKUP(R$2,'Depreciation Schedules'!$A$3:$A$42,'Depreciation Schedules'!$B$3:$B$42)</f>
        <v>#N/A</v>
      </c>
      <c r="S298" s="164" t="e">
        <f>LOOKUP(S$2,'Depreciation Schedules'!$A$3:$A$42,'Depreciation Schedules'!$B$3:$B$42)</f>
        <v>#N/A</v>
      </c>
      <c r="T298" s="164" t="e">
        <f>LOOKUP(T$2,'Depreciation Schedules'!$A$3:$A$42,'Depreciation Schedules'!$B$3:$B$42)</f>
        <v>#N/A</v>
      </c>
      <c r="U298" s="164" t="e">
        <f>LOOKUP(U$2,'Depreciation Schedules'!$A$3:$A$42,'Depreciation Schedules'!$B$3:$B$42)</f>
        <v>#N/A</v>
      </c>
      <c r="V298" s="164" t="e">
        <f>LOOKUP(V$2,'Depreciation Schedules'!$A$3:$A$42,'Depreciation Schedules'!$B$3:$B$42)</f>
        <v>#N/A</v>
      </c>
      <c r="W298" s="164" t="e">
        <f>LOOKUP(W$2,'Depreciation Schedules'!$A$3:$A$42,'Depreciation Schedules'!$B$3:$B$42)</f>
        <v>#N/A</v>
      </c>
      <c r="X298" s="164" t="e">
        <f>LOOKUP(X$2,'Depreciation Schedules'!$A$3:$A$42,'Depreciation Schedules'!$B$3:$B$42)</f>
        <v>#N/A</v>
      </c>
      <c r="Y298" s="164" t="e">
        <f>LOOKUP(Y$2,'Depreciation Schedules'!$A$3:$A$42,'Depreciation Schedules'!$B$3:$B$42)</f>
        <v>#N/A</v>
      </c>
      <c r="Z298" s="164" t="e">
        <f>LOOKUP(Z$2,'Depreciation Schedules'!$A$3:$A$42,'Depreciation Schedules'!$B$3:$B$42)</f>
        <v>#N/A</v>
      </c>
      <c r="AA298" s="164" t="e">
        <f>LOOKUP(AA$2,'Depreciation Schedules'!$A$3:$A$42,'Depreciation Schedules'!$B$3:$B$42)</f>
        <v>#N/A</v>
      </c>
      <c r="AB298" s="164" t="e">
        <f>LOOKUP(AB$2,'Depreciation Schedules'!$A$3:$A$42,'Depreciation Schedules'!$B$3:$B$42)</f>
        <v>#N/A</v>
      </c>
      <c r="AC298" s="164" t="e">
        <f>LOOKUP(AC$2,'Depreciation Schedules'!$A$3:$A$42,'Depreciation Schedules'!$B$3:$B$42)</f>
        <v>#N/A</v>
      </c>
      <c r="AD298" s="164" t="e">
        <f>LOOKUP(AD$2,'Depreciation Schedules'!$A$3:$A$42,'Depreciation Schedules'!$B$3:$B$42)</f>
        <v>#N/A</v>
      </c>
      <c r="AE298" s="164" t="e">
        <f>LOOKUP(AE$2,'Depreciation Schedules'!$A$3:$A$42,'Depreciation Schedules'!$B$3:$B$42)</f>
        <v>#N/A</v>
      </c>
      <c r="AF298" s="164" t="e">
        <f>LOOKUP(AF$2,'Depreciation Schedules'!$A$3:$A$42,'Depreciation Schedules'!$B$3:$B$42)</f>
        <v>#N/A</v>
      </c>
      <c r="AG298" s="164" t="e">
        <f>LOOKUP(AG$2,'Depreciation Schedules'!$A$3:$A$42,'Depreciation Schedules'!$B$3:$B$42)</f>
        <v>#N/A</v>
      </c>
      <c r="AH298" s="164" t="e">
        <f>LOOKUP(AH$2,'Depreciation Schedules'!$A$3:$A$42,'Depreciation Schedules'!$B$3:$B$42)</f>
        <v>#N/A</v>
      </c>
      <c r="AI298" s="164" t="e">
        <f>LOOKUP(AI$2,'Depreciation Schedules'!$A$3:$A$42,'Depreciation Schedules'!$B$3:$B$42)</f>
        <v>#N/A</v>
      </c>
      <c r="AJ298" s="164" t="e">
        <f>LOOKUP(AJ$2,'Depreciation Schedules'!$A$3:$A$42,'Depreciation Schedules'!$B$3:$B$42)</f>
        <v>#N/A</v>
      </c>
      <c r="AK298" s="164" t="e">
        <f>LOOKUP(AK$2,'Depreciation Schedules'!$A$3:$A$42,'Depreciation Schedules'!$B$3:$B$42)</f>
        <v>#N/A</v>
      </c>
      <c r="AL298" s="164" t="e">
        <f>LOOKUP(AL$2,'Depreciation Schedules'!$A$3:$A$42,'Depreciation Schedules'!$B$3:$B$42)</f>
        <v>#N/A</v>
      </c>
      <c r="AM298" s="164" t="e">
        <f>LOOKUP(AM$2,'Depreciation Schedules'!$A$3:$A$42,'Depreciation Schedules'!$B$3:$B$42)</f>
        <v>#N/A</v>
      </c>
      <c r="AN298" s="164" t="e">
        <f>LOOKUP(AN$2,'Depreciation Schedules'!$A$3:$A$42,'Depreciation Schedules'!$B$3:$B$42)</f>
        <v>#N/A</v>
      </c>
      <c r="AO298" s="164" t="e">
        <f>LOOKUP(AO$2,'Depreciation Schedules'!$A$3:$A$42,'Depreciation Schedules'!$B$3:$B$42)</f>
        <v>#N/A</v>
      </c>
      <c r="AP298" s="164" t="e">
        <f>LOOKUP(AP$2,'Depreciation Schedules'!$A$3:$A$42,'Depreciation Schedules'!$B$3:$B$42)</f>
        <v>#N/A</v>
      </c>
    </row>
    <row r="299" spans="1:42" x14ac:dyDescent="0.2">
      <c r="A299" s="22" t="str">
        <f t="shared" si="112"/>
        <v>15-yr MACRS</v>
      </c>
      <c r="B299" s="163" cm="1">
        <f t="array" ref="B299">SUM(IF(ISNUMBER(C300:AP300),C300:AP300))</f>
        <v>0</v>
      </c>
      <c r="C299" s="164" t="e">
        <f>LOOKUP(C$2,'Depreciation Schedules'!$A$3:$A$42,'Depreciation Schedules'!$C$3:$C$42)</f>
        <v>#N/A</v>
      </c>
      <c r="D299" s="164" t="e">
        <f>LOOKUP(D$2,'Depreciation Schedules'!$A$3:$A$42,'Depreciation Schedules'!$C$3:$C$42)</f>
        <v>#N/A</v>
      </c>
      <c r="E299" s="164" t="e">
        <f>LOOKUP(E$2,'Depreciation Schedules'!$A$3:$A$42,'Depreciation Schedules'!$C$3:$C$42)</f>
        <v>#N/A</v>
      </c>
      <c r="F299" s="164" t="e">
        <f>LOOKUP(F$2,'Depreciation Schedules'!$A$3:$A$42,'Depreciation Schedules'!$C$3:$C$42)</f>
        <v>#N/A</v>
      </c>
      <c r="G299" s="164" t="e">
        <f>LOOKUP(G$2,'Depreciation Schedules'!$A$3:$A$42,'Depreciation Schedules'!$C$3:$C$42)</f>
        <v>#N/A</v>
      </c>
      <c r="H299" s="164" t="e">
        <f>LOOKUP(H$2,'Depreciation Schedules'!$A$3:$A$42,'Depreciation Schedules'!$C$3:$C$42)</f>
        <v>#N/A</v>
      </c>
      <c r="I299" s="164" t="e">
        <f>LOOKUP(I$2,'Depreciation Schedules'!$A$3:$A$42,'Depreciation Schedules'!$C$3:$C$42)</f>
        <v>#N/A</v>
      </c>
      <c r="J299" s="164" t="e">
        <f>LOOKUP(J$2,'Depreciation Schedules'!$A$3:$A$42,'Depreciation Schedules'!$C$3:$C$42)</f>
        <v>#N/A</v>
      </c>
      <c r="K299" s="164" t="e">
        <f>LOOKUP(K$2,'Depreciation Schedules'!$A$3:$A$42,'Depreciation Schedules'!$C$3:$C$42)</f>
        <v>#N/A</v>
      </c>
      <c r="L299" s="164" t="e">
        <f>LOOKUP(L$2,'Depreciation Schedules'!$A$3:$A$42,'Depreciation Schedules'!$C$3:$C$42)</f>
        <v>#N/A</v>
      </c>
      <c r="M299" s="164" t="e">
        <f>LOOKUP(M$2,'Depreciation Schedules'!$A$3:$A$42,'Depreciation Schedules'!$C$3:$C$42)</f>
        <v>#N/A</v>
      </c>
      <c r="N299" s="164" t="e">
        <f>LOOKUP(N$2,'Depreciation Schedules'!$A$3:$A$42,'Depreciation Schedules'!$C$3:$C$42)</f>
        <v>#N/A</v>
      </c>
      <c r="O299" s="164" t="e">
        <f>LOOKUP(O$2,'Depreciation Schedules'!$A$3:$A$42,'Depreciation Schedules'!$C$3:$C$42)</f>
        <v>#N/A</v>
      </c>
      <c r="P299" s="164" t="e">
        <f>LOOKUP(P$2,'Depreciation Schedules'!$A$3:$A$42,'Depreciation Schedules'!$C$3:$C$42)</f>
        <v>#N/A</v>
      </c>
      <c r="Q299" s="164" t="e">
        <f>LOOKUP(Q$2,'Depreciation Schedules'!$A$3:$A$42,'Depreciation Schedules'!$C$3:$C$42)</f>
        <v>#N/A</v>
      </c>
      <c r="R299" s="164" t="e">
        <f>LOOKUP(R$2,'Depreciation Schedules'!$A$3:$A$42,'Depreciation Schedules'!$C$3:$C$42)</f>
        <v>#N/A</v>
      </c>
      <c r="S299" s="164" t="e">
        <f>LOOKUP(S$2,'Depreciation Schedules'!$A$3:$A$42,'Depreciation Schedules'!$C$3:$C$42)</f>
        <v>#N/A</v>
      </c>
      <c r="T299" s="164" t="e">
        <f>LOOKUP(T$2,'Depreciation Schedules'!$A$3:$A$42,'Depreciation Schedules'!$C$3:$C$42)</f>
        <v>#N/A</v>
      </c>
      <c r="U299" s="164" t="e">
        <f>LOOKUP(U$2,'Depreciation Schedules'!$A$3:$A$42,'Depreciation Schedules'!$C$3:$C$42)</f>
        <v>#N/A</v>
      </c>
      <c r="V299" s="164" t="e">
        <f>LOOKUP(V$2,'Depreciation Schedules'!$A$3:$A$42,'Depreciation Schedules'!$C$3:$C$42)</f>
        <v>#N/A</v>
      </c>
      <c r="W299" s="164" t="e">
        <f>LOOKUP(W$2,'Depreciation Schedules'!$A$3:$A$42,'Depreciation Schedules'!$C$3:$C$42)</f>
        <v>#N/A</v>
      </c>
      <c r="X299" s="164" t="e">
        <f>LOOKUP(X$2,'Depreciation Schedules'!$A$3:$A$42,'Depreciation Schedules'!$C$3:$C$42)</f>
        <v>#N/A</v>
      </c>
      <c r="Y299" s="164" t="e">
        <f>LOOKUP(Y$2,'Depreciation Schedules'!$A$3:$A$42,'Depreciation Schedules'!$C$3:$C$42)</f>
        <v>#N/A</v>
      </c>
      <c r="Z299" s="164" t="e">
        <f>LOOKUP(Z$2,'Depreciation Schedules'!$A$3:$A$42,'Depreciation Schedules'!$C$3:$C$42)</f>
        <v>#N/A</v>
      </c>
      <c r="AA299" s="164" t="e">
        <f>LOOKUP(AA$2,'Depreciation Schedules'!$A$3:$A$42,'Depreciation Schedules'!$C$3:$C$42)</f>
        <v>#N/A</v>
      </c>
      <c r="AB299" s="164" t="e">
        <f>LOOKUP(AB$2,'Depreciation Schedules'!$A$3:$A$42,'Depreciation Schedules'!$C$3:$C$42)</f>
        <v>#N/A</v>
      </c>
      <c r="AC299" s="164" t="e">
        <f>LOOKUP(AC$2,'Depreciation Schedules'!$A$3:$A$42,'Depreciation Schedules'!$C$3:$C$42)</f>
        <v>#N/A</v>
      </c>
      <c r="AD299" s="164" t="e">
        <f>LOOKUP(AD$2,'Depreciation Schedules'!$A$3:$A$42,'Depreciation Schedules'!$C$3:$C$42)</f>
        <v>#N/A</v>
      </c>
      <c r="AE299" s="164" t="e">
        <f>LOOKUP(AE$2,'Depreciation Schedules'!$A$3:$A$42,'Depreciation Schedules'!$C$3:$C$42)</f>
        <v>#N/A</v>
      </c>
      <c r="AF299" s="164" t="e">
        <f>LOOKUP(AF$2,'Depreciation Schedules'!$A$3:$A$42,'Depreciation Schedules'!$C$3:$C$42)</f>
        <v>#N/A</v>
      </c>
      <c r="AG299" s="164" t="e">
        <f>LOOKUP(AG$2,'Depreciation Schedules'!$A$3:$A$42,'Depreciation Schedules'!$C$3:$C$42)</f>
        <v>#N/A</v>
      </c>
      <c r="AH299" s="164" t="e">
        <f>LOOKUP(AH$2,'Depreciation Schedules'!$A$3:$A$42,'Depreciation Schedules'!$C$3:$C$42)</f>
        <v>#N/A</v>
      </c>
      <c r="AI299" s="164" t="e">
        <f>LOOKUP(AI$2,'Depreciation Schedules'!$A$3:$A$42,'Depreciation Schedules'!$C$3:$C$42)</f>
        <v>#N/A</v>
      </c>
      <c r="AJ299" s="164" t="e">
        <f>LOOKUP(AJ$2,'Depreciation Schedules'!$A$3:$A$42,'Depreciation Schedules'!$C$3:$C$42)</f>
        <v>#N/A</v>
      </c>
      <c r="AK299" s="164" t="e">
        <f>LOOKUP(AK$2,'Depreciation Schedules'!$A$3:$A$42,'Depreciation Schedules'!$C$3:$C$42)</f>
        <v>#N/A</v>
      </c>
      <c r="AL299" s="164" t="e">
        <f>LOOKUP(AL$2,'Depreciation Schedules'!$A$3:$A$42,'Depreciation Schedules'!$C$3:$C$42)</f>
        <v>#N/A</v>
      </c>
      <c r="AM299" s="164" t="e">
        <f>LOOKUP(AM$2,'Depreciation Schedules'!$A$3:$A$42,'Depreciation Schedules'!$C$3:$C$42)</f>
        <v>#N/A</v>
      </c>
      <c r="AN299" s="164" t="e">
        <f>LOOKUP(AN$2,'Depreciation Schedules'!$A$3:$A$42,'Depreciation Schedules'!$C$3:$C$42)</f>
        <v>#N/A</v>
      </c>
      <c r="AO299" s="164" t="e">
        <f>LOOKUP(AO$2,'Depreciation Schedules'!$A$3:$A$42,'Depreciation Schedules'!$C$3:$C$42)</f>
        <v>#N/A</v>
      </c>
      <c r="AP299" s="164" t="e">
        <f>LOOKUP(AP$2,'Depreciation Schedules'!$A$3:$A$42,'Depreciation Schedules'!$C$3:$C$42)</f>
        <v>#N/A</v>
      </c>
    </row>
    <row r="300" spans="1:42" x14ac:dyDescent="0.2">
      <c r="A300" s="22" t="str">
        <f t="shared" si="112"/>
        <v>5-yr SL</v>
      </c>
      <c r="B300" s="163" cm="1">
        <f t="array" ref="B300">SUM(IF(ISNUMBER(C301:AP301),C301:AP301))</f>
        <v>0</v>
      </c>
      <c r="C300" s="164" t="e">
        <f>LOOKUP(C$2,'Depreciation Schedules'!$A$3:$A$42,'Depreciation Schedules'!$D$3:$D$42)</f>
        <v>#N/A</v>
      </c>
      <c r="D300" s="164" t="e">
        <f>LOOKUP(D$2,'Depreciation Schedules'!$A$3:$A$42,'Depreciation Schedules'!$D$3:$D$42)</f>
        <v>#N/A</v>
      </c>
      <c r="E300" s="164" t="e">
        <f>LOOKUP(E$2,'Depreciation Schedules'!$A$3:$A$42,'Depreciation Schedules'!$D$3:$D$42)</f>
        <v>#N/A</v>
      </c>
      <c r="F300" s="164" t="e">
        <f>LOOKUP(F$2,'Depreciation Schedules'!$A$3:$A$42,'Depreciation Schedules'!$D$3:$D$42)</f>
        <v>#N/A</v>
      </c>
      <c r="G300" s="164" t="e">
        <f>LOOKUP(G$2,'Depreciation Schedules'!$A$3:$A$42,'Depreciation Schedules'!$D$3:$D$42)</f>
        <v>#N/A</v>
      </c>
      <c r="H300" s="164" t="e">
        <f>LOOKUP(H$2,'Depreciation Schedules'!$A$3:$A$42,'Depreciation Schedules'!$D$3:$D$42)</f>
        <v>#N/A</v>
      </c>
      <c r="I300" s="164" t="e">
        <f>LOOKUP(I$2,'Depreciation Schedules'!$A$3:$A$42,'Depreciation Schedules'!$D$3:$D$42)</f>
        <v>#N/A</v>
      </c>
      <c r="J300" s="164" t="e">
        <f>LOOKUP(J$2,'Depreciation Schedules'!$A$3:$A$42,'Depreciation Schedules'!$D$3:$D$42)</f>
        <v>#N/A</v>
      </c>
      <c r="K300" s="164" t="e">
        <f>LOOKUP(K$2,'Depreciation Schedules'!$A$3:$A$42,'Depreciation Schedules'!$D$3:$D$42)</f>
        <v>#N/A</v>
      </c>
      <c r="L300" s="164" t="e">
        <f>LOOKUP(L$2,'Depreciation Schedules'!$A$3:$A$42,'Depreciation Schedules'!$D$3:$D$42)</f>
        <v>#N/A</v>
      </c>
      <c r="M300" s="164" t="e">
        <f>LOOKUP(M$2,'Depreciation Schedules'!$A$3:$A$42,'Depreciation Schedules'!$D$3:$D$42)</f>
        <v>#N/A</v>
      </c>
      <c r="N300" s="164" t="e">
        <f>LOOKUP(N$2,'Depreciation Schedules'!$A$3:$A$42,'Depreciation Schedules'!$D$3:$D$42)</f>
        <v>#N/A</v>
      </c>
      <c r="O300" s="164" t="e">
        <f>LOOKUP(O$2,'Depreciation Schedules'!$A$3:$A$42,'Depreciation Schedules'!$D$3:$D$42)</f>
        <v>#N/A</v>
      </c>
      <c r="P300" s="164" t="e">
        <f>LOOKUP(P$2,'Depreciation Schedules'!$A$3:$A$42,'Depreciation Schedules'!$D$3:$D$42)</f>
        <v>#N/A</v>
      </c>
      <c r="Q300" s="164" t="e">
        <f>LOOKUP(Q$2,'Depreciation Schedules'!$A$3:$A$42,'Depreciation Schedules'!$D$3:$D$42)</f>
        <v>#N/A</v>
      </c>
      <c r="R300" s="164" t="e">
        <f>LOOKUP(R$2,'Depreciation Schedules'!$A$3:$A$42,'Depreciation Schedules'!$D$3:$D$42)</f>
        <v>#N/A</v>
      </c>
      <c r="S300" s="164" t="e">
        <f>LOOKUP(S$2,'Depreciation Schedules'!$A$3:$A$42,'Depreciation Schedules'!$D$3:$D$42)</f>
        <v>#N/A</v>
      </c>
      <c r="T300" s="164" t="e">
        <f>LOOKUP(T$2,'Depreciation Schedules'!$A$3:$A$42,'Depreciation Schedules'!$D$3:$D$42)</f>
        <v>#N/A</v>
      </c>
      <c r="U300" s="164" t="e">
        <f>LOOKUP(U$2,'Depreciation Schedules'!$A$3:$A$42,'Depreciation Schedules'!$D$3:$D$42)</f>
        <v>#N/A</v>
      </c>
      <c r="V300" s="164" t="e">
        <f>LOOKUP(V$2,'Depreciation Schedules'!$A$3:$A$42,'Depreciation Schedules'!$D$3:$D$42)</f>
        <v>#N/A</v>
      </c>
      <c r="W300" s="164" t="e">
        <f>LOOKUP(W$2,'Depreciation Schedules'!$A$3:$A$42,'Depreciation Schedules'!$D$3:$D$42)</f>
        <v>#N/A</v>
      </c>
      <c r="X300" s="164" t="e">
        <f>LOOKUP(X$2,'Depreciation Schedules'!$A$3:$A$42,'Depreciation Schedules'!$D$3:$D$42)</f>
        <v>#N/A</v>
      </c>
      <c r="Y300" s="164" t="e">
        <f>LOOKUP(Y$2,'Depreciation Schedules'!$A$3:$A$42,'Depreciation Schedules'!$D$3:$D$42)</f>
        <v>#N/A</v>
      </c>
      <c r="Z300" s="164" t="e">
        <f>LOOKUP(Z$2,'Depreciation Schedules'!$A$3:$A$42,'Depreciation Schedules'!$D$3:$D$42)</f>
        <v>#N/A</v>
      </c>
      <c r="AA300" s="164" t="e">
        <f>LOOKUP(AA$2,'Depreciation Schedules'!$A$3:$A$42,'Depreciation Schedules'!$D$3:$D$42)</f>
        <v>#N/A</v>
      </c>
      <c r="AB300" s="164" t="e">
        <f>LOOKUP(AB$2,'Depreciation Schedules'!$A$3:$A$42,'Depreciation Schedules'!$D$3:$D$42)</f>
        <v>#N/A</v>
      </c>
      <c r="AC300" s="164" t="e">
        <f>LOOKUP(AC$2,'Depreciation Schedules'!$A$3:$A$42,'Depreciation Schedules'!$D$3:$D$42)</f>
        <v>#N/A</v>
      </c>
      <c r="AD300" s="164" t="e">
        <f>LOOKUP(AD$2,'Depreciation Schedules'!$A$3:$A$42,'Depreciation Schedules'!$D$3:$D$42)</f>
        <v>#N/A</v>
      </c>
      <c r="AE300" s="164" t="e">
        <f>LOOKUP(AE$2,'Depreciation Schedules'!$A$3:$A$42,'Depreciation Schedules'!$D$3:$D$42)</f>
        <v>#N/A</v>
      </c>
      <c r="AF300" s="164" t="e">
        <f>LOOKUP(AF$2,'Depreciation Schedules'!$A$3:$A$42,'Depreciation Schedules'!$D$3:$D$42)</f>
        <v>#N/A</v>
      </c>
      <c r="AG300" s="164" t="e">
        <f>LOOKUP(AG$2,'Depreciation Schedules'!$A$3:$A$42,'Depreciation Schedules'!$D$3:$D$42)</f>
        <v>#N/A</v>
      </c>
      <c r="AH300" s="164" t="e">
        <f>LOOKUP(AH$2,'Depreciation Schedules'!$A$3:$A$42,'Depreciation Schedules'!$D$3:$D$42)</f>
        <v>#N/A</v>
      </c>
      <c r="AI300" s="164" t="e">
        <f>LOOKUP(AI$2,'Depreciation Schedules'!$A$3:$A$42,'Depreciation Schedules'!$D$3:$D$42)</f>
        <v>#N/A</v>
      </c>
      <c r="AJ300" s="164" t="e">
        <f>LOOKUP(AJ$2,'Depreciation Schedules'!$A$3:$A$42,'Depreciation Schedules'!$D$3:$D$42)</f>
        <v>#N/A</v>
      </c>
      <c r="AK300" s="164" t="e">
        <f>LOOKUP(AK$2,'Depreciation Schedules'!$A$3:$A$42,'Depreciation Schedules'!$D$3:$D$42)</f>
        <v>#N/A</v>
      </c>
      <c r="AL300" s="164" t="e">
        <f>LOOKUP(AL$2,'Depreciation Schedules'!$A$3:$A$42,'Depreciation Schedules'!$D$3:$D$42)</f>
        <v>#N/A</v>
      </c>
      <c r="AM300" s="164" t="e">
        <f>LOOKUP(AM$2,'Depreciation Schedules'!$A$3:$A$42,'Depreciation Schedules'!$D$3:$D$42)</f>
        <v>#N/A</v>
      </c>
      <c r="AN300" s="164" t="e">
        <f>LOOKUP(AN$2,'Depreciation Schedules'!$A$3:$A$42,'Depreciation Schedules'!$D$3:$D$42)</f>
        <v>#N/A</v>
      </c>
      <c r="AO300" s="164" t="e">
        <f>LOOKUP(AO$2,'Depreciation Schedules'!$A$3:$A$42,'Depreciation Schedules'!$D$3:$D$42)</f>
        <v>#N/A</v>
      </c>
      <c r="AP300" s="164" t="e">
        <f>LOOKUP(AP$2,'Depreciation Schedules'!$A$3:$A$42,'Depreciation Schedules'!$D$3:$D$42)</f>
        <v>#N/A</v>
      </c>
    </row>
    <row r="301" spans="1:42" x14ac:dyDescent="0.2">
      <c r="A301" s="22" t="str">
        <f t="shared" si="112"/>
        <v>15-yr SL</v>
      </c>
      <c r="B301" s="163" cm="1">
        <f t="array" ref="B301">SUM(IF(ISNUMBER(C302:AP302),C302:AP302))</f>
        <v>0</v>
      </c>
      <c r="C301" s="164" t="e">
        <f>LOOKUP(C$2,'Depreciation Schedules'!$A$3:$A$42,'Depreciation Schedules'!$E$3:$E$42)</f>
        <v>#N/A</v>
      </c>
      <c r="D301" s="164" t="e">
        <f>LOOKUP(D$2,'Depreciation Schedules'!$A$3:$A$42,'Depreciation Schedules'!$E$3:$E$42)</f>
        <v>#N/A</v>
      </c>
      <c r="E301" s="164" t="e">
        <f>LOOKUP(E$2,'Depreciation Schedules'!$A$3:$A$42,'Depreciation Schedules'!$E$3:$E$42)</f>
        <v>#N/A</v>
      </c>
      <c r="F301" s="164" t="e">
        <f>LOOKUP(F$2,'Depreciation Schedules'!$A$3:$A$42,'Depreciation Schedules'!$E$3:$E$42)</f>
        <v>#N/A</v>
      </c>
      <c r="G301" s="164" t="e">
        <f>LOOKUP(G$2,'Depreciation Schedules'!$A$3:$A$42,'Depreciation Schedules'!$E$3:$E$42)</f>
        <v>#N/A</v>
      </c>
      <c r="H301" s="164" t="e">
        <f>LOOKUP(H$2,'Depreciation Schedules'!$A$3:$A$42,'Depreciation Schedules'!$E$3:$E$42)</f>
        <v>#N/A</v>
      </c>
      <c r="I301" s="164" t="e">
        <f>LOOKUP(I$2,'Depreciation Schedules'!$A$3:$A$42,'Depreciation Schedules'!$E$3:$E$42)</f>
        <v>#N/A</v>
      </c>
      <c r="J301" s="164" t="e">
        <f>LOOKUP(J$2,'Depreciation Schedules'!$A$3:$A$42,'Depreciation Schedules'!$E$3:$E$42)</f>
        <v>#N/A</v>
      </c>
      <c r="K301" s="164" t="e">
        <f>LOOKUP(K$2,'Depreciation Schedules'!$A$3:$A$42,'Depreciation Schedules'!$E$3:$E$42)</f>
        <v>#N/A</v>
      </c>
      <c r="L301" s="164" t="e">
        <f>LOOKUP(L$2,'Depreciation Schedules'!$A$3:$A$42,'Depreciation Schedules'!$E$3:$E$42)</f>
        <v>#N/A</v>
      </c>
      <c r="M301" s="164" t="e">
        <f>LOOKUP(M$2,'Depreciation Schedules'!$A$3:$A$42,'Depreciation Schedules'!$E$3:$E$42)</f>
        <v>#N/A</v>
      </c>
      <c r="N301" s="164" t="e">
        <f>LOOKUP(N$2,'Depreciation Schedules'!$A$3:$A$42,'Depreciation Schedules'!$E$3:$E$42)</f>
        <v>#N/A</v>
      </c>
      <c r="O301" s="164" t="e">
        <f>LOOKUP(O$2,'Depreciation Schedules'!$A$3:$A$42,'Depreciation Schedules'!$E$3:$E$42)</f>
        <v>#N/A</v>
      </c>
      <c r="P301" s="164" t="e">
        <f>LOOKUP(P$2,'Depreciation Schedules'!$A$3:$A$42,'Depreciation Schedules'!$E$3:$E$42)</f>
        <v>#N/A</v>
      </c>
      <c r="Q301" s="164" t="e">
        <f>LOOKUP(Q$2,'Depreciation Schedules'!$A$3:$A$42,'Depreciation Schedules'!$E$3:$E$42)</f>
        <v>#N/A</v>
      </c>
      <c r="R301" s="164" t="e">
        <f>LOOKUP(R$2,'Depreciation Schedules'!$A$3:$A$42,'Depreciation Schedules'!$E$3:$E$42)</f>
        <v>#N/A</v>
      </c>
      <c r="S301" s="164" t="e">
        <f>LOOKUP(S$2,'Depreciation Schedules'!$A$3:$A$42,'Depreciation Schedules'!$E$3:$E$42)</f>
        <v>#N/A</v>
      </c>
      <c r="T301" s="164" t="e">
        <f>LOOKUP(T$2,'Depreciation Schedules'!$A$3:$A$42,'Depreciation Schedules'!$E$3:$E$42)</f>
        <v>#N/A</v>
      </c>
      <c r="U301" s="164" t="e">
        <f>LOOKUP(U$2,'Depreciation Schedules'!$A$3:$A$42,'Depreciation Schedules'!$E$3:$E$42)</f>
        <v>#N/A</v>
      </c>
      <c r="V301" s="164" t="e">
        <f>LOOKUP(V$2,'Depreciation Schedules'!$A$3:$A$42,'Depreciation Schedules'!$E$3:$E$42)</f>
        <v>#N/A</v>
      </c>
      <c r="W301" s="164" t="e">
        <f>LOOKUP(W$2,'Depreciation Schedules'!$A$3:$A$42,'Depreciation Schedules'!$E$3:$E$42)</f>
        <v>#N/A</v>
      </c>
      <c r="X301" s="164" t="e">
        <f>LOOKUP(X$2,'Depreciation Schedules'!$A$3:$A$42,'Depreciation Schedules'!$E$3:$E$42)</f>
        <v>#N/A</v>
      </c>
      <c r="Y301" s="164" t="e">
        <f>LOOKUP(Y$2,'Depreciation Schedules'!$A$3:$A$42,'Depreciation Schedules'!$E$3:$E$42)</f>
        <v>#N/A</v>
      </c>
      <c r="Z301" s="164" t="e">
        <f>LOOKUP(Z$2,'Depreciation Schedules'!$A$3:$A$42,'Depreciation Schedules'!$E$3:$E$42)</f>
        <v>#N/A</v>
      </c>
      <c r="AA301" s="164" t="e">
        <f>LOOKUP(AA$2,'Depreciation Schedules'!$A$3:$A$42,'Depreciation Schedules'!$E$3:$E$42)</f>
        <v>#N/A</v>
      </c>
      <c r="AB301" s="164" t="e">
        <f>LOOKUP(AB$2,'Depreciation Schedules'!$A$3:$A$42,'Depreciation Schedules'!$E$3:$E$42)</f>
        <v>#N/A</v>
      </c>
      <c r="AC301" s="164" t="e">
        <f>LOOKUP(AC$2,'Depreciation Schedules'!$A$3:$A$42,'Depreciation Schedules'!$E$3:$E$42)</f>
        <v>#N/A</v>
      </c>
      <c r="AD301" s="164" t="e">
        <f>LOOKUP(AD$2,'Depreciation Schedules'!$A$3:$A$42,'Depreciation Schedules'!$E$3:$E$42)</f>
        <v>#N/A</v>
      </c>
      <c r="AE301" s="164" t="e">
        <f>LOOKUP(AE$2,'Depreciation Schedules'!$A$3:$A$42,'Depreciation Schedules'!$E$3:$E$42)</f>
        <v>#N/A</v>
      </c>
      <c r="AF301" s="164" t="e">
        <f>LOOKUP(AF$2,'Depreciation Schedules'!$A$3:$A$42,'Depreciation Schedules'!$E$3:$E$42)</f>
        <v>#N/A</v>
      </c>
      <c r="AG301" s="164" t="e">
        <f>LOOKUP(AG$2,'Depreciation Schedules'!$A$3:$A$42,'Depreciation Schedules'!$E$3:$E$42)</f>
        <v>#N/A</v>
      </c>
      <c r="AH301" s="164" t="e">
        <f>LOOKUP(AH$2,'Depreciation Schedules'!$A$3:$A$42,'Depreciation Schedules'!$E$3:$E$42)</f>
        <v>#N/A</v>
      </c>
      <c r="AI301" s="164" t="e">
        <f>LOOKUP(AI$2,'Depreciation Schedules'!$A$3:$A$42,'Depreciation Schedules'!$E$3:$E$42)</f>
        <v>#N/A</v>
      </c>
      <c r="AJ301" s="164" t="e">
        <f>LOOKUP(AJ$2,'Depreciation Schedules'!$A$3:$A$42,'Depreciation Schedules'!$E$3:$E$42)</f>
        <v>#N/A</v>
      </c>
      <c r="AK301" s="164" t="e">
        <f>LOOKUP(AK$2,'Depreciation Schedules'!$A$3:$A$42,'Depreciation Schedules'!$E$3:$E$42)</f>
        <v>#N/A</v>
      </c>
      <c r="AL301" s="164" t="e">
        <f>LOOKUP(AL$2,'Depreciation Schedules'!$A$3:$A$42,'Depreciation Schedules'!$E$3:$E$42)</f>
        <v>#N/A</v>
      </c>
      <c r="AM301" s="164" t="e">
        <f>LOOKUP(AM$2,'Depreciation Schedules'!$A$3:$A$42,'Depreciation Schedules'!$E$3:$E$42)</f>
        <v>#N/A</v>
      </c>
      <c r="AN301" s="164" t="e">
        <f>LOOKUP(AN$2,'Depreciation Schedules'!$A$3:$A$42,'Depreciation Schedules'!$E$3:$E$42)</f>
        <v>#N/A</v>
      </c>
      <c r="AO301" s="164" t="e">
        <f>LOOKUP(AO$2,'Depreciation Schedules'!$A$3:$A$42,'Depreciation Schedules'!$E$3:$E$42)</f>
        <v>#N/A</v>
      </c>
      <c r="AP301" s="164" t="e">
        <f>LOOKUP(AP$2,'Depreciation Schedules'!$A$3:$A$42,'Depreciation Schedules'!$E$3:$E$42)</f>
        <v>#N/A</v>
      </c>
    </row>
    <row r="302" spans="1:42" x14ac:dyDescent="0.2">
      <c r="A302" s="22" t="str">
        <f t="shared" si="112"/>
        <v>20-yr SL</v>
      </c>
      <c r="B302" s="163" cm="1">
        <f t="array" ref="B302">SUM(IF(ISNUMBER(C303:AP303),C303:AP303))</f>
        <v>0</v>
      </c>
      <c r="C302" s="164" t="e">
        <f>LOOKUP(C$2,'Depreciation Schedules'!$A$3:$A$42,'Depreciation Schedules'!$F$3:$F$42)</f>
        <v>#N/A</v>
      </c>
      <c r="D302" s="164" t="e">
        <f>LOOKUP(D$2,'Depreciation Schedules'!$A$3:$A$42,'Depreciation Schedules'!$F$3:$F$42)</f>
        <v>#N/A</v>
      </c>
      <c r="E302" s="164" t="e">
        <f>LOOKUP(E$2,'Depreciation Schedules'!$A$3:$A$42,'Depreciation Schedules'!$F$3:$F$42)</f>
        <v>#N/A</v>
      </c>
      <c r="F302" s="164" t="e">
        <f>LOOKUP(F$2,'Depreciation Schedules'!$A$3:$A$42,'Depreciation Schedules'!$F$3:$F$42)</f>
        <v>#N/A</v>
      </c>
      <c r="G302" s="164" t="e">
        <f>LOOKUP(G$2,'Depreciation Schedules'!$A$3:$A$42,'Depreciation Schedules'!$F$3:$F$42)</f>
        <v>#N/A</v>
      </c>
      <c r="H302" s="164" t="e">
        <f>LOOKUP(H$2,'Depreciation Schedules'!$A$3:$A$42,'Depreciation Schedules'!$F$3:$F$42)</f>
        <v>#N/A</v>
      </c>
      <c r="I302" s="164" t="e">
        <f>LOOKUP(I$2,'Depreciation Schedules'!$A$3:$A$42,'Depreciation Schedules'!$F$3:$F$42)</f>
        <v>#N/A</v>
      </c>
      <c r="J302" s="164" t="e">
        <f>LOOKUP(J$2,'Depreciation Schedules'!$A$3:$A$42,'Depreciation Schedules'!$F$3:$F$42)</f>
        <v>#N/A</v>
      </c>
      <c r="K302" s="164" t="e">
        <f>LOOKUP(K$2,'Depreciation Schedules'!$A$3:$A$42,'Depreciation Schedules'!$F$3:$F$42)</f>
        <v>#N/A</v>
      </c>
      <c r="L302" s="164" t="e">
        <f>LOOKUP(L$2,'Depreciation Schedules'!$A$3:$A$42,'Depreciation Schedules'!$F$3:$F$42)</f>
        <v>#N/A</v>
      </c>
      <c r="M302" s="164" t="e">
        <f>LOOKUP(M$2,'Depreciation Schedules'!$A$3:$A$42,'Depreciation Schedules'!$F$3:$F$42)</f>
        <v>#N/A</v>
      </c>
      <c r="N302" s="164" t="e">
        <f>LOOKUP(N$2,'Depreciation Schedules'!$A$3:$A$42,'Depreciation Schedules'!$F$3:$F$42)</f>
        <v>#N/A</v>
      </c>
      <c r="O302" s="164" t="e">
        <f>LOOKUP(O$2,'Depreciation Schedules'!$A$3:$A$42,'Depreciation Schedules'!$F$3:$F$42)</f>
        <v>#N/A</v>
      </c>
      <c r="P302" s="164" t="e">
        <f>LOOKUP(P$2,'Depreciation Schedules'!$A$3:$A$42,'Depreciation Schedules'!$F$3:$F$42)</f>
        <v>#N/A</v>
      </c>
      <c r="Q302" s="164" t="e">
        <f>LOOKUP(Q$2,'Depreciation Schedules'!$A$3:$A$42,'Depreciation Schedules'!$F$3:$F$42)</f>
        <v>#N/A</v>
      </c>
      <c r="R302" s="164" t="e">
        <f>LOOKUP(R$2,'Depreciation Schedules'!$A$3:$A$42,'Depreciation Schedules'!$F$3:$F$42)</f>
        <v>#N/A</v>
      </c>
      <c r="S302" s="164" t="e">
        <f>LOOKUP(S$2,'Depreciation Schedules'!$A$3:$A$42,'Depreciation Schedules'!$F$3:$F$42)</f>
        <v>#N/A</v>
      </c>
      <c r="T302" s="164" t="e">
        <f>LOOKUP(T$2,'Depreciation Schedules'!$A$3:$A$42,'Depreciation Schedules'!$F$3:$F$42)</f>
        <v>#N/A</v>
      </c>
      <c r="U302" s="164" t="e">
        <f>LOOKUP(U$2,'Depreciation Schedules'!$A$3:$A$42,'Depreciation Schedules'!$F$3:$F$42)</f>
        <v>#N/A</v>
      </c>
      <c r="V302" s="164" t="e">
        <f>LOOKUP(V$2,'Depreciation Schedules'!$A$3:$A$42,'Depreciation Schedules'!$F$3:$F$42)</f>
        <v>#N/A</v>
      </c>
      <c r="W302" s="164" t="e">
        <f>LOOKUP(W$2,'Depreciation Schedules'!$A$3:$A$42,'Depreciation Schedules'!$F$3:$F$42)</f>
        <v>#N/A</v>
      </c>
      <c r="X302" s="164" t="e">
        <f>LOOKUP(X$2,'Depreciation Schedules'!$A$3:$A$42,'Depreciation Schedules'!$F$3:$F$42)</f>
        <v>#N/A</v>
      </c>
      <c r="Y302" s="164" t="e">
        <f>LOOKUP(Y$2,'Depreciation Schedules'!$A$3:$A$42,'Depreciation Schedules'!$F$3:$F$42)</f>
        <v>#N/A</v>
      </c>
      <c r="Z302" s="164" t="e">
        <f>LOOKUP(Z$2,'Depreciation Schedules'!$A$3:$A$42,'Depreciation Schedules'!$F$3:$F$42)</f>
        <v>#N/A</v>
      </c>
      <c r="AA302" s="164" t="e">
        <f>LOOKUP(AA$2,'Depreciation Schedules'!$A$3:$A$42,'Depreciation Schedules'!$F$3:$F$42)</f>
        <v>#N/A</v>
      </c>
      <c r="AB302" s="164" t="e">
        <f>LOOKUP(AB$2,'Depreciation Schedules'!$A$3:$A$42,'Depreciation Schedules'!$F$3:$F$42)</f>
        <v>#N/A</v>
      </c>
      <c r="AC302" s="164" t="e">
        <f>LOOKUP(AC$2,'Depreciation Schedules'!$A$3:$A$42,'Depreciation Schedules'!$F$3:$F$42)</f>
        <v>#N/A</v>
      </c>
      <c r="AD302" s="164" t="e">
        <f>LOOKUP(AD$2,'Depreciation Schedules'!$A$3:$A$42,'Depreciation Schedules'!$F$3:$F$42)</f>
        <v>#N/A</v>
      </c>
      <c r="AE302" s="164" t="e">
        <f>LOOKUP(AE$2,'Depreciation Schedules'!$A$3:$A$42,'Depreciation Schedules'!$F$3:$F$42)</f>
        <v>#N/A</v>
      </c>
      <c r="AF302" s="164" t="e">
        <f>LOOKUP(AF$2,'Depreciation Schedules'!$A$3:$A$42,'Depreciation Schedules'!$F$3:$F$42)</f>
        <v>#N/A</v>
      </c>
      <c r="AG302" s="164" t="e">
        <f>LOOKUP(AG$2,'Depreciation Schedules'!$A$3:$A$42,'Depreciation Schedules'!$F$3:$F$42)</f>
        <v>#N/A</v>
      </c>
      <c r="AH302" s="164" t="e">
        <f>LOOKUP(AH$2,'Depreciation Schedules'!$A$3:$A$42,'Depreciation Schedules'!$F$3:$F$42)</f>
        <v>#N/A</v>
      </c>
      <c r="AI302" s="164" t="e">
        <f>LOOKUP(AI$2,'Depreciation Schedules'!$A$3:$A$42,'Depreciation Schedules'!$F$3:$F$42)</f>
        <v>#N/A</v>
      </c>
      <c r="AJ302" s="164" t="e">
        <f>LOOKUP(AJ$2,'Depreciation Schedules'!$A$3:$A$42,'Depreciation Schedules'!$F$3:$F$42)</f>
        <v>#N/A</v>
      </c>
      <c r="AK302" s="164" t="e">
        <f>LOOKUP(AK$2,'Depreciation Schedules'!$A$3:$A$42,'Depreciation Schedules'!$F$3:$F$42)</f>
        <v>#N/A</v>
      </c>
      <c r="AL302" s="164" t="e">
        <f>LOOKUP(AL$2,'Depreciation Schedules'!$A$3:$A$42,'Depreciation Schedules'!$F$3:$F$42)</f>
        <v>#N/A</v>
      </c>
      <c r="AM302" s="164" t="e">
        <f>LOOKUP(AM$2,'Depreciation Schedules'!$A$3:$A$42,'Depreciation Schedules'!$F$3:$F$42)</f>
        <v>#N/A</v>
      </c>
      <c r="AN302" s="164" t="e">
        <f>LOOKUP(AN$2,'Depreciation Schedules'!$A$3:$A$42,'Depreciation Schedules'!$F$3:$F$42)</f>
        <v>#N/A</v>
      </c>
      <c r="AO302" s="164" t="e">
        <f>LOOKUP(AO$2,'Depreciation Schedules'!$A$3:$A$42,'Depreciation Schedules'!$F$3:$F$42)</f>
        <v>#N/A</v>
      </c>
      <c r="AP302" s="164" t="e">
        <f>LOOKUP(AP$2,'Depreciation Schedules'!$A$3:$A$42,'Depreciation Schedules'!$F$3:$F$42)</f>
        <v>#N/A</v>
      </c>
    </row>
    <row r="303" spans="1:42" x14ac:dyDescent="0.2">
      <c r="A303" s="22" t="str">
        <f t="shared" si="112"/>
        <v>39-yr SL</v>
      </c>
      <c r="B303" s="167" cm="1">
        <f t="array" ref="B303">SUM(IF(ISNUMBER(C304:AP304),C304:AP304))</f>
        <v>0</v>
      </c>
      <c r="C303" s="164" t="e">
        <f>LOOKUP(C$2,'Depreciation Schedules'!$A$3:$A$42,'Depreciation Schedules'!$G$3:$G$42)</f>
        <v>#N/A</v>
      </c>
      <c r="D303" s="164" t="e">
        <f>LOOKUP(D$2,'Depreciation Schedules'!$A$3:$A$42,'Depreciation Schedules'!$G$3:$G$42)</f>
        <v>#N/A</v>
      </c>
      <c r="E303" s="164" t="e">
        <f>LOOKUP(E$2,'Depreciation Schedules'!$A$3:$A$42,'Depreciation Schedules'!$G$3:$G$42)</f>
        <v>#N/A</v>
      </c>
      <c r="F303" s="164" t="e">
        <f>LOOKUP(F$2,'Depreciation Schedules'!$A$3:$A$42,'Depreciation Schedules'!$G$3:$G$42)</f>
        <v>#N/A</v>
      </c>
      <c r="G303" s="164" t="e">
        <f>LOOKUP(G$2,'Depreciation Schedules'!$A$3:$A$42,'Depreciation Schedules'!$G$3:$G$42)</f>
        <v>#N/A</v>
      </c>
      <c r="H303" s="164" t="e">
        <f>LOOKUP(H$2,'Depreciation Schedules'!$A$3:$A$42,'Depreciation Schedules'!$G$3:$G$42)</f>
        <v>#N/A</v>
      </c>
      <c r="I303" s="164" t="e">
        <f>LOOKUP(I$2,'Depreciation Schedules'!$A$3:$A$42,'Depreciation Schedules'!$G$3:$G$42)</f>
        <v>#N/A</v>
      </c>
      <c r="J303" s="164" t="e">
        <f>LOOKUP(J$2,'Depreciation Schedules'!$A$3:$A$42,'Depreciation Schedules'!$G$3:$G$42)</f>
        <v>#N/A</v>
      </c>
      <c r="K303" s="164" t="e">
        <f>LOOKUP(K$2,'Depreciation Schedules'!$A$3:$A$42,'Depreciation Schedules'!$G$3:$G$42)</f>
        <v>#N/A</v>
      </c>
      <c r="L303" s="164" t="e">
        <f>LOOKUP(L$2,'Depreciation Schedules'!$A$3:$A$42,'Depreciation Schedules'!$G$3:$G$42)</f>
        <v>#N/A</v>
      </c>
      <c r="M303" s="164" t="e">
        <f>LOOKUP(M$2,'Depreciation Schedules'!$A$3:$A$42,'Depreciation Schedules'!$G$3:$G$42)</f>
        <v>#N/A</v>
      </c>
      <c r="N303" s="164" t="e">
        <f>LOOKUP(N$2,'Depreciation Schedules'!$A$3:$A$42,'Depreciation Schedules'!$G$3:$G$42)</f>
        <v>#N/A</v>
      </c>
      <c r="O303" s="164" t="e">
        <f>LOOKUP(O$2,'Depreciation Schedules'!$A$3:$A$42,'Depreciation Schedules'!$G$3:$G$42)</f>
        <v>#N/A</v>
      </c>
      <c r="P303" s="164" t="e">
        <f>LOOKUP(P$2,'Depreciation Schedules'!$A$3:$A$42,'Depreciation Schedules'!$G$3:$G$42)</f>
        <v>#N/A</v>
      </c>
      <c r="Q303" s="164" t="e">
        <f>LOOKUP(Q$2,'Depreciation Schedules'!$A$3:$A$42,'Depreciation Schedules'!$G$3:$G$42)</f>
        <v>#N/A</v>
      </c>
      <c r="R303" s="164" t="e">
        <f>LOOKUP(R$2,'Depreciation Schedules'!$A$3:$A$42,'Depreciation Schedules'!$G$3:$G$42)</f>
        <v>#N/A</v>
      </c>
      <c r="S303" s="164" t="e">
        <f>LOOKUP(S$2,'Depreciation Schedules'!$A$3:$A$42,'Depreciation Schedules'!$G$3:$G$42)</f>
        <v>#N/A</v>
      </c>
      <c r="T303" s="164" t="e">
        <f>LOOKUP(T$2,'Depreciation Schedules'!$A$3:$A$42,'Depreciation Schedules'!$G$3:$G$42)</f>
        <v>#N/A</v>
      </c>
      <c r="U303" s="164" t="e">
        <f>LOOKUP(U$2,'Depreciation Schedules'!$A$3:$A$42,'Depreciation Schedules'!$G$3:$G$42)</f>
        <v>#N/A</v>
      </c>
      <c r="V303" s="164" t="e">
        <f>LOOKUP(V$2,'Depreciation Schedules'!$A$3:$A$42,'Depreciation Schedules'!$G$3:$G$42)</f>
        <v>#N/A</v>
      </c>
      <c r="W303" s="164" t="e">
        <f>LOOKUP(W$2,'Depreciation Schedules'!$A$3:$A$42,'Depreciation Schedules'!$G$3:$G$42)</f>
        <v>#N/A</v>
      </c>
      <c r="X303" s="164" t="e">
        <f>LOOKUP(X$2,'Depreciation Schedules'!$A$3:$A$42,'Depreciation Schedules'!$G$3:$G$42)</f>
        <v>#N/A</v>
      </c>
      <c r="Y303" s="164" t="e">
        <f>LOOKUP(Y$2,'Depreciation Schedules'!$A$3:$A$42,'Depreciation Schedules'!$G$3:$G$42)</f>
        <v>#N/A</v>
      </c>
      <c r="Z303" s="164" t="e">
        <f>LOOKUP(Z$2,'Depreciation Schedules'!$A$3:$A$42,'Depreciation Schedules'!$G$3:$G$42)</f>
        <v>#N/A</v>
      </c>
      <c r="AA303" s="164" t="e">
        <f>LOOKUP(AA$2,'Depreciation Schedules'!$A$3:$A$42,'Depreciation Schedules'!$G$3:$G$42)</f>
        <v>#N/A</v>
      </c>
      <c r="AB303" s="164" t="e">
        <f>LOOKUP(AB$2,'Depreciation Schedules'!$A$3:$A$42,'Depreciation Schedules'!$G$3:$G$42)</f>
        <v>#N/A</v>
      </c>
      <c r="AC303" s="164" t="e">
        <f>LOOKUP(AC$2,'Depreciation Schedules'!$A$3:$A$42,'Depreciation Schedules'!$G$3:$G$42)</f>
        <v>#N/A</v>
      </c>
      <c r="AD303" s="164" t="e">
        <f>LOOKUP(AD$2,'Depreciation Schedules'!$A$3:$A$42,'Depreciation Schedules'!$G$3:$G$42)</f>
        <v>#N/A</v>
      </c>
      <c r="AE303" s="164" t="e">
        <f>LOOKUP(AE$2,'Depreciation Schedules'!$A$3:$A$42,'Depreciation Schedules'!$G$3:$G$42)</f>
        <v>#N/A</v>
      </c>
      <c r="AF303" s="164" t="e">
        <f>LOOKUP(AF$2,'Depreciation Schedules'!$A$3:$A$42,'Depreciation Schedules'!$G$3:$G$42)</f>
        <v>#N/A</v>
      </c>
      <c r="AG303" s="164" t="e">
        <f>LOOKUP(AG$2,'Depreciation Schedules'!$A$3:$A$42,'Depreciation Schedules'!$G$3:$G$42)</f>
        <v>#N/A</v>
      </c>
      <c r="AH303" s="164" t="e">
        <f>LOOKUP(AH$2,'Depreciation Schedules'!$A$3:$A$42,'Depreciation Schedules'!$G$3:$G$42)</f>
        <v>#N/A</v>
      </c>
      <c r="AI303" s="164" t="e">
        <f>LOOKUP(AI$2,'Depreciation Schedules'!$A$3:$A$42,'Depreciation Schedules'!$G$3:$G$42)</f>
        <v>#N/A</v>
      </c>
      <c r="AJ303" s="164" t="e">
        <f>LOOKUP(AJ$2,'Depreciation Schedules'!$A$3:$A$42,'Depreciation Schedules'!$G$3:$G$42)</f>
        <v>#N/A</v>
      </c>
      <c r="AK303" s="164" t="e">
        <f>LOOKUP(AK$2,'Depreciation Schedules'!$A$3:$A$42,'Depreciation Schedules'!$G$3:$G$42)</f>
        <v>#N/A</v>
      </c>
      <c r="AL303" s="164" t="e">
        <f>LOOKUP(AL$2,'Depreciation Schedules'!$A$3:$A$42,'Depreciation Schedules'!$G$3:$G$42)</f>
        <v>#N/A</v>
      </c>
      <c r="AM303" s="164" t="e">
        <f>LOOKUP(AM$2,'Depreciation Schedules'!$A$3:$A$42,'Depreciation Schedules'!$G$3:$G$42)</f>
        <v>#N/A</v>
      </c>
      <c r="AN303" s="164" t="e">
        <f>LOOKUP(AN$2,'Depreciation Schedules'!$A$3:$A$42,'Depreciation Schedules'!$G$3:$G$42)</f>
        <v>#N/A</v>
      </c>
      <c r="AO303" s="164" t="e">
        <f>LOOKUP(AO$2,'Depreciation Schedules'!$A$3:$A$42,'Depreciation Schedules'!$G$3:$G$42)</f>
        <v>#N/A</v>
      </c>
      <c r="AP303" s="164" t="e">
        <f>LOOKUP(AP$2,'Depreciation Schedules'!$A$3:$A$42,'Depreciation Schedules'!$G$3:$G$42)</f>
        <v>#N/A</v>
      </c>
    </row>
    <row r="304" spans="1:42" x14ac:dyDescent="0.2">
      <c r="A304" s="22" t="s">
        <v>354</v>
      </c>
      <c r="B304" s="167" cm="1">
        <f t="array" ref="B304">SUM(IF(ISNUMBER(C305:AP305),C305:AP305))</f>
        <v>0</v>
      </c>
      <c r="C304" s="164">
        <f t="array" ref="C304:AP304">Inputs!D208:AQ208</f>
        <v>0</v>
      </c>
      <c r="D304" s="164">
        <v>0</v>
      </c>
      <c r="E304" s="164">
        <v>0</v>
      </c>
      <c r="F304" s="164">
        <v>0</v>
      </c>
      <c r="G304" s="164">
        <v>0</v>
      </c>
      <c r="H304" s="164">
        <v>0</v>
      </c>
      <c r="I304" s="164">
        <v>0</v>
      </c>
      <c r="J304" s="164">
        <v>0</v>
      </c>
      <c r="K304" s="164">
        <v>0</v>
      </c>
      <c r="L304" s="164">
        <v>0</v>
      </c>
      <c r="M304" s="164">
        <v>0</v>
      </c>
      <c r="N304" s="164">
        <v>0</v>
      </c>
      <c r="O304" s="164">
        <v>0</v>
      </c>
      <c r="P304" s="164">
        <v>0</v>
      </c>
      <c r="Q304" s="164">
        <v>0</v>
      </c>
      <c r="R304" s="164">
        <v>0</v>
      </c>
      <c r="S304" s="164">
        <v>0</v>
      </c>
      <c r="T304" s="164">
        <v>0</v>
      </c>
      <c r="U304" s="164">
        <v>0</v>
      </c>
      <c r="V304" s="164">
        <v>0</v>
      </c>
      <c r="W304" s="164">
        <v>0</v>
      </c>
      <c r="X304" s="164">
        <v>0</v>
      </c>
      <c r="Y304" s="164">
        <v>0</v>
      </c>
      <c r="Z304" s="164">
        <v>0</v>
      </c>
      <c r="AA304" s="164">
        <v>0</v>
      </c>
      <c r="AB304" s="164">
        <v>0</v>
      </c>
      <c r="AC304" s="164">
        <v>0</v>
      </c>
      <c r="AD304" s="164">
        <v>0</v>
      </c>
      <c r="AE304" s="164">
        <v>0</v>
      </c>
      <c r="AF304" s="164">
        <v>0</v>
      </c>
      <c r="AG304" s="164">
        <v>0</v>
      </c>
      <c r="AH304" s="164">
        <v>0</v>
      </c>
      <c r="AI304" s="164">
        <v>0</v>
      </c>
      <c r="AJ304" s="164">
        <v>0</v>
      </c>
      <c r="AK304" s="164">
        <v>0</v>
      </c>
      <c r="AL304" s="164">
        <v>0</v>
      </c>
      <c r="AM304" s="164">
        <v>0</v>
      </c>
      <c r="AN304" s="164">
        <v>0</v>
      </c>
      <c r="AO304" s="164">
        <v>0</v>
      </c>
      <c r="AP304" s="164">
        <v>0</v>
      </c>
    </row>
    <row r="305" spans="1:42" x14ac:dyDescent="0.2">
      <c r="A305" s="21" t="s">
        <v>3</v>
      </c>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row>
    <row r="306" spans="1:42" x14ac:dyDescent="0.2">
      <c r="A306" s="22" t="str">
        <f t="shared" ref="A306:A311" si="113">A298</f>
        <v>5-yr MACRS</v>
      </c>
      <c r="B306" s="163" cm="1">
        <f t="array" ref="B306">SUM(IF(ISNUMBER(C307:AP307),C307:AP307))</f>
        <v>0</v>
      </c>
      <c r="C306" s="119" t="e">
        <f t="shared" ref="C306:AP306" si="114">C298/100*$Q263</f>
        <v>#N/A</v>
      </c>
      <c r="D306" s="119" t="e">
        <f t="shared" si="114"/>
        <v>#N/A</v>
      </c>
      <c r="E306" s="119" t="e">
        <f t="shared" si="114"/>
        <v>#N/A</v>
      </c>
      <c r="F306" s="119" t="e">
        <f t="shared" si="114"/>
        <v>#N/A</v>
      </c>
      <c r="G306" s="119" t="e">
        <f t="shared" si="114"/>
        <v>#N/A</v>
      </c>
      <c r="H306" s="119" t="e">
        <f t="shared" si="114"/>
        <v>#N/A</v>
      </c>
      <c r="I306" s="119" t="e">
        <f t="shared" si="114"/>
        <v>#N/A</v>
      </c>
      <c r="J306" s="119" t="e">
        <f t="shared" si="114"/>
        <v>#N/A</v>
      </c>
      <c r="K306" s="119" t="e">
        <f t="shared" si="114"/>
        <v>#N/A</v>
      </c>
      <c r="L306" s="119" t="e">
        <f t="shared" si="114"/>
        <v>#N/A</v>
      </c>
      <c r="M306" s="119" t="e">
        <f t="shared" si="114"/>
        <v>#N/A</v>
      </c>
      <c r="N306" s="119" t="e">
        <f t="shared" si="114"/>
        <v>#N/A</v>
      </c>
      <c r="O306" s="119" t="e">
        <f t="shared" si="114"/>
        <v>#N/A</v>
      </c>
      <c r="P306" s="119" t="e">
        <f t="shared" si="114"/>
        <v>#N/A</v>
      </c>
      <c r="Q306" s="119" t="e">
        <f t="shared" si="114"/>
        <v>#N/A</v>
      </c>
      <c r="R306" s="119" t="e">
        <f t="shared" si="114"/>
        <v>#N/A</v>
      </c>
      <c r="S306" s="119" t="e">
        <f t="shared" si="114"/>
        <v>#N/A</v>
      </c>
      <c r="T306" s="119" t="e">
        <f t="shared" si="114"/>
        <v>#N/A</v>
      </c>
      <c r="U306" s="119" t="e">
        <f t="shared" si="114"/>
        <v>#N/A</v>
      </c>
      <c r="V306" s="119" t="e">
        <f t="shared" si="114"/>
        <v>#N/A</v>
      </c>
      <c r="W306" s="119" t="e">
        <f t="shared" si="114"/>
        <v>#N/A</v>
      </c>
      <c r="X306" s="119" t="e">
        <f t="shared" si="114"/>
        <v>#N/A</v>
      </c>
      <c r="Y306" s="119" t="e">
        <f t="shared" si="114"/>
        <v>#N/A</v>
      </c>
      <c r="Z306" s="119" t="e">
        <f t="shared" si="114"/>
        <v>#N/A</v>
      </c>
      <c r="AA306" s="119" t="e">
        <f t="shared" si="114"/>
        <v>#N/A</v>
      </c>
      <c r="AB306" s="119" t="e">
        <f t="shared" si="114"/>
        <v>#N/A</v>
      </c>
      <c r="AC306" s="119" t="e">
        <f t="shared" si="114"/>
        <v>#N/A</v>
      </c>
      <c r="AD306" s="119" t="e">
        <f t="shared" si="114"/>
        <v>#N/A</v>
      </c>
      <c r="AE306" s="119" t="e">
        <f t="shared" si="114"/>
        <v>#N/A</v>
      </c>
      <c r="AF306" s="119" t="e">
        <f t="shared" si="114"/>
        <v>#N/A</v>
      </c>
      <c r="AG306" s="119" t="e">
        <f t="shared" si="114"/>
        <v>#N/A</v>
      </c>
      <c r="AH306" s="119" t="e">
        <f t="shared" si="114"/>
        <v>#N/A</v>
      </c>
      <c r="AI306" s="119" t="e">
        <f t="shared" si="114"/>
        <v>#N/A</v>
      </c>
      <c r="AJ306" s="119" t="e">
        <f t="shared" si="114"/>
        <v>#N/A</v>
      </c>
      <c r="AK306" s="119" t="e">
        <f t="shared" si="114"/>
        <v>#N/A</v>
      </c>
      <c r="AL306" s="119" t="e">
        <f t="shared" si="114"/>
        <v>#N/A</v>
      </c>
      <c r="AM306" s="119" t="e">
        <f t="shared" si="114"/>
        <v>#N/A</v>
      </c>
      <c r="AN306" s="119" t="e">
        <f t="shared" si="114"/>
        <v>#N/A</v>
      </c>
      <c r="AO306" s="119" t="e">
        <f t="shared" si="114"/>
        <v>#N/A</v>
      </c>
      <c r="AP306" s="119" t="e">
        <f t="shared" si="114"/>
        <v>#N/A</v>
      </c>
    </row>
    <row r="307" spans="1:42" x14ac:dyDescent="0.2">
      <c r="A307" s="22" t="str">
        <f t="shared" si="113"/>
        <v>15-yr MACRS</v>
      </c>
      <c r="B307" s="163" cm="1">
        <f t="array" ref="B307">SUM(IF(ISNUMBER(C308:AP308),C308:AP308))</f>
        <v>0</v>
      </c>
      <c r="C307" s="119" t="e">
        <f t="shared" ref="C307:AP307" si="115">C299/100*$Q264</f>
        <v>#N/A</v>
      </c>
      <c r="D307" s="119" t="e">
        <f t="shared" si="115"/>
        <v>#N/A</v>
      </c>
      <c r="E307" s="119" t="e">
        <f t="shared" si="115"/>
        <v>#N/A</v>
      </c>
      <c r="F307" s="119" t="e">
        <f t="shared" si="115"/>
        <v>#N/A</v>
      </c>
      <c r="G307" s="119" t="e">
        <f t="shared" si="115"/>
        <v>#N/A</v>
      </c>
      <c r="H307" s="119" t="e">
        <f t="shared" si="115"/>
        <v>#N/A</v>
      </c>
      <c r="I307" s="119" t="e">
        <f t="shared" si="115"/>
        <v>#N/A</v>
      </c>
      <c r="J307" s="119" t="e">
        <f t="shared" si="115"/>
        <v>#N/A</v>
      </c>
      <c r="K307" s="119" t="e">
        <f t="shared" si="115"/>
        <v>#N/A</v>
      </c>
      <c r="L307" s="119" t="e">
        <f t="shared" si="115"/>
        <v>#N/A</v>
      </c>
      <c r="M307" s="119" t="e">
        <f t="shared" si="115"/>
        <v>#N/A</v>
      </c>
      <c r="N307" s="119" t="e">
        <f t="shared" si="115"/>
        <v>#N/A</v>
      </c>
      <c r="O307" s="119" t="e">
        <f t="shared" si="115"/>
        <v>#N/A</v>
      </c>
      <c r="P307" s="119" t="e">
        <f t="shared" si="115"/>
        <v>#N/A</v>
      </c>
      <c r="Q307" s="119" t="e">
        <f t="shared" si="115"/>
        <v>#N/A</v>
      </c>
      <c r="R307" s="119" t="e">
        <f t="shared" si="115"/>
        <v>#N/A</v>
      </c>
      <c r="S307" s="119" t="e">
        <f t="shared" si="115"/>
        <v>#N/A</v>
      </c>
      <c r="T307" s="119" t="e">
        <f t="shared" si="115"/>
        <v>#N/A</v>
      </c>
      <c r="U307" s="119" t="e">
        <f t="shared" si="115"/>
        <v>#N/A</v>
      </c>
      <c r="V307" s="119" t="e">
        <f t="shared" si="115"/>
        <v>#N/A</v>
      </c>
      <c r="W307" s="119" t="e">
        <f t="shared" si="115"/>
        <v>#N/A</v>
      </c>
      <c r="X307" s="119" t="e">
        <f t="shared" si="115"/>
        <v>#N/A</v>
      </c>
      <c r="Y307" s="119" t="e">
        <f t="shared" si="115"/>
        <v>#N/A</v>
      </c>
      <c r="Z307" s="119" t="e">
        <f t="shared" si="115"/>
        <v>#N/A</v>
      </c>
      <c r="AA307" s="119" t="e">
        <f t="shared" si="115"/>
        <v>#N/A</v>
      </c>
      <c r="AB307" s="119" t="e">
        <f t="shared" si="115"/>
        <v>#N/A</v>
      </c>
      <c r="AC307" s="119" t="e">
        <f t="shared" si="115"/>
        <v>#N/A</v>
      </c>
      <c r="AD307" s="119" t="e">
        <f t="shared" si="115"/>
        <v>#N/A</v>
      </c>
      <c r="AE307" s="119" t="e">
        <f t="shared" si="115"/>
        <v>#N/A</v>
      </c>
      <c r="AF307" s="119" t="e">
        <f t="shared" si="115"/>
        <v>#N/A</v>
      </c>
      <c r="AG307" s="119" t="e">
        <f t="shared" si="115"/>
        <v>#N/A</v>
      </c>
      <c r="AH307" s="119" t="e">
        <f t="shared" si="115"/>
        <v>#N/A</v>
      </c>
      <c r="AI307" s="119" t="e">
        <f t="shared" si="115"/>
        <v>#N/A</v>
      </c>
      <c r="AJ307" s="119" t="e">
        <f t="shared" si="115"/>
        <v>#N/A</v>
      </c>
      <c r="AK307" s="119" t="e">
        <f t="shared" si="115"/>
        <v>#N/A</v>
      </c>
      <c r="AL307" s="119" t="e">
        <f t="shared" si="115"/>
        <v>#N/A</v>
      </c>
      <c r="AM307" s="119" t="e">
        <f t="shared" si="115"/>
        <v>#N/A</v>
      </c>
      <c r="AN307" s="119" t="e">
        <f t="shared" si="115"/>
        <v>#N/A</v>
      </c>
      <c r="AO307" s="119" t="e">
        <f t="shared" si="115"/>
        <v>#N/A</v>
      </c>
      <c r="AP307" s="119" t="e">
        <f t="shared" si="115"/>
        <v>#N/A</v>
      </c>
    </row>
    <row r="308" spans="1:42" x14ac:dyDescent="0.2">
      <c r="A308" s="22" t="str">
        <f t="shared" si="113"/>
        <v>5-yr SL</v>
      </c>
      <c r="B308" s="163" cm="1">
        <f t="array" ref="B308">SUM(IF(ISNUMBER(C309:AP309),C309:AP309))</f>
        <v>0</v>
      </c>
      <c r="C308" s="119" t="e">
        <f t="shared" ref="C308:AP308" si="116">C300/100*$Q265</f>
        <v>#N/A</v>
      </c>
      <c r="D308" s="119" t="e">
        <f t="shared" si="116"/>
        <v>#N/A</v>
      </c>
      <c r="E308" s="119" t="e">
        <f t="shared" si="116"/>
        <v>#N/A</v>
      </c>
      <c r="F308" s="119" t="e">
        <f t="shared" si="116"/>
        <v>#N/A</v>
      </c>
      <c r="G308" s="119" t="e">
        <f t="shared" si="116"/>
        <v>#N/A</v>
      </c>
      <c r="H308" s="119" t="e">
        <f t="shared" si="116"/>
        <v>#N/A</v>
      </c>
      <c r="I308" s="119" t="e">
        <f t="shared" si="116"/>
        <v>#N/A</v>
      </c>
      <c r="J308" s="119" t="e">
        <f t="shared" si="116"/>
        <v>#N/A</v>
      </c>
      <c r="K308" s="119" t="e">
        <f t="shared" si="116"/>
        <v>#N/A</v>
      </c>
      <c r="L308" s="119" t="e">
        <f t="shared" si="116"/>
        <v>#N/A</v>
      </c>
      <c r="M308" s="119" t="e">
        <f t="shared" si="116"/>
        <v>#N/A</v>
      </c>
      <c r="N308" s="119" t="e">
        <f t="shared" si="116"/>
        <v>#N/A</v>
      </c>
      <c r="O308" s="119" t="e">
        <f t="shared" si="116"/>
        <v>#N/A</v>
      </c>
      <c r="P308" s="119" t="e">
        <f t="shared" si="116"/>
        <v>#N/A</v>
      </c>
      <c r="Q308" s="119" t="e">
        <f t="shared" si="116"/>
        <v>#N/A</v>
      </c>
      <c r="R308" s="119" t="e">
        <f t="shared" si="116"/>
        <v>#N/A</v>
      </c>
      <c r="S308" s="119" t="e">
        <f t="shared" si="116"/>
        <v>#N/A</v>
      </c>
      <c r="T308" s="119" t="e">
        <f t="shared" si="116"/>
        <v>#N/A</v>
      </c>
      <c r="U308" s="119" t="e">
        <f t="shared" si="116"/>
        <v>#N/A</v>
      </c>
      <c r="V308" s="119" t="e">
        <f t="shared" si="116"/>
        <v>#N/A</v>
      </c>
      <c r="W308" s="119" t="e">
        <f t="shared" si="116"/>
        <v>#N/A</v>
      </c>
      <c r="X308" s="119" t="e">
        <f t="shared" si="116"/>
        <v>#N/A</v>
      </c>
      <c r="Y308" s="119" t="e">
        <f t="shared" si="116"/>
        <v>#N/A</v>
      </c>
      <c r="Z308" s="119" t="e">
        <f t="shared" si="116"/>
        <v>#N/A</v>
      </c>
      <c r="AA308" s="119" t="e">
        <f t="shared" si="116"/>
        <v>#N/A</v>
      </c>
      <c r="AB308" s="119" t="e">
        <f t="shared" si="116"/>
        <v>#N/A</v>
      </c>
      <c r="AC308" s="119" t="e">
        <f t="shared" si="116"/>
        <v>#N/A</v>
      </c>
      <c r="AD308" s="119" t="e">
        <f t="shared" si="116"/>
        <v>#N/A</v>
      </c>
      <c r="AE308" s="119" t="e">
        <f t="shared" si="116"/>
        <v>#N/A</v>
      </c>
      <c r="AF308" s="119" t="e">
        <f t="shared" si="116"/>
        <v>#N/A</v>
      </c>
      <c r="AG308" s="119" t="e">
        <f t="shared" si="116"/>
        <v>#N/A</v>
      </c>
      <c r="AH308" s="119" t="e">
        <f t="shared" si="116"/>
        <v>#N/A</v>
      </c>
      <c r="AI308" s="119" t="e">
        <f t="shared" si="116"/>
        <v>#N/A</v>
      </c>
      <c r="AJ308" s="119" t="e">
        <f t="shared" si="116"/>
        <v>#N/A</v>
      </c>
      <c r="AK308" s="119" t="e">
        <f t="shared" si="116"/>
        <v>#N/A</v>
      </c>
      <c r="AL308" s="119" t="e">
        <f t="shared" si="116"/>
        <v>#N/A</v>
      </c>
      <c r="AM308" s="119" t="e">
        <f t="shared" si="116"/>
        <v>#N/A</v>
      </c>
      <c r="AN308" s="119" t="e">
        <f t="shared" si="116"/>
        <v>#N/A</v>
      </c>
      <c r="AO308" s="119" t="e">
        <f t="shared" si="116"/>
        <v>#N/A</v>
      </c>
      <c r="AP308" s="119" t="e">
        <f t="shared" si="116"/>
        <v>#N/A</v>
      </c>
    </row>
    <row r="309" spans="1:42" x14ac:dyDescent="0.2">
      <c r="A309" s="22" t="str">
        <f t="shared" si="113"/>
        <v>15-yr SL</v>
      </c>
      <c r="B309" s="163" cm="1">
        <f t="array" ref="B309">SUM(IF(ISNUMBER(C310:AP310),C310:AP310))</f>
        <v>0</v>
      </c>
      <c r="C309" s="119" t="e">
        <f t="shared" ref="C309:AP309" si="117">C301/100*$Q266</f>
        <v>#N/A</v>
      </c>
      <c r="D309" s="119" t="e">
        <f t="shared" si="117"/>
        <v>#N/A</v>
      </c>
      <c r="E309" s="119" t="e">
        <f t="shared" si="117"/>
        <v>#N/A</v>
      </c>
      <c r="F309" s="119" t="e">
        <f t="shared" si="117"/>
        <v>#N/A</v>
      </c>
      <c r="G309" s="119" t="e">
        <f t="shared" si="117"/>
        <v>#N/A</v>
      </c>
      <c r="H309" s="119" t="e">
        <f t="shared" si="117"/>
        <v>#N/A</v>
      </c>
      <c r="I309" s="119" t="e">
        <f t="shared" si="117"/>
        <v>#N/A</v>
      </c>
      <c r="J309" s="119" t="e">
        <f t="shared" si="117"/>
        <v>#N/A</v>
      </c>
      <c r="K309" s="119" t="e">
        <f t="shared" si="117"/>
        <v>#N/A</v>
      </c>
      <c r="L309" s="119" t="e">
        <f t="shared" si="117"/>
        <v>#N/A</v>
      </c>
      <c r="M309" s="119" t="e">
        <f t="shared" si="117"/>
        <v>#N/A</v>
      </c>
      <c r="N309" s="119" t="e">
        <f t="shared" si="117"/>
        <v>#N/A</v>
      </c>
      <c r="O309" s="119" t="e">
        <f t="shared" si="117"/>
        <v>#N/A</v>
      </c>
      <c r="P309" s="119" t="e">
        <f t="shared" si="117"/>
        <v>#N/A</v>
      </c>
      <c r="Q309" s="119" t="e">
        <f t="shared" si="117"/>
        <v>#N/A</v>
      </c>
      <c r="R309" s="119" t="e">
        <f t="shared" si="117"/>
        <v>#N/A</v>
      </c>
      <c r="S309" s="119" t="e">
        <f t="shared" si="117"/>
        <v>#N/A</v>
      </c>
      <c r="T309" s="119" t="e">
        <f t="shared" si="117"/>
        <v>#N/A</v>
      </c>
      <c r="U309" s="119" t="e">
        <f t="shared" si="117"/>
        <v>#N/A</v>
      </c>
      <c r="V309" s="119" t="e">
        <f t="shared" si="117"/>
        <v>#N/A</v>
      </c>
      <c r="W309" s="119" t="e">
        <f t="shared" si="117"/>
        <v>#N/A</v>
      </c>
      <c r="X309" s="119" t="e">
        <f t="shared" si="117"/>
        <v>#N/A</v>
      </c>
      <c r="Y309" s="119" t="e">
        <f t="shared" si="117"/>
        <v>#N/A</v>
      </c>
      <c r="Z309" s="119" t="e">
        <f t="shared" si="117"/>
        <v>#N/A</v>
      </c>
      <c r="AA309" s="119" t="e">
        <f t="shared" si="117"/>
        <v>#N/A</v>
      </c>
      <c r="AB309" s="119" t="e">
        <f t="shared" si="117"/>
        <v>#N/A</v>
      </c>
      <c r="AC309" s="119" t="e">
        <f t="shared" si="117"/>
        <v>#N/A</v>
      </c>
      <c r="AD309" s="119" t="e">
        <f t="shared" si="117"/>
        <v>#N/A</v>
      </c>
      <c r="AE309" s="119" t="e">
        <f t="shared" si="117"/>
        <v>#N/A</v>
      </c>
      <c r="AF309" s="119" t="e">
        <f t="shared" si="117"/>
        <v>#N/A</v>
      </c>
      <c r="AG309" s="119" t="e">
        <f t="shared" si="117"/>
        <v>#N/A</v>
      </c>
      <c r="AH309" s="119" t="e">
        <f t="shared" si="117"/>
        <v>#N/A</v>
      </c>
      <c r="AI309" s="119" t="e">
        <f t="shared" si="117"/>
        <v>#N/A</v>
      </c>
      <c r="AJ309" s="119" t="e">
        <f t="shared" si="117"/>
        <v>#N/A</v>
      </c>
      <c r="AK309" s="119" t="e">
        <f t="shared" si="117"/>
        <v>#N/A</v>
      </c>
      <c r="AL309" s="119" t="e">
        <f t="shared" si="117"/>
        <v>#N/A</v>
      </c>
      <c r="AM309" s="119" t="e">
        <f t="shared" si="117"/>
        <v>#N/A</v>
      </c>
      <c r="AN309" s="119" t="e">
        <f t="shared" si="117"/>
        <v>#N/A</v>
      </c>
      <c r="AO309" s="119" t="e">
        <f t="shared" si="117"/>
        <v>#N/A</v>
      </c>
      <c r="AP309" s="119" t="e">
        <f t="shared" si="117"/>
        <v>#N/A</v>
      </c>
    </row>
    <row r="310" spans="1:42" x14ac:dyDescent="0.2">
      <c r="A310" s="22" t="str">
        <f t="shared" si="113"/>
        <v>20-yr SL</v>
      </c>
      <c r="B310" s="163" cm="1">
        <f t="array" ref="B310">SUM(IF(ISNUMBER(C311:AP311),C311:AP311))</f>
        <v>0</v>
      </c>
      <c r="C310" s="119" t="e">
        <f t="shared" ref="C310:AP310" si="118">C302/100*$Q267</f>
        <v>#N/A</v>
      </c>
      <c r="D310" s="119" t="e">
        <f t="shared" si="118"/>
        <v>#N/A</v>
      </c>
      <c r="E310" s="119" t="e">
        <f t="shared" si="118"/>
        <v>#N/A</v>
      </c>
      <c r="F310" s="119" t="e">
        <f t="shared" si="118"/>
        <v>#N/A</v>
      </c>
      <c r="G310" s="119" t="e">
        <f t="shared" si="118"/>
        <v>#N/A</v>
      </c>
      <c r="H310" s="119" t="e">
        <f t="shared" si="118"/>
        <v>#N/A</v>
      </c>
      <c r="I310" s="119" t="e">
        <f t="shared" si="118"/>
        <v>#N/A</v>
      </c>
      <c r="J310" s="119" t="e">
        <f t="shared" si="118"/>
        <v>#N/A</v>
      </c>
      <c r="K310" s="119" t="e">
        <f t="shared" si="118"/>
        <v>#N/A</v>
      </c>
      <c r="L310" s="119" t="e">
        <f t="shared" si="118"/>
        <v>#N/A</v>
      </c>
      <c r="M310" s="119" t="e">
        <f t="shared" si="118"/>
        <v>#N/A</v>
      </c>
      <c r="N310" s="119" t="e">
        <f t="shared" si="118"/>
        <v>#N/A</v>
      </c>
      <c r="O310" s="119" t="e">
        <f t="shared" si="118"/>
        <v>#N/A</v>
      </c>
      <c r="P310" s="119" t="e">
        <f t="shared" si="118"/>
        <v>#N/A</v>
      </c>
      <c r="Q310" s="119" t="e">
        <f t="shared" si="118"/>
        <v>#N/A</v>
      </c>
      <c r="R310" s="119" t="e">
        <f t="shared" si="118"/>
        <v>#N/A</v>
      </c>
      <c r="S310" s="119" t="e">
        <f t="shared" si="118"/>
        <v>#N/A</v>
      </c>
      <c r="T310" s="119" t="e">
        <f t="shared" si="118"/>
        <v>#N/A</v>
      </c>
      <c r="U310" s="119" t="e">
        <f t="shared" si="118"/>
        <v>#N/A</v>
      </c>
      <c r="V310" s="119" t="e">
        <f t="shared" si="118"/>
        <v>#N/A</v>
      </c>
      <c r="W310" s="119" t="e">
        <f t="shared" si="118"/>
        <v>#N/A</v>
      </c>
      <c r="X310" s="119" t="e">
        <f t="shared" si="118"/>
        <v>#N/A</v>
      </c>
      <c r="Y310" s="119" t="e">
        <f t="shared" si="118"/>
        <v>#N/A</v>
      </c>
      <c r="Z310" s="119" t="e">
        <f t="shared" si="118"/>
        <v>#N/A</v>
      </c>
      <c r="AA310" s="119" t="e">
        <f t="shared" si="118"/>
        <v>#N/A</v>
      </c>
      <c r="AB310" s="119" t="e">
        <f t="shared" si="118"/>
        <v>#N/A</v>
      </c>
      <c r="AC310" s="119" t="e">
        <f t="shared" si="118"/>
        <v>#N/A</v>
      </c>
      <c r="AD310" s="119" t="e">
        <f t="shared" si="118"/>
        <v>#N/A</v>
      </c>
      <c r="AE310" s="119" t="e">
        <f t="shared" si="118"/>
        <v>#N/A</v>
      </c>
      <c r="AF310" s="119" t="e">
        <f t="shared" si="118"/>
        <v>#N/A</v>
      </c>
      <c r="AG310" s="119" t="e">
        <f t="shared" si="118"/>
        <v>#N/A</v>
      </c>
      <c r="AH310" s="119" t="e">
        <f t="shared" si="118"/>
        <v>#N/A</v>
      </c>
      <c r="AI310" s="119" t="e">
        <f t="shared" si="118"/>
        <v>#N/A</v>
      </c>
      <c r="AJ310" s="119" t="e">
        <f t="shared" si="118"/>
        <v>#N/A</v>
      </c>
      <c r="AK310" s="119" t="e">
        <f t="shared" si="118"/>
        <v>#N/A</v>
      </c>
      <c r="AL310" s="119" t="e">
        <f t="shared" si="118"/>
        <v>#N/A</v>
      </c>
      <c r="AM310" s="119" t="e">
        <f t="shared" si="118"/>
        <v>#N/A</v>
      </c>
      <c r="AN310" s="119" t="e">
        <f t="shared" si="118"/>
        <v>#N/A</v>
      </c>
      <c r="AO310" s="119" t="e">
        <f t="shared" si="118"/>
        <v>#N/A</v>
      </c>
      <c r="AP310" s="119" t="e">
        <f t="shared" si="118"/>
        <v>#N/A</v>
      </c>
    </row>
    <row r="311" spans="1:42" x14ac:dyDescent="0.2">
      <c r="A311" s="22" t="str">
        <f t="shared" si="113"/>
        <v>39-yr SL</v>
      </c>
      <c r="B311" s="163" cm="1">
        <f t="array" ref="B311">SUM(IF(ISNUMBER(C313:AP313),C313:AP313))</f>
        <v>0</v>
      </c>
      <c r="C311" s="119" t="e">
        <f t="shared" ref="C311:AP311" si="119">C303/100*$Q268</f>
        <v>#N/A</v>
      </c>
      <c r="D311" s="119" t="e">
        <f t="shared" si="119"/>
        <v>#N/A</v>
      </c>
      <c r="E311" s="119" t="e">
        <f t="shared" si="119"/>
        <v>#N/A</v>
      </c>
      <c r="F311" s="119" t="e">
        <f t="shared" si="119"/>
        <v>#N/A</v>
      </c>
      <c r="G311" s="119" t="e">
        <f t="shared" si="119"/>
        <v>#N/A</v>
      </c>
      <c r="H311" s="119" t="e">
        <f t="shared" si="119"/>
        <v>#N/A</v>
      </c>
      <c r="I311" s="119" t="e">
        <f t="shared" si="119"/>
        <v>#N/A</v>
      </c>
      <c r="J311" s="119" t="e">
        <f t="shared" si="119"/>
        <v>#N/A</v>
      </c>
      <c r="K311" s="119" t="e">
        <f t="shared" si="119"/>
        <v>#N/A</v>
      </c>
      <c r="L311" s="119" t="e">
        <f t="shared" si="119"/>
        <v>#N/A</v>
      </c>
      <c r="M311" s="119" t="e">
        <f t="shared" si="119"/>
        <v>#N/A</v>
      </c>
      <c r="N311" s="119" t="e">
        <f t="shared" si="119"/>
        <v>#N/A</v>
      </c>
      <c r="O311" s="119" t="e">
        <f t="shared" si="119"/>
        <v>#N/A</v>
      </c>
      <c r="P311" s="119" t="e">
        <f t="shared" si="119"/>
        <v>#N/A</v>
      </c>
      <c r="Q311" s="119" t="e">
        <f t="shared" si="119"/>
        <v>#N/A</v>
      </c>
      <c r="R311" s="119" t="e">
        <f t="shared" si="119"/>
        <v>#N/A</v>
      </c>
      <c r="S311" s="119" t="e">
        <f t="shared" si="119"/>
        <v>#N/A</v>
      </c>
      <c r="T311" s="119" t="e">
        <f t="shared" si="119"/>
        <v>#N/A</v>
      </c>
      <c r="U311" s="119" t="e">
        <f t="shared" si="119"/>
        <v>#N/A</v>
      </c>
      <c r="V311" s="119" t="e">
        <f t="shared" si="119"/>
        <v>#N/A</v>
      </c>
      <c r="W311" s="119" t="e">
        <f t="shared" si="119"/>
        <v>#N/A</v>
      </c>
      <c r="X311" s="119" t="e">
        <f t="shared" si="119"/>
        <v>#N/A</v>
      </c>
      <c r="Y311" s="119" t="e">
        <f t="shared" si="119"/>
        <v>#N/A</v>
      </c>
      <c r="Z311" s="119" t="e">
        <f t="shared" si="119"/>
        <v>#N/A</v>
      </c>
      <c r="AA311" s="119" t="e">
        <f t="shared" si="119"/>
        <v>#N/A</v>
      </c>
      <c r="AB311" s="119" t="e">
        <f t="shared" si="119"/>
        <v>#N/A</v>
      </c>
      <c r="AC311" s="119" t="e">
        <f t="shared" si="119"/>
        <v>#N/A</v>
      </c>
      <c r="AD311" s="119" t="e">
        <f t="shared" si="119"/>
        <v>#N/A</v>
      </c>
      <c r="AE311" s="119" t="e">
        <f t="shared" si="119"/>
        <v>#N/A</v>
      </c>
      <c r="AF311" s="119" t="e">
        <f t="shared" si="119"/>
        <v>#N/A</v>
      </c>
      <c r="AG311" s="119" t="e">
        <f t="shared" si="119"/>
        <v>#N/A</v>
      </c>
      <c r="AH311" s="119" t="e">
        <f t="shared" si="119"/>
        <v>#N/A</v>
      </c>
      <c r="AI311" s="119" t="e">
        <f t="shared" si="119"/>
        <v>#N/A</v>
      </c>
      <c r="AJ311" s="119" t="e">
        <f t="shared" si="119"/>
        <v>#N/A</v>
      </c>
      <c r="AK311" s="119" t="e">
        <f t="shared" si="119"/>
        <v>#N/A</v>
      </c>
      <c r="AL311" s="119" t="e">
        <f t="shared" si="119"/>
        <v>#N/A</v>
      </c>
      <c r="AM311" s="119" t="e">
        <f t="shared" si="119"/>
        <v>#N/A</v>
      </c>
      <c r="AN311" s="119" t="e">
        <f t="shared" si="119"/>
        <v>#N/A</v>
      </c>
      <c r="AO311" s="119" t="e">
        <f t="shared" si="119"/>
        <v>#N/A</v>
      </c>
      <c r="AP311" s="119" t="e">
        <f t="shared" si="119"/>
        <v>#N/A</v>
      </c>
    </row>
    <row r="312" spans="1:42" x14ac:dyDescent="0.2">
      <c r="A312" s="22" t="s">
        <v>354</v>
      </c>
      <c r="B312" s="163" cm="1">
        <f t="array" ref="B312">SUM(IF(ISNUMBER(C314:AP314),C314:AP314))</f>
        <v>0</v>
      </c>
      <c r="C312" s="119">
        <f t="shared" ref="C312:AP312" si="120">IF(C2&lt;=analysis_period,C304/100*$Q$270,0)</f>
        <v>0</v>
      </c>
      <c r="D312" s="119">
        <f t="shared" si="120"/>
        <v>0</v>
      </c>
      <c r="E312" s="119">
        <f t="shared" si="120"/>
        <v>0</v>
      </c>
      <c r="F312" s="119">
        <f t="shared" si="120"/>
        <v>0</v>
      </c>
      <c r="G312" s="119">
        <f t="shared" si="120"/>
        <v>0</v>
      </c>
      <c r="H312" s="119">
        <f t="shared" si="120"/>
        <v>0</v>
      </c>
      <c r="I312" s="119">
        <f t="shared" si="120"/>
        <v>0</v>
      </c>
      <c r="J312" s="119">
        <f t="shared" si="120"/>
        <v>0</v>
      </c>
      <c r="K312" s="119">
        <f t="shared" si="120"/>
        <v>0</v>
      </c>
      <c r="L312" s="119">
        <f t="shared" si="120"/>
        <v>0</v>
      </c>
      <c r="M312" s="119">
        <f t="shared" si="120"/>
        <v>0</v>
      </c>
      <c r="N312" s="119">
        <f t="shared" si="120"/>
        <v>0</v>
      </c>
      <c r="O312" s="119">
        <f t="shared" si="120"/>
        <v>0</v>
      </c>
      <c r="P312" s="119">
        <f t="shared" si="120"/>
        <v>0</v>
      </c>
      <c r="Q312" s="119">
        <f t="shared" si="120"/>
        <v>0</v>
      </c>
      <c r="R312" s="119">
        <f t="shared" si="120"/>
        <v>0</v>
      </c>
      <c r="S312" s="119">
        <f t="shared" si="120"/>
        <v>0</v>
      </c>
      <c r="T312" s="119">
        <f t="shared" si="120"/>
        <v>0</v>
      </c>
      <c r="U312" s="119">
        <f t="shared" si="120"/>
        <v>0</v>
      </c>
      <c r="V312" s="119">
        <f t="shared" si="120"/>
        <v>0</v>
      </c>
      <c r="W312" s="119">
        <f t="shared" si="120"/>
        <v>0</v>
      </c>
      <c r="X312" s="119">
        <f t="shared" si="120"/>
        <v>0</v>
      </c>
      <c r="Y312" s="119">
        <f t="shared" si="120"/>
        <v>0</v>
      </c>
      <c r="Z312" s="119">
        <f t="shared" si="120"/>
        <v>0</v>
      </c>
      <c r="AA312" s="119">
        <f t="shared" si="120"/>
        <v>0</v>
      </c>
      <c r="AB312" s="119">
        <f t="shared" si="120"/>
        <v>0</v>
      </c>
      <c r="AC312" s="119">
        <f t="shared" si="120"/>
        <v>0</v>
      </c>
      <c r="AD312" s="119">
        <f t="shared" si="120"/>
        <v>0</v>
      </c>
      <c r="AE312" s="119">
        <f t="shared" si="120"/>
        <v>0</v>
      </c>
      <c r="AF312" s="119">
        <f t="shared" si="120"/>
        <v>0</v>
      </c>
      <c r="AG312" s="119">
        <f t="shared" si="120"/>
        <v>0</v>
      </c>
      <c r="AH312" s="119">
        <f t="shared" si="120"/>
        <v>0</v>
      </c>
      <c r="AI312" s="119">
        <f t="shared" si="120"/>
        <v>0</v>
      </c>
      <c r="AJ312" s="119">
        <f t="shared" si="120"/>
        <v>0</v>
      </c>
      <c r="AK312" s="119">
        <f t="shared" si="120"/>
        <v>0</v>
      </c>
      <c r="AL312" s="119">
        <f t="shared" si="120"/>
        <v>0</v>
      </c>
      <c r="AM312" s="119">
        <f t="shared" si="120"/>
        <v>0</v>
      </c>
      <c r="AN312" s="119">
        <f t="shared" si="120"/>
        <v>0</v>
      </c>
      <c r="AO312" s="119">
        <f t="shared" si="120"/>
        <v>0</v>
      </c>
      <c r="AP312" s="119">
        <f t="shared" si="120"/>
        <v>0</v>
      </c>
    </row>
    <row r="313" spans="1:42" x14ac:dyDescent="0.2">
      <c r="A313" s="22" t="s">
        <v>78</v>
      </c>
      <c r="B313" s="163" cm="1">
        <f t="array" ref="B313">SUM(IF(ISNUMBER(C315:AP315),C315:AP315))</f>
        <v>0</v>
      </c>
      <c r="C313" s="120">
        <f>P270</f>
        <v>0</v>
      </c>
      <c r="D313" s="120">
        <v>0</v>
      </c>
      <c r="E313" s="120">
        <v>0</v>
      </c>
      <c r="F313" s="120">
        <v>0</v>
      </c>
      <c r="G313" s="120">
        <v>0</v>
      </c>
      <c r="H313" s="120">
        <v>0</v>
      </c>
      <c r="I313" s="120">
        <v>0</v>
      </c>
      <c r="J313" s="120">
        <v>0</v>
      </c>
      <c r="K313" s="120">
        <v>0</v>
      </c>
      <c r="L313" s="120">
        <v>0</v>
      </c>
      <c r="M313" s="120">
        <v>0</v>
      </c>
      <c r="N313" s="120">
        <v>0</v>
      </c>
      <c r="O313" s="120">
        <v>0</v>
      </c>
      <c r="P313" s="120">
        <v>0</v>
      </c>
      <c r="Q313" s="120">
        <v>0</v>
      </c>
      <c r="R313" s="120">
        <v>0</v>
      </c>
      <c r="S313" s="120">
        <v>0</v>
      </c>
      <c r="T313" s="120">
        <v>0</v>
      </c>
      <c r="U313" s="120">
        <v>0</v>
      </c>
      <c r="V313" s="120">
        <v>0</v>
      </c>
      <c r="W313" s="120">
        <v>0</v>
      </c>
      <c r="X313" s="120">
        <v>0</v>
      </c>
      <c r="Y313" s="120">
        <v>0</v>
      </c>
      <c r="Z313" s="120">
        <v>0</v>
      </c>
      <c r="AA313" s="120">
        <v>0</v>
      </c>
      <c r="AB313" s="120">
        <v>0</v>
      </c>
      <c r="AC313" s="120">
        <v>0</v>
      </c>
      <c r="AD313" s="120">
        <v>0</v>
      </c>
      <c r="AE313" s="120">
        <v>0</v>
      </c>
      <c r="AF313" s="120">
        <v>0</v>
      </c>
      <c r="AG313" s="120">
        <v>0</v>
      </c>
      <c r="AH313" s="120">
        <v>0</v>
      </c>
      <c r="AI313" s="120">
        <v>0</v>
      </c>
      <c r="AJ313" s="120">
        <v>0</v>
      </c>
      <c r="AK313" s="120">
        <v>0</v>
      </c>
      <c r="AL313" s="120">
        <v>0</v>
      </c>
      <c r="AM313" s="120">
        <v>0</v>
      </c>
      <c r="AN313" s="120">
        <v>0</v>
      </c>
      <c r="AO313" s="120">
        <v>0</v>
      </c>
      <c r="AP313" s="120">
        <v>0</v>
      </c>
    </row>
    <row r="314" spans="1:42" x14ac:dyDescent="0.2">
      <c r="A314" s="21"/>
      <c r="B314" s="167" cm="1">
        <f t="array" ref="B314">SUM(IF(ISNUMBER(C315:AP315),C315:AP315))</f>
        <v>0</v>
      </c>
      <c r="C314" s="119" t="e">
        <f>SUM(C306:C313)</f>
        <v>#N/A</v>
      </c>
      <c r="D314" s="119" t="e">
        <f t="shared" ref="D314:AP314" si="121">SUM(D306:D313)</f>
        <v>#N/A</v>
      </c>
      <c r="E314" s="119" t="e">
        <f t="shared" si="121"/>
        <v>#N/A</v>
      </c>
      <c r="F314" s="119" t="e">
        <f t="shared" si="121"/>
        <v>#N/A</v>
      </c>
      <c r="G314" s="119" t="e">
        <f t="shared" si="121"/>
        <v>#N/A</v>
      </c>
      <c r="H314" s="119" t="e">
        <f t="shared" si="121"/>
        <v>#N/A</v>
      </c>
      <c r="I314" s="119" t="e">
        <f t="shared" si="121"/>
        <v>#N/A</v>
      </c>
      <c r="J314" s="119" t="e">
        <f t="shared" si="121"/>
        <v>#N/A</v>
      </c>
      <c r="K314" s="119" t="e">
        <f t="shared" si="121"/>
        <v>#N/A</v>
      </c>
      <c r="L314" s="119" t="e">
        <f t="shared" si="121"/>
        <v>#N/A</v>
      </c>
      <c r="M314" s="119" t="e">
        <f t="shared" si="121"/>
        <v>#N/A</v>
      </c>
      <c r="N314" s="119" t="e">
        <f t="shared" si="121"/>
        <v>#N/A</v>
      </c>
      <c r="O314" s="119" t="e">
        <f t="shared" si="121"/>
        <v>#N/A</v>
      </c>
      <c r="P314" s="119" t="e">
        <f t="shared" si="121"/>
        <v>#N/A</v>
      </c>
      <c r="Q314" s="119" t="e">
        <f t="shared" si="121"/>
        <v>#N/A</v>
      </c>
      <c r="R314" s="119" t="e">
        <f t="shared" si="121"/>
        <v>#N/A</v>
      </c>
      <c r="S314" s="119" t="e">
        <f t="shared" si="121"/>
        <v>#N/A</v>
      </c>
      <c r="T314" s="119" t="e">
        <f t="shared" si="121"/>
        <v>#N/A</v>
      </c>
      <c r="U314" s="119" t="e">
        <f t="shared" si="121"/>
        <v>#N/A</v>
      </c>
      <c r="V314" s="119" t="e">
        <f t="shared" si="121"/>
        <v>#N/A</v>
      </c>
      <c r="W314" s="119" t="e">
        <f t="shared" si="121"/>
        <v>#N/A</v>
      </c>
      <c r="X314" s="119" t="e">
        <f t="shared" si="121"/>
        <v>#N/A</v>
      </c>
      <c r="Y314" s="119" t="e">
        <f t="shared" si="121"/>
        <v>#N/A</v>
      </c>
      <c r="Z314" s="119" t="e">
        <f t="shared" si="121"/>
        <v>#N/A</v>
      </c>
      <c r="AA314" s="119" t="e">
        <f t="shared" si="121"/>
        <v>#N/A</v>
      </c>
      <c r="AB314" s="119" t="e">
        <f t="shared" si="121"/>
        <v>#N/A</v>
      </c>
      <c r="AC314" s="119" t="e">
        <f t="shared" si="121"/>
        <v>#N/A</v>
      </c>
      <c r="AD314" s="119" t="e">
        <f t="shared" si="121"/>
        <v>#N/A</v>
      </c>
      <c r="AE314" s="119" t="e">
        <f t="shared" si="121"/>
        <v>#N/A</v>
      </c>
      <c r="AF314" s="119" t="e">
        <f t="shared" si="121"/>
        <v>#N/A</v>
      </c>
      <c r="AG314" s="119" t="e">
        <f t="shared" si="121"/>
        <v>#N/A</v>
      </c>
      <c r="AH314" s="119" t="e">
        <f t="shared" si="121"/>
        <v>#N/A</v>
      </c>
      <c r="AI314" s="119" t="e">
        <f t="shared" si="121"/>
        <v>#N/A</v>
      </c>
      <c r="AJ314" s="119" t="e">
        <f t="shared" si="121"/>
        <v>#N/A</v>
      </c>
      <c r="AK314" s="119" t="e">
        <f t="shared" si="121"/>
        <v>#N/A</v>
      </c>
      <c r="AL314" s="119" t="e">
        <f t="shared" si="121"/>
        <v>#N/A</v>
      </c>
      <c r="AM314" s="119" t="e">
        <f t="shared" si="121"/>
        <v>#N/A</v>
      </c>
      <c r="AN314" s="119" t="e">
        <f t="shared" si="121"/>
        <v>#N/A</v>
      </c>
      <c r="AO314" s="119" t="e">
        <f t="shared" si="121"/>
        <v>#N/A</v>
      </c>
      <c r="AP314" s="119" t="e">
        <f t="shared" si="121"/>
        <v>#N/A</v>
      </c>
    </row>
    <row r="315" spans="1:42" x14ac:dyDescent="0.2">
      <c r="A315" s="21"/>
    </row>
    <row r="316" spans="1:42" x14ac:dyDescent="0.2">
      <c r="A316" s="86" t="s">
        <v>446</v>
      </c>
    </row>
    <row r="317" spans="1:42" x14ac:dyDescent="0.2">
      <c r="A317" s="21" t="s">
        <v>68</v>
      </c>
      <c r="B317" s="24" t="str">
        <f>equip_reserve_depr_sta</f>
        <v>5-yr MACRS</v>
      </c>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row>
    <row r="318" spans="1:42" x14ac:dyDescent="0.2">
      <c r="A318" s="21" t="s">
        <v>69</v>
      </c>
      <c r="B318" s="169">
        <f t="shared" ref="B318:AP318" si="122">B2</f>
        <v>0</v>
      </c>
      <c r="C318" s="169" t="str">
        <f t="shared" si="122"/>
        <v/>
      </c>
      <c r="D318" s="169" t="str">
        <f t="shared" si="122"/>
        <v/>
      </c>
      <c r="E318" s="169" t="str">
        <f t="shared" si="122"/>
        <v/>
      </c>
      <c r="F318" s="169" t="str">
        <f t="shared" si="122"/>
        <v/>
      </c>
      <c r="G318" s="169" t="str">
        <f t="shared" si="122"/>
        <v/>
      </c>
      <c r="H318" s="169" t="str">
        <f t="shared" si="122"/>
        <v/>
      </c>
      <c r="I318" s="169" t="str">
        <f t="shared" si="122"/>
        <v/>
      </c>
      <c r="J318" s="169" t="str">
        <f t="shared" si="122"/>
        <v/>
      </c>
      <c r="K318" s="169" t="str">
        <f t="shared" si="122"/>
        <v/>
      </c>
      <c r="L318" s="169" t="str">
        <f t="shared" si="122"/>
        <v/>
      </c>
      <c r="M318" s="169" t="str">
        <f t="shared" si="122"/>
        <v/>
      </c>
      <c r="N318" s="169" t="str">
        <f t="shared" si="122"/>
        <v/>
      </c>
      <c r="O318" s="169" t="str">
        <f t="shared" si="122"/>
        <v/>
      </c>
      <c r="P318" s="169" t="str">
        <f t="shared" si="122"/>
        <v/>
      </c>
      <c r="Q318" s="169" t="str">
        <f t="shared" si="122"/>
        <v/>
      </c>
      <c r="R318" s="169" t="str">
        <f t="shared" si="122"/>
        <v/>
      </c>
      <c r="S318" s="169" t="str">
        <f t="shared" si="122"/>
        <v/>
      </c>
      <c r="T318" s="169" t="str">
        <f t="shared" si="122"/>
        <v/>
      </c>
      <c r="U318" s="169" t="str">
        <f t="shared" si="122"/>
        <v/>
      </c>
      <c r="V318" s="169" t="str">
        <f t="shared" si="122"/>
        <v/>
      </c>
      <c r="W318" s="169" t="str">
        <f t="shared" si="122"/>
        <v/>
      </c>
      <c r="X318" s="169" t="str">
        <f t="shared" si="122"/>
        <v/>
      </c>
      <c r="Y318" s="169" t="str">
        <f t="shared" si="122"/>
        <v/>
      </c>
      <c r="Z318" s="169" t="str">
        <f t="shared" si="122"/>
        <v/>
      </c>
      <c r="AA318" s="169" t="str">
        <f t="shared" si="122"/>
        <v/>
      </c>
      <c r="AB318" s="169" t="str">
        <f t="shared" si="122"/>
        <v/>
      </c>
      <c r="AC318" s="169" t="str">
        <f t="shared" si="122"/>
        <v/>
      </c>
      <c r="AD318" s="169" t="str">
        <f t="shared" si="122"/>
        <v/>
      </c>
      <c r="AE318" s="169" t="str">
        <f t="shared" si="122"/>
        <v/>
      </c>
      <c r="AF318" s="169" t="str">
        <f t="shared" si="122"/>
        <v/>
      </c>
      <c r="AG318" s="169" t="str">
        <f t="shared" si="122"/>
        <v/>
      </c>
      <c r="AH318" s="169" t="str">
        <f t="shared" si="122"/>
        <v/>
      </c>
      <c r="AI318" s="169" t="str">
        <f t="shared" si="122"/>
        <v/>
      </c>
      <c r="AJ318" s="169" t="str">
        <f t="shared" si="122"/>
        <v/>
      </c>
      <c r="AK318" s="169" t="str">
        <f t="shared" si="122"/>
        <v/>
      </c>
      <c r="AL318" s="169" t="str">
        <f t="shared" si="122"/>
        <v/>
      </c>
      <c r="AM318" s="169" t="str">
        <f t="shared" si="122"/>
        <v/>
      </c>
      <c r="AN318" s="169" t="str">
        <f t="shared" si="122"/>
        <v/>
      </c>
      <c r="AO318" s="169" t="str">
        <f t="shared" si="122"/>
        <v/>
      </c>
      <c r="AP318" s="169" t="str">
        <f t="shared" si="122"/>
        <v/>
      </c>
    </row>
    <row r="319" spans="1:42" x14ac:dyDescent="0.2">
      <c r="A319" s="21" t="s">
        <v>175</v>
      </c>
      <c r="B319" s="168">
        <v>0</v>
      </c>
      <c r="C319" s="164" t="e">
        <f t="shared" ref="C319:AP319" si="123">IF($B$317=$A298,C298,0)+IF($B$317=$A299,C299,0)+IF($B$317=$A300,C300,0)+IF($B$317=$A301,C301,0)+IF($B$317=$A302,C302,0)+IF($B$317=$A303,C303,0)</f>
        <v>#N/A</v>
      </c>
      <c r="D319" s="164" t="e">
        <f t="shared" si="123"/>
        <v>#N/A</v>
      </c>
      <c r="E319" s="164" t="e">
        <f t="shared" si="123"/>
        <v>#N/A</v>
      </c>
      <c r="F319" s="164" t="e">
        <f t="shared" si="123"/>
        <v>#N/A</v>
      </c>
      <c r="G319" s="164" t="e">
        <f t="shared" si="123"/>
        <v>#N/A</v>
      </c>
      <c r="H319" s="164" t="e">
        <f t="shared" si="123"/>
        <v>#N/A</v>
      </c>
      <c r="I319" s="164" t="e">
        <f t="shared" si="123"/>
        <v>#N/A</v>
      </c>
      <c r="J319" s="164" t="e">
        <f t="shared" si="123"/>
        <v>#N/A</v>
      </c>
      <c r="K319" s="164" t="e">
        <f t="shared" si="123"/>
        <v>#N/A</v>
      </c>
      <c r="L319" s="164" t="e">
        <f t="shared" si="123"/>
        <v>#N/A</v>
      </c>
      <c r="M319" s="164" t="e">
        <f t="shared" si="123"/>
        <v>#N/A</v>
      </c>
      <c r="N319" s="164" t="e">
        <f t="shared" si="123"/>
        <v>#N/A</v>
      </c>
      <c r="O319" s="164" t="e">
        <f t="shared" si="123"/>
        <v>#N/A</v>
      </c>
      <c r="P319" s="164" t="e">
        <f t="shared" si="123"/>
        <v>#N/A</v>
      </c>
      <c r="Q319" s="164" t="e">
        <f t="shared" si="123"/>
        <v>#N/A</v>
      </c>
      <c r="R319" s="164" t="e">
        <f t="shared" si="123"/>
        <v>#N/A</v>
      </c>
      <c r="S319" s="164" t="e">
        <f t="shared" si="123"/>
        <v>#N/A</v>
      </c>
      <c r="T319" s="164" t="e">
        <f t="shared" si="123"/>
        <v>#N/A</v>
      </c>
      <c r="U319" s="164" t="e">
        <f t="shared" si="123"/>
        <v>#N/A</v>
      </c>
      <c r="V319" s="164" t="e">
        <f t="shared" si="123"/>
        <v>#N/A</v>
      </c>
      <c r="W319" s="164" t="e">
        <f t="shared" si="123"/>
        <v>#N/A</v>
      </c>
      <c r="X319" s="164" t="e">
        <f t="shared" si="123"/>
        <v>#N/A</v>
      </c>
      <c r="Y319" s="164" t="e">
        <f t="shared" si="123"/>
        <v>#N/A</v>
      </c>
      <c r="Z319" s="164" t="e">
        <f t="shared" si="123"/>
        <v>#N/A</v>
      </c>
      <c r="AA319" s="164" t="e">
        <f t="shared" si="123"/>
        <v>#N/A</v>
      </c>
      <c r="AB319" s="164" t="e">
        <f t="shared" si="123"/>
        <v>#N/A</v>
      </c>
      <c r="AC319" s="164" t="e">
        <f t="shared" si="123"/>
        <v>#N/A</v>
      </c>
      <c r="AD319" s="164" t="e">
        <f t="shared" si="123"/>
        <v>#N/A</v>
      </c>
      <c r="AE319" s="164" t="e">
        <f t="shared" si="123"/>
        <v>#N/A</v>
      </c>
      <c r="AF319" s="164" t="e">
        <f t="shared" si="123"/>
        <v>#N/A</v>
      </c>
      <c r="AG319" s="164" t="e">
        <f t="shared" si="123"/>
        <v>#N/A</v>
      </c>
      <c r="AH319" s="164" t="e">
        <f t="shared" si="123"/>
        <v>#N/A</v>
      </c>
      <c r="AI319" s="164" t="e">
        <f t="shared" si="123"/>
        <v>#N/A</v>
      </c>
      <c r="AJ319" s="164" t="e">
        <f t="shared" si="123"/>
        <v>#N/A</v>
      </c>
      <c r="AK319" s="164" t="e">
        <f t="shared" si="123"/>
        <v>#N/A</v>
      </c>
      <c r="AL319" s="164" t="e">
        <f t="shared" si="123"/>
        <v>#N/A</v>
      </c>
      <c r="AM319" s="164" t="e">
        <f t="shared" si="123"/>
        <v>#N/A</v>
      </c>
      <c r="AN319" s="164" t="e">
        <f t="shared" si="123"/>
        <v>#N/A</v>
      </c>
      <c r="AO319" s="164" t="e">
        <f t="shared" si="123"/>
        <v>#N/A</v>
      </c>
      <c r="AP319" s="164" t="e">
        <f t="shared" si="123"/>
        <v>#N/A</v>
      </c>
    </row>
    <row r="320" spans="1:42" x14ac:dyDescent="0.2">
      <c r="A320" s="21"/>
      <c r="B320" s="25"/>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row>
    <row r="321" spans="1:42" x14ac:dyDescent="0.2">
      <c r="A321" s="21" t="s">
        <v>80</v>
      </c>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row>
    <row r="322" spans="1:42" x14ac:dyDescent="0.2">
      <c r="A322" s="87" t="s">
        <v>67</v>
      </c>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row>
    <row r="323" spans="1:42" x14ac:dyDescent="0.2">
      <c r="A323" s="4">
        <v>1</v>
      </c>
      <c r="B323" s="4">
        <v>0</v>
      </c>
      <c r="C323" s="155">
        <f>IF(C$2&lt;=analysis_period,IF(SUM($C660:C660)&gt;0,B323+1,0),0)</f>
        <v>0</v>
      </c>
      <c r="D323" s="155">
        <f>IF(D$2&lt;=analysis_period,IF(SUM($C660:D660)&gt;0,C323+1,0),0)</f>
        <v>0</v>
      </c>
      <c r="E323" s="155">
        <f>IF(E$2&lt;=analysis_period,IF(SUM($C660:E660)&gt;0,D323+1,0),0)</f>
        <v>0</v>
      </c>
      <c r="F323" s="155">
        <f>IF(F$2&lt;=analysis_period,IF(SUM($C660:F660)&gt;0,E323+1,0),0)</f>
        <v>0</v>
      </c>
      <c r="G323" s="155">
        <f>IF(G$2&lt;=analysis_period,IF(SUM($C660:G660)&gt;0,F323+1,0),0)</f>
        <v>0</v>
      </c>
      <c r="H323" s="155">
        <f>IF(H$2&lt;=analysis_period,IF(SUM($C660:H660)&gt;0,G323+1,0),0)</f>
        <v>0</v>
      </c>
      <c r="I323" s="155">
        <f>IF(I$2&lt;=analysis_period,IF(SUM($C660:I660)&gt;0,H323+1,0),0)</f>
        <v>0</v>
      </c>
      <c r="J323" s="155">
        <f>IF(J$2&lt;=analysis_period,IF(SUM($C660:J660)&gt;0,I323+1,0),0)</f>
        <v>0</v>
      </c>
      <c r="K323" s="155">
        <f>IF(K$2&lt;=analysis_period,IF(SUM($C660:K660)&gt;0,J323+1,0),0)</f>
        <v>0</v>
      </c>
      <c r="L323" s="155">
        <f>IF(L$2&lt;=analysis_period,IF(SUM($C660:L660)&gt;0,K323+1,0),0)</f>
        <v>0</v>
      </c>
      <c r="M323" s="155">
        <f>IF(M$2&lt;=analysis_period,IF(SUM($C660:M660)&gt;0,L323+1,0),0)</f>
        <v>0</v>
      </c>
      <c r="N323" s="155">
        <f>IF(N$2&lt;=analysis_period,IF(SUM($C660:N660)&gt;0,M323+1,0),0)</f>
        <v>0</v>
      </c>
      <c r="O323" s="155">
        <f>IF(O$2&lt;=analysis_period,IF(SUM($C660:O660)&gt;0,N323+1,0),0)</f>
        <v>0</v>
      </c>
      <c r="P323" s="155">
        <f>IF(P$2&lt;=analysis_period,IF(SUM($C660:P660)&gt;0,O323+1,0),0)</f>
        <v>0</v>
      </c>
      <c r="Q323" s="155">
        <f>IF(Q$2&lt;=analysis_period,IF(SUM($C660:Q660)&gt;0,P323+1,0),0)</f>
        <v>0</v>
      </c>
      <c r="R323" s="155">
        <f>IF(R$2&lt;=analysis_period,IF(SUM($C660:R660)&gt;0,Q323+1,0),0)</f>
        <v>0</v>
      </c>
      <c r="S323" s="155">
        <f>IF(S$2&lt;=analysis_period,IF(SUM($C660:S660)&gt;0,R323+1,0),0)</f>
        <v>0</v>
      </c>
      <c r="T323" s="155">
        <f>IF(T$2&lt;=analysis_period,IF(SUM($C660:T660)&gt;0,S323+1,0),0)</f>
        <v>0</v>
      </c>
      <c r="U323" s="155">
        <f>IF(U$2&lt;=analysis_period,IF(SUM($C660:U660)&gt;0,T323+1,0),0)</f>
        <v>0</v>
      </c>
      <c r="V323" s="155">
        <f>IF(V$2&lt;=analysis_period,IF(SUM($C660:V660)&gt;0,U323+1,0),0)</f>
        <v>0</v>
      </c>
      <c r="W323" s="155">
        <f>IF(W$2&lt;=analysis_period,IF(SUM($C660:W660)&gt;0,V323+1,0),0)</f>
        <v>0</v>
      </c>
      <c r="X323" s="155">
        <f>IF(X$2&lt;=analysis_period,IF(SUM($C660:X660)&gt;0,W323+1,0),0)</f>
        <v>0</v>
      </c>
      <c r="Y323" s="155">
        <f>IF(Y$2&lt;=analysis_period,IF(SUM($C660:Y660)&gt;0,X323+1,0),0)</f>
        <v>0</v>
      </c>
      <c r="Z323" s="155">
        <f>IF(Z$2&lt;=analysis_period,IF(SUM($C660:Z660)&gt;0,Y323+1,0),0)</f>
        <v>0</v>
      </c>
      <c r="AA323" s="155">
        <f>IF(AA$2&lt;=analysis_period,IF(SUM($C660:AA660)&gt;0,Z323+1,0),0)</f>
        <v>0</v>
      </c>
      <c r="AB323" s="155">
        <f>IF(AB$2&lt;=analysis_period,IF(SUM($C660:AB660)&gt;0,AA323+1,0),0)</f>
        <v>0</v>
      </c>
      <c r="AC323" s="155">
        <f>IF(AC$2&lt;=analysis_period,IF(SUM($C660:AC660)&gt;0,AB323+1,0),0)</f>
        <v>0</v>
      </c>
      <c r="AD323" s="155">
        <f>IF(AD$2&lt;=analysis_period,IF(SUM($C660:AD660)&gt;0,AC323+1,0),0)</f>
        <v>0</v>
      </c>
      <c r="AE323" s="155">
        <f>IF(AE$2&lt;=analysis_period,IF(SUM($C660:AE660)&gt;0,AD323+1,0),0)</f>
        <v>0</v>
      </c>
      <c r="AF323" s="155">
        <f>IF(AF$2&lt;=analysis_period,IF(SUM($C660:AF660)&gt;0,AE323+1,0),0)</f>
        <v>0</v>
      </c>
      <c r="AG323" s="155">
        <f>IF(AG$2&lt;=analysis_period,IF(SUM($C660:AG660)&gt;0,AF323+1,0),0)</f>
        <v>0</v>
      </c>
      <c r="AH323" s="155">
        <f>IF(AH$2&lt;=analysis_period,IF(SUM($C660:AH660)&gt;0,AG323+1,0),0)</f>
        <v>0</v>
      </c>
      <c r="AI323" s="155">
        <f>IF(AI$2&lt;=analysis_period,IF(SUM($C660:AI660)&gt;0,AH323+1,0),0)</f>
        <v>0</v>
      </c>
      <c r="AJ323" s="155">
        <f>IF(AJ$2&lt;=analysis_period,IF(SUM($C660:AJ660)&gt;0,AI323+1,0),0)</f>
        <v>0</v>
      </c>
      <c r="AK323" s="155">
        <f>IF(AK$2&lt;=analysis_period,IF(SUM($C660:AK660)&gt;0,AJ323+1,0),0)</f>
        <v>0</v>
      </c>
      <c r="AL323" s="155">
        <f>IF(AL$2&lt;=analysis_period,IF(SUM($C660:AL660)&gt;0,AK323+1,0),0)</f>
        <v>0</v>
      </c>
      <c r="AM323" s="155">
        <f>IF(AM$2&lt;=analysis_period,IF(SUM($C660:AM660)&gt;0,AL323+1,0),0)</f>
        <v>0</v>
      </c>
      <c r="AN323" s="155">
        <f>IF(AN$2&lt;=analysis_period,IF(SUM($C660:AN660)&gt;0,AM323+1,0),0)</f>
        <v>0</v>
      </c>
      <c r="AO323" s="155">
        <f>IF(AO$2&lt;=analysis_period,IF(SUM($C660:AO660)&gt;0,AN323+1,0),0)</f>
        <v>0</v>
      </c>
      <c r="AP323" s="155">
        <f>IF(AP$2&lt;=analysis_period,IF(SUM($C660:AP660)&gt;0,AO323+1,0),0)</f>
        <v>0</v>
      </c>
    </row>
    <row r="324" spans="1:42" x14ac:dyDescent="0.2">
      <c r="A324" s="4">
        <f>A323+1</f>
        <v>2</v>
      </c>
      <c r="B324" s="4">
        <v>0</v>
      </c>
      <c r="C324" s="155">
        <f>IF(C$2&lt;=analysis_period,IF(SUM($C661:C661)&gt;0,B324+1,0),0)</f>
        <v>0</v>
      </c>
      <c r="D324" s="155">
        <f>IF(D$2&lt;=analysis_period,IF(SUM($C661:D661)&gt;0,C324+1,0),0)</f>
        <v>0</v>
      </c>
      <c r="E324" s="155">
        <f>IF(E$2&lt;=analysis_period,IF(SUM($C661:E661)&gt;0,D324+1,0),0)</f>
        <v>0</v>
      </c>
      <c r="F324" s="155">
        <f>IF(F$2&lt;=analysis_period,IF(SUM($C661:F661)&gt;0,E324+1,0),0)</f>
        <v>0</v>
      </c>
      <c r="G324" s="155">
        <f>IF(G$2&lt;=analysis_period,IF(SUM($C661:G661)&gt;0,F324+1,0),0)</f>
        <v>0</v>
      </c>
      <c r="H324" s="155">
        <f>IF(H$2&lt;=analysis_period,IF(SUM($C661:H661)&gt;0,G324+1,0),0)</f>
        <v>0</v>
      </c>
      <c r="I324" s="155">
        <f>IF(I$2&lt;=analysis_period,IF(SUM($C661:I661)&gt;0,H324+1,0),0)</f>
        <v>0</v>
      </c>
      <c r="J324" s="155">
        <f>IF(J$2&lt;=analysis_period,IF(SUM($C661:J661)&gt;0,I324+1,0),0)</f>
        <v>0</v>
      </c>
      <c r="K324" s="155">
        <f>IF(K$2&lt;=analysis_period,IF(SUM($C661:K661)&gt;0,J324+1,0),0)</f>
        <v>0</v>
      </c>
      <c r="L324" s="155">
        <f>IF(L$2&lt;=analysis_period,IF(SUM($C661:L661)&gt;0,K324+1,0),0)</f>
        <v>0</v>
      </c>
      <c r="M324" s="155">
        <f>IF(M$2&lt;=analysis_period,IF(SUM($C661:M661)&gt;0,L324+1,0),0)</f>
        <v>0</v>
      </c>
      <c r="N324" s="155">
        <f>IF(N$2&lt;=analysis_period,IF(SUM($C661:N661)&gt;0,M324+1,0),0)</f>
        <v>0</v>
      </c>
      <c r="O324" s="155">
        <f>IF(O$2&lt;=analysis_period,IF(SUM($C661:O661)&gt;0,N324+1,0),0)</f>
        <v>0</v>
      </c>
      <c r="P324" s="155">
        <f>IF(P$2&lt;=analysis_period,IF(SUM($C661:P661)&gt;0,O324+1,0),0)</f>
        <v>0</v>
      </c>
      <c r="Q324" s="155">
        <f>IF(Q$2&lt;=analysis_period,IF(SUM($C661:Q661)&gt;0,P324+1,0),0)</f>
        <v>0</v>
      </c>
      <c r="R324" s="155">
        <f>IF(R$2&lt;=analysis_period,IF(SUM($C661:R661)&gt;0,Q324+1,0),0)</f>
        <v>0</v>
      </c>
      <c r="S324" s="155">
        <f>IF(S$2&lt;=analysis_period,IF(SUM($C661:S661)&gt;0,R324+1,0),0)</f>
        <v>0</v>
      </c>
      <c r="T324" s="155">
        <f>IF(T$2&lt;=analysis_period,IF(SUM($C661:T661)&gt;0,S324+1,0),0)</f>
        <v>0</v>
      </c>
      <c r="U324" s="155">
        <f>IF(U$2&lt;=analysis_period,IF(SUM($C661:U661)&gt;0,T324+1,0),0)</f>
        <v>0</v>
      </c>
      <c r="V324" s="155">
        <f>IF(V$2&lt;=analysis_period,IF(SUM($C661:V661)&gt;0,U324+1,0),0)</f>
        <v>0</v>
      </c>
      <c r="W324" s="155">
        <f>IF(W$2&lt;=analysis_period,IF(SUM($C661:W661)&gt;0,V324+1,0),0)</f>
        <v>0</v>
      </c>
      <c r="X324" s="155">
        <f>IF(X$2&lt;=analysis_period,IF(SUM($C661:X661)&gt;0,W324+1,0),0)</f>
        <v>0</v>
      </c>
      <c r="Y324" s="155">
        <f>IF(Y$2&lt;=analysis_period,IF(SUM($C661:Y661)&gt;0,X324+1,0),0)</f>
        <v>0</v>
      </c>
      <c r="Z324" s="155">
        <f>IF(Z$2&lt;=analysis_period,IF(SUM($C661:Z661)&gt;0,Y324+1,0),0)</f>
        <v>0</v>
      </c>
      <c r="AA324" s="155">
        <f>IF(AA$2&lt;=analysis_period,IF(SUM($C661:AA661)&gt;0,Z324+1,0),0)</f>
        <v>0</v>
      </c>
      <c r="AB324" s="155">
        <f>IF(AB$2&lt;=analysis_period,IF(SUM($C661:AB661)&gt;0,AA324+1,0),0)</f>
        <v>0</v>
      </c>
      <c r="AC324" s="155">
        <f>IF(AC$2&lt;=analysis_period,IF(SUM($C661:AC661)&gt;0,AB324+1,0),0)</f>
        <v>0</v>
      </c>
      <c r="AD324" s="155">
        <f>IF(AD$2&lt;=analysis_period,IF(SUM($C661:AD661)&gt;0,AC324+1,0),0)</f>
        <v>0</v>
      </c>
      <c r="AE324" s="155">
        <f>IF(AE$2&lt;=analysis_period,IF(SUM($C661:AE661)&gt;0,AD324+1,0),0)</f>
        <v>0</v>
      </c>
      <c r="AF324" s="155">
        <f>IF(AF$2&lt;=analysis_period,IF(SUM($C661:AF661)&gt;0,AE324+1,0),0)</f>
        <v>0</v>
      </c>
      <c r="AG324" s="155">
        <f>IF(AG$2&lt;=analysis_period,IF(SUM($C661:AG661)&gt;0,AF324+1,0),0)</f>
        <v>0</v>
      </c>
      <c r="AH324" s="155">
        <f>IF(AH$2&lt;=analysis_period,IF(SUM($C661:AH661)&gt;0,AG324+1,0),0)</f>
        <v>0</v>
      </c>
      <c r="AI324" s="155">
        <f>IF(AI$2&lt;=analysis_period,IF(SUM($C661:AI661)&gt;0,AH324+1,0),0)</f>
        <v>0</v>
      </c>
      <c r="AJ324" s="155">
        <f>IF(AJ$2&lt;=analysis_period,IF(SUM($C661:AJ661)&gt;0,AI324+1,0),0)</f>
        <v>0</v>
      </c>
      <c r="AK324" s="155">
        <f>IF(AK$2&lt;=analysis_period,IF(SUM($C661:AK661)&gt;0,AJ324+1,0),0)</f>
        <v>0</v>
      </c>
      <c r="AL324" s="155">
        <f>IF(AL$2&lt;=analysis_period,IF(SUM($C661:AL661)&gt;0,AK324+1,0),0)</f>
        <v>0</v>
      </c>
      <c r="AM324" s="155">
        <f>IF(AM$2&lt;=analysis_period,IF(SUM($C661:AM661)&gt;0,AL324+1,0),0)</f>
        <v>0</v>
      </c>
      <c r="AN324" s="155">
        <f>IF(AN$2&lt;=analysis_period,IF(SUM($C661:AN661)&gt;0,AM324+1,0),0)</f>
        <v>0</v>
      </c>
      <c r="AO324" s="155">
        <f>IF(AO$2&lt;=analysis_period,IF(SUM($C661:AO661)&gt;0,AN324+1,0),0)</f>
        <v>0</v>
      </c>
      <c r="AP324" s="155">
        <f>IF(AP$2&lt;=analysis_period,IF(SUM($C661:AP661)&gt;0,AO324+1,0),0)</f>
        <v>0</v>
      </c>
    </row>
    <row r="325" spans="1:42" x14ac:dyDescent="0.2">
      <c r="A325" s="4">
        <f t="shared" ref="A325:A332" si="124">A324+1</f>
        <v>3</v>
      </c>
      <c r="B325" s="4">
        <v>0</v>
      </c>
      <c r="C325" s="155">
        <f>IF(C$2&lt;=analysis_period,IF(SUM($C662:C662)&gt;0,B325+1,0),0)</f>
        <v>0</v>
      </c>
      <c r="D325" s="155">
        <f>IF(D$2&lt;=analysis_period,IF(SUM($C662:D662)&gt;0,C325+1,0),0)</f>
        <v>0</v>
      </c>
      <c r="E325" s="155">
        <f>IF(E$2&lt;=analysis_period,IF(SUM($C662:E662)&gt;0,D325+1,0),0)</f>
        <v>0</v>
      </c>
      <c r="F325" s="155">
        <f>IF(F$2&lt;=analysis_period,IF(SUM($C662:F662)&gt;0,E325+1,0),0)</f>
        <v>0</v>
      </c>
      <c r="G325" s="155">
        <f>IF(G$2&lt;=analysis_period,IF(SUM($C662:G662)&gt;0,F325+1,0),0)</f>
        <v>0</v>
      </c>
      <c r="H325" s="155">
        <f>IF(H$2&lt;=analysis_period,IF(SUM($C662:H662)&gt;0,G325+1,0),0)</f>
        <v>0</v>
      </c>
      <c r="I325" s="155">
        <f>IF(I$2&lt;=analysis_period,IF(SUM($C662:I662)&gt;0,H325+1,0),0)</f>
        <v>0</v>
      </c>
      <c r="J325" s="155">
        <f>IF(J$2&lt;=analysis_period,IF(SUM($C662:J662)&gt;0,I325+1,0),0)</f>
        <v>0</v>
      </c>
      <c r="K325" s="155">
        <f>IF(K$2&lt;=analysis_period,IF(SUM($C662:K662)&gt;0,J325+1,0),0)</f>
        <v>0</v>
      </c>
      <c r="L325" s="155">
        <f>IF(L$2&lt;=analysis_period,IF(SUM($C662:L662)&gt;0,K325+1,0),0)</f>
        <v>0</v>
      </c>
      <c r="M325" s="155">
        <f>IF(M$2&lt;=analysis_period,IF(SUM($C662:M662)&gt;0,L325+1,0),0)</f>
        <v>0</v>
      </c>
      <c r="N325" s="155">
        <f>IF(N$2&lt;=analysis_period,IF(SUM($C662:N662)&gt;0,M325+1,0),0)</f>
        <v>0</v>
      </c>
      <c r="O325" s="155">
        <f>IF(O$2&lt;=analysis_period,IF(SUM($C662:O662)&gt;0,N325+1,0),0)</f>
        <v>0</v>
      </c>
      <c r="P325" s="155">
        <f>IF(P$2&lt;=analysis_period,IF(SUM($C662:P662)&gt;0,O325+1,0),0)</f>
        <v>0</v>
      </c>
      <c r="Q325" s="155">
        <f>IF(Q$2&lt;=analysis_period,IF(SUM($C662:Q662)&gt;0,P325+1,0),0)</f>
        <v>0</v>
      </c>
      <c r="R325" s="155">
        <f>IF(R$2&lt;=analysis_period,IF(SUM($C662:R662)&gt;0,Q325+1,0),0)</f>
        <v>0</v>
      </c>
      <c r="S325" s="155">
        <f>IF(S$2&lt;=analysis_period,IF(SUM($C662:S662)&gt;0,R325+1,0),0)</f>
        <v>0</v>
      </c>
      <c r="T325" s="155">
        <f>IF(T$2&lt;=analysis_period,IF(SUM($C662:T662)&gt;0,S325+1,0),0)</f>
        <v>0</v>
      </c>
      <c r="U325" s="155">
        <f>IF(U$2&lt;=analysis_period,IF(SUM($C662:U662)&gt;0,T325+1,0),0)</f>
        <v>0</v>
      </c>
      <c r="V325" s="155">
        <f>IF(V$2&lt;=analysis_period,IF(SUM($C662:V662)&gt;0,U325+1,0),0)</f>
        <v>0</v>
      </c>
      <c r="W325" s="155">
        <f>IF(W$2&lt;=analysis_period,IF(SUM($C662:W662)&gt;0,V325+1,0),0)</f>
        <v>0</v>
      </c>
      <c r="X325" s="155">
        <f>IF(X$2&lt;=analysis_period,IF(SUM($C662:X662)&gt;0,W325+1,0),0)</f>
        <v>0</v>
      </c>
      <c r="Y325" s="155">
        <f>IF(Y$2&lt;=analysis_period,IF(SUM($C662:Y662)&gt;0,X325+1,0),0)</f>
        <v>0</v>
      </c>
      <c r="Z325" s="155">
        <f>IF(Z$2&lt;=analysis_period,IF(SUM($C662:Z662)&gt;0,Y325+1,0),0)</f>
        <v>0</v>
      </c>
      <c r="AA325" s="155">
        <f>IF(AA$2&lt;=analysis_period,IF(SUM($C662:AA662)&gt;0,Z325+1,0),0)</f>
        <v>0</v>
      </c>
      <c r="AB325" s="155">
        <f>IF(AB$2&lt;=analysis_period,IF(SUM($C662:AB662)&gt;0,AA325+1,0),0)</f>
        <v>0</v>
      </c>
      <c r="AC325" s="155">
        <f>IF(AC$2&lt;=analysis_period,IF(SUM($C662:AC662)&gt;0,AB325+1,0),0)</f>
        <v>0</v>
      </c>
      <c r="AD325" s="155">
        <f>IF(AD$2&lt;=analysis_period,IF(SUM($C662:AD662)&gt;0,AC325+1,0),0)</f>
        <v>0</v>
      </c>
      <c r="AE325" s="155">
        <f>IF(AE$2&lt;=analysis_period,IF(SUM($C662:AE662)&gt;0,AD325+1,0),0)</f>
        <v>0</v>
      </c>
      <c r="AF325" s="155">
        <f>IF(AF$2&lt;=analysis_period,IF(SUM($C662:AF662)&gt;0,AE325+1,0),0)</f>
        <v>0</v>
      </c>
      <c r="AG325" s="155">
        <f>IF(AG$2&lt;=analysis_period,IF(SUM($C662:AG662)&gt;0,AF325+1,0),0)</f>
        <v>0</v>
      </c>
      <c r="AH325" s="155">
        <f>IF(AH$2&lt;=analysis_period,IF(SUM($C662:AH662)&gt;0,AG325+1,0),0)</f>
        <v>0</v>
      </c>
      <c r="AI325" s="155">
        <f>IF(AI$2&lt;=analysis_period,IF(SUM($C662:AI662)&gt;0,AH325+1,0),0)</f>
        <v>0</v>
      </c>
      <c r="AJ325" s="155">
        <f>IF(AJ$2&lt;=analysis_period,IF(SUM($C662:AJ662)&gt;0,AI325+1,0),0)</f>
        <v>0</v>
      </c>
      <c r="AK325" s="155">
        <f>IF(AK$2&lt;=analysis_period,IF(SUM($C662:AK662)&gt;0,AJ325+1,0),0)</f>
        <v>0</v>
      </c>
      <c r="AL325" s="155">
        <f>IF(AL$2&lt;=analysis_period,IF(SUM($C662:AL662)&gt;0,AK325+1,0),0)</f>
        <v>0</v>
      </c>
      <c r="AM325" s="155">
        <f>IF(AM$2&lt;=analysis_period,IF(SUM($C662:AM662)&gt;0,AL325+1,0),0)</f>
        <v>0</v>
      </c>
      <c r="AN325" s="155">
        <f>IF(AN$2&lt;=analysis_period,IF(SUM($C662:AN662)&gt;0,AM325+1,0),0)</f>
        <v>0</v>
      </c>
      <c r="AO325" s="155">
        <f>IF(AO$2&lt;=analysis_period,IF(SUM($C662:AO662)&gt;0,AN325+1,0),0)</f>
        <v>0</v>
      </c>
      <c r="AP325" s="155">
        <f>IF(AP$2&lt;=analysis_period,IF(SUM($C662:AP662)&gt;0,AO325+1,0),0)</f>
        <v>0</v>
      </c>
    </row>
    <row r="326" spans="1:42" x14ac:dyDescent="0.2">
      <c r="A326" s="4">
        <f t="shared" si="124"/>
        <v>4</v>
      </c>
      <c r="B326" s="4">
        <v>0</v>
      </c>
      <c r="C326" s="155">
        <f>IF(C$2&lt;=analysis_period,IF(SUM($C663:C663)&gt;0,B326+1,0),0)</f>
        <v>0</v>
      </c>
      <c r="D326" s="155">
        <f>IF(D$2&lt;=analysis_period,IF(SUM($C663:D663)&gt;0,C326+1,0),0)</f>
        <v>0</v>
      </c>
      <c r="E326" s="155">
        <f>IF(E$2&lt;=analysis_period,IF(SUM($C663:E663)&gt;0,D326+1,0),0)</f>
        <v>0</v>
      </c>
      <c r="F326" s="155">
        <f>IF(F$2&lt;=analysis_period,IF(SUM($C663:F663)&gt;0,E326+1,0),0)</f>
        <v>0</v>
      </c>
      <c r="G326" s="155">
        <f>IF(G$2&lt;=analysis_period,IF(SUM($C663:G663)&gt;0,F326+1,0),0)</f>
        <v>0</v>
      </c>
      <c r="H326" s="155">
        <f>IF(H$2&lt;=analysis_period,IF(SUM($C663:H663)&gt;0,G326+1,0),0)</f>
        <v>0</v>
      </c>
      <c r="I326" s="155">
        <f>IF(I$2&lt;=analysis_period,IF(SUM($C663:I663)&gt;0,H326+1,0),0)</f>
        <v>0</v>
      </c>
      <c r="J326" s="155">
        <f>IF(J$2&lt;=analysis_period,IF(SUM($C663:J663)&gt;0,I326+1,0),0)</f>
        <v>0</v>
      </c>
      <c r="K326" s="155">
        <f>IF(K$2&lt;=analysis_period,IF(SUM($C663:K663)&gt;0,J326+1,0),0)</f>
        <v>0</v>
      </c>
      <c r="L326" s="155">
        <f>IF(L$2&lt;=analysis_period,IF(SUM($C663:L663)&gt;0,K326+1,0),0)</f>
        <v>0</v>
      </c>
      <c r="M326" s="155">
        <f>IF(M$2&lt;=analysis_period,IF(SUM($C663:M663)&gt;0,L326+1,0),0)</f>
        <v>0</v>
      </c>
      <c r="N326" s="155">
        <f>IF(N$2&lt;=analysis_period,IF(SUM($C663:N663)&gt;0,M326+1,0),0)</f>
        <v>0</v>
      </c>
      <c r="O326" s="155">
        <f>IF(O$2&lt;=analysis_period,IF(SUM($C663:O663)&gt;0,N326+1,0),0)</f>
        <v>0</v>
      </c>
      <c r="P326" s="155">
        <f>IF(P$2&lt;=analysis_period,IF(SUM($C663:P663)&gt;0,O326+1,0),0)</f>
        <v>0</v>
      </c>
      <c r="Q326" s="155">
        <f>IF(Q$2&lt;=analysis_period,IF(SUM($C663:Q663)&gt;0,P326+1,0),0)</f>
        <v>0</v>
      </c>
      <c r="R326" s="155">
        <f>IF(R$2&lt;=analysis_period,IF(SUM($C663:R663)&gt;0,Q326+1,0),0)</f>
        <v>0</v>
      </c>
      <c r="S326" s="155">
        <f>IF(S$2&lt;=analysis_period,IF(SUM($C663:S663)&gt;0,R326+1,0),0)</f>
        <v>0</v>
      </c>
      <c r="T326" s="155">
        <f>IF(T$2&lt;=analysis_period,IF(SUM($C663:T663)&gt;0,S326+1,0),0)</f>
        <v>0</v>
      </c>
      <c r="U326" s="155">
        <f>IF(U$2&lt;=analysis_period,IF(SUM($C663:U663)&gt;0,T326+1,0),0)</f>
        <v>0</v>
      </c>
      <c r="V326" s="155">
        <f>IF(V$2&lt;=analysis_period,IF(SUM($C663:V663)&gt;0,U326+1,0),0)</f>
        <v>0</v>
      </c>
      <c r="W326" s="155">
        <f>IF(W$2&lt;=analysis_period,IF(SUM($C663:W663)&gt;0,V326+1,0),0)</f>
        <v>0</v>
      </c>
      <c r="X326" s="155">
        <f>IF(X$2&lt;=analysis_period,IF(SUM($C663:X663)&gt;0,W326+1,0),0)</f>
        <v>0</v>
      </c>
      <c r="Y326" s="155">
        <f>IF(Y$2&lt;=analysis_period,IF(SUM($C663:Y663)&gt;0,X326+1,0),0)</f>
        <v>0</v>
      </c>
      <c r="Z326" s="155">
        <f>IF(Z$2&lt;=analysis_period,IF(SUM($C663:Z663)&gt;0,Y326+1,0),0)</f>
        <v>0</v>
      </c>
      <c r="AA326" s="155">
        <f>IF(AA$2&lt;=analysis_period,IF(SUM($C663:AA663)&gt;0,Z326+1,0),0)</f>
        <v>0</v>
      </c>
      <c r="AB326" s="155">
        <f>IF(AB$2&lt;=analysis_period,IF(SUM($C663:AB663)&gt;0,AA326+1,0),0)</f>
        <v>0</v>
      </c>
      <c r="AC326" s="155">
        <f>IF(AC$2&lt;=analysis_period,IF(SUM($C663:AC663)&gt;0,AB326+1,0),0)</f>
        <v>0</v>
      </c>
      <c r="AD326" s="155">
        <f>IF(AD$2&lt;=analysis_period,IF(SUM($C663:AD663)&gt;0,AC326+1,0),0)</f>
        <v>0</v>
      </c>
      <c r="AE326" s="155">
        <f>IF(AE$2&lt;=analysis_period,IF(SUM($C663:AE663)&gt;0,AD326+1,0),0)</f>
        <v>0</v>
      </c>
      <c r="AF326" s="155">
        <f>IF(AF$2&lt;=analysis_period,IF(SUM($C663:AF663)&gt;0,AE326+1,0),0)</f>
        <v>0</v>
      </c>
      <c r="AG326" s="155">
        <f>IF(AG$2&lt;=analysis_period,IF(SUM($C663:AG663)&gt;0,AF326+1,0),0)</f>
        <v>0</v>
      </c>
      <c r="AH326" s="155">
        <f>IF(AH$2&lt;=analysis_period,IF(SUM($C663:AH663)&gt;0,AG326+1,0),0)</f>
        <v>0</v>
      </c>
      <c r="AI326" s="155">
        <f>IF(AI$2&lt;=analysis_period,IF(SUM($C663:AI663)&gt;0,AH326+1,0),0)</f>
        <v>0</v>
      </c>
      <c r="AJ326" s="155">
        <f>IF(AJ$2&lt;=analysis_period,IF(SUM($C663:AJ663)&gt;0,AI326+1,0),0)</f>
        <v>0</v>
      </c>
      <c r="AK326" s="155">
        <f>IF(AK$2&lt;=analysis_period,IF(SUM($C663:AK663)&gt;0,AJ326+1,0),0)</f>
        <v>0</v>
      </c>
      <c r="AL326" s="155">
        <f>IF(AL$2&lt;=analysis_period,IF(SUM($C663:AL663)&gt;0,AK326+1,0),0)</f>
        <v>0</v>
      </c>
      <c r="AM326" s="155">
        <f>IF(AM$2&lt;=analysis_period,IF(SUM($C663:AM663)&gt;0,AL326+1,0),0)</f>
        <v>0</v>
      </c>
      <c r="AN326" s="155">
        <f>IF(AN$2&lt;=analysis_period,IF(SUM($C663:AN663)&gt;0,AM326+1,0),0)</f>
        <v>0</v>
      </c>
      <c r="AO326" s="155">
        <f>IF(AO$2&lt;=analysis_period,IF(SUM($C663:AO663)&gt;0,AN326+1,0),0)</f>
        <v>0</v>
      </c>
      <c r="AP326" s="155">
        <f>IF(AP$2&lt;=analysis_period,IF(SUM($C663:AP663)&gt;0,AO326+1,0),0)</f>
        <v>0</v>
      </c>
    </row>
    <row r="327" spans="1:42" x14ac:dyDescent="0.2">
      <c r="A327" s="4">
        <f t="shared" si="124"/>
        <v>5</v>
      </c>
      <c r="B327" s="4">
        <v>0</v>
      </c>
      <c r="C327" s="155">
        <f>IF(C$2&lt;=analysis_period,IF(SUM($C664:C664)&gt;0,B327+1,0),0)</f>
        <v>0</v>
      </c>
      <c r="D327" s="155">
        <f>IF(D$2&lt;=analysis_period,IF(SUM($C664:D664)&gt;0,C327+1,0),0)</f>
        <v>0</v>
      </c>
      <c r="E327" s="155">
        <f>IF(E$2&lt;=analysis_period,IF(SUM($C664:E664)&gt;0,D327+1,0),0)</f>
        <v>0</v>
      </c>
      <c r="F327" s="155">
        <f>IF(F$2&lt;=analysis_period,IF(SUM($C664:F664)&gt;0,E327+1,0),0)</f>
        <v>0</v>
      </c>
      <c r="G327" s="155">
        <f>IF(G$2&lt;=analysis_period,IF(SUM($C664:G664)&gt;0,F327+1,0),0)</f>
        <v>0</v>
      </c>
      <c r="H327" s="155">
        <f>IF(H$2&lt;=analysis_period,IF(SUM($C664:H664)&gt;0,G327+1,0),0)</f>
        <v>0</v>
      </c>
      <c r="I327" s="155">
        <f>IF(I$2&lt;=analysis_period,IF(SUM($C664:I664)&gt;0,H327+1,0),0)</f>
        <v>0</v>
      </c>
      <c r="J327" s="155">
        <f>IF(J$2&lt;=analysis_period,IF(SUM($C664:J664)&gt;0,I327+1,0),0)</f>
        <v>0</v>
      </c>
      <c r="K327" s="155">
        <f>IF(K$2&lt;=analysis_period,IF(SUM($C664:K664)&gt;0,J327+1,0),0)</f>
        <v>0</v>
      </c>
      <c r="L327" s="155">
        <f>IF(L$2&lt;=analysis_period,IF(SUM($C664:L664)&gt;0,K327+1,0),0)</f>
        <v>0</v>
      </c>
      <c r="M327" s="155">
        <f>IF(M$2&lt;=analysis_period,IF(SUM($C664:M664)&gt;0,L327+1,0),0)</f>
        <v>0</v>
      </c>
      <c r="N327" s="155">
        <f>IF(N$2&lt;=analysis_period,IF(SUM($C664:N664)&gt;0,M327+1,0),0)</f>
        <v>0</v>
      </c>
      <c r="O327" s="155">
        <f>IF(O$2&lt;=analysis_period,IF(SUM($C664:O664)&gt;0,N327+1,0),0)</f>
        <v>0</v>
      </c>
      <c r="P327" s="155">
        <f>IF(P$2&lt;=analysis_period,IF(SUM($C664:P664)&gt;0,O327+1,0),0)</f>
        <v>0</v>
      </c>
      <c r="Q327" s="155">
        <f>IF(Q$2&lt;=analysis_period,IF(SUM($C664:Q664)&gt;0,P327+1,0),0)</f>
        <v>0</v>
      </c>
      <c r="R327" s="155">
        <f>IF(R$2&lt;=analysis_period,IF(SUM($C664:R664)&gt;0,Q327+1,0),0)</f>
        <v>0</v>
      </c>
      <c r="S327" s="155">
        <f>IF(S$2&lt;=analysis_period,IF(SUM($C664:S664)&gt;0,R327+1,0),0)</f>
        <v>0</v>
      </c>
      <c r="T327" s="155">
        <f>IF(T$2&lt;=analysis_period,IF(SUM($C664:T664)&gt;0,S327+1,0),0)</f>
        <v>0</v>
      </c>
      <c r="U327" s="155">
        <f>IF(U$2&lt;=analysis_period,IF(SUM($C664:U664)&gt;0,T327+1,0),0)</f>
        <v>0</v>
      </c>
      <c r="V327" s="155">
        <f>IF(V$2&lt;=analysis_period,IF(SUM($C664:V664)&gt;0,U327+1,0),0)</f>
        <v>0</v>
      </c>
      <c r="W327" s="155">
        <f>IF(W$2&lt;=analysis_period,IF(SUM($C664:W664)&gt;0,V327+1,0),0)</f>
        <v>0</v>
      </c>
      <c r="X327" s="155">
        <f>IF(X$2&lt;=analysis_period,IF(SUM($C664:X664)&gt;0,W327+1,0),0)</f>
        <v>0</v>
      </c>
      <c r="Y327" s="155">
        <f>IF(Y$2&lt;=analysis_period,IF(SUM($C664:Y664)&gt;0,X327+1,0),0)</f>
        <v>0</v>
      </c>
      <c r="Z327" s="155">
        <f>IF(Z$2&lt;=analysis_period,IF(SUM($C664:Z664)&gt;0,Y327+1,0),0)</f>
        <v>0</v>
      </c>
      <c r="AA327" s="155">
        <f>IF(AA$2&lt;=analysis_period,IF(SUM($C664:AA664)&gt;0,Z327+1,0),0)</f>
        <v>0</v>
      </c>
      <c r="AB327" s="155">
        <f>IF(AB$2&lt;=analysis_period,IF(SUM($C664:AB664)&gt;0,AA327+1,0),0)</f>
        <v>0</v>
      </c>
      <c r="AC327" s="155">
        <f>IF(AC$2&lt;=analysis_period,IF(SUM($C664:AC664)&gt;0,AB327+1,0),0)</f>
        <v>0</v>
      </c>
      <c r="AD327" s="155">
        <f>IF(AD$2&lt;=analysis_period,IF(SUM($C664:AD664)&gt;0,AC327+1,0),0)</f>
        <v>0</v>
      </c>
      <c r="AE327" s="155">
        <f>IF(AE$2&lt;=analysis_period,IF(SUM($C664:AE664)&gt;0,AD327+1,0),0)</f>
        <v>0</v>
      </c>
      <c r="AF327" s="155">
        <f>IF(AF$2&lt;=analysis_period,IF(SUM($C664:AF664)&gt;0,AE327+1,0),0)</f>
        <v>0</v>
      </c>
      <c r="AG327" s="155">
        <f>IF(AG$2&lt;=analysis_period,IF(SUM($C664:AG664)&gt;0,AF327+1,0),0)</f>
        <v>0</v>
      </c>
      <c r="AH327" s="155">
        <f>IF(AH$2&lt;=analysis_period,IF(SUM($C664:AH664)&gt;0,AG327+1,0),0)</f>
        <v>0</v>
      </c>
      <c r="AI327" s="155">
        <f>IF(AI$2&lt;=analysis_period,IF(SUM($C664:AI664)&gt;0,AH327+1,0),0)</f>
        <v>0</v>
      </c>
      <c r="AJ327" s="155">
        <f>IF(AJ$2&lt;=analysis_period,IF(SUM($C664:AJ664)&gt;0,AI327+1,0),0)</f>
        <v>0</v>
      </c>
      <c r="AK327" s="155">
        <f>IF(AK$2&lt;=analysis_period,IF(SUM($C664:AK664)&gt;0,AJ327+1,0),0)</f>
        <v>0</v>
      </c>
      <c r="AL327" s="155">
        <f>IF(AL$2&lt;=analysis_period,IF(SUM($C664:AL664)&gt;0,AK327+1,0),0)</f>
        <v>0</v>
      </c>
      <c r="AM327" s="155">
        <f>IF(AM$2&lt;=analysis_period,IF(SUM($C664:AM664)&gt;0,AL327+1,0),0)</f>
        <v>0</v>
      </c>
      <c r="AN327" s="155">
        <f>IF(AN$2&lt;=analysis_period,IF(SUM($C664:AN664)&gt;0,AM327+1,0),0)</f>
        <v>0</v>
      </c>
      <c r="AO327" s="155">
        <f>IF(AO$2&lt;=analysis_period,IF(SUM($C664:AO664)&gt;0,AN327+1,0),0)</f>
        <v>0</v>
      </c>
      <c r="AP327" s="155">
        <f>IF(AP$2&lt;=analysis_period,IF(SUM($C664:AP664)&gt;0,AO327+1,0),0)</f>
        <v>0</v>
      </c>
    </row>
    <row r="328" spans="1:42" x14ac:dyDescent="0.2">
      <c r="A328" s="4">
        <f t="shared" si="124"/>
        <v>6</v>
      </c>
      <c r="B328" s="4">
        <v>0</v>
      </c>
      <c r="C328" s="155">
        <f>IF(C$2&lt;=analysis_period,IF(SUM($C665:C665)&gt;0,B328+1,0),0)</f>
        <v>0</v>
      </c>
      <c r="D328" s="155">
        <f>IF(D$2&lt;=analysis_period,IF(SUM($C665:D665)&gt;0,C328+1,0),0)</f>
        <v>0</v>
      </c>
      <c r="E328" s="155">
        <f>IF(E$2&lt;=analysis_period,IF(SUM($C665:E665)&gt;0,D328+1,0),0)</f>
        <v>0</v>
      </c>
      <c r="F328" s="155">
        <f>IF(F$2&lt;=analysis_period,IF(SUM($C665:F665)&gt;0,E328+1,0),0)</f>
        <v>0</v>
      </c>
      <c r="G328" s="155">
        <f>IF(G$2&lt;=analysis_period,IF(SUM($C665:G665)&gt;0,F328+1,0),0)</f>
        <v>0</v>
      </c>
      <c r="H328" s="155">
        <f>IF(H$2&lt;=analysis_period,IF(SUM($C665:H665)&gt;0,G328+1,0),0)</f>
        <v>0</v>
      </c>
      <c r="I328" s="155">
        <f>IF(I$2&lt;=analysis_period,IF(SUM($C665:I665)&gt;0,H328+1,0),0)</f>
        <v>0</v>
      </c>
      <c r="J328" s="155">
        <f>IF(J$2&lt;=analysis_period,IF(SUM($C665:J665)&gt;0,I328+1,0),0)</f>
        <v>0</v>
      </c>
      <c r="K328" s="155">
        <f>IF(K$2&lt;=analysis_period,IF(SUM($C665:K665)&gt;0,J328+1,0),0)</f>
        <v>0</v>
      </c>
      <c r="L328" s="155">
        <f>IF(L$2&lt;=analysis_period,IF(SUM($C665:L665)&gt;0,K328+1,0),0)</f>
        <v>0</v>
      </c>
      <c r="M328" s="155">
        <f>IF(M$2&lt;=analysis_period,IF(SUM($C665:M665)&gt;0,L328+1,0),0)</f>
        <v>0</v>
      </c>
      <c r="N328" s="155">
        <f>IF(N$2&lt;=analysis_period,IF(SUM($C665:N665)&gt;0,M328+1,0),0)</f>
        <v>0</v>
      </c>
      <c r="O328" s="155">
        <f>IF(O$2&lt;=analysis_period,IF(SUM($C665:O665)&gt;0,N328+1,0),0)</f>
        <v>0</v>
      </c>
      <c r="P328" s="155">
        <f>IF(P$2&lt;=analysis_period,IF(SUM($C665:P665)&gt;0,O328+1,0),0)</f>
        <v>0</v>
      </c>
      <c r="Q328" s="155">
        <f>IF(Q$2&lt;=analysis_period,IF(SUM($C665:Q665)&gt;0,P328+1,0),0)</f>
        <v>0</v>
      </c>
      <c r="R328" s="155">
        <f>IF(R$2&lt;=analysis_period,IF(SUM($C665:R665)&gt;0,Q328+1,0),0)</f>
        <v>0</v>
      </c>
      <c r="S328" s="155">
        <f>IF(S$2&lt;=analysis_period,IF(SUM($C665:S665)&gt;0,R328+1,0),0)</f>
        <v>0</v>
      </c>
      <c r="T328" s="155">
        <f>IF(T$2&lt;=analysis_period,IF(SUM($C665:T665)&gt;0,S328+1,0),0)</f>
        <v>0</v>
      </c>
      <c r="U328" s="155">
        <f>IF(U$2&lt;=analysis_period,IF(SUM($C665:U665)&gt;0,T328+1,0),0)</f>
        <v>0</v>
      </c>
      <c r="V328" s="155">
        <f>IF(V$2&lt;=analysis_period,IF(SUM($C665:V665)&gt;0,U328+1,0),0)</f>
        <v>0</v>
      </c>
      <c r="W328" s="155">
        <f>IF(W$2&lt;=analysis_period,IF(SUM($C665:W665)&gt;0,V328+1,0),0)</f>
        <v>0</v>
      </c>
      <c r="X328" s="155">
        <f>IF(X$2&lt;=analysis_period,IF(SUM($C665:X665)&gt;0,W328+1,0),0)</f>
        <v>0</v>
      </c>
      <c r="Y328" s="155">
        <f>IF(Y$2&lt;=analysis_period,IF(SUM($C665:Y665)&gt;0,X328+1,0),0)</f>
        <v>0</v>
      </c>
      <c r="Z328" s="155">
        <f>IF(Z$2&lt;=analysis_period,IF(SUM($C665:Z665)&gt;0,Y328+1,0),0)</f>
        <v>0</v>
      </c>
      <c r="AA328" s="155">
        <f>IF(AA$2&lt;=analysis_period,IF(SUM($C665:AA665)&gt;0,Z328+1,0),0)</f>
        <v>0</v>
      </c>
      <c r="AB328" s="155">
        <f>IF(AB$2&lt;=analysis_period,IF(SUM($C665:AB665)&gt;0,AA328+1,0),0)</f>
        <v>0</v>
      </c>
      <c r="AC328" s="155">
        <f>IF(AC$2&lt;=analysis_period,IF(SUM($C665:AC665)&gt;0,AB328+1,0),0)</f>
        <v>0</v>
      </c>
      <c r="AD328" s="155">
        <f>IF(AD$2&lt;=analysis_period,IF(SUM($C665:AD665)&gt;0,AC328+1,0),0)</f>
        <v>0</v>
      </c>
      <c r="AE328" s="155">
        <f>IF(AE$2&lt;=analysis_period,IF(SUM($C665:AE665)&gt;0,AD328+1,0),0)</f>
        <v>0</v>
      </c>
      <c r="AF328" s="155">
        <f>IF(AF$2&lt;=analysis_period,IF(SUM($C665:AF665)&gt;0,AE328+1,0),0)</f>
        <v>0</v>
      </c>
      <c r="AG328" s="155">
        <f>IF(AG$2&lt;=analysis_period,IF(SUM($C665:AG665)&gt;0,AF328+1,0),0)</f>
        <v>0</v>
      </c>
      <c r="AH328" s="155">
        <f>IF(AH$2&lt;=analysis_period,IF(SUM($C665:AH665)&gt;0,AG328+1,0),0)</f>
        <v>0</v>
      </c>
      <c r="AI328" s="155">
        <f>IF(AI$2&lt;=analysis_period,IF(SUM($C665:AI665)&gt;0,AH328+1,0),0)</f>
        <v>0</v>
      </c>
      <c r="AJ328" s="155">
        <f>IF(AJ$2&lt;=analysis_period,IF(SUM($C665:AJ665)&gt;0,AI328+1,0),0)</f>
        <v>0</v>
      </c>
      <c r="AK328" s="155">
        <f>IF(AK$2&lt;=analysis_period,IF(SUM($C665:AK665)&gt;0,AJ328+1,0),0)</f>
        <v>0</v>
      </c>
      <c r="AL328" s="155">
        <f>IF(AL$2&lt;=analysis_period,IF(SUM($C665:AL665)&gt;0,AK328+1,0),0)</f>
        <v>0</v>
      </c>
      <c r="AM328" s="155">
        <f>IF(AM$2&lt;=analysis_period,IF(SUM($C665:AM665)&gt;0,AL328+1,0),0)</f>
        <v>0</v>
      </c>
      <c r="AN328" s="155">
        <f>IF(AN$2&lt;=analysis_period,IF(SUM($C665:AN665)&gt;0,AM328+1,0),0)</f>
        <v>0</v>
      </c>
      <c r="AO328" s="155">
        <f>IF(AO$2&lt;=analysis_period,IF(SUM($C665:AO665)&gt;0,AN328+1,0),0)</f>
        <v>0</v>
      </c>
      <c r="AP328" s="155">
        <f>IF(AP$2&lt;=analysis_period,IF(SUM($C665:AP665)&gt;0,AO328+1,0),0)</f>
        <v>0</v>
      </c>
    </row>
    <row r="329" spans="1:42" x14ac:dyDescent="0.2">
      <c r="A329" s="4">
        <f t="shared" si="124"/>
        <v>7</v>
      </c>
      <c r="B329" s="4">
        <v>0</v>
      </c>
      <c r="C329" s="155">
        <f>IF(C$2&lt;=analysis_period,IF(SUM($C666:C666)&gt;0,B329+1,0),0)</f>
        <v>0</v>
      </c>
      <c r="D329" s="155">
        <f>IF(D$2&lt;=analysis_period,IF(SUM($C666:D666)&gt;0,C329+1,0),0)</f>
        <v>0</v>
      </c>
      <c r="E329" s="155">
        <f>IF(E$2&lt;=analysis_period,IF(SUM($C666:E666)&gt;0,D329+1,0),0)</f>
        <v>0</v>
      </c>
      <c r="F329" s="155">
        <f>IF(F$2&lt;=analysis_period,IF(SUM($C666:F666)&gt;0,E329+1,0),0)</f>
        <v>0</v>
      </c>
      <c r="G329" s="155">
        <f>IF(G$2&lt;=analysis_period,IF(SUM($C666:G666)&gt;0,F329+1,0),0)</f>
        <v>0</v>
      </c>
      <c r="H329" s="155">
        <f>IF(H$2&lt;=analysis_period,IF(SUM($C666:H666)&gt;0,G329+1,0),0)</f>
        <v>0</v>
      </c>
      <c r="I329" s="155">
        <f>IF(I$2&lt;=analysis_period,IF(SUM($C666:I666)&gt;0,H329+1,0),0)</f>
        <v>0</v>
      </c>
      <c r="J329" s="155">
        <f>IF(J$2&lt;=analysis_period,IF(SUM($C666:J666)&gt;0,I329+1,0),0)</f>
        <v>0</v>
      </c>
      <c r="K329" s="155">
        <f>IF(K$2&lt;=analysis_period,IF(SUM($C666:K666)&gt;0,J329+1,0),0)</f>
        <v>0</v>
      </c>
      <c r="L329" s="155">
        <f>IF(L$2&lt;=analysis_period,IF(SUM($C666:L666)&gt;0,K329+1,0),0)</f>
        <v>0</v>
      </c>
      <c r="M329" s="155">
        <f>IF(M$2&lt;=analysis_period,IF(SUM($C666:M666)&gt;0,L329+1,0),0)</f>
        <v>0</v>
      </c>
      <c r="N329" s="155">
        <f>IF(N$2&lt;=analysis_period,IF(SUM($C666:N666)&gt;0,M329+1,0),0)</f>
        <v>0</v>
      </c>
      <c r="O329" s="155">
        <f>IF(O$2&lt;=analysis_period,IF(SUM($C666:O666)&gt;0,N329+1,0),0)</f>
        <v>0</v>
      </c>
      <c r="P329" s="155">
        <f>IF(P$2&lt;=analysis_period,IF(SUM($C666:P666)&gt;0,O329+1,0),0)</f>
        <v>0</v>
      </c>
      <c r="Q329" s="155">
        <f>IF(Q$2&lt;=analysis_period,IF(SUM($C666:Q666)&gt;0,P329+1,0),0)</f>
        <v>0</v>
      </c>
      <c r="R329" s="155">
        <f>IF(R$2&lt;=analysis_period,IF(SUM($C666:R666)&gt;0,Q329+1,0),0)</f>
        <v>0</v>
      </c>
      <c r="S329" s="155">
        <f>IF(S$2&lt;=analysis_period,IF(SUM($C666:S666)&gt;0,R329+1,0),0)</f>
        <v>0</v>
      </c>
      <c r="T329" s="155">
        <f>IF(T$2&lt;=analysis_period,IF(SUM($C666:T666)&gt;0,S329+1,0),0)</f>
        <v>0</v>
      </c>
      <c r="U329" s="155">
        <f>IF(U$2&lt;=analysis_period,IF(SUM($C666:U666)&gt;0,T329+1,0),0)</f>
        <v>0</v>
      </c>
      <c r="V329" s="155">
        <f>IF(V$2&lt;=analysis_period,IF(SUM($C666:V666)&gt;0,U329+1,0),0)</f>
        <v>0</v>
      </c>
      <c r="W329" s="155">
        <f>IF(W$2&lt;=analysis_period,IF(SUM($C666:W666)&gt;0,V329+1,0),0)</f>
        <v>0</v>
      </c>
      <c r="X329" s="155">
        <f>IF(X$2&lt;=analysis_period,IF(SUM($C666:X666)&gt;0,W329+1,0),0)</f>
        <v>0</v>
      </c>
      <c r="Y329" s="155">
        <f>IF(Y$2&lt;=analysis_period,IF(SUM($C666:Y666)&gt;0,X329+1,0),0)</f>
        <v>0</v>
      </c>
      <c r="Z329" s="155">
        <f>IF(Z$2&lt;=analysis_period,IF(SUM($C666:Z666)&gt;0,Y329+1,0),0)</f>
        <v>0</v>
      </c>
      <c r="AA329" s="155">
        <f>IF(AA$2&lt;=analysis_period,IF(SUM($C666:AA666)&gt;0,Z329+1,0),0)</f>
        <v>0</v>
      </c>
      <c r="AB329" s="155">
        <f>IF(AB$2&lt;=analysis_period,IF(SUM($C666:AB666)&gt;0,AA329+1,0),0)</f>
        <v>0</v>
      </c>
      <c r="AC329" s="155">
        <f>IF(AC$2&lt;=analysis_period,IF(SUM($C666:AC666)&gt;0,AB329+1,0),0)</f>
        <v>0</v>
      </c>
      <c r="AD329" s="155">
        <f>IF(AD$2&lt;=analysis_period,IF(SUM($C666:AD666)&gt;0,AC329+1,0),0)</f>
        <v>0</v>
      </c>
      <c r="AE329" s="155">
        <f>IF(AE$2&lt;=analysis_period,IF(SUM($C666:AE666)&gt;0,AD329+1,0),0)</f>
        <v>0</v>
      </c>
      <c r="AF329" s="155">
        <f>IF(AF$2&lt;=analysis_period,IF(SUM($C666:AF666)&gt;0,AE329+1,0),0)</f>
        <v>0</v>
      </c>
      <c r="AG329" s="155">
        <f>IF(AG$2&lt;=analysis_period,IF(SUM($C666:AG666)&gt;0,AF329+1,0),0)</f>
        <v>0</v>
      </c>
      <c r="AH329" s="155">
        <f>IF(AH$2&lt;=analysis_period,IF(SUM($C666:AH666)&gt;0,AG329+1,0),0)</f>
        <v>0</v>
      </c>
      <c r="AI329" s="155">
        <f>IF(AI$2&lt;=analysis_period,IF(SUM($C666:AI666)&gt;0,AH329+1,0),0)</f>
        <v>0</v>
      </c>
      <c r="AJ329" s="155">
        <f>IF(AJ$2&lt;=analysis_period,IF(SUM($C666:AJ666)&gt;0,AI329+1,0),0)</f>
        <v>0</v>
      </c>
      <c r="AK329" s="155">
        <f>IF(AK$2&lt;=analysis_period,IF(SUM($C666:AK666)&gt;0,AJ329+1,0),0)</f>
        <v>0</v>
      </c>
      <c r="AL329" s="155">
        <f>IF(AL$2&lt;=analysis_period,IF(SUM($C666:AL666)&gt;0,AK329+1,0),0)</f>
        <v>0</v>
      </c>
      <c r="AM329" s="155">
        <f>IF(AM$2&lt;=analysis_period,IF(SUM($C666:AM666)&gt;0,AL329+1,0),0)</f>
        <v>0</v>
      </c>
      <c r="AN329" s="155">
        <f>IF(AN$2&lt;=analysis_period,IF(SUM($C666:AN666)&gt;0,AM329+1,0),0)</f>
        <v>0</v>
      </c>
      <c r="AO329" s="155">
        <f>IF(AO$2&lt;=analysis_period,IF(SUM($C666:AO666)&gt;0,AN329+1,0),0)</f>
        <v>0</v>
      </c>
      <c r="AP329" s="155">
        <f>IF(AP$2&lt;=analysis_period,IF(SUM($C666:AP666)&gt;0,AO329+1,0),0)</f>
        <v>0</v>
      </c>
    </row>
    <row r="330" spans="1:42" x14ac:dyDescent="0.2">
      <c r="A330" s="4">
        <f t="shared" si="124"/>
        <v>8</v>
      </c>
      <c r="B330" s="4">
        <v>0</v>
      </c>
      <c r="C330" s="155">
        <f>IF(C$2&lt;=analysis_period,IF(SUM($C667:C667)&gt;0,B330+1,0),0)</f>
        <v>0</v>
      </c>
      <c r="D330" s="155">
        <f>IF(D$2&lt;=analysis_period,IF(SUM($C667:D667)&gt;0,C330+1,0),0)</f>
        <v>0</v>
      </c>
      <c r="E330" s="155">
        <f>IF(E$2&lt;=analysis_period,IF(SUM($C667:E667)&gt;0,D330+1,0),0)</f>
        <v>0</v>
      </c>
      <c r="F330" s="155">
        <f>IF(F$2&lt;=analysis_period,IF(SUM($C667:F667)&gt;0,E330+1,0),0)</f>
        <v>0</v>
      </c>
      <c r="G330" s="155">
        <f>IF(G$2&lt;=analysis_period,IF(SUM($C667:G667)&gt;0,F330+1,0),0)</f>
        <v>0</v>
      </c>
      <c r="H330" s="155">
        <f>IF(H$2&lt;=analysis_period,IF(SUM($C667:H667)&gt;0,G330+1,0),0)</f>
        <v>0</v>
      </c>
      <c r="I330" s="155">
        <f>IF(I$2&lt;=analysis_period,IF(SUM($C667:I667)&gt;0,H330+1,0),0)</f>
        <v>0</v>
      </c>
      <c r="J330" s="155">
        <f>IF(J$2&lt;=analysis_period,IF(SUM($C667:J667)&gt;0,I330+1,0),0)</f>
        <v>0</v>
      </c>
      <c r="K330" s="155">
        <f>IF(K$2&lt;=analysis_period,IF(SUM($C667:K667)&gt;0,J330+1,0),0)</f>
        <v>0</v>
      </c>
      <c r="L330" s="155">
        <f>IF(L$2&lt;=analysis_period,IF(SUM($C667:L667)&gt;0,K330+1,0),0)</f>
        <v>0</v>
      </c>
      <c r="M330" s="155">
        <f>IF(M$2&lt;=analysis_period,IF(SUM($C667:M667)&gt;0,L330+1,0),0)</f>
        <v>0</v>
      </c>
      <c r="N330" s="155">
        <f>IF(N$2&lt;=analysis_period,IF(SUM($C667:N667)&gt;0,M330+1,0),0)</f>
        <v>0</v>
      </c>
      <c r="O330" s="155">
        <f>IF(O$2&lt;=analysis_period,IF(SUM($C667:O667)&gt;0,N330+1,0),0)</f>
        <v>0</v>
      </c>
      <c r="P330" s="155">
        <f>IF(P$2&lt;=analysis_period,IF(SUM($C667:P667)&gt;0,O330+1,0),0)</f>
        <v>0</v>
      </c>
      <c r="Q330" s="155">
        <f>IF(Q$2&lt;=analysis_period,IF(SUM($C667:Q667)&gt;0,P330+1,0),0)</f>
        <v>0</v>
      </c>
      <c r="R330" s="155">
        <f>IF(R$2&lt;=analysis_period,IF(SUM($C667:R667)&gt;0,Q330+1,0),0)</f>
        <v>0</v>
      </c>
      <c r="S330" s="155">
        <f>IF(S$2&lt;=analysis_period,IF(SUM($C667:S667)&gt;0,R330+1,0),0)</f>
        <v>0</v>
      </c>
      <c r="T330" s="155">
        <f>IF(T$2&lt;=analysis_period,IF(SUM($C667:T667)&gt;0,S330+1,0),0)</f>
        <v>0</v>
      </c>
      <c r="U330" s="155">
        <f>IF(U$2&lt;=analysis_period,IF(SUM($C667:U667)&gt;0,T330+1,0),0)</f>
        <v>0</v>
      </c>
      <c r="V330" s="155">
        <f>IF(V$2&lt;=analysis_period,IF(SUM($C667:V667)&gt;0,U330+1,0),0)</f>
        <v>0</v>
      </c>
      <c r="W330" s="155">
        <f>IF(W$2&lt;=analysis_period,IF(SUM($C667:W667)&gt;0,V330+1,0),0)</f>
        <v>0</v>
      </c>
      <c r="X330" s="155">
        <f>IF(X$2&lt;=analysis_period,IF(SUM($C667:X667)&gt;0,W330+1,0),0)</f>
        <v>0</v>
      </c>
      <c r="Y330" s="155">
        <f>IF(Y$2&lt;=analysis_period,IF(SUM($C667:Y667)&gt;0,X330+1,0),0)</f>
        <v>0</v>
      </c>
      <c r="Z330" s="155">
        <f>IF(Z$2&lt;=analysis_period,IF(SUM($C667:Z667)&gt;0,Y330+1,0),0)</f>
        <v>0</v>
      </c>
      <c r="AA330" s="155">
        <f>IF(AA$2&lt;=analysis_period,IF(SUM($C667:AA667)&gt;0,Z330+1,0),0)</f>
        <v>0</v>
      </c>
      <c r="AB330" s="155">
        <f>IF(AB$2&lt;=analysis_period,IF(SUM($C667:AB667)&gt;0,AA330+1,0),0)</f>
        <v>0</v>
      </c>
      <c r="AC330" s="155">
        <f>IF(AC$2&lt;=analysis_period,IF(SUM($C667:AC667)&gt;0,AB330+1,0),0)</f>
        <v>0</v>
      </c>
      <c r="AD330" s="155">
        <f>IF(AD$2&lt;=analysis_period,IF(SUM($C667:AD667)&gt;0,AC330+1,0),0)</f>
        <v>0</v>
      </c>
      <c r="AE330" s="155">
        <f>IF(AE$2&lt;=analysis_period,IF(SUM($C667:AE667)&gt;0,AD330+1,0),0)</f>
        <v>0</v>
      </c>
      <c r="AF330" s="155">
        <f>IF(AF$2&lt;=analysis_period,IF(SUM($C667:AF667)&gt;0,AE330+1,0),0)</f>
        <v>0</v>
      </c>
      <c r="AG330" s="155">
        <f>IF(AG$2&lt;=analysis_period,IF(SUM($C667:AG667)&gt;0,AF330+1,0),0)</f>
        <v>0</v>
      </c>
      <c r="AH330" s="155">
        <f>IF(AH$2&lt;=analysis_period,IF(SUM($C667:AH667)&gt;0,AG330+1,0),0)</f>
        <v>0</v>
      </c>
      <c r="AI330" s="155">
        <f>IF(AI$2&lt;=analysis_period,IF(SUM($C667:AI667)&gt;0,AH330+1,0),0)</f>
        <v>0</v>
      </c>
      <c r="AJ330" s="155">
        <f>IF(AJ$2&lt;=analysis_period,IF(SUM($C667:AJ667)&gt;0,AI330+1,0),0)</f>
        <v>0</v>
      </c>
      <c r="AK330" s="155">
        <f>IF(AK$2&lt;=analysis_period,IF(SUM($C667:AK667)&gt;0,AJ330+1,0),0)</f>
        <v>0</v>
      </c>
      <c r="AL330" s="155">
        <f>IF(AL$2&lt;=analysis_period,IF(SUM($C667:AL667)&gt;0,AK330+1,0),0)</f>
        <v>0</v>
      </c>
      <c r="AM330" s="155">
        <f>IF(AM$2&lt;=analysis_period,IF(SUM($C667:AM667)&gt;0,AL330+1,0),0)</f>
        <v>0</v>
      </c>
      <c r="AN330" s="155">
        <f>IF(AN$2&lt;=analysis_period,IF(SUM($C667:AN667)&gt;0,AM330+1,0),0)</f>
        <v>0</v>
      </c>
      <c r="AO330" s="155">
        <f>IF(AO$2&lt;=analysis_period,IF(SUM($C667:AO667)&gt;0,AN330+1,0),0)</f>
        <v>0</v>
      </c>
      <c r="AP330" s="155">
        <f>IF(AP$2&lt;=analysis_period,IF(SUM($C667:AP667)&gt;0,AO330+1,0),0)</f>
        <v>0</v>
      </c>
    </row>
    <row r="331" spans="1:42" x14ac:dyDescent="0.2">
      <c r="A331" s="4">
        <f>A330+1</f>
        <v>9</v>
      </c>
      <c r="B331" s="4">
        <v>0</v>
      </c>
      <c r="C331" s="155">
        <f>IF(C$2&lt;=analysis_period,IF(SUM($C668:C668)&gt;0,B331+1,0),0)</f>
        <v>0</v>
      </c>
      <c r="D331" s="155">
        <f>IF(D$2&lt;=analysis_period,IF(SUM($C668:D668)&gt;0,C331+1,0),0)</f>
        <v>0</v>
      </c>
      <c r="E331" s="155">
        <f>IF(E$2&lt;=analysis_period,IF(SUM($C668:E668)&gt;0,D331+1,0),0)</f>
        <v>0</v>
      </c>
      <c r="F331" s="155">
        <f>IF(F$2&lt;=analysis_period,IF(SUM($C668:F668)&gt;0,E331+1,0),0)</f>
        <v>0</v>
      </c>
      <c r="G331" s="155">
        <f>IF(G$2&lt;=analysis_period,IF(SUM($C668:G668)&gt;0,F331+1,0),0)</f>
        <v>0</v>
      </c>
      <c r="H331" s="155">
        <f>IF(H$2&lt;=analysis_period,IF(SUM($C668:H668)&gt;0,G331+1,0),0)</f>
        <v>0</v>
      </c>
      <c r="I331" s="155">
        <f>IF(I$2&lt;=analysis_period,IF(SUM($C668:I668)&gt;0,H331+1,0),0)</f>
        <v>0</v>
      </c>
      <c r="J331" s="155">
        <f>IF(J$2&lt;=analysis_period,IF(SUM($C668:J668)&gt;0,I331+1,0),0)</f>
        <v>0</v>
      </c>
      <c r="K331" s="155">
        <f>IF(K$2&lt;=analysis_period,IF(SUM($C668:K668)&gt;0,J331+1,0),0)</f>
        <v>0</v>
      </c>
      <c r="L331" s="155">
        <f>IF(L$2&lt;=analysis_period,IF(SUM($C668:L668)&gt;0,K331+1,0),0)</f>
        <v>0</v>
      </c>
      <c r="M331" s="155">
        <f>IF(M$2&lt;=analysis_period,IF(SUM($C668:M668)&gt;0,L331+1,0),0)</f>
        <v>0</v>
      </c>
      <c r="N331" s="155">
        <f>IF(N$2&lt;=analysis_period,IF(SUM($C668:N668)&gt;0,M331+1,0),0)</f>
        <v>0</v>
      </c>
      <c r="O331" s="155">
        <f>IF(O$2&lt;=analysis_period,IF(SUM($C668:O668)&gt;0,N331+1,0),0)</f>
        <v>0</v>
      </c>
      <c r="P331" s="155">
        <f>IF(P$2&lt;=analysis_period,IF(SUM($C668:P668)&gt;0,O331+1,0),0)</f>
        <v>0</v>
      </c>
      <c r="Q331" s="155">
        <f>IF(Q$2&lt;=analysis_period,IF(SUM($C668:Q668)&gt;0,P331+1,0),0)</f>
        <v>0</v>
      </c>
      <c r="R331" s="155">
        <f>IF(R$2&lt;=analysis_period,IF(SUM($C668:R668)&gt;0,Q331+1,0),0)</f>
        <v>0</v>
      </c>
      <c r="S331" s="155">
        <f>IF(S$2&lt;=analysis_period,IF(SUM($C668:S668)&gt;0,R331+1,0),0)</f>
        <v>0</v>
      </c>
      <c r="T331" s="155">
        <f>IF(T$2&lt;=analysis_period,IF(SUM($C668:T668)&gt;0,S331+1,0),0)</f>
        <v>0</v>
      </c>
      <c r="U331" s="155">
        <f>IF(U$2&lt;=analysis_period,IF(SUM($C668:U668)&gt;0,T331+1,0),0)</f>
        <v>0</v>
      </c>
      <c r="V331" s="155">
        <f>IF(V$2&lt;=analysis_period,IF(SUM($C668:V668)&gt;0,U331+1,0),0)</f>
        <v>0</v>
      </c>
      <c r="W331" s="155">
        <f>IF(W$2&lt;=analysis_period,IF(SUM($C668:W668)&gt;0,V331+1,0),0)</f>
        <v>0</v>
      </c>
      <c r="X331" s="155">
        <f>IF(X$2&lt;=analysis_period,IF(SUM($C668:X668)&gt;0,W331+1,0),0)</f>
        <v>0</v>
      </c>
      <c r="Y331" s="155">
        <f>IF(Y$2&lt;=analysis_period,IF(SUM($C668:Y668)&gt;0,X331+1,0),0)</f>
        <v>0</v>
      </c>
      <c r="Z331" s="155">
        <f>IF(Z$2&lt;=analysis_period,IF(SUM($C668:Z668)&gt;0,Y331+1,0),0)</f>
        <v>0</v>
      </c>
      <c r="AA331" s="155">
        <f>IF(AA$2&lt;=analysis_period,IF(SUM($C668:AA668)&gt;0,Z331+1,0),0)</f>
        <v>0</v>
      </c>
      <c r="AB331" s="155">
        <f>IF(AB$2&lt;=analysis_period,IF(SUM($C668:AB668)&gt;0,AA331+1,0),0)</f>
        <v>0</v>
      </c>
      <c r="AC331" s="155">
        <f>IF(AC$2&lt;=analysis_period,IF(SUM($C668:AC668)&gt;0,AB331+1,0),0)</f>
        <v>0</v>
      </c>
      <c r="AD331" s="155">
        <f>IF(AD$2&lt;=analysis_period,IF(SUM($C668:AD668)&gt;0,AC331+1,0),0)</f>
        <v>0</v>
      </c>
      <c r="AE331" s="155">
        <f>IF(AE$2&lt;=analysis_period,IF(SUM($C668:AE668)&gt;0,AD331+1,0),0)</f>
        <v>0</v>
      </c>
      <c r="AF331" s="155">
        <f>IF(AF$2&lt;=analysis_period,IF(SUM($C668:AF668)&gt;0,AE331+1,0),0)</f>
        <v>0</v>
      </c>
      <c r="AG331" s="155">
        <f>IF(AG$2&lt;=analysis_period,IF(SUM($C668:AG668)&gt;0,AF331+1,0),0)</f>
        <v>0</v>
      </c>
      <c r="AH331" s="155">
        <f>IF(AH$2&lt;=analysis_period,IF(SUM($C668:AH668)&gt;0,AG331+1,0),0)</f>
        <v>0</v>
      </c>
      <c r="AI331" s="155">
        <f>IF(AI$2&lt;=analysis_period,IF(SUM($C668:AI668)&gt;0,AH331+1,0),0)</f>
        <v>0</v>
      </c>
      <c r="AJ331" s="155">
        <f>IF(AJ$2&lt;=analysis_period,IF(SUM($C668:AJ668)&gt;0,AI331+1,0),0)</f>
        <v>0</v>
      </c>
      <c r="AK331" s="155">
        <f>IF(AK$2&lt;=analysis_period,IF(SUM($C668:AK668)&gt;0,AJ331+1,0),0)</f>
        <v>0</v>
      </c>
      <c r="AL331" s="155">
        <f>IF(AL$2&lt;=analysis_period,IF(SUM($C668:AL668)&gt;0,AK331+1,0),0)</f>
        <v>0</v>
      </c>
      <c r="AM331" s="155">
        <f>IF(AM$2&lt;=analysis_period,IF(SUM($C668:AM668)&gt;0,AL331+1,0),0)</f>
        <v>0</v>
      </c>
      <c r="AN331" s="155">
        <f>IF(AN$2&lt;=analysis_period,IF(SUM($C668:AN668)&gt;0,AM331+1,0),0)</f>
        <v>0</v>
      </c>
      <c r="AO331" s="155">
        <f>IF(AO$2&lt;=analysis_period,IF(SUM($C668:AO668)&gt;0,AN331+1,0),0)</f>
        <v>0</v>
      </c>
      <c r="AP331" s="155">
        <f>IF(AP$2&lt;=analysis_period,IF(SUM($C668:AP668)&gt;0,AO331+1,0),0)</f>
        <v>0</v>
      </c>
    </row>
    <row r="332" spans="1:42" x14ac:dyDescent="0.2">
      <c r="A332" s="4">
        <f t="shared" si="124"/>
        <v>10</v>
      </c>
      <c r="B332" s="4">
        <v>0</v>
      </c>
      <c r="C332" s="155">
        <f>IF(C$2&lt;=analysis_period,IF(SUM($C669:C669)&gt;0,B332+1,0),0)</f>
        <v>0</v>
      </c>
      <c r="D332" s="155">
        <f>IF(D$2&lt;=analysis_period,IF(SUM($C669:D669)&gt;0,C332+1,0),0)</f>
        <v>0</v>
      </c>
      <c r="E332" s="155">
        <f>IF(E$2&lt;=analysis_period,IF(SUM($C669:E669)&gt;0,D332+1,0),0)</f>
        <v>0</v>
      </c>
      <c r="F332" s="155">
        <f>IF(F$2&lt;=analysis_period,IF(SUM($C669:F669)&gt;0,E332+1,0),0)</f>
        <v>0</v>
      </c>
      <c r="G332" s="155">
        <f>IF(G$2&lt;=analysis_period,IF(SUM($C669:G669)&gt;0,F332+1,0),0)</f>
        <v>0</v>
      </c>
      <c r="H332" s="155">
        <f>IF(H$2&lt;=analysis_period,IF(SUM($C669:H669)&gt;0,G332+1,0),0)</f>
        <v>0</v>
      </c>
      <c r="I332" s="155">
        <f>IF(I$2&lt;=analysis_period,IF(SUM($C669:I669)&gt;0,H332+1,0),0)</f>
        <v>0</v>
      </c>
      <c r="J332" s="155">
        <f>IF(J$2&lt;=analysis_period,IF(SUM($C669:J669)&gt;0,I332+1,0),0)</f>
        <v>0</v>
      </c>
      <c r="K332" s="155">
        <f>IF(K$2&lt;=analysis_period,IF(SUM($C669:K669)&gt;0,J332+1,0),0)</f>
        <v>0</v>
      </c>
      <c r="L332" s="155">
        <f>IF(L$2&lt;=analysis_period,IF(SUM($C669:L669)&gt;0,K332+1,0),0)</f>
        <v>0</v>
      </c>
      <c r="M332" s="155">
        <f>IF(M$2&lt;=analysis_period,IF(SUM($C669:M669)&gt;0,L332+1,0),0)</f>
        <v>0</v>
      </c>
      <c r="N332" s="155">
        <f>IF(N$2&lt;=analysis_period,IF(SUM($C669:N669)&gt;0,M332+1,0),0)</f>
        <v>0</v>
      </c>
      <c r="O332" s="155">
        <f>IF(O$2&lt;=analysis_period,IF(SUM($C669:O669)&gt;0,N332+1,0),0)</f>
        <v>0</v>
      </c>
      <c r="P332" s="155">
        <f>IF(P$2&lt;=analysis_period,IF(SUM($C669:P669)&gt;0,O332+1,0),0)</f>
        <v>0</v>
      </c>
      <c r="Q332" s="155">
        <f>IF(Q$2&lt;=analysis_period,IF(SUM($C669:Q669)&gt;0,P332+1,0),0)</f>
        <v>0</v>
      </c>
      <c r="R332" s="155">
        <f>IF(R$2&lt;=analysis_period,IF(SUM($C669:R669)&gt;0,Q332+1,0),0)</f>
        <v>0</v>
      </c>
      <c r="S332" s="155">
        <f>IF(S$2&lt;=analysis_period,IF(SUM($C669:S669)&gt;0,R332+1,0),0)</f>
        <v>0</v>
      </c>
      <c r="T332" s="155">
        <f>IF(T$2&lt;=analysis_period,IF(SUM($C669:T669)&gt;0,S332+1,0),0)</f>
        <v>0</v>
      </c>
      <c r="U332" s="155">
        <f>IF(U$2&lt;=analysis_period,IF(SUM($C669:U669)&gt;0,T332+1,0),0)</f>
        <v>0</v>
      </c>
      <c r="V332" s="155">
        <f>IF(V$2&lt;=analysis_period,IF(SUM($C669:V669)&gt;0,U332+1,0),0)</f>
        <v>0</v>
      </c>
      <c r="W332" s="155">
        <f>IF(W$2&lt;=analysis_period,IF(SUM($C669:W669)&gt;0,V332+1,0),0)</f>
        <v>0</v>
      </c>
      <c r="X332" s="155">
        <f>IF(X$2&lt;=analysis_period,IF(SUM($C669:X669)&gt;0,W332+1,0),0)</f>
        <v>0</v>
      </c>
      <c r="Y332" s="155">
        <f>IF(Y$2&lt;=analysis_period,IF(SUM($C669:Y669)&gt;0,X332+1,0),0)</f>
        <v>0</v>
      </c>
      <c r="Z332" s="155">
        <f>IF(Z$2&lt;=analysis_period,IF(SUM($C669:Z669)&gt;0,Y332+1,0),0)</f>
        <v>0</v>
      </c>
      <c r="AA332" s="155">
        <f>IF(AA$2&lt;=analysis_period,IF(SUM($C669:AA669)&gt;0,Z332+1,0),0)</f>
        <v>0</v>
      </c>
      <c r="AB332" s="155">
        <f>IF(AB$2&lt;=analysis_period,IF(SUM($C669:AB669)&gt;0,AA332+1,0),0)</f>
        <v>0</v>
      </c>
      <c r="AC332" s="155">
        <f>IF(AC$2&lt;=analysis_period,IF(SUM($C669:AC669)&gt;0,AB332+1,0),0)</f>
        <v>0</v>
      </c>
      <c r="AD332" s="155">
        <f>IF(AD$2&lt;=analysis_period,IF(SUM($C669:AD669)&gt;0,AC332+1,0),0)</f>
        <v>0</v>
      </c>
      <c r="AE332" s="155">
        <f>IF(AE$2&lt;=analysis_period,IF(SUM($C669:AE669)&gt;0,AD332+1,0),0)</f>
        <v>0</v>
      </c>
      <c r="AF332" s="155">
        <f>IF(AF$2&lt;=analysis_period,IF(SUM($C669:AF669)&gt;0,AE332+1,0),0)</f>
        <v>0</v>
      </c>
      <c r="AG332" s="155">
        <f>IF(AG$2&lt;=analysis_period,IF(SUM($C669:AG669)&gt;0,AF332+1,0),0)</f>
        <v>0</v>
      </c>
      <c r="AH332" s="155">
        <f>IF(AH$2&lt;=analysis_period,IF(SUM($C669:AH669)&gt;0,AG332+1,0),0)</f>
        <v>0</v>
      </c>
      <c r="AI332" s="155">
        <f>IF(AI$2&lt;=analysis_period,IF(SUM($C669:AI669)&gt;0,AH332+1,0),0)</f>
        <v>0</v>
      </c>
      <c r="AJ332" s="155">
        <f>IF(AJ$2&lt;=analysis_period,IF(SUM($C669:AJ669)&gt;0,AI332+1,0),0)</f>
        <v>0</v>
      </c>
      <c r="AK332" s="155">
        <f>IF(AK$2&lt;=analysis_period,IF(SUM($C669:AK669)&gt;0,AJ332+1,0),0)</f>
        <v>0</v>
      </c>
      <c r="AL332" s="155">
        <f>IF(AL$2&lt;=analysis_period,IF(SUM($C669:AL669)&gt;0,AK332+1,0),0)</f>
        <v>0</v>
      </c>
      <c r="AM332" s="155">
        <f>IF(AM$2&lt;=analysis_period,IF(SUM($C669:AM669)&gt;0,AL332+1,0),0)</f>
        <v>0</v>
      </c>
      <c r="AN332" s="155">
        <f>IF(AN$2&lt;=analysis_period,IF(SUM($C669:AN669)&gt;0,AM332+1,0),0)</f>
        <v>0</v>
      </c>
      <c r="AO332" s="155">
        <f>IF(AO$2&lt;=analysis_period,IF(SUM($C669:AO669)&gt;0,AN332+1,0),0)</f>
        <v>0</v>
      </c>
      <c r="AP332" s="155">
        <f>IF(AP$2&lt;=analysis_period,IF(SUM($C669:AP669)&gt;0,AO332+1,0),0)</f>
        <v>0</v>
      </c>
    </row>
    <row r="333" spans="1:42" x14ac:dyDescent="0.2">
      <c r="A333" s="87" t="s">
        <v>70</v>
      </c>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row>
    <row r="334" spans="1:42" x14ac:dyDescent="0.2">
      <c r="A334" s="4">
        <v>1</v>
      </c>
      <c r="B334" s="170">
        <f t="shared" ref="B334:B343" si="125">SUM(C334:AP334)</f>
        <v>0</v>
      </c>
      <c r="C334" s="155">
        <f t="shared" ref="C334:AP334" si="126">LOOKUP(C323,$B$318:$AP$318,$B$319:$AP$319)/100*$B660</f>
        <v>0</v>
      </c>
      <c r="D334" s="155">
        <f t="shared" si="126"/>
        <v>0</v>
      </c>
      <c r="E334" s="155">
        <f t="shared" si="126"/>
        <v>0</v>
      </c>
      <c r="F334" s="155">
        <f t="shared" si="126"/>
        <v>0</v>
      </c>
      <c r="G334" s="155">
        <f t="shared" si="126"/>
        <v>0</v>
      </c>
      <c r="H334" s="155">
        <f t="shared" si="126"/>
        <v>0</v>
      </c>
      <c r="I334" s="155">
        <f t="shared" si="126"/>
        <v>0</v>
      </c>
      <c r="J334" s="155">
        <f t="shared" si="126"/>
        <v>0</v>
      </c>
      <c r="K334" s="155">
        <f t="shared" si="126"/>
        <v>0</v>
      </c>
      <c r="L334" s="155">
        <f t="shared" si="126"/>
        <v>0</v>
      </c>
      <c r="M334" s="155">
        <f t="shared" si="126"/>
        <v>0</v>
      </c>
      <c r="N334" s="155">
        <f t="shared" si="126"/>
        <v>0</v>
      </c>
      <c r="O334" s="155">
        <f t="shared" si="126"/>
        <v>0</v>
      </c>
      <c r="P334" s="155">
        <f t="shared" si="126"/>
        <v>0</v>
      </c>
      <c r="Q334" s="155">
        <f t="shared" si="126"/>
        <v>0</v>
      </c>
      <c r="R334" s="155">
        <f t="shared" si="126"/>
        <v>0</v>
      </c>
      <c r="S334" s="155">
        <f t="shared" si="126"/>
        <v>0</v>
      </c>
      <c r="T334" s="155">
        <f t="shared" si="126"/>
        <v>0</v>
      </c>
      <c r="U334" s="155">
        <f t="shared" si="126"/>
        <v>0</v>
      </c>
      <c r="V334" s="155">
        <f t="shared" si="126"/>
        <v>0</v>
      </c>
      <c r="W334" s="155">
        <f t="shared" si="126"/>
        <v>0</v>
      </c>
      <c r="X334" s="155">
        <f t="shared" si="126"/>
        <v>0</v>
      </c>
      <c r="Y334" s="155">
        <f t="shared" si="126"/>
        <v>0</v>
      </c>
      <c r="Z334" s="155">
        <f t="shared" si="126"/>
        <v>0</v>
      </c>
      <c r="AA334" s="155">
        <f t="shared" si="126"/>
        <v>0</v>
      </c>
      <c r="AB334" s="155">
        <f t="shared" si="126"/>
        <v>0</v>
      </c>
      <c r="AC334" s="155">
        <f t="shared" si="126"/>
        <v>0</v>
      </c>
      <c r="AD334" s="155">
        <f t="shared" si="126"/>
        <v>0</v>
      </c>
      <c r="AE334" s="155">
        <f t="shared" si="126"/>
        <v>0</v>
      </c>
      <c r="AF334" s="155">
        <f t="shared" si="126"/>
        <v>0</v>
      </c>
      <c r="AG334" s="155">
        <f t="shared" si="126"/>
        <v>0</v>
      </c>
      <c r="AH334" s="155">
        <f t="shared" si="126"/>
        <v>0</v>
      </c>
      <c r="AI334" s="155">
        <f t="shared" si="126"/>
        <v>0</v>
      </c>
      <c r="AJ334" s="155">
        <f t="shared" si="126"/>
        <v>0</v>
      </c>
      <c r="AK334" s="155">
        <f t="shared" si="126"/>
        <v>0</v>
      </c>
      <c r="AL334" s="155">
        <f t="shared" si="126"/>
        <v>0</v>
      </c>
      <c r="AM334" s="155">
        <f t="shared" si="126"/>
        <v>0</v>
      </c>
      <c r="AN334" s="155">
        <f t="shared" si="126"/>
        <v>0</v>
      </c>
      <c r="AO334" s="155">
        <f t="shared" si="126"/>
        <v>0</v>
      </c>
      <c r="AP334" s="155">
        <f t="shared" si="126"/>
        <v>0</v>
      </c>
    </row>
    <row r="335" spans="1:42" x14ac:dyDescent="0.2">
      <c r="A335" s="4">
        <f>A334+1</f>
        <v>2</v>
      </c>
      <c r="B335" s="170">
        <f t="shared" si="125"/>
        <v>0</v>
      </c>
      <c r="C335" s="155">
        <f t="shared" ref="C335:AP335" si="127">LOOKUP(C324,$B$318:$AP$318,$B$319:$AP$319)/100*$B661</f>
        <v>0</v>
      </c>
      <c r="D335" s="155">
        <f t="shared" si="127"/>
        <v>0</v>
      </c>
      <c r="E335" s="155">
        <f t="shared" si="127"/>
        <v>0</v>
      </c>
      <c r="F335" s="155">
        <f t="shared" si="127"/>
        <v>0</v>
      </c>
      <c r="G335" s="155">
        <f t="shared" si="127"/>
        <v>0</v>
      </c>
      <c r="H335" s="155">
        <f t="shared" si="127"/>
        <v>0</v>
      </c>
      <c r="I335" s="155">
        <f t="shared" si="127"/>
        <v>0</v>
      </c>
      <c r="J335" s="155">
        <f t="shared" si="127"/>
        <v>0</v>
      </c>
      <c r="K335" s="155">
        <f t="shared" si="127"/>
        <v>0</v>
      </c>
      <c r="L335" s="155">
        <f t="shared" si="127"/>
        <v>0</v>
      </c>
      <c r="M335" s="155">
        <f t="shared" si="127"/>
        <v>0</v>
      </c>
      <c r="N335" s="155">
        <f t="shared" si="127"/>
        <v>0</v>
      </c>
      <c r="O335" s="155">
        <f t="shared" si="127"/>
        <v>0</v>
      </c>
      <c r="P335" s="155">
        <f t="shared" si="127"/>
        <v>0</v>
      </c>
      <c r="Q335" s="155">
        <f t="shared" si="127"/>
        <v>0</v>
      </c>
      <c r="R335" s="155">
        <f t="shared" si="127"/>
        <v>0</v>
      </c>
      <c r="S335" s="155">
        <f t="shared" si="127"/>
        <v>0</v>
      </c>
      <c r="T335" s="155">
        <f t="shared" si="127"/>
        <v>0</v>
      </c>
      <c r="U335" s="155">
        <f t="shared" si="127"/>
        <v>0</v>
      </c>
      <c r="V335" s="155">
        <f t="shared" si="127"/>
        <v>0</v>
      </c>
      <c r="W335" s="155">
        <f t="shared" si="127"/>
        <v>0</v>
      </c>
      <c r="X335" s="155">
        <f t="shared" si="127"/>
        <v>0</v>
      </c>
      <c r="Y335" s="155">
        <f t="shared" si="127"/>
        <v>0</v>
      </c>
      <c r="Z335" s="155">
        <f t="shared" si="127"/>
        <v>0</v>
      </c>
      <c r="AA335" s="155">
        <f t="shared" si="127"/>
        <v>0</v>
      </c>
      <c r="AB335" s="155">
        <f t="shared" si="127"/>
        <v>0</v>
      </c>
      <c r="AC335" s="155">
        <f t="shared" si="127"/>
        <v>0</v>
      </c>
      <c r="AD335" s="155">
        <f t="shared" si="127"/>
        <v>0</v>
      </c>
      <c r="AE335" s="155">
        <f t="shared" si="127"/>
        <v>0</v>
      </c>
      <c r="AF335" s="155">
        <f t="shared" si="127"/>
        <v>0</v>
      </c>
      <c r="AG335" s="155">
        <f t="shared" si="127"/>
        <v>0</v>
      </c>
      <c r="AH335" s="155">
        <f t="shared" si="127"/>
        <v>0</v>
      </c>
      <c r="AI335" s="155">
        <f t="shared" si="127"/>
        <v>0</v>
      </c>
      <c r="AJ335" s="155">
        <f t="shared" si="127"/>
        <v>0</v>
      </c>
      <c r="AK335" s="155">
        <f t="shared" si="127"/>
        <v>0</v>
      </c>
      <c r="AL335" s="155">
        <f t="shared" si="127"/>
        <v>0</v>
      </c>
      <c r="AM335" s="155">
        <f t="shared" si="127"/>
        <v>0</v>
      </c>
      <c r="AN335" s="155">
        <f t="shared" si="127"/>
        <v>0</v>
      </c>
      <c r="AO335" s="155">
        <f t="shared" si="127"/>
        <v>0</v>
      </c>
      <c r="AP335" s="155">
        <f t="shared" si="127"/>
        <v>0</v>
      </c>
    </row>
    <row r="336" spans="1:42" x14ac:dyDescent="0.2">
      <c r="A336" s="4">
        <f t="shared" ref="A336:A343" si="128">A335+1</f>
        <v>3</v>
      </c>
      <c r="B336" s="170">
        <f t="shared" si="125"/>
        <v>0</v>
      </c>
      <c r="C336" s="155">
        <f t="shared" ref="C336:AP336" si="129">LOOKUP(C325,$B$318:$AP$318,$B$319:$AP$319)/100*$B662</f>
        <v>0</v>
      </c>
      <c r="D336" s="155">
        <f t="shared" si="129"/>
        <v>0</v>
      </c>
      <c r="E336" s="155">
        <f t="shared" si="129"/>
        <v>0</v>
      </c>
      <c r="F336" s="155">
        <f t="shared" si="129"/>
        <v>0</v>
      </c>
      <c r="G336" s="155">
        <f t="shared" si="129"/>
        <v>0</v>
      </c>
      <c r="H336" s="155">
        <f t="shared" si="129"/>
        <v>0</v>
      </c>
      <c r="I336" s="155">
        <f t="shared" si="129"/>
        <v>0</v>
      </c>
      <c r="J336" s="155">
        <f t="shared" si="129"/>
        <v>0</v>
      </c>
      <c r="K336" s="155">
        <f t="shared" si="129"/>
        <v>0</v>
      </c>
      <c r="L336" s="155">
        <f t="shared" si="129"/>
        <v>0</v>
      </c>
      <c r="M336" s="155">
        <f t="shared" si="129"/>
        <v>0</v>
      </c>
      <c r="N336" s="155">
        <f t="shared" si="129"/>
        <v>0</v>
      </c>
      <c r="O336" s="155">
        <f t="shared" si="129"/>
        <v>0</v>
      </c>
      <c r="P336" s="155">
        <f t="shared" si="129"/>
        <v>0</v>
      </c>
      <c r="Q336" s="155">
        <f t="shared" si="129"/>
        <v>0</v>
      </c>
      <c r="R336" s="155">
        <f t="shared" si="129"/>
        <v>0</v>
      </c>
      <c r="S336" s="155">
        <f t="shared" si="129"/>
        <v>0</v>
      </c>
      <c r="T336" s="155">
        <f t="shared" si="129"/>
        <v>0</v>
      </c>
      <c r="U336" s="155">
        <f t="shared" si="129"/>
        <v>0</v>
      </c>
      <c r="V336" s="155">
        <f t="shared" si="129"/>
        <v>0</v>
      </c>
      <c r="W336" s="155">
        <f t="shared" si="129"/>
        <v>0</v>
      </c>
      <c r="X336" s="155">
        <f t="shared" si="129"/>
        <v>0</v>
      </c>
      <c r="Y336" s="155">
        <f t="shared" si="129"/>
        <v>0</v>
      </c>
      <c r="Z336" s="155">
        <f t="shared" si="129"/>
        <v>0</v>
      </c>
      <c r="AA336" s="155">
        <f t="shared" si="129"/>
        <v>0</v>
      </c>
      <c r="AB336" s="155">
        <f t="shared" si="129"/>
        <v>0</v>
      </c>
      <c r="AC336" s="155">
        <f t="shared" si="129"/>
        <v>0</v>
      </c>
      <c r="AD336" s="155">
        <f t="shared" si="129"/>
        <v>0</v>
      </c>
      <c r="AE336" s="155">
        <f t="shared" si="129"/>
        <v>0</v>
      </c>
      <c r="AF336" s="155">
        <f t="shared" si="129"/>
        <v>0</v>
      </c>
      <c r="AG336" s="155">
        <f t="shared" si="129"/>
        <v>0</v>
      </c>
      <c r="AH336" s="155">
        <f t="shared" si="129"/>
        <v>0</v>
      </c>
      <c r="AI336" s="155">
        <f t="shared" si="129"/>
        <v>0</v>
      </c>
      <c r="AJ336" s="155">
        <f t="shared" si="129"/>
        <v>0</v>
      </c>
      <c r="AK336" s="155">
        <f t="shared" si="129"/>
        <v>0</v>
      </c>
      <c r="AL336" s="155">
        <f t="shared" si="129"/>
        <v>0</v>
      </c>
      <c r="AM336" s="155">
        <f t="shared" si="129"/>
        <v>0</v>
      </c>
      <c r="AN336" s="155">
        <f t="shared" si="129"/>
        <v>0</v>
      </c>
      <c r="AO336" s="155">
        <f t="shared" si="129"/>
        <v>0</v>
      </c>
      <c r="AP336" s="155">
        <f t="shared" si="129"/>
        <v>0</v>
      </c>
    </row>
    <row r="337" spans="1:42" x14ac:dyDescent="0.2">
      <c r="A337" s="4">
        <f t="shared" si="128"/>
        <v>4</v>
      </c>
      <c r="B337" s="170">
        <f t="shared" si="125"/>
        <v>0</v>
      </c>
      <c r="C337" s="155">
        <f t="shared" ref="C337:AP337" si="130">LOOKUP(C326,$B$318:$AP$318,$B$319:$AP$319)/100*$B663</f>
        <v>0</v>
      </c>
      <c r="D337" s="155">
        <f t="shared" si="130"/>
        <v>0</v>
      </c>
      <c r="E337" s="155">
        <f t="shared" si="130"/>
        <v>0</v>
      </c>
      <c r="F337" s="155">
        <f t="shared" si="130"/>
        <v>0</v>
      </c>
      <c r="G337" s="155">
        <f t="shared" si="130"/>
        <v>0</v>
      </c>
      <c r="H337" s="155">
        <f t="shared" si="130"/>
        <v>0</v>
      </c>
      <c r="I337" s="155">
        <f t="shared" si="130"/>
        <v>0</v>
      </c>
      <c r="J337" s="155">
        <f t="shared" si="130"/>
        <v>0</v>
      </c>
      <c r="K337" s="155">
        <f t="shared" si="130"/>
        <v>0</v>
      </c>
      <c r="L337" s="155">
        <f t="shared" si="130"/>
        <v>0</v>
      </c>
      <c r="M337" s="155">
        <f t="shared" si="130"/>
        <v>0</v>
      </c>
      <c r="N337" s="155">
        <f t="shared" si="130"/>
        <v>0</v>
      </c>
      <c r="O337" s="155">
        <f t="shared" si="130"/>
        <v>0</v>
      </c>
      <c r="P337" s="155">
        <f t="shared" si="130"/>
        <v>0</v>
      </c>
      <c r="Q337" s="155">
        <f t="shared" si="130"/>
        <v>0</v>
      </c>
      <c r="R337" s="155">
        <f t="shared" si="130"/>
        <v>0</v>
      </c>
      <c r="S337" s="155">
        <f t="shared" si="130"/>
        <v>0</v>
      </c>
      <c r="T337" s="155">
        <f t="shared" si="130"/>
        <v>0</v>
      </c>
      <c r="U337" s="155">
        <f t="shared" si="130"/>
        <v>0</v>
      </c>
      <c r="V337" s="155">
        <f t="shared" si="130"/>
        <v>0</v>
      </c>
      <c r="W337" s="155">
        <f t="shared" si="130"/>
        <v>0</v>
      </c>
      <c r="X337" s="155">
        <f t="shared" si="130"/>
        <v>0</v>
      </c>
      <c r="Y337" s="155">
        <f t="shared" si="130"/>
        <v>0</v>
      </c>
      <c r="Z337" s="155">
        <f t="shared" si="130"/>
        <v>0</v>
      </c>
      <c r="AA337" s="155">
        <f t="shared" si="130"/>
        <v>0</v>
      </c>
      <c r="AB337" s="155">
        <f t="shared" si="130"/>
        <v>0</v>
      </c>
      <c r="AC337" s="155">
        <f t="shared" si="130"/>
        <v>0</v>
      </c>
      <c r="AD337" s="155">
        <f t="shared" si="130"/>
        <v>0</v>
      </c>
      <c r="AE337" s="155">
        <f t="shared" si="130"/>
        <v>0</v>
      </c>
      <c r="AF337" s="155">
        <f t="shared" si="130"/>
        <v>0</v>
      </c>
      <c r="AG337" s="155">
        <f t="shared" si="130"/>
        <v>0</v>
      </c>
      <c r="AH337" s="155">
        <f t="shared" si="130"/>
        <v>0</v>
      </c>
      <c r="AI337" s="155">
        <f t="shared" si="130"/>
        <v>0</v>
      </c>
      <c r="AJ337" s="155">
        <f t="shared" si="130"/>
        <v>0</v>
      </c>
      <c r="AK337" s="155">
        <f t="shared" si="130"/>
        <v>0</v>
      </c>
      <c r="AL337" s="155">
        <f t="shared" si="130"/>
        <v>0</v>
      </c>
      <c r="AM337" s="155">
        <f t="shared" si="130"/>
        <v>0</v>
      </c>
      <c r="AN337" s="155">
        <f t="shared" si="130"/>
        <v>0</v>
      </c>
      <c r="AO337" s="155">
        <f t="shared" si="130"/>
        <v>0</v>
      </c>
      <c r="AP337" s="155">
        <f t="shared" si="130"/>
        <v>0</v>
      </c>
    </row>
    <row r="338" spans="1:42" x14ac:dyDescent="0.2">
      <c r="A338" s="4">
        <f t="shared" si="128"/>
        <v>5</v>
      </c>
      <c r="B338" s="170">
        <f t="shared" si="125"/>
        <v>0</v>
      </c>
      <c r="C338" s="155">
        <f t="shared" ref="C338:AP338" si="131">LOOKUP(C327,$B$318:$AP$318,$B$319:$AP$319)/100*$B664</f>
        <v>0</v>
      </c>
      <c r="D338" s="155">
        <f t="shared" si="131"/>
        <v>0</v>
      </c>
      <c r="E338" s="155">
        <f t="shared" si="131"/>
        <v>0</v>
      </c>
      <c r="F338" s="155">
        <f t="shared" si="131"/>
        <v>0</v>
      </c>
      <c r="G338" s="155">
        <f t="shared" si="131"/>
        <v>0</v>
      </c>
      <c r="H338" s="155">
        <f t="shared" si="131"/>
        <v>0</v>
      </c>
      <c r="I338" s="155">
        <f t="shared" si="131"/>
        <v>0</v>
      </c>
      <c r="J338" s="155">
        <f t="shared" si="131"/>
        <v>0</v>
      </c>
      <c r="K338" s="155">
        <f t="shared" si="131"/>
        <v>0</v>
      </c>
      <c r="L338" s="155">
        <f t="shared" si="131"/>
        <v>0</v>
      </c>
      <c r="M338" s="155">
        <f t="shared" si="131"/>
        <v>0</v>
      </c>
      <c r="N338" s="155">
        <f t="shared" si="131"/>
        <v>0</v>
      </c>
      <c r="O338" s="155">
        <f t="shared" si="131"/>
        <v>0</v>
      </c>
      <c r="P338" s="155">
        <f t="shared" si="131"/>
        <v>0</v>
      </c>
      <c r="Q338" s="155">
        <f t="shared" si="131"/>
        <v>0</v>
      </c>
      <c r="R338" s="155">
        <f t="shared" si="131"/>
        <v>0</v>
      </c>
      <c r="S338" s="155">
        <f t="shared" si="131"/>
        <v>0</v>
      </c>
      <c r="T338" s="155">
        <f t="shared" si="131"/>
        <v>0</v>
      </c>
      <c r="U338" s="155">
        <f t="shared" si="131"/>
        <v>0</v>
      </c>
      <c r="V338" s="155">
        <f t="shared" si="131"/>
        <v>0</v>
      </c>
      <c r="W338" s="155">
        <f t="shared" si="131"/>
        <v>0</v>
      </c>
      <c r="X338" s="155">
        <f t="shared" si="131"/>
        <v>0</v>
      </c>
      <c r="Y338" s="155">
        <f t="shared" si="131"/>
        <v>0</v>
      </c>
      <c r="Z338" s="155">
        <f t="shared" si="131"/>
        <v>0</v>
      </c>
      <c r="AA338" s="155">
        <f t="shared" si="131"/>
        <v>0</v>
      </c>
      <c r="AB338" s="155">
        <f t="shared" si="131"/>
        <v>0</v>
      </c>
      <c r="AC338" s="155">
        <f t="shared" si="131"/>
        <v>0</v>
      </c>
      <c r="AD338" s="155">
        <f t="shared" si="131"/>
        <v>0</v>
      </c>
      <c r="AE338" s="155">
        <f t="shared" si="131"/>
        <v>0</v>
      </c>
      <c r="AF338" s="155">
        <f t="shared" si="131"/>
        <v>0</v>
      </c>
      <c r="AG338" s="155">
        <f t="shared" si="131"/>
        <v>0</v>
      </c>
      <c r="AH338" s="155">
        <f t="shared" si="131"/>
        <v>0</v>
      </c>
      <c r="AI338" s="155">
        <f t="shared" si="131"/>
        <v>0</v>
      </c>
      <c r="AJ338" s="155">
        <f t="shared" si="131"/>
        <v>0</v>
      </c>
      <c r="AK338" s="155">
        <f t="shared" si="131"/>
        <v>0</v>
      </c>
      <c r="AL338" s="155">
        <f t="shared" si="131"/>
        <v>0</v>
      </c>
      <c r="AM338" s="155">
        <f t="shared" si="131"/>
        <v>0</v>
      </c>
      <c r="AN338" s="155">
        <f t="shared" si="131"/>
        <v>0</v>
      </c>
      <c r="AO338" s="155">
        <f t="shared" si="131"/>
        <v>0</v>
      </c>
      <c r="AP338" s="155">
        <f t="shared" si="131"/>
        <v>0</v>
      </c>
    </row>
    <row r="339" spans="1:42" x14ac:dyDescent="0.2">
      <c r="A339" s="4">
        <f t="shared" si="128"/>
        <v>6</v>
      </c>
      <c r="B339" s="170">
        <f t="shared" si="125"/>
        <v>0</v>
      </c>
      <c r="C339" s="155">
        <f t="shared" ref="C339:AP339" si="132">LOOKUP(C328,$B$318:$AP$318,$B$319:$AP$319)/100*$B665</f>
        <v>0</v>
      </c>
      <c r="D339" s="155">
        <f t="shared" si="132"/>
        <v>0</v>
      </c>
      <c r="E339" s="155">
        <f t="shared" si="132"/>
        <v>0</v>
      </c>
      <c r="F339" s="155">
        <f t="shared" si="132"/>
        <v>0</v>
      </c>
      <c r="G339" s="155">
        <f t="shared" si="132"/>
        <v>0</v>
      </c>
      <c r="H339" s="155">
        <f t="shared" si="132"/>
        <v>0</v>
      </c>
      <c r="I339" s="155">
        <f t="shared" si="132"/>
        <v>0</v>
      </c>
      <c r="J339" s="155">
        <f t="shared" si="132"/>
        <v>0</v>
      </c>
      <c r="K339" s="155">
        <f t="shared" si="132"/>
        <v>0</v>
      </c>
      <c r="L339" s="155">
        <f t="shared" si="132"/>
        <v>0</v>
      </c>
      <c r="M339" s="155">
        <f t="shared" si="132"/>
        <v>0</v>
      </c>
      <c r="N339" s="155">
        <f t="shared" si="132"/>
        <v>0</v>
      </c>
      <c r="O339" s="155">
        <f t="shared" si="132"/>
        <v>0</v>
      </c>
      <c r="P339" s="155">
        <f t="shared" si="132"/>
        <v>0</v>
      </c>
      <c r="Q339" s="155">
        <f t="shared" si="132"/>
        <v>0</v>
      </c>
      <c r="R339" s="155">
        <f t="shared" si="132"/>
        <v>0</v>
      </c>
      <c r="S339" s="155">
        <f t="shared" si="132"/>
        <v>0</v>
      </c>
      <c r="T339" s="155">
        <f t="shared" si="132"/>
        <v>0</v>
      </c>
      <c r="U339" s="155">
        <f t="shared" si="132"/>
        <v>0</v>
      </c>
      <c r="V339" s="155">
        <f t="shared" si="132"/>
        <v>0</v>
      </c>
      <c r="W339" s="155">
        <f t="shared" si="132"/>
        <v>0</v>
      </c>
      <c r="X339" s="155">
        <f t="shared" si="132"/>
        <v>0</v>
      </c>
      <c r="Y339" s="155">
        <f t="shared" si="132"/>
        <v>0</v>
      </c>
      <c r="Z339" s="155">
        <f t="shared" si="132"/>
        <v>0</v>
      </c>
      <c r="AA339" s="155">
        <f t="shared" si="132"/>
        <v>0</v>
      </c>
      <c r="AB339" s="155">
        <f t="shared" si="132"/>
        <v>0</v>
      </c>
      <c r="AC339" s="155">
        <f t="shared" si="132"/>
        <v>0</v>
      </c>
      <c r="AD339" s="155">
        <f t="shared" si="132"/>
        <v>0</v>
      </c>
      <c r="AE339" s="155">
        <f t="shared" si="132"/>
        <v>0</v>
      </c>
      <c r="AF339" s="155">
        <f t="shared" si="132"/>
        <v>0</v>
      </c>
      <c r="AG339" s="155">
        <f t="shared" si="132"/>
        <v>0</v>
      </c>
      <c r="AH339" s="155">
        <f t="shared" si="132"/>
        <v>0</v>
      </c>
      <c r="AI339" s="155">
        <f t="shared" si="132"/>
        <v>0</v>
      </c>
      <c r="AJ339" s="155">
        <f t="shared" si="132"/>
        <v>0</v>
      </c>
      <c r="AK339" s="155">
        <f t="shared" si="132"/>
        <v>0</v>
      </c>
      <c r="AL339" s="155">
        <f t="shared" si="132"/>
        <v>0</v>
      </c>
      <c r="AM339" s="155">
        <f t="shared" si="132"/>
        <v>0</v>
      </c>
      <c r="AN339" s="155">
        <f t="shared" si="132"/>
        <v>0</v>
      </c>
      <c r="AO339" s="155">
        <f t="shared" si="132"/>
        <v>0</v>
      </c>
      <c r="AP339" s="155">
        <f t="shared" si="132"/>
        <v>0</v>
      </c>
    </row>
    <row r="340" spans="1:42" x14ac:dyDescent="0.2">
      <c r="A340" s="4">
        <f t="shared" si="128"/>
        <v>7</v>
      </c>
      <c r="B340" s="170">
        <f t="shared" si="125"/>
        <v>0</v>
      </c>
      <c r="C340" s="155">
        <f t="shared" ref="C340:AP340" si="133">LOOKUP(C329,$B$318:$AP$318,$B$319:$AP$319)/100*$B666</f>
        <v>0</v>
      </c>
      <c r="D340" s="155">
        <f t="shared" si="133"/>
        <v>0</v>
      </c>
      <c r="E340" s="155">
        <f t="shared" si="133"/>
        <v>0</v>
      </c>
      <c r="F340" s="155">
        <f t="shared" si="133"/>
        <v>0</v>
      </c>
      <c r="G340" s="155">
        <f t="shared" si="133"/>
        <v>0</v>
      </c>
      <c r="H340" s="155">
        <f t="shared" si="133"/>
        <v>0</v>
      </c>
      <c r="I340" s="155">
        <f t="shared" si="133"/>
        <v>0</v>
      </c>
      <c r="J340" s="155">
        <f t="shared" si="133"/>
        <v>0</v>
      </c>
      <c r="K340" s="155">
        <f t="shared" si="133"/>
        <v>0</v>
      </c>
      <c r="L340" s="155">
        <f t="shared" si="133"/>
        <v>0</v>
      </c>
      <c r="M340" s="155">
        <f t="shared" si="133"/>
        <v>0</v>
      </c>
      <c r="N340" s="155">
        <f t="shared" si="133"/>
        <v>0</v>
      </c>
      <c r="O340" s="155">
        <f t="shared" si="133"/>
        <v>0</v>
      </c>
      <c r="P340" s="155">
        <f t="shared" si="133"/>
        <v>0</v>
      </c>
      <c r="Q340" s="155">
        <f t="shared" si="133"/>
        <v>0</v>
      </c>
      <c r="R340" s="155">
        <f t="shared" si="133"/>
        <v>0</v>
      </c>
      <c r="S340" s="155">
        <f t="shared" si="133"/>
        <v>0</v>
      </c>
      <c r="T340" s="155">
        <f t="shared" si="133"/>
        <v>0</v>
      </c>
      <c r="U340" s="155">
        <f t="shared" si="133"/>
        <v>0</v>
      </c>
      <c r="V340" s="155">
        <f t="shared" si="133"/>
        <v>0</v>
      </c>
      <c r="W340" s="155">
        <f t="shared" si="133"/>
        <v>0</v>
      </c>
      <c r="X340" s="155">
        <f t="shared" si="133"/>
        <v>0</v>
      </c>
      <c r="Y340" s="155">
        <f t="shared" si="133"/>
        <v>0</v>
      </c>
      <c r="Z340" s="155">
        <f t="shared" si="133"/>
        <v>0</v>
      </c>
      <c r="AA340" s="155">
        <f t="shared" si="133"/>
        <v>0</v>
      </c>
      <c r="AB340" s="155">
        <f t="shared" si="133"/>
        <v>0</v>
      </c>
      <c r="AC340" s="155">
        <f t="shared" si="133"/>
        <v>0</v>
      </c>
      <c r="AD340" s="155">
        <f t="shared" si="133"/>
        <v>0</v>
      </c>
      <c r="AE340" s="155">
        <f t="shared" si="133"/>
        <v>0</v>
      </c>
      <c r="AF340" s="155">
        <f t="shared" si="133"/>
        <v>0</v>
      </c>
      <c r="AG340" s="155">
        <f t="shared" si="133"/>
        <v>0</v>
      </c>
      <c r="AH340" s="155">
        <f t="shared" si="133"/>
        <v>0</v>
      </c>
      <c r="AI340" s="155">
        <f t="shared" si="133"/>
        <v>0</v>
      </c>
      <c r="AJ340" s="155">
        <f t="shared" si="133"/>
        <v>0</v>
      </c>
      <c r="AK340" s="155">
        <f t="shared" si="133"/>
        <v>0</v>
      </c>
      <c r="AL340" s="155">
        <f t="shared" si="133"/>
        <v>0</v>
      </c>
      <c r="AM340" s="155">
        <f t="shared" si="133"/>
        <v>0</v>
      </c>
      <c r="AN340" s="155">
        <f t="shared" si="133"/>
        <v>0</v>
      </c>
      <c r="AO340" s="155">
        <f t="shared" si="133"/>
        <v>0</v>
      </c>
      <c r="AP340" s="155">
        <f t="shared" si="133"/>
        <v>0</v>
      </c>
    </row>
    <row r="341" spans="1:42" x14ac:dyDescent="0.2">
      <c r="A341" s="4">
        <f t="shared" si="128"/>
        <v>8</v>
      </c>
      <c r="B341" s="170">
        <f t="shared" si="125"/>
        <v>0</v>
      </c>
      <c r="C341" s="155">
        <f t="shared" ref="C341:AP341" si="134">LOOKUP(C330,$B$318:$AP$318,$B$319:$AP$319)/100*$B667</f>
        <v>0</v>
      </c>
      <c r="D341" s="155">
        <f t="shared" si="134"/>
        <v>0</v>
      </c>
      <c r="E341" s="155">
        <f t="shared" si="134"/>
        <v>0</v>
      </c>
      <c r="F341" s="155">
        <f t="shared" si="134"/>
        <v>0</v>
      </c>
      <c r="G341" s="155">
        <f t="shared" si="134"/>
        <v>0</v>
      </c>
      <c r="H341" s="155">
        <f t="shared" si="134"/>
        <v>0</v>
      </c>
      <c r="I341" s="155">
        <f t="shared" si="134"/>
        <v>0</v>
      </c>
      <c r="J341" s="155">
        <f t="shared" si="134"/>
        <v>0</v>
      </c>
      <c r="K341" s="155">
        <f t="shared" si="134"/>
        <v>0</v>
      </c>
      <c r="L341" s="155">
        <f t="shared" si="134"/>
        <v>0</v>
      </c>
      <c r="M341" s="155">
        <f t="shared" si="134"/>
        <v>0</v>
      </c>
      <c r="N341" s="155">
        <f t="shared" si="134"/>
        <v>0</v>
      </c>
      <c r="O341" s="155">
        <f t="shared" si="134"/>
        <v>0</v>
      </c>
      <c r="P341" s="155">
        <f t="shared" si="134"/>
        <v>0</v>
      </c>
      <c r="Q341" s="155">
        <f t="shared" si="134"/>
        <v>0</v>
      </c>
      <c r="R341" s="155">
        <f t="shared" si="134"/>
        <v>0</v>
      </c>
      <c r="S341" s="155">
        <f t="shared" si="134"/>
        <v>0</v>
      </c>
      <c r="T341" s="155">
        <f t="shared" si="134"/>
        <v>0</v>
      </c>
      <c r="U341" s="155">
        <f t="shared" si="134"/>
        <v>0</v>
      </c>
      <c r="V341" s="155">
        <f t="shared" si="134"/>
        <v>0</v>
      </c>
      <c r="W341" s="155">
        <f t="shared" si="134"/>
        <v>0</v>
      </c>
      <c r="X341" s="155">
        <f t="shared" si="134"/>
        <v>0</v>
      </c>
      <c r="Y341" s="155">
        <f t="shared" si="134"/>
        <v>0</v>
      </c>
      <c r="Z341" s="155">
        <f t="shared" si="134"/>
        <v>0</v>
      </c>
      <c r="AA341" s="155">
        <f t="shared" si="134"/>
        <v>0</v>
      </c>
      <c r="AB341" s="155">
        <f t="shared" si="134"/>
        <v>0</v>
      </c>
      <c r="AC341" s="155">
        <f t="shared" si="134"/>
        <v>0</v>
      </c>
      <c r="AD341" s="155">
        <f t="shared" si="134"/>
        <v>0</v>
      </c>
      <c r="AE341" s="155">
        <f t="shared" si="134"/>
        <v>0</v>
      </c>
      <c r="AF341" s="155">
        <f t="shared" si="134"/>
        <v>0</v>
      </c>
      <c r="AG341" s="155">
        <f t="shared" si="134"/>
        <v>0</v>
      </c>
      <c r="AH341" s="155">
        <f t="shared" si="134"/>
        <v>0</v>
      </c>
      <c r="AI341" s="155">
        <f t="shared" si="134"/>
        <v>0</v>
      </c>
      <c r="AJ341" s="155">
        <f t="shared" si="134"/>
        <v>0</v>
      </c>
      <c r="AK341" s="155">
        <f t="shared" si="134"/>
        <v>0</v>
      </c>
      <c r="AL341" s="155">
        <f t="shared" si="134"/>
        <v>0</v>
      </c>
      <c r="AM341" s="155">
        <f t="shared" si="134"/>
        <v>0</v>
      </c>
      <c r="AN341" s="155">
        <f t="shared" si="134"/>
        <v>0</v>
      </c>
      <c r="AO341" s="155">
        <f t="shared" si="134"/>
        <v>0</v>
      </c>
      <c r="AP341" s="155">
        <f t="shared" si="134"/>
        <v>0</v>
      </c>
    </row>
    <row r="342" spans="1:42" x14ac:dyDescent="0.2">
      <c r="A342" s="4">
        <f>A341+1</f>
        <v>9</v>
      </c>
      <c r="B342" s="170">
        <f t="shared" si="125"/>
        <v>0</v>
      </c>
      <c r="C342" s="155">
        <f t="shared" ref="C342:AP342" si="135">LOOKUP(C331,$B$318:$AP$318,$B$319:$AP$319)/100*$B668</f>
        <v>0</v>
      </c>
      <c r="D342" s="155">
        <f t="shared" si="135"/>
        <v>0</v>
      </c>
      <c r="E342" s="155">
        <f t="shared" si="135"/>
        <v>0</v>
      </c>
      <c r="F342" s="155">
        <f t="shared" si="135"/>
        <v>0</v>
      </c>
      <c r="G342" s="155">
        <f t="shared" si="135"/>
        <v>0</v>
      </c>
      <c r="H342" s="155">
        <f t="shared" si="135"/>
        <v>0</v>
      </c>
      <c r="I342" s="155">
        <f t="shared" si="135"/>
        <v>0</v>
      </c>
      <c r="J342" s="155">
        <f t="shared" si="135"/>
        <v>0</v>
      </c>
      <c r="K342" s="155">
        <f t="shared" si="135"/>
        <v>0</v>
      </c>
      <c r="L342" s="155">
        <f t="shared" si="135"/>
        <v>0</v>
      </c>
      <c r="M342" s="155">
        <f t="shared" si="135"/>
        <v>0</v>
      </c>
      <c r="N342" s="155">
        <f t="shared" si="135"/>
        <v>0</v>
      </c>
      <c r="O342" s="155">
        <f t="shared" si="135"/>
        <v>0</v>
      </c>
      <c r="P342" s="155">
        <f t="shared" si="135"/>
        <v>0</v>
      </c>
      <c r="Q342" s="155">
        <f t="shared" si="135"/>
        <v>0</v>
      </c>
      <c r="R342" s="155">
        <f t="shared" si="135"/>
        <v>0</v>
      </c>
      <c r="S342" s="155">
        <f t="shared" si="135"/>
        <v>0</v>
      </c>
      <c r="T342" s="155">
        <f t="shared" si="135"/>
        <v>0</v>
      </c>
      <c r="U342" s="155">
        <f t="shared" si="135"/>
        <v>0</v>
      </c>
      <c r="V342" s="155">
        <f t="shared" si="135"/>
        <v>0</v>
      </c>
      <c r="W342" s="155">
        <f t="shared" si="135"/>
        <v>0</v>
      </c>
      <c r="X342" s="155">
        <f t="shared" si="135"/>
        <v>0</v>
      </c>
      <c r="Y342" s="155">
        <f t="shared" si="135"/>
        <v>0</v>
      </c>
      <c r="Z342" s="155">
        <f t="shared" si="135"/>
        <v>0</v>
      </c>
      <c r="AA342" s="155">
        <f t="shared" si="135"/>
        <v>0</v>
      </c>
      <c r="AB342" s="155">
        <f t="shared" si="135"/>
        <v>0</v>
      </c>
      <c r="AC342" s="155">
        <f t="shared" si="135"/>
        <v>0</v>
      </c>
      <c r="AD342" s="155">
        <f t="shared" si="135"/>
        <v>0</v>
      </c>
      <c r="AE342" s="155">
        <f t="shared" si="135"/>
        <v>0</v>
      </c>
      <c r="AF342" s="155">
        <f t="shared" si="135"/>
        <v>0</v>
      </c>
      <c r="AG342" s="155">
        <f t="shared" si="135"/>
        <v>0</v>
      </c>
      <c r="AH342" s="155">
        <f t="shared" si="135"/>
        <v>0</v>
      </c>
      <c r="AI342" s="155">
        <f t="shared" si="135"/>
        <v>0</v>
      </c>
      <c r="AJ342" s="155">
        <f t="shared" si="135"/>
        <v>0</v>
      </c>
      <c r="AK342" s="155">
        <f t="shared" si="135"/>
        <v>0</v>
      </c>
      <c r="AL342" s="155">
        <f t="shared" si="135"/>
        <v>0</v>
      </c>
      <c r="AM342" s="155">
        <f t="shared" si="135"/>
        <v>0</v>
      </c>
      <c r="AN342" s="155">
        <f t="shared" si="135"/>
        <v>0</v>
      </c>
      <c r="AO342" s="155">
        <f t="shared" si="135"/>
        <v>0</v>
      </c>
      <c r="AP342" s="155">
        <f t="shared" si="135"/>
        <v>0</v>
      </c>
    </row>
    <row r="343" spans="1:42" x14ac:dyDescent="0.2">
      <c r="A343" s="4">
        <f t="shared" si="128"/>
        <v>10</v>
      </c>
      <c r="B343" s="174">
        <f t="shared" si="125"/>
        <v>0</v>
      </c>
      <c r="C343" s="156">
        <f t="shared" ref="C343:AP343" si="136">LOOKUP(C332,$B$318:$AP$318,$B$319:$AP$319)/100*$B669</f>
        <v>0</v>
      </c>
      <c r="D343" s="156">
        <f t="shared" si="136"/>
        <v>0</v>
      </c>
      <c r="E343" s="156">
        <f t="shared" si="136"/>
        <v>0</v>
      </c>
      <c r="F343" s="156">
        <f t="shared" si="136"/>
        <v>0</v>
      </c>
      <c r="G343" s="156">
        <f t="shared" si="136"/>
        <v>0</v>
      </c>
      <c r="H343" s="156">
        <f t="shared" si="136"/>
        <v>0</v>
      </c>
      <c r="I343" s="156">
        <f t="shared" si="136"/>
        <v>0</v>
      </c>
      <c r="J343" s="156">
        <f t="shared" si="136"/>
        <v>0</v>
      </c>
      <c r="K343" s="156">
        <f t="shared" si="136"/>
        <v>0</v>
      </c>
      <c r="L343" s="156">
        <f t="shared" si="136"/>
        <v>0</v>
      </c>
      <c r="M343" s="156">
        <f t="shared" si="136"/>
        <v>0</v>
      </c>
      <c r="N343" s="156">
        <f t="shared" si="136"/>
        <v>0</v>
      </c>
      <c r="O343" s="156">
        <f t="shared" si="136"/>
        <v>0</v>
      </c>
      <c r="P343" s="156">
        <f t="shared" si="136"/>
        <v>0</v>
      </c>
      <c r="Q343" s="156">
        <f t="shared" si="136"/>
        <v>0</v>
      </c>
      <c r="R343" s="156">
        <f t="shared" si="136"/>
        <v>0</v>
      </c>
      <c r="S343" s="156">
        <f t="shared" si="136"/>
        <v>0</v>
      </c>
      <c r="T343" s="156">
        <f t="shared" si="136"/>
        <v>0</v>
      </c>
      <c r="U343" s="156">
        <f t="shared" si="136"/>
        <v>0</v>
      </c>
      <c r="V343" s="156">
        <f t="shared" si="136"/>
        <v>0</v>
      </c>
      <c r="W343" s="156">
        <f t="shared" si="136"/>
        <v>0</v>
      </c>
      <c r="X343" s="156">
        <f t="shared" si="136"/>
        <v>0</v>
      </c>
      <c r="Y343" s="156">
        <f t="shared" si="136"/>
        <v>0</v>
      </c>
      <c r="Z343" s="156">
        <f t="shared" si="136"/>
        <v>0</v>
      </c>
      <c r="AA343" s="156">
        <f t="shared" si="136"/>
        <v>0</v>
      </c>
      <c r="AB343" s="156">
        <f t="shared" si="136"/>
        <v>0</v>
      </c>
      <c r="AC343" s="156">
        <f t="shared" si="136"/>
        <v>0</v>
      </c>
      <c r="AD343" s="156">
        <f t="shared" si="136"/>
        <v>0</v>
      </c>
      <c r="AE343" s="156">
        <f t="shared" si="136"/>
        <v>0</v>
      </c>
      <c r="AF343" s="156">
        <f t="shared" si="136"/>
        <v>0</v>
      </c>
      <c r="AG343" s="156">
        <f t="shared" si="136"/>
        <v>0</v>
      </c>
      <c r="AH343" s="156">
        <f t="shared" si="136"/>
        <v>0</v>
      </c>
      <c r="AI343" s="156">
        <f t="shared" si="136"/>
        <v>0</v>
      </c>
      <c r="AJ343" s="156">
        <f t="shared" si="136"/>
        <v>0</v>
      </c>
      <c r="AK343" s="156">
        <f t="shared" si="136"/>
        <v>0</v>
      </c>
      <c r="AL343" s="156">
        <f t="shared" si="136"/>
        <v>0</v>
      </c>
      <c r="AM343" s="156">
        <f t="shared" si="136"/>
        <v>0</v>
      </c>
      <c r="AN343" s="156">
        <f t="shared" si="136"/>
        <v>0</v>
      </c>
      <c r="AO343" s="156">
        <f t="shared" si="136"/>
        <v>0</v>
      </c>
      <c r="AP343" s="156">
        <f t="shared" si="136"/>
        <v>0</v>
      </c>
    </row>
    <row r="344" spans="1:42" ht="12" customHeight="1" x14ac:dyDescent="0.2">
      <c r="A344" s="24" t="s">
        <v>13</v>
      </c>
      <c r="B344" s="155"/>
      <c r="C344" s="155">
        <f>SUM(C334:C343)</f>
        <v>0</v>
      </c>
      <c r="D344" s="155">
        <f t="shared" ref="D344:AP344" si="137">SUM(D334:D343)</f>
        <v>0</v>
      </c>
      <c r="E344" s="155">
        <f t="shared" si="137"/>
        <v>0</v>
      </c>
      <c r="F344" s="155">
        <f t="shared" si="137"/>
        <v>0</v>
      </c>
      <c r="G344" s="155">
        <f t="shared" si="137"/>
        <v>0</v>
      </c>
      <c r="H344" s="155">
        <f t="shared" si="137"/>
        <v>0</v>
      </c>
      <c r="I344" s="155">
        <f t="shared" si="137"/>
        <v>0</v>
      </c>
      <c r="J344" s="155">
        <f t="shared" si="137"/>
        <v>0</v>
      </c>
      <c r="K344" s="155">
        <f t="shared" si="137"/>
        <v>0</v>
      </c>
      <c r="L344" s="155">
        <f t="shared" si="137"/>
        <v>0</v>
      </c>
      <c r="M344" s="155">
        <f t="shared" si="137"/>
        <v>0</v>
      </c>
      <c r="N344" s="155">
        <f t="shared" si="137"/>
        <v>0</v>
      </c>
      <c r="O344" s="155">
        <f t="shared" si="137"/>
        <v>0</v>
      </c>
      <c r="P344" s="155">
        <f t="shared" si="137"/>
        <v>0</v>
      </c>
      <c r="Q344" s="155">
        <f t="shared" si="137"/>
        <v>0</v>
      </c>
      <c r="R344" s="155">
        <f t="shared" si="137"/>
        <v>0</v>
      </c>
      <c r="S344" s="155">
        <f t="shared" si="137"/>
        <v>0</v>
      </c>
      <c r="T344" s="155">
        <f t="shared" si="137"/>
        <v>0</v>
      </c>
      <c r="U344" s="155">
        <f t="shared" si="137"/>
        <v>0</v>
      </c>
      <c r="V344" s="155">
        <f t="shared" si="137"/>
        <v>0</v>
      </c>
      <c r="W344" s="155">
        <f t="shared" si="137"/>
        <v>0</v>
      </c>
      <c r="X344" s="155">
        <f t="shared" si="137"/>
        <v>0</v>
      </c>
      <c r="Y344" s="155">
        <f t="shared" si="137"/>
        <v>0</v>
      </c>
      <c r="Z344" s="155">
        <f t="shared" si="137"/>
        <v>0</v>
      </c>
      <c r="AA344" s="155">
        <f t="shared" si="137"/>
        <v>0</v>
      </c>
      <c r="AB344" s="155">
        <f t="shared" si="137"/>
        <v>0</v>
      </c>
      <c r="AC344" s="155">
        <f t="shared" si="137"/>
        <v>0</v>
      </c>
      <c r="AD344" s="155">
        <f t="shared" si="137"/>
        <v>0</v>
      </c>
      <c r="AE344" s="155">
        <f t="shared" si="137"/>
        <v>0</v>
      </c>
      <c r="AF344" s="155">
        <f t="shared" si="137"/>
        <v>0</v>
      </c>
      <c r="AG344" s="155">
        <f t="shared" si="137"/>
        <v>0</v>
      </c>
      <c r="AH344" s="155">
        <f t="shared" si="137"/>
        <v>0</v>
      </c>
      <c r="AI344" s="155">
        <f t="shared" si="137"/>
        <v>0</v>
      </c>
      <c r="AJ344" s="155">
        <f t="shared" si="137"/>
        <v>0</v>
      </c>
      <c r="AK344" s="155">
        <f t="shared" si="137"/>
        <v>0</v>
      </c>
      <c r="AL344" s="155">
        <f t="shared" si="137"/>
        <v>0</v>
      </c>
      <c r="AM344" s="155">
        <f t="shared" si="137"/>
        <v>0</v>
      </c>
      <c r="AN344" s="155">
        <f t="shared" si="137"/>
        <v>0</v>
      </c>
      <c r="AO344" s="155">
        <f t="shared" si="137"/>
        <v>0</v>
      </c>
      <c r="AP344" s="155">
        <f t="shared" si="137"/>
        <v>0</v>
      </c>
    </row>
    <row r="345" spans="1:42" x14ac:dyDescent="0.2">
      <c r="A345" s="21"/>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row>
    <row r="346" spans="1:42" x14ac:dyDescent="0.2">
      <c r="A346" s="21" t="s">
        <v>81</v>
      </c>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row>
    <row r="347" spans="1:42" x14ac:dyDescent="0.2">
      <c r="A347" s="87" t="s">
        <v>67</v>
      </c>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row>
    <row r="348" spans="1:42" x14ac:dyDescent="0.2">
      <c r="A348" s="4">
        <v>1</v>
      </c>
      <c r="B348" s="4">
        <v>0</v>
      </c>
      <c r="C348" s="155">
        <f>IF(C$2&lt;=analysis_period,IF(SUM($C692:C692)&gt;0,B348+1,0),0)</f>
        <v>0</v>
      </c>
      <c r="D348" s="155">
        <f>IF(D$2&lt;=analysis_period,IF(SUM($C692:D692)&gt;0,C348+1,0),0)</f>
        <v>0</v>
      </c>
      <c r="E348" s="155">
        <f>IF(E$2&lt;=analysis_period,IF(SUM($C692:E692)&gt;0,D348+1,0),0)</f>
        <v>0</v>
      </c>
      <c r="F348" s="155">
        <f>IF(F$2&lt;=analysis_period,IF(SUM($C692:F692)&gt;0,E348+1,0),0)</f>
        <v>0</v>
      </c>
      <c r="G348" s="155">
        <f>IF(G$2&lt;=analysis_period,IF(SUM($C692:G692)&gt;0,F348+1,0),0)</f>
        <v>0</v>
      </c>
      <c r="H348" s="155">
        <f>IF(H$2&lt;=analysis_period,IF(SUM($C692:H692)&gt;0,G348+1,0),0)</f>
        <v>0</v>
      </c>
      <c r="I348" s="155">
        <f>IF(I$2&lt;=analysis_period,IF(SUM($C692:I692)&gt;0,H348+1,0),0)</f>
        <v>0</v>
      </c>
      <c r="J348" s="155">
        <f>IF(J$2&lt;=analysis_period,IF(SUM($C692:J692)&gt;0,I348+1,0),0)</f>
        <v>0</v>
      </c>
      <c r="K348" s="155">
        <f>IF(K$2&lt;=analysis_period,IF(SUM($C692:K692)&gt;0,J348+1,0),0)</f>
        <v>0</v>
      </c>
      <c r="L348" s="155">
        <f>IF(L$2&lt;=analysis_period,IF(SUM($C692:L692)&gt;0,K348+1,0),0)</f>
        <v>0</v>
      </c>
      <c r="M348" s="155">
        <f>IF(M$2&lt;=analysis_period,IF(SUM($C692:M692)&gt;0,L348+1,0),0)</f>
        <v>0</v>
      </c>
      <c r="N348" s="155">
        <f>IF(N$2&lt;=analysis_period,IF(SUM($C692:N692)&gt;0,M348+1,0),0)</f>
        <v>0</v>
      </c>
      <c r="O348" s="155">
        <f>IF(O$2&lt;=analysis_period,IF(SUM($C692:O692)&gt;0,N348+1,0),0)</f>
        <v>0</v>
      </c>
      <c r="P348" s="155">
        <f>IF(P$2&lt;=analysis_period,IF(SUM($C692:P692)&gt;0,O348+1,0),0)</f>
        <v>0</v>
      </c>
      <c r="Q348" s="155">
        <f>IF(Q$2&lt;=analysis_period,IF(SUM($C692:Q692)&gt;0,P348+1,0),0)</f>
        <v>0</v>
      </c>
      <c r="R348" s="155">
        <f>IF(R$2&lt;=analysis_period,IF(SUM($C692:R692)&gt;0,Q348+1,0),0)</f>
        <v>0</v>
      </c>
      <c r="S348" s="155">
        <f>IF(S$2&lt;=analysis_period,IF(SUM($C692:S692)&gt;0,R348+1,0),0)</f>
        <v>0</v>
      </c>
      <c r="T348" s="155">
        <f>IF(T$2&lt;=analysis_period,IF(SUM($C692:T692)&gt;0,S348+1,0),0)</f>
        <v>0</v>
      </c>
      <c r="U348" s="155">
        <f>IF(U$2&lt;=analysis_period,IF(SUM($C692:U692)&gt;0,T348+1,0),0)</f>
        <v>0</v>
      </c>
      <c r="V348" s="155">
        <f>IF(V$2&lt;=analysis_period,IF(SUM($C692:V692)&gt;0,U348+1,0),0)</f>
        <v>0</v>
      </c>
      <c r="W348" s="155">
        <f>IF(W$2&lt;=analysis_period,IF(SUM($C692:W692)&gt;0,V348+1,0),0)</f>
        <v>0</v>
      </c>
      <c r="X348" s="155">
        <f>IF(X$2&lt;=analysis_period,IF(SUM($C692:X692)&gt;0,W348+1,0),0)</f>
        <v>0</v>
      </c>
      <c r="Y348" s="155">
        <f>IF(Y$2&lt;=analysis_period,IF(SUM($C692:Y692)&gt;0,X348+1,0),0)</f>
        <v>0</v>
      </c>
      <c r="Z348" s="155">
        <f>IF(Z$2&lt;=analysis_period,IF(SUM($C692:Z692)&gt;0,Y348+1,0),0)</f>
        <v>0</v>
      </c>
      <c r="AA348" s="155">
        <f>IF(AA$2&lt;=analysis_period,IF(SUM($C692:AA692)&gt;0,Z348+1,0),0)</f>
        <v>0</v>
      </c>
      <c r="AB348" s="155">
        <f>IF(AB$2&lt;=analysis_period,IF(SUM($C692:AB692)&gt;0,AA348+1,0),0)</f>
        <v>0</v>
      </c>
      <c r="AC348" s="155">
        <f>IF(AC$2&lt;=analysis_period,IF(SUM($C692:AC692)&gt;0,AB348+1,0),0)</f>
        <v>0</v>
      </c>
      <c r="AD348" s="155">
        <f>IF(AD$2&lt;=analysis_period,IF(SUM($C692:AD692)&gt;0,AC348+1,0),0)</f>
        <v>0</v>
      </c>
      <c r="AE348" s="155">
        <f>IF(AE$2&lt;=analysis_period,IF(SUM($C692:AE692)&gt;0,AD348+1,0),0)</f>
        <v>0</v>
      </c>
      <c r="AF348" s="155">
        <f>IF(AF$2&lt;=analysis_period,IF(SUM($C692:AF692)&gt;0,AE348+1,0),0)</f>
        <v>0</v>
      </c>
      <c r="AG348" s="155">
        <f>IF(AG$2&lt;=analysis_period,IF(SUM($C692:AG692)&gt;0,AF348+1,0),0)</f>
        <v>0</v>
      </c>
      <c r="AH348" s="155">
        <f>IF(AH$2&lt;=analysis_period,IF(SUM($C692:AH692)&gt;0,AG348+1,0),0)</f>
        <v>0</v>
      </c>
      <c r="AI348" s="155">
        <f>IF(AI$2&lt;=analysis_period,IF(SUM($C692:AI692)&gt;0,AH348+1,0),0)</f>
        <v>0</v>
      </c>
      <c r="AJ348" s="155">
        <f>IF(AJ$2&lt;=analysis_period,IF(SUM($C692:AJ692)&gt;0,AI348+1,0),0)</f>
        <v>0</v>
      </c>
      <c r="AK348" s="155">
        <f>IF(AK$2&lt;=analysis_period,IF(SUM($C692:AK692)&gt;0,AJ348+1,0),0)</f>
        <v>0</v>
      </c>
      <c r="AL348" s="155">
        <f>IF(AL$2&lt;=analysis_period,IF(SUM($C692:AL692)&gt;0,AK348+1,0),0)</f>
        <v>0</v>
      </c>
      <c r="AM348" s="155">
        <f>IF(AM$2&lt;=analysis_period,IF(SUM($C692:AM692)&gt;0,AL348+1,0),0)</f>
        <v>0</v>
      </c>
      <c r="AN348" s="155">
        <f>IF(AN$2&lt;=analysis_period,IF(SUM($C692:AN692)&gt;0,AM348+1,0),0)</f>
        <v>0</v>
      </c>
      <c r="AO348" s="155">
        <f>IF(AO$2&lt;=analysis_period,IF(SUM($C692:AO692)&gt;0,AN348+1,0),0)</f>
        <v>0</v>
      </c>
      <c r="AP348" s="155">
        <f>IF(AP$2&lt;=analysis_period,IF(SUM($C692:AP692)&gt;0,AO348+1,0),0)</f>
        <v>0</v>
      </c>
    </row>
    <row r="349" spans="1:42" x14ac:dyDescent="0.2">
      <c r="A349" s="4">
        <f>A348+1</f>
        <v>2</v>
      </c>
      <c r="B349" s="4">
        <v>0</v>
      </c>
      <c r="C349" s="155">
        <f>IF(C$2&lt;=analysis_period,IF(SUM($C693:C693)&gt;0,B349+1,0),0)</f>
        <v>0</v>
      </c>
      <c r="D349" s="155">
        <f>IF(D$2&lt;=analysis_period,IF(SUM($C693:D693)&gt;0,C349+1,0),0)</f>
        <v>0</v>
      </c>
      <c r="E349" s="155">
        <f>IF(E$2&lt;=analysis_period,IF(SUM($C693:E693)&gt;0,D349+1,0),0)</f>
        <v>0</v>
      </c>
      <c r="F349" s="155">
        <f>IF(F$2&lt;=analysis_period,IF(SUM($C693:F693)&gt;0,E349+1,0),0)</f>
        <v>0</v>
      </c>
      <c r="G349" s="155">
        <f>IF(G$2&lt;=analysis_period,IF(SUM($C693:G693)&gt;0,F349+1,0),0)</f>
        <v>0</v>
      </c>
      <c r="H349" s="155">
        <f>IF(H$2&lt;=analysis_period,IF(SUM($C693:H693)&gt;0,G349+1,0),0)</f>
        <v>0</v>
      </c>
      <c r="I349" s="155">
        <f>IF(I$2&lt;=analysis_period,IF(SUM($C693:I693)&gt;0,H349+1,0),0)</f>
        <v>0</v>
      </c>
      <c r="J349" s="155">
        <f>IF(J$2&lt;=analysis_period,IF(SUM($C693:J693)&gt;0,I349+1,0),0)</f>
        <v>0</v>
      </c>
      <c r="K349" s="155">
        <f>IF(K$2&lt;=analysis_period,IF(SUM($C693:K693)&gt;0,J349+1,0),0)</f>
        <v>0</v>
      </c>
      <c r="L349" s="155">
        <f>IF(L$2&lt;=analysis_period,IF(SUM($C693:L693)&gt;0,K349+1,0),0)</f>
        <v>0</v>
      </c>
      <c r="M349" s="155">
        <f>IF(M$2&lt;=analysis_period,IF(SUM($C693:M693)&gt;0,L349+1,0),0)</f>
        <v>0</v>
      </c>
      <c r="N349" s="155">
        <f>IF(N$2&lt;=analysis_period,IF(SUM($C693:N693)&gt;0,M349+1,0),0)</f>
        <v>0</v>
      </c>
      <c r="O349" s="155">
        <f>IF(O$2&lt;=analysis_period,IF(SUM($C693:O693)&gt;0,N349+1,0),0)</f>
        <v>0</v>
      </c>
      <c r="P349" s="155">
        <f>IF(P$2&lt;=analysis_period,IF(SUM($C693:P693)&gt;0,O349+1,0),0)</f>
        <v>0</v>
      </c>
      <c r="Q349" s="155">
        <f>IF(Q$2&lt;=analysis_period,IF(SUM($C693:Q693)&gt;0,P349+1,0),0)</f>
        <v>0</v>
      </c>
      <c r="R349" s="155">
        <f>IF(R$2&lt;=analysis_period,IF(SUM($C693:R693)&gt;0,Q349+1,0),0)</f>
        <v>0</v>
      </c>
      <c r="S349" s="155">
        <f>IF(S$2&lt;=analysis_period,IF(SUM($C693:S693)&gt;0,R349+1,0),0)</f>
        <v>0</v>
      </c>
      <c r="T349" s="155">
        <f>IF(T$2&lt;=analysis_period,IF(SUM($C693:T693)&gt;0,S349+1,0),0)</f>
        <v>0</v>
      </c>
      <c r="U349" s="155">
        <f>IF(U$2&lt;=analysis_period,IF(SUM($C693:U693)&gt;0,T349+1,0),0)</f>
        <v>0</v>
      </c>
      <c r="V349" s="155">
        <f>IF(V$2&lt;=analysis_period,IF(SUM($C693:V693)&gt;0,U349+1,0),0)</f>
        <v>0</v>
      </c>
      <c r="W349" s="155">
        <f>IF(W$2&lt;=analysis_period,IF(SUM($C693:W693)&gt;0,V349+1,0),0)</f>
        <v>0</v>
      </c>
      <c r="X349" s="155">
        <f>IF(X$2&lt;=analysis_period,IF(SUM($C693:X693)&gt;0,W349+1,0),0)</f>
        <v>0</v>
      </c>
      <c r="Y349" s="155">
        <f>IF(Y$2&lt;=analysis_period,IF(SUM($C693:Y693)&gt;0,X349+1,0),0)</f>
        <v>0</v>
      </c>
      <c r="Z349" s="155">
        <f>IF(Z$2&lt;=analysis_period,IF(SUM($C693:Z693)&gt;0,Y349+1,0),0)</f>
        <v>0</v>
      </c>
      <c r="AA349" s="155">
        <f>IF(AA$2&lt;=analysis_period,IF(SUM($C693:AA693)&gt;0,Z349+1,0),0)</f>
        <v>0</v>
      </c>
      <c r="AB349" s="155">
        <f>IF(AB$2&lt;=analysis_period,IF(SUM($C693:AB693)&gt;0,AA349+1,0),0)</f>
        <v>0</v>
      </c>
      <c r="AC349" s="155">
        <f>IF(AC$2&lt;=analysis_period,IF(SUM($C693:AC693)&gt;0,AB349+1,0),0)</f>
        <v>0</v>
      </c>
      <c r="AD349" s="155">
        <f>IF(AD$2&lt;=analysis_period,IF(SUM($C693:AD693)&gt;0,AC349+1,0),0)</f>
        <v>0</v>
      </c>
      <c r="AE349" s="155">
        <f>IF(AE$2&lt;=analysis_period,IF(SUM($C693:AE693)&gt;0,AD349+1,0),0)</f>
        <v>0</v>
      </c>
      <c r="AF349" s="155">
        <f>IF(AF$2&lt;=analysis_period,IF(SUM($C693:AF693)&gt;0,AE349+1,0),0)</f>
        <v>0</v>
      </c>
      <c r="AG349" s="155">
        <f>IF(AG$2&lt;=analysis_period,IF(SUM($C693:AG693)&gt;0,AF349+1,0),0)</f>
        <v>0</v>
      </c>
      <c r="AH349" s="155">
        <f>IF(AH$2&lt;=analysis_period,IF(SUM($C693:AH693)&gt;0,AG349+1,0),0)</f>
        <v>0</v>
      </c>
      <c r="AI349" s="155">
        <f>IF(AI$2&lt;=analysis_period,IF(SUM($C693:AI693)&gt;0,AH349+1,0),0)</f>
        <v>0</v>
      </c>
      <c r="AJ349" s="155">
        <f>IF(AJ$2&lt;=analysis_period,IF(SUM($C693:AJ693)&gt;0,AI349+1,0),0)</f>
        <v>0</v>
      </c>
      <c r="AK349" s="155">
        <f>IF(AK$2&lt;=analysis_period,IF(SUM($C693:AK693)&gt;0,AJ349+1,0),0)</f>
        <v>0</v>
      </c>
      <c r="AL349" s="155">
        <f>IF(AL$2&lt;=analysis_period,IF(SUM($C693:AL693)&gt;0,AK349+1,0),0)</f>
        <v>0</v>
      </c>
      <c r="AM349" s="155">
        <f>IF(AM$2&lt;=analysis_period,IF(SUM($C693:AM693)&gt;0,AL349+1,0),0)</f>
        <v>0</v>
      </c>
      <c r="AN349" s="155">
        <f>IF(AN$2&lt;=analysis_period,IF(SUM($C693:AN693)&gt;0,AM349+1,0),0)</f>
        <v>0</v>
      </c>
      <c r="AO349" s="155">
        <f>IF(AO$2&lt;=analysis_period,IF(SUM($C693:AO693)&gt;0,AN349+1,0),0)</f>
        <v>0</v>
      </c>
      <c r="AP349" s="155">
        <f>IF(AP$2&lt;=analysis_period,IF(SUM($C693:AP693)&gt;0,AO349+1,0),0)</f>
        <v>0</v>
      </c>
    </row>
    <row r="350" spans="1:42" x14ac:dyDescent="0.2">
      <c r="A350" s="4">
        <f t="shared" ref="A350:A357" si="138">A349+1</f>
        <v>3</v>
      </c>
      <c r="B350" s="4">
        <v>0</v>
      </c>
      <c r="C350" s="155">
        <f>IF(C$2&lt;=analysis_period,IF(SUM($C694:C694)&gt;0,B350+1,0),0)</f>
        <v>0</v>
      </c>
      <c r="D350" s="155">
        <f>IF(D$2&lt;=analysis_period,IF(SUM($C694:D694)&gt;0,C350+1,0),0)</f>
        <v>0</v>
      </c>
      <c r="E350" s="155">
        <f>IF(E$2&lt;=analysis_period,IF(SUM($C694:E694)&gt;0,D350+1,0),0)</f>
        <v>0</v>
      </c>
      <c r="F350" s="155">
        <f>IF(F$2&lt;=analysis_period,IF(SUM($C694:F694)&gt;0,E350+1,0),0)</f>
        <v>0</v>
      </c>
      <c r="G350" s="155">
        <f>IF(G$2&lt;=analysis_period,IF(SUM($C694:G694)&gt;0,F350+1,0),0)</f>
        <v>0</v>
      </c>
      <c r="H350" s="155">
        <f>IF(H$2&lt;=analysis_period,IF(SUM($C694:H694)&gt;0,G350+1,0),0)</f>
        <v>0</v>
      </c>
      <c r="I350" s="155">
        <f>IF(I$2&lt;=analysis_period,IF(SUM($C694:I694)&gt;0,H350+1,0),0)</f>
        <v>0</v>
      </c>
      <c r="J350" s="155">
        <f>IF(J$2&lt;=analysis_period,IF(SUM($C694:J694)&gt;0,I350+1,0),0)</f>
        <v>0</v>
      </c>
      <c r="K350" s="155">
        <f>IF(K$2&lt;=analysis_period,IF(SUM($C694:K694)&gt;0,J350+1,0),0)</f>
        <v>0</v>
      </c>
      <c r="L350" s="155">
        <f>IF(L$2&lt;=analysis_period,IF(SUM($C694:L694)&gt;0,K350+1,0),0)</f>
        <v>0</v>
      </c>
      <c r="M350" s="155">
        <f>IF(M$2&lt;=analysis_period,IF(SUM($C694:M694)&gt;0,L350+1,0),0)</f>
        <v>0</v>
      </c>
      <c r="N350" s="155">
        <f>IF(N$2&lt;=analysis_period,IF(SUM($C694:N694)&gt;0,M350+1,0),0)</f>
        <v>0</v>
      </c>
      <c r="O350" s="155">
        <f>IF(O$2&lt;=analysis_period,IF(SUM($C694:O694)&gt;0,N350+1,0),0)</f>
        <v>0</v>
      </c>
      <c r="P350" s="155">
        <f>IF(P$2&lt;=analysis_period,IF(SUM($C694:P694)&gt;0,O350+1,0),0)</f>
        <v>0</v>
      </c>
      <c r="Q350" s="155">
        <f>IF(Q$2&lt;=analysis_period,IF(SUM($C694:Q694)&gt;0,P350+1,0),0)</f>
        <v>0</v>
      </c>
      <c r="R350" s="155">
        <f>IF(R$2&lt;=analysis_period,IF(SUM($C694:R694)&gt;0,Q350+1,0),0)</f>
        <v>0</v>
      </c>
      <c r="S350" s="155">
        <f>IF(S$2&lt;=analysis_period,IF(SUM($C694:S694)&gt;0,R350+1,0),0)</f>
        <v>0</v>
      </c>
      <c r="T350" s="155">
        <f>IF(T$2&lt;=analysis_period,IF(SUM($C694:T694)&gt;0,S350+1,0),0)</f>
        <v>0</v>
      </c>
      <c r="U350" s="155">
        <f>IF(U$2&lt;=analysis_period,IF(SUM($C694:U694)&gt;0,T350+1,0),0)</f>
        <v>0</v>
      </c>
      <c r="V350" s="155">
        <f>IF(V$2&lt;=analysis_period,IF(SUM($C694:V694)&gt;0,U350+1,0),0)</f>
        <v>0</v>
      </c>
      <c r="W350" s="155">
        <f>IF(W$2&lt;=analysis_period,IF(SUM($C694:W694)&gt;0,V350+1,0),0)</f>
        <v>0</v>
      </c>
      <c r="X350" s="155">
        <f>IF(X$2&lt;=analysis_period,IF(SUM($C694:X694)&gt;0,W350+1,0),0)</f>
        <v>0</v>
      </c>
      <c r="Y350" s="155">
        <f>IF(Y$2&lt;=analysis_period,IF(SUM($C694:Y694)&gt;0,X350+1,0),0)</f>
        <v>0</v>
      </c>
      <c r="Z350" s="155">
        <f>IF(Z$2&lt;=analysis_period,IF(SUM($C694:Z694)&gt;0,Y350+1,0),0)</f>
        <v>0</v>
      </c>
      <c r="AA350" s="155">
        <f>IF(AA$2&lt;=analysis_period,IF(SUM($C694:AA694)&gt;0,Z350+1,0),0)</f>
        <v>0</v>
      </c>
      <c r="AB350" s="155">
        <f>IF(AB$2&lt;=analysis_period,IF(SUM($C694:AB694)&gt;0,AA350+1,0),0)</f>
        <v>0</v>
      </c>
      <c r="AC350" s="155">
        <f>IF(AC$2&lt;=analysis_period,IF(SUM($C694:AC694)&gt;0,AB350+1,0),0)</f>
        <v>0</v>
      </c>
      <c r="AD350" s="155">
        <f>IF(AD$2&lt;=analysis_period,IF(SUM($C694:AD694)&gt;0,AC350+1,0),0)</f>
        <v>0</v>
      </c>
      <c r="AE350" s="155">
        <f>IF(AE$2&lt;=analysis_period,IF(SUM($C694:AE694)&gt;0,AD350+1,0),0)</f>
        <v>0</v>
      </c>
      <c r="AF350" s="155">
        <f>IF(AF$2&lt;=analysis_period,IF(SUM($C694:AF694)&gt;0,AE350+1,0),0)</f>
        <v>0</v>
      </c>
      <c r="AG350" s="155">
        <f>IF(AG$2&lt;=analysis_period,IF(SUM($C694:AG694)&gt;0,AF350+1,0),0)</f>
        <v>0</v>
      </c>
      <c r="AH350" s="155">
        <f>IF(AH$2&lt;=analysis_period,IF(SUM($C694:AH694)&gt;0,AG350+1,0),0)</f>
        <v>0</v>
      </c>
      <c r="AI350" s="155">
        <f>IF(AI$2&lt;=analysis_period,IF(SUM($C694:AI694)&gt;0,AH350+1,0),0)</f>
        <v>0</v>
      </c>
      <c r="AJ350" s="155">
        <f>IF(AJ$2&lt;=analysis_period,IF(SUM($C694:AJ694)&gt;0,AI350+1,0),0)</f>
        <v>0</v>
      </c>
      <c r="AK350" s="155">
        <f>IF(AK$2&lt;=analysis_period,IF(SUM($C694:AK694)&gt;0,AJ350+1,0),0)</f>
        <v>0</v>
      </c>
      <c r="AL350" s="155">
        <f>IF(AL$2&lt;=analysis_period,IF(SUM($C694:AL694)&gt;0,AK350+1,0),0)</f>
        <v>0</v>
      </c>
      <c r="AM350" s="155">
        <f>IF(AM$2&lt;=analysis_period,IF(SUM($C694:AM694)&gt;0,AL350+1,0),0)</f>
        <v>0</v>
      </c>
      <c r="AN350" s="155">
        <f>IF(AN$2&lt;=analysis_period,IF(SUM($C694:AN694)&gt;0,AM350+1,0),0)</f>
        <v>0</v>
      </c>
      <c r="AO350" s="155">
        <f>IF(AO$2&lt;=analysis_period,IF(SUM($C694:AO694)&gt;0,AN350+1,0),0)</f>
        <v>0</v>
      </c>
      <c r="AP350" s="155">
        <f>IF(AP$2&lt;=analysis_period,IF(SUM($C694:AP694)&gt;0,AO350+1,0),0)</f>
        <v>0</v>
      </c>
    </row>
    <row r="351" spans="1:42" x14ac:dyDescent="0.2">
      <c r="A351" s="4">
        <f t="shared" si="138"/>
        <v>4</v>
      </c>
      <c r="B351" s="4">
        <v>0</v>
      </c>
      <c r="C351" s="155">
        <f>IF(C$2&lt;=analysis_period,IF(SUM($C695:C695)&gt;0,B351+1,0),0)</f>
        <v>0</v>
      </c>
      <c r="D351" s="155">
        <f>IF(D$2&lt;=analysis_period,IF(SUM($C695:D695)&gt;0,C351+1,0),0)</f>
        <v>0</v>
      </c>
      <c r="E351" s="155">
        <f>IF(E$2&lt;=analysis_period,IF(SUM($C695:E695)&gt;0,D351+1,0),0)</f>
        <v>0</v>
      </c>
      <c r="F351" s="155">
        <f>IF(F$2&lt;=analysis_period,IF(SUM($C695:F695)&gt;0,E351+1,0),0)</f>
        <v>0</v>
      </c>
      <c r="G351" s="155">
        <f>IF(G$2&lt;=analysis_period,IF(SUM($C695:G695)&gt;0,F351+1,0),0)</f>
        <v>0</v>
      </c>
      <c r="H351" s="155">
        <f>IF(H$2&lt;=analysis_period,IF(SUM($C695:H695)&gt;0,G351+1,0),0)</f>
        <v>0</v>
      </c>
      <c r="I351" s="155">
        <f>IF(I$2&lt;=analysis_period,IF(SUM($C695:I695)&gt;0,H351+1,0),0)</f>
        <v>0</v>
      </c>
      <c r="J351" s="155">
        <f>IF(J$2&lt;=analysis_period,IF(SUM($C695:J695)&gt;0,I351+1,0),0)</f>
        <v>0</v>
      </c>
      <c r="K351" s="155">
        <f>IF(K$2&lt;=analysis_period,IF(SUM($C695:K695)&gt;0,J351+1,0),0)</f>
        <v>0</v>
      </c>
      <c r="L351" s="155">
        <f>IF(L$2&lt;=analysis_period,IF(SUM($C695:L695)&gt;0,K351+1,0),0)</f>
        <v>0</v>
      </c>
      <c r="M351" s="155">
        <f>IF(M$2&lt;=analysis_period,IF(SUM($C695:M695)&gt;0,L351+1,0),0)</f>
        <v>0</v>
      </c>
      <c r="N351" s="155">
        <f>IF(N$2&lt;=analysis_period,IF(SUM($C695:N695)&gt;0,M351+1,0),0)</f>
        <v>0</v>
      </c>
      <c r="O351" s="155">
        <f>IF(O$2&lt;=analysis_period,IF(SUM($C695:O695)&gt;0,N351+1,0),0)</f>
        <v>0</v>
      </c>
      <c r="P351" s="155">
        <f>IF(P$2&lt;=analysis_period,IF(SUM($C695:P695)&gt;0,O351+1,0),0)</f>
        <v>0</v>
      </c>
      <c r="Q351" s="155">
        <f>IF(Q$2&lt;=analysis_period,IF(SUM($C695:Q695)&gt;0,P351+1,0),0)</f>
        <v>0</v>
      </c>
      <c r="R351" s="155">
        <f>IF(R$2&lt;=analysis_period,IF(SUM($C695:R695)&gt;0,Q351+1,0),0)</f>
        <v>0</v>
      </c>
      <c r="S351" s="155">
        <f>IF(S$2&lt;=analysis_period,IF(SUM($C695:S695)&gt;0,R351+1,0),0)</f>
        <v>0</v>
      </c>
      <c r="T351" s="155">
        <f>IF(T$2&lt;=analysis_period,IF(SUM($C695:T695)&gt;0,S351+1,0),0)</f>
        <v>0</v>
      </c>
      <c r="U351" s="155">
        <f>IF(U$2&lt;=analysis_period,IF(SUM($C695:U695)&gt;0,T351+1,0),0)</f>
        <v>0</v>
      </c>
      <c r="V351" s="155">
        <f>IF(V$2&lt;=analysis_period,IF(SUM($C695:V695)&gt;0,U351+1,0),0)</f>
        <v>0</v>
      </c>
      <c r="W351" s="155">
        <f>IF(W$2&lt;=analysis_period,IF(SUM($C695:W695)&gt;0,V351+1,0),0)</f>
        <v>0</v>
      </c>
      <c r="X351" s="155">
        <f>IF(X$2&lt;=analysis_period,IF(SUM($C695:X695)&gt;0,W351+1,0),0)</f>
        <v>0</v>
      </c>
      <c r="Y351" s="155">
        <f>IF(Y$2&lt;=analysis_period,IF(SUM($C695:Y695)&gt;0,X351+1,0),0)</f>
        <v>0</v>
      </c>
      <c r="Z351" s="155">
        <f>IF(Z$2&lt;=analysis_period,IF(SUM($C695:Z695)&gt;0,Y351+1,0),0)</f>
        <v>0</v>
      </c>
      <c r="AA351" s="155">
        <f>IF(AA$2&lt;=analysis_period,IF(SUM($C695:AA695)&gt;0,Z351+1,0),0)</f>
        <v>0</v>
      </c>
      <c r="AB351" s="155">
        <f>IF(AB$2&lt;=analysis_period,IF(SUM($C695:AB695)&gt;0,AA351+1,0),0)</f>
        <v>0</v>
      </c>
      <c r="AC351" s="155">
        <f>IF(AC$2&lt;=analysis_period,IF(SUM($C695:AC695)&gt;0,AB351+1,0),0)</f>
        <v>0</v>
      </c>
      <c r="AD351" s="155">
        <f>IF(AD$2&lt;=analysis_period,IF(SUM($C695:AD695)&gt;0,AC351+1,0),0)</f>
        <v>0</v>
      </c>
      <c r="AE351" s="155">
        <f>IF(AE$2&lt;=analysis_period,IF(SUM($C695:AE695)&gt;0,AD351+1,0),0)</f>
        <v>0</v>
      </c>
      <c r="AF351" s="155">
        <f>IF(AF$2&lt;=analysis_period,IF(SUM($C695:AF695)&gt;0,AE351+1,0),0)</f>
        <v>0</v>
      </c>
      <c r="AG351" s="155">
        <f>IF(AG$2&lt;=analysis_period,IF(SUM($C695:AG695)&gt;0,AF351+1,0),0)</f>
        <v>0</v>
      </c>
      <c r="AH351" s="155">
        <f>IF(AH$2&lt;=analysis_period,IF(SUM($C695:AH695)&gt;0,AG351+1,0),0)</f>
        <v>0</v>
      </c>
      <c r="AI351" s="155">
        <f>IF(AI$2&lt;=analysis_period,IF(SUM($C695:AI695)&gt;0,AH351+1,0),0)</f>
        <v>0</v>
      </c>
      <c r="AJ351" s="155">
        <f>IF(AJ$2&lt;=analysis_period,IF(SUM($C695:AJ695)&gt;0,AI351+1,0),0)</f>
        <v>0</v>
      </c>
      <c r="AK351" s="155">
        <f>IF(AK$2&lt;=analysis_period,IF(SUM($C695:AK695)&gt;0,AJ351+1,0),0)</f>
        <v>0</v>
      </c>
      <c r="AL351" s="155">
        <f>IF(AL$2&lt;=analysis_period,IF(SUM($C695:AL695)&gt;0,AK351+1,0),0)</f>
        <v>0</v>
      </c>
      <c r="AM351" s="155">
        <f>IF(AM$2&lt;=analysis_period,IF(SUM($C695:AM695)&gt;0,AL351+1,0),0)</f>
        <v>0</v>
      </c>
      <c r="AN351" s="155">
        <f>IF(AN$2&lt;=analysis_period,IF(SUM($C695:AN695)&gt;0,AM351+1,0),0)</f>
        <v>0</v>
      </c>
      <c r="AO351" s="155">
        <f>IF(AO$2&lt;=analysis_period,IF(SUM($C695:AO695)&gt;0,AN351+1,0),0)</f>
        <v>0</v>
      </c>
      <c r="AP351" s="155">
        <f>IF(AP$2&lt;=analysis_period,IF(SUM($C695:AP695)&gt;0,AO351+1,0),0)</f>
        <v>0</v>
      </c>
    </row>
    <row r="352" spans="1:42" x14ac:dyDescent="0.2">
      <c r="A352" s="4">
        <f t="shared" si="138"/>
        <v>5</v>
      </c>
      <c r="B352" s="4">
        <v>0</v>
      </c>
      <c r="C352" s="155">
        <f>IF(C$2&lt;=analysis_period,IF(SUM($C696:C696)&gt;0,B352+1,0),0)</f>
        <v>0</v>
      </c>
      <c r="D352" s="155">
        <f>IF(D$2&lt;=analysis_period,IF(SUM($C696:D696)&gt;0,C352+1,0),0)</f>
        <v>0</v>
      </c>
      <c r="E352" s="155">
        <f>IF(E$2&lt;=analysis_period,IF(SUM($C696:E696)&gt;0,D352+1,0),0)</f>
        <v>0</v>
      </c>
      <c r="F352" s="155">
        <f>IF(F$2&lt;=analysis_period,IF(SUM($C696:F696)&gt;0,E352+1,0),0)</f>
        <v>0</v>
      </c>
      <c r="G352" s="155">
        <f>IF(G$2&lt;=analysis_period,IF(SUM($C696:G696)&gt;0,F352+1,0),0)</f>
        <v>0</v>
      </c>
      <c r="H352" s="155">
        <f>IF(H$2&lt;=analysis_period,IF(SUM($C696:H696)&gt;0,G352+1,0),0)</f>
        <v>0</v>
      </c>
      <c r="I352" s="155">
        <f>IF(I$2&lt;=analysis_period,IF(SUM($C696:I696)&gt;0,H352+1,0),0)</f>
        <v>0</v>
      </c>
      <c r="J352" s="155">
        <f>IF(J$2&lt;=analysis_period,IF(SUM($C696:J696)&gt;0,I352+1,0),0)</f>
        <v>0</v>
      </c>
      <c r="K352" s="155">
        <f>IF(K$2&lt;=analysis_period,IF(SUM($C696:K696)&gt;0,J352+1,0),0)</f>
        <v>0</v>
      </c>
      <c r="L352" s="155">
        <f>IF(L$2&lt;=analysis_period,IF(SUM($C696:L696)&gt;0,K352+1,0),0)</f>
        <v>0</v>
      </c>
      <c r="M352" s="155">
        <f>IF(M$2&lt;=analysis_period,IF(SUM($C696:M696)&gt;0,L352+1,0),0)</f>
        <v>0</v>
      </c>
      <c r="N352" s="155">
        <f>IF(N$2&lt;=analysis_period,IF(SUM($C696:N696)&gt;0,M352+1,0),0)</f>
        <v>0</v>
      </c>
      <c r="O352" s="155">
        <f>IF(O$2&lt;=analysis_period,IF(SUM($C696:O696)&gt;0,N352+1,0),0)</f>
        <v>0</v>
      </c>
      <c r="P352" s="155">
        <f>IF(P$2&lt;=analysis_period,IF(SUM($C696:P696)&gt;0,O352+1,0),0)</f>
        <v>0</v>
      </c>
      <c r="Q352" s="155">
        <f>IF(Q$2&lt;=analysis_period,IF(SUM($C696:Q696)&gt;0,P352+1,0),0)</f>
        <v>0</v>
      </c>
      <c r="R352" s="155">
        <f>IF(R$2&lt;=analysis_period,IF(SUM($C696:R696)&gt;0,Q352+1,0),0)</f>
        <v>0</v>
      </c>
      <c r="S352" s="155">
        <f>IF(S$2&lt;=analysis_period,IF(SUM($C696:S696)&gt;0,R352+1,0),0)</f>
        <v>0</v>
      </c>
      <c r="T352" s="155">
        <f>IF(T$2&lt;=analysis_period,IF(SUM($C696:T696)&gt;0,S352+1,0),0)</f>
        <v>0</v>
      </c>
      <c r="U352" s="155">
        <f>IF(U$2&lt;=analysis_period,IF(SUM($C696:U696)&gt;0,T352+1,0),0)</f>
        <v>0</v>
      </c>
      <c r="V352" s="155">
        <f>IF(V$2&lt;=analysis_period,IF(SUM($C696:V696)&gt;0,U352+1,0),0)</f>
        <v>0</v>
      </c>
      <c r="W352" s="155">
        <f>IF(W$2&lt;=analysis_period,IF(SUM($C696:W696)&gt;0,V352+1,0),0)</f>
        <v>0</v>
      </c>
      <c r="X352" s="155">
        <f>IF(X$2&lt;=analysis_period,IF(SUM($C696:X696)&gt;0,W352+1,0),0)</f>
        <v>0</v>
      </c>
      <c r="Y352" s="155">
        <f>IF(Y$2&lt;=analysis_period,IF(SUM($C696:Y696)&gt;0,X352+1,0),0)</f>
        <v>0</v>
      </c>
      <c r="Z352" s="155">
        <f>IF(Z$2&lt;=analysis_period,IF(SUM($C696:Z696)&gt;0,Y352+1,0),0)</f>
        <v>0</v>
      </c>
      <c r="AA352" s="155">
        <f>IF(AA$2&lt;=analysis_period,IF(SUM($C696:AA696)&gt;0,Z352+1,0),0)</f>
        <v>0</v>
      </c>
      <c r="AB352" s="155">
        <f>IF(AB$2&lt;=analysis_period,IF(SUM($C696:AB696)&gt;0,AA352+1,0),0)</f>
        <v>0</v>
      </c>
      <c r="AC352" s="155">
        <f>IF(AC$2&lt;=analysis_period,IF(SUM($C696:AC696)&gt;0,AB352+1,0),0)</f>
        <v>0</v>
      </c>
      <c r="AD352" s="155">
        <f>IF(AD$2&lt;=analysis_period,IF(SUM($C696:AD696)&gt;0,AC352+1,0),0)</f>
        <v>0</v>
      </c>
      <c r="AE352" s="155">
        <f>IF(AE$2&lt;=analysis_period,IF(SUM($C696:AE696)&gt;0,AD352+1,0),0)</f>
        <v>0</v>
      </c>
      <c r="AF352" s="155">
        <f>IF(AF$2&lt;=analysis_period,IF(SUM($C696:AF696)&gt;0,AE352+1,0),0)</f>
        <v>0</v>
      </c>
      <c r="AG352" s="155">
        <f>IF(AG$2&lt;=analysis_period,IF(SUM($C696:AG696)&gt;0,AF352+1,0),0)</f>
        <v>0</v>
      </c>
      <c r="AH352" s="155">
        <f>IF(AH$2&lt;=analysis_period,IF(SUM($C696:AH696)&gt;0,AG352+1,0),0)</f>
        <v>0</v>
      </c>
      <c r="AI352" s="155">
        <f>IF(AI$2&lt;=analysis_period,IF(SUM($C696:AI696)&gt;0,AH352+1,0),0)</f>
        <v>0</v>
      </c>
      <c r="AJ352" s="155">
        <f>IF(AJ$2&lt;=analysis_period,IF(SUM($C696:AJ696)&gt;0,AI352+1,0),0)</f>
        <v>0</v>
      </c>
      <c r="AK352" s="155">
        <f>IF(AK$2&lt;=analysis_period,IF(SUM($C696:AK696)&gt;0,AJ352+1,0),0)</f>
        <v>0</v>
      </c>
      <c r="AL352" s="155">
        <f>IF(AL$2&lt;=analysis_period,IF(SUM($C696:AL696)&gt;0,AK352+1,0),0)</f>
        <v>0</v>
      </c>
      <c r="AM352" s="155">
        <f>IF(AM$2&lt;=analysis_period,IF(SUM($C696:AM696)&gt;0,AL352+1,0),0)</f>
        <v>0</v>
      </c>
      <c r="AN352" s="155">
        <f>IF(AN$2&lt;=analysis_period,IF(SUM($C696:AN696)&gt;0,AM352+1,0),0)</f>
        <v>0</v>
      </c>
      <c r="AO352" s="155">
        <f>IF(AO$2&lt;=analysis_period,IF(SUM($C696:AO696)&gt;0,AN352+1,0),0)</f>
        <v>0</v>
      </c>
      <c r="AP352" s="155">
        <f>IF(AP$2&lt;=analysis_period,IF(SUM($C696:AP696)&gt;0,AO352+1,0),0)</f>
        <v>0</v>
      </c>
    </row>
    <row r="353" spans="1:42" x14ac:dyDescent="0.2">
      <c r="A353" s="4">
        <f t="shared" si="138"/>
        <v>6</v>
      </c>
      <c r="B353" s="4">
        <v>0</v>
      </c>
      <c r="C353" s="155">
        <f>IF(C$2&lt;=analysis_period,IF(SUM($C697:C697)&gt;0,B353+1,0),0)</f>
        <v>0</v>
      </c>
      <c r="D353" s="155">
        <f>IF(D$2&lt;=analysis_period,IF(SUM($C697:D697)&gt;0,C353+1,0),0)</f>
        <v>0</v>
      </c>
      <c r="E353" s="155">
        <f>IF(E$2&lt;=analysis_period,IF(SUM($C697:E697)&gt;0,D353+1,0),0)</f>
        <v>0</v>
      </c>
      <c r="F353" s="155">
        <f>IF(F$2&lt;=analysis_period,IF(SUM($C697:F697)&gt;0,E353+1,0),0)</f>
        <v>0</v>
      </c>
      <c r="G353" s="155">
        <f>IF(G$2&lt;=analysis_period,IF(SUM($C697:G697)&gt;0,F353+1,0),0)</f>
        <v>0</v>
      </c>
      <c r="H353" s="155">
        <f>IF(H$2&lt;=analysis_period,IF(SUM($C697:H697)&gt;0,G353+1,0),0)</f>
        <v>0</v>
      </c>
      <c r="I353" s="155">
        <f>IF(I$2&lt;=analysis_period,IF(SUM($C697:I697)&gt;0,H353+1,0),0)</f>
        <v>0</v>
      </c>
      <c r="J353" s="155">
        <f>IF(J$2&lt;=analysis_period,IF(SUM($C697:J697)&gt;0,I353+1,0),0)</f>
        <v>0</v>
      </c>
      <c r="K353" s="155">
        <f>IF(K$2&lt;=analysis_period,IF(SUM($C697:K697)&gt;0,J353+1,0),0)</f>
        <v>0</v>
      </c>
      <c r="L353" s="155">
        <f>IF(L$2&lt;=analysis_period,IF(SUM($C697:L697)&gt;0,K353+1,0),0)</f>
        <v>0</v>
      </c>
      <c r="M353" s="155">
        <f>IF(M$2&lt;=analysis_period,IF(SUM($C697:M697)&gt;0,L353+1,0),0)</f>
        <v>0</v>
      </c>
      <c r="N353" s="155">
        <f>IF(N$2&lt;=analysis_period,IF(SUM($C697:N697)&gt;0,M353+1,0),0)</f>
        <v>0</v>
      </c>
      <c r="O353" s="155">
        <f>IF(O$2&lt;=analysis_period,IF(SUM($C697:O697)&gt;0,N353+1,0),0)</f>
        <v>0</v>
      </c>
      <c r="P353" s="155">
        <f>IF(P$2&lt;=analysis_period,IF(SUM($C697:P697)&gt;0,O353+1,0),0)</f>
        <v>0</v>
      </c>
      <c r="Q353" s="155">
        <f>IF(Q$2&lt;=analysis_period,IF(SUM($C697:Q697)&gt;0,P353+1,0),0)</f>
        <v>0</v>
      </c>
      <c r="R353" s="155">
        <f>IF(R$2&lt;=analysis_period,IF(SUM($C697:R697)&gt;0,Q353+1,0),0)</f>
        <v>0</v>
      </c>
      <c r="S353" s="155">
        <f>IF(S$2&lt;=analysis_period,IF(SUM($C697:S697)&gt;0,R353+1,0),0)</f>
        <v>0</v>
      </c>
      <c r="T353" s="155">
        <f>IF(T$2&lt;=analysis_period,IF(SUM($C697:T697)&gt;0,S353+1,0),0)</f>
        <v>0</v>
      </c>
      <c r="U353" s="155">
        <f>IF(U$2&lt;=analysis_period,IF(SUM($C697:U697)&gt;0,T353+1,0),0)</f>
        <v>0</v>
      </c>
      <c r="V353" s="155">
        <f>IF(V$2&lt;=analysis_period,IF(SUM($C697:V697)&gt;0,U353+1,0),0)</f>
        <v>0</v>
      </c>
      <c r="W353" s="155">
        <f>IF(W$2&lt;=analysis_period,IF(SUM($C697:W697)&gt;0,V353+1,0),0)</f>
        <v>0</v>
      </c>
      <c r="X353" s="155">
        <f>IF(X$2&lt;=analysis_period,IF(SUM($C697:X697)&gt;0,W353+1,0),0)</f>
        <v>0</v>
      </c>
      <c r="Y353" s="155">
        <f>IF(Y$2&lt;=analysis_period,IF(SUM($C697:Y697)&gt;0,X353+1,0),0)</f>
        <v>0</v>
      </c>
      <c r="Z353" s="155">
        <f>IF(Z$2&lt;=analysis_period,IF(SUM($C697:Z697)&gt;0,Y353+1,0),0)</f>
        <v>0</v>
      </c>
      <c r="AA353" s="155">
        <f>IF(AA$2&lt;=analysis_period,IF(SUM($C697:AA697)&gt;0,Z353+1,0),0)</f>
        <v>0</v>
      </c>
      <c r="AB353" s="155">
        <f>IF(AB$2&lt;=analysis_period,IF(SUM($C697:AB697)&gt;0,AA353+1,0),0)</f>
        <v>0</v>
      </c>
      <c r="AC353" s="155">
        <f>IF(AC$2&lt;=analysis_period,IF(SUM($C697:AC697)&gt;0,AB353+1,0),0)</f>
        <v>0</v>
      </c>
      <c r="AD353" s="155">
        <f>IF(AD$2&lt;=analysis_period,IF(SUM($C697:AD697)&gt;0,AC353+1,0),0)</f>
        <v>0</v>
      </c>
      <c r="AE353" s="155">
        <f>IF(AE$2&lt;=analysis_period,IF(SUM($C697:AE697)&gt;0,AD353+1,0),0)</f>
        <v>0</v>
      </c>
      <c r="AF353" s="155">
        <f>IF(AF$2&lt;=analysis_period,IF(SUM($C697:AF697)&gt;0,AE353+1,0),0)</f>
        <v>0</v>
      </c>
      <c r="AG353" s="155">
        <f>IF(AG$2&lt;=analysis_period,IF(SUM($C697:AG697)&gt;0,AF353+1,0),0)</f>
        <v>0</v>
      </c>
      <c r="AH353" s="155">
        <f>IF(AH$2&lt;=analysis_period,IF(SUM($C697:AH697)&gt;0,AG353+1,0),0)</f>
        <v>0</v>
      </c>
      <c r="AI353" s="155">
        <f>IF(AI$2&lt;=analysis_period,IF(SUM($C697:AI697)&gt;0,AH353+1,0),0)</f>
        <v>0</v>
      </c>
      <c r="AJ353" s="155">
        <f>IF(AJ$2&lt;=analysis_period,IF(SUM($C697:AJ697)&gt;0,AI353+1,0),0)</f>
        <v>0</v>
      </c>
      <c r="AK353" s="155">
        <f>IF(AK$2&lt;=analysis_period,IF(SUM($C697:AK697)&gt;0,AJ353+1,0),0)</f>
        <v>0</v>
      </c>
      <c r="AL353" s="155">
        <f>IF(AL$2&lt;=analysis_period,IF(SUM($C697:AL697)&gt;0,AK353+1,0),0)</f>
        <v>0</v>
      </c>
      <c r="AM353" s="155">
        <f>IF(AM$2&lt;=analysis_period,IF(SUM($C697:AM697)&gt;0,AL353+1,0),0)</f>
        <v>0</v>
      </c>
      <c r="AN353" s="155">
        <f>IF(AN$2&lt;=analysis_period,IF(SUM($C697:AN697)&gt;0,AM353+1,0),0)</f>
        <v>0</v>
      </c>
      <c r="AO353" s="155">
        <f>IF(AO$2&lt;=analysis_period,IF(SUM($C697:AO697)&gt;0,AN353+1,0),0)</f>
        <v>0</v>
      </c>
      <c r="AP353" s="155">
        <f>IF(AP$2&lt;=analysis_period,IF(SUM($C697:AP697)&gt;0,AO353+1,0),0)</f>
        <v>0</v>
      </c>
    </row>
    <row r="354" spans="1:42" x14ac:dyDescent="0.2">
      <c r="A354" s="4">
        <f t="shared" si="138"/>
        <v>7</v>
      </c>
      <c r="B354" s="4">
        <v>0</v>
      </c>
      <c r="C354" s="155">
        <f>IF(C$2&lt;=analysis_period,IF(SUM($C698:C698)&gt;0,B354+1,0),0)</f>
        <v>0</v>
      </c>
      <c r="D354" s="155">
        <f>IF(D$2&lt;=analysis_period,IF(SUM($C698:D698)&gt;0,C354+1,0),0)</f>
        <v>0</v>
      </c>
      <c r="E354" s="155">
        <f>IF(E$2&lt;=analysis_period,IF(SUM($C698:E698)&gt;0,D354+1,0),0)</f>
        <v>0</v>
      </c>
      <c r="F354" s="155">
        <f>IF(F$2&lt;=analysis_period,IF(SUM($C698:F698)&gt;0,E354+1,0),0)</f>
        <v>0</v>
      </c>
      <c r="G354" s="155">
        <f>IF(G$2&lt;=analysis_period,IF(SUM($C698:G698)&gt;0,F354+1,0),0)</f>
        <v>0</v>
      </c>
      <c r="H354" s="155">
        <f>IF(H$2&lt;=analysis_period,IF(SUM($C698:H698)&gt;0,G354+1,0),0)</f>
        <v>0</v>
      </c>
      <c r="I354" s="155">
        <f>IF(I$2&lt;=analysis_period,IF(SUM($C698:I698)&gt;0,H354+1,0),0)</f>
        <v>0</v>
      </c>
      <c r="J354" s="155">
        <f>IF(J$2&lt;=analysis_period,IF(SUM($C698:J698)&gt;0,I354+1,0),0)</f>
        <v>0</v>
      </c>
      <c r="K354" s="155">
        <f>IF(K$2&lt;=analysis_period,IF(SUM($C698:K698)&gt;0,J354+1,0),0)</f>
        <v>0</v>
      </c>
      <c r="L354" s="155">
        <f>IF(L$2&lt;=analysis_period,IF(SUM($C698:L698)&gt;0,K354+1,0),0)</f>
        <v>0</v>
      </c>
      <c r="M354" s="155">
        <f>IF(M$2&lt;=analysis_period,IF(SUM($C698:M698)&gt;0,L354+1,0),0)</f>
        <v>0</v>
      </c>
      <c r="N354" s="155">
        <f>IF(N$2&lt;=analysis_period,IF(SUM($C698:N698)&gt;0,M354+1,0),0)</f>
        <v>0</v>
      </c>
      <c r="O354" s="155">
        <f>IF(O$2&lt;=analysis_period,IF(SUM($C698:O698)&gt;0,N354+1,0),0)</f>
        <v>0</v>
      </c>
      <c r="P354" s="155">
        <f>IF(P$2&lt;=analysis_period,IF(SUM($C698:P698)&gt;0,O354+1,0),0)</f>
        <v>0</v>
      </c>
      <c r="Q354" s="155">
        <f>IF(Q$2&lt;=analysis_period,IF(SUM($C698:Q698)&gt;0,P354+1,0),0)</f>
        <v>0</v>
      </c>
      <c r="R354" s="155">
        <f>IF(R$2&lt;=analysis_period,IF(SUM($C698:R698)&gt;0,Q354+1,0),0)</f>
        <v>0</v>
      </c>
      <c r="S354" s="155">
        <f>IF(S$2&lt;=analysis_period,IF(SUM($C698:S698)&gt;0,R354+1,0),0)</f>
        <v>0</v>
      </c>
      <c r="T354" s="155">
        <f>IF(T$2&lt;=analysis_period,IF(SUM($C698:T698)&gt;0,S354+1,0),0)</f>
        <v>0</v>
      </c>
      <c r="U354" s="155">
        <f>IF(U$2&lt;=analysis_period,IF(SUM($C698:U698)&gt;0,T354+1,0),0)</f>
        <v>0</v>
      </c>
      <c r="V354" s="155">
        <f>IF(V$2&lt;=analysis_period,IF(SUM($C698:V698)&gt;0,U354+1,0),0)</f>
        <v>0</v>
      </c>
      <c r="W354" s="155">
        <f>IF(W$2&lt;=analysis_period,IF(SUM($C698:W698)&gt;0,V354+1,0),0)</f>
        <v>0</v>
      </c>
      <c r="X354" s="155">
        <f>IF(X$2&lt;=analysis_period,IF(SUM($C698:X698)&gt;0,W354+1,0),0)</f>
        <v>0</v>
      </c>
      <c r="Y354" s="155">
        <f>IF(Y$2&lt;=analysis_period,IF(SUM($C698:Y698)&gt;0,X354+1,0),0)</f>
        <v>0</v>
      </c>
      <c r="Z354" s="155">
        <f>IF(Z$2&lt;=analysis_period,IF(SUM($C698:Z698)&gt;0,Y354+1,0),0)</f>
        <v>0</v>
      </c>
      <c r="AA354" s="155">
        <f>IF(AA$2&lt;=analysis_period,IF(SUM($C698:AA698)&gt;0,Z354+1,0),0)</f>
        <v>0</v>
      </c>
      <c r="AB354" s="155">
        <f>IF(AB$2&lt;=analysis_period,IF(SUM($C698:AB698)&gt;0,AA354+1,0),0)</f>
        <v>0</v>
      </c>
      <c r="AC354" s="155">
        <f>IF(AC$2&lt;=analysis_period,IF(SUM($C698:AC698)&gt;0,AB354+1,0),0)</f>
        <v>0</v>
      </c>
      <c r="AD354" s="155">
        <f>IF(AD$2&lt;=analysis_period,IF(SUM($C698:AD698)&gt;0,AC354+1,0),0)</f>
        <v>0</v>
      </c>
      <c r="AE354" s="155">
        <f>IF(AE$2&lt;=analysis_period,IF(SUM($C698:AE698)&gt;0,AD354+1,0),0)</f>
        <v>0</v>
      </c>
      <c r="AF354" s="155">
        <f>IF(AF$2&lt;=analysis_period,IF(SUM($C698:AF698)&gt;0,AE354+1,0),0)</f>
        <v>0</v>
      </c>
      <c r="AG354" s="155">
        <f>IF(AG$2&lt;=analysis_period,IF(SUM($C698:AG698)&gt;0,AF354+1,0),0)</f>
        <v>0</v>
      </c>
      <c r="AH354" s="155">
        <f>IF(AH$2&lt;=analysis_period,IF(SUM($C698:AH698)&gt;0,AG354+1,0),0)</f>
        <v>0</v>
      </c>
      <c r="AI354" s="155">
        <f>IF(AI$2&lt;=analysis_period,IF(SUM($C698:AI698)&gt;0,AH354+1,0),0)</f>
        <v>0</v>
      </c>
      <c r="AJ354" s="155">
        <f>IF(AJ$2&lt;=analysis_period,IF(SUM($C698:AJ698)&gt;0,AI354+1,0),0)</f>
        <v>0</v>
      </c>
      <c r="AK354" s="155">
        <f>IF(AK$2&lt;=analysis_period,IF(SUM($C698:AK698)&gt;0,AJ354+1,0),0)</f>
        <v>0</v>
      </c>
      <c r="AL354" s="155">
        <f>IF(AL$2&lt;=analysis_period,IF(SUM($C698:AL698)&gt;0,AK354+1,0),0)</f>
        <v>0</v>
      </c>
      <c r="AM354" s="155">
        <f>IF(AM$2&lt;=analysis_period,IF(SUM($C698:AM698)&gt;0,AL354+1,0),0)</f>
        <v>0</v>
      </c>
      <c r="AN354" s="155">
        <f>IF(AN$2&lt;=analysis_period,IF(SUM($C698:AN698)&gt;0,AM354+1,0),0)</f>
        <v>0</v>
      </c>
      <c r="AO354" s="155">
        <f>IF(AO$2&lt;=analysis_period,IF(SUM($C698:AO698)&gt;0,AN354+1,0),0)</f>
        <v>0</v>
      </c>
      <c r="AP354" s="155">
        <f>IF(AP$2&lt;=analysis_period,IF(SUM($C698:AP698)&gt;0,AO354+1,0),0)</f>
        <v>0</v>
      </c>
    </row>
    <row r="355" spans="1:42" x14ac:dyDescent="0.2">
      <c r="A355" s="4">
        <f t="shared" si="138"/>
        <v>8</v>
      </c>
      <c r="B355" s="4">
        <v>0</v>
      </c>
      <c r="C355" s="155">
        <f>IF(C$2&lt;=analysis_period,IF(SUM($C699:C699)&gt;0,B355+1,0),0)</f>
        <v>0</v>
      </c>
      <c r="D355" s="155">
        <f>IF(D$2&lt;=analysis_period,IF(SUM($C699:D699)&gt;0,C355+1,0),0)</f>
        <v>0</v>
      </c>
      <c r="E355" s="155">
        <f>IF(E$2&lt;=analysis_period,IF(SUM($C699:E699)&gt;0,D355+1,0),0)</f>
        <v>0</v>
      </c>
      <c r="F355" s="155">
        <f>IF(F$2&lt;=analysis_period,IF(SUM($C699:F699)&gt;0,E355+1,0),0)</f>
        <v>0</v>
      </c>
      <c r="G355" s="155">
        <f>IF(G$2&lt;=analysis_period,IF(SUM($C699:G699)&gt;0,F355+1,0),0)</f>
        <v>0</v>
      </c>
      <c r="H355" s="155">
        <f>IF(H$2&lt;=analysis_period,IF(SUM($C699:H699)&gt;0,G355+1,0),0)</f>
        <v>0</v>
      </c>
      <c r="I355" s="155">
        <f>IF(I$2&lt;=analysis_period,IF(SUM($C699:I699)&gt;0,H355+1,0),0)</f>
        <v>0</v>
      </c>
      <c r="J355" s="155">
        <f>IF(J$2&lt;=analysis_period,IF(SUM($C699:J699)&gt;0,I355+1,0),0)</f>
        <v>0</v>
      </c>
      <c r="K355" s="155">
        <f>IF(K$2&lt;=analysis_period,IF(SUM($C699:K699)&gt;0,J355+1,0),0)</f>
        <v>0</v>
      </c>
      <c r="L355" s="155">
        <f>IF(L$2&lt;=analysis_period,IF(SUM($C699:L699)&gt;0,K355+1,0),0)</f>
        <v>0</v>
      </c>
      <c r="M355" s="155">
        <f>IF(M$2&lt;=analysis_period,IF(SUM($C699:M699)&gt;0,L355+1,0),0)</f>
        <v>0</v>
      </c>
      <c r="N355" s="155">
        <f>IF(N$2&lt;=analysis_period,IF(SUM($C699:N699)&gt;0,M355+1,0),0)</f>
        <v>0</v>
      </c>
      <c r="O355" s="155">
        <f>IF(O$2&lt;=analysis_period,IF(SUM($C699:O699)&gt;0,N355+1,0),0)</f>
        <v>0</v>
      </c>
      <c r="P355" s="155">
        <f>IF(P$2&lt;=analysis_period,IF(SUM($C699:P699)&gt;0,O355+1,0),0)</f>
        <v>0</v>
      </c>
      <c r="Q355" s="155">
        <f>IF(Q$2&lt;=analysis_period,IF(SUM($C699:Q699)&gt;0,P355+1,0),0)</f>
        <v>0</v>
      </c>
      <c r="R355" s="155">
        <f>IF(R$2&lt;=analysis_period,IF(SUM($C699:R699)&gt;0,Q355+1,0),0)</f>
        <v>0</v>
      </c>
      <c r="S355" s="155">
        <f>IF(S$2&lt;=analysis_period,IF(SUM($C699:S699)&gt;0,R355+1,0),0)</f>
        <v>0</v>
      </c>
      <c r="T355" s="155">
        <f>IF(T$2&lt;=analysis_period,IF(SUM($C699:T699)&gt;0,S355+1,0),0)</f>
        <v>0</v>
      </c>
      <c r="U355" s="155">
        <f>IF(U$2&lt;=analysis_period,IF(SUM($C699:U699)&gt;0,T355+1,0),0)</f>
        <v>0</v>
      </c>
      <c r="V355" s="155">
        <f>IF(V$2&lt;=analysis_period,IF(SUM($C699:V699)&gt;0,U355+1,0),0)</f>
        <v>0</v>
      </c>
      <c r="W355" s="155">
        <f>IF(W$2&lt;=analysis_period,IF(SUM($C699:W699)&gt;0,V355+1,0),0)</f>
        <v>0</v>
      </c>
      <c r="X355" s="155">
        <f>IF(X$2&lt;=analysis_period,IF(SUM($C699:X699)&gt;0,W355+1,0),0)</f>
        <v>0</v>
      </c>
      <c r="Y355" s="155">
        <f>IF(Y$2&lt;=analysis_period,IF(SUM($C699:Y699)&gt;0,X355+1,0),0)</f>
        <v>0</v>
      </c>
      <c r="Z355" s="155">
        <f>IF(Z$2&lt;=analysis_period,IF(SUM($C699:Z699)&gt;0,Y355+1,0),0)</f>
        <v>0</v>
      </c>
      <c r="AA355" s="155">
        <f>IF(AA$2&lt;=analysis_period,IF(SUM($C699:AA699)&gt;0,Z355+1,0),0)</f>
        <v>0</v>
      </c>
      <c r="AB355" s="155">
        <f>IF(AB$2&lt;=analysis_period,IF(SUM($C699:AB699)&gt;0,AA355+1,0),0)</f>
        <v>0</v>
      </c>
      <c r="AC355" s="155">
        <f>IF(AC$2&lt;=analysis_period,IF(SUM($C699:AC699)&gt;0,AB355+1,0),0)</f>
        <v>0</v>
      </c>
      <c r="AD355" s="155">
        <f>IF(AD$2&lt;=analysis_period,IF(SUM($C699:AD699)&gt;0,AC355+1,0),0)</f>
        <v>0</v>
      </c>
      <c r="AE355" s="155">
        <f>IF(AE$2&lt;=analysis_period,IF(SUM($C699:AE699)&gt;0,AD355+1,0),0)</f>
        <v>0</v>
      </c>
      <c r="AF355" s="155">
        <f>IF(AF$2&lt;=analysis_period,IF(SUM($C699:AF699)&gt;0,AE355+1,0),0)</f>
        <v>0</v>
      </c>
      <c r="AG355" s="155">
        <f>IF(AG$2&lt;=analysis_period,IF(SUM($C699:AG699)&gt;0,AF355+1,0),0)</f>
        <v>0</v>
      </c>
      <c r="AH355" s="155">
        <f>IF(AH$2&lt;=analysis_period,IF(SUM($C699:AH699)&gt;0,AG355+1,0),0)</f>
        <v>0</v>
      </c>
      <c r="AI355" s="155">
        <f>IF(AI$2&lt;=analysis_period,IF(SUM($C699:AI699)&gt;0,AH355+1,0),0)</f>
        <v>0</v>
      </c>
      <c r="AJ355" s="155">
        <f>IF(AJ$2&lt;=analysis_period,IF(SUM($C699:AJ699)&gt;0,AI355+1,0),0)</f>
        <v>0</v>
      </c>
      <c r="AK355" s="155">
        <f>IF(AK$2&lt;=analysis_period,IF(SUM($C699:AK699)&gt;0,AJ355+1,0),0)</f>
        <v>0</v>
      </c>
      <c r="AL355" s="155">
        <f>IF(AL$2&lt;=analysis_period,IF(SUM($C699:AL699)&gt;0,AK355+1,0),0)</f>
        <v>0</v>
      </c>
      <c r="AM355" s="155">
        <f>IF(AM$2&lt;=analysis_period,IF(SUM($C699:AM699)&gt;0,AL355+1,0),0)</f>
        <v>0</v>
      </c>
      <c r="AN355" s="155">
        <f>IF(AN$2&lt;=analysis_period,IF(SUM($C699:AN699)&gt;0,AM355+1,0),0)</f>
        <v>0</v>
      </c>
      <c r="AO355" s="155">
        <f>IF(AO$2&lt;=analysis_period,IF(SUM($C699:AO699)&gt;0,AN355+1,0),0)</f>
        <v>0</v>
      </c>
      <c r="AP355" s="155">
        <f>IF(AP$2&lt;=analysis_period,IF(SUM($C699:AP699)&gt;0,AO355+1,0),0)</f>
        <v>0</v>
      </c>
    </row>
    <row r="356" spans="1:42" x14ac:dyDescent="0.2">
      <c r="A356" s="4">
        <f>A355+1</f>
        <v>9</v>
      </c>
      <c r="B356" s="4">
        <v>0</v>
      </c>
      <c r="C356" s="155">
        <f>IF(C$2&lt;=analysis_period,IF(SUM($C700:C700)&gt;0,B356+1,0),0)</f>
        <v>0</v>
      </c>
      <c r="D356" s="155">
        <f>IF(D$2&lt;=analysis_period,IF(SUM($C700:D700)&gt;0,C356+1,0),0)</f>
        <v>0</v>
      </c>
      <c r="E356" s="155">
        <f>IF(E$2&lt;=analysis_period,IF(SUM($C700:E700)&gt;0,D356+1,0),0)</f>
        <v>0</v>
      </c>
      <c r="F356" s="155">
        <f>IF(F$2&lt;=analysis_period,IF(SUM($C700:F700)&gt;0,E356+1,0),0)</f>
        <v>0</v>
      </c>
      <c r="G356" s="155">
        <f>IF(G$2&lt;=analysis_period,IF(SUM($C700:G700)&gt;0,F356+1,0),0)</f>
        <v>0</v>
      </c>
      <c r="H356" s="155">
        <f>IF(H$2&lt;=analysis_period,IF(SUM($C700:H700)&gt;0,G356+1,0),0)</f>
        <v>0</v>
      </c>
      <c r="I356" s="155">
        <f>IF(I$2&lt;=analysis_period,IF(SUM($C700:I700)&gt;0,H356+1,0),0)</f>
        <v>0</v>
      </c>
      <c r="J356" s="155">
        <f>IF(J$2&lt;=analysis_period,IF(SUM($C700:J700)&gt;0,I356+1,0),0)</f>
        <v>0</v>
      </c>
      <c r="K356" s="155">
        <f>IF(K$2&lt;=analysis_period,IF(SUM($C700:K700)&gt;0,J356+1,0),0)</f>
        <v>0</v>
      </c>
      <c r="L356" s="155">
        <f>IF(L$2&lt;=analysis_period,IF(SUM($C700:L700)&gt;0,K356+1,0),0)</f>
        <v>0</v>
      </c>
      <c r="M356" s="155">
        <f>IF(M$2&lt;=analysis_period,IF(SUM($C700:M700)&gt;0,L356+1,0),0)</f>
        <v>0</v>
      </c>
      <c r="N356" s="155">
        <f>IF(N$2&lt;=analysis_period,IF(SUM($C700:N700)&gt;0,M356+1,0),0)</f>
        <v>0</v>
      </c>
      <c r="O356" s="155">
        <f>IF(O$2&lt;=analysis_period,IF(SUM($C700:O700)&gt;0,N356+1,0),0)</f>
        <v>0</v>
      </c>
      <c r="P356" s="155">
        <f>IF(P$2&lt;=analysis_period,IF(SUM($C700:P700)&gt;0,O356+1,0),0)</f>
        <v>0</v>
      </c>
      <c r="Q356" s="155">
        <f>IF(Q$2&lt;=analysis_period,IF(SUM($C700:Q700)&gt;0,P356+1,0),0)</f>
        <v>0</v>
      </c>
      <c r="R356" s="155">
        <f>IF(R$2&lt;=analysis_period,IF(SUM($C700:R700)&gt;0,Q356+1,0),0)</f>
        <v>0</v>
      </c>
      <c r="S356" s="155">
        <f>IF(S$2&lt;=analysis_period,IF(SUM($C700:S700)&gt;0,R356+1,0),0)</f>
        <v>0</v>
      </c>
      <c r="T356" s="155">
        <f>IF(T$2&lt;=analysis_period,IF(SUM($C700:T700)&gt;0,S356+1,0),0)</f>
        <v>0</v>
      </c>
      <c r="U356" s="155">
        <f>IF(U$2&lt;=analysis_period,IF(SUM($C700:U700)&gt;0,T356+1,0),0)</f>
        <v>0</v>
      </c>
      <c r="V356" s="155">
        <f>IF(V$2&lt;=analysis_period,IF(SUM($C700:V700)&gt;0,U356+1,0),0)</f>
        <v>0</v>
      </c>
      <c r="W356" s="155">
        <f>IF(W$2&lt;=analysis_period,IF(SUM($C700:W700)&gt;0,V356+1,0),0)</f>
        <v>0</v>
      </c>
      <c r="X356" s="155">
        <f>IF(X$2&lt;=analysis_period,IF(SUM($C700:X700)&gt;0,W356+1,0),0)</f>
        <v>0</v>
      </c>
      <c r="Y356" s="155">
        <f>IF(Y$2&lt;=analysis_period,IF(SUM($C700:Y700)&gt;0,X356+1,0),0)</f>
        <v>0</v>
      </c>
      <c r="Z356" s="155">
        <f>IF(Z$2&lt;=analysis_period,IF(SUM($C700:Z700)&gt;0,Y356+1,0),0)</f>
        <v>0</v>
      </c>
      <c r="AA356" s="155">
        <f>IF(AA$2&lt;=analysis_period,IF(SUM($C700:AA700)&gt;0,Z356+1,0),0)</f>
        <v>0</v>
      </c>
      <c r="AB356" s="155">
        <f>IF(AB$2&lt;=analysis_period,IF(SUM($C700:AB700)&gt;0,AA356+1,0),0)</f>
        <v>0</v>
      </c>
      <c r="AC356" s="155">
        <f>IF(AC$2&lt;=analysis_period,IF(SUM($C700:AC700)&gt;0,AB356+1,0),0)</f>
        <v>0</v>
      </c>
      <c r="AD356" s="155">
        <f>IF(AD$2&lt;=analysis_period,IF(SUM($C700:AD700)&gt;0,AC356+1,0),0)</f>
        <v>0</v>
      </c>
      <c r="AE356" s="155">
        <f>IF(AE$2&lt;=analysis_period,IF(SUM($C700:AE700)&gt;0,AD356+1,0),0)</f>
        <v>0</v>
      </c>
      <c r="AF356" s="155">
        <f>IF(AF$2&lt;=analysis_period,IF(SUM($C700:AF700)&gt;0,AE356+1,0),0)</f>
        <v>0</v>
      </c>
      <c r="AG356" s="155">
        <f>IF(AG$2&lt;=analysis_period,IF(SUM($C700:AG700)&gt;0,AF356+1,0),0)</f>
        <v>0</v>
      </c>
      <c r="AH356" s="155">
        <f>IF(AH$2&lt;=analysis_period,IF(SUM($C700:AH700)&gt;0,AG356+1,0),0)</f>
        <v>0</v>
      </c>
      <c r="AI356" s="155">
        <f>IF(AI$2&lt;=analysis_period,IF(SUM($C700:AI700)&gt;0,AH356+1,0),0)</f>
        <v>0</v>
      </c>
      <c r="AJ356" s="155">
        <f>IF(AJ$2&lt;=analysis_period,IF(SUM($C700:AJ700)&gt;0,AI356+1,0),0)</f>
        <v>0</v>
      </c>
      <c r="AK356" s="155">
        <f>IF(AK$2&lt;=analysis_period,IF(SUM($C700:AK700)&gt;0,AJ356+1,0),0)</f>
        <v>0</v>
      </c>
      <c r="AL356" s="155">
        <f>IF(AL$2&lt;=analysis_period,IF(SUM($C700:AL700)&gt;0,AK356+1,0),0)</f>
        <v>0</v>
      </c>
      <c r="AM356" s="155">
        <f>IF(AM$2&lt;=analysis_period,IF(SUM($C700:AM700)&gt;0,AL356+1,0),0)</f>
        <v>0</v>
      </c>
      <c r="AN356" s="155">
        <f>IF(AN$2&lt;=analysis_period,IF(SUM($C700:AN700)&gt;0,AM356+1,0),0)</f>
        <v>0</v>
      </c>
      <c r="AO356" s="155">
        <f>IF(AO$2&lt;=analysis_period,IF(SUM($C700:AO700)&gt;0,AN356+1,0),0)</f>
        <v>0</v>
      </c>
      <c r="AP356" s="155">
        <f>IF(AP$2&lt;=analysis_period,IF(SUM($C700:AP700)&gt;0,AO356+1,0),0)</f>
        <v>0</v>
      </c>
    </row>
    <row r="357" spans="1:42" x14ac:dyDescent="0.2">
      <c r="A357" s="4">
        <f t="shared" si="138"/>
        <v>10</v>
      </c>
      <c r="B357" s="4">
        <v>0</v>
      </c>
      <c r="C357" s="155">
        <f>IF(C$2&lt;=analysis_period,IF(SUM($C701:C701)&gt;0,B357+1,0),0)</f>
        <v>0</v>
      </c>
      <c r="D357" s="155">
        <f>IF(D$2&lt;=analysis_period,IF(SUM($C701:D701)&gt;0,C357+1,0),0)</f>
        <v>0</v>
      </c>
      <c r="E357" s="155">
        <f>IF(E$2&lt;=analysis_period,IF(SUM($C701:E701)&gt;0,D357+1,0),0)</f>
        <v>0</v>
      </c>
      <c r="F357" s="155">
        <f>IF(F$2&lt;=analysis_period,IF(SUM($C701:F701)&gt;0,E357+1,0),0)</f>
        <v>0</v>
      </c>
      <c r="G357" s="155">
        <f>IF(G$2&lt;=analysis_period,IF(SUM($C701:G701)&gt;0,F357+1,0),0)</f>
        <v>0</v>
      </c>
      <c r="H357" s="155">
        <f>IF(H$2&lt;=analysis_period,IF(SUM($C701:H701)&gt;0,G357+1,0),0)</f>
        <v>0</v>
      </c>
      <c r="I357" s="155">
        <f>IF(I$2&lt;=analysis_period,IF(SUM($C701:I701)&gt;0,H357+1,0),0)</f>
        <v>0</v>
      </c>
      <c r="J357" s="155">
        <f>IF(J$2&lt;=analysis_period,IF(SUM($C701:J701)&gt;0,I357+1,0),0)</f>
        <v>0</v>
      </c>
      <c r="K357" s="155">
        <f>IF(K$2&lt;=analysis_period,IF(SUM($C701:K701)&gt;0,J357+1,0),0)</f>
        <v>0</v>
      </c>
      <c r="L357" s="155">
        <f>IF(L$2&lt;=analysis_period,IF(SUM($C701:L701)&gt;0,K357+1,0),0)</f>
        <v>0</v>
      </c>
      <c r="M357" s="155">
        <f>IF(M$2&lt;=analysis_period,IF(SUM($C701:M701)&gt;0,L357+1,0),0)</f>
        <v>0</v>
      </c>
      <c r="N357" s="155">
        <f>IF(N$2&lt;=analysis_period,IF(SUM($C701:N701)&gt;0,M357+1,0),0)</f>
        <v>0</v>
      </c>
      <c r="O357" s="155">
        <f>IF(O$2&lt;=analysis_period,IF(SUM($C701:O701)&gt;0,N357+1,0),0)</f>
        <v>0</v>
      </c>
      <c r="P357" s="155">
        <f>IF(P$2&lt;=analysis_period,IF(SUM($C701:P701)&gt;0,O357+1,0),0)</f>
        <v>0</v>
      </c>
      <c r="Q357" s="155">
        <f>IF(Q$2&lt;=analysis_period,IF(SUM($C701:Q701)&gt;0,P357+1,0),0)</f>
        <v>0</v>
      </c>
      <c r="R357" s="155">
        <f>IF(R$2&lt;=analysis_period,IF(SUM($C701:R701)&gt;0,Q357+1,0),0)</f>
        <v>0</v>
      </c>
      <c r="S357" s="155">
        <f>IF(S$2&lt;=analysis_period,IF(SUM($C701:S701)&gt;0,R357+1,0),0)</f>
        <v>0</v>
      </c>
      <c r="T357" s="155">
        <f>IF(T$2&lt;=analysis_period,IF(SUM($C701:T701)&gt;0,S357+1,0),0)</f>
        <v>0</v>
      </c>
      <c r="U357" s="155">
        <f>IF(U$2&lt;=analysis_period,IF(SUM($C701:U701)&gt;0,T357+1,0),0)</f>
        <v>0</v>
      </c>
      <c r="V357" s="155">
        <f>IF(V$2&lt;=analysis_period,IF(SUM($C701:V701)&gt;0,U357+1,0),0)</f>
        <v>0</v>
      </c>
      <c r="W357" s="155">
        <f>IF(W$2&lt;=analysis_period,IF(SUM($C701:W701)&gt;0,V357+1,0),0)</f>
        <v>0</v>
      </c>
      <c r="X357" s="155">
        <f>IF(X$2&lt;=analysis_period,IF(SUM($C701:X701)&gt;0,W357+1,0),0)</f>
        <v>0</v>
      </c>
      <c r="Y357" s="155">
        <f>IF(Y$2&lt;=analysis_period,IF(SUM($C701:Y701)&gt;0,X357+1,0),0)</f>
        <v>0</v>
      </c>
      <c r="Z357" s="155">
        <f>IF(Z$2&lt;=analysis_period,IF(SUM($C701:Z701)&gt;0,Y357+1,0),0)</f>
        <v>0</v>
      </c>
      <c r="AA357" s="155">
        <f>IF(AA$2&lt;=analysis_period,IF(SUM($C701:AA701)&gt;0,Z357+1,0),0)</f>
        <v>0</v>
      </c>
      <c r="AB357" s="155">
        <f>IF(AB$2&lt;=analysis_period,IF(SUM($C701:AB701)&gt;0,AA357+1,0),0)</f>
        <v>0</v>
      </c>
      <c r="AC357" s="155">
        <f>IF(AC$2&lt;=analysis_period,IF(SUM($C701:AC701)&gt;0,AB357+1,0),0)</f>
        <v>0</v>
      </c>
      <c r="AD357" s="155">
        <f>IF(AD$2&lt;=analysis_period,IF(SUM($C701:AD701)&gt;0,AC357+1,0),0)</f>
        <v>0</v>
      </c>
      <c r="AE357" s="155">
        <f>IF(AE$2&lt;=analysis_period,IF(SUM($C701:AE701)&gt;0,AD357+1,0),0)</f>
        <v>0</v>
      </c>
      <c r="AF357" s="155">
        <f>IF(AF$2&lt;=analysis_period,IF(SUM($C701:AF701)&gt;0,AE357+1,0),0)</f>
        <v>0</v>
      </c>
      <c r="AG357" s="155">
        <f>IF(AG$2&lt;=analysis_period,IF(SUM($C701:AG701)&gt;0,AF357+1,0),0)</f>
        <v>0</v>
      </c>
      <c r="AH357" s="155">
        <f>IF(AH$2&lt;=analysis_period,IF(SUM($C701:AH701)&gt;0,AG357+1,0),0)</f>
        <v>0</v>
      </c>
      <c r="AI357" s="155">
        <f>IF(AI$2&lt;=analysis_period,IF(SUM($C701:AI701)&gt;0,AH357+1,0),0)</f>
        <v>0</v>
      </c>
      <c r="AJ357" s="155">
        <f>IF(AJ$2&lt;=analysis_period,IF(SUM($C701:AJ701)&gt;0,AI357+1,0),0)</f>
        <v>0</v>
      </c>
      <c r="AK357" s="155">
        <f>IF(AK$2&lt;=analysis_period,IF(SUM($C701:AK701)&gt;0,AJ357+1,0),0)</f>
        <v>0</v>
      </c>
      <c r="AL357" s="155">
        <f>IF(AL$2&lt;=analysis_period,IF(SUM($C701:AL701)&gt;0,AK357+1,0),0)</f>
        <v>0</v>
      </c>
      <c r="AM357" s="155">
        <f>IF(AM$2&lt;=analysis_period,IF(SUM($C701:AM701)&gt;0,AL357+1,0),0)</f>
        <v>0</v>
      </c>
      <c r="AN357" s="155">
        <f>IF(AN$2&lt;=analysis_period,IF(SUM($C701:AN701)&gt;0,AM357+1,0),0)</f>
        <v>0</v>
      </c>
      <c r="AO357" s="155">
        <f>IF(AO$2&lt;=analysis_period,IF(SUM($C701:AO701)&gt;0,AN357+1,0),0)</f>
        <v>0</v>
      </c>
      <c r="AP357" s="155">
        <f>IF(AP$2&lt;=analysis_period,IF(SUM($C701:AP701)&gt;0,AO357+1,0),0)</f>
        <v>0</v>
      </c>
    </row>
    <row r="358" spans="1:42" x14ac:dyDescent="0.2">
      <c r="A358" s="21"/>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row>
    <row r="359" spans="1:42" x14ac:dyDescent="0.2">
      <c r="A359" s="87" t="s">
        <v>70</v>
      </c>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row>
    <row r="360" spans="1:42" x14ac:dyDescent="0.2">
      <c r="A360" s="4">
        <v>1</v>
      </c>
      <c r="B360" s="174">
        <f t="shared" ref="B360:B369" si="139">SUM(C360:AP360)</f>
        <v>0</v>
      </c>
      <c r="C360" s="155">
        <f t="shared" ref="C360:AP360" si="140">LOOKUP(C348,$B$318:$AP$318,$B$319:$AP$319)/100*$B692</f>
        <v>0</v>
      </c>
      <c r="D360" s="155">
        <f t="shared" si="140"/>
        <v>0</v>
      </c>
      <c r="E360" s="155">
        <f t="shared" si="140"/>
        <v>0</v>
      </c>
      <c r="F360" s="155">
        <f t="shared" si="140"/>
        <v>0</v>
      </c>
      <c r="G360" s="155">
        <f t="shared" si="140"/>
        <v>0</v>
      </c>
      <c r="H360" s="155">
        <f t="shared" si="140"/>
        <v>0</v>
      </c>
      <c r="I360" s="155">
        <f t="shared" si="140"/>
        <v>0</v>
      </c>
      <c r="J360" s="155">
        <f t="shared" si="140"/>
        <v>0</v>
      </c>
      <c r="K360" s="155">
        <f t="shared" si="140"/>
        <v>0</v>
      </c>
      <c r="L360" s="155">
        <f t="shared" si="140"/>
        <v>0</v>
      </c>
      <c r="M360" s="155">
        <f t="shared" si="140"/>
        <v>0</v>
      </c>
      <c r="N360" s="155">
        <f t="shared" si="140"/>
        <v>0</v>
      </c>
      <c r="O360" s="155">
        <f t="shared" si="140"/>
        <v>0</v>
      </c>
      <c r="P360" s="155">
        <f t="shared" si="140"/>
        <v>0</v>
      </c>
      <c r="Q360" s="155">
        <f t="shared" si="140"/>
        <v>0</v>
      </c>
      <c r="R360" s="155">
        <f t="shared" si="140"/>
        <v>0</v>
      </c>
      <c r="S360" s="155">
        <f t="shared" si="140"/>
        <v>0</v>
      </c>
      <c r="T360" s="155">
        <f t="shared" si="140"/>
        <v>0</v>
      </c>
      <c r="U360" s="155">
        <f t="shared" si="140"/>
        <v>0</v>
      </c>
      <c r="V360" s="155">
        <f t="shared" si="140"/>
        <v>0</v>
      </c>
      <c r="W360" s="155">
        <f t="shared" si="140"/>
        <v>0</v>
      </c>
      <c r="X360" s="155">
        <f t="shared" si="140"/>
        <v>0</v>
      </c>
      <c r="Y360" s="155">
        <f t="shared" si="140"/>
        <v>0</v>
      </c>
      <c r="Z360" s="155">
        <f t="shared" si="140"/>
        <v>0</v>
      </c>
      <c r="AA360" s="155">
        <f t="shared" si="140"/>
        <v>0</v>
      </c>
      <c r="AB360" s="155">
        <f t="shared" si="140"/>
        <v>0</v>
      </c>
      <c r="AC360" s="155">
        <f t="shared" si="140"/>
        <v>0</v>
      </c>
      <c r="AD360" s="155">
        <f t="shared" si="140"/>
        <v>0</v>
      </c>
      <c r="AE360" s="155">
        <f t="shared" si="140"/>
        <v>0</v>
      </c>
      <c r="AF360" s="155">
        <f t="shared" si="140"/>
        <v>0</v>
      </c>
      <c r="AG360" s="155">
        <f t="shared" si="140"/>
        <v>0</v>
      </c>
      <c r="AH360" s="155">
        <f t="shared" si="140"/>
        <v>0</v>
      </c>
      <c r="AI360" s="155">
        <f t="shared" si="140"/>
        <v>0</v>
      </c>
      <c r="AJ360" s="155">
        <f t="shared" si="140"/>
        <v>0</v>
      </c>
      <c r="AK360" s="155">
        <f t="shared" si="140"/>
        <v>0</v>
      </c>
      <c r="AL360" s="155">
        <f t="shared" si="140"/>
        <v>0</v>
      </c>
      <c r="AM360" s="155">
        <f t="shared" si="140"/>
        <v>0</v>
      </c>
      <c r="AN360" s="155">
        <f t="shared" si="140"/>
        <v>0</v>
      </c>
      <c r="AO360" s="155">
        <f t="shared" si="140"/>
        <v>0</v>
      </c>
      <c r="AP360" s="155">
        <f t="shared" si="140"/>
        <v>0</v>
      </c>
    </row>
    <row r="361" spans="1:42" x14ac:dyDescent="0.2">
      <c r="A361" s="4">
        <f>A360+1</f>
        <v>2</v>
      </c>
      <c r="B361" s="174">
        <f t="shared" si="139"/>
        <v>0</v>
      </c>
      <c r="C361" s="155">
        <f t="shared" ref="C361:AP361" si="141">LOOKUP(C349,$B$318:$AP$318,$B$319:$AP$319)/100*$B693</f>
        <v>0</v>
      </c>
      <c r="D361" s="155">
        <f t="shared" si="141"/>
        <v>0</v>
      </c>
      <c r="E361" s="155">
        <f t="shared" si="141"/>
        <v>0</v>
      </c>
      <c r="F361" s="155">
        <f t="shared" si="141"/>
        <v>0</v>
      </c>
      <c r="G361" s="155">
        <f t="shared" si="141"/>
        <v>0</v>
      </c>
      <c r="H361" s="155">
        <f t="shared" si="141"/>
        <v>0</v>
      </c>
      <c r="I361" s="155">
        <f t="shared" si="141"/>
        <v>0</v>
      </c>
      <c r="J361" s="155">
        <f t="shared" si="141"/>
        <v>0</v>
      </c>
      <c r="K361" s="155">
        <f t="shared" si="141"/>
        <v>0</v>
      </c>
      <c r="L361" s="155">
        <f t="shared" si="141"/>
        <v>0</v>
      </c>
      <c r="M361" s="155">
        <f t="shared" si="141"/>
        <v>0</v>
      </c>
      <c r="N361" s="155">
        <f t="shared" si="141"/>
        <v>0</v>
      </c>
      <c r="O361" s="155">
        <f t="shared" si="141"/>
        <v>0</v>
      </c>
      <c r="P361" s="155">
        <f t="shared" si="141"/>
        <v>0</v>
      </c>
      <c r="Q361" s="155">
        <f t="shared" si="141"/>
        <v>0</v>
      </c>
      <c r="R361" s="155">
        <f t="shared" si="141"/>
        <v>0</v>
      </c>
      <c r="S361" s="155">
        <f t="shared" si="141"/>
        <v>0</v>
      </c>
      <c r="T361" s="155">
        <f t="shared" si="141"/>
        <v>0</v>
      </c>
      <c r="U361" s="155">
        <f t="shared" si="141"/>
        <v>0</v>
      </c>
      <c r="V361" s="155">
        <f t="shared" si="141"/>
        <v>0</v>
      </c>
      <c r="W361" s="155">
        <f t="shared" si="141"/>
        <v>0</v>
      </c>
      <c r="X361" s="155">
        <f t="shared" si="141"/>
        <v>0</v>
      </c>
      <c r="Y361" s="155">
        <f t="shared" si="141"/>
        <v>0</v>
      </c>
      <c r="Z361" s="155">
        <f t="shared" si="141"/>
        <v>0</v>
      </c>
      <c r="AA361" s="155">
        <f t="shared" si="141"/>
        <v>0</v>
      </c>
      <c r="AB361" s="155">
        <f t="shared" si="141"/>
        <v>0</v>
      </c>
      <c r="AC361" s="155">
        <f t="shared" si="141"/>
        <v>0</v>
      </c>
      <c r="AD361" s="155">
        <f t="shared" si="141"/>
        <v>0</v>
      </c>
      <c r="AE361" s="155">
        <f t="shared" si="141"/>
        <v>0</v>
      </c>
      <c r="AF361" s="155">
        <f t="shared" si="141"/>
        <v>0</v>
      </c>
      <c r="AG361" s="155">
        <f t="shared" si="141"/>
        <v>0</v>
      </c>
      <c r="AH361" s="155">
        <f t="shared" si="141"/>
        <v>0</v>
      </c>
      <c r="AI361" s="155">
        <f t="shared" si="141"/>
        <v>0</v>
      </c>
      <c r="AJ361" s="155">
        <f t="shared" si="141"/>
        <v>0</v>
      </c>
      <c r="AK361" s="155">
        <f t="shared" si="141"/>
        <v>0</v>
      </c>
      <c r="AL361" s="155">
        <f t="shared" si="141"/>
        <v>0</v>
      </c>
      <c r="AM361" s="155">
        <f t="shared" si="141"/>
        <v>0</v>
      </c>
      <c r="AN361" s="155">
        <f t="shared" si="141"/>
        <v>0</v>
      </c>
      <c r="AO361" s="155">
        <f t="shared" si="141"/>
        <v>0</v>
      </c>
      <c r="AP361" s="155">
        <f t="shared" si="141"/>
        <v>0</v>
      </c>
    </row>
    <row r="362" spans="1:42" x14ac:dyDescent="0.2">
      <c r="A362" s="4">
        <f t="shared" ref="A362:A369" si="142">A361+1</f>
        <v>3</v>
      </c>
      <c r="B362" s="174">
        <f t="shared" si="139"/>
        <v>0</v>
      </c>
      <c r="C362" s="155">
        <f t="shared" ref="C362:AP362" si="143">LOOKUP(C350,$B$318:$AP$318,$B$319:$AP$319)/100*$B694</f>
        <v>0</v>
      </c>
      <c r="D362" s="155">
        <f t="shared" si="143"/>
        <v>0</v>
      </c>
      <c r="E362" s="155">
        <f t="shared" si="143"/>
        <v>0</v>
      </c>
      <c r="F362" s="155">
        <f t="shared" si="143"/>
        <v>0</v>
      </c>
      <c r="G362" s="155">
        <f t="shared" si="143"/>
        <v>0</v>
      </c>
      <c r="H362" s="155">
        <f t="shared" si="143"/>
        <v>0</v>
      </c>
      <c r="I362" s="155">
        <f t="shared" si="143"/>
        <v>0</v>
      </c>
      <c r="J362" s="155">
        <f t="shared" si="143"/>
        <v>0</v>
      </c>
      <c r="K362" s="155">
        <f t="shared" si="143"/>
        <v>0</v>
      </c>
      <c r="L362" s="155">
        <f t="shared" si="143"/>
        <v>0</v>
      </c>
      <c r="M362" s="155">
        <f t="shared" si="143"/>
        <v>0</v>
      </c>
      <c r="N362" s="155">
        <f t="shared" si="143"/>
        <v>0</v>
      </c>
      <c r="O362" s="155">
        <f t="shared" si="143"/>
        <v>0</v>
      </c>
      <c r="P362" s="155">
        <f t="shared" si="143"/>
        <v>0</v>
      </c>
      <c r="Q362" s="155">
        <f t="shared" si="143"/>
        <v>0</v>
      </c>
      <c r="R362" s="155">
        <f t="shared" si="143"/>
        <v>0</v>
      </c>
      <c r="S362" s="155">
        <f t="shared" si="143"/>
        <v>0</v>
      </c>
      <c r="T362" s="155">
        <f t="shared" si="143"/>
        <v>0</v>
      </c>
      <c r="U362" s="155">
        <f t="shared" si="143"/>
        <v>0</v>
      </c>
      <c r="V362" s="155">
        <f t="shared" si="143"/>
        <v>0</v>
      </c>
      <c r="W362" s="155">
        <f t="shared" si="143"/>
        <v>0</v>
      </c>
      <c r="X362" s="155">
        <f t="shared" si="143"/>
        <v>0</v>
      </c>
      <c r="Y362" s="155">
        <f t="shared" si="143"/>
        <v>0</v>
      </c>
      <c r="Z362" s="155">
        <f t="shared" si="143"/>
        <v>0</v>
      </c>
      <c r="AA362" s="155">
        <f t="shared" si="143"/>
        <v>0</v>
      </c>
      <c r="AB362" s="155">
        <f t="shared" si="143"/>
        <v>0</v>
      </c>
      <c r="AC362" s="155">
        <f t="shared" si="143"/>
        <v>0</v>
      </c>
      <c r="AD362" s="155">
        <f t="shared" si="143"/>
        <v>0</v>
      </c>
      <c r="AE362" s="155">
        <f t="shared" si="143"/>
        <v>0</v>
      </c>
      <c r="AF362" s="155">
        <f t="shared" si="143"/>
        <v>0</v>
      </c>
      <c r="AG362" s="155">
        <f t="shared" si="143"/>
        <v>0</v>
      </c>
      <c r="AH362" s="155">
        <f t="shared" si="143"/>
        <v>0</v>
      </c>
      <c r="AI362" s="155">
        <f t="shared" si="143"/>
        <v>0</v>
      </c>
      <c r="AJ362" s="155">
        <f t="shared" si="143"/>
        <v>0</v>
      </c>
      <c r="AK362" s="155">
        <f t="shared" si="143"/>
        <v>0</v>
      </c>
      <c r="AL362" s="155">
        <f t="shared" si="143"/>
        <v>0</v>
      </c>
      <c r="AM362" s="155">
        <f t="shared" si="143"/>
        <v>0</v>
      </c>
      <c r="AN362" s="155">
        <f t="shared" si="143"/>
        <v>0</v>
      </c>
      <c r="AO362" s="155">
        <f t="shared" si="143"/>
        <v>0</v>
      </c>
      <c r="AP362" s="155">
        <f t="shared" si="143"/>
        <v>0</v>
      </c>
    </row>
    <row r="363" spans="1:42" x14ac:dyDescent="0.2">
      <c r="A363" s="4">
        <f t="shared" si="142"/>
        <v>4</v>
      </c>
      <c r="B363" s="174">
        <f t="shared" si="139"/>
        <v>0</v>
      </c>
      <c r="C363" s="155">
        <f t="shared" ref="C363:AP363" si="144">LOOKUP(C351,$B$318:$AP$318,$B$319:$AP$319)/100*$B695</f>
        <v>0</v>
      </c>
      <c r="D363" s="155">
        <f t="shared" si="144"/>
        <v>0</v>
      </c>
      <c r="E363" s="155">
        <f t="shared" si="144"/>
        <v>0</v>
      </c>
      <c r="F363" s="155">
        <f t="shared" si="144"/>
        <v>0</v>
      </c>
      <c r="G363" s="155">
        <f t="shared" si="144"/>
        <v>0</v>
      </c>
      <c r="H363" s="155">
        <f t="shared" si="144"/>
        <v>0</v>
      </c>
      <c r="I363" s="155">
        <f t="shared" si="144"/>
        <v>0</v>
      </c>
      <c r="J363" s="155">
        <f t="shared" si="144"/>
        <v>0</v>
      </c>
      <c r="K363" s="155">
        <f t="shared" si="144"/>
        <v>0</v>
      </c>
      <c r="L363" s="155">
        <f t="shared" si="144"/>
        <v>0</v>
      </c>
      <c r="M363" s="155">
        <f t="shared" si="144"/>
        <v>0</v>
      </c>
      <c r="N363" s="155">
        <f t="shared" si="144"/>
        <v>0</v>
      </c>
      <c r="O363" s="155">
        <f t="shared" si="144"/>
        <v>0</v>
      </c>
      <c r="P363" s="155">
        <f t="shared" si="144"/>
        <v>0</v>
      </c>
      <c r="Q363" s="155">
        <f t="shared" si="144"/>
        <v>0</v>
      </c>
      <c r="R363" s="155">
        <f t="shared" si="144"/>
        <v>0</v>
      </c>
      <c r="S363" s="155">
        <f t="shared" si="144"/>
        <v>0</v>
      </c>
      <c r="T363" s="155">
        <f t="shared" si="144"/>
        <v>0</v>
      </c>
      <c r="U363" s="155">
        <f t="shared" si="144"/>
        <v>0</v>
      </c>
      <c r="V363" s="155">
        <f t="shared" si="144"/>
        <v>0</v>
      </c>
      <c r="W363" s="155">
        <f t="shared" si="144"/>
        <v>0</v>
      </c>
      <c r="X363" s="155">
        <f t="shared" si="144"/>
        <v>0</v>
      </c>
      <c r="Y363" s="155">
        <f t="shared" si="144"/>
        <v>0</v>
      </c>
      <c r="Z363" s="155">
        <f t="shared" si="144"/>
        <v>0</v>
      </c>
      <c r="AA363" s="155">
        <f t="shared" si="144"/>
        <v>0</v>
      </c>
      <c r="AB363" s="155">
        <f t="shared" si="144"/>
        <v>0</v>
      </c>
      <c r="AC363" s="155">
        <f t="shared" si="144"/>
        <v>0</v>
      </c>
      <c r="AD363" s="155">
        <f t="shared" si="144"/>
        <v>0</v>
      </c>
      <c r="AE363" s="155">
        <f t="shared" si="144"/>
        <v>0</v>
      </c>
      <c r="AF363" s="155">
        <f t="shared" si="144"/>
        <v>0</v>
      </c>
      <c r="AG363" s="155">
        <f t="shared" si="144"/>
        <v>0</v>
      </c>
      <c r="AH363" s="155">
        <f t="shared" si="144"/>
        <v>0</v>
      </c>
      <c r="AI363" s="155">
        <f t="shared" si="144"/>
        <v>0</v>
      </c>
      <c r="AJ363" s="155">
        <f t="shared" si="144"/>
        <v>0</v>
      </c>
      <c r="AK363" s="155">
        <f t="shared" si="144"/>
        <v>0</v>
      </c>
      <c r="AL363" s="155">
        <f t="shared" si="144"/>
        <v>0</v>
      </c>
      <c r="AM363" s="155">
        <f t="shared" si="144"/>
        <v>0</v>
      </c>
      <c r="AN363" s="155">
        <f t="shared" si="144"/>
        <v>0</v>
      </c>
      <c r="AO363" s="155">
        <f t="shared" si="144"/>
        <v>0</v>
      </c>
      <c r="AP363" s="155">
        <f t="shared" si="144"/>
        <v>0</v>
      </c>
    </row>
    <row r="364" spans="1:42" x14ac:dyDescent="0.2">
      <c r="A364" s="4">
        <f t="shared" si="142"/>
        <v>5</v>
      </c>
      <c r="B364" s="174">
        <f t="shared" si="139"/>
        <v>0</v>
      </c>
      <c r="C364" s="155">
        <f t="shared" ref="C364:AP364" si="145">LOOKUP(C352,$B$318:$AP$318,$B$319:$AP$319)/100*$B696</f>
        <v>0</v>
      </c>
      <c r="D364" s="155">
        <f t="shared" si="145"/>
        <v>0</v>
      </c>
      <c r="E364" s="155">
        <f t="shared" si="145"/>
        <v>0</v>
      </c>
      <c r="F364" s="155">
        <f t="shared" si="145"/>
        <v>0</v>
      </c>
      <c r="G364" s="155">
        <f t="shared" si="145"/>
        <v>0</v>
      </c>
      <c r="H364" s="155">
        <f t="shared" si="145"/>
        <v>0</v>
      </c>
      <c r="I364" s="155">
        <f t="shared" si="145"/>
        <v>0</v>
      </c>
      <c r="J364" s="155">
        <f t="shared" si="145"/>
        <v>0</v>
      </c>
      <c r="K364" s="155">
        <f t="shared" si="145"/>
        <v>0</v>
      </c>
      <c r="L364" s="155">
        <f t="shared" si="145"/>
        <v>0</v>
      </c>
      <c r="M364" s="155">
        <f t="shared" si="145"/>
        <v>0</v>
      </c>
      <c r="N364" s="155">
        <f t="shared" si="145"/>
        <v>0</v>
      </c>
      <c r="O364" s="155">
        <f t="shared" si="145"/>
        <v>0</v>
      </c>
      <c r="P364" s="155">
        <f t="shared" si="145"/>
        <v>0</v>
      </c>
      <c r="Q364" s="155">
        <f t="shared" si="145"/>
        <v>0</v>
      </c>
      <c r="R364" s="155">
        <f t="shared" si="145"/>
        <v>0</v>
      </c>
      <c r="S364" s="155">
        <f t="shared" si="145"/>
        <v>0</v>
      </c>
      <c r="T364" s="155">
        <f t="shared" si="145"/>
        <v>0</v>
      </c>
      <c r="U364" s="155">
        <f t="shared" si="145"/>
        <v>0</v>
      </c>
      <c r="V364" s="155">
        <f t="shared" si="145"/>
        <v>0</v>
      </c>
      <c r="W364" s="155">
        <f t="shared" si="145"/>
        <v>0</v>
      </c>
      <c r="X364" s="155">
        <f t="shared" si="145"/>
        <v>0</v>
      </c>
      <c r="Y364" s="155">
        <f t="shared" si="145"/>
        <v>0</v>
      </c>
      <c r="Z364" s="155">
        <f t="shared" si="145"/>
        <v>0</v>
      </c>
      <c r="AA364" s="155">
        <f t="shared" si="145"/>
        <v>0</v>
      </c>
      <c r="AB364" s="155">
        <f t="shared" si="145"/>
        <v>0</v>
      </c>
      <c r="AC364" s="155">
        <f t="shared" si="145"/>
        <v>0</v>
      </c>
      <c r="AD364" s="155">
        <f t="shared" si="145"/>
        <v>0</v>
      </c>
      <c r="AE364" s="155">
        <f t="shared" si="145"/>
        <v>0</v>
      </c>
      <c r="AF364" s="155">
        <f t="shared" si="145"/>
        <v>0</v>
      </c>
      <c r="AG364" s="155">
        <f t="shared" si="145"/>
        <v>0</v>
      </c>
      <c r="AH364" s="155">
        <f t="shared" si="145"/>
        <v>0</v>
      </c>
      <c r="AI364" s="155">
        <f t="shared" si="145"/>
        <v>0</v>
      </c>
      <c r="AJ364" s="155">
        <f t="shared" si="145"/>
        <v>0</v>
      </c>
      <c r="AK364" s="155">
        <f t="shared" si="145"/>
        <v>0</v>
      </c>
      <c r="AL364" s="155">
        <f t="shared" si="145"/>
        <v>0</v>
      </c>
      <c r="AM364" s="155">
        <f t="shared" si="145"/>
        <v>0</v>
      </c>
      <c r="AN364" s="155">
        <f t="shared" si="145"/>
        <v>0</v>
      </c>
      <c r="AO364" s="155">
        <f t="shared" si="145"/>
        <v>0</v>
      </c>
      <c r="AP364" s="155">
        <f t="shared" si="145"/>
        <v>0</v>
      </c>
    </row>
    <row r="365" spans="1:42" x14ac:dyDescent="0.2">
      <c r="A365" s="4">
        <f t="shared" si="142"/>
        <v>6</v>
      </c>
      <c r="B365" s="174">
        <f t="shared" si="139"/>
        <v>0</v>
      </c>
      <c r="C365" s="155">
        <f t="shared" ref="C365:AP365" si="146">LOOKUP(C353,$B$318:$AP$318,$B$319:$AP$319)/100*$B697</f>
        <v>0</v>
      </c>
      <c r="D365" s="155">
        <f t="shared" si="146"/>
        <v>0</v>
      </c>
      <c r="E365" s="155">
        <f t="shared" si="146"/>
        <v>0</v>
      </c>
      <c r="F365" s="155">
        <f t="shared" si="146"/>
        <v>0</v>
      </c>
      <c r="G365" s="155">
        <f t="shared" si="146"/>
        <v>0</v>
      </c>
      <c r="H365" s="155">
        <f t="shared" si="146"/>
        <v>0</v>
      </c>
      <c r="I365" s="155">
        <f t="shared" si="146"/>
        <v>0</v>
      </c>
      <c r="J365" s="155">
        <f t="shared" si="146"/>
        <v>0</v>
      </c>
      <c r="K365" s="155">
        <f t="shared" si="146"/>
        <v>0</v>
      </c>
      <c r="L365" s="155">
        <f t="shared" si="146"/>
        <v>0</v>
      </c>
      <c r="M365" s="155">
        <f t="shared" si="146"/>
        <v>0</v>
      </c>
      <c r="N365" s="155">
        <f t="shared" si="146"/>
        <v>0</v>
      </c>
      <c r="O365" s="155">
        <f t="shared" si="146"/>
        <v>0</v>
      </c>
      <c r="P365" s="155">
        <f t="shared" si="146"/>
        <v>0</v>
      </c>
      <c r="Q365" s="155">
        <f t="shared" si="146"/>
        <v>0</v>
      </c>
      <c r="R365" s="155">
        <f t="shared" si="146"/>
        <v>0</v>
      </c>
      <c r="S365" s="155">
        <f t="shared" si="146"/>
        <v>0</v>
      </c>
      <c r="T365" s="155">
        <f t="shared" si="146"/>
        <v>0</v>
      </c>
      <c r="U365" s="155">
        <f t="shared" si="146"/>
        <v>0</v>
      </c>
      <c r="V365" s="155">
        <f t="shared" si="146"/>
        <v>0</v>
      </c>
      <c r="W365" s="155">
        <f t="shared" si="146"/>
        <v>0</v>
      </c>
      <c r="X365" s="155">
        <f t="shared" si="146"/>
        <v>0</v>
      </c>
      <c r="Y365" s="155">
        <f t="shared" si="146"/>
        <v>0</v>
      </c>
      <c r="Z365" s="155">
        <f t="shared" si="146"/>
        <v>0</v>
      </c>
      <c r="AA365" s="155">
        <f t="shared" si="146"/>
        <v>0</v>
      </c>
      <c r="AB365" s="155">
        <f t="shared" si="146"/>
        <v>0</v>
      </c>
      <c r="AC365" s="155">
        <f t="shared" si="146"/>
        <v>0</v>
      </c>
      <c r="AD365" s="155">
        <f t="shared" si="146"/>
        <v>0</v>
      </c>
      <c r="AE365" s="155">
        <f t="shared" si="146"/>
        <v>0</v>
      </c>
      <c r="AF365" s="155">
        <f t="shared" si="146"/>
        <v>0</v>
      </c>
      <c r="AG365" s="155">
        <f t="shared" si="146"/>
        <v>0</v>
      </c>
      <c r="AH365" s="155">
        <f t="shared" si="146"/>
        <v>0</v>
      </c>
      <c r="AI365" s="155">
        <f t="shared" si="146"/>
        <v>0</v>
      </c>
      <c r="AJ365" s="155">
        <f t="shared" si="146"/>
        <v>0</v>
      </c>
      <c r="AK365" s="155">
        <f t="shared" si="146"/>
        <v>0</v>
      </c>
      <c r="AL365" s="155">
        <f t="shared" si="146"/>
        <v>0</v>
      </c>
      <c r="AM365" s="155">
        <f t="shared" si="146"/>
        <v>0</v>
      </c>
      <c r="AN365" s="155">
        <f t="shared" si="146"/>
        <v>0</v>
      </c>
      <c r="AO365" s="155">
        <f t="shared" si="146"/>
        <v>0</v>
      </c>
      <c r="AP365" s="155">
        <f t="shared" si="146"/>
        <v>0</v>
      </c>
    </row>
    <row r="366" spans="1:42" x14ac:dyDescent="0.2">
      <c r="A366" s="4">
        <f t="shared" si="142"/>
        <v>7</v>
      </c>
      <c r="B366" s="174">
        <f t="shared" si="139"/>
        <v>0</v>
      </c>
      <c r="C366" s="155">
        <f t="shared" ref="C366:AP366" si="147">LOOKUP(C354,$B$318:$AP$318,$B$319:$AP$319)/100*$B698</f>
        <v>0</v>
      </c>
      <c r="D366" s="155">
        <f t="shared" si="147"/>
        <v>0</v>
      </c>
      <c r="E366" s="155">
        <f t="shared" si="147"/>
        <v>0</v>
      </c>
      <c r="F366" s="155">
        <f t="shared" si="147"/>
        <v>0</v>
      </c>
      <c r="G366" s="155">
        <f t="shared" si="147"/>
        <v>0</v>
      </c>
      <c r="H366" s="155">
        <f t="shared" si="147"/>
        <v>0</v>
      </c>
      <c r="I366" s="155">
        <f t="shared" si="147"/>
        <v>0</v>
      </c>
      <c r="J366" s="155">
        <f t="shared" si="147"/>
        <v>0</v>
      </c>
      <c r="K366" s="155">
        <f t="shared" si="147"/>
        <v>0</v>
      </c>
      <c r="L366" s="155">
        <f t="shared" si="147"/>
        <v>0</v>
      </c>
      <c r="M366" s="155">
        <f t="shared" si="147"/>
        <v>0</v>
      </c>
      <c r="N366" s="155">
        <f t="shared" si="147"/>
        <v>0</v>
      </c>
      <c r="O366" s="155">
        <f t="shared" si="147"/>
        <v>0</v>
      </c>
      <c r="P366" s="155">
        <f t="shared" si="147"/>
        <v>0</v>
      </c>
      <c r="Q366" s="155">
        <f t="shared" si="147"/>
        <v>0</v>
      </c>
      <c r="R366" s="155">
        <f t="shared" si="147"/>
        <v>0</v>
      </c>
      <c r="S366" s="155">
        <f t="shared" si="147"/>
        <v>0</v>
      </c>
      <c r="T366" s="155">
        <f t="shared" si="147"/>
        <v>0</v>
      </c>
      <c r="U366" s="155">
        <f t="shared" si="147"/>
        <v>0</v>
      </c>
      <c r="V366" s="155">
        <f t="shared" si="147"/>
        <v>0</v>
      </c>
      <c r="W366" s="155">
        <f t="shared" si="147"/>
        <v>0</v>
      </c>
      <c r="X366" s="155">
        <f t="shared" si="147"/>
        <v>0</v>
      </c>
      <c r="Y366" s="155">
        <f t="shared" si="147"/>
        <v>0</v>
      </c>
      <c r="Z366" s="155">
        <f t="shared" si="147"/>
        <v>0</v>
      </c>
      <c r="AA366" s="155">
        <f t="shared" si="147"/>
        <v>0</v>
      </c>
      <c r="AB366" s="155">
        <f t="shared" si="147"/>
        <v>0</v>
      </c>
      <c r="AC366" s="155">
        <f t="shared" si="147"/>
        <v>0</v>
      </c>
      <c r="AD366" s="155">
        <f t="shared" si="147"/>
        <v>0</v>
      </c>
      <c r="AE366" s="155">
        <f t="shared" si="147"/>
        <v>0</v>
      </c>
      <c r="AF366" s="155">
        <f t="shared" si="147"/>
        <v>0</v>
      </c>
      <c r="AG366" s="155">
        <f t="shared" si="147"/>
        <v>0</v>
      </c>
      <c r="AH366" s="155">
        <f t="shared" si="147"/>
        <v>0</v>
      </c>
      <c r="AI366" s="155">
        <f t="shared" si="147"/>
        <v>0</v>
      </c>
      <c r="AJ366" s="155">
        <f t="shared" si="147"/>
        <v>0</v>
      </c>
      <c r="AK366" s="155">
        <f t="shared" si="147"/>
        <v>0</v>
      </c>
      <c r="AL366" s="155">
        <f t="shared" si="147"/>
        <v>0</v>
      </c>
      <c r="AM366" s="155">
        <f t="shared" si="147"/>
        <v>0</v>
      </c>
      <c r="AN366" s="155">
        <f t="shared" si="147"/>
        <v>0</v>
      </c>
      <c r="AO366" s="155">
        <f t="shared" si="147"/>
        <v>0</v>
      </c>
      <c r="AP366" s="155">
        <f t="shared" si="147"/>
        <v>0</v>
      </c>
    </row>
    <row r="367" spans="1:42" x14ac:dyDescent="0.2">
      <c r="A367" s="4">
        <f t="shared" si="142"/>
        <v>8</v>
      </c>
      <c r="B367" s="174">
        <f t="shared" si="139"/>
        <v>0</v>
      </c>
      <c r="C367" s="155">
        <f t="shared" ref="C367:AP367" si="148">LOOKUP(C355,$B$318:$AP$318,$B$319:$AP$319)/100*$B699</f>
        <v>0</v>
      </c>
      <c r="D367" s="155">
        <f t="shared" si="148"/>
        <v>0</v>
      </c>
      <c r="E367" s="155">
        <f t="shared" si="148"/>
        <v>0</v>
      </c>
      <c r="F367" s="155">
        <f t="shared" si="148"/>
        <v>0</v>
      </c>
      <c r="G367" s="155">
        <f t="shared" si="148"/>
        <v>0</v>
      </c>
      <c r="H367" s="155">
        <f t="shared" si="148"/>
        <v>0</v>
      </c>
      <c r="I367" s="155">
        <f t="shared" si="148"/>
        <v>0</v>
      </c>
      <c r="J367" s="155">
        <f t="shared" si="148"/>
        <v>0</v>
      </c>
      <c r="K367" s="155">
        <f t="shared" si="148"/>
        <v>0</v>
      </c>
      <c r="L367" s="155">
        <f t="shared" si="148"/>
        <v>0</v>
      </c>
      <c r="M367" s="155">
        <f t="shared" si="148"/>
        <v>0</v>
      </c>
      <c r="N367" s="155">
        <f t="shared" si="148"/>
        <v>0</v>
      </c>
      <c r="O367" s="155">
        <f t="shared" si="148"/>
        <v>0</v>
      </c>
      <c r="P367" s="155">
        <f t="shared" si="148"/>
        <v>0</v>
      </c>
      <c r="Q367" s="155">
        <f t="shared" si="148"/>
        <v>0</v>
      </c>
      <c r="R367" s="155">
        <f t="shared" si="148"/>
        <v>0</v>
      </c>
      <c r="S367" s="155">
        <f t="shared" si="148"/>
        <v>0</v>
      </c>
      <c r="T367" s="155">
        <f t="shared" si="148"/>
        <v>0</v>
      </c>
      <c r="U367" s="155">
        <f t="shared" si="148"/>
        <v>0</v>
      </c>
      <c r="V367" s="155">
        <f t="shared" si="148"/>
        <v>0</v>
      </c>
      <c r="W367" s="155">
        <f t="shared" si="148"/>
        <v>0</v>
      </c>
      <c r="X367" s="155">
        <f t="shared" si="148"/>
        <v>0</v>
      </c>
      <c r="Y367" s="155">
        <f t="shared" si="148"/>
        <v>0</v>
      </c>
      <c r="Z367" s="155">
        <f t="shared" si="148"/>
        <v>0</v>
      </c>
      <c r="AA367" s="155">
        <f t="shared" si="148"/>
        <v>0</v>
      </c>
      <c r="AB367" s="155">
        <f t="shared" si="148"/>
        <v>0</v>
      </c>
      <c r="AC367" s="155">
        <f t="shared" si="148"/>
        <v>0</v>
      </c>
      <c r="AD367" s="155">
        <f t="shared" si="148"/>
        <v>0</v>
      </c>
      <c r="AE367" s="155">
        <f t="shared" si="148"/>
        <v>0</v>
      </c>
      <c r="AF367" s="155">
        <f t="shared" si="148"/>
        <v>0</v>
      </c>
      <c r="AG367" s="155">
        <f t="shared" si="148"/>
        <v>0</v>
      </c>
      <c r="AH367" s="155">
        <f t="shared" si="148"/>
        <v>0</v>
      </c>
      <c r="AI367" s="155">
        <f t="shared" si="148"/>
        <v>0</v>
      </c>
      <c r="AJ367" s="155">
        <f t="shared" si="148"/>
        <v>0</v>
      </c>
      <c r="AK367" s="155">
        <f t="shared" si="148"/>
        <v>0</v>
      </c>
      <c r="AL367" s="155">
        <f t="shared" si="148"/>
        <v>0</v>
      </c>
      <c r="AM367" s="155">
        <f t="shared" si="148"/>
        <v>0</v>
      </c>
      <c r="AN367" s="155">
        <f t="shared" si="148"/>
        <v>0</v>
      </c>
      <c r="AO367" s="155">
        <f t="shared" si="148"/>
        <v>0</v>
      </c>
      <c r="AP367" s="155">
        <f t="shared" si="148"/>
        <v>0</v>
      </c>
    </row>
    <row r="368" spans="1:42" x14ac:dyDescent="0.2">
      <c r="A368" s="4">
        <f>A367+1</f>
        <v>9</v>
      </c>
      <c r="B368" s="174">
        <f t="shared" si="139"/>
        <v>0</v>
      </c>
      <c r="C368" s="155">
        <f t="shared" ref="C368:AP368" si="149">LOOKUP(C356,$B$318:$AP$318,$B$319:$AP$319)/100*$B700</f>
        <v>0</v>
      </c>
      <c r="D368" s="155">
        <f t="shared" si="149"/>
        <v>0</v>
      </c>
      <c r="E368" s="155">
        <f t="shared" si="149"/>
        <v>0</v>
      </c>
      <c r="F368" s="155">
        <f t="shared" si="149"/>
        <v>0</v>
      </c>
      <c r="G368" s="155">
        <f t="shared" si="149"/>
        <v>0</v>
      </c>
      <c r="H368" s="155">
        <f t="shared" si="149"/>
        <v>0</v>
      </c>
      <c r="I368" s="155">
        <f t="shared" si="149"/>
        <v>0</v>
      </c>
      <c r="J368" s="155">
        <f t="shared" si="149"/>
        <v>0</v>
      </c>
      <c r="K368" s="155">
        <f t="shared" si="149"/>
        <v>0</v>
      </c>
      <c r="L368" s="155">
        <f t="shared" si="149"/>
        <v>0</v>
      </c>
      <c r="M368" s="155">
        <f t="shared" si="149"/>
        <v>0</v>
      </c>
      <c r="N368" s="155">
        <f t="shared" si="149"/>
        <v>0</v>
      </c>
      <c r="O368" s="155">
        <f t="shared" si="149"/>
        <v>0</v>
      </c>
      <c r="P368" s="155">
        <f t="shared" si="149"/>
        <v>0</v>
      </c>
      <c r="Q368" s="155">
        <f t="shared" si="149"/>
        <v>0</v>
      </c>
      <c r="R368" s="155">
        <f t="shared" si="149"/>
        <v>0</v>
      </c>
      <c r="S368" s="155">
        <f t="shared" si="149"/>
        <v>0</v>
      </c>
      <c r="T368" s="155">
        <f t="shared" si="149"/>
        <v>0</v>
      </c>
      <c r="U368" s="155">
        <f t="shared" si="149"/>
        <v>0</v>
      </c>
      <c r="V368" s="155">
        <f t="shared" si="149"/>
        <v>0</v>
      </c>
      <c r="W368" s="155">
        <f t="shared" si="149"/>
        <v>0</v>
      </c>
      <c r="X368" s="155">
        <f t="shared" si="149"/>
        <v>0</v>
      </c>
      <c r="Y368" s="155">
        <f t="shared" si="149"/>
        <v>0</v>
      </c>
      <c r="Z368" s="155">
        <f t="shared" si="149"/>
        <v>0</v>
      </c>
      <c r="AA368" s="155">
        <f t="shared" si="149"/>
        <v>0</v>
      </c>
      <c r="AB368" s="155">
        <f t="shared" si="149"/>
        <v>0</v>
      </c>
      <c r="AC368" s="155">
        <f t="shared" si="149"/>
        <v>0</v>
      </c>
      <c r="AD368" s="155">
        <f t="shared" si="149"/>
        <v>0</v>
      </c>
      <c r="AE368" s="155">
        <f t="shared" si="149"/>
        <v>0</v>
      </c>
      <c r="AF368" s="155">
        <f t="shared" si="149"/>
        <v>0</v>
      </c>
      <c r="AG368" s="155">
        <f t="shared" si="149"/>
        <v>0</v>
      </c>
      <c r="AH368" s="155">
        <f t="shared" si="149"/>
        <v>0</v>
      </c>
      <c r="AI368" s="155">
        <f t="shared" si="149"/>
        <v>0</v>
      </c>
      <c r="AJ368" s="155">
        <f t="shared" si="149"/>
        <v>0</v>
      </c>
      <c r="AK368" s="155">
        <f t="shared" si="149"/>
        <v>0</v>
      </c>
      <c r="AL368" s="155">
        <f t="shared" si="149"/>
        <v>0</v>
      </c>
      <c r="AM368" s="155">
        <f t="shared" si="149"/>
        <v>0</v>
      </c>
      <c r="AN368" s="155">
        <f t="shared" si="149"/>
        <v>0</v>
      </c>
      <c r="AO368" s="155">
        <f t="shared" si="149"/>
        <v>0</v>
      </c>
      <c r="AP368" s="155">
        <f t="shared" si="149"/>
        <v>0</v>
      </c>
    </row>
    <row r="369" spans="1:42" x14ac:dyDescent="0.2">
      <c r="A369" s="4">
        <f t="shared" si="142"/>
        <v>10</v>
      </c>
      <c r="B369" s="174">
        <f t="shared" si="139"/>
        <v>0</v>
      </c>
      <c r="C369" s="156">
        <f t="shared" ref="C369:AP369" si="150">LOOKUP(C357,$B$318:$AP$318,$B$319:$AP$319)/100*$B701</f>
        <v>0</v>
      </c>
      <c r="D369" s="156">
        <f t="shared" si="150"/>
        <v>0</v>
      </c>
      <c r="E369" s="156">
        <f t="shared" si="150"/>
        <v>0</v>
      </c>
      <c r="F369" s="156">
        <f t="shared" si="150"/>
        <v>0</v>
      </c>
      <c r="G369" s="156">
        <f t="shared" si="150"/>
        <v>0</v>
      </c>
      <c r="H369" s="156">
        <f t="shared" si="150"/>
        <v>0</v>
      </c>
      <c r="I369" s="156">
        <f t="shared" si="150"/>
        <v>0</v>
      </c>
      <c r="J369" s="156">
        <f t="shared" si="150"/>
        <v>0</v>
      </c>
      <c r="K369" s="156">
        <f t="shared" si="150"/>
        <v>0</v>
      </c>
      <c r="L369" s="156">
        <f t="shared" si="150"/>
        <v>0</v>
      </c>
      <c r="M369" s="156">
        <f t="shared" si="150"/>
        <v>0</v>
      </c>
      <c r="N369" s="156">
        <f t="shared" si="150"/>
        <v>0</v>
      </c>
      <c r="O369" s="156">
        <f t="shared" si="150"/>
        <v>0</v>
      </c>
      <c r="P369" s="156">
        <f t="shared" si="150"/>
        <v>0</v>
      </c>
      <c r="Q369" s="156">
        <f t="shared" si="150"/>
        <v>0</v>
      </c>
      <c r="R369" s="156">
        <f t="shared" si="150"/>
        <v>0</v>
      </c>
      <c r="S369" s="156">
        <f t="shared" si="150"/>
        <v>0</v>
      </c>
      <c r="T369" s="156">
        <f t="shared" si="150"/>
        <v>0</v>
      </c>
      <c r="U369" s="156">
        <f t="shared" si="150"/>
        <v>0</v>
      </c>
      <c r="V369" s="156">
        <f t="shared" si="150"/>
        <v>0</v>
      </c>
      <c r="W369" s="156">
        <f t="shared" si="150"/>
        <v>0</v>
      </c>
      <c r="X369" s="156">
        <f t="shared" si="150"/>
        <v>0</v>
      </c>
      <c r="Y369" s="156">
        <f t="shared" si="150"/>
        <v>0</v>
      </c>
      <c r="Z369" s="156">
        <f t="shared" si="150"/>
        <v>0</v>
      </c>
      <c r="AA369" s="156">
        <f t="shared" si="150"/>
        <v>0</v>
      </c>
      <c r="AB369" s="156">
        <f t="shared" si="150"/>
        <v>0</v>
      </c>
      <c r="AC369" s="156">
        <f t="shared" si="150"/>
        <v>0</v>
      </c>
      <c r="AD369" s="156">
        <f t="shared" si="150"/>
        <v>0</v>
      </c>
      <c r="AE369" s="156">
        <f t="shared" si="150"/>
        <v>0</v>
      </c>
      <c r="AF369" s="156">
        <f t="shared" si="150"/>
        <v>0</v>
      </c>
      <c r="AG369" s="156">
        <f t="shared" si="150"/>
        <v>0</v>
      </c>
      <c r="AH369" s="156">
        <f t="shared" si="150"/>
        <v>0</v>
      </c>
      <c r="AI369" s="156">
        <f t="shared" si="150"/>
        <v>0</v>
      </c>
      <c r="AJ369" s="156">
        <f t="shared" si="150"/>
        <v>0</v>
      </c>
      <c r="AK369" s="156">
        <f t="shared" si="150"/>
        <v>0</v>
      </c>
      <c r="AL369" s="156">
        <f t="shared" si="150"/>
        <v>0</v>
      </c>
      <c r="AM369" s="156">
        <f t="shared" si="150"/>
        <v>0</v>
      </c>
      <c r="AN369" s="156">
        <f t="shared" si="150"/>
        <v>0</v>
      </c>
      <c r="AO369" s="156">
        <f t="shared" si="150"/>
        <v>0</v>
      </c>
      <c r="AP369" s="156">
        <f t="shared" si="150"/>
        <v>0</v>
      </c>
    </row>
    <row r="370" spans="1:42" ht="12" customHeight="1" x14ac:dyDescent="0.2">
      <c r="A370" s="24" t="s">
        <v>13</v>
      </c>
      <c r="C370" s="155">
        <f>SUM(C360:C369)</f>
        <v>0</v>
      </c>
      <c r="D370" s="155">
        <f t="shared" ref="D370:AP370" si="151">SUM(D360:D369)</f>
        <v>0</v>
      </c>
      <c r="E370" s="155">
        <f t="shared" si="151"/>
        <v>0</v>
      </c>
      <c r="F370" s="155">
        <f t="shared" si="151"/>
        <v>0</v>
      </c>
      <c r="G370" s="155">
        <f t="shared" si="151"/>
        <v>0</v>
      </c>
      <c r="H370" s="155">
        <f t="shared" si="151"/>
        <v>0</v>
      </c>
      <c r="I370" s="155">
        <f t="shared" si="151"/>
        <v>0</v>
      </c>
      <c r="J370" s="155">
        <f t="shared" si="151"/>
        <v>0</v>
      </c>
      <c r="K370" s="155">
        <f t="shared" si="151"/>
        <v>0</v>
      </c>
      <c r="L370" s="155">
        <f t="shared" si="151"/>
        <v>0</v>
      </c>
      <c r="M370" s="155">
        <f t="shared" si="151"/>
        <v>0</v>
      </c>
      <c r="N370" s="155">
        <f t="shared" si="151"/>
        <v>0</v>
      </c>
      <c r="O370" s="155">
        <f t="shared" si="151"/>
        <v>0</v>
      </c>
      <c r="P370" s="155">
        <f t="shared" si="151"/>
        <v>0</v>
      </c>
      <c r="Q370" s="155">
        <f t="shared" si="151"/>
        <v>0</v>
      </c>
      <c r="R370" s="155">
        <f t="shared" si="151"/>
        <v>0</v>
      </c>
      <c r="S370" s="155">
        <f t="shared" si="151"/>
        <v>0</v>
      </c>
      <c r="T370" s="155">
        <f t="shared" si="151"/>
        <v>0</v>
      </c>
      <c r="U370" s="155">
        <f t="shared" si="151"/>
        <v>0</v>
      </c>
      <c r="V370" s="155">
        <f t="shared" si="151"/>
        <v>0</v>
      </c>
      <c r="W370" s="155">
        <f t="shared" si="151"/>
        <v>0</v>
      </c>
      <c r="X370" s="155">
        <f t="shared" si="151"/>
        <v>0</v>
      </c>
      <c r="Y370" s="155">
        <f t="shared" si="151"/>
        <v>0</v>
      </c>
      <c r="Z370" s="155">
        <f t="shared" si="151"/>
        <v>0</v>
      </c>
      <c r="AA370" s="155">
        <f t="shared" si="151"/>
        <v>0</v>
      </c>
      <c r="AB370" s="155">
        <f t="shared" si="151"/>
        <v>0</v>
      </c>
      <c r="AC370" s="155">
        <f t="shared" si="151"/>
        <v>0</v>
      </c>
      <c r="AD370" s="155">
        <f t="shared" si="151"/>
        <v>0</v>
      </c>
      <c r="AE370" s="155">
        <f t="shared" si="151"/>
        <v>0</v>
      </c>
      <c r="AF370" s="155">
        <f t="shared" si="151"/>
        <v>0</v>
      </c>
      <c r="AG370" s="155">
        <f t="shared" si="151"/>
        <v>0</v>
      </c>
      <c r="AH370" s="155">
        <f t="shared" si="151"/>
        <v>0</v>
      </c>
      <c r="AI370" s="155">
        <f t="shared" si="151"/>
        <v>0</v>
      </c>
      <c r="AJ370" s="155">
        <f t="shared" si="151"/>
        <v>0</v>
      </c>
      <c r="AK370" s="155">
        <f t="shared" si="151"/>
        <v>0</v>
      </c>
      <c r="AL370" s="155">
        <f t="shared" si="151"/>
        <v>0</v>
      </c>
      <c r="AM370" s="155">
        <f t="shared" si="151"/>
        <v>0</v>
      </c>
      <c r="AN370" s="155">
        <f t="shared" si="151"/>
        <v>0</v>
      </c>
      <c r="AO370" s="155">
        <f t="shared" si="151"/>
        <v>0</v>
      </c>
      <c r="AP370" s="155">
        <f t="shared" si="151"/>
        <v>0</v>
      </c>
    </row>
    <row r="371" spans="1:42" x14ac:dyDescent="0.2">
      <c r="A371" s="21"/>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row>
    <row r="372" spans="1:42" x14ac:dyDescent="0.2">
      <c r="A372" s="21" t="s">
        <v>82</v>
      </c>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row>
    <row r="373" spans="1:42" x14ac:dyDescent="0.2">
      <c r="A373" s="87" t="s">
        <v>67</v>
      </c>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row>
    <row r="374" spans="1:42" x14ac:dyDescent="0.2">
      <c r="A374" s="4">
        <v>1</v>
      </c>
      <c r="B374" s="4">
        <v>0</v>
      </c>
      <c r="C374" s="155">
        <f>IF(C$2&lt;=analysis_period,IF(SUM($C724:C724)&gt;0,B374+1,0),0)</f>
        <v>0</v>
      </c>
      <c r="D374" s="155">
        <f>IF(D$2&lt;=analysis_period,IF(SUM($C724:D724)&gt;0,C374+1,0),0)</f>
        <v>0</v>
      </c>
      <c r="E374" s="155">
        <f>IF(E$2&lt;=analysis_period,IF(SUM($C724:E724)&gt;0,D374+1,0),0)</f>
        <v>0</v>
      </c>
      <c r="F374" s="155">
        <f>IF(F$2&lt;=analysis_period,IF(SUM($C724:F724)&gt;0,E374+1,0),0)</f>
        <v>0</v>
      </c>
      <c r="G374" s="155">
        <f>IF(G$2&lt;=analysis_period,IF(SUM($C724:G724)&gt;0,F374+1,0),0)</f>
        <v>0</v>
      </c>
      <c r="H374" s="155">
        <f>IF(H$2&lt;=analysis_period,IF(SUM($C724:H724)&gt;0,G374+1,0),0)</f>
        <v>0</v>
      </c>
      <c r="I374" s="155">
        <f>IF(I$2&lt;=analysis_period,IF(SUM($C724:I724)&gt;0,H374+1,0),0)</f>
        <v>0</v>
      </c>
      <c r="J374" s="155">
        <f>IF(J$2&lt;=analysis_period,IF(SUM($C724:J724)&gt;0,I374+1,0),0)</f>
        <v>0</v>
      </c>
      <c r="K374" s="155">
        <f>IF(K$2&lt;=analysis_period,IF(SUM($C724:K724)&gt;0,J374+1,0),0)</f>
        <v>0</v>
      </c>
      <c r="L374" s="155">
        <f>IF(L$2&lt;=analysis_period,IF(SUM($C724:L724)&gt;0,K374+1,0),0)</f>
        <v>0</v>
      </c>
      <c r="M374" s="155">
        <f>IF(M$2&lt;=analysis_period,IF(SUM($C724:M724)&gt;0,L374+1,0),0)</f>
        <v>0</v>
      </c>
      <c r="N374" s="155">
        <f>IF(N$2&lt;=analysis_period,IF(SUM($C724:N724)&gt;0,M374+1,0),0)</f>
        <v>0</v>
      </c>
      <c r="O374" s="155">
        <f>IF(O$2&lt;=analysis_period,IF(SUM($C724:O724)&gt;0,N374+1,0),0)</f>
        <v>0</v>
      </c>
      <c r="P374" s="155">
        <f>IF(P$2&lt;=analysis_period,IF(SUM($C724:P724)&gt;0,O374+1,0),0)</f>
        <v>0</v>
      </c>
      <c r="Q374" s="155">
        <f>IF(Q$2&lt;=analysis_period,IF(SUM($C724:Q724)&gt;0,P374+1,0),0)</f>
        <v>0</v>
      </c>
      <c r="R374" s="155">
        <f>IF(R$2&lt;=analysis_period,IF(SUM($C724:R724)&gt;0,Q374+1,0),0)</f>
        <v>0</v>
      </c>
      <c r="S374" s="155">
        <f>IF(S$2&lt;=analysis_period,IF(SUM($C724:S724)&gt;0,R374+1,0),0)</f>
        <v>0</v>
      </c>
      <c r="T374" s="155">
        <f>IF(T$2&lt;=analysis_period,IF(SUM($C724:T724)&gt;0,S374+1,0),0)</f>
        <v>0</v>
      </c>
      <c r="U374" s="155">
        <f>IF(U$2&lt;=analysis_period,IF(SUM($C724:U724)&gt;0,T374+1,0),0)</f>
        <v>0</v>
      </c>
      <c r="V374" s="155">
        <f>IF(V$2&lt;=analysis_period,IF(SUM($C724:V724)&gt;0,U374+1,0),0)</f>
        <v>0</v>
      </c>
      <c r="W374" s="155">
        <f>IF(W$2&lt;=analysis_period,IF(SUM($C724:W724)&gt;0,V374+1,0),0)</f>
        <v>0</v>
      </c>
      <c r="X374" s="155">
        <f>IF(X$2&lt;=analysis_period,IF(SUM($C724:X724)&gt;0,W374+1,0),0)</f>
        <v>0</v>
      </c>
      <c r="Y374" s="155">
        <f>IF(Y$2&lt;=analysis_period,IF(SUM($C724:Y724)&gt;0,X374+1,0),0)</f>
        <v>0</v>
      </c>
      <c r="Z374" s="155">
        <f>IF(Z$2&lt;=analysis_period,IF(SUM($C724:Z724)&gt;0,Y374+1,0),0)</f>
        <v>0</v>
      </c>
      <c r="AA374" s="155">
        <f>IF(AA$2&lt;=analysis_period,IF(SUM($C724:AA724)&gt;0,Z374+1,0),0)</f>
        <v>0</v>
      </c>
      <c r="AB374" s="155">
        <f>IF(AB$2&lt;=analysis_period,IF(SUM($C724:AB724)&gt;0,AA374+1,0),0)</f>
        <v>0</v>
      </c>
      <c r="AC374" s="155">
        <f>IF(AC$2&lt;=analysis_period,IF(SUM($C724:AC724)&gt;0,AB374+1,0),0)</f>
        <v>0</v>
      </c>
      <c r="AD374" s="155">
        <f>IF(AD$2&lt;=analysis_period,IF(SUM($C724:AD724)&gt;0,AC374+1,0),0)</f>
        <v>0</v>
      </c>
      <c r="AE374" s="155">
        <f>IF(AE$2&lt;=analysis_period,IF(SUM($C724:AE724)&gt;0,AD374+1,0),0)</f>
        <v>0</v>
      </c>
      <c r="AF374" s="155">
        <f>IF(AF$2&lt;=analysis_period,IF(SUM($C724:AF724)&gt;0,AE374+1,0),0)</f>
        <v>0</v>
      </c>
      <c r="AG374" s="155">
        <f>IF(AG$2&lt;=analysis_period,IF(SUM($C724:AG724)&gt;0,AF374+1,0),0)</f>
        <v>0</v>
      </c>
      <c r="AH374" s="155">
        <f>IF(AH$2&lt;=analysis_period,IF(SUM($C724:AH724)&gt;0,AG374+1,0),0)</f>
        <v>0</v>
      </c>
      <c r="AI374" s="155">
        <f>IF(AI$2&lt;=analysis_period,IF(SUM($C724:AI724)&gt;0,AH374+1,0),0)</f>
        <v>0</v>
      </c>
      <c r="AJ374" s="155">
        <f>IF(AJ$2&lt;=analysis_period,IF(SUM($C724:AJ724)&gt;0,AI374+1,0),0)</f>
        <v>0</v>
      </c>
      <c r="AK374" s="155">
        <f>IF(AK$2&lt;=analysis_period,IF(SUM($C724:AK724)&gt;0,AJ374+1,0),0)</f>
        <v>0</v>
      </c>
      <c r="AL374" s="155">
        <f>IF(AL$2&lt;=analysis_period,IF(SUM($C724:AL724)&gt;0,AK374+1,0),0)</f>
        <v>0</v>
      </c>
      <c r="AM374" s="155">
        <f>IF(AM$2&lt;=analysis_period,IF(SUM($C724:AM724)&gt;0,AL374+1,0),0)</f>
        <v>0</v>
      </c>
      <c r="AN374" s="155">
        <f>IF(AN$2&lt;=analysis_period,IF(SUM($C724:AN724)&gt;0,AM374+1,0),0)</f>
        <v>0</v>
      </c>
      <c r="AO374" s="155">
        <f>IF(AO$2&lt;=analysis_period,IF(SUM($C724:AO724)&gt;0,AN374+1,0),0)</f>
        <v>0</v>
      </c>
      <c r="AP374" s="155">
        <f>IF(AP$2&lt;=analysis_period,IF(SUM($C724:AP724)&gt;0,AO374+1,0),0)</f>
        <v>0</v>
      </c>
    </row>
    <row r="375" spans="1:42" x14ac:dyDescent="0.2">
      <c r="A375" s="4">
        <f>A374+1</f>
        <v>2</v>
      </c>
      <c r="B375" s="4">
        <v>0</v>
      </c>
      <c r="C375" s="155">
        <f>IF(C$2&lt;=analysis_period,IF(SUM($C725:C725)&gt;0,B375+1,0),0)</f>
        <v>0</v>
      </c>
      <c r="D375" s="155">
        <f>IF(D$2&lt;=analysis_period,IF(SUM($C725:D725)&gt;0,C375+1,0),0)</f>
        <v>0</v>
      </c>
      <c r="E375" s="155">
        <f>IF(E$2&lt;=analysis_period,IF(SUM($C725:E725)&gt;0,D375+1,0),0)</f>
        <v>0</v>
      </c>
      <c r="F375" s="155">
        <f>IF(F$2&lt;=analysis_period,IF(SUM($C725:F725)&gt;0,E375+1,0),0)</f>
        <v>0</v>
      </c>
      <c r="G375" s="155">
        <f>IF(G$2&lt;=analysis_period,IF(SUM($C725:G725)&gt;0,F375+1,0),0)</f>
        <v>0</v>
      </c>
      <c r="H375" s="155">
        <f>IF(H$2&lt;=analysis_period,IF(SUM($C725:H725)&gt;0,G375+1,0),0)</f>
        <v>0</v>
      </c>
      <c r="I375" s="155">
        <f>IF(I$2&lt;=analysis_period,IF(SUM($C725:I725)&gt;0,H375+1,0),0)</f>
        <v>0</v>
      </c>
      <c r="J375" s="155">
        <f>IF(J$2&lt;=analysis_period,IF(SUM($C725:J725)&gt;0,I375+1,0),0)</f>
        <v>0</v>
      </c>
      <c r="K375" s="155">
        <f>IF(K$2&lt;=analysis_period,IF(SUM($C725:K725)&gt;0,J375+1,0),0)</f>
        <v>0</v>
      </c>
      <c r="L375" s="155">
        <f>IF(L$2&lt;=analysis_period,IF(SUM($C725:L725)&gt;0,K375+1,0),0)</f>
        <v>0</v>
      </c>
      <c r="M375" s="155">
        <f>IF(M$2&lt;=analysis_period,IF(SUM($C725:M725)&gt;0,L375+1,0),0)</f>
        <v>0</v>
      </c>
      <c r="N375" s="155">
        <f>IF(N$2&lt;=analysis_period,IF(SUM($C725:N725)&gt;0,M375+1,0),0)</f>
        <v>0</v>
      </c>
      <c r="O375" s="155">
        <f>IF(O$2&lt;=analysis_period,IF(SUM($C725:O725)&gt;0,N375+1,0),0)</f>
        <v>0</v>
      </c>
      <c r="P375" s="155">
        <f>IF(P$2&lt;=analysis_period,IF(SUM($C725:P725)&gt;0,O375+1,0),0)</f>
        <v>0</v>
      </c>
      <c r="Q375" s="155">
        <f>IF(Q$2&lt;=analysis_period,IF(SUM($C725:Q725)&gt;0,P375+1,0),0)</f>
        <v>0</v>
      </c>
      <c r="R375" s="155">
        <f>IF(R$2&lt;=analysis_period,IF(SUM($C725:R725)&gt;0,Q375+1,0),0)</f>
        <v>0</v>
      </c>
      <c r="S375" s="155">
        <f>IF(S$2&lt;=analysis_period,IF(SUM($C725:S725)&gt;0,R375+1,0),0)</f>
        <v>0</v>
      </c>
      <c r="T375" s="155">
        <f>IF(T$2&lt;=analysis_period,IF(SUM($C725:T725)&gt;0,S375+1,0),0)</f>
        <v>0</v>
      </c>
      <c r="U375" s="155">
        <f>IF(U$2&lt;=analysis_period,IF(SUM($C725:U725)&gt;0,T375+1,0),0)</f>
        <v>0</v>
      </c>
      <c r="V375" s="155">
        <f>IF(V$2&lt;=analysis_period,IF(SUM($C725:V725)&gt;0,U375+1,0),0)</f>
        <v>0</v>
      </c>
      <c r="W375" s="155">
        <f>IF(W$2&lt;=analysis_period,IF(SUM($C725:W725)&gt;0,V375+1,0),0)</f>
        <v>0</v>
      </c>
      <c r="X375" s="155">
        <f>IF(X$2&lt;=analysis_period,IF(SUM($C725:X725)&gt;0,W375+1,0),0)</f>
        <v>0</v>
      </c>
      <c r="Y375" s="155">
        <f>IF(Y$2&lt;=analysis_period,IF(SUM($C725:Y725)&gt;0,X375+1,0),0)</f>
        <v>0</v>
      </c>
      <c r="Z375" s="155">
        <f>IF(Z$2&lt;=analysis_period,IF(SUM($C725:Z725)&gt;0,Y375+1,0),0)</f>
        <v>0</v>
      </c>
      <c r="AA375" s="155">
        <f>IF(AA$2&lt;=analysis_period,IF(SUM($C725:AA725)&gt;0,Z375+1,0),0)</f>
        <v>0</v>
      </c>
      <c r="AB375" s="155">
        <f>IF(AB$2&lt;=analysis_period,IF(SUM($C725:AB725)&gt;0,AA375+1,0),0)</f>
        <v>0</v>
      </c>
      <c r="AC375" s="155">
        <f>IF(AC$2&lt;=analysis_period,IF(SUM($C725:AC725)&gt;0,AB375+1,0),0)</f>
        <v>0</v>
      </c>
      <c r="AD375" s="155">
        <f>IF(AD$2&lt;=analysis_period,IF(SUM($C725:AD725)&gt;0,AC375+1,0),0)</f>
        <v>0</v>
      </c>
      <c r="AE375" s="155">
        <f>IF(AE$2&lt;=analysis_period,IF(SUM($C725:AE725)&gt;0,AD375+1,0),0)</f>
        <v>0</v>
      </c>
      <c r="AF375" s="155">
        <f>IF(AF$2&lt;=analysis_period,IF(SUM($C725:AF725)&gt;0,AE375+1,0),0)</f>
        <v>0</v>
      </c>
      <c r="AG375" s="155">
        <f>IF(AG$2&lt;=analysis_period,IF(SUM($C725:AG725)&gt;0,AF375+1,0),0)</f>
        <v>0</v>
      </c>
      <c r="AH375" s="155">
        <f>IF(AH$2&lt;=analysis_period,IF(SUM($C725:AH725)&gt;0,AG375+1,0),0)</f>
        <v>0</v>
      </c>
      <c r="AI375" s="155">
        <f>IF(AI$2&lt;=analysis_period,IF(SUM($C725:AI725)&gt;0,AH375+1,0),0)</f>
        <v>0</v>
      </c>
      <c r="AJ375" s="155">
        <f>IF(AJ$2&lt;=analysis_period,IF(SUM($C725:AJ725)&gt;0,AI375+1,0),0)</f>
        <v>0</v>
      </c>
      <c r="AK375" s="155">
        <f>IF(AK$2&lt;=analysis_period,IF(SUM($C725:AK725)&gt;0,AJ375+1,0),0)</f>
        <v>0</v>
      </c>
      <c r="AL375" s="155">
        <f>IF(AL$2&lt;=analysis_period,IF(SUM($C725:AL725)&gt;0,AK375+1,0),0)</f>
        <v>0</v>
      </c>
      <c r="AM375" s="155">
        <f>IF(AM$2&lt;=analysis_period,IF(SUM($C725:AM725)&gt;0,AL375+1,0),0)</f>
        <v>0</v>
      </c>
      <c r="AN375" s="155">
        <f>IF(AN$2&lt;=analysis_period,IF(SUM($C725:AN725)&gt;0,AM375+1,0),0)</f>
        <v>0</v>
      </c>
      <c r="AO375" s="155">
        <f>IF(AO$2&lt;=analysis_period,IF(SUM($C725:AO725)&gt;0,AN375+1,0),0)</f>
        <v>0</v>
      </c>
      <c r="AP375" s="155">
        <f>IF(AP$2&lt;=analysis_period,IF(SUM($C725:AP725)&gt;0,AO375+1,0),0)</f>
        <v>0</v>
      </c>
    </row>
    <row r="376" spans="1:42" x14ac:dyDescent="0.2">
      <c r="A376" s="4">
        <f t="shared" ref="A376:A383" si="152">A375+1</f>
        <v>3</v>
      </c>
      <c r="B376" s="4">
        <v>0</v>
      </c>
      <c r="C376" s="155">
        <f>IF(C$2&lt;=analysis_period,IF(SUM($C726:C726)&gt;0,B376+1,0),0)</f>
        <v>0</v>
      </c>
      <c r="D376" s="155">
        <f>IF(D$2&lt;=analysis_period,IF(SUM($C726:D726)&gt;0,C376+1,0),0)</f>
        <v>0</v>
      </c>
      <c r="E376" s="155">
        <f>IF(E$2&lt;=analysis_period,IF(SUM($C726:E726)&gt;0,D376+1,0),0)</f>
        <v>0</v>
      </c>
      <c r="F376" s="155">
        <f>IF(F$2&lt;=analysis_period,IF(SUM($C726:F726)&gt;0,E376+1,0),0)</f>
        <v>0</v>
      </c>
      <c r="G376" s="155">
        <f>IF(G$2&lt;=analysis_period,IF(SUM($C726:G726)&gt;0,F376+1,0),0)</f>
        <v>0</v>
      </c>
      <c r="H376" s="155">
        <f>IF(H$2&lt;=analysis_period,IF(SUM($C726:H726)&gt;0,G376+1,0),0)</f>
        <v>0</v>
      </c>
      <c r="I376" s="155">
        <f>IF(I$2&lt;=analysis_period,IF(SUM($C726:I726)&gt;0,H376+1,0),0)</f>
        <v>0</v>
      </c>
      <c r="J376" s="155">
        <f>IF(J$2&lt;=analysis_period,IF(SUM($C726:J726)&gt;0,I376+1,0),0)</f>
        <v>0</v>
      </c>
      <c r="K376" s="155">
        <f>IF(K$2&lt;=analysis_period,IF(SUM($C726:K726)&gt;0,J376+1,0),0)</f>
        <v>0</v>
      </c>
      <c r="L376" s="155">
        <f>IF(L$2&lt;=analysis_period,IF(SUM($C726:L726)&gt;0,K376+1,0),0)</f>
        <v>0</v>
      </c>
      <c r="M376" s="155">
        <f>IF(M$2&lt;=analysis_period,IF(SUM($C726:M726)&gt;0,L376+1,0),0)</f>
        <v>0</v>
      </c>
      <c r="N376" s="155">
        <f>IF(N$2&lt;=analysis_period,IF(SUM($C726:N726)&gt;0,M376+1,0),0)</f>
        <v>0</v>
      </c>
      <c r="O376" s="155">
        <f>IF(O$2&lt;=analysis_period,IF(SUM($C726:O726)&gt;0,N376+1,0),0)</f>
        <v>0</v>
      </c>
      <c r="P376" s="155">
        <f>IF(P$2&lt;=analysis_period,IF(SUM($C726:P726)&gt;0,O376+1,0),0)</f>
        <v>0</v>
      </c>
      <c r="Q376" s="155">
        <f>IF(Q$2&lt;=analysis_period,IF(SUM($C726:Q726)&gt;0,P376+1,0),0)</f>
        <v>0</v>
      </c>
      <c r="R376" s="155">
        <f>IF(R$2&lt;=analysis_period,IF(SUM($C726:R726)&gt;0,Q376+1,0),0)</f>
        <v>0</v>
      </c>
      <c r="S376" s="155">
        <f>IF(S$2&lt;=analysis_period,IF(SUM($C726:S726)&gt;0,R376+1,0),0)</f>
        <v>0</v>
      </c>
      <c r="T376" s="155">
        <f>IF(T$2&lt;=analysis_period,IF(SUM($C726:T726)&gt;0,S376+1,0),0)</f>
        <v>0</v>
      </c>
      <c r="U376" s="155">
        <f>IF(U$2&lt;=analysis_period,IF(SUM($C726:U726)&gt;0,T376+1,0),0)</f>
        <v>0</v>
      </c>
      <c r="V376" s="155">
        <f>IF(V$2&lt;=analysis_period,IF(SUM($C726:V726)&gt;0,U376+1,0),0)</f>
        <v>0</v>
      </c>
      <c r="W376" s="155">
        <f>IF(W$2&lt;=analysis_period,IF(SUM($C726:W726)&gt;0,V376+1,0),0)</f>
        <v>0</v>
      </c>
      <c r="X376" s="155">
        <f>IF(X$2&lt;=analysis_period,IF(SUM($C726:X726)&gt;0,W376+1,0),0)</f>
        <v>0</v>
      </c>
      <c r="Y376" s="155">
        <f>IF(Y$2&lt;=analysis_period,IF(SUM($C726:Y726)&gt;0,X376+1,0),0)</f>
        <v>0</v>
      </c>
      <c r="Z376" s="155">
        <f>IF(Z$2&lt;=analysis_period,IF(SUM($C726:Z726)&gt;0,Y376+1,0),0)</f>
        <v>0</v>
      </c>
      <c r="AA376" s="155">
        <f>IF(AA$2&lt;=analysis_period,IF(SUM($C726:AA726)&gt;0,Z376+1,0),0)</f>
        <v>0</v>
      </c>
      <c r="AB376" s="155">
        <f>IF(AB$2&lt;=analysis_period,IF(SUM($C726:AB726)&gt;0,AA376+1,0),0)</f>
        <v>0</v>
      </c>
      <c r="AC376" s="155">
        <f>IF(AC$2&lt;=analysis_period,IF(SUM($C726:AC726)&gt;0,AB376+1,0),0)</f>
        <v>0</v>
      </c>
      <c r="AD376" s="155">
        <f>IF(AD$2&lt;=analysis_period,IF(SUM($C726:AD726)&gt;0,AC376+1,0),0)</f>
        <v>0</v>
      </c>
      <c r="AE376" s="155">
        <f>IF(AE$2&lt;=analysis_period,IF(SUM($C726:AE726)&gt;0,AD376+1,0),0)</f>
        <v>0</v>
      </c>
      <c r="AF376" s="155">
        <f>IF(AF$2&lt;=analysis_period,IF(SUM($C726:AF726)&gt;0,AE376+1,0),0)</f>
        <v>0</v>
      </c>
      <c r="AG376" s="155">
        <f>IF(AG$2&lt;=analysis_period,IF(SUM($C726:AG726)&gt;0,AF376+1,0),0)</f>
        <v>0</v>
      </c>
      <c r="AH376" s="155">
        <f>IF(AH$2&lt;=analysis_period,IF(SUM($C726:AH726)&gt;0,AG376+1,0),0)</f>
        <v>0</v>
      </c>
      <c r="AI376" s="155">
        <f>IF(AI$2&lt;=analysis_period,IF(SUM($C726:AI726)&gt;0,AH376+1,0),0)</f>
        <v>0</v>
      </c>
      <c r="AJ376" s="155">
        <f>IF(AJ$2&lt;=analysis_period,IF(SUM($C726:AJ726)&gt;0,AI376+1,0),0)</f>
        <v>0</v>
      </c>
      <c r="AK376" s="155">
        <f>IF(AK$2&lt;=analysis_period,IF(SUM($C726:AK726)&gt;0,AJ376+1,0),0)</f>
        <v>0</v>
      </c>
      <c r="AL376" s="155">
        <f>IF(AL$2&lt;=analysis_period,IF(SUM($C726:AL726)&gt;0,AK376+1,0),0)</f>
        <v>0</v>
      </c>
      <c r="AM376" s="155">
        <f>IF(AM$2&lt;=analysis_period,IF(SUM($C726:AM726)&gt;0,AL376+1,0),0)</f>
        <v>0</v>
      </c>
      <c r="AN376" s="155">
        <f>IF(AN$2&lt;=analysis_period,IF(SUM($C726:AN726)&gt;0,AM376+1,0),0)</f>
        <v>0</v>
      </c>
      <c r="AO376" s="155">
        <f>IF(AO$2&lt;=analysis_period,IF(SUM($C726:AO726)&gt;0,AN376+1,0),0)</f>
        <v>0</v>
      </c>
      <c r="AP376" s="155">
        <f>IF(AP$2&lt;=analysis_period,IF(SUM($C726:AP726)&gt;0,AO376+1,0),0)</f>
        <v>0</v>
      </c>
    </row>
    <row r="377" spans="1:42" x14ac:dyDescent="0.2">
      <c r="A377" s="4">
        <f t="shared" si="152"/>
        <v>4</v>
      </c>
      <c r="B377" s="4">
        <v>0</v>
      </c>
      <c r="C377" s="155">
        <f>IF(C$2&lt;=analysis_period,IF(SUM($C727:C727)&gt;0,B377+1,0),0)</f>
        <v>0</v>
      </c>
      <c r="D377" s="155">
        <f>IF(D$2&lt;=analysis_period,IF(SUM($C727:D727)&gt;0,C377+1,0),0)</f>
        <v>0</v>
      </c>
      <c r="E377" s="155">
        <f>IF(E$2&lt;=analysis_period,IF(SUM($C727:E727)&gt;0,D377+1,0),0)</f>
        <v>0</v>
      </c>
      <c r="F377" s="155">
        <f>IF(F$2&lt;=analysis_period,IF(SUM($C727:F727)&gt;0,E377+1,0),0)</f>
        <v>0</v>
      </c>
      <c r="G377" s="155">
        <f>IF(G$2&lt;=analysis_period,IF(SUM($C727:G727)&gt;0,F377+1,0),0)</f>
        <v>0</v>
      </c>
      <c r="H377" s="155">
        <f>IF(H$2&lt;=analysis_period,IF(SUM($C727:H727)&gt;0,G377+1,0),0)</f>
        <v>0</v>
      </c>
      <c r="I377" s="155">
        <f>IF(I$2&lt;=analysis_period,IF(SUM($C727:I727)&gt;0,H377+1,0),0)</f>
        <v>0</v>
      </c>
      <c r="J377" s="155">
        <f>IF(J$2&lt;=analysis_period,IF(SUM($C727:J727)&gt;0,I377+1,0),0)</f>
        <v>0</v>
      </c>
      <c r="K377" s="155">
        <f>IF(K$2&lt;=analysis_period,IF(SUM($C727:K727)&gt;0,J377+1,0),0)</f>
        <v>0</v>
      </c>
      <c r="L377" s="155">
        <f>IF(L$2&lt;=analysis_period,IF(SUM($C727:L727)&gt;0,K377+1,0),0)</f>
        <v>0</v>
      </c>
      <c r="M377" s="155">
        <f>IF(M$2&lt;=analysis_period,IF(SUM($C727:M727)&gt;0,L377+1,0),0)</f>
        <v>0</v>
      </c>
      <c r="N377" s="155">
        <f>IF(N$2&lt;=analysis_period,IF(SUM($C727:N727)&gt;0,M377+1,0),0)</f>
        <v>0</v>
      </c>
      <c r="O377" s="155">
        <f>IF(O$2&lt;=analysis_period,IF(SUM($C727:O727)&gt;0,N377+1,0),0)</f>
        <v>0</v>
      </c>
      <c r="P377" s="155">
        <f>IF(P$2&lt;=analysis_period,IF(SUM($C727:P727)&gt;0,O377+1,0),0)</f>
        <v>0</v>
      </c>
      <c r="Q377" s="155">
        <f>IF(Q$2&lt;=analysis_period,IF(SUM($C727:Q727)&gt;0,P377+1,0),0)</f>
        <v>0</v>
      </c>
      <c r="R377" s="155">
        <f>IF(R$2&lt;=analysis_period,IF(SUM($C727:R727)&gt;0,Q377+1,0),0)</f>
        <v>0</v>
      </c>
      <c r="S377" s="155">
        <f>IF(S$2&lt;=analysis_period,IF(SUM($C727:S727)&gt;0,R377+1,0),0)</f>
        <v>0</v>
      </c>
      <c r="T377" s="155">
        <f>IF(T$2&lt;=analysis_period,IF(SUM($C727:T727)&gt;0,S377+1,0),0)</f>
        <v>0</v>
      </c>
      <c r="U377" s="155">
        <f>IF(U$2&lt;=analysis_period,IF(SUM($C727:U727)&gt;0,T377+1,0),0)</f>
        <v>0</v>
      </c>
      <c r="V377" s="155">
        <f>IF(V$2&lt;=analysis_period,IF(SUM($C727:V727)&gt;0,U377+1,0),0)</f>
        <v>0</v>
      </c>
      <c r="W377" s="155">
        <f>IF(W$2&lt;=analysis_period,IF(SUM($C727:W727)&gt;0,V377+1,0),0)</f>
        <v>0</v>
      </c>
      <c r="X377" s="155">
        <f>IF(X$2&lt;=analysis_period,IF(SUM($C727:X727)&gt;0,W377+1,0),0)</f>
        <v>0</v>
      </c>
      <c r="Y377" s="155">
        <f>IF(Y$2&lt;=analysis_period,IF(SUM($C727:Y727)&gt;0,X377+1,0),0)</f>
        <v>0</v>
      </c>
      <c r="Z377" s="155">
        <f>IF(Z$2&lt;=analysis_period,IF(SUM($C727:Z727)&gt;0,Y377+1,0),0)</f>
        <v>0</v>
      </c>
      <c r="AA377" s="155">
        <f>IF(AA$2&lt;=analysis_period,IF(SUM($C727:AA727)&gt;0,Z377+1,0),0)</f>
        <v>0</v>
      </c>
      <c r="AB377" s="155">
        <f>IF(AB$2&lt;=analysis_period,IF(SUM($C727:AB727)&gt;0,AA377+1,0),0)</f>
        <v>0</v>
      </c>
      <c r="AC377" s="155">
        <f>IF(AC$2&lt;=analysis_period,IF(SUM($C727:AC727)&gt;0,AB377+1,0),0)</f>
        <v>0</v>
      </c>
      <c r="AD377" s="155">
        <f>IF(AD$2&lt;=analysis_period,IF(SUM($C727:AD727)&gt;0,AC377+1,0),0)</f>
        <v>0</v>
      </c>
      <c r="AE377" s="155">
        <f>IF(AE$2&lt;=analysis_period,IF(SUM($C727:AE727)&gt;0,AD377+1,0),0)</f>
        <v>0</v>
      </c>
      <c r="AF377" s="155">
        <f>IF(AF$2&lt;=analysis_period,IF(SUM($C727:AF727)&gt;0,AE377+1,0),0)</f>
        <v>0</v>
      </c>
      <c r="AG377" s="155">
        <f>IF(AG$2&lt;=analysis_period,IF(SUM($C727:AG727)&gt;0,AF377+1,0),0)</f>
        <v>0</v>
      </c>
      <c r="AH377" s="155">
        <f>IF(AH$2&lt;=analysis_period,IF(SUM($C727:AH727)&gt;0,AG377+1,0),0)</f>
        <v>0</v>
      </c>
      <c r="AI377" s="155">
        <f>IF(AI$2&lt;=analysis_period,IF(SUM($C727:AI727)&gt;0,AH377+1,0),0)</f>
        <v>0</v>
      </c>
      <c r="AJ377" s="155">
        <f>IF(AJ$2&lt;=analysis_period,IF(SUM($C727:AJ727)&gt;0,AI377+1,0),0)</f>
        <v>0</v>
      </c>
      <c r="AK377" s="155">
        <f>IF(AK$2&lt;=analysis_period,IF(SUM($C727:AK727)&gt;0,AJ377+1,0),0)</f>
        <v>0</v>
      </c>
      <c r="AL377" s="155">
        <f>IF(AL$2&lt;=analysis_period,IF(SUM($C727:AL727)&gt;0,AK377+1,0),0)</f>
        <v>0</v>
      </c>
      <c r="AM377" s="155">
        <f>IF(AM$2&lt;=analysis_period,IF(SUM($C727:AM727)&gt;0,AL377+1,0),0)</f>
        <v>0</v>
      </c>
      <c r="AN377" s="155">
        <f>IF(AN$2&lt;=analysis_period,IF(SUM($C727:AN727)&gt;0,AM377+1,0),0)</f>
        <v>0</v>
      </c>
      <c r="AO377" s="155">
        <f>IF(AO$2&lt;=analysis_period,IF(SUM($C727:AO727)&gt;0,AN377+1,0),0)</f>
        <v>0</v>
      </c>
      <c r="AP377" s="155">
        <f>IF(AP$2&lt;=analysis_period,IF(SUM($C727:AP727)&gt;0,AO377+1,0),0)</f>
        <v>0</v>
      </c>
    </row>
    <row r="378" spans="1:42" x14ac:dyDescent="0.2">
      <c r="A378" s="4">
        <f t="shared" si="152"/>
        <v>5</v>
      </c>
      <c r="B378" s="4">
        <v>0</v>
      </c>
      <c r="C378" s="155">
        <f>IF(C$2&lt;=analysis_period,IF(SUM($C728:C728)&gt;0,B378+1,0),0)</f>
        <v>0</v>
      </c>
      <c r="D378" s="155">
        <f>IF(D$2&lt;=analysis_period,IF(SUM($C728:D728)&gt;0,C378+1,0),0)</f>
        <v>0</v>
      </c>
      <c r="E378" s="155">
        <f>IF(E$2&lt;=analysis_period,IF(SUM($C728:E728)&gt;0,D378+1,0),0)</f>
        <v>0</v>
      </c>
      <c r="F378" s="155">
        <f>IF(F$2&lt;=analysis_period,IF(SUM($C728:F728)&gt;0,E378+1,0),0)</f>
        <v>0</v>
      </c>
      <c r="G378" s="155">
        <f>IF(G$2&lt;=analysis_period,IF(SUM($C728:G728)&gt;0,F378+1,0),0)</f>
        <v>0</v>
      </c>
      <c r="H378" s="155">
        <f>IF(H$2&lt;=analysis_period,IF(SUM($C728:H728)&gt;0,G378+1,0),0)</f>
        <v>0</v>
      </c>
      <c r="I378" s="155">
        <f>IF(I$2&lt;=analysis_period,IF(SUM($C728:I728)&gt;0,H378+1,0),0)</f>
        <v>0</v>
      </c>
      <c r="J378" s="155">
        <f>IF(J$2&lt;=analysis_period,IF(SUM($C728:J728)&gt;0,I378+1,0),0)</f>
        <v>0</v>
      </c>
      <c r="K378" s="155">
        <f>IF(K$2&lt;=analysis_period,IF(SUM($C728:K728)&gt;0,J378+1,0),0)</f>
        <v>0</v>
      </c>
      <c r="L378" s="155">
        <f>IF(L$2&lt;=analysis_period,IF(SUM($C728:L728)&gt;0,K378+1,0),0)</f>
        <v>0</v>
      </c>
      <c r="M378" s="155">
        <f>IF(M$2&lt;=analysis_period,IF(SUM($C728:M728)&gt;0,L378+1,0),0)</f>
        <v>0</v>
      </c>
      <c r="N378" s="155">
        <f>IF(N$2&lt;=analysis_period,IF(SUM($C728:N728)&gt;0,M378+1,0),0)</f>
        <v>0</v>
      </c>
      <c r="O378" s="155">
        <f>IF(O$2&lt;=analysis_period,IF(SUM($C728:O728)&gt;0,N378+1,0),0)</f>
        <v>0</v>
      </c>
      <c r="P378" s="155">
        <f>IF(P$2&lt;=analysis_period,IF(SUM($C728:P728)&gt;0,O378+1,0),0)</f>
        <v>0</v>
      </c>
      <c r="Q378" s="155">
        <f>IF(Q$2&lt;=analysis_period,IF(SUM($C728:Q728)&gt;0,P378+1,0),0)</f>
        <v>0</v>
      </c>
      <c r="R378" s="155">
        <f>IF(R$2&lt;=analysis_period,IF(SUM($C728:R728)&gt;0,Q378+1,0),0)</f>
        <v>0</v>
      </c>
      <c r="S378" s="155">
        <f>IF(S$2&lt;=analysis_period,IF(SUM($C728:S728)&gt;0,R378+1,0),0)</f>
        <v>0</v>
      </c>
      <c r="T378" s="155">
        <f>IF(T$2&lt;=analysis_period,IF(SUM($C728:T728)&gt;0,S378+1,0),0)</f>
        <v>0</v>
      </c>
      <c r="U378" s="155">
        <f>IF(U$2&lt;=analysis_period,IF(SUM($C728:U728)&gt;0,T378+1,0),0)</f>
        <v>0</v>
      </c>
      <c r="V378" s="155">
        <f>IF(V$2&lt;=analysis_period,IF(SUM($C728:V728)&gt;0,U378+1,0),0)</f>
        <v>0</v>
      </c>
      <c r="W378" s="155">
        <f>IF(W$2&lt;=analysis_period,IF(SUM($C728:W728)&gt;0,V378+1,0),0)</f>
        <v>0</v>
      </c>
      <c r="X378" s="155">
        <f>IF(X$2&lt;=analysis_period,IF(SUM($C728:X728)&gt;0,W378+1,0),0)</f>
        <v>0</v>
      </c>
      <c r="Y378" s="155">
        <f>IF(Y$2&lt;=analysis_period,IF(SUM($C728:Y728)&gt;0,X378+1,0),0)</f>
        <v>0</v>
      </c>
      <c r="Z378" s="155">
        <f>IF(Z$2&lt;=analysis_period,IF(SUM($C728:Z728)&gt;0,Y378+1,0),0)</f>
        <v>0</v>
      </c>
      <c r="AA378" s="155">
        <f>IF(AA$2&lt;=analysis_period,IF(SUM($C728:AA728)&gt;0,Z378+1,0),0)</f>
        <v>0</v>
      </c>
      <c r="AB378" s="155">
        <f>IF(AB$2&lt;=analysis_period,IF(SUM($C728:AB728)&gt;0,AA378+1,0),0)</f>
        <v>0</v>
      </c>
      <c r="AC378" s="155">
        <f>IF(AC$2&lt;=analysis_period,IF(SUM($C728:AC728)&gt;0,AB378+1,0),0)</f>
        <v>0</v>
      </c>
      <c r="AD378" s="155">
        <f>IF(AD$2&lt;=analysis_period,IF(SUM($C728:AD728)&gt;0,AC378+1,0),0)</f>
        <v>0</v>
      </c>
      <c r="AE378" s="155">
        <f>IF(AE$2&lt;=analysis_period,IF(SUM($C728:AE728)&gt;0,AD378+1,0),0)</f>
        <v>0</v>
      </c>
      <c r="AF378" s="155">
        <f>IF(AF$2&lt;=analysis_period,IF(SUM($C728:AF728)&gt;0,AE378+1,0),0)</f>
        <v>0</v>
      </c>
      <c r="AG378" s="155">
        <f>IF(AG$2&lt;=analysis_period,IF(SUM($C728:AG728)&gt;0,AF378+1,0),0)</f>
        <v>0</v>
      </c>
      <c r="AH378" s="155">
        <f>IF(AH$2&lt;=analysis_period,IF(SUM($C728:AH728)&gt;0,AG378+1,0),0)</f>
        <v>0</v>
      </c>
      <c r="AI378" s="155">
        <f>IF(AI$2&lt;=analysis_period,IF(SUM($C728:AI728)&gt;0,AH378+1,0),0)</f>
        <v>0</v>
      </c>
      <c r="AJ378" s="155">
        <f>IF(AJ$2&lt;=analysis_period,IF(SUM($C728:AJ728)&gt;0,AI378+1,0),0)</f>
        <v>0</v>
      </c>
      <c r="AK378" s="155">
        <f>IF(AK$2&lt;=analysis_period,IF(SUM($C728:AK728)&gt;0,AJ378+1,0),0)</f>
        <v>0</v>
      </c>
      <c r="AL378" s="155">
        <f>IF(AL$2&lt;=analysis_period,IF(SUM($C728:AL728)&gt;0,AK378+1,0),0)</f>
        <v>0</v>
      </c>
      <c r="AM378" s="155">
        <f>IF(AM$2&lt;=analysis_period,IF(SUM($C728:AM728)&gt;0,AL378+1,0),0)</f>
        <v>0</v>
      </c>
      <c r="AN378" s="155">
        <f>IF(AN$2&lt;=analysis_period,IF(SUM($C728:AN728)&gt;0,AM378+1,0),0)</f>
        <v>0</v>
      </c>
      <c r="AO378" s="155">
        <f>IF(AO$2&lt;=analysis_period,IF(SUM($C728:AO728)&gt;0,AN378+1,0),0)</f>
        <v>0</v>
      </c>
      <c r="AP378" s="155">
        <f>IF(AP$2&lt;=analysis_period,IF(SUM($C728:AP728)&gt;0,AO378+1,0),0)</f>
        <v>0</v>
      </c>
    </row>
    <row r="379" spans="1:42" x14ac:dyDescent="0.2">
      <c r="A379" s="4">
        <f t="shared" si="152"/>
        <v>6</v>
      </c>
      <c r="B379" s="4">
        <v>0</v>
      </c>
      <c r="C379" s="155">
        <f>IF(C$2&lt;=analysis_period,IF(SUM($C729:C729)&gt;0,B379+1,0),0)</f>
        <v>0</v>
      </c>
      <c r="D379" s="155">
        <f>IF(D$2&lt;=analysis_period,IF(SUM($C729:D729)&gt;0,C379+1,0),0)</f>
        <v>0</v>
      </c>
      <c r="E379" s="155">
        <f>IF(E$2&lt;=analysis_period,IF(SUM($C729:E729)&gt;0,D379+1,0),0)</f>
        <v>0</v>
      </c>
      <c r="F379" s="155">
        <f>IF(F$2&lt;=analysis_period,IF(SUM($C729:F729)&gt;0,E379+1,0),0)</f>
        <v>0</v>
      </c>
      <c r="G379" s="155">
        <f>IF(G$2&lt;=analysis_period,IF(SUM($C729:G729)&gt;0,F379+1,0),0)</f>
        <v>0</v>
      </c>
      <c r="H379" s="155">
        <f>IF(H$2&lt;=analysis_period,IF(SUM($C729:H729)&gt;0,G379+1,0),0)</f>
        <v>0</v>
      </c>
      <c r="I379" s="155">
        <f>IF(I$2&lt;=analysis_period,IF(SUM($C729:I729)&gt;0,H379+1,0),0)</f>
        <v>0</v>
      </c>
      <c r="J379" s="155">
        <f>IF(J$2&lt;=analysis_period,IF(SUM($C729:J729)&gt;0,I379+1,0),0)</f>
        <v>0</v>
      </c>
      <c r="K379" s="155">
        <f>IF(K$2&lt;=analysis_period,IF(SUM($C729:K729)&gt;0,J379+1,0),0)</f>
        <v>0</v>
      </c>
      <c r="L379" s="155">
        <f>IF(L$2&lt;=analysis_period,IF(SUM($C729:L729)&gt;0,K379+1,0),0)</f>
        <v>0</v>
      </c>
      <c r="M379" s="155">
        <f>IF(M$2&lt;=analysis_period,IF(SUM($C729:M729)&gt;0,L379+1,0),0)</f>
        <v>0</v>
      </c>
      <c r="N379" s="155">
        <f>IF(N$2&lt;=analysis_period,IF(SUM($C729:N729)&gt;0,M379+1,0),0)</f>
        <v>0</v>
      </c>
      <c r="O379" s="155">
        <f>IF(O$2&lt;=analysis_period,IF(SUM($C729:O729)&gt;0,N379+1,0),0)</f>
        <v>0</v>
      </c>
      <c r="P379" s="155">
        <f>IF(P$2&lt;=analysis_period,IF(SUM($C729:P729)&gt;0,O379+1,0),0)</f>
        <v>0</v>
      </c>
      <c r="Q379" s="155">
        <f>IF(Q$2&lt;=analysis_period,IF(SUM($C729:Q729)&gt;0,P379+1,0),0)</f>
        <v>0</v>
      </c>
      <c r="R379" s="155">
        <f>IF(R$2&lt;=analysis_period,IF(SUM($C729:R729)&gt;0,Q379+1,0),0)</f>
        <v>0</v>
      </c>
      <c r="S379" s="155">
        <f>IF(S$2&lt;=analysis_period,IF(SUM($C729:S729)&gt;0,R379+1,0),0)</f>
        <v>0</v>
      </c>
      <c r="T379" s="155">
        <f>IF(T$2&lt;=analysis_period,IF(SUM($C729:T729)&gt;0,S379+1,0),0)</f>
        <v>0</v>
      </c>
      <c r="U379" s="155">
        <f>IF(U$2&lt;=analysis_period,IF(SUM($C729:U729)&gt;0,T379+1,0),0)</f>
        <v>0</v>
      </c>
      <c r="V379" s="155">
        <f>IF(V$2&lt;=analysis_period,IF(SUM($C729:V729)&gt;0,U379+1,0),0)</f>
        <v>0</v>
      </c>
      <c r="W379" s="155">
        <f>IF(W$2&lt;=analysis_period,IF(SUM($C729:W729)&gt;0,V379+1,0),0)</f>
        <v>0</v>
      </c>
      <c r="X379" s="155">
        <f>IF(X$2&lt;=analysis_period,IF(SUM($C729:X729)&gt;0,W379+1,0),0)</f>
        <v>0</v>
      </c>
      <c r="Y379" s="155">
        <f>IF(Y$2&lt;=analysis_period,IF(SUM($C729:Y729)&gt;0,X379+1,0),0)</f>
        <v>0</v>
      </c>
      <c r="Z379" s="155">
        <f>IF(Z$2&lt;=analysis_period,IF(SUM($C729:Z729)&gt;0,Y379+1,0),0)</f>
        <v>0</v>
      </c>
      <c r="AA379" s="155">
        <f>IF(AA$2&lt;=analysis_period,IF(SUM($C729:AA729)&gt;0,Z379+1,0),0)</f>
        <v>0</v>
      </c>
      <c r="AB379" s="155">
        <f>IF(AB$2&lt;=analysis_period,IF(SUM($C729:AB729)&gt;0,AA379+1,0),0)</f>
        <v>0</v>
      </c>
      <c r="AC379" s="155">
        <f>IF(AC$2&lt;=analysis_period,IF(SUM($C729:AC729)&gt;0,AB379+1,0),0)</f>
        <v>0</v>
      </c>
      <c r="AD379" s="155">
        <f>IF(AD$2&lt;=analysis_period,IF(SUM($C729:AD729)&gt;0,AC379+1,0),0)</f>
        <v>0</v>
      </c>
      <c r="AE379" s="155">
        <f>IF(AE$2&lt;=analysis_period,IF(SUM($C729:AE729)&gt;0,AD379+1,0),0)</f>
        <v>0</v>
      </c>
      <c r="AF379" s="155">
        <f>IF(AF$2&lt;=analysis_period,IF(SUM($C729:AF729)&gt;0,AE379+1,0),0)</f>
        <v>0</v>
      </c>
      <c r="AG379" s="155">
        <f>IF(AG$2&lt;=analysis_period,IF(SUM($C729:AG729)&gt;0,AF379+1,0),0)</f>
        <v>0</v>
      </c>
      <c r="AH379" s="155">
        <f>IF(AH$2&lt;=analysis_period,IF(SUM($C729:AH729)&gt;0,AG379+1,0),0)</f>
        <v>0</v>
      </c>
      <c r="AI379" s="155">
        <f>IF(AI$2&lt;=analysis_period,IF(SUM($C729:AI729)&gt;0,AH379+1,0),0)</f>
        <v>0</v>
      </c>
      <c r="AJ379" s="155">
        <f>IF(AJ$2&lt;=analysis_period,IF(SUM($C729:AJ729)&gt;0,AI379+1,0),0)</f>
        <v>0</v>
      </c>
      <c r="AK379" s="155">
        <f>IF(AK$2&lt;=analysis_period,IF(SUM($C729:AK729)&gt;0,AJ379+1,0),0)</f>
        <v>0</v>
      </c>
      <c r="AL379" s="155">
        <f>IF(AL$2&lt;=analysis_period,IF(SUM($C729:AL729)&gt;0,AK379+1,0),0)</f>
        <v>0</v>
      </c>
      <c r="AM379" s="155">
        <f>IF(AM$2&lt;=analysis_period,IF(SUM($C729:AM729)&gt;0,AL379+1,0),0)</f>
        <v>0</v>
      </c>
      <c r="AN379" s="155">
        <f>IF(AN$2&lt;=analysis_period,IF(SUM($C729:AN729)&gt;0,AM379+1,0),0)</f>
        <v>0</v>
      </c>
      <c r="AO379" s="155">
        <f>IF(AO$2&lt;=analysis_period,IF(SUM($C729:AO729)&gt;0,AN379+1,0),0)</f>
        <v>0</v>
      </c>
      <c r="AP379" s="155">
        <f>IF(AP$2&lt;=analysis_period,IF(SUM($C729:AP729)&gt;0,AO379+1,0),0)</f>
        <v>0</v>
      </c>
    </row>
    <row r="380" spans="1:42" x14ac:dyDescent="0.2">
      <c r="A380" s="4">
        <f t="shared" si="152"/>
        <v>7</v>
      </c>
      <c r="B380" s="4">
        <v>0</v>
      </c>
      <c r="C380" s="155">
        <f>IF(C$2&lt;=analysis_period,IF(SUM($C730:C730)&gt;0,B380+1,0),0)</f>
        <v>0</v>
      </c>
      <c r="D380" s="155">
        <f>IF(D$2&lt;=analysis_period,IF(SUM($C730:D730)&gt;0,C380+1,0),0)</f>
        <v>0</v>
      </c>
      <c r="E380" s="155">
        <f>IF(E$2&lt;=analysis_period,IF(SUM($C730:E730)&gt;0,D380+1,0),0)</f>
        <v>0</v>
      </c>
      <c r="F380" s="155">
        <f>IF(F$2&lt;=analysis_period,IF(SUM($C730:F730)&gt;0,E380+1,0),0)</f>
        <v>0</v>
      </c>
      <c r="G380" s="155">
        <f>IF(G$2&lt;=analysis_period,IF(SUM($C730:G730)&gt;0,F380+1,0),0)</f>
        <v>0</v>
      </c>
      <c r="H380" s="155">
        <f>IF(H$2&lt;=analysis_period,IF(SUM($C730:H730)&gt;0,G380+1,0),0)</f>
        <v>0</v>
      </c>
      <c r="I380" s="155">
        <f>IF(I$2&lt;=analysis_period,IF(SUM($C730:I730)&gt;0,H380+1,0),0)</f>
        <v>0</v>
      </c>
      <c r="J380" s="155">
        <f>IF(J$2&lt;=analysis_period,IF(SUM($C730:J730)&gt;0,I380+1,0),0)</f>
        <v>0</v>
      </c>
      <c r="K380" s="155">
        <f>IF(K$2&lt;=analysis_period,IF(SUM($C730:K730)&gt;0,J380+1,0),0)</f>
        <v>0</v>
      </c>
      <c r="L380" s="155">
        <f>IF(L$2&lt;=analysis_period,IF(SUM($C730:L730)&gt;0,K380+1,0),0)</f>
        <v>0</v>
      </c>
      <c r="M380" s="155">
        <f>IF(M$2&lt;=analysis_period,IF(SUM($C730:M730)&gt;0,L380+1,0),0)</f>
        <v>0</v>
      </c>
      <c r="N380" s="155">
        <f>IF(N$2&lt;=analysis_period,IF(SUM($C730:N730)&gt;0,M380+1,0),0)</f>
        <v>0</v>
      </c>
      <c r="O380" s="155">
        <f>IF(O$2&lt;=analysis_period,IF(SUM($C730:O730)&gt;0,N380+1,0),0)</f>
        <v>0</v>
      </c>
      <c r="P380" s="155">
        <f>IF(P$2&lt;=analysis_period,IF(SUM($C730:P730)&gt;0,O380+1,0),0)</f>
        <v>0</v>
      </c>
      <c r="Q380" s="155">
        <f>IF(Q$2&lt;=analysis_period,IF(SUM($C730:Q730)&gt;0,P380+1,0),0)</f>
        <v>0</v>
      </c>
      <c r="R380" s="155">
        <f>IF(R$2&lt;=analysis_period,IF(SUM($C730:R730)&gt;0,Q380+1,0),0)</f>
        <v>0</v>
      </c>
      <c r="S380" s="155">
        <f>IF(S$2&lt;=analysis_period,IF(SUM($C730:S730)&gt;0,R380+1,0),0)</f>
        <v>0</v>
      </c>
      <c r="T380" s="155">
        <f>IF(T$2&lt;=analysis_period,IF(SUM($C730:T730)&gt;0,S380+1,0),0)</f>
        <v>0</v>
      </c>
      <c r="U380" s="155">
        <f>IF(U$2&lt;=analysis_period,IF(SUM($C730:U730)&gt;0,T380+1,0),0)</f>
        <v>0</v>
      </c>
      <c r="V380" s="155">
        <f>IF(V$2&lt;=analysis_period,IF(SUM($C730:V730)&gt;0,U380+1,0),0)</f>
        <v>0</v>
      </c>
      <c r="W380" s="155">
        <f>IF(W$2&lt;=analysis_period,IF(SUM($C730:W730)&gt;0,V380+1,0),0)</f>
        <v>0</v>
      </c>
      <c r="X380" s="155">
        <f>IF(X$2&lt;=analysis_period,IF(SUM($C730:X730)&gt;0,W380+1,0),0)</f>
        <v>0</v>
      </c>
      <c r="Y380" s="155">
        <f>IF(Y$2&lt;=analysis_period,IF(SUM($C730:Y730)&gt;0,X380+1,0),0)</f>
        <v>0</v>
      </c>
      <c r="Z380" s="155">
        <f>IF(Z$2&lt;=analysis_period,IF(SUM($C730:Z730)&gt;0,Y380+1,0),0)</f>
        <v>0</v>
      </c>
      <c r="AA380" s="155">
        <f>IF(AA$2&lt;=analysis_period,IF(SUM($C730:AA730)&gt;0,Z380+1,0),0)</f>
        <v>0</v>
      </c>
      <c r="AB380" s="155">
        <f>IF(AB$2&lt;=analysis_period,IF(SUM($C730:AB730)&gt;0,AA380+1,0),0)</f>
        <v>0</v>
      </c>
      <c r="AC380" s="155">
        <f>IF(AC$2&lt;=analysis_period,IF(SUM($C730:AC730)&gt;0,AB380+1,0),0)</f>
        <v>0</v>
      </c>
      <c r="AD380" s="155">
        <f>IF(AD$2&lt;=analysis_period,IF(SUM($C730:AD730)&gt;0,AC380+1,0),0)</f>
        <v>0</v>
      </c>
      <c r="AE380" s="155">
        <f>IF(AE$2&lt;=analysis_period,IF(SUM($C730:AE730)&gt;0,AD380+1,0),0)</f>
        <v>0</v>
      </c>
      <c r="AF380" s="155">
        <f>IF(AF$2&lt;=analysis_period,IF(SUM($C730:AF730)&gt;0,AE380+1,0),0)</f>
        <v>0</v>
      </c>
      <c r="AG380" s="155">
        <f>IF(AG$2&lt;=analysis_period,IF(SUM($C730:AG730)&gt;0,AF380+1,0),0)</f>
        <v>0</v>
      </c>
      <c r="AH380" s="155">
        <f>IF(AH$2&lt;=analysis_period,IF(SUM($C730:AH730)&gt;0,AG380+1,0),0)</f>
        <v>0</v>
      </c>
      <c r="AI380" s="155">
        <f>IF(AI$2&lt;=analysis_period,IF(SUM($C730:AI730)&gt;0,AH380+1,0),0)</f>
        <v>0</v>
      </c>
      <c r="AJ380" s="155">
        <f>IF(AJ$2&lt;=analysis_period,IF(SUM($C730:AJ730)&gt;0,AI380+1,0),0)</f>
        <v>0</v>
      </c>
      <c r="AK380" s="155">
        <f>IF(AK$2&lt;=analysis_period,IF(SUM($C730:AK730)&gt;0,AJ380+1,0),0)</f>
        <v>0</v>
      </c>
      <c r="AL380" s="155">
        <f>IF(AL$2&lt;=analysis_period,IF(SUM($C730:AL730)&gt;0,AK380+1,0),0)</f>
        <v>0</v>
      </c>
      <c r="AM380" s="155">
        <f>IF(AM$2&lt;=analysis_period,IF(SUM($C730:AM730)&gt;0,AL380+1,0),0)</f>
        <v>0</v>
      </c>
      <c r="AN380" s="155">
        <f>IF(AN$2&lt;=analysis_period,IF(SUM($C730:AN730)&gt;0,AM380+1,0),0)</f>
        <v>0</v>
      </c>
      <c r="AO380" s="155">
        <f>IF(AO$2&lt;=analysis_period,IF(SUM($C730:AO730)&gt;0,AN380+1,0),0)</f>
        <v>0</v>
      </c>
      <c r="AP380" s="155">
        <f>IF(AP$2&lt;=analysis_period,IF(SUM($C730:AP730)&gt;0,AO380+1,0),0)</f>
        <v>0</v>
      </c>
    </row>
    <row r="381" spans="1:42" x14ac:dyDescent="0.2">
      <c r="A381" s="4">
        <f t="shared" si="152"/>
        <v>8</v>
      </c>
      <c r="B381" s="4">
        <v>0</v>
      </c>
      <c r="C381" s="155">
        <f>IF(C$2&lt;=analysis_period,IF(SUM($C731:C731)&gt;0,B381+1,0),0)</f>
        <v>0</v>
      </c>
      <c r="D381" s="155">
        <f>IF(D$2&lt;=analysis_period,IF(SUM($C731:D731)&gt;0,C381+1,0),0)</f>
        <v>0</v>
      </c>
      <c r="E381" s="155">
        <f>IF(E$2&lt;=analysis_period,IF(SUM($C731:E731)&gt;0,D381+1,0),0)</f>
        <v>0</v>
      </c>
      <c r="F381" s="155">
        <f>IF(F$2&lt;=analysis_period,IF(SUM($C731:F731)&gt;0,E381+1,0),0)</f>
        <v>0</v>
      </c>
      <c r="G381" s="155">
        <f>IF(G$2&lt;=analysis_period,IF(SUM($C731:G731)&gt;0,F381+1,0),0)</f>
        <v>0</v>
      </c>
      <c r="H381" s="155">
        <f>IF(H$2&lt;=analysis_period,IF(SUM($C731:H731)&gt;0,G381+1,0),0)</f>
        <v>0</v>
      </c>
      <c r="I381" s="155">
        <f>IF(I$2&lt;=analysis_period,IF(SUM($C731:I731)&gt;0,H381+1,0),0)</f>
        <v>0</v>
      </c>
      <c r="J381" s="155">
        <f>IF(J$2&lt;=analysis_period,IF(SUM($C731:J731)&gt;0,I381+1,0),0)</f>
        <v>0</v>
      </c>
      <c r="K381" s="155">
        <f>IF(K$2&lt;=analysis_period,IF(SUM($C731:K731)&gt;0,J381+1,0),0)</f>
        <v>0</v>
      </c>
      <c r="L381" s="155">
        <f>IF(L$2&lt;=analysis_period,IF(SUM($C731:L731)&gt;0,K381+1,0),0)</f>
        <v>0</v>
      </c>
      <c r="M381" s="155">
        <f>IF(M$2&lt;=analysis_period,IF(SUM($C731:M731)&gt;0,L381+1,0),0)</f>
        <v>0</v>
      </c>
      <c r="N381" s="155">
        <f>IF(N$2&lt;=analysis_period,IF(SUM($C731:N731)&gt;0,M381+1,0),0)</f>
        <v>0</v>
      </c>
      <c r="O381" s="155">
        <f>IF(O$2&lt;=analysis_period,IF(SUM($C731:O731)&gt;0,N381+1,0),0)</f>
        <v>0</v>
      </c>
      <c r="P381" s="155">
        <f>IF(P$2&lt;=analysis_period,IF(SUM($C731:P731)&gt;0,O381+1,0),0)</f>
        <v>0</v>
      </c>
      <c r="Q381" s="155">
        <f>IF(Q$2&lt;=analysis_period,IF(SUM($C731:Q731)&gt;0,P381+1,0),0)</f>
        <v>0</v>
      </c>
      <c r="R381" s="155">
        <f>IF(R$2&lt;=analysis_period,IF(SUM($C731:R731)&gt;0,Q381+1,0),0)</f>
        <v>0</v>
      </c>
      <c r="S381" s="155">
        <f>IF(S$2&lt;=analysis_period,IF(SUM($C731:S731)&gt;0,R381+1,0),0)</f>
        <v>0</v>
      </c>
      <c r="T381" s="155">
        <f>IF(T$2&lt;=analysis_period,IF(SUM($C731:T731)&gt;0,S381+1,0),0)</f>
        <v>0</v>
      </c>
      <c r="U381" s="155">
        <f>IF(U$2&lt;=analysis_period,IF(SUM($C731:U731)&gt;0,T381+1,0),0)</f>
        <v>0</v>
      </c>
      <c r="V381" s="155">
        <f>IF(V$2&lt;=analysis_period,IF(SUM($C731:V731)&gt;0,U381+1,0),0)</f>
        <v>0</v>
      </c>
      <c r="W381" s="155">
        <f>IF(W$2&lt;=analysis_period,IF(SUM($C731:W731)&gt;0,V381+1,0),0)</f>
        <v>0</v>
      </c>
      <c r="X381" s="155">
        <f>IF(X$2&lt;=analysis_period,IF(SUM($C731:X731)&gt;0,W381+1,0),0)</f>
        <v>0</v>
      </c>
      <c r="Y381" s="155">
        <f>IF(Y$2&lt;=analysis_period,IF(SUM($C731:Y731)&gt;0,X381+1,0),0)</f>
        <v>0</v>
      </c>
      <c r="Z381" s="155">
        <f>IF(Z$2&lt;=analysis_period,IF(SUM($C731:Z731)&gt;0,Y381+1,0),0)</f>
        <v>0</v>
      </c>
      <c r="AA381" s="155">
        <f>IF(AA$2&lt;=analysis_period,IF(SUM($C731:AA731)&gt;0,Z381+1,0),0)</f>
        <v>0</v>
      </c>
      <c r="AB381" s="155">
        <f>IF(AB$2&lt;=analysis_period,IF(SUM($C731:AB731)&gt;0,AA381+1,0),0)</f>
        <v>0</v>
      </c>
      <c r="AC381" s="155">
        <f>IF(AC$2&lt;=analysis_period,IF(SUM($C731:AC731)&gt;0,AB381+1,0),0)</f>
        <v>0</v>
      </c>
      <c r="AD381" s="155">
        <f>IF(AD$2&lt;=analysis_period,IF(SUM($C731:AD731)&gt;0,AC381+1,0),0)</f>
        <v>0</v>
      </c>
      <c r="AE381" s="155">
        <f>IF(AE$2&lt;=analysis_period,IF(SUM($C731:AE731)&gt;0,AD381+1,0),0)</f>
        <v>0</v>
      </c>
      <c r="AF381" s="155">
        <f>IF(AF$2&lt;=analysis_period,IF(SUM($C731:AF731)&gt;0,AE381+1,0),0)</f>
        <v>0</v>
      </c>
      <c r="AG381" s="155">
        <f>IF(AG$2&lt;=analysis_period,IF(SUM($C731:AG731)&gt;0,AF381+1,0),0)</f>
        <v>0</v>
      </c>
      <c r="AH381" s="155">
        <f>IF(AH$2&lt;=analysis_period,IF(SUM($C731:AH731)&gt;0,AG381+1,0),0)</f>
        <v>0</v>
      </c>
      <c r="AI381" s="155">
        <f>IF(AI$2&lt;=analysis_period,IF(SUM($C731:AI731)&gt;0,AH381+1,0),0)</f>
        <v>0</v>
      </c>
      <c r="AJ381" s="155">
        <f>IF(AJ$2&lt;=analysis_period,IF(SUM($C731:AJ731)&gt;0,AI381+1,0),0)</f>
        <v>0</v>
      </c>
      <c r="AK381" s="155">
        <f>IF(AK$2&lt;=analysis_period,IF(SUM($C731:AK731)&gt;0,AJ381+1,0),0)</f>
        <v>0</v>
      </c>
      <c r="AL381" s="155">
        <f>IF(AL$2&lt;=analysis_period,IF(SUM($C731:AL731)&gt;0,AK381+1,0),0)</f>
        <v>0</v>
      </c>
      <c r="AM381" s="155">
        <f>IF(AM$2&lt;=analysis_period,IF(SUM($C731:AM731)&gt;0,AL381+1,0),0)</f>
        <v>0</v>
      </c>
      <c r="AN381" s="155">
        <f>IF(AN$2&lt;=analysis_period,IF(SUM($C731:AN731)&gt;0,AM381+1,0),0)</f>
        <v>0</v>
      </c>
      <c r="AO381" s="155">
        <f>IF(AO$2&lt;=analysis_period,IF(SUM($C731:AO731)&gt;0,AN381+1,0),0)</f>
        <v>0</v>
      </c>
      <c r="AP381" s="155">
        <f>IF(AP$2&lt;=analysis_period,IF(SUM($C731:AP731)&gt;0,AO381+1,0),0)</f>
        <v>0</v>
      </c>
    </row>
    <row r="382" spans="1:42" x14ac:dyDescent="0.2">
      <c r="A382" s="4">
        <f>A381+1</f>
        <v>9</v>
      </c>
      <c r="B382" s="4">
        <v>0</v>
      </c>
      <c r="C382" s="155">
        <f>IF(C$2&lt;=analysis_period,IF(SUM($C732:C732)&gt;0,B382+1,0),0)</f>
        <v>0</v>
      </c>
      <c r="D382" s="155">
        <f>IF(D$2&lt;=analysis_period,IF(SUM($C732:D732)&gt;0,C382+1,0),0)</f>
        <v>0</v>
      </c>
      <c r="E382" s="155">
        <f>IF(E$2&lt;=analysis_period,IF(SUM($C732:E732)&gt;0,D382+1,0),0)</f>
        <v>0</v>
      </c>
      <c r="F382" s="155">
        <f>IF(F$2&lt;=analysis_period,IF(SUM($C732:F732)&gt;0,E382+1,0),0)</f>
        <v>0</v>
      </c>
      <c r="G382" s="155">
        <f>IF(G$2&lt;=analysis_period,IF(SUM($C732:G732)&gt;0,F382+1,0),0)</f>
        <v>0</v>
      </c>
      <c r="H382" s="155">
        <f>IF(H$2&lt;=analysis_period,IF(SUM($C732:H732)&gt;0,G382+1,0),0)</f>
        <v>0</v>
      </c>
      <c r="I382" s="155">
        <f>IF(I$2&lt;=analysis_period,IF(SUM($C732:I732)&gt;0,H382+1,0),0)</f>
        <v>0</v>
      </c>
      <c r="J382" s="155">
        <f>IF(J$2&lt;=analysis_period,IF(SUM($C732:J732)&gt;0,I382+1,0),0)</f>
        <v>0</v>
      </c>
      <c r="K382" s="155">
        <f>IF(K$2&lt;=analysis_period,IF(SUM($C732:K732)&gt;0,J382+1,0),0)</f>
        <v>0</v>
      </c>
      <c r="L382" s="155">
        <f>IF(L$2&lt;=analysis_period,IF(SUM($C732:L732)&gt;0,K382+1,0),0)</f>
        <v>0</v>
      </c>
      <c r="M382" s="155">
        <f>IF(M$2&lt;=analysis_period,IF(SUM($C732:M732)&gt;0,L382+1,0),0)</f>
        <v>0</v>
      </c>
      <c r="N382" s="155">
        <f>IF(N$2&lt;=analysis_period,IF(SUM($C732:N732)&gt;0,M382+1,0),0)</f>
        <v>0</v>
      </c>
      <c r="O382" s="155">
        <f>IF(O$2&lt;=analysis_period,IF(SUM($C732:O732)&gt;0,N382+1,0),0)</f>
        <v>0</v>
      </c>
      <c r="P382" s="155">
        <f>IF(P$2&lt;=analysis_period,IF(SUM($C732:P732)&gt;0,O382+1,0),0)</f>
        <v>0</v>
      </c>
      <c r="Q382" s="155">
        <f>IF(Q$2&lt;=analysis_period,IF(SUM($C732:Q732)&gt;0,P382+1,0),0)</f>
        <v>0</v>
      </c>
      <c r="R382" s="155">
        <f>IF(R$2&lt;=analysis_period,IF(SUM($C732:R732)&gt;0,Q382+1,0),0)</f>
        <v>0</v>
      </c>
      <c r="S382" s="155">
        <f>IF(S$2&lt;=analysis_period,IF(SUM($C732:S732)&gt;0,R382+1,0),0)</f>
        <v>0</v>
      </c>
      <c r="T382" s="155">
        <f>IF(T$2&lt;=analysis_period,IF(SUM($C732:T732)&gt;0,S382+1,0),0)</f>
        <v>0</v>
      </c>
      <c r="U382" s="155">
        <f>IF(U$2&lt;=analysis_period,IF(SUM($C732:U732)&gt;0,T382+1,0),0)</f>
        <v>0</v>
      </c>
      <c r="V382" s="155">
        <f>IF(V$2&lt;=analysis_period,IF(SUM($C732:V732)&gt;0,U382+1,0),0)</f>
        <v>0</v>
      </c>
      <c r="W382" s="155">
        <f>IF(W$2&lt;=analysis_period,IF(SUM($C732:W732)&gt;0,V382+1,0),0)</f>
        <v>0</v>
      </c>
      <c r="X382" s="155">
        <f>IF(X$2&lt;=analysis_period,IF(SUM($C732:X732)&gt;0,W382+1,0),0)</f>
        <v>0</v>
      </c>
      <c r="Y382" s="155">
        <f>IF(Y$2&lt;=analysis_period,IF(SUM($C732:Y732)&gt;0,X382+1,0),0)</f>
        <v>0</v>
      </c>
      <c r="Z382" s="155">
        <f>IF(Z$2&lt;=analysis_period,IF(SUM($C732:Z732)&gt;0,Y382+1,0),0)</f>
        <v>0</v>
      </c>
      <c r="AA382" s="155">
        <f>IF(AA$2&lt;=analysis_period,IF(SUM($C732:AA732)&gt;0,Z382+1,0),0)</f>
        <v>0</v>
      </c>
      <c r="AB382" s="155">
        <f>IF(AB$2&lt;=analysis_period,IF(SUM($C732:AB732)&gt;0,AA382+1,0),0)</f>
        <v>0</v>
      </c>
      <c r="AC382" s="155">
        <f>IF(AC$2&lt;=analysis_period,IF(SUM($C732:AC732)&gt;0,AB382+1,0),0)</f>
        <v>0</v>
      </c>
      <c r="AD382" s="155">
        <f>IF(AD$2&lt;=analysis_period,IF(SUM($C732:AD732)&gt;0,AC382+1,0),0)</f>
        <v>0</v>
      </c>
      <c r="AE382" s="155">
        <f>IF(AE$2&lt;=analysis_period,IF(SUM($C732:AE732)&gt;0,AD382+1,0),0)</f>
        <v>0</v>
      </c>
      <c r="AF382" s="155">
        <f>IF(AF$2&lt;=analysis_period,IF(SUM($C732:AF732)&gt;0,AE382+1,0),0)</f>
        <v>0</v>
      </c>
      <c r="AG382" s="155">
        <f>IF(AG$2&lt;=analysis_period,IF(SUM($C732:AG732)&gt;0,AF382+1,0),0)</f>
        <v>0</v>
      </c>
      <c r="AH382" s="155">
        <f>IF(AH$2&lt;=analysis_period,IF(SUM($C732:AH732)&gt;0,AG382+1,0),0)</f>
        <v>0</v>
      </c>
      <c r="AI382" s="155">
        <f>IF(AI$2&lt;=analysis_period,IF(SUM($C732:AI732)&gt;0,AH382+1,0),0)</f>
        <v>0</v>
      </c>
      <c r="AJ382" s="155">
        <f>IF(AJ$2&lt;=analysis_period,IF(SUM($C732:AJ732)&gt;0,AI382+1,0),0)</f>
        <v>0</v>
      </c>
      <c r="AK382" s="155">
        <f>IF(AK$2&lt;=analysis_period,IF(SUM($C732:AK732)&gt;0,AJ382+1,0),0)</f>
        <v>0</v>
      </c>
      <c r="AL382" s="155">
        <f>IF(AL$2&lt;=analysis_period,IF(SUM($C732:AL732)&gt;0,AK382+1,0),0)</f>
        <v>0</v>
      </c>
      <c r="AM382" s="155">
        <f>IF(AM$2&lt;=analysis_period,IF(SUM($C732:AM732)&gt;0,AL382+1,0),0)</f>
        <v>0</v>
      </c>
      <c r="AN382" s="155">
        <f>IF(AN$2&lt;=analysis_period,IF(SUM($C732:AN732)&gt;0,AM382+1,0),0)</f>
        <v>0</v>
      </c>
      <c r="AO382" s="155">
        <f>IF(AO$2&lt;=analysis_period,IF(SUM($C732:AO732)&gt;0,AN382+1,0),0)</f>
        <v>0</v>
      </c>
      <c r="AP382" s="155">
        <f>IF(AP$2&lt;=analysis_period,IF(SUM($C732:AP732)&gt;0,AO382+1,0),0)</f>
        <v>0</v>
      </c>
    </row>
    <row r="383" spans="1:42" x14ac:dyDescent="0.2">
      <c r="A383" s="4">
        <f t="shared" si="152"/>
        <v>10</v>
      </c>
      <c r="B383" s="4">
        <v>0</v>
      </c>
      <c r="C383" s="155">
        <f>IF(C$2&lt;=analysis_period,IF(SUM($C733:C733)&gt;0,B383+1,0),0)</f>
        <v>0</v>
      </c>
      <c r="D383" s="155">
        <f>IF(D$2&lt;=analysis_period,IF(SUM($C733:D733)&gt;0,C383+1,0),0)</f>
        <v>0</v>
      </c>
      <c r="E383" s="155">
        <f>IF(E$2&lt;=analysis_period,IF(SUM($C733:E733)&gt;0,D383+1,0),0)</f>
        <v>0</v>
      </c>
      <c r="F383" s="155">
        <f>IF(F$2&lt;=analysis_period,IF(SUM($C733:F733)&gt;0,E383+1,0),0)</f>
        <v>0</v>
      </c>
      <c r="G383" s="155">
        <f>IF(G$2&lt;=analysis_period,IF(SUM($C733:G733)&gt;0,F383+1,0),0)</f>
        <v>0</v>
      </c>
      <c r="H383" s="155">
        <f>IF(H$2&lt;=analysis_period,IF(SUM($C733:H733)&gt;0,G383+1,0),0)</f>
        <v>0</v>
      </c>
      <c r="I383" s="155">
        <f>IF(I$2&lt;=analysis_period,IF(SUM($C733:I733)&gt;0,H383+1,0),0)</f>
        <v>0</v>
      </c>
      <c r="J383" s="155">
        <f>IF(J$2&lt;=analysis_period,IF(SUM($C733:J733)&gt;0,I383+1,0),0)</f>
        <v>0</v>
      </c>
      <c r="K383" s="155">
        <f>IF(K$2&lt;=analysis_period,IF(SUM($C733:K733)&gt;0,J383+1,0),0)</f>
        <v>0</v>
      </c>
      <c r="L383" s="155">
        <f>IF(L$2&lt;=analysis_period,IF(SUM($C733:L733)&gt;0,K383+1,0),0)</f>
        <v>0</v>
      </c>
      <c r="M383" s="155">
        <f>IF(M$2&lt;=analysis_period,IF(SUM($C733:M733)&gt;0,L383+1,0),0)</f>
        <v>0</v>
      </c>
      <c r="N383" s="155">
        <f>IF(N$2&lt;=analysis_period,IF(SUM($C733:N733)&gt;0,M383+1,0),0)</f>
        <v>0</v>
      </c>
      <c r="O383" s="155">
        <f>IF(O$2&lt;=analysis_period,IF(SUM($C733:O733)&gt;0,N383+1,0),0)</f>
        <v>0</v>
      </c>
      <c r="P383" s="155">
        <f>IF(P$2&lt;=analysis_period,IF(SUM($C733:P733)&gt;0,O383+1,0),0)</f>
        <v>0</v>
      </c>
      <c r="Q383" s="155">
        <f>IF(Q$2&lt;=analysis_period,IF(SUM($C733:Q733)&gt;0,P383+1,0),0)</f>
        <v>0</v>
      </c>
      <c r="R383" s="155">
        <f>IF(R$2&lt;=analysis_period,IF(SUM($C733:R733)&gt;0,Q383+1,0),0)</f>
        <v>0</v>
      </c>
      <c r="S383" s="155">
        <f>IF(S$2&lt;=analysis_period,IF(SUM($C733:S733)&gt;0,R383+1,0),0)</f>
        <v>0</v>
      </c>
      <c r="T383" s="155">
        <f>IF(T$2&lt;=analysis_period,IF(SUM($C733:T733)&gt;0,S383+1,0),0)</f>
        <v>0</v>
      </c>
      <c r="U383" s="155">
        <f>IF(U$2&lt;=analysis_period,IF(SUM($C733:U733)&gt;0,T383+1,0),0)</f>
        <v>0</v>
      </c>
      <c r="V383" s="155">
        <f>IF(V$2&lt;=analysis_period,IF(SUM($C733:V733)&gt;0,U383+1,0),0)</f>
        <v>0</v>
      </c>
      <c r="W383" s="155">
        <f>IF(W$2&lt;=analysis_period,IF(SUM($C733:W733)&gt;0,V383+1,0),0)</f>
        <v>0</v>
      </c>
      <c r="X383" s="155">
        <f>IF(X$2&lt;=analysis_period,IF(SUM($C733:X733)&gt;0,W383+1,0),0)</f>
        <v>0</v>
      </c>
      <c r="Y383" s="155">
        <f>IF(Y$2&lt;=analysis_period,IF(SUM($C733:Y733)&gt;0,X383+1,0),0)</f>
        <v>0</v>
      </c>
      <c r="Z383" s="155">
        <f>IF(Z$2&lt;=analysis_period,IF(SUM($C733:Z733)&gt;0,Y383+1,0),0)</f>
        <v>0</v>
      </c>
      <c r="AA383" s="155">
        <f>IF(AA$2&lt;=analysis_period,IF(SUM($C733:AA733)&gt;0,Z383+1,0),0)</f>
        <v>0</v>
      </c>
      <c r="AB383" s="155">
        <f>IF(AB$2&lt;=analysis_period,IF(SUM($C733:AB733)&gt;0,AA383+1,0),0)</f>
        <v>0</v>
      </c>
      <c r="AC383" s="155">
        <f>IF(AC$2&lt;=analysis_period,IF(SUM($C733:AC733)&gt;0,AB383+1,0),0)</f>
        <v>0</v>
      </c>
      <c r="AD383" s="155">
        <f>IF(AD$2&lt;=analysis_period,IF(SUM($C733:AD733)&gt;0,AC383+1,0),0)</f>
        <v>0</v>
      </c>
      <c r="AE383" s="155">
        <f>IF(AE$2&lt;=analysis_period,IF(SUM($C733:AE733)&gt;0,AD383+1,0),0)</f>
        <v>0</v>
      </c>
      <c r="AF383" s="155">
        <f>IF(AF$2&lt;=analysis_period,IF(SUM($C733:AF733)&gt;0,AE383+1,0),0)</f>
        <v>0</v>
      </c>
      <c r="AG383" s="155">
        <f>IF(AG$2&lt;=analysis_period,IF(SUM($C733:AG733)&gt;0,AF383+1,0),0)</f>
        <v>0</v>
      </c>
      <c r="AH383" s="155">
        <f>IF(AH$2&lt;=analysis_period,IF(SUM($C733:AH733)&gt;0,AG383+1,0),0)</f>
        <v>0</v>
      </c>
      <c r="AI383" s="155">
        <f>IF(AI$2&lt;=analysis_period,IF(SUM($C733:AI733)&gt;0,AH383+1,0),0)</f>
        <v>0</v>
      </c>
      <c r="AJ383" s="155">
        <f>IF(AJ$2&lt;=analysis_period,IF(SUM($C733:AJ733)&gt;0,AI383+1,0),0)</f>
        <v>0</v>
      </c>
      <c r="AK383" s="155">
        <f>IF(AK$2&lt;=analysis_period,IF(SUM($C733:AK733)&gt;0,AJ383+1,0),0)</f>
        <v>0</v>
      </c>
      <c r="AL383" s="155">
        <f>IF(AL$2&lt;=analysis_period,IF(SUM($C733:AL733)&gt;0,AK383+1,0),0)</f>
        <v>0</v>
      </c>
      <c r="AM383" s="155">
        <f>IF(AM$2&lt;=analysis_period,IF(SUM($C733:AM733)&gt;0,AL383+1,0),0)</f>
        <v>0</v>
      </c>
      <c r="AN383" s="155">
        <f>IF(AN$2&lt;=analysis_period,IF(SUM($C733:AN733)&gt;0,AM383+1,0),0)</f>
        <v>0</v>
      </c>
      <c r="AO383" s="155">
        <f>IF(AO$2&lt;=analysis_period,IF(SUM($C733:AO733)&gt;0,AN383+1,0),0)</f>
        <v>0</v>
      </c>
      <c r="AP383" s="155">
        <f>IF(AP$2&lt;=analysis_period,IF(SUM($C733:AP733)&gt;0,AO383+1,0),0)</f>
        <v>0</v>
      </c>
    </row>
    <row r="384" spans="1:42" x14ac:dyDescent="0.2">
      <c r="A384" s="21"/>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row>
    <row r="385" spans="1:42" x14ac:dyDescent="0.2">
      <c r="A385" s="87" t="s">
        <v>70</v>
      </c>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row>
    <row r="386" spans="1:42" x14ac:dyDescent="0.2">
      <c r="A386" s="4">
        <v>1</v>
      </c>
      <c r="B386" s="174">
        <f t="shared" ref="B386:B395" si="153">SUM(C386:AP386)</f>
        <v>0</v>
      </c>
      <c r="C386" s="155">
        <f t="shared" ref="C386:AP386" si="154">LOOKUP(C374,$B$318:$AP$318,$B$319:$AP$319)/100*$B724</f>
        <v>0</v>
      </c>
      <c r="D386" s="155">
        <f t="shared" si="154"/>
        <v>0</v>
      </c>
      <c r="E386" s="155">
        <f t="shared" si="154"/>
        <v>0</v>
      </c>
      <c r="F386" s="155">
        <f t="shared" si="154"/>
        <v>0</v>
      </c>
      <c r="G386" s="155">
        <f t="shared" si="154"/>
        <v>0</v>
      </c>
      <c r="H386" s="155">
        <f t="shared" si="154"/>
        <v>0</v>
      </c>
      <c r="I386" s="155">
        <f t="shared" si="154"/>
        <v>0</v>
      </c>
      <c r="J386" s="155">
        <f t="shared" si="154"/>
        <v>0</v>
      </c>
      <c r="K386" s="155">
        <f t="shared" si="154"/>
        <v>0</v>
      </c>
      <c r="L386" s="155">
        <f t="shared" si="154"/>
        <v>0</v>
      </c>
      <c r="M386" s="155">
        <f t="shared" si="154"/>
        <v>0</v>
      </c>
      <c r="N386" s="155">
        <f t="shared" si="154"/>
        <v>0</v>
      </c>
      <c r="O386" s="155">
        <f t="shared" si="154"/>
        <v>0</v>
      </c>
      <c r="P386" s="155">
        <f t="shared" si="154"/>
        <v>0</v>
      </c>
      <c r="Q386" s="155">
        <f t="shared" si="154"/>
        <v>0</v>
      </c>
      <c r="R386" s="155">
        <f t="shared" si="154"/>
        <v>0</v>
      </c>
      <c r="S386" s="155">
        <f t="shared" si="154"/>
        <v>0</v>
      </c>
      <c r="T386" s="155">
        <f t="shared" si="154"/>
        <v>0</v>
      </c>
      <c r="U386" s="155">
        <f t="shared" si="154"/>
        <v>0</v>
      </c>
      <c r="V386" s="155">
        <f t="shared" si="154"/>
        <v>0</v>
      </c>
      <c r="W386" s="155">
        <f t="shared" si="154"/>
        <v>0</v>
      </c>
      <c r="X386" s="155">
        <f t="shared" si="154"/>
        <v>0</v>
      </c>
      <c r="Y386" s="155">
        <f t="shared" si="154"/>
        <v>0</v>
      </c>
      <c r="Z386" s="155">
        <f t="shared" si="154"/>
        <v>0</v>
      </c>
      <c r="AA386" s="155">
        <f t="shared" si="154"/>
        <v>0</v>
      </c>
      <c r="AB386" s="155">
        <f t="shared" si="154"/>
        <v>0</v>
      </c>
      <c r="AC386" s="155">
        <f t="shared" si="154"/>
        <v>0</v>
      </c>
      <c r="AD386" s="155">
        <f t="shared" si="154"/>
        <v>0</v>
      </c>
      <c r="AE386" s="155">
        <f t="shared" si="154"/>
        <v>0</v>
      </c>
      <c r="AF386" s="155">
        <f t="shared" si="154"/>
        <v>0</v>
      </c>
      <c r="AG386" s="155">
        <f t="shared" si="154"/>
        <v>0</v>
      </c>
      <c r="AH386" s="155">
        <f t="shared" si="154"/>
        <v>0</v>
      </c>
      <c r="AI386" s="155">
        <f t="shared" si="154"/>
        <v>0</v>
      </c>
      <c r="AJ386" s="155">
        <f t="shared" si="154"/>
        <v>0</v>
      </c>
      <c r="AK386" s="155">
        <f t="shared" si="154"/>
        <v>0</v>
      </c>
      <c r="AL386" s="155">
        <f t="shared" si="154"/>
        <v>0</v>
      </c>
      <c r="AM386" s="155">
        <f t="shared" si="154"/>
        <v>0</v>
      </c>
      <c r="AN386" s="155">
        <f t="shared" si="154"/>
        <v>0</v>
      </c>
      <c r="AO386" s="155">
        <f t="shared" si="154"/>
        <v>0</v>
      </c>
      <c r="AP386" s="155">
        <f t="shared" si="154"/>
        <v>0</v>
      </c>
    </row>
    <row r="387" spans="1:42" x14ac:dyDescent="0.2">
      <c r="A387" s="4">
        <f>A386+1</f>
        <v>2</v>
      </c>
      <c r="B387" s="174">
        <f t="shared" si="153"/>
        <v>0</v>
      </c>
      <c r="C387" s="155">
        <f t="shared" ref="C387:AP387" si="155">LOOKUP(C375,$B$318:$AP$318,$B$319:$AP$319)/100*$B725</f>
        <v>0</v>
      </c>
      <c r="D387" s="155">
        <f t="shared" si="155"/>
        <v>0</v>
      </c>
      <c r="E387" s="155">
        <f t="shared" si="155"/>
        <v>0</v>
      </c>
      <c r="F387" s="155">
        <f t="shared" si="155"/>
        <v>0</v>
      </c>
      <c r="G387" s="155">
        <f t="shared" si="155"/>
        <v>0</v>
      </c>
      <c r="H387" s="155">
        <f t="shared" si="155"/>
        <v>0</v>
      </c>
      <c r="I387" s="155">
        <f t="shared" si="155"/>
        <v>0</v>
      </c>
      <c r="J387" s="155">
        <f t="shared" si="155"/>
        <v>0</v>
      </c>
      <c r="K387" s="155">
        <f t="shared" si="155"/>
        <v>0</v>
      </c>
      <c r="L387" s="155">
        <f t="shared" si="155"/>
        <v>0</v>
      </c>
      <c r="M387" s="155">
        <f t="shared" si="155"/>
        <v>0</v>
      </c>
      <c r="N387" s="155">
        <f t="shared" si="155"/>
        <v>0</v>
      </c>
      <c r="O387" s="155">
        <f t="shared" si="155"/>
        <v>0</v>
      </c>
      <c r="P387" s="155">
        <f t="shared" si="155"/>
        <v>0</v>
      </c>
      <c r="Q387" s="155">
        <f t="shared" si="155"/>
        <v>0</v>
      </c>
      <c r="R387" s="155">
        <f t="shared" si="155"/>
        <v>0</v>
      </c>
      <c r="S387" s="155">
        <f t="shared" si="155"/>
        <v>0</v>
      </c>
      <c r="T387" s="155">
        <f t="shared" si="155"/>
        <v>0</v>
      </c>
      <c r="U387" s="155">
        <f t="shared" si="155"/>
        <v>0</v>
      </c>
      <c r="V387" s="155">
        <f t="shared" si="155"/>
        <v>0</v>
      </c>
      <c r="W387" s="155">
        <f t="shared" si="155"/>
        <v>0</v>
      </c>
      <c r="X387" s="155">
        <f t="shared" si="155"/>
        <v>0</v>
      </c>
      <c r="Y387" s="155">
        <f t="shared" si="155"/>
        <v>0</v>
      </c>
      <c r="Z387" s="155">
        <f t="shared" si="155"/>
        <v>0</v>
      </c>
      <c r="AA387" s="155">
        <f t="shared" si="155"/>
        <v>0</v>
      </c>
      <c r="AB387" s="155">
        <f t="shared" si="155"/>
        <v>0</v>
      </c>
      <c r="AC387" s="155">
        <f t="shared" si="155"/>
        <v>0</v>
      </c>
      <c r="AD387" s="155">
        <f t="shared" si="155"/>
        <v>0</v>
      </c>
      <c r="AE387" s="155">
        <f t="shared" si="155"/>
        <v>0</v>
      </c>
      <c r="AF387" s="155">
        <f t="shared" si="155"/>
        <v>0</v>
      </c>
      <c r="AG387" s="155">
        <f t="shared" si="155"/>
        <v>0</v>
      </c>
      <c r="AH387" s="155">
        <f t="shared" si="155"/>
        <v>0</v>
      </c>
      <c r="AI387" s="155">
        <f t="shared" si="155"/>
        <v>0</v>
      </c>
      <c r="AJ387" s="155">
        <f t="shared" si="155"/>
        <v>0</v>
      </c>
      <c r="AK387" s="155">
        <f t="shared" si="155"/>
        <v>0</v>
      </c>
      <c r="AL387" s="155">
        <f t="shared" si="155"/>
        <v>0</v>
      </c>
      <c r="AM387" s="155">
        <f t="shared" si="155"/>
        <v>0</v>
      </c>
      <c r="AN387" s="155">
        <f t="shared" si="155"/>
        <v>0</v>
      </c>
      <c r="AO387" s="155">
        <f t="shared" si="155"/>
        <v>0</v>
      </c>
      <c r="AP387" s="155">
        <f t="shared" si="155"/>
        <v>0</v>
      </c>
    </row>
    <row r="388" spans="1:42" x14ac:dyDescent="0.2">
      <c r="A388" s="4">
        <f t="shared" ref="A388:A395" si="156">A387+1</f>
        <v>3</v>
      </c>
      <c r="B388" s="174">
        <f t="shared" si="153"/>
        <v>0</v>
      </c>
      <c r="C388" s="155">
        <f t="shared" ref="C388:AP388" si="157">LOOKUP(C376,$B$318:$AP$318,$B$319:$AP$319)/100*$B726</f>
        <v>0</v>
      </c>
      <c r="D388" s="155">
        <f t="shared" si="157"/>
        <v>0</v>
      </c>
      <c r="E388" s="155">
        <f t="shared" si="157"/>
        <v>0</v>
      </c>
      <c r="F388" s="155">
        <f t="shared" si="157"/>
        <v>0</v>
      </c>
      <c r="G388" s="155">
        <f t="shared" si="157"/>
        <v>0</v>
      </c>
      <c r="H388" s="155">
        <f t="shared" si="157"/>
        <v>0</v>
      </c>
      <c r="I388" s="155">
        <f t="shared" si="157"/>
        <v>0</v>
      </c>
      <c r="J388" s="155">
        <f t="shared" si="157"/>
        <v>0</v>
      </c>
      <c r="K388" s="155">
        <f t="shared" si="157"/>
        <v>0</v>
      </c>
      <c r="L388" s="155">
        <f t="shared" si="157"/>
        <v>0</v>
      </c>
      <c r="M388" s="155">
        <f t="shared" si="157"/>
        <v>0</v>
      </c>
      <c r="N388" s="155">
        <f t="shared" si="157"/>
        <v>0</v>
      </c>
      <c r="O388" s="155">
        <f t="shared" si="157"/>
        <v>0</v>
      </c>
      <c r="P388" s="155">
        <f t="shared" si="157"/>
        <v>0</v>
      </c>
      <c r="Q388" s="155">
        <f t="shared" si="157"/>
        <v>0</v>
      </c>
      <c r="R388" s="155">
        <f t="shared" si="157"/>
        <v>0</v>
      </c>
      <c r="S388" s="155">
        <f t="shared" si="157"/>
        <v>0</v>
      </c>
      <c r="T388" s="155">
        <f t="shared" si="157"/>
        <v>0</v>
      </c>
      <c r="U388" s="155">
        <f t="shared" si="157"/>
        <v>0</v>
      </c>
      <c r="V388" s="155">
        <f t="shared" si="157"/>
        <v>0</v>
      </c>
      <c r="W388" s="155">
        <f t="shared" si="157"/>
        <v>0</v>
      </c>
      <c r="X388" s="155">
        <f t="shared" si="157"/>
        <v>0</v>
      </c>
      <c r="Y388" s="155">
        <f t="shared" si="157"/>
        <v>0</v>
      </c>
      <c r="Z388" s="155">
        <f t="shared" si="157"/>
        <v>0</v>
      </c>
      <c r="AA388" s="155">
        <f t="shared" si="157"/>
        <v>0</v>
      </c>
      <c r="AB388" s="155">
        <f t="shared" si="157"/>
        <v>0</v>
      </c>
      <c r="AC388" s="155">
        <f t="shared" si="157"/>
        <v>0</v>
      </c>
      <c r="AD388" s="155">
        <f t="shared" si="157"/>
        <v>0</v>
      </c>
      <c r="AE388" s="155">
        <f t="shared" si="157"/>
        <v>0</v>
      </c>
      <c r="AF388" s="155">
        <f t="shared" si="157"/>
        <v>0</v>
      </c>
      <c r="AG388" s="155">
        <f t="shared" si="157"/>
        <v>0</v>
      </c>
      <c r="AH388" s="155">
        <f t="shared" si="157"/>
        <v>0</v>
      </c>
      <c r="AI388" s="155">
        <f t="shared" si="157"/>
        <v>0</v>
      </c>
      <c r="AJ388" s="155">
        <f t="shared" si="157"/>
        <v>0</v>
      </c>
      <c r="AK388" s="155">
        <f t="shared" si="157"/>
        <v>0</v>
      </c>
      <c r="AL388" s="155">
        <f t="shared" si="157"/>
        <v>0</v>
      </c>
      <c r="AM388" s="155">
        <f t="shared" si="157"/>
        <v>0</v>
      </c>
      <c r="AN388" s="155">
        <f t="shared" si="157"/>
        <v>0</v>
      </c>
      <c r="AO388" s="155">
        <f t="shared" si="157"/>
        <v>0</v>
      </c>
      <c r="AP388" s="155">
        <f t="shared" si="157"/>
        <v>0</v>
      </c>
    </row>
    <row r="389" spans="1:42" x14ac:dyDescent="0.2">
      <c r="A389" s="4">
        <f t="shared" si="156"/>
        <v>4</v>
      </c>
      <c r="B389" s="174">
        <f t="shared" si="153"/>
        <v>0</v>
      </c>
      <c r="C389" s="155">
        <f t="shared" ref="C389:AP389" si="158">LOOKUP(C377,$B$318:$AP$318,$B$319:$AP$319)/100*$B727</f>
        <v>0</v>
      </c>
      <c r="D389" s="155">
        <f t="shared" si="158"/>
        <v>0</v>
      </c>
      <c r="E389" s="155">
        <f t="shared" si="158"/>
        <v>0</v>
      </c>
      <c r="F389" s="155">
        <f t="shared" si="158"/>
        <v>0</v>
      </c>
      <c r="G389" s="155">
        <f t="shared" si="158"/>
        <v>0</v>
      </c>
      <c r="H389" s="155">
        <f t="shared" si="158"/>
        <v>0</v>
      </c>
      <c r="I389" s="155">
        <f t="shared" si="158"/>
        <v>0</v>
      </c>
      <c r="J389" s="155">
        <f t="shared" si="158"/>
        <v>0</v>
      </c>
      <c r="K389" s="155">
        <f t="shared" si="158"/>
        <v>0</v>
      </c>
      <c r="L389" s="155">
        <f t="shared" si="158"/>
        <v>0</v>
      </c>
      <c r="M389" s="155">
        <f t="shared" si="158"/>
        <v>0</v>
      </c>
      <c r="N389" s="155">
        <f t="shared" si="158"/>
        <v>0</v>
      </c>
      <c r="O389" s="155">
        <f t="shared" si="158"/>
        <v>0</v>
      </c>
      <c r="P389" s="155">
        <f t="shared" si="158"/>
        <v>0</v>
      </c>
      <c r="Q389" s="155">
        <f t="shared" si="158"/>
        <v>0</v>
      </c>
      <c r="R389" s="155">
        <f t="shared" si="158"/>
        <v>0</v>
      </c>
      <c r="S389" s="155">
        <f t="shared" si="158"/>
        <v>0</v>
      </c>
      <c r="T389" s="155">
        <f t="shared" si="158"/>
        <v>0</v>
      </c>
      <c r="U389" s="155">
        <f t="shared" si="158"/>
        <v>0</v>
      </c>
      <c r="V389" s="155">
        <f t="shared" si="158"/>
        <v>0</v>
      </c>
      <c r="W389" s="155">
        <f t="shared" si="158"/>
        <v>0</v>
      </c>
      <c r="X389" s="155">
        <f t="shared" si="158"/>
        <v>0</v>
      </c>
      <c r="Y389" s="155">
        <f t="shared" si="158"/>
        <v>0</v>
      </c>
      <c r="Z389" s="155">
        <f t="shared" si="158"/>
        <v>0</v>
      </c>
      <c r="AA389" s="155">
        <f t="shared" si="158"/>
        <v>0</v>
      </c>
      <c r="AB389" s="155">
        <f t="shared" si="158"/>
        <v>0</v>
      </c>
      <c r="AC389" s="155">
        <f t="shared" si="158"/>
        <v>0</v>
      </c>
      <c r="AD389" s="155">
        <f t="shared" si="158"/>
        <v>0</v>
      </c>
      <c r="AE389" s="155">
        <f t="shared" si="158"/>
        <v>0</v>
      </c>
      <c r="AF389" s="155">
        <f t="shared" si="158"/>
        <v>0</v>
      </c>
      <c r="AG389" s="155">
        <f t="shared" si="158"/>
        <v>0</v>
      </c>
      <c r="AH389" s="155">
        <f t="shared" si="158"/>
        <v>0</v>
      </c>
      <c r="AI389" s="155">
        <f t="shared" si="158"/>
        <v>0</v>
      </c>
      <c r="AJ389" s="155">
        <f t="shared" si="158"/>
        <v>0</v>
      </c>
      <c r="AK389" s="155">
        <f t="shared" si="158"/>
        <v>0</v>
      </c>
      <c r="AL389" s="155">
        <f t="shared" si="158"/>
        <v>0</v>
      </c>
      <c r="AM389" s="155">
        <f t="shared" si="158"/>
        <v>0</v>
      </c>
      <c r="AN389" s="155">
        <f t="shared" si="158"/>
        <v>0</v>
      </c>
      <c r="AO389" s="155">
        <f t="shared" si="158"/>
        <v>0</v>
      </c>
      <c r="AP389" s="155">
        <f t="shared" si="158"/>
        <v>0</v>
      </c>
    </row>
    <row r="390" spans="1:42" x14ac:dyDescent="0.2">
      <c r="A390" s="4">
        <f t="shared" si="156"/>
        <v>5</v>
      </c>
      <c r="B390" s="174">
        <f t="shared" si="153"/>
        <v>0</v>
      </c>
      <c r="C390" s="155">
        <f t="shared" ref="C390:AP390" si="159">LOOKUP(C378,$B$318:$AP$318,$B$319:$AP$319)/100*$B728</f>
        <v>0</v>
      </c>
      <c r="D390" s="155">
        <f t="shared" si="159"/>
        <v>0</v>
      </c>
      <c r="E390" s="155">
        <f t="shared" si="159"/>
        <v>0</v>
      </c>
      <c r="F390" s="155">
        <f t="shared" si="159"/>
        <v>0</v>
      </c>
      <c r="G390" s="155">
        <f t="shared" si="159"/>
        <v>0</v>
      </c>
      <c r="H390" s="155">
        <f t="shared" si="159"/>
        <v>0</v>
      </c>
      <c r="I390" s="155">
        <f t="shared" si="159"/>
        <v>0</v>
      </c>
      <c r="J390" s="155">
        <f t="shared" si="159"/>
        <v>0</v>
      </c>
      <c r="K390" s="155">
        <f t="shared" si="159"/>
        <v>0</v>
      </c>
      <c r="L390" s="155">
        <f t="shared" si="159"/>
        <v>0</v>
      </c>
      <c r="M390" s="155">
        <f t="shared" si="159"/>
        <v>0</v>
      </c>
      <c r="N390" s="155">
        <f t="shared" si="159"/>
        <v>0</v>
      </c>
      <c r="O390" s="155">
        <f t="shared" si="159"/>
        <v>0</v>
      </c>
      <c r="P390" s="155">
        <f t="shared" si="159"/>
        <v>0</v>
      </c>
      <c r="Q390" s="155">
        <f t="shared" si="159"/>
        <v>0</v>
      </c>
      <c r="R390" s="155">
        <f t="shared" si="159"/>
        <v>0</v>
      </c>
      <c r="S390" s="155">
        <f t="shared" si="159"/>
        <v>0</v>
      </c>
      <c r="T390" s="155">
        <f t="shared" si="159"/>
        <v>0</v>
      </c>
      <c r="U390" s="155">
        <f t="shared" si="159"/>
        <v>0</v>
      </c>
      <c r="V390" s="155">
        <f t="shared" si="159"/>
        <v>0</v>
      </c>
      <c r="W390" s="155">
        <f t="shared" si="159"/>
        <v>0</v>
      </c>
      <c r="X390" s="155">
        <f t="shared" si="159"/>
        <v>0</v>
      </c>
      <c r="Y390" s="155">
        <f t="shared" si="159"/>
        <v>0</v>
      </c>
      <c r="Z390" s="155">
        <f t="shared" si="159"/>
        <v>0</v>
      </c>
      <c r="AA390" s="155">
        <f t="shared" si="159"/>
        <v>0</v>
      </c>
      <c r="AB390" s="155">
        <f t="shared" si="159"/>
        <v>0</v>
      </c>
      <c r="AC390" s="155">
        <f t="shared" si="159"/>
        <v>0</v>
      </c>
      <c r="AD390" s="155">
        <f t="shared" si="159"/>
        <v>0</v>
      </c>
      <c r="AE390" s="155">
        <f t="shared" si="159"/>
        <v>0</v>
      </c>
      <c r="AF390" s="155">
        <f t="shared" si="159"/>
        <v>0</v>
      </c>
      <c r="AG390" s="155">
        <f t="shared" si="159"/>
        <v>0</v>
      </c>
      <c r="AH390" s="155">
        <f t="shared" si="159"/>
        <v>0</v>
      </c>
      <c r="AI390" s="155">
        <f t="shared" si="159"/>
        <v>0</v>
      </c>
      <c r="AJ390" s="155">
        <f t="shared" si="159"/>
        <v>0</v>
      </c>
      <c r="AK390" s="155">
        <f t="shared" si="159"/>
        <v>0</v>
      </c>
      <c r="AL390" s="155">
        <f t="shared" si="159"/>
        <v>0</v>
      </c>
      <c r="AM390" s="155">
        <f t="shared" si="159"/>
        <v>0</v>
      </c>
      <c r="AN390" s="155">
        <f t="shared" si="159"/>
        <v>0</v>
      </c>
      <c r="AO390" s="155">
        <f t="shared" si="159"/>
        <v>0</v>
      </c>
      <c r="AP390" s="155">
        <f t="shared" si="159"/>
        <v>0</v>
      </c>
    </row>
    <row r="391" spans="1:42" x14ac:dyDescent="0.2">
      <c r="A391" s="4">
        <f t="shared" si="156"/>
        <v>6</v>
      </c>
      <c r="B391" s="174">
        <f t="shared" si="153"/>
        <v>0</v>
      </c>
      <c r="C391" s="155">
        <f t="shared" ref="C391:AP391" si="160">LOOKUP(C379,$B$318:$AP$318,$B$319:$AP$319)/100*$B729</f>
        <v>0</v>
      </c>
      <c r="D391" s="155">
        <f t="shared" si="160"/>
        <v>0</v>
      </c>
      <c r="E391" s="155">
        <f t="shared" si="160"/>
        <v>0</v>
      </c>
      <c r="F391" s="155">
        <f t="shared" si="160"/>
        <v>0</v>
      </c>
      <c r="G391" s="155">
        <f t="shared" si="160"/>
        <v>0</v>
      </c>
      <c r="H391" s="155">
        <f t="shared" si="160"/>
        <v>0</v>
      </c>
      <c r="I391" s="155">
        <f t="shared" si="160"/>
        <v>0</v>
      </c>
      <c r="J391" s="155">
        <f t="shared" si="160"/>
        <v>0</v>
      </c>
      <c r="K391" s="155">
        <f t="shared" si="160"/>
        <v>0</v>
      </c>
      <c r="L391" s="155">
        <f t="shared" si="160"/>
        <v>0</v>
      </c>
      <c r="M391" s="155">
        <f t="shared" si="160"/>
        <v>0</v>
      </c>
      <c r="N391" s="155">
        <f t="shared" si="160"/>
        <v>0</v>
      </c>
      <c r="O391" s="155">
        <f t="shared" si="160"/>
        <v>0</v>
      </c>
      <c r="P391" s="155">
        <f t="shared" si="160"/>
        <v>0</v>
      </c>
      <c r="Q391" s="155">
        <f t="shared" si="160"/>
        <v>0</v>
      </c>
      <c r="R391" s="155">
        <f t="shared" si="160"/>
        <v>0</v>
      </c>
      <c r="S391" s="155">
        <f t="shared" si="160"/>
        <v>0</v>
      </c>
      <c r="T391" s="155">
        <f t="shared" si="160"/>
        <v>0</v>
      </c>
      <c r="U391" s="155">
        <f t="shared" si="160"/>
        <v>0</v>
      </c>
      <c r="V391" s="155">
        <f t="shared" si="160"/>
        <v>0</v>
      </c>
      <c r="W391" s="155">
        <f t="shared" si="160"/>
        <v>0</v>
      </c>
      <c r="X391" s="155">
        <f t="shared" si="160"/>
        <v>0</v>
      </c>
      <c r="Y391" s="155">
        <f t="shared" si="160"/>
        <v>0</v>
      </c>
      <c r="Z391" s="155">
        <f t="shared" si="160"/>
        <v>0</v>
      </c>
      <c r="AA391" s="155">
        <f t="shared" si="160"/>
        <v>0</v>
      </c>
      <c r="AB391" s="155">
        <f t="shared" si="160"/>
        <v>0</v>
      </c>
      <c r="AC391" s="155">
        <f t="shared" si="160"/>
        <v>0</v>
      </c>
      <c r="AD391" s="155">
        <f t="shared" si="160"/>
        <v>0</v>
      </c>
      <c r="AE391" s="155">
        <f t="shared" si="160"/>
        <v>0</v>
      </c>
      <c r="AF391" s="155">
        <f t="shared" si="160"/>
        <v>0</v>
      </c>
      <c r="AG391" s="155">
        <f t="shared" si="160"/>
        <v>0</v>
      </c>
      <c r="AH391" s="155">
        <f t="shared" si="160"/>
        <v>0</v>
      </c>
      <c r="AI391" s="155">
        <f t="shared" si="160"/>
        <v>0</v>
      </c>
      <c r="AJ391" s="155">
        <f t="shared" si="160"/>
        <v>0</v>
      </c>
      <c r="AK391" s="155">
        <f t="shared" si="160"/>
        <v>0</v>
      </c>
      <c r="AL391" s="155">
        <f t="shared" si="160"/>
        <v>0</v>
      </c>
      <c r="AM391" s="155">
        <f t="shared" si="160"/>
        <v>0</v>
      </c>
      <c r="AN391" s="155">
        <f t="shared" si="160"/>
        <v>0</v>
      </c>
      <c r="AO391" s="155">
        <f t="shared" si="160"/>
        <v>0</v>
      </c>
      <c r="AP391" s="155">
        <f t="shared" si="160"/>
        <v>0</v>
      </c>
    </row>
    <row r="392" spans="1:42" x14ac:dyDescent="0.2">
      <c r="A392" s="4">
        <f t="shared" si="156"/>
        <v>7</v>
      </c>
      <c r="B392" s="174">
        <f t="shared" si="153"/>
        <v>0</v>
      </c>
      <c r="C392" s="155">
        <f t="shared" ref="C392:AP392" si="161">LOOKUP(C380,$B$318:$AP$318,$B$319:$AP$319)/100*$B730</f>
        <v>0</v>
      </c>
      <c r="D392" s="155">
        <f t="shared" si="161"/>
        <v>0</v>
      </c>
      <c r="E392" s="155">
        <f t="shared" si="161"/>
        <v>0</v>
      </c>
      <c r="F392" s="155">
        <f t="shared" si="161"/>
        <v>0</v>
      </c>
      <c r="G392" s="155">
        <f t="shared" si="161"/>
        <v>0</v>
      </c>
      <c r="H392" s="155">
        <f t="shared" si="161"/>
        <v>0</v>
      </c>
      <c r="I392" s="155">
        <f t="shared" si="161"/>
        <v>0</v>
      </c>
      <c r="J392" s="155">
        <f t="shared" si="161"/>
        <v>0</v>
      </c>
      <c r="K392" s="155">
        <f t="shared" si="161"/>
        <v>0</v>
      </c>
      <c r="L392" s="155">
        <f t="shared" si="161"/>
        <v>0</v>
      </c>
      <c r="M392" s="155">
        <f t="shared" si="161"/>
        <v>0</v>
      </c>
      <c r="N392" s="155">
        <f t="shared" si="161"/>
        <v>0</v>
      </c>
      <c r="O392" s="155">
        <f t="shared" si="161"/>
        <v>0</v>
      </c>
      <c r="P392" s="155">
        <f t="shared" si="161"/>
        <v>0</v>
      </c>
      <c r="Q392" s="155">
        <f t="shared" si="161"/>
        <v>0</v>
      </c>
      <c r="R392" s="155">
        <f t="shared" si="161"/>
        <v>0</v>
      </c>
      <c r="S392" s="155">
        <f t="shared" si="161"/>
        <v>0</v>
      </c>
      <c r="T392" s="155">
        <f t="shared" si="161"/>
        <v>0</v>
      </c>
      <c r="U392" s="155">
        <f t="shared" si="161"/>
        <v>0</v>
      </c>
      <c r="V392" s="155">
        <f t="shared" si="161"/>
        <v>0</v>
      </c>
      <c r="W392" s="155">
        <f t="shared" si="161"/>
        <v>0</v>
      </c>
      <c r="X392" s="155">
        <f t="shared" si="161"/>
        <v>0</v>
      </c>
      <c r="Y392" s="155">
        <f t="shared" si="161"/>
        <v>0</v>
      </c>
      <c r="Z392" s="155">
        <f t="shared" si="161"/>
        <v>0</v>
      </c>
      <c r="AA392" s="155">
        <f t="shared" si="161"/>
        <v>0</v>
      </c>
      <c r="AB392" s="155">
        <f t="shared" si="161"/>
        <v>0</v>
      </c>
      <c r="AC392" s="155">
        <f t="shared" si="161"/>
        <v>0</v>
      </c>
      <c r="AD392" s="155">
        <f t="shared" si="161"/>
        <v>0</v>
      </c>
      <c r="AE392" s="155">
        <f t="shared" si="161"/>
        <v>0</v>
      </c>
      <c r="AF392" s="155">
        <f t="shared" si="161"/>
        <v>0</v>
      </c>
      <c r="AG392" s="155">
        <f t="shared" si="161"/>
        <v>0</v>
      </c>
      <c r="AH392" s="155">
        <f t="shared" si="161"/>
        <v>0</v>
      </c>
      <c r="AI392" s="155">
        <f t="shared" si="161"/>
        <v>0</v>
      </c>
      <c r="AJ392" s="155">
        <f t="shared" si="161"/>
        <v>0</v>
      </c>
      <c r="AK392" s="155">
        <f t="shared" si="161"/>
        <v>0</v>
      </c>
      <c r="AL392" s="155">
        <f t="shared" si="161"/>
        <v>0</v>
      </c>
      <c r="AM392" s="155">
        <f t="shared" si="161"/>
        <v>0</v>
      </c>
      <c r="AN392" s="155">
        <f t="shared" si="161"/>
        <v>0</v>
      </c>
      <c r="AO392" s="155">
        <f t="shared" si="161"/>
        <v>0</v>
      </c>
      <c r="AP392" s="155">
        <f t="shared" si="161"/>
        <v>0</v>
      </c>
    </row>
    <row r="393" spans="1:42" x14ac:dyDescent="0.2">
      <c r="A393" s="4">
        <f t="shared" si="156"/>
        <v>8</v>
      </c>
      <c r="B393" s="174">
        <f t="shared" si="153"/>
        <v>0</v>
      </c>
      <c r="C393" s="155">
        <f t="shared" ref="C393:AP393" si="162">LOOKUP(C381,$B$318:$AP$318,$B$319:$AP$319)/100*$B731</f>
        <v>0</v>
      </c>
      <c r="D393" s="155">
        <f t="shared" si="162"/>
        <v>0</v>
      </c>
      <c r="E393" s="155">
        <f t="shared" si="162"/>
        <v>0</v>
      </c>
      <c r="F393" s="155">
        <f t="shared" si="162"/>
        <v>0</v>
      </c>
      <c r="G393" s="155">
        <f t="shared" si="162"/>
        <v>0</v>
      </c>
      <c r="H393" s="155">
        <f t="shared" si="162"/>
        <v>0</v>
      </c>
      <c r="I393" s="155">
        <f t="shared" si="162"/>
        <v>0</v>
      </c>
      <c r="J393" s="155">
        <f t="shared" si="162"/>
        <v>0</v>
      </c>
      <c r="K393" s="155">
        <f t="shared" si="162"/>
        <v>0</v>
      </c>
      <c r="L393" s="155">
        <f t="shared" si="162"/>
        <v>0</v>
      </c>
      <c r="M393" s="155">
        <f t="shared" si="162"/>
        <v>0</v>
      </c>
      <c r="N393" s="155">
        <f t="shared" si="162"/>
        <v>0</v>
      </c>
      <c r="O393" s="155">
        <f t="shared" si="162"/>
        <v>0</v>
      </c>
      <c r="P393" s="155">
        <f t="shared" si="162"/>
        <v>0</v>
      </c>
      <c r="Q393" s="155">
        <f t="shared" si="162"/>
        <v>0</v>
      </c>
      <c r="R393" s="155">
        <f t="shared" si="162"/>
        <v>0</v>
      </c>
      <c r="S393" s="155">
        <f t="shared" si="162"/>
        <v>0</v>
      </c>
      <c r="T393" s="155">
        <f t="shared" si="162"/>
        <v>0</v>
      </c>
      <c r="U393" s="155">
        <f t="shared" si="162"/>
        <v>0</v>
      </c>
      <c r="V393" s="155">
        <f t="shared" si="162"/>
        <v>0</v>
      </c>
      <c r="W393" s="155">
        <f t="shared" si="162"/>
        <v>0</v>
      </c>
      <c r="X393" s="155">
        <f t="shared" si="162"/>
        <v>0</v>
      </c>
      <c r="Y393" s="155">
        <f t="shared" si="162"/>
        <v>0</v>
      </c>
      <c r="Z393" s="155">
        <f t="shared" si="162"/>
        <v>0</v>
      </c>
      <c r="AA393" s="155">
        <f t="shared" si="162"/>
        <v>0</v>
      </c>
      <c r="AB393" s="155">
        <f t="shared" si="162"/>
        <v>0</v>
      </c>
      <c r="AC393" s="155">
        <f t="shared" si="162"/>
        <v>0</v>
      </c>
      <c r="AD393" s="155">
        <f t="shared" si="162"/>
        <v>0</v>
      </c>
      <c r="AE393" s="155">
        <f t="shared" si="162"/>
        <v>0</v>
      </c>
      <c r="AF393" s="155">
        <f t="shared" si="162"/>
        <v>0</v>
      </c>
      <c r="AG393" s="155">
        <f t="shared" si="162"/>
        <v>0</v>
      </c>
      <c r="AH393" s="155">
        <f t="shared" si="162"/>
        <v>0</v>
      </c>
      <c r="AI393" s="155">
        <f t="shared" si="162"/>
        <v>0</v>
      </c>
      <c r="AJ393" s="155">
        <f t="shared" si="162"/>
        <v>0</v>
      </c>
      <c r="AK393" s="155">
        <f t="shared" si="162"/>
        <v>0</v>
      </c>
      <c r="AL393" s="155">
        <f t="shared" si="162"/>
        <v>0</v>
      </c>
      <c r="AM393" s="155">
        <f t="shared" si="162"/>
        <v>0</v>
      </c>
      <c r="AN393" s="155">
        <f t="shared" si="162"/>
        <v>0</v>
      </c>
      <c r="AO393" s="155">
        <f t="shared" si="162"/>
        <v>0</v>
      </c>
      <c r="AP393" s="155">
        <f t="shared" si="162"/>
        <v>0</v>
      </c>
    </row>
    <row r="394" spans="1:42" x14ac:dyDescent="0.2">
      <c r="A394" s="4">
        <f>A393+1</f>
        <v>9</v>
      </c>
      <c r="B394" s="174">
        <f t="shared" si="153"/>
        <v>0</v>
      </c>
      <c r="C394" s="155">
        <f t="shared" ref="C394:AP394" si="163">LOOKUP(C382,$B$318:$AP$318,$B$319:$AP$319)/100*$B732</f>
        <v>0</v>
      </c>
      <c r="D394" s="155">
        <f t="shared" si="163"/>
        <v>0</v>
      </c>
      <c r="E394" s="155">
        <f t="shared" si="163"/>
        <v>0</v>
      </c>
      <c r="F394" s="155">
        <f t="shared" si="163"/>
        <v>0</v>
      </c>
      <c r="G394" s="155">
        <f t="shared" si="163"/>
        <v>0</v>
      </c>
      <c r="H394" s="155">
        <f t="shared" si="163"/>
        <v>0</v>
      </c>
      <c r="I394" s="155">
        <f t="shared" si="163"/>
        <v>0</v>
      </c>
      <c r="J394" s="155">
        <f t="shared" si="163"/>
        <v>0</v>
      </c>
      <c r="K394" s="155">
        <f t="shared" si="163"/>
        <v>0</v>
      </c>
      <c r="L394" s="155">
        <f t="shared" si="163"/>
        <v>0</v>
      </c>
      <c r="M394" s="155">
        <f t="shared" si="163"/>
        <v>0</v>
      </c>
      <c r="N394" s="155">
        <f t="shared" si="163"/>
        <v>0</v>
      </c>
      <c r="O394" s="155">
        <f t="shared" si="163"/>
        <v>0</v>
      </c>
      <c r="P394" s="155">
        <f t="shared" si="163"/>
        <v>0</v>
      </c>
      <c r="Q394" s="155">
        <f t="shared" si="163"/>
        <v>0</v>
      </c>
      <c r="R394" s="155">
        <f t="shared" si="163"/>
        <v>0</v>
      </c>
      <c r="S394" s="155">
        <f t="shared" si="163"/>
        <v>0</v>
      </c>
      <c r="T394" s="155">
        <f t="shared" si="163"/>
        <v>0</v>
      </c>
      <c r="U394" s="155">
        <f t="shared" si="163"/>
        <v>0</v>
      </c>
      <c r="V394" s="155">
        <f t="shared" si="163"/>
        <v>0</v>
      </c>
      <c r="W394" s="155">
        <f t="shared" si="163"/>
        <v>0</v>
      </c>
      <c r="X394" s="155">
        <f t="shared" si="163"/>
        <v>0</v>
      </c>
      <c r="Y394" s="155">
        <f t="shared" si="163"/>
        <v>0</v>
      </c>
      <c r="Z394" s="155">
        <f t="shared" si="163"/>
        <v>0</v>
      </c>
      <c r="AA394" s="155">
        <f t="shared" si="163"/>
        <v>0</v>
      </c>
      <c r="AB394" s="155">
        <f t="shared" si="163"/>
        <v>0</v>
      </c>
      <c r="AC394" s="155">
        <f t="shared" si="163"/>
        <v>0</v>
      </c>
      <c r="AD394" s="155">
        <f t="shared" si="163"/>
        <v>0</v>
      </c>
      <c r="AE394" s="155">
        <f t="shared" si="163"/>
        <v>0</v>
      </c>
      <c r="AF394" s="155">
        <f t="shared" si="163"/>
        <v>0</v>
      </c>
      <c r="AG394" s="155">
        <f t="shared" si="163"/>
        <v>0</v>
      </c>
      <c r="AH394" s="155">
        <f t="shared" si="163"/>
        <v>0</v>
      </c>
      <c r="AI394" s="155">
        <f t="shared" si="163"/>
        <v>0</v>
      </c>
      <c r="AJ394" s="155">
        <f t="shared" si="163"/>
        <v>0</v>
      </c>
      <c r="AK394" s="155">
        <f t="shared" si="163"/>
        <v>0</v>
      </c>
      <c r="AL394" s="155">
        <f t="shared" si="163"/>
        <v>0</v>
      </c>
      <c r="AM394" s="155">
        <f t="shared" si="163"/>
        <v>0</v>
      </c>
      <c r="AN394" s="155">
        <f t="shared" si="163"/>
        <v>0</v>
      </c>
      <c r="AO394" s="155">
        <f t="shared" si="163"/>
        <v>0</v>
      </c>
      <c r="AP394" s="155">
        <f t="shared" si="163"/>
        <v>0</v>
      </c>
    </row>
    <row r="395" spans="1:42" x14ac:dyDescent="0.2">
      <c r="A395" s="4">
        <f t="shared" si="156"/>
        <v>10</v>
      </c>
      <c r="B395" s="174">
        <f t="shared" si="153"/>
        <v>0</v>
      </c>
      <c r="C395" s="171">
        <f t="shared" ref="C395:AP395" si="164">LOOKUP(C383,$B$318:$AP$318,$B$319:$AP$319)/100*$B733</f>
        <v>0</v>
      </c>
      <c r="D395" s="156">
        <f t="shared" si="164"/>
        <v>0</v>
      </c>
      <c r="E395" s="156">
        <f t="shared" si="164"/>
        <v>0</v>
      </c>
      <c r="F395" s="156">
        <f t="shared" si="164"/>
        <v>0</v>
      </c>
      <c r="G395" s="156">
        <f t="shared" si="164"/>
        <v>0</v>
      </c>
      <c r="H395" s="156">
        <f t="shared" si="164"/>
        <v>0</v>
      </c>
      <c r="I395" s="156">
        <f t="shared" si="164"/>
        <v>0</v>
      </c>
      <c r="J395" s="156">
        <f t="shared" si="164"/>
        <v>0</v>
      </c>
      <c r="K395" s="156">
        <f t="shared" si="164"/>
        <v>0</v>
      </c>
      <c r="L395" s="156">
        <f t="shared" si="164"/>
        <v>0</v>
      </c>
      <c r="M395" s="156">
        <f t="shared" si="164"/>
        <v>0</v>
      </c>
      <c r="N395" s="156">
        <f t="shared" si="164"/>
        <v>0</v>
      </c>
      <c r="O395" s="156">
        <f t="shared" si="164"/>
        <v>0</v>
      </c>
      <c r="P395" s="156">
        <f t="shared" si="164"/>
        <v>0</v>
      </c>
      <c r="Q395" s="156">
        <f t="shared" si="164"/>
        <v>0</v>
      </c>
      <c r="R395" s="156">
        <f t="shared" si="164"/>
        <v>0</v>
      </c>
      <c r="S395" s="156">
        <f t="shared" si="164"/>
        <v>0</v>
      </c>
      <c r="T395" s="156">
        <f t="shared" si="164"/>
        <v>0</v>
      </c>
      <c r="U395" s="156">
        <f t="shared" si="164"/>
        <v>0</v>
      </c>
      <c r="V395" s="156">
        <f t="shared" si="164"/>
        <v>0</v>
      </c>
      <c r="W395" s="156">
        <f t="shared" si="164"/>
        <v>0</v>
      </c>
      <c r="X395" s="156">
        <f t="shared" si="164"/>
        <v>0</v>
      </c>
      <c r="Y395" s="156">
        <f t="shared" si="164"/>
        <v>0</v>
      </c>
      <c r="Z395" s="156">
        <f t="shared" si="164"/>
        <v>0</v>
      </c>
      <c r="AA395" s="156">
        <f t="shared" si="164"/>
        <v>0</v>
      </c>
      <c r="AB395" s="156">
        <f t="shared" si="164"/>
        <v>0</v>
      </c>
      <c r="AC395" s="156">
        <f t="shared" si="164"/>
        <v>0</v>
      </c>
      <c r="AD395" s="156">
        <f t="shared" si="164"/>
        <v>0</v>
      </c>
      <c r="AE395" s="156">
        <f t="shared" si="164"/>
        <v>0</v>
      </c>
      <c r="AF395" s="156">
        <f t="shared" si="164"/>
        <v>0</v>
      </c>
      <c r="AG395" s="156">
        <f t="shared" si="164"/>
        <v>0</v>
      </c>
      <c r="AH395" s="156">
        <f t="shared" si="164"/>
        <v>0</v>
      </c>
      <c r="AI395" s="156">
        <f t="shared" si="164"/>
        <v>0</v>
      </c>
      <c r="AJ395" s="156">
        <f t="shared" si="164"/>
        <v>0</v>
      </c>
      <c r="AK395" s="156">
        <f t="shared" si="164"/>
        <v>0</v>
      </c>
      <c r="AL395" s="156">
        <f t="shared" si="164"/>
        <v>0</v>
      </c>
      <c r="AM395" s="156">
        <f t="shared" si="164"/>
        <v>0</v>
      </c>
      <c r="AN395" s="156">
        <f t="shared" si="164"/>
        <v>0</v>
      </c>
      <c r="AO395" s="156">
        <f t="shared" si="164"/>
        <v>0</v>
      </c>
      <c r="AP395" s="156">
        <f t="shared" si="164"/>
        <v>0</v>
      </c>
    </row>
    <row r="396" spans="1:42" ht="12" customHeight="1" x14ac:dyDescent="0.2">
      <c r="A396" s="24" t="s">
        <v>13</v>
      </c>
      <c r="B396" s="14"/>
      <c r="C396" s="155">
        <f>SUM(C386:C395)</f>
        <v>0</v>
      </c>
      <c r="D396" s="155">
        <f t="shared" ref="D396:AP396" si="165">SUM(D386:D395)</f>
        <v>0</v>
      </c>
      <c r="E396" s="155">
        <f t="shared" si="165"/>
        <v>0</v>
      </c>
      <c r="F396" s="155">
        <f t="shared" si="165"/>
        <v>0</v>
      </c>
      <c r="G396" s="155">
        <f t="shared" si="165"/>
        <v>0</v>
      </c>
      <c r="H396" s="155">
        <f t="shared" si="165"/>
        <v>0</v>
      </c>
      <c r="I396" s="155">
        <f t="shared" si="165"/>
        <v>0</v>
      </c>
      <c r="J396" s="155">
        <f t="shared" si="165"/>
        <v>0</v>
      </c>
      <c r="K396" s="155">
        <f t="shared" si="165"/>
        <v>0</v>
      </c>
      <c r="L396" s="155">
        <f t="shared" si="165"/>
        <v>0</v>
      </c>
      <c r="M396" s="155">
        <f t="shared" si="165"/>
        <v>0</v>
      </c>
      <c r="N396" s="155">
        <f t="shared" si="165"/>
        <v>0</v>
      </c>
      <c r="O396" s="155">
        <f t="shared" si="165"/>
        <v>0</v>
      </c>
      <c r="P396" s="155">
        <f t="shared" si="165"/>
        <v>0</v>
      </c>
      <c r="Q396" s="155">
        <f t="shared" si="165"/>
        <v>0</v>
      </c>
      <c r="R396" s="155">
        <f t="shared" si="165"/>
        <v>0</v>
      </c>
      <c r="S396" s="155">
        <f t="shared" si="165"/>
        <v>0</v>
      </c>
      <c r="T396" s="155">
        <f t="shared" si="165"/>
        <v>0</v>
      </c>
      <c r="U396" s="155">
        <f t="shared" si="165"/>
        <v>0</v>
      </c>
      <c r="V396" s="155">
        <f t="shared" si="165"/>
        <v>0</v>
      </c>
      <c r="W396" s="155">
        <f t="shared" si="165"/>
        <v>0</v>
      </c>
      <c r="X396" s="155">
        <f t="shared" si="165"/>
        <v>0</v>
      </c>
      <c r="Y396" s="155">
        <f t="shared" si="165"/>
        <v>0</v>
      </c>
      <c r="Z396" s="155">
        <f t="shared" si="165"/>
        <v>0</v>
      </c>
      <c r="AA396" s="155">
        <f t="shared" si="165"/>
        <v>0</v>
      </c>
      <c r="AB396" s="155">
        <f t="shared" si="165"/>
        <v>0</v>
      </c>
      <c r="AC396" s="155">
        <f t="shared" si="165"/>
        <v>0</v>
      </c>
      <c r="AD396" s="155">
        <f t="shared" si="165"/>
        <v>0</v>
      </c>
      <c r="AE396" s="155">
        <f t="shared" si="165"/>
        <v>0</v>
      </c>
      <c r="AF396" s="155">
        <f t="shared" si="165"/>
        <v>0</v>
      </c>
      <c r="AG396" s="155">
        <f t="shared" si="165"/>
        <v>0</v>
      </c>
      <c r="AH396" s="155">
        <f t="shared" si="165"/>
        <v>0</v>
      </c>
      <c r="AI396" s="155">
        <f t="shared" si="165"/>
        <v>0</v>
      </c>
      <c r="AJ396" s="155">
        <f t="shared" si="165"/>
        <v>0</v>
      </c>
      <c r="AK396" s="155">
        <f t="shared" si="165"/>
        <v>0</v>
      </c>
      <c r="AL396" s="155">
        <f t="shared" si="165"/>
        <v>0</v>
      </c>
      <c r="AM396" s="155">
        <f t="shared" si="165"/>
        <v>0</v>
      </c>
      <c r="AN396" s="155">
        <f t="shared" si="165"/>
        <v>0</v>
      </c>
      <c r="AO396" s="155">
        <f t="shared" si="165"/>
        <v>0</v>
      </c>
      <c r="AP396" s="155">
        <f t="shared" si="165"/>
        <v>0</v>
      </c>
    </row>
    <row r="397" spans="1:42" x14ac:dyDescent="0.2">
      <c r="A397" s="21"/>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row>
    <row r="398" spans="1:42" x14ac:dyDescent="0.2">
      <c r="A398" s="19" t="s">
        <v>447</v>
      </c>
    </row>
    <row r="399" spans="1:42" ht="15" customHeight="1" x14ac:dyDescent="0.2">
      <c r="A399" s="331" t="s">
        <v>448</v>
      </c>
      <c r="B399" s="343" t="s">
        <v>423</v>
      </c>
      <c r="C399" s="344"/>
      <c r="D399" s="343" t="s">
        <v>424</v>
      </c>
      <c r="E399" s="345"/>
      <c r="F399" s="344"/>
      <c r="G399" s="343" t="s">
        <v>425</v>
      </c>
      <c r="H399" s="345"/>
      <c r="I399" s="345"/>
      <c r="J399" s="344"/>
      <c r="K399" s="348" t="s">
        <v>426</v>
      </c>
      <c r="L399" s="349"/>
      <c r="M399" s="343" t="s">
        <v>427</v>
      </c>
      <c r="N399" s="345"/>
      <c r="O399" s="344"/>
      <c r="P399" s="321" t="s">
        <v>428</v>
      </c>
      <c r="Q399" s="346" t="s">
        <v>79</v>
      </c>
    </row>
    <row r="400" spans="1:42" ht="51" x14ac:dyDescent="0.2">
      <c r="A400" s="37" t="s">
        <v>449</v>
      </c>
      <c r="B400" s="226" t="s">
        <v>456</v>
      </c>
      <c r="C400" s="324" t="s">
        <v>48</v>
      </c>
      <c r="D400" s="226" t="s">
        <v>49</v>
      </c>
      <c r="E400" s="324" t="s">
        <v>50</v>
      </c>
      <c r="F400" s="324" t="s">
        <v>51</v>
      </c>
      <c r="G400" s="226" t="s">
        <v>55</v>
      </c>
      <c r="H400" s="324" t="s">
        <v>57</v>
      </c>
      <c r="I400" s="324" t="s">
        <v>56</v>
      </c>
      <c r="J400" s="324" t="s">
        <v>58</v>
      </c>
      <c r="K400" s="226" t="s">
        <v>56</v>
      </c>
      <c r="L400" s="136" t="s">
        <v>58</v>
      </c>
      <c r="M400" s="226" t="s">
        <v>60</v>
      </c>
      <c r="N400" s="324" t="s">
        <v>61</v>
      </c>
      <c r="O400" s="327" t="s">
        <v>52</v>
      </c>
      <c r="P400" s="334" t="s">
        <v>78</v>
      </c>
      <c r="Q400" s="347"/>
    </row>
    <row r="401" spans="1:17" x14ac:dyDescent="0.2">
      <c r="A401" s="21" t="str">
        <f t="shared" ref="A401:A406" si="166">A263</f>
        <v>5-yr MACRS</v>
      </c>
      <c r="B401" s="205">
        <f>IF(Inputs!$C$145=0,0,depr_alloc_macrs_5_percent*100/Inputs!$C$145)</f>
        <v>0</v>
      </c>
      <c r="C401" s="119">
        <f>$B$257*depr_alloc_macrs_5_percent/100</f>
        <v>0</v>
      </c>
      <c r="D401" s="123">
        <f>$B401/100*($B$419+$B$425)</f>
        <v>0</v>
      </c>
      <c r="E401" s="119">
        <f>$B401/100*$B$431</f>
        <v>0</v>
      </c>
      <c r="F401" s="119">
        <f>C401-D401-E401</f>
        <v>0</v>
      </c>
      <c r="G401" s="123">
        <f>IF(Inputs!F137="Yes",F401,0)</f>
        <v>0</v>
      </c>
      <c r="H401" s="131">
        <f t="shared" ref="H401:H407" si="167">IF($G$408=0,0,G401/$G$408)*100</f>
        <v>0</v>
      </c>
      <c r="I401" s="119">
        <f t="shared" ref="I401:I407" si="168">$I$408*H401/100</f>
        <v>0</v>
      </c>
      <c r="J401" s="119">
        <f>I401*0.5</f>
        <v>0</v>
      </c>
      <c r="K401" s="123">
        <f t="shared" ref="K401:K407" si="169">H401/100*$K$408</f>
        <v>0</v>
      </c>
      <c r="L401" s="119">
        <f>K401*0.5</f>
        <v>0</v>
      </c>
      <c r="M401" s="123">
        <f t="shared" ref="M401:M407" si="170">IF(itc_sta_amount_deprbas_fed="Yes",L263,0)+IF(itc_sta_percent_deprbas_fed="Yes",J263,0)</f>
        <v>0</v>
      </c>
      <c r="N401" s="119">
        <f t="shared" ref="N401:N407" si="171">IF(itc_fed_amount_deprbas_fed="Yes",L401,0)+IF(itc_fed_percent_deprbas_fed="Yes",J401,0)</f>
        <v>0</v>
      </c>
      <c r="O401" s="127">
        <f t="shared" ref="O401:O407" si="172">F401-M401-N401</f>
        <v>0</v>
      </c>
      <c r="P401" s="119">
        <f>IF(Inputs!D137="Yes",O401*depr_bonus_fed/100,0)</f>
        <v>0</v>
      </c>
      <c r="Q401" s="121">
        <f>O401-P401</f>
        <v>0</v>
      </c>
    </row>
    <row r="402" spans="1:17" x14ac:dyDescent="0.2">
      <c r="A402" s="21" t="str">
        <f t="shared" si="166"/>
        <v>15-yr MACRS</v>
      </c>
      <c r="B402" s="205">
        <f>IF(Inputs!$C$145=0,0,depr_alloc_macrs_15_percent*100/Inputs!$C$145)</f>
        <v>0</v>
      </c>
      <c r="C402" s="119">
        <f>$B$257*depr_alloc_macrs_15_percent/100</f>
        <v>0</v>
      </c>
      <c r="D402" s="123">
        <f t="shared" ref="D402:D407" si="173">$B402/100*($B$419+$B$425)</f>
        <v>0</v>
      </c>
      <c r="E402" s="119">
        <f t="shared" ref="E402:E407" si="174">$B402/100*$B$431</f>
        <v>0</v>
      </c>
      <c r="F402" s="119">
        <f t="shared" ref="F402:F407" si="175">C402-D402-E402</f>
        <v>0</v>
      </c>
      <c r="G402" s="123">
        <f>IF(Inputs!F138="Yes",F402,0)</f>
        <v>0</v>
      </c>
      <c r="H402" s="131">
        <f t="shared" si="167"/>
        <v>0</v>
      </c>
      <c r="I402" s="119">
        <f t="shared" si="168"/>
        <v>0</v>
      </c>
      <c r="J402" s="119">
        <f t="shared" ref="J402:J407" si="176">I402*0.5</f>
        <v>0</v>
      </c>
      <c r="K402" s="123">
        <f t="shared" si="169"/>
        <v>0</v>
      </c>
      <c r="L402" s="119">
        <f t="shared" ref="L402:L407" si="177">K402*0.5</f>
        <v>0</v>
      </c>
      <c r="M402" s="123">
        <f t="shared" si="170"/>
        <v>0</v>
      </c>
      <c r="N402" s="119">
        <f t="shared" si="171"/>
        <v>0</v>
      </c>
      <c r="O402" s="127">
        <f t="shared" si="172"/>
        <v>0</v>
      </c>
      <c r="P402" s="119">
        <f>IF(Inputs!D138="Yes",O402*depr_bonus_fed/100,0)</f>
        <v>0</v>
      </c>
      <c r="Q402" s="121">
        <f t="shared" ref="Q402:Q407" si="178">O402-P402</f>
        <v>0</v>
      </c>
    </row>
    <row r="403" spans="1:17" x14ac:dyDescent="0.2">
      <c r="A403" s="21" t="str">
        <f t="shared" si="166"/>
        <v>5-yr SL</v>
      </c>
      <c r="B403" s="205">
        <f>IF(Inputs!$C$145=0,0,depr_alloc_sl_5_percent*100/Inputs!$C$145)</f>
        <v>0</v>
      </c>
      <c r="C403" s="119">
        <f>$B$257*depr_alloc_sl_5_percent/100</f>
        <v>0</v>
      </c>
      <c r="D403" s="123">
        <f t="shared" si="173"/>
        <v>0</v>
      </c>
      <c r="E403" s="119">
        <f t="shared" si="174"/>
        <v>0</v>
      </c>
      <c r="F403" s="119">
        <f t="shared" si="175"/>
        <v>0</v>
      </c>
      <c r="G403" s="123">
        <f>IF(Inputs!F139="Yes",F403,0)</f>
        <v>0</v>
      </c>
      <c r="H403" s="131">
        <f t="shared" si="167"/>
        <v>0</v>
      </c>
      <c r="I403" s="119">
        <f t="shared" si="168"/>
        <v>0</v>
      </c>
      <c r="J403" s="119">
        <f t="shared" si="176"/>
        <v>0</v>
      </c>
      <c r="K403" s="123">
        <f t="shared" si="169"/>
        <v>0</v>
      </c>
      <c r="L403" s="119">
        <f t="shared" si="177"/>
        <v>0</v>
      </c>
      <c r="M403" s="123">
        <f t="shared" si="170"/>
        <v>0</v>
      </c>
      <c r="N403" s="119">
        <f t="shared" si="171"/>
        <v>0</v>
      </c>
      <c r="O403" s="127">
        <f t="shared" si="172"/>
        <v>0</v>
      </c>
      <c r="P403" s="119">
        <f>IF(Inputs!D139="Yes",O403*depr_bonus_fed/100,0)</f>
        <v>0</v>
      </c>
      <c r="Q403" s="121">
        <f t="shared" si="178"/>
        <v>0</v>
      </c>
    </row>
    <row r="404" spans="1:17" x14ac:dyDescent="0.2">
      <c r="A404" s="21" t="str">
        <f t="shared" si="166"/>
        <v>15-yr SL</v>
      </c>
      <c r="B404" s="205">
        <f>IF(Inputs!$C$145=0,0,depr_alloc_sl_15_percent*100/Inputs!$C$145)</f>
        <v>0</v>
      </c>
      <c r="C404" s="119">
        <f>$B$257*depr_alloc_sl_15_percent/100</f>
        <v>0</v>
      </c>
      <c r="D404" s="123">
        <f t="shared" si="173"/>
        <v>0</v>
      </c>
      <c r="E404" s="119">
        <f t="shared" si="174"/>
        <v>0</v>
      </c>
      <c r="F404" s="119">
        <f t="shared" si="175"/>
        <v>0</v>
      </c>
      <c r="G404" s="123">
        <f>IF(Inputs!F140="Yes",F404,0)</f>
        <v>0</v>
      </c>
      <c r="H404" s="131">
        <f t="shared" si="167"/>
        <v>0</v>
      </c>
      <c r="I404" s="119">
        <f t="shared" si="168"/>
        <v>0</v>
      </c>
      <c r="J404" s="119">
        <f t="shared" si="176"/>
        <v>0</v>
      </c>
      <c r="K404" s="123">
        <f t="shared" si="169"/>
        <v>0</v>
      </c>
      <c r="L404" s="119">
        <f t="shared" si="177"/>
        <v>0</v>
      </c>
      <c r="M404" s="123">
        <f t="shared" si="170"/>
        <v>0</v>
      </c>
      <c r="N404" s="119">
        <f t="shared" si="171"/>
        <v>0</v>
      </c>
      <c r="O404" s="127">
        <f t="shared" si="172"/>
        <v>0</v>
      </c>
      <c r="P404" s="119">
        <f>IF(Inputs!D140="Yes",O404*depr_bonus_fed/100,0)</f>
        <v>0</v>
      </c>
      <c r="Q404" s="121">
        <f t="shared" si="178"/>
        <v>0</v>
      </c>
    </row>
    <row r="405" spans="1:17" x14ac:dyDescent="0.2">
      <c r="A405" s="21" t="str">
        <f t="shared" si="166"/>
        <v>20-yr SL</v>
      </c>
      <c r="B405" s="205">
        <f>IF(Inputs!$C$145=0,0,depr_alloc_sl_20_percent*100/Inputs!$C$145)</f>
        <v>0</v>
      </c>
      <c r="C405" s="119">
        <f>$B$257*depr_alloc_sl_20_percent/100</f>
        <v>0</v>
      </c>
      <c r="D405" s="123">
        <f t="shared" si="173"/>
        <v>0</v>
      </c>
      <c r="E405" s="119">
        <f t="shared" si="174"/>
        <v>0</v>
      </c>
      <c r="F405" s="119">
        <f t="shared" si="175"/>
        <v>0</v>
      </c>
      <c r="G405" s="123">
        <f>IF(Inputs!F141="Yes",F405,0)</f>
        <v>0</v>
      </c>
      <c r="H405" s="131">
        <f t="shared" si="167"/>
        <v>0</v>
      </c>
      <c r="I405" s="119">
        <f t="shared" si="168"/>
        <v>0</v>
      </c>
      <c r="J405" s="119">
        <f t="shared" si="176"/>
        <v>0</v>
      </c>
      <c r="K405" s="123">
        <f t="shared" si="169"/>
        <v>0</v>
      </c>
      <c r="L405" s="119">
        <f t="shared" si="177"/>
        <v>0</v>
      </c>
      <c r="M405" s="123">
        <f t="shared" si="170"/>
        <v>0</v>
      </c>
      <c r="N405" s="119">
        <f t="shared" si="171"/>
        <v>0</v>
      </c>
      <c r="O405" s="127">
        <f t="shared" si="172"/>
        <v>0</v>
      </c>
      <c r="P405" s="119">
        <f>IF(Inputs!D141="Yes",O405*depr_bonus_fed/100,0)</f>
        <v>0</v>
      </c>
      <c r="Q405" s="121">
        <f t="shared" si="178"/>
        <v>0</v>
      </c>
    </row>
    <row r="406" spans="1:17" x14ac:dyDescent="0.2">
      <c r="A406" s="21" t="str">
        <f t="shared" si="166"/>
        <v>39-yr SL</v>
      </c>
      <c r="B406" s="205">
        <f>IF(Inputs!$C$145=0,0,depr_alloc_sl_39_percent*100/Inputs!$C$145)</f>
        <v>0</v>
      </c>
      <c r="C406" s="119">
        <f>$B$257*depr_alloc_sl_39_percent/100</f>
        <v>0</v>
      </c>
      <c r="D406" s="123">
        <f t="shared" si="173"/>
        <v>0</v>
      </c>
      <c r="E406" s="119">
        <f t="shared" si="174"/>
        <v>0</v>
      </c>
      <c r="F406" s="119">
        <f t="shared" si="175"/>
        <v>0</v>
      </c>
      <c r="G406" s="123">
        <f>IF(Inputs!F142="Yes",F406,0)</f>
        <v>0</v>
      </c>
      <c r="H406" s="131">
        <f t="shared" si="167"/>
        <v>0</v>
      </c>
      <c r="I406" s="119">
        <f t="shared" si="168"/>
        <v>0</v>
      </c>
      <c r="J406" s="119">
        <f t="shared" si="176"/>
        <v>0</v>
      </c>
      <c r="K406" s="123">
        <f t="shared" si="169"/>
        <v>0</v>
      </c>
      <c r="L406" s="119">
        <f t="shared" si="177"/>
        <v>0</v>
      </c>
      <c r="M406" s="123">
        <f t="shared" si="170"/>
        <v>0</v>
      </c>
      <c r="N406" s="119">
        <f t="shared" si="171"/>
        <v>0</v>
      </c>
      <c r="O406" s="127">
        <f t="shared" si="172"/>
        <v>0</v>
      </c>
      <c r="P406" s="119">
        <f>IF(Inputs!D142="Yes",O406*depr_bonus_fed/100,0)</f>
        <v>0</v>
      </c>
      <c r="Q406" s="121">
        <f t="shared" si="178"/>
        <v>0</v>
      </c>
    </row>
    <row r="407" spans="1:17" x14ac:dyDescent="0.2">
      <c r="A407" s="21" t="s">
        <v>354</v>
      </c>
      <c r="B407" s="205">
        <f>IF(Inputs!$C$145=0,0,depr_alloc_custom_percent*100/Inputs!$C$145)</f>
        <v>0</v>
      </c>
      <c r="C407" s="119">
        <f>$B$257*depr_alloc_custom_percent/100</f>
        <v>0</v>
      </c>
      <c r="D407" s="123">
        <f t="shared" si="173"/>
        <v>0</v>
      </c>
      <c r="E407" s="119">
        <f t="shared" si="174"/>
        <v>0</v>
      </c>
      <c r="F407" s="119">
        <f t="shared" si="175"/>
        <v>0</v>
      </c>
      <c r="G407" s="123">
        <f>IF(Inputs!F143="Yes",F407,0)</f>
        <v>0</v>
      </c>
      <c r="H407" s="131">
        <f t="shared" si="167"/>
        <v>0</v>
      </c>
      <c r="I407" s="119">
        <f t="shared" si="168"/>
        <v>0</v>
      </c>
      <c r="J407" s="119">
        <f t="shared" si="176"/>
        <v>0</v>
      </c>
      <c r="K407" s="123">
        <f t="shared" si="169"/>
        <v>0</v>
      </c>
      <c r="L407" s="119">
        <f t="shared" si="177"/>
        <v>0</v>
      </c>
      <c r="M407" s="123">
        <f t="shared" si="170"/>
        <v>0</v>
      </c>
      <c r="N407" s="119">
        <f t="shared" si="171"/>
        <v>0</v>
      </c>
      <c r="O407" s="127">
        <f t="shared" si="172"/>
        <v>0</v>
      </c>
      <c r="P407" s="119">
        <f>IF(Inputs!D143="Yes",O407*depr_bonus_fed/100,0)</f>
        <v>0</v>
      </c>
      <c r="Q407" s="121">
        <f t="shared" si="178"/>
        <v>0</v>
      </c>
    </row>
    <row r="408" spans="1:17" x14ac:dyDescent="0.2">
      <c r="A408" s="333" t="s">
        <v>13</v>
      </c>
      <c r="B408" s="294">
        <f t="shared" ref="B408:H408" si="179">SUM(B401:B407)</f>
        <v>0</v>
      </c>
      <c r="C408" s="134">
        <f t="shared" si="179"/>
        <v>0</v>
      </c>
      <c r="D408" s="132">
        <f t="shared" si="179"/>
        <v>0</v>
      </c>
      <c r="E408" s="134">
        <f t="shared" si="179"/>
        <v>0</v>
      </c>
      <c r="F408" s="134">
        <f t="shared" si="179"/>
        <v>0</v>
      </c>
      <c r="G408" s="132">
        <f t="shared" si="179"/>
        <v>0</v>
      </c>
      <c r="H408" s="133">
        <f t="shared" si="179"/>
        <v>0</v>
      </c>
      <c r="I408" s="134">
        <f>SUM(C549:AP549)</f>
        <v>0</v>
      </c>
      <c r="J408" s="134">
        <f>SUM(J401:J407)</f>
        <v>0</v>
      </c>
      <c r="K408" s="132">
        <f>SUM(C546:AP546)</f>
        <v>0</v>
      </c>
      <c r="L408" s="134">
        <f t="shared" ref="L408:Q408" si="180">SUM(L401:L407)</f>
        <v>0</v>
      </c>
      <c r="M408" s="132">
        <f t="shared" si="180"/>
        <v>0</v>
      </c>
      <c r="N408" s="134">
        <f t="shared" si="180"/>
        <v>0</v>
      </c>
      <c r="O408" s="135">
        <f t="shared" si="180"/>
        <v>0</v>
      </c>
      <c r="P408" s="135">
        <f t="shared" si="180"/>
        <v>0</v>
      </c>
      <c r="Q408" s="173">
        <f t="shared" si="180"/>
        <v>0</v>
      </c>
    </row>
    <row r="409" spans="1:17" x14ac:dyDescent="0.2">
      <c r="A409" s="21"/>
      <c r="B409" s="332"/>
      <c r="C409" s="119"/>
      <c r="D409" s="119"/>
      <c r="E409" s="119"/>
      <c r="F409" s="119"/>
      <c r="G409" s="119"/>
      <c r="H409" s="131"/>
      <c r="I409" s="119"/>
      <c r="J409" s="119"/>
      <c r="K409" s="119"/>
      <c r="L409" s="119"/>
      <c r="M409" s="119"/>
      <c r="N409" s="119"/>
      <c r="O409" s="119"/>
      <c r="P409" s="119"/>
      <c r="Q409" s="119"/>
    </row>
    <row r="410" spans="1:17" x14ac:dyDescent="0.2">
      <c r="A410" s="17" t="s">
        <v>450</v>
      </c>
      <c r="B410" s="332">
        <f>G408</f>
        <v>0</v>
      </c>
      <c r="C410" s="119"/>
      <c r="D410" s="119"/>
      <c r="E410" s="119"/>
      <c r="F410" s="119"/>
      <c r="G410" s="119"/>
      <c r="H410" s="131"/>
      <c r="I410" s="119"/>
      <c r="J410" s="119"/>
      <c r="K410" s="119"/>
      <c r="L410" s="119"/>
      <c r="M410" s="119"/>
      <c r="N410" s="119"/>
      <c r="O410" s="119"/>
      <c r="P410" s="119"/>
      <c r="Q410" s="119"/>
    </row>
    <row r="412" spans="1:17" x14ac:dyDescent="0.2">
      <c r="A412" s="4" t="s">
        <v>441</v>
      </c>
    </row>
    <row r="413" spans="1:17" x14ac:dyDescent="0.2">
      <c r="A413" s="86" t="str">
        <f>A275</f>
        <v>Investment Based Incentive (IBI)</v>
      </c>
    </row>
    <row r="414" spans="1:17" x14ac:dyDescent="0.2">
      <c r="A414" s="21" t="str">
        <f>A276</f>
        <v>As fixed amount</v>
      </c>
    </row>
    <row r="415" spans="1:17" x14ac:dyDescent="0.2">
      <c r="A415" s="87" t="s">
        <v>4</v>
      </c>
      <c r="B415" s="155">
        <f>IF(ibi_fed_amount_deprbas_fed="Yes",ibi_fed_amount,0)</f>
        <v>0</v>
      </c>
    </row>
    <row r="416" spans="1:17" x14ac:dyDescent="0.2">
      <c r="A416" s="87" t="s">
        <v>5</v>
      </c>
      <c r="B416" s="155">
        <f>IF(ibi_sta_amount_deprbas_fed="Yes",ibi_sta_amount,0)</f>
        <v>0</v>
      </c>
    </row>
    <row r="417" spans="1:2" x14ac:dyDescent="0.2">
      <c r="A417" s="87" t="s">
        <v>170</v>
      </c>
      <c r="B417" s="155">
        <f>IF(ibi_uti_amount_deprbas_fed="Yes",ibi_uti_amount,0)</f>
        <v>0</v>
      </c>
    </row>
    <row r="418" spans="1:2" x14ac:dyDescent="0.2">
      <c r="A418" s="87" t="s">
        <v>171</v>
      </c>
      <c r="B418" s="156">
        <f>IF(ibi_oth_amount_deprbas_fed="Yes",ibi_oth_amount,0)</f>
        <v>0</v>
      </c>
    </row>
    <row r="419" spans="1:2" x14ac:dyDescent="0.2">
      <c r="A419" s="87" t="str">
        <f>A281</f>
        <v>Total basis reduction for IBI as fixed amount</v>
      </c>
      <c r="B419" s="155">
        <f>SUM(B415:B418)</f>
        <v>0</v>
      </c>
    </row>
    <row r="420" spans="1:2" x14ac:dyDescent="0.2">
      <c r="A420" s="21" t="str">
        <f>A282</f>
        <v>As percentage</v>
      </c>
    </row>
    <row r="421" spans="1:2" x14ac:dyDescent="0.2">
      <c r="A421" s="87" t="s">
        <v>4</v>
      </c>
      <c r="B421" s="155">
        <f>IF(ibi_fed_percent_deprbas_fed="Yes",C573,0)</f>
        <v>0</v>
      </c>
    </row>
    <row r="422" spans="1:2" x14ac:dyDescent="0.2">
      <c r="A422" s="87" t="s">
        <v>5</v>
      </c>
      <c r="B422" s="155">
        <f>IF(ibi_sta_percent_deprbas_fed="Yes",C574,0)</f>
        <v>0</v>
      </c>
    </row>
    <row r="423" spans="1:2" x14ac:dyDescent="0.2">
      <c r="A423" s="87" t="s">
        <v>170</v>
      </c>
      <c r="B423" s="155">
        <f>IF(ibi_uti_percent_deprbas_fed="Yes",C575,0)</f>
        <v>0</v>
      </c>
    </row>
    <row r="424" spans="1:2" x14ac:dyDescent="0.2">
      <c r="A424" s="87" t="s">
        <v>171</v>
      </c>
      <c r="B424" s="156">
        <f>IF(ibi_oth_percent_deprbas_fed="Yes",C576,0)</f>
        <v>0</v>
      </c>
    </row>
    <row r="425" spans="1:2" x14ac:dyDescent="0.2">
      <c r="A425" s="87" t="str">
        <f>A287</f>
        <v>Total basis reduction for IBI as percentage</v>
      </c>
      <c r="B425" s="155">
        <f>SUM(B421:B424)</f>
        <v>0</v>
      </c>
    </row>
    <row r="426" spans="1:2" x14ac:dyDescent="0.2">
      <c r="A426" s="86" t="str">
        <f>A288</f>
        <v>Capacity Based Incentive (CBI)</v>
      </c>
    </row>
    <row r="427" spans="1:2" x14ac:dyDescent="0.2">
      <c r="A427" s="21" t="s">
        <v>4</v>
      </c>
      <c r="B427" s="155">
        <f>IF(cbi_fed_deprbas_fed="Yes",C580,0)</f>
        <v>0</v>
      </c>
    </row>
    <row r="428" spans="1:2" x14ac:dyDescent="0.2">
      <c r="A428" s="21" t="s">
        <v>5</v>
      </c>
      <c r="B428" s="155">
        <f>IF(cbi_sta_deprbas_fed="Yes",C581,0)</f>
        <v>0</v>
      </c>
    </row>
    <row r="429" spans="1:2" x14ac:dyDescent="0.2">
      <c r="A429" s="21" t="s">
        <v>170</v>
      </c>
      <c r="B429" s="155">
        <f>IF(cbi_uti_deprbas_fed="Yes",C582,0)</f>
        <v>0</v>
      </c>
    </row>
    <row r="430" spans="1:2" x14ac:dyDescent="0.2">
      <c r="A430" s="21" t="s">
        <v>171</v>
      </c>
      <c r="B430" s="156">
        <f>IF(cbi_oth_deprbas_fed="Yes",C583,0)</f>
        <v>0</v>
      </c>
    </row>
    <row r="431" spans="1:2" x14ac:dyDescent="0.2">
      <c r="A431" s="21" t="str">
        <f>A293</f>
        <v>Total basis reduction for CBI</v>
      </c>
      <c r="B431" s="156">
        <f>SUM(B427:B430)</f>
        <v>0</v>
      </c>
    </row>
    <row r="433" spans="1:42" x14ac:dyDescent="0.2">
      <c r="A433" s="4" t="s">
        <v>74</v>
      </c>
    </row>
    <row r="434" spans="1:42" x14ac:dyDescent="0.2">
      <c r="A434" s="86" t="s">
        <v>445</v>
      </c>
    </row>
    <row r="435" spans="1:42" x14ac:dyDescent="0.2">
      <c r="A435" s="21" t="s">
        <v>53</v>
      </c>
    </row>
    <row r="436" spans="1:42" x14ac:dyDescent="0.2">
      <c r="A436" s="22" t="str">
        <f t="shared" ref="A436:A441" si="181">A401</f>
        <v>5-yr MACRS</v>
      </c>
      <c r="B436" s="163" cm="1">
        <f t="array" ref="B436">SUM(IF(ISNUMBER(C436:AP436),C436:AP436))</f>
        <v>0</v>
      </c>
      <c r="C436" s="164" t="e">
        <f>LOOKUP(C$2,'Depreciation Schedules'!$A$3:$A$42,'Depreciation Schedules'!$B$3:$B$42)</f>
        <v>#N/A</v>
      </c>
      <c r="D436" s="164" t="e">
        <f>LOOKUP(D$2,'Depreciation Schedules'!$A$3:$A$42,'Depreciation Schedules'!$B$3:$B$42)</f>
        <v>#N/A</v>
      </c>
      <c r="E436" s="164" t="e">
        <f>LOOKUP(E$2,'Depreciation Schedules'!$A$3:$A$42,'Depreciation Schedules'!$B$3:$B$42)</f>
        <v>#N/A</v>
      </c>
      <c r="F436" s="164" t="e">
        <f>LOOKUP(F$2,'Depreciation Schedules'!$A$3:$A$42,'Depreciation Schedules'!$B$3:$B$42)</f>
        <v>#N/A</v>
      </c>
      <c r="G436" s="164" t="e">
        <f>LOOKUP(G$2,'Depreciation Schedules'!$A$3:$A$42,'Depreciation Schedules'!$B$3:$B$42)</f>
        <v>#N/A</v>
      </c>
      <c r="H436" s="164" t="e">
        <f>LOOKUP(H$2,'Depreciation Schedules'!$A$3:$A$42,'Depreciation Schedules'!$B$3:$B$42)</f>
        <v>#N/A</v>
      </c>
      <c r="I436" s="164" t="e">
        <f>LOOKUP(I$2,'Depreciation Schedules'!$A$3:$A$42,'Depreciation Schedules'!$B$3:$B$42)</f>
        <v>#N/A</v>
      </c>
      <c r="J436" s="164" t="e">
        <f>LOOKUP(J$2,'Depreciation Schedules'!$A$3:$A$42,'Depreciation Schedules'!$B$3:$B$42)</f>
        <v>#N/A</v>
      </c>
      <c r="K436" s="164" t="e">
        <f>LOOKUP(K$2,'Depreciation Schedules'!$A$3:$A$42,'Depreciation Schedules'!$B$3:$B$42)</f>
        <v>#N/A</v>
      </c>
      <c r="L436" s="164" t="e">
        <f>LOOKUP(L$2,'Depreciation Schedules'!$A$3:$A$42,'Depreciation Schedules'!$B$3:$B$42)</f>
        <v>#N/A</v>
      </c>
      <c r="M436" s="164" t="e">
        <f>LOOKUP(M$2,'Depreciation Schedules'!$A$3:$A$42,'Depreciation Schedules'!$B$3:$B$42)</f>
        <v>#N/A</v>
      </c>
      <c r="N436" s="164" t="e">
        <f>LOOKUP(N$2,'Depreciation Schedules'!$A$3:$A$42,'Depreciation Schedules'!$B$3:$B$42)</f>
        <v>#N/A</v>
      </c>
      <c r="O436" s="164" t="e">
        <f>LOOKUP(O$2,'Depreciation Schedules'!$A$3:$A$42,'Depreciation Schedules'!$B$3:$B$42)</f>
        <v>#N/A</v>
      </c>
      <c r="P436" s="164" t="e">
        <f>LOOKUP(P$2,'Depreciation Schedules'!$A$3:$A$42,'Depreciation Schedules'!$B$3:$B$42)</f>
        <v>#N/A</v>
      </c>
      <c r="Q436" s="164" t="e">
        <f>LOOKUP(Q$2,'Depreciation Schedules'!$A$3:$A$42,'Depreciation Schedules'!$B$3:$B$42)</f>
        <v>#N/A</v>
      </c>
      <c r="R436" s="164" t="e">
        <f>LOOKUP(R$2,'Depreciation Schedules'!$A$3:$A$42,'Depreciation Schedules'!$B$3:$B$42)</f>
        <v>#N/A</v>
      </c>
      <c r="S436" s="164" t="e">
        <f>LOOKUP(S$2,'Depreciation Schedules'!$A$3:$A$42,'Depreciation Schedules'!$B$3:$B$42)</f>
        <v>#N/A</v>
      </c>
      <c r="T436" s="164" t="e">
        <f>LOOKUP(T$2,'Depreciation Schedules'!$A$3:$A$42,'Depreciation Schedules'!$B$3:$B$42)</f>
        <v>#N/A</v>
      </c>
      <c r="U436" s="164" t="e">
        <f>LOOKUP(U$2,'Depreciation Schedules'!$A$3:$A$42,'Depreciation Schedules'!$B$3:$B$42)</f>
        <v>#N/A</v>
      </c>
      <c r="V436" s="164" t="e">
        <f>LOOKUP(V$2,'Depreciation Schedules'!$A$3:$A$42,'Depreciation Schedules'!$B$3:$B$42)</f>
        <v>#N/A</v>
      </c>
      <c r="W436" s="164" t="e">
        <f>LOOKUP(W$2,'Depreciation Schedules'!$A$3:$A$42,'Depreciation Schedules'!$B$3:$B$42)</f>
        <v>#N/A</v>
      </c>
      <c r="X436" s="164" t="e">
        <f>LOOKUP(X$2,'Depreciation Schedules'!$A$3:$A$42,'Depreciation Schedules'!$B$3:$B$42)</f>
        <v>#N/A</v>
      </c>
      <c r="Y436" s="164" t="e">
        <f>LOOKUP(Y$2,'Depreciation Schedules'!$A$3:$A$42,'Depreciation Schedules'!$B$3:$B$42)</f>
        <v>#N/A</v>
      </c>
      <c r="Z436" s="164" t="e">
        <f>LOOKUP(Z$2,'Depreciation Schedules'!$A$3:$A$42,'Depreciation Schedules'!$B$3:$B$42)</f>
        <v>#N/A</v>
      </c>
      <c r="AA436" s="164" t="e">
        <f>LOOKUP(AA$2,'Depreciation Schedules'!$A$3:$A$42,'Depreciation Schedules'!$B$3:$B$42)</f>
        <v>#N/A</v>
      </c>
      <c r="AB436" s="164" t="e">
        <f>LOOKUP(AB$2,'Depreciation Schedules'!$A$3:$A$42,'Depreciation Schedules'!$B$3:$B$42)</f>
        <v>#N/A</v>
      </c>
      <c r="AC436" s="164" t="e">
        <f>LOOKUP(AC$2,'Depreciation Schedules'!$A$3:$A$42,'Depreciation Schedules'!$B$3:$B$42)</f>
        <v>#N/A</v>
      </c>
      <c r="AD436" s="164" t="e">
        <f>LOOKUP(AD$2,'Depreciation Schedules'!$A$3:$A$42,'Depreciation Schedules'!$B$3:$B$42)</f>
        <v>#N/A</v>
      </c>
      <c r="AE436" s="164" t="e">
        <f>LOOKUP(AE$2,'Depreciation Schedules'!$A$3:$A$42,'Depreciation Schedules'!$B$3:$B$42)</f>
        <v>#N/A</v>
      </c>
      <c r="AF436" s="164" t="e">
        <f>LOOKUP(AF$2,'Depreciation Schedules'!$A$3:$A$42,'Depreciation Schedules'!$B$3:$B$42)</f>
        <v>#N/A</v>
      </c>
      <c r="AG436" s="164" t="e">
        <f>LOOKUP(AG$2,'Depreciation Schedules'!$A$3:$A$42,'Depreciation Schedules'!$B$3:$B$42)</f>
        <v>#N/A</v>
      </c>
      <c r="AH436" s="164" t="e">
        <f>LOOKUP(AH$2,'Depreciation Schedules'!$A$3:$A$42,'Depreciation Schedules'!$B$3:$B$42)</f>
        <v>#N/A</v>
      </c>
      <c r="AI436" s="164" t="e">
        <f>LOOKUP(AI$2,'Depreciation Schedules'!$A$3:$A$42,'Depreciation Schedules'!$B$3:$B$42)</f>
        <v>#N/A</v>
      </c>
      <c r="AJ436" s="164" t="e">
        <f>LOOKUP(AJ$2,'Depreciation Schedules'!$A$3:$A$42,'Depreciation Schedules'!$B$3:$B$42)</f>
        <v>#N/A</v>
      </c>
      <c r="AK436" s="164" t="e">
        <f>LOOKUP(AK$2,'Depreciation Schedules'!$A$3:$A$42,'Depreciation Schedules'!$B$3:$B$42)</f>
        <v>#N/A</v>
      </c>
      <c r="AL436" s="164" t="e">
        <f>LOOKUP(AL$2,'Depreciation Schedules'!$A$3:$A$42,'Depreciation Schedules'!$B$3:$B$42)</f>
        <v>#N/A</v>
      </c>
      <c r="AM436" s="164" t="e">
        <f>LOOKUP(AM$2,'Depreciation Schedules'!$A$3:$A$42,'Depreciation Schedules'!$B$3:$B$42)</f>
        <v>#N/A</v>
      </c>
      <c r="AN436" s="164" t="e">
        <f>LOOKUP(AN$2,'Depreciation Schedules'!$A$3:$A$42,'Depreciation Schedules'!$B$3:$B$42)</f>
        <v>#N/A</v>
      </c>
      <c r="AO436" s="164" t="e">
        <f>LOOKUP(AO$2,'Depreciation Schedules'!$A$3:$A$42,'Depreciation Schedules'!$B$3:$B$42)</f>
        <v>#N/A</v>
      </c>
      <c r="AP436" s="164" t="e">
        <f>LOOKUP(AP$2,'Depreciation Schedules'!$A$3:$A$42,'Depreciation Schedules'!$B$3:$B$42)</f>
        <v>#N/A</v>
      </c>
    </row>
    <row r="437" spans="1:42" x14ac:dyDescent="0.2">
      <c r="A437" s="22" t="str">
        <f t="shared" si="181"/>
        <v>15-yr MACRS</v>
      </c>
      <c r="B437" s="163" cm="1">
        <f t="array" ref="B437">SUM(IF(ISNUMBER(C437:AP437),C437:AP437))</f>
        <v>0</v>
      </c>
      <c r="C437" s="164" t="e">
        <f>LOOKUP(C$2,'Depreciation Schedules'!$A$3:$A$42,'Depreciation Schedules'!$C$3:$C$42)</f>
        <v>#N/A</v>
      </c>
      <c r="D437" s="164" t="e">
        <f>LOOKUP(D$2,'Depreciation Schedules'!$A$3:$A$42,'Depreciation Schedules'!$C$3:$C$42)</f>
        <v>#N/A</v>
      </c>
      <c r="E437" s="164" t="e">
        <f>LOOKUP(E$2,'Depreciation Schedules'!$A$3:$A$42,'Depreciation Schedules'!$C$3:$C$42)</f>
        <v>#N/A</v>
      </c>
      <c r="F437" s="164" t="e">
        <f>LOOKUP(F$2,'Depreciation Schedules'!$A$3:$A$42,'Depreciation Schedules'!$C$3:$C$42)</f>
        <v>#N/A</v>
      </c>
      <c r="G437" s="164" t="e">
        <f>LOOKUP(G$2,'Depreciation Schedules'!$A$3:$A$42,'Depreciation Schedules'!$C$3:$C$42)</f>
        <v>#N/A</v>
      </c>
      <c r="H437" s="164" t="e">
        <f>LOOKUP(H$2,'Depreciation Schedules'!$A$3:$A$42,'Depreciation Schedules'!$C$3:$C$42)</f>
        <v>#N/A</v>
      </c>
      <c r="I437" s="164" t="e">
        <f>LOOKUP(I$2,'Depreciation Schedules'!$A$3:$A$42,'Depreciation Schedules'!$C$3:$C$42)</f>
        <v>#N/A</v>
      </c>
      <c r="J437" s="164" t="e">
        <f>LOOKUP(J$2,'Depreciation Schedules'!$A$3:$A$42,'Depreciation Schedules'!$C$3:$C$42)</f>
        <v>#N/A</v>
      </c>
      <c r="K437" s="164" t="e">
        <f>LOOKUP(K$2,'Depreciation Schedules'!$A$3:$A$42,'Depreciation Schedules'!$C$3:$C$42)</f>
        <v>#N/A</v>
      </c>
      <c r="L437" s="164" t="e">
        <f>LOOKUP(L$2,'Depreciation Schedules'!$A$3:$A$42,'Depreciation Schedules'!$C$3:$C$42)</f>
        <v>#N/A</v>
      </c>
      <c r="M437" s="164" t="e">
        <f>LOOKUP(M$2,'Depreciation Schedules'!$A$3:$A$42,'Depreciation Schedules'!$C$3:$C$42)</f>
        <v>#N/A</v>
      </c>
      <c r="N437" s="164" t="e">
        <f>LOOKUP(N$2,'Depreciation Schedules'!$A$3:$A$42,'Depreciation Schedules'!$C$3:$C$42)</f>
        <v>#N/A</v>
      </c>
      <c r="O437" s="164" t="e">
        <f>LOOKUP(O$2,'Depreciation Schedules'!$A$3:$A$42,'Depreciation Schedules'!$C$3:$C$42)</f>
        <v>#N/A</v>
      </c>
      <c r="P437" s="164" t="e">
        <f>LOOKUP(P$2,'Depreciation Schedules'!$A$3:$A$42,'Depreciation Schedules'!$C$3:$C$42)</f>
        <v>#N/A</v>
      </c>
      <c r="Q437" s="164" t="e">
        <f>LOOKUP(Q$2,'Depreciation Schedules'!$A$3:$A$42,'Depreciation Schedules'!$C$3:$C$42)</f>
        <v>#N/A</v>
      </c>
      <c r="R437" s="164" t="e">
        <f>LOOKUP(R$2,'Depreciation Schedules'!$A$3:$A$42,'Depreciation Schedules'!$C$3:$C$42)</f>
        <v>#N/A</v>
      </c>
      <c r="S437" s="164" t="e">
        <f>LOOKUP(S$2,'Depreciation Schedules'!$A$3:$A$42,'Depreciation Schedules'!$C$3:$C$42)</f>
        <v>#N/A</v>
      </c>
      <c r="T437" s="164" t="e">
        <f>LOOKUP(T$2,'Depreciation Schedules'!$A$3:$A$42,'Depreciation Schedules'!$C$3:$C$42)</f>
        <v>#N/A</v>
      </c>
      <c r="U437" s="164" t="e">
        <f>LOOKUP(U$2,'Depreciation Schedules'!$A$3:$A$42,'Depreciation Schedules'!$C$3:$C$42)</f>
        <v>#N/A</v>
      </c>
      <c r="V437" s="164" t="e">
        <f>LOOKUP(V$2,'Depreciation Schedules'!$A$3:$A$42,'Depreciation Schedules'!$C$3:$C$42)</f>
        <v>#N/A</v>
      </c>
      <c r="W437" s="164" t="e">
        <f>LOOKUP(W$2,'Depreciation Schedules'!$A$3:$A$42,'Depreciation Schedules'!$C$3:$C$42)</f>
        <v>#N/A</v>
      </c>
      <c r="X437" s="164" t="e">
        <f>LOOKUP(X$2,'Depreciation Schedules'!$A$3:$A$42,'Depreciation Schedules'!$C$3:$C$42)</f>
        <v>#N/A</v>
      </c>
      <c r="Y437" s="164" t="e">
        <f>LOOKUP(Y$2,'Depreciation Schedules'!$A$3:$A$42,'Depreciation Schedules'!$C$3:$C$42)</f>
        <v>#N/A</v>
      </c>
      <c r="Z437" s="164" t="e">
        <f>LOOKUP(Z$2,'Depreciation Schedules'!$A$3:$A$42,'Depreciation Schedules'!$C$3:$C$42)</f>
        <v>#N/A</v>
      </c>
      <c r="AA437" s="164" t="e">
        <f>LOOKUP(AA$2,'Depreciation Schedules'!$A$3:$A$42,'Depreciation Schedules'!$C$3:$C$42)</f>
        <v>#N/A</v>
      </c>
      <c r="AB437" s="164" t="e">
        <f>LOOKUP(AB$2,'Depreciation Schedules'!$A$3:$A$42,'Depreciation Schedules'!$C$3:$C$42)</f>
        <v>#N/A</v>
      </c>
      <c r="AC437" s="164" t="e">
        <f>LOOKUP(AC$2,'Depreciation Schedules'!$A$3:$A$42,'Depreciation Schedules'!$C$3:$C$42)</f>
        <v>#N/A</v>
      </c>
      <c r="AD437" s="164" t="e">
        <f>LOOKUP(AD$2,'Depreciation Schedules'!$A$3:$A$42,'Depreciation Schedules'!$C$3:$C$42)</f>
        <v>#N/A</v>
      </c>
      <c r="AE437" s="164" t="e">
        <f>LOOKUP(AE$2,'Depreciation Schedules'!$A$3:$A$42,'Depreciation Schedules'!$C$3:$C$42)</f>
        <v>#N/A</v>
      </c>
      <c r="AF437" s="164" t="e">
        <f>LOOKUP(AF$2,'Depreciation Schedules'!$A$3:$A$42,'Depreciation Schedules'!$C$3:$C$42)</f>
        <v>#N/A</v>
      </c>
      <c r="AG437" s="164" t="e">
        <f>LOOKUP(AG$2,'Depreciation Schedules'!$A$3:$A$42,'Depreciation Schedules'!$C$3:$C$42)</f>
        <v>#N/A</v>
      </c>
      <c r="AH437" s="164" t="e">
        <f>LOOKUP(AH$2,'Depreciation Schedules'!$A$3:$A$42,'Depreciation Schedules'!$C$3:$C$42)</f>
        <v>#N/A</v>
      </c>
      <c r="AI437" s="164" t="e">
        <f>LOOKUP(AI$2,'Depreciation Schedules'!$A$3:$A$42,'Depreciation Schedules'!$C$3:$C$42)</f>
        <v>#N/A</v>
      </c>
      <c r="AJ437" s="164" t="e">
        <f>LOOKUP(AJ$2,'Depreciation Schedules'!$A$3:$A$42,'Depreciation Schedules'!$C$3:$C$42)</f>
        <v>#N/A</v>
      </c>
      <c r="AK437" s="164" t="e">
        <f>LOOKUP(AK$2,'Depreciation Schedules'!$A$3:$A$42,'Depreciation Schedules'!$C$3:$C$42)</f>
        <v>#N/A</v>
      </c>
      <c r="AL437" s="164" t="e">
        <f>LOOKUP(AL$2,'Depreciation Schedules'!$A$3:$A$42,'Depreciation Schedules'!$C$3:$C$42)</f>
        <v>#N/A</v>
      </c>
      <c r="AM437" s="164" t="e">
        <f>LOOKUP(AM$2,'Depreciation Schedules'!$A$3:$A$42,'Depreciation Schedules'!$C$3:$C$42)</f>
        <v>#N/A</v>
      </c>
      <c r="AN437" s="164" t="e">
        <f>LOOKUP(AN$2,'Depreciation Schedules'!$A$3:$A$42,'Depreciation Schedules'!$C$3:$C$42)</f>
        <v>#N/A</v>
      </c>
      <c r="AO437" s="164" t="e">
        <f>LOOKUP(AO$2,'Depreciation Schedules'!$A$3:$A$42,'Depreciation Schedules'!$C$3:$C$42)</f>
        <v>#N/A</v>
      </c>
      <c r="AP437" s="164" t="e">
        <f>LOOKUP(AP$2,'Depreciation Schedules'!$A$3:$A$42,'Depreciation Schedules'!$C$3:$C$42)</f>
        <v>#N/A</v>
      </c>
    </row>
    <row r="438" spans="1:42" x14ac:dyDescent="0.2">
      <c r="A438" s="22" t="str">
        <f t="shared" si="181"/>
        <v>5-yr SL</v>
      </c>
      <c r="B438" s="163" cm="1">
        <f t="array" ref="B438">SUM(IF(ISNUMBER(C438:AP438),C438:AP438))</f>
        <v>0</v>
      </c>
      <c r="C438" s="164" t="e">
        <f>LOOKUP(C$2,'Depreciation Schedules'!$A$3:$A$42,'Depreciation Schedules'!$D$3:$D$42)</f>
        <v>#N/A</v>
      </c>
      <c r="D438" s="164" t="e">
        <f>LOOKUP(D$2,'Depreciation Schedules'!$A$3:$A$42,'Depreciation Schedules'!$D$3:$D$42)</f>
        <v>#N/A</v>
      </c>
      <c r="E438" s="164" t="e">
        <f>LOOKUP(E$2,'Depreciation Schedules'!$A$3:$A$42,'Depreciation Schedules'!$D$3:$D$42)</f>
        <v>#N/A</v>
      </c>
      <c r="F438" s="164" t="e">
        <f>LOOKUP(F$2,'Depreciation Schedules'!$A$3:$A$42,'Depreciation Schedules'!$D$3:$D$42)</f>
        <v>#N/A</v>
      </c>
      <c r="G438" s="164" t="e">
        <f>LOOKUP(G$2,'Depreciation Schedules'!$A$3:$A$42,'Depreciation Schedules'!$D$3:$D$42)</f>
        <v>#N/A</v>
      </c>
      <c r="H438" s="164" t="e">
        <f>LOOKUP(H$2,'Depreciation Schedules'!$A$3:$A$42,'Depreciation Schedules'!$D$3:$D$42)</f>
        <v>#N/A</v>
      </c>
      <c r="I438" s="164" t="e">
        <f>LOOKUP(I$2,'Depreciation Schedules'!$A$3:$A$42,'Depreciation Schedules'!$D$3:$D$42)</f>
        <v>#N/A</v>
      </c>
      <c r="J438" s="164" t="e">
        <f>LOOKUP(J$2,'Depreciation Schedules'!$A$3:$A$42,'Depreciation Schedules'!$D$3:$D$42)</f>
        <v>#N/A</v>
      </c>
      <c r="K438" s="164" t="e">
        <f>LOOKUP(K$2,'Depreciation Schedules'!$A$3:$A$42,'Depreciation Schedules'!$D$3:$D$42)</f>
        <v>#N/A</v>
      </c>
      <c r="L438" s="164" t="e">
        <f>LOOKUP(L$2,'Depreciation Schedules'!$A$3:$A$42,'Depreciation Schedules'!$D$3:$D$42)</f>
        <v>#N/A</v>
      </c>
      <c r="M438" s="164" t="e">
        <f>LOOKUP(M$2,'Depreciation Schedules'!$A$3:$A$42,'Depreciation Schedules'!$D$3:$D$42)</f>
        <v>#N/A</v>
      </c>
      <c r="N438" s="164" t="e">
        <f>LOOKUP(N$2,'Depreciation Schedules'!$A$3:$A$42,'Depreciation Schedules'!$D$3:$D$42)</f>
        <v>#N/A</v>
      </c>
      <c r="O438" s="164" t="e">
        <f>LOOKUP(O$2,'Depreciation Schedules'!$A$3:$A$42,'Depreciation Schedules'!$D$3:$D$42)</f>
        <v>#N/A</v>
      </c>
      <c r="P438" s="164" t="e">
        <f>LOOKUP(P$2,'Depreciation Schedules'!$A$3:$A$42,'Depreciation Schedules'!$D$3:$D$42)</f>
        <v>#N/A</v>
      </c>
      <c r="Q438" s="164" t="e">
        <f>LOOKUP(Q$2,'Depreciation Schedules'!$A$3:$A$42,'Depreciation Schedules'!$D$3:$D$42)</f>
        <v>#N/A</v>
      </c>
      <c r="R438" s="164" t="e">
        <f>LOOKUP(R$2,'Depreciation Schedules'!$A$3:$A$42,'Depreciation Schedules'!$D$3:$D$42)</f>
        <v>#N/A</v>
      </c>
      <c r="S438" s="164" t="e">
        <f>LOOKUP(S$2,'Depreciation Schedules'!$A$3:$A$42,'Depreciation Schedules'!$D$3:$D$42)</f>
        <v>#N/A</v>
      </c>
      <c r="T438" s="164" t="e">
        <f>LOOKUP(T$2,'Depreciation Schedules'!$A$3:$A$42,'Depreciation Schedules'!$D$3:$D$42)</f>
        <v>#N/A</v>
      </c>
      <c r="U438" s="164" t="e">
        <f>LOOKUP(U$2,'Depreciation Schedules'!$A$3:$A$42,'Depreciation Schedules'!$D$3:$D$42)</f>
        <v>#N/A</v>
      </c>
      <c r="V438" s="164" t="e">
        <f>LOOKUP(V$2,'Depreciation Schedules'!$A$3:$A$42,'Depreciation Schedules'!$D$3:$D$42)</f>
        <v>#N/A</v>
      </c>
      <c r="W438" s="164" t="e">
        <f>LOOKUP(W$2,'Depreciation Schedules'!$A$3:$A$42,'Depreciation Schedules'!$D$3:$D$42)</f>
        <v>#N/A</v>
      </c>
      <c r="X438" s="164" t="e">
        <f>LOOKUP(X$2,'Depreciation Schedules'!$A$3:$A$42,'Depreciation Schedules'!$D$3:$D$42)</f>
        <v>#N/A</v>
      </c>
      <c r="Y438" s="164" t="e">
        <f>LOOKUP(Y$2,'Depreciation Schedules'!$A$3:$A$42,'Depreciation Schedules'!$D$3:$D$42)</f>
        <v>#N/A</v>
      </c>
      <c r="Z438" s="164" t="e">
        <f>LOOKUP(Z$2,'Depreciation Schedules'!$A$3:$A$42,'Depreciation Schedules'!$D$3:$D$42)</f>
        <v>#N/A</v>
      </c>
      <c r="AA438" s="164" t="e">
        <f>LOOKUP(AA$2,'Depreciation Schedules'!$A$3:$A$42,'Depreciation Schedules'!$D$3:$D$42)</f>
        <v>#N/A</v>
      </c>
      <c r="AB438" s="164" t="e">
        <f>LOOKUP(AB$2,'Depreciation Schedules'!$A$3:$A$42,'Depreciation Schedules'!$D$3:$D$42)</f>
        <v>#N/A</v>
      </c>
      <c r="AC438" s="164" t="e">
        <f>LOOKUP(AC$2,'Depreciation Schedules'!$A$3:$A$42,'Depreciation Schedules'!$D$3:$D$42)</f>
        <v>#N/A</v>
      </c>
      <c r="AD438" s="164" t="e">
        <f>LOOKUP(AD$2,'Depreciation Schedules'!$A$3:$A$42,'Depreciation Schedules'!$D$3:$D$42)</f>
        <v>#N/A</v>
      </c>
      <c r="AE438" s="164" t="e">
        <f>LOOKUP(AE$2,'Depreciation Schedules'!$A$3:$A$42,'Depreciation Schedules'!$D$3:$D$42)</f>
        <v>#N/A</v>
      </c>
      <c r="AF438" s="164" t="e">
        <f>LOOKUP(AF$2,'Depreciation Schedules'!$A$3:$A$42,'Depreciation Schedules'!$D$3:$D$42)</f>
        <v>#N/A</v>
      </c>
      <c r="AG438" s="164" t="e">
        <f>LOOKUP(AG$2,'Depreciation Schedules'!$A$3:$A$42,'Depreciation Schedules'!$D$3:$D$42)</f>
        <v>#N/A</v>
      </c>
      <c r="AH438" s="164" t="e">
        <f>LOOKUP(AH$2,'Depreciation Schedules'!$A$3:$A$42,'Depreciation Schedules'!$D$3:$D$42)</f>
        <v>#N/A</v>
      </c>
      <c r="AI438" s="164" t="e">
        <f>LOOKUP(AI$2,'Depreciation Schedules'!$A$3:$A$42,'Depreciation Schedules'!$D$3:$D$42)</f>
        <v>#N/A</v>
      </c>
      <c r="AJ438" s="164" t="e">
        <f>LOOKUP(AJ$2,'Depreciation Schedules'!$A$3:$A$42,'Depreciation Schedules'!$D$3:$D$42)</f>
        <v>#N/A</v>
      </c>
      <c r="AK438" s="164" t="e">
        <f>LOOKUP(AK$2,'Depreciation Schedules'!$A$3:$A$42,'Depreciation Schedules'!$D$3:$D$42)</f>
        <v>#N/A</v>
      </c>
      <c r="AL438" s="164" t="e">
        <f>LOOKUP(AL$2,'Depreciation Schedules'!$A$3:$A$42,'Depreciation Schedules'!$D$3:$D$42)</f>
        <v>#N/A</v>
      </c>
      <c r="AM438" s="164" t="e">
        <f>LOOKUP(AM$2,'Depreciation Schedules'!$A$3:$A$42,'Depreciation Schedules'!$D$3:$D$42)</f>
        <v>#N/A</v>
      </c>
      <c r="AN438" s="164" t="e">
        <f>LOOKUP(AN$2,'Depreciation Schedules'!$A$3:$A$42,'Depreciation Schedules'!$D$3:$D$42)</f>
        <v>#N/A</v>
      </c>
      <c r="AO438" s="164" t="e">
        <f>LOOKUP(AO$2,'Depreciation Schedules'!$A$3:$A$42,'Depreciation Schedules'!$D$3:$D$42)</f>
        <v>#N/A</v>
      </c>
      <c r="AP438" s="164" t="e">
        <f>LOOKUP(AP$2,'Depreciation Schedules'!$A$3:$A$42,'Depreciation Schedules'!$D$3:$D$42)</f>
        <v>#N/A</v>
      </c>
    </row>
    <row r="439" spans="1:42" x14ac:dyDescent="0.2">
      <c r="A439" s="22" t="str">
        <f t="shared" si="181"/>
        <v>15-yr SL</v>
      </c>
      <c r="B439" s="163" cm="1">
        <f t="array" ref="B439">SUM(IF(ISNUMBER(C439:AP439),C439:AP439))</f>
        <v>0</v>
      </c>
      <c r="C439" s="164" t="e">
        <f>LOOKUP(C$2,'Depreciation Schedules'!$A$3:$A$42,'Depreciation Schedules'!$E$3:$E$42)</f>
        <v>#N/A</v>
      </c>
      <c r="D439" s="164" t="e">
        <f>LOOKUP(D$2,'Depreciation Schedules'!$A$3:$A$42,'Depreciation Schedules'!$E$3:$E$42)</f>
        <v>#N/A</v>
      </c>
      <c r="E439" s="164" t="e">
        <f>LOOKUP(E$2,'Depreciation Schedules'!$A$3:$A$42,'Depreciation Schedules'!$E$3:$E$42)</f>
        <v>#N/A</v>
      </c>
      <c r="F439" s="164" t="e">
        <f>LOOKUP(F$2,'Depreciation Schedules'!$A$3:$A$42,'Depreciation Schedules'!$E$3:$E$42)</f>
        <v>#N/A</v>
      </c>
      <c r="G439" s="164" t="e">
        <f>LOOKUP(G$2,'Depreciation Schedules'!$A$3:$A$42,'Depreciation Schedules'!$E$3:$E$42)</f>
        <v>#N/A</v>
      </c>
      <c r="H439" s="164" t="e">
        <f>LOOKUP(H$2,'Depreciation Schedules'!$A$3:$A$42,'Depreciation Schedules'!$E$3:$E$42)</f>
        <v>#N/A</v>
      </c>
      <c r="I439" s="164" t="e">
        <f>LOOKUP(I$2,'Depreciation Schedules'!$A$3:$A$42,'Depreciation Schedules'!$E$3:$E$42)</f>
        <v>#N/A</v>
      </c>
      <c r="J439" s="164" t="e">
        <f>LOOKUP(J$2,'Depreciation Schedules'!$A$3:$A$42,'Depreciation Schedules'!$E$3:$E$42)</f>
        <v>#N/A</v>
      </c>
      <c r="K439" s="164" t="e">
        <f>LOOKUP(K$2,'Depreciation Schedules'!$A$3:$A$42,'Depreciation Schedules'!$E$3:$E$42)</f>
        <v>#N/A</v>
      </c>
      <c r="L439" s="164" t="e">
        <f>LOOKUP(L$2,'Depreciation Schedules'!$A$3:$A$42,'Depreciation Schedules'!$E$3:$E$42)</f>
        <v>#N/A</v>
      </c>
      <c r="M439" s="164" t="e">
        <f>LOOKUP(M$2,'Depreciation Schedules'!$A$3:$A$42,'Depreciation Schedules'!$E$3:$E$42)</f>
        <v>#N/A</v>
      </c>
      <c r="N439" s="164" t="e">
        <f>LOOKUP(N$2,'Depreciation Schedules'!$A$3:$A$42,'Depreciation Schedules'!$E$3:$E$42)</f>
        <v>#N/A</v>
      </c>
      <c r="O439" s="164" t="e">
        <f>LOOKUP(O$2,'Depreciation Schedules'!$A$3:$A$42,'Depreciation Schedules'!$E$3:$E$42)</f>
        <v>#N/A</v>
      </c>
      <c r="P439" s="164" t="e">
        <f>LOOKUP(P$2,'Depreciation Schedules'!$A$3:$A$42,'Depreciation Schedules'!$E$3:$E$42)</f>
        <v>#N/A</v>
      </c>
      <c r="Q439" s="164" t="e">
        <f>LOOKUP(Q$2,'Depreciation Schedules'!$A$3:$A$42,'Depreciation Schedules'!$E$3:$E$42)</f>
        <v>#N/A</v>
      </c>
      <c r="R439" s="164" t="e">
        <f>LOOKUP(R$2,'Depreciation Schedules'!$A$3:$A$42,'Depreciation Schedules'!$E$3:$E$42)</f>
        <v>#N/A</v>
      </c>
      <c r="S439" s="164" t="e">
        <f>LOOKUP(S$2,'Depreciation Schedules'!$A$3:$A$42,'Depreciation Schedules'!$E$3:$E$42)</f>
        <v>#N/A</v>
      </c>
      <c r="T439" s="164" t="e">
        <f>LOOKUP(T$2,'Depreciation Schedules'!$A$3:$A$42,'Depreciation Schedules'!$E$3:$E$42)</f>
        <v>#N/A</v>
      </c>
      <c r="U439" s="164" t="e">
        <f>LOOKUP(U$2,'Depreciation Schedules'!$A$3:$A$42,'Depreciation Schedules'!$E$3:$E$42)</f>
        <v>#N/A</v>
      </c>
      <c r="V439" s="164" t="e">
        <f>LOOKUP(V$2,'Depreciation Schedules'!$A$3:$A$42,'Depreciation Schedules'!$E$3:$E$42)</f>
        <v>#N/A</v>
      </c>
      <c r="W439" s="164" t="e">
        <f>LOOKUP(W$2,'Depreciation Schedules'!$A$3:$A$42,'Depreciation Schedules'!$E$3:$E$42)</f>
        <v>#N/A</v>
      </c>
      <c r="X439" s="164" t="e">
        <f>LOOKUP(X$2,'Depreciation Schedules'!$A$3:$A$42,'Depreciation Schedules'!$E$3:$E$42)</f>
        <v>#N/A</v>
      </c>
      <c r="Y439" s="164" t="e">
        <f>LOOKUP(Y$2,'Depreciation Schedules'!$A$3:$A$42,'Depreciation Schedules'!$E$3:$E$42)</f>
        <v>#N/A</v>
      </c>
      <c r="Z439" s="164" t="e">
        <f>LOOKUP(Z$2,'Depreciation Schedules'!$A$3:$A$42,'Depreciation Schedules'!$E$3:$E$42)</f>
        <v>#N/A</v>
      </c>
      <c r="AA439" s="164" t="e">
        <f>LOOKUP(AA$2,'Depreciation Schedules'!$A$3:$A$42,'Depreciation Schedules'!$E$3:$E$42)</f>
        <v>#N/A</v>
      </c>
      <c r="AB439" s="164" t="e">
        <f>LOOKUP(AB$2,'Depreciation Schedules'!$A$3:$A$42,'Depreciation Schedules'!$E$3:$E$42)</f>
        <v>#N/A</v>
      </c>
      <c r="AC439" s="164" t="e">
        <f>LOOKUP(AC$2,'Depreciation Schedules'!$A$3:$A$42,'Depreciation Schedules'!$E$3:$E$42)</f>
        <v>#N/A</v>
      </c>
      <c r="AD439" s="164" t="e">
        <f>LOOKUP(AD$2,'Depreciation Schedules'!$A$3:$A$42,'Depreciation Schedules'!$E$3:$E$42)</f>
        <v>#N/A</v>
      </c>
      <c r="AE439" s="164" t="e">
        <f>LOOKUP(AE$2,'Depreciation Schedules'!$A$3:$A$42,'Depreciation Schedules'!$E$3:$E$42)</f>
        <v>#N/A</v>
      </c>
      <c r="AF439" s="164" t="e">
        <f>LOOKUP(AF$2,'Depreciation Schedules'!$A$3:$A$42,'Depreciation Schedules'!$E$3:$E$42)</f>
        <v>#N/A</v>
      </c>
      <c r="AG439" s="164" t="e">
        <f>LOOKUP(AG$2,'Depreciation Schedules'!$A$3:$A$42,'Depreciation Schedules'!$E$3:$E$42)</f>
        <v>#N/A</v>
      </c>
      <c r="AH439" s="164" t="e">
        <f>LOOKUP(AH$2,'Depreciation Schedules'!$A$3:$A$42,'Depreciation Schedules'!$E$3:$E$42)</f>
        <v>#N/A</v>
      </c>
      <c r="AI439" s="164" t="e">
        <f>LOOKUP(AI$2,'Depreciation Schedules'!$A$3:$A$42,'Depreciation Schedules'!$E$3:$E$42)</f>
        <v>#N/A</v>
      </c>
      <c r="AJ439" s="164" t="e">
        <f>LOOKUP(AJ$2,'Depreciation Schedules'!$A$3:$A$42,'Depreciation Schedules'!$E$3:$E$42)</f>
        <v>#N/A</v>
      </c>
      <c r="AK439" s="164" t="e">
        <f>LOOKUP(AK$2,'Depreciation Schedules'!$A$3:$A$42,'Depreciation Schedules'!$E$3:$E$42)</f>
        <v>#N/A</v>
      </c>
      <c r="AL439" s="164" t="e">
        <f>LOOKUP(AL$2,'Depreciation Schedules'!$A$3:$A$42,'Depreciation Schedules'!$E$3:$E$42)</f>
        <v>#N/A</v>
      </c>
      <c r="AM439" s="164" t="e">
        <f>LOOKUP(AM$2,'Depreciation Schedules'!$A$3:$A$42,'Depreciation Schedules'!$E$3:$E$42)</f>
        <v>#N/A</v>
      </c>
      <c r="AN439" s="164" t="e">
        <f>LOOKUP(AN$2,'Depreciation Schedules'!$A$3:$A$42,'Depreciation Schedules'!$E$3:$E$42)</f>
        <v>#N/A</v>
      </c>
      <c r="AO439" s="164" t="e">
        <f>LOOKUP(AO$2,'Depreciation Schedules'!$A$3:$A$42,'Depreciation Schedules'!$E$3:$E$42)</f>
        <v>#N/A</v>
      </c>
      <c r="AP439" s="164" t="e">
        <f>LOOKUP(AP$2,'Depreciation Schedules'!$A$3:$A$42,'Depreciation Schedules'!$E$3:$E$42)</f>
        <v>#N/A</v>
      </c>
    </row>
    <row r="440" spans="1:42" x14ac:dyDescent="0.2">
      <c r="A440" s="22" t="str">
        <f t="shared" si="181"/>
        <v>20-yr SL</v>
      </c>
      <c r="B440" s="163" cm="1">
        <f t="array" ref="B440">SUM(IF(ISNUMBER(C440:AP440),C440:AP440))</f>
        <v>0</v>
      </c>
      <c r="C440" s="164" t="e">
        <f>LOOKUP(C$2,'Depreciation Schedules'!$A$3:$A$42,'Depreciation Schedules'!$F$3:$F$42)</f>
        <v>#N/A</v>
      </c>
      <c r="D440" s="164" t="e">
        <f>LOOKUP(D$2,'Depreciation Schedules'!$A$3:$A$42,'Depreciation Schedules'!$F$3:$F$42)</f>
        <v>#N/A</v>
      </c>
      <c r="E440" s="164" t="e">
        <f>LOOKUP(E$2,'Depreciation Schedules'!$A$3:$A$42,'Depreciation Schedules'!$F$3:$F$42)</f>
        <v>#N/A</v>
      </c>
      <c r="F440" s="164" t="e">
        <f>LOOKUP(F$2,'Depreciation Schedules'!$A$3:$A$42,'Depreciation Schedules'!$F$3:$F$42)</f>
        <v>#N/A</v>
      </c>
      <c r="G440" s="164" t="e">
        <f>LOOKUP(G$2,'Depreciation Schedules'!$A$3:$A$42,'Depreciation Schedules'!$F$3:$F$42)</f>
        <v>#N/A</v>
      </c>
      <c r="H440" s="164" t="e">
        <f>LOOKUP(H$2,'Depreciation Schedules'!$A$3:$A$42,'Depreciation Schedules'!$F$3:$F$42)</f>
        <v>#N/A</v>
      </c>
      <c r="I440" s="164" t="e">
        <f>LOOKUP(I$2,'Depreciation Schedules'!$A$3:$A$42,'Depreciation Schedules'!$F$3:$F$42)</f>
        <v>#N/A</v>
      </c>
      <c r="J440" s="164" t="e">
        <f>LOOKUP(J$2,'Depreciation Schedules'!$A$3:$A$42,'Depreciation Schedules'!$F$3:$F$42)</f>
        <v>#N/A</v>
      </c>
      <c r="K440" s="164" t="e">
        <f>LOOKUP(K$2,'Depreciation Schedules'!$A$3:$A$42,'Depreciation Schedules'!$F$3:$F$42)</f>
        <v>#N/A</v>
      </c>
      <c r="L440" s="164" t="e">
        <f>LOOKUP(L$2,'Depreciation Schedules'!$A$3:$A$42,'Depreciation Schedules'!$F$3:$F$42)</f>
        <v>#N/A</v>
      </c>
      <c r="M440" s="164" t="e">
        <f>LOOKUP(M$2,'Depreciation Schedules'!$A$3:$A$42,'Depreciation Schedules'!$F$3:$F$42)</f>
        <v>#N/A</v>
      </c>
      <c r="N440" s="164" t="e">
        <f>LOOKUP(N$2,'Depreciation Schedules'!$A$3:$A$42,'Depreciation Schedules'!$F$3:$F$42)</f>
        <v>#N/A</v>
      </c>
      <c r="O440" s="164" t="e">
        <f>LOOKUP(O$2,'Depreciation Schedules'!$A$3:$A$42,'Depreciation Schedules'!$F$3:$F$42)</f>
        <v>#N/A</v>
      </c>
      <c r="P440" s="164" t="e">
        <f>LOOKUP(P$2,'Depreciation Schedules'!$A$3:$A$42,'Depreciation Schedules'!$F$3:$F$42)</f>
        <v>#N/A</v>
      </c>
      <c r="Q440" s="164" t="e">
        <f>LOOKUP(Q$2,'Depreciation Schedules'!$A$3:$A$42,'Depreciation Schedules'!$F$3:$F$42)</f>
        <v>#N/A</v>
      </c>
      <c r="R440" s="164" t="e">
        <f>LOOKUP(R$2,'Depreciation Schedules'!$A$3:$A$42,'Depreciation Schedules'!$F$3:$F$42)</f>
        <v>#N/A</v>
      </c>
      <c r="S440" s="164" t="e">
        <f>LOOKUP(S$2,'Depreciation Schedules'!$A$3:$A$42,'Depreciation Schedules'!$F$3:$F$42)</f>
        <v>#N/A</v>
      </c>
      <c r="T440" s="164" t="e">
        <f>LOOKUP(T$2,'Depreciation Schedules'!$A$3:$A$42,'Depreciation Schedules'!$F$3:$F$42)</f>
        <v>#N/A</v>
      </c>
      <c r="U440" s="164" t="e">
        <f>LOOKUP(U$2,'Depreciation Schedules'!$A$3:$A$42,'Depreciation Schedules'!$F$3:$F$42)</f>
        <v>#N/A</v>
      </c>
      <c r="V440" s="164" t="e">
        <f>LOOKUP(V$2,'Depreciation Schedules'!$A$3:$A$42,'Depreciation Schedules'!$F$3:$F$42)</f>
        <v>#N/A</v>
      </c>
      <c r="W440" s="164" t="e">
        <f>LOOKUP(W$2,'Depreciation Schedules'!$A$3:$A$42,'Depreciation Schedules'!$F$3:$F$42)</f>
        <v>#N/A</v>
      </c>
      <c r="X440" s="164" t="e">
        <f>LOOKUP(X$2,'Depreciation Schedules'!$A$3:$A$42,'Depreciation Schedules'!$F$3:$F$42)</f>
        <v>#N/A</v>
      </c>
      <c r="Y440" s="164" t="e">
        <f>LOOKUP(Y$2,'Depreciation Schedules'!$A$3:$A$42,'Depreciation Schedules'!$F$3:$F$42)</f>
        <v>#N/A</v>
      </c>
      <c r="Z440" s="164" t="e">
        <f>LOOKUP(Z$2,'Depreciation Schedules'!$A$3:$A$42,'Depreciation Schedules'!$F$3:$F$42)</f>
        <v>#N/A</v>
      </c>
      <c r="AA440" s="164" t="e">
        <f>LOOKUP(AA$2,'Depreciation Schedules'!$A$3:$A$42,'Depreciation Schedules'!$F$3:$F$42)</f>
        <v>#N/A</v>
      </c>
      <c r="AB440" s="164" t="e">
        <f>LOOKUP(AB$2,'Depreciation Schedules'!$A$3:$A$42,'Depreciation Schedules'!$F$3:$F$42)</f>
        <v>#N/A</v>
      </c>
      <c r="AC440" s="164" t="e">
        <f>LOOKUP(AC$2,'Depreciation Schedules'!$A$3:$A$42,'Depreciation Schedules'!$F$3:$F$42)</f>
        <v>#N/A</v>
      </c>
      <c r="AD440" s="164" t="e">
        <f>LOOKUP(AD$2,'Depreciation Schedules'!$A$3:$A$42,'Depreciation Schedules'!$F$3:$F$42)</f>
        <v>#N/A</v>
      </c>
      <c r="AE440" s="164" t="e">
        <f>LOOKUP(AE$2,'Depreciation Schedules'!$A$3:$A$42,'Depreciation Schedules'!$F$3:$F$42)</f>
        <v>#N/A</v>
      </c>
      <c r="AF440" s="164" t="e">
        <f>LOOKUP(AF$2,'Depreciation Schedules'!$A$3:$A$42,'Depreciation Schedules'!$F$3:$F$42)</f>
        <v>#N/A</v>
      </c>
      <c r="AG440" s="164" t="e">
        <f>LOOKUP(AG$2,'Depreciation Schedules'!$A$3:$A$42,'Depreciation Schedules'!$F$3:$F$42)</f>
        <v>#N/A</v>
      </c>
      <c r="AH440" s="164" t="e">
        <f>LOOKUP(AH$2,'Depreciation Schedules'!$A$3:$A$42,'Depreciation Schedules'!$F$3:$F$42)</f>
        <v>#N/A</v>
      </c>
      <c r="AI440" s="164" t="e">
        <f>LOOKUP(AI$2,'Depreciation Schedules'!$A$3:$A$42,'Depreciation Schedules'!$F$3:$F$42)</f>
        <v>#N/A</v>
      </c>
      <c r="AJ440" s="164" t="e">
        <f>LOOKUP(AJ$2,'Depreciation Schedules'!$A$3:$A$42,'Depreciation Schedules'!$F$3:$F$42)</f>
        <v>#N/A</v>
      </c>
      <c r="AK440" s="164" t="e">
        <f>LOOKUP(AK$2,'Depreciation Schedules'!$A$3:$A$42,'Depreciation Schedules'!$F$3:$F$42)</f>
        <v>#N/A</v>
      </c>
      <c r="AL440" s="164" t="e">
        <f>LOOKUP(AL$2,'Depreciation Schedules'!$A$3:$A$42,'Depreciation Schedules'!$F$3:$F$42)</f>
        <v>#N/A</v>
      </c>
      <c r="AM440" s="164" t="e">
        <f>LOOKUP(AM$2,'Depreciation Schedules'!$A$3:$A$42,'Depreciation Schedules'!$F$3:$F$42)</f>
        <v>#N/A</v>
      </c>
      <c r="AN440" s="164" t="e">
        <f>LOOKUP(AN$2,'Depreciation Schedules'!$A$3:$A$42,'Depreciation Schedules'!$F$3:$F$42)</f>
        <v>#N/A</v>
      </c>
      <c r="AO440" s="164" t="e">
        <f>LOOKUP(AO$2,'Depreciation Schedules'!$A$3:$A$42,'Depreciation Schedules'!$F$3:$F$42)</f>
        <v>#N/A</v>
      </c>
      <c r="AP440" s="164" t="e">
        <f>LOOKUP(AP$2,'Depreciation Schedules'!$A$3:$A$42,'Depreciation Schedules'!$F$3:$F$42)</f>
        <v>#N/A</v>
      </c>
    </row>
    <row r="441" spans="1:42" x14ac:dyDescent="0.2">
      <c r="A441" s="22" t="str">
        <f t="shared" si="181"/>
        <v>39-yr SL</v>
      </c>
      <c r="B441" s="163" cm="1">
        <f t="array" ref="B441">SUM(IF(ISNUMBER(C441:AP441),C441:AP441))</f>
        <v>0</v>
      </c>
      <c r="C441" s="164" t="e">
        <f>LOOKUP(C$2,'Depreciation Schedules'!$A$3:$A$42,'Depreciation Schedules'!$G$3:$G$42)</f>
        <v>#N/A</v>
      </c>
      <c r="D441" s="164" t="e">
        <f>LOOKUP(D$2,'Depreciation Schedules'!$A$3:$A$42,'Depreciation Schedules'!$G$3:$G$42)</f>
        <v>#N/A</v>
      </c>
      <c r="E441" s="164" t="e">
        <f>LOOKUP(E$2,'Depreciation Schedules'!$A$3:$A$42,'Depreciation Schedules'!$G$3:$G$42)</f>
        <v>#N/A</v>
      </c>
      <c r="F441" s="164" t="e">
        <f>LOOKUP(F$2,'Depreciation Schedules'!$A$3:$A$42,'Depreciation Schedules'!$G$3:$G$42)</f>
        <v>#N/A</v>
      </c>
      <c r="G441" s="164" t="e">
        <f>LOOKUP(G$2,'Depreciation Schedules'!$A$3:$A$42,'Depreciation Schedules'!$G$3:$G$42)</f>
        <v>#N/A</v>
      </c>
      <c r="H441" s="164" t="e">
        <f>LOOKUP(H$2,'Depreciation Schedules'!$A$3:$A$42,'Depreciation Schedules'!$G$3:$G$42)</f>
        <v>#N/A</v>
      </c>
      <c r="I441" s="164" t="e">
        <f>LOOKUP(I$2,'Depreciation Schedules'!$A$3:$A$42,'Depreciation Schedules'!$G$3:$G$42)</f>
        <v>#N/A</v>
      </c>
      <c r="J441" s="164" t="e">
        <f>LOOKUP(J$2,'Depreciation Schedules'!$A$3:$A$42,'Depreciation Schedules'!$G$3:$G$42)</f>
        <v>#N/A</v>
      </c>
      <c r="K441" s="164" t="e">
        <f>LOOKUP(K$2,'Depreciation Schedules'!$A$3:$A$42,'Depreciation Schedules'!$G$3:$G$42)</f>
        <v>#N/A</v>
      </c>
      <c r="L441" s="164" t="e">
        <f>LOOKUP(L$2,'Depreciation Schedules'!$A$3:$A$42,'Depreciation Schedules'!$G$3:$G$42)</f>
        <v>#N/A</v>
      </c>
      <c r="M441" s="164" t="e">
        <f>LOOKUP(M$2,'Depreciation Schedules'!$A$3:$A$42,'Depreciation Schedules'!$G$3:$G$42)</f>
        <v>#N/A</v>
      </c>
      <c r="N441" s="164" t="e">
        <f>LOOKUP(N$2,'Depreciation Schedules'!$A$3:$A$42,'Depreciation Schedules'!$G$3:$G$42)</f>
        <v>#N/A</v>
      </c>
      <c r="O441" s="164" t="e">
        <f>LOOKUP(O$2,'Depreciation Schedules'!$A$3:$A$42,'Depreciation Schedules'!$G$3:$G$42)</f>
        <v>#N/A</v>
      </c>
      <c r="P441" s="164" t="e">
        <f>LOOKUP(P$2,'Depreciation Schedules'!$A$3:$A$42,'Depreciation Schedules'!$G$3:$G$42)</f>
        <v>#N/A</v>
      </c>
      <c r="Q441" s="164" t="e">
        <f>LOOKUP(Q$2,'Depreciation Schedules'!$A$3:$A$42,'Depreciation Schedules'!$G$3:$G$42)</f>
        <v>#N/A</v>
      </c>
      <c r="R441" s="164" t="e">
        <f>LOOKUP(R$2,'Depreciation Schedules'!$A$3:$A$42,'Depreciation Schedules'!$G$3:$G$42)</f>
        <v>#N/A</v>
      </c>
      <c r="S441" s="164" t="e">
        <f>LOOKUP(S$2,'Depreciation Schedules'!$A$3:$A$42,'Depreciation Schedules'!$G$3:$G$42)</f>
        <v>#N/A</v>
      </c>
      <c r="T441" s="164" t="e">
        <f>LOOKUP(T$2,'Depreciation Schedules'!$A$3:$A$42,'Depreciation Schedules'!$G$3:$G$42)</f>
        <v>#N/A</v>
      </c>
      <c r="U441" s="164" t="e">
        <f>LOOKUP(U$2,'Depreciation Schedules'!$A$3:$A$42,'Depreciation Schedules'!$G$3:$G$42)</f>
        <v>#N/A</v>
      </c>
      <c r="V441" s="164" t="e">
        <f>LOOKUP(V$2,'Depreciation Schedules'!$A$3:$A$42,'Depreciation Schedules'!$G$3:$G$42)</f>
        <v>#N/A</v>
      </c>
      <c r="W441" s="164" t="e">
        <f>LOOKUP(W$2,'Depreciation Schedules'!$A$3:$A$42,'Depreciation Schedules'!$G$3:$G$42)</f>
        <v>#N/A</v>
      </c>
      <c r="X441" s="164" t="e">
        <f>LOOKUP(X$2,'Depreciation Schedules'!$A$3:$A$42,'Depreciation Schedules'!$G$3:$G$42)</f>
        <v>#N/A</v>
      </c>
      <c r="Y441" s="164" t="e">
        <f>LOOKUP(Y$2,'Depreciation Schedules'!$A$3:$A$42,'Depreciation Schedules'!$G$3:$G$42)</f>
        <v>#N/A</v>
      </c>
      <c r="Z441" s="164" t="e">
        <f>LOOKUP(Z$2,'Depreciation Schedules'!$A$3:$A$42,'Depreciation Schedules'!$G$3:$G$42)</f>
        <v>#N/A</v>
      </c>
      <c r="AA441" s="164" t="e">
        <f>LOOKUP(AA$2,'Depreciation Schedules'!$A$3:$A$42,'Depreciation Schedules'!$G$3:$G$42)</f>
        <v>#N/A</v>
      </c>
      <c r="AB441" s="164" t="e">
        <f>LOOKUP(AB$2,'Depreciation Schedules'!$A$3:$A$42,'Depreciation Schedules'!$G$3:$G$42)</f>
        <v>#N/A</v>
      </c>
      <c r="AC441" s="164" t="e">
        <f>LOOKUP(AC$2,'Depreciation Schedules'!$A$3:$A$42,'Depreciation Schedules'!$G$3:$G$42)</f>
        <v>#N/A</v>
      </c>
      <c r="AD441" s="164" t="e">
        <f>LOOKUP(AD$2,'Depreciation Schedules'!$A$3:$A$42,'Depreciation Schedules'!$G$3:$G$42)</f>
        <v>#N/A</v>
      </c>
      <c r="AE441" s="164" t="e">
        <f>LOOKUP(AE$2,'Depreciation Schedules'!$A$3:$A$42,'Depreciation Schedules'!$G$3:$G$42)</f>
        <v>#N/A</v>
      </c>
      <c r="AF441" s="164" t="e">
        <f>LOOKUP(AF$2,'Depreciation Schedules'!$A$3:$A$42,'Depreciation Schedules'!$G$3:$G$42)</f>
        <v>#N/A</v>
      </c>
      <c r="AG441" s="164" t="e">
        <f>LOOKUP(AG$2,'Depreciation Schedules'!$A$3:$A$42,'Depreciation Schedules'!$G$3:$G$42)</f>
        <v>#N/A</v>
      </c>
      <c r="AH441" s="164" t="e">
        <f>LOOKUP(AH$2,'Depreciation Schedules'!$A$3:$A$42,'Depreciation Schedules'!$G$3:$G$42)</f>
        <v>#N/A</v>
      </c>
      <c r="AI441" s="164" t="e">
        <f>LOOKUP(AI$2,'Depreciation Schedules'!$A$3:$A$42,'Depreciation Schedules'!$G$3:$G$42)</f>
        <v>#N/A</v>
      </c>
      <c r="AJ441" s="164" t="e">
        <f>LOOKUP(AJ$2,'Depreciation Schedules'!$A$3:$A$42,'Depreciation Schedules'!$G$3:$G$42)</f>
        <v>#N/A</v>
      </c>
      <c r="AK441" s="164" t="e">
        <f>LOOKUP(AK$2,'Depreciation Schedules'!$A$3:$A$42,'Depreciation Schedules'!$G$3:$G$42)</f>
        <v>#N/A</v>
      </c>
      <c r="AL441" s="164" t="e">
        <f>LOOKUP(AL$2,'Depreciation Schedules'!$A$3:$A$42,'Depreciation Schedules'!$G$3:$G$42)</f>
        <v>#N/A</v>
      </c>
      <c r="AM441" s="164" t="e">
        <f>LOOKUP(AM$2,'Depreciation Schedules'!$A$3:$A$42,'Depreciation Schedules'!$G$3:$G$42)</f>
        <v>#N/A</v>
      </c>
      <c r="AN441" s="164" t="e">
        <f>LOOKUP(AN$2,'Depreciation Schedules'!$A$3:$A$42,'Depreciation Schedules'!$G$3:$G$42)</f>
        <v>#N/A</v>
      </c>
      <c r="AO441" s="164" t="e">
        <f>LOOKUP(AO$2,'Depreciation Schedules'!$A$3:$A$42,'Depreciation Schedules'!$G$3:$G$42)</f>
        <v>#N/A</v>
      </c>
      <c r="AP441" s="164" t="e">
        <f>LOOKUP(AP$2,'Depreciation Schedules'!$A$3:$A$42,'Depreciation Schedules'!$G$3:$G$42)</f>
        <v>#N/A</v>
      </c>
    </row>
    <row r="442" spans="1:42" x14ac:dyDescent="0.2">
      <c r="A442" s="22" t="s">
        <v>354</v>
      </c>
      <c r="B442" s="167" cm="1">
        <f t="array" ref="B442">SUM(IF(ISNUMBER(C442:AP442),C442:AP442))</f>
        <v>0</v>
      </c>
      <c r="C442" s="164">
        <f t="array" ref="C442:AP442">Inputs!D208:AQ208</f>
        <v>0</v>
      </c>
      <c r="D442" s="164">
        <v>0</v>
      </c>
      <c r="E442" s="164">
        <v>0</v>
      </c>
      <c r="F442" s="164">
        <v>0</v>
      </c>
      <c r="G442" s="164">
        <v>0</v>
      </c>
      <c r="H442" s="164">
        <v>0</v>
      </c>
      <c r="I442" s="164">
        <v>0</v>
      </c>
      <c r="J442" s="164">
        <v>0</v>
      </c>
      <c r="K442" s="164">
        <v>0</v>
      </c>
      <c r="L442" s="164">
        <v>0</v>
      </c>
      <c r="M442" s="164">
        <v>0</v>
      </c>
      <c r="N442" s="164">
        <v>0</v>
      </c>
      <c r="O442" s="164">
        <v>0</v>
      </c>
      <c r="P442" s="164">
        <v>0</v>
      </c>
      <c r="Q442" s="164">
        <v>0</v>
      </c>
      <c r="R442" s="164">
        <v>0</v>
      </c>
      <c r="S442" s="164">
        <v>0</v>
      </c>
      <c r="T442" s="164">
        <v>0</v>
      </c>
      <c r="U442" s="164">
        <v>0</v>
      </c>
      <c r="V442" s="164">
        <v>0</v>
      </c>
      <c r="W442" s="164">
        <v>0</v>
      </c>
      <c r="X442" s="164">
        <v>0</v>
      </c>
      <c r="Y442" s="164">
        <v>0</v>
      </c>
      <c r="Z442" s="164">
        <v>0</v>
      </c>
      <c r="AA442" s="164">
        <v>0</v>
      </c>
      <c r="AB442" s="164">
        <v>0</v>
      </c>
      <c r="AC442" s="164">
        <v>0</v>
      </c>
      <c r="AD442" s="164">
        <v>0</v>
      </c>
      <c r="AE442" s="164">
        <v>0</v>
      </c>
      <c r="AF442" s="164">
        <v>0</v>
      </c>
      <c r="AG442" s="164">
        <v>0</v>
      </c>
      <c r="AH442" s="164">
        <v>0</v>
      </c>
      <c r="AI442" s="164">
        <v>0</v>
      </c>
      <c r="AJ442" s="164">
        <v>0</v>
      </c>
      <c r="AK442" s="164">
        <v>0</v>
      </c>
      <c r="AL442" s="164">
        <v>0</v>
      </c>
      <c r="AM442" s="164">
        <v>0</v>
      </c>
      <c r="AN442" s="164">
        <v>0</v>
      </c>
      <c r="AO442" s="164">
        <v>0</v>
      </c>
      <c r="AP442" s="164">
        <v>0</v>
      </c>
    </row>
    <row r="443" spans="1:42" x14ac:dyDescent="0.2">
      <c r="A443" s="21" t="s">
        <v>3</v>
      </c>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row>
    <row r="444" spans="1:42" x14ac:dyDescent="0.2">
      <c r="A444" s="22" t="str">
        <f t="shared" ref="A444:A449" si="182">A436</f>
        <v>5-yr MACRS</v>
      </c>
      <c r="B444" s="163" cm="1">
        <f t="array" ref="B444">SUM(IF(ISNUMBER(C444:AP444),C444:AP444))</f>
        <v>0</v>
      </c>
      <c r="C444" s="119" t="e">
        <f>C436/100*$Q$401</f>
        <v>#N/A</v>
      </c>
      <c r="D444" s="119" t="e">
        <f t="shared" ref="D444:AP444" si="183">D436/100*$Q$401</f>
        <v>#N/A</v>
      </c>
      <c r="E444" s="119" t="e">
        <f t="shared" si="183"/>
        <v>#N/A</v>
      </c>
      <c r="F444" s="119" t="e">
        <f t="shared" si="183"/>
        <v>#N/A</v>
      </c>
      <c r="G444" s="119" t="e">
        <f t="shared" si="183"/>
        <v>#N/A</v>
      </c>
      <c r="H444" s="119" t="e">
        <f t="shared" si="183"/>
        <v>#N/A</v>
      </c>
      <c r="I444" s="119" t="e">
        <f t="shared" si="183"/>
        <v>#N/A</v>
      </c>
      <c r="J444" s="119" t="e">
        <f t="shared" si="183"/>
        <v>#N/A</v>
      </c>
      <c r="K444" s="119" t="e">
        <f t="shared" si="183"/>
        <v>#N/A</v>
      </c>
      <c r="L444" s="119" t="e">
        <f t="shared" si="183"/>
        <v>#N/A</v>
      </c>
      <c r="M444" s="119" t="e">
        <f t="shared" si="183"/>
        <v>#N/A</v>
      </c>
      <c r="N444" s="119" t="e">
        <f t="shared" si="183"/>
        <v>#N/A</v>
      </c>
      <c r="O444" s="119" t="e">
        <f t="shared" si="183"/>
        <v>#N/A</v>
      </c>
      <c r="P444" s="119" t="e">
        <f t="shared" si="183"/>
        <v>#N/A</v>
      </c>
      <c r="Q444" s="119" t="e">
        <f t="shared" si="183"/>
        <v>#N/A</v>
      </c>
      <c r="R444" s="119" t="e">
        <f t="shared" si="183"/>
        <v>#N/A</v>
      </c>
      <c r="S444" s="119" t="e">
        <f t="shared" si="183"/>
        <v>#N/A</v>
      </c>
      <c r="T444" s="119" t="e">
        <f t="shared" si="183"/>
        <v>#N/A</v>
      </c>
      <c r="U444" s="119" t="e">
        <f t="shared" si="183"/>
        <v>#N/A</v>
      </c>
      <c r="V444" s="119" t="e">
        <f t="shared" si="183"/>
        <v>#N/A</v>
      </c>
      <c r="W444" s="119" t="e">
        <f t="shared" si="183"/>
        <v>#N/A</v>
      </c>
      <c r="X444" s="119" t="e">
        <f t="shared" si="183"/>
        <v>#N/A</v>
      </c>
      <c r="Y444" s="119" t="e">
        <f t="shared" si="183"/>
        <v>#N/A</v>
      </c>
      <c r="Z444" s="119" t="e">
        <f t="shared" si="183"/>
        <v>#N/A</v>
      </c>
      <c r="AA444" s="119" t="e">
        <f t="shared" si="183"/>
        <v>#N/A</v>
      </c>
      <c r="AB444" s="119" t="e">
        <f t="shared" si="183"/>
        <v>#N/A</v>
      </c>
      <c r="AC444" s="119" t="e">
        <f t="shared" si="183"/>
        <v>#N/A</v>
      </c>
      <c r="AD444" s="119" t="e">
        <f t="shared" si="183"/>
        <v>#N/A</v>
      </c>
      <c r="AE444" s="119" t="e">
        <f t="shared" si="183"/>
        <v>#N/A</v>
      </c>
      <c r="AF444" s="119" t="e">
        <f t="shared" si="183"/>
        <v>#N/A</v>
      </c>
      <c r="AG444" s="119" t="e">
        <f t="shared" si="183"/>
        <v>#N/A</v>
      </c>
      <c r="AH444" s="119" t="e">
        <f t="shared" si="183"/>
        <v>#N/A</v>
      </c>
      <c r="AI444" s="119" t="e">
        <f t="shared" si="183"/>
        <v>#N/A</v>
      </c>
      <c r="AJ444" s="119" t="e">
        <f t="shared" si="183"/>
        <v>#N/A</v>
      </c>
      <c r="AK444" s="119" t="e">
        <f t="shared" si="183"/>
        <v>#N/A</v>
      </c>
      <c r="AL444" s="119" t="e">
        <f t="shared" si="183"/>
        <v>#N/A</v>
      </c>
      <c r="AM444" s="119" t="e">
        <f t="shared" si="183"/>
        <v>#N/A</v>
      </c>
      <c r="AN444" s="119" t="e">
        <f t="shared" si="183"/>
        <v>#N/A</v>
      </c>
      <c r="AO444" s="119" t="e">
        <f t="shared" si="183"/>
        <v>#N/A</v>
      </c>
      <c r="AP444" s="119" t="e">
        <f t="shared" si="183"/>
        <v>#N/A</v>
      </c>
    </row>
    <row r="445" spans="1:42" x14ac:dyDescent="0.2">
      <c r="A445" s="22" t="str">
        <f t="shared" si="182"/>
        <v>15-yr MACRS</v>
      </c>
      <c r="B445" s="163" cm="1">
        <f t="array" ref="B445">SUM(IF(ISNUMBER(C445:AP445),C445:AP445))</f>
        <v>0</v>
      </c>
      <c r="C445" s="119" t="e">
        <f>C437/100*$Q$402</f>
        <v>#N/A</v>
      </c>
      <c r="D445" s="119" t="e">
        <f t="shared" ref="D445:AP445" si="184">D437/100*$Q$402</f>
        <v>#N/A</v>
      </c>
      <c r="E445" s="119" t="e">
        <f t="shared" si="184"/>
        <v>#N/A</v>
      </c>
      <c r="F445" s="119" t="e">
        <f t="shared" si="184"/>
        <v>#N/A</v>
      </c>
      <c r="G445" s="119" t="e">
        <f t="shared" si="184"/>
        <v>#N/A</v>
      </c>
      <c r="H445" s="119" t="e">
        <f t="shared" si="184"/>
        <v>#N/A</v>
      </c>
      <c r="I445" s="119" t="e">
        <f t="shared" si="184"/>
        <v>#N/A</v>
      </c>
      <c r="J445" s="119" t="e">
        <f t="shared" si="184"/>
        <v>#N/A</v>
      </c>
      <c r="K445" s="119" t="e">
        <f t="shared" si="184"/>
        <v>#N/A</v>
      </c>
      <c r="L445" s="119" t="e">
        <f t="shared" si="184"/>
        <v>#N/A</v>
      </c>
      <c r="M445" s="119" t="e">
        <f t="shared" si="184"/>
        <v>#N/A</v>
      </c>
      <c r="N445" s="119" t="e">
        <f t="shared" si="184"/>
        <v>#N/A</v>
      </c>
      <c r="O445" s="119" t="e">
        <f t="shared" si="184"/>
        <v>#N/A</v>
      </c>
      <c r="P445" s="119" t="e">
        <f t="shared" si="184"/>
        <v>#N/A</v>
      </c>
      <c r="Q445" s="119" t="e">
        <f t="shared" si="184"/>
        <v>#N/A</v>
      </c>
      <c r="R445" s="119" t="e">
        <f t="shared" si="184"/>
        <v>#N/A</v>
      </c>
      <c r="S445" s="119" t="e">
        <f t="shared" si="184"/>
        <v>#N/A</v>
      </c>
      <c r="T445" s="119" t="e">
        <f t="shared" si="184"/>
        <v>#N/A</v>
      </c>
      <c r="U445" s="119" t="e">
        <f t="shared" si="184"/>
        <v>#N/A</v>
      </c>
      <c r="V445" s="119" t="e">
        <f t="shared" si="184"/>
        <v>#N/A</v>
      </c>
      <c r="W445" s="119" t="e">
        <f t="shared" si="184"/>
        <v>#N/A</v>
      </c>
      <c r="X445" s="119" t="e">
        <f t="shared" si="184"/>
        <v>#N/A</v>
      </c>
      <c r="Y445" s="119" t="e">
        <f t="shared" si="184"/>
        <v>#N/A</v>
      </c>
      <c r="Z445" s="119" t="e">
        <f t="shared" si="184"/>
        <v>#N/A</v>
      </c>
      <c r="AA445" s="119" t="e">
        <f t="shared" si="184"/>
        <v>#N/A</v>
      </c>
      <c r="AB445" s="119" t="e">
        <f t="shared" si="184"/>
        <v>#N/A</v>
      </c>
      <c r="AC445" s="119" t="e">
        <f t="shared" si="184"/>
        <v>#N/A</v>
      </c>
      <c r="AD445" s="119" t="e">
        <f t="shared" si="184"/>
        <v>#N/A</v>
      </c>
      <c r="AE445" s="119" t="e">
        <f t="shared" si="184"/>
        <v>#N/A</v>
      </c>
      <c r="AF445" s="119" t="e">
        <f t="shared" si="184"/>
        <v>#N/A</v>
      </c>
      <c r="AG445" s="119" t="e">
        <f t="shared" si="184"/>
        <v>#N/A</v>
      </c>
      <c r="AH445" s="119" t="e">
        <f t="shared" si="184"/>
        <v>#N/A</v>
      </c>
      <c r="AI445" s="119" t="e">
        <f t="shared" si="184"/>
        <v>#N/A</v>
      </c>
      <c r="AJ445" s="119" t="e">
        <f t="shared" si="184"/>
        <v>#N/A</v>
      </c>
      <c r="AK445" s="119" t="e">
        <f t="shared" si="184"/>
        <v>#N/A</v>
      </c>
      <c r="AL445" s="119" t="e">
        <f t="shared" si="184"/>
        <v>#N/A</v>
      </c>
      <c r="AM445" s="119" t="e">
        <f t="shared" si="184"/>
        <v>#N/A</v>
      </c>
      <c r="AN445" s="119" t="e">
        <f t="shared" si="184"/>
        <v>#N/A</v>
      </c>
      <c r="AO445" s="119" t="e">
        <f t="shared" si="184"/>
        <v>#N/A</v>
      </c>
      <c r="AP445" s="119" t="e">
        <f t="shared" si="184"/>
        <v>#N/A</v>
      </c>
    </row>
    <row r="446" spans="1:42" x14ac:dyDescent="0.2">
      <c r="A446" s="22" t="str">
        <f t="shared" si="182"/>
        <v>5-yr SL</v>
      </c>
      <c r="B446" s="163" cm="1">
        <f t="array" ref="B446">SUM(IF(ISNUMBER(C446:AP446),C446:AP446))</f>
        <v>0</v>
      </c>
      <c r="C446" s="119" t="e">
        <f>C438/100*$Q$403</f>
        <v>#N/A</v>
      </c>
      <c r="D446" s="119" t="e">
        <f t="shared" ref="D446:AP446" si="185">D438/100*$Q$403</f>
        <v>#N/A</v>
      </c>
      <c r="E446" s="119" t="e">
        <f t="shared" si="185"/>
        <v>#N/A</v>
      </c>
      <c r="F446" s="119" t="e">
        <f t="shared" si="185"/>
        <v>#N/A</v>
      </c>
      <c r="G446" s="119" t="e">
        <f t="shared" si="185"/>
        <v>#N/A</v>
      </c>
      <c r="H446" s="119" t="e">
        <f t="shared" si="185"/>
        <v>#N/A</v>
      </c>
      <c r="I446" s="119" t="e">
        <f t="shared" si="185"/>
        <v>#N/A</v>
      </c>
      <c r="J446" s="119" t="e">
        <f t="shared" si="185"/>
        <v>#N/A</v>
      </c>
      <c r="K446" s="119" t="e">
        <f t="shared" si="185"/>
        <v>#N/A</v>
      </c>
      <c r="L446" s="119" t="e">
        <f t="shared" si="185"/>
        <v>#N/A</v>
      </c>
      <c r="M446" s="119" t="e">
        <f t="shared" si="185"/>
        <v>#N/A</v>
      </c>
      <c r="N446" s="119" t="e">
        <f t="shared" si="185"/>
        <v>#N/A</v>
      </c>
      <c r="O446" s="119" t="e">
        <f t="shared" si="185"/>
        <v>#N/A</v>
      </c>
      <c r="P446" s="119" t="e">
        <f t="shared" si="185"/>
        <v>#N/A</v>
      </c>
      <c r="Q446" s="119" t="e">
        <f t="shared" si="185"/>
        <v>#N/A</v>
      </c>
      <c r="R446" s="119" t="e">
        <f t="shared" si="185"/>
        <v>#N/A</v>
      </c>
      <c r="S446" s="119" t="e">
        <f t="shared" si="185"/>
        <v>#N/A</v>
      </c>
      <c r="T446" s="119" t="e">
        <f t="shared" si="185"/>
        <v>#N/A</v>
      </c>
      <c r="U446" s="119" t="e">
        <f t="shared" si="185"/>
        <v>#N/A</v>
      </c>
      <c r="V446" s="119" t="e">
        <f t="shared" si="185"/>
        <v>#N/A</v>
      </c>
      <c r="W446" s="119" t="e">
        <f t="shared" si="185"/>
        <v>#N/A</v>
      </c>
      <c r="X446" s="119" t="e">
        <f t="shared" si="185"/>
        <v>#N/A</v>
      </c>
      <c r="Y446" s="119" t="e">
        <f t="shared" si="185"/>
        <v>#N/A</v>
      </c>
      <c r="Z446" s="119" t="e">
        <f t="shared" si="185"/>
        <v>#N/A</v>
      </c>
      <c r="AA446" s="119" t="e">
        <f t="shared" si="185"/>
        <v>#N/A</v>
      </c>
      <c r="AB446" s="119" t="e">
        <f t="shared" si="185"/>
        <v>#N/A</v>
      </c>
      <c r="AC446" s="119" t="e">
        <f t="shared" si="185"/>
        <v>#N/A</v>
      </c>
      <c r="AD446" s="119" t="e">
        <f t="shared" si="185"/>
        <v>#N/A</v>
      </c>
      <c r="AE446" s="119" t="e">
        <f t="shared" si="185"/>
        <v>#N/A</v>
      </c>
      <c r="AF446" s="119" t="e">
        <f t="shared" si="185"/>
        <v>#N/A</v>
      </c>
      <c r="AG446" s="119" t="e">
        <f t="shared" si="185"/>
        <v>#N/A</v>
      </c>
      <c r="AH446" s="119" t="e">
        <f t="shared" si="185"/>
        <v>#N/A</v>
      </c>
      <c r="AI446" s="119" t="e">
        <f t="shared" si="185"/>
        <v>#N/A</v>
      </c>
      <c r="AJ446" s="119" t="e">
        <f t="shared" si="185"/>
        <v>#N/A</v>
      </c>
      <c r="AK446" s="119" t="e">
        <f t="shared" si="185"/>
        <v>#N/A</v>
      </c>
      <c r="AL446" s="119" t="e">
        <f t="shared" si="185"/>
        <v>#N/A</v>
      </c>
      <c r="AM446" s="119" t="e">
        <f t="shared" si="185"/>
        <v>#N/A</v>
      </c>
      <c r="AN446" s="119" t="e">
        <f t="shared" si="185"/>
        <v>#N/A</v>
      </c>
      <c r="AO446" s="119" t="e">
        <f t="shared" si="185"/>
        <v>#N/A</v>
      </c>
      <c r="AP446" s="119" t="e">
        <f t="shared" si="185"/>
        <v>#N/A</v>
      </c>
    </row>
    <row r="447" spans="1:42" x14ac:dyDescent="0.2">
      <c r="A447" s="22" t="str">
        <f t="shared" si="182"/>
        <v>15-yr SL</v>
      </c>
      <c r="B447" s="163" cm="1">
        <f t="array" ref="B447">SUM(IF(ISNUMBER(C447:AP447),C447:AP447))</f>
        <v>0</v>
      </c>
      <c r="C447" s="119" t="e">
        <f>C439/100*$Q$404</f>
        <v>#N/A</v>
      </c>
      <c r="D447" s="119" t="e">
        <f t="shared" ref="D447:AP447" si="186">D439/100*$Q$404</f>
        <v>#N/A</v>
      </c>
      <c r="E447" s="119" t="e">
        <f t="shared" si="186"/>
        <v>#N/A</v>
      </c>
      <c r="F447" s="119" t="e">
        <f t="shared" si="186"/>
        <v>#N/A</v>
      </c>
      <c r="G447" s="119" t="e">
        <f t="shared" si="186"/>
        <v>#N/A</v>
      </c>
      <c r="H447" s="119" t="e">
        <f t="shared" si="186"/>
        <v>#N/A</v>
      </c>
      <c r="I447" s="119" t="e">
        <f t="shared" si="186"/>
        <v>#N/A</v>
      </c>
      <c r="J447" s="119" t="e">
        <f t="shared" si="186"/>
        <v>#N/A</v>
      </c>
      <c r="K447" s="119" t="e">
        <f t="shared" si="186"/>
        <v>#N/A</v>
      </c>
      <c r="L447" s="119" t="e">
        <f t="shared" si="186"/>
        <v>#N/A</v>
      </c>
      <c r="M447" s="119" t="e">
        <f t="shared" si="186"/>
        <v>#N/A</v>
      </c>
      <c r="N447" s="119" t="e">
        <f t="shared" si="186"/>
        <v>#N/A</v>
      </c>
      <c r="O447" s="119" t="e">
        <f t="shared" si="186"/>
        <v>#N/A</v>
      </c>
      <c r="P447" s="119" t="e">
        <f t="shared" si="186"/>
        <v>#N/A</v>
      </c>
      <c r="Q447" s="119" t="e">
        <f t="shared" si="186"/>
        <v>#N/A</v>
      </c>
      <c r="R447" s="119" t="e">
        <f t="shared" si="186"/>
        <v>#N/A</v>
      </c>
      <c r="S447" s="119" t="e">
        <f t="shared" si="186"/>
        <v>#N/A</v>
      </c>
      <c r="T447" s="119" t="e">
        <f t="shared" si="186"/>
        <v>#N/A</v>
      </c>
      <c r="U447" s="119" t="e">
        <f t="shared" si="186"/>
        <v>#N/A</v>
      </c>
      <c r="V447" s="119" t="e">
        <f t="shared" si="186"/>
        <v>#N/A</v>
      </c>
      <c r="W447" s="119" t="e">
        <f t="shared" si="186"/>
        <v>#N/A</v>
      </c>
      <c r="X447" s="119" t="e">
        <f t="shared" si="186"/>
        <v>#N/A</v>
      </c>
      <c r="Y447" s="119" t="e">
        <f t="shared" si="186"/>
        <v>#N/A</v>
      </c>
      <c r="Z447" s="119" t="e">
        <f t="shared" si="186"/>
        <v>#N/A</v>
      </c>
      <c r="AA447" s="119" t="e">
        <f t="shared" si="186"/>
        <v>#N/A</v>
      </c>
      <c r="AB447" s="119" t="e">
        <f t="shared" si="186"/>
        <v>#N/A</v>
      </c>
      <c r="AC447" s="119" t="e">
        <f t="shared" si="186"/>
        <v>#N/A</v>
      </c>
      <c r="AD447" s="119" t="e">
        <f t="shared" si="186"/>
        <v>#N/A</v>
      </c>
      <c r="AE447" s="119" t="e">
        <f t="shared" si="186"/>
        <v>#N/A</v>
      </c>
      <c r="AF447" s="119" t="e">
        <f t="shared" si="186"/>
        <v>#N/A</v>
      </c>
      <c r="AG447" s="119" t="e">
        <f t="shared" si="186"/>
        <v>#N/A</v>
      </c>
      <c r="AH447" s="119" t="e">
        <f t="shared" si="186"/>
        <v>#N/A</v>
      </c>
      <c r="AI447" s="119" t="e">
        <f t="shared" si="186"/>
        <v>#N/A</v>
      </c>
      <c r="AJ447" s="119" t="e">
        <f t="shared" si="186"/>
        <v>#N/A</v>
      </c>
      <c r="AK447" s="119" t="e">
        <f t="shared" si="186"/>
        <v>#N/A</v>
      </c>
      <c r="AL447" s="119" t="e">
        <f t="shared" si="186"/>
        <v>#N/A</v>
      </c>
      <c r="AM447" s="119" t="e">
        <f t="shared" si="186"/>
        <v>#N/A</v>
      </c>
      <c r="AN447" s="119" t="e">
        <f t="shared" si="186"/>
        <v>#N/A</v>
      </c>
      <c r="AO447" s="119" t="e">
        <f t="shared" si="186"/>
        <v>#N/A</v>
      </c>
      <c r="AP447" s="119" t="e">
        <f t="shared" si="186"/>
        <v>#N/A</v>
      </c>
    </row>
    <row r="448" spans="1:42" x14ac:dyDescent="0.2">
      <c r="A448" s="22" t="str">
        <f t="shared" si="182"/>
        <v>20-yr SL</v>
      </c>
      <c r="B448" s="163" cm="1">
        <f t="array" ref="B448">SUM(IF(ISNUMBER(C448:AP448),C448:AP448))</f>
        <v>0</v>
      </c>
      <c r="C448" s="119" t="e">
        <f>C440/100*$Q$405</f>
        <v>#N/A</v>
      </c>
      <c r="D448" s="119" t="e">
        <f t="shared" ref="D448:AP448" si="187">D440/100*$Q$405</f>
        <v>#N/A</v>
      </c>
      <c r="E448" s="119" t="e">
        <f t="shared" si="187"/>
        <v>#N/A</v>
      </c>
      <c r="F448" s="119" t="e">
        <f t="shared" si="187"/>
        <v>#N/A</v>
      </c>
      <c r="G448" s="119" t="e">
        <f t="shared" si="187"/>
        <v>#N/A</v>
      </c>
      <c r="H448" s="119" t="e">
        <f t="shared" si="187"/>
        <v>#N/A</v>
      </c>
      <c r="I448" s="119" t="e">
        <f t="shared" si="187"/>
        <v>#N/A</v>
      </c>
      <c r="J448" s="119" t="e">
        <f t="shared" si="187"/>
        <v>#N/A</v>
      </c>
      <c r="K448" s="119" t="e">
        <f t="shared" si="187"/>
        <v>#N/A</v>
      </c>
      <c r="L448" s="119" t="e">
        <f t="shared" si="187"/>
        <v>#N/A</v>
      </c>
      <c r="M448" s="119" t="e">
        <f t="shared" si="187"/>
        <v>#N/A</v>
      </c>
      <c r="N448" s="119" t="e">
        <f t="shared" si="187"/>
        <v>#N/A</v>
      </c>
      <c r="O448" s="119" t="e">
        <f t="shared" si="187"/>
        <v>#N/A</v>
      </c>
      <c r="P448" s="119" t="e">
        <f t="shared" si="187"/>
        <v>#N/A</v>
      </c>
      <c r="Q448" s="119" t="e">
        <f t="shared" si="187"/>
        <v>#N/A</v>
      </c>
      <c r="R448" s="119" t="e">
        <f t="shared" si="187"/>
        <v>#N/A</v>
      </c>
      <c r="S448" s="119" t="e">
        <f t="shared" si="187"/>
        <v>#N/A</v>
      </c>
      <c r="T448" s="119" t="e">
        <f t="shared" si="187"/>
        <v>#N/A</v>
      </c>
      <c r="U448" s="119" t="e">
        <f t="shared" si="187"/>
        <v>#N/A</v>
      </c>
      <c r="V448" s="119" t="e">
        <f t="shared" si="187"/>
        <v>#N/A</v>
      </c>
      <c r="W448" s="119" t="e">
        <f t="shared" si="187"/>
        <v>#N/A</v>
      </c>
      <c r="X448" s="119" t="e">
        <f t="shared" si="187"/>
        <v>#N/A</v>
      </c>
      <c r="Y448" s="119" t="e">
        <f t="shared" si="187"/>
        <v>#N/A</v>
      </c>
      <c r="Z448" s="119" t="e">
        <f t="shared" si="187"/>
        <v>#N/A</v>
      </c>
      <c r="AA448" s="119" t="e">
        <f t="shared" si="187"/>
        <v>#N/A</v>
      </c>
      <c r="AB448" s="119" t="e">
        <f t="shared" si="187"/>
        <v>#N/A</v>
      </c>
      <c r="AC448" s="119" t="e">
        <f t="shared" si="187"/>
        <v>#N/A</v>
      </c>
      <c r="AD448" s="119" t="e">
        <f t="shared" si="187"/>
        <v>#N/A</v>
      </c>
      <c r="AE448" s="119" t="e">
        <f t="shared" si="187"/>
        <v>#N/A</v>
      </c>
      <c r="AF448" s="119" t="e">
        <f t="shared" si="187"/>
        <v>#N/A</v>
      </c>
      <c r="AG448" s="119" t="e">
        <f t="shared" si="187"/>
        <v>#N/A</v>
      </c>
      <c r="AH448" s="119" t="e">
        <f t="shared" si="187"/>
        <v>#N/A</v>
      </c>
      <c r="AI448" s="119" t="e">
        <f t="shared" si="187"/>
        <v>#N/A</v>
      </c>
      <c r="AJ448" s="119" t="e">
        <f t="shared" si="187"/>
        <v>#N/A</v>
      </c>
      <c r="AK448" s="119" t="e">
        <f t="shared" si="187"/>
        <v>#N/A</v>
      </c>
      <c r="AL448" s="119" t="e">
        <f t="shared" si="187"/>
        <v>#N/A</v>
      </c>
      <c r="AM448" s="119" t="e">
        <f t="shared" si="187"/>
        <v>#N/A</v>
      </c>
      <c r="AN448" s="119" t="e">
        <f t="shared" si="187"/>
        <v>#N/A</v>
      </c>
      <c r="AO448" s="119" t="e">
        <f t="shared" si="187"/>
        <v>#N/A</v>
      </c>
      <c r="AP448" s="119" t="e">
        <f t="shared" si="187"/>
        <v>#N/A</v>
      </c>
    </row>
    <row r="449" spans="1:42" x14ac:dyDescent="0.2">
      <c r="A449" s="22" t="str">
        <f t="shared" si="182"/>
        <v>39-yr SL</v>
      </c>
      <c r="B449" s="163" cm="1">
        <f t="array" ref="B449">SUM(IF(ISNUMBER(C449:AP449),C449:AP449))</f>
        <v>0</v>
      </c>
      <c r="C449" s="119" t="e">
        <f>C441/100*$Q$406</f>
        <v>#N/A</v>
      </c>
      <c r="D449" s="119" t="e">
        <f t="shared" ref="D449:AP449" si="188">D441/100*$Q$406</f>
        <v>#N/A</v>
      </c>
      <c r="E449" s="119" t="e">
        <f t="shared" si="188"/>
        <v>#N/A</v>
      </c>
      <c r="F449" s="119" t="e">
        <f t="shared" si="188"/>
        <v>#N/A</v>
      </c>
      <c r="G449" s="119" t="e">
        <f t="shared" si="188"/>
        <v>#N/A</v>
      </c>
      <c r="H449" s="119" t="e">
        <f t="shared" si="188"/>
        <v>#N/A</v>
      </c>
      <c r="I449" s="119" t="e">
        <f t="shared" si="188"/>
        <v>#N/A</v>
      </c>
      <c r="J449" s="119" t="e">
        <f t="shared" si="188"/>
        <v>#N/A</v>
      </c>
      <c r="K449" s="119" t="e">
        <f t="shared" si="188"/>
        <v>#N/A</v>
      </c>
      <c r="L449" s="119" t="e">
        <f t="shared" si="188"/>
        <v>#N/A</v>
      </c>
      <c r="M449" s="119" t="e">
        <f t="shared" si="188"/>
        <v>#N/A</v>
      </c>
      <c r="N449" s="119" t="e">
        <f t="shared" si="188"/>
        <v>#N/A</v>
      </c>
      <c r="O449" s="119" t="e">
        <f t="shared" si="188"/>
        <v>#N/A</v>
      </c>
      <c r="P449" s="119" t="e">
        <f t="shared" si="188"/>
        <v>#N/A</v>
      </c>
      <c r="Q449" s="119" t="e">
        <f t="shared" si="188"/>
        <v>#N/A</v>
      </c>
      <c r="R449" s="119" t="e">
        <f t="shared" si="188"/>
        <v>#N/A</v>
      </c>
      <c r="S449" s="119" t="e">
        <f t="shared" si="188"/>
        <v>#N/A</v>
      </c>
      <c r="T449" s="119" t="e">
        <f t="shared" si="188"/>
        <v>#N/A</v>
      </c>
      <c r="U449" s="119" t="e">
        <f t="shared" si="188"/>
        <v>#N/A</v>
      </c>
      <c r="V449" s="119" t="e">
        <f t="shared" si="188"/>
        <v>#N/A</v>
      </c>
      <c r="W449" s="119" t="e">
        <f t="shared" si="188"/>
        <v>#N/A</v>
      </c>
      <c r="X449" s="119" t="e">
        <f t="shared" si="188"/>
        <v>#N/A</v>
      </c>
      <c r="Y449" s="119" t="e">
        <f t="shared" si="188"/>
        <v>#N/A</v>
      </c>
      <c r="Z449" s="119" t="e">
        <f t="shared" si="188"/>
        <v>#N/A</v>
      </c>
      <c r="AA449" s="119" t="e">
        <f t="shared" si="188"/>
        <v>#N/A</v>
      </c>
      <c r="AB449" s="119" t="e">
        <f t="shared" si="188"/>
        <v>#N/A</v>
      </c>
      <c r="AC449" s="119" t="e">
        <f t="shared" si="188"/>
        <v>#N/A</v>
      </c>
      <c r="AD449" s="119" t="e">
        <f t="shared" si="188"/>
        <v>#N/A</v>
      </c>
      <c r="AE449" s="119" t="e">
        <f t="shared" si="188"/>
        <v>#N/A</v>
      </c>
      <c r="AF449" s="119" t="e">
        <f t="shared" si="188"/>
        <v>#N/A</v>
      </c>
      <c r="AG449" s="119" t="e">
        <f t="shared" si="188"/>
        <v>#N/A</v>
      </c>
      <c r="AH449" s="119" t="e">
        <f t="shared" si="188"/>
        <v>#N/A</v>
      </c>
      <c r="AI449" s="119" t="e">
        <f t="shared" si="188"/>
        <v>#N/A</v>
      </c>
      <c r="AJ449" s="119" t="e">
        <f t="shared" si="188"/>
        <v>#N/A</v>
      </c>
      <c r="AK449" s="119" t="e">
        <f t="shared" si="188"/>
        <v>#N/A</v>
      </c>
      <c r="AL449" s="119" t="e">
        <f t="shared" si="188"/>
        <v>#N/A</v>
      </c>
      <c r="AM449" s="119" t="e">
        <f t="shared" si="188"/>
        <v>#N/A</v>
      </c>
      <c r="AN449" s="119" t="e">
        <f t="shared" si="188"/>
        <v>#N/A</v>
      </c>
      <c r="AO449" s="119" t="e">
        <f t="shared" si="188"/>
        <v>#N/A</v>
      </c>
      <c r="AP449" s="119" t="e">
        <f t="shared" si="188"/>
        <v>#N/A</v>
      </c>
    </row>
    <row r="450" spans="1:42" x14ac:dyDescent="0.2">
      <c r="A450" s="22" t="s">
        <v>354</v>
      </c>
      <c r="B450" s="163" cm="1">
        <f t="array" ref="B450">SUM(IF(ISNUMBER(C450:AP450),C450:AP450))</f>
        <v>0</v>
      </c>
      <c r="C450" s="119">
        <f t="shared" ref="C450:AP450" si="189">IF(C2&lt;=analysis_period,C442/100*$Q$407,0)</f>
        <v>0</v>
      </c>
      <c r="D450" s="119">
        <f t="shared" si="189"/>
        <v>0</v>
      </c>
      <c r="E450" s="119">
        <f t="shared" si="189"/>
        <v>0</v>
      </c>
      <c r="F450" s="119">
        <f t="shared" si="189"/>
        <v>0</v>
      </c>
      <c r="G450" s="119">
        <f t="shared" si="189"/>
        <v>0</v>
      </c>
      <c r="H450" s="119">
        <f t="shared" si="189"/>
        <v>0</v>
      </c>
      <c r="I450" s="119">
        <f t="shared" si="189"/>
        <v>0</v>
      </c>
      <c r="J450" s="119">
        <f t="shared" si="189"/>
        <v>0</v>
      </c>
      <c r="K450" s="119">
        <f t="shared" si="189"/>
        <v>0</v>
      </c>
      <c r="L450" s="119">
        <f t="shared" si="189"/>
        <v>0</v>
      </c>
      <c r="M450" s="119">
        <f t="shared" si="189"/>
        <v>0</v>
      </c>
      <c r="N450" s="119">
        <f t="shared" si="189"/>
        <v>0</v>
      </c>
      <c r="O450" s="119">
        <f t="shared" si="189"/>
        <v>0</v>
      </c>
      <c r="P450" s="119">
        <f t="shared" si="189"/>
        <v>0</v>
      </c>
      <c r="Q450" s="119">
        <f t="shared" si="189"/>
        <v>0</v>
      </c>
      <c r="R450" s="119">
        <f t="shared" si="189"/>
        <v>0</v>
      </c>
      <c r="S450" s="119">
        <f t="shared" si="189"/>
        <v>0</v>
      </c>
      <c r="T450" s="119">
        <f t="shared" si="189"/>
        <v>0</v>
      </c>
      <c r="U450" s="119">
        <f t="shared" si="189"/>
        <v>0</v>
      </c>
      <c r="V450" s="119">
        <f t="shared" si="189"/>
        <v>0</v>
      </c>
      <c r="W450" s="119">
        <f t="shared" si="189"/>
        <v>0</v>
      </c>
      <c r="X450" s="119">
        <f t="shared" si="189"/>
        <v>0</v>
      </c>
      <c r="Y450" s="119">
        <f t="shared" si="189"/>
        <v>0</v>
      </c>
      <c r="Z450" s="119">
        <f t="shared" si="189"/>
        <v>0</v>
      </c>
      <c r="AA450" s="119">
        <f t="shared" si="189"/>
        <v>0</v>
      </c>
      <c r="AB450" s="119">
        <f t="shared" si="189"/>
        <v>0</v>
      </c>
      <c r="AC450" s="119">
        <f t="shared" si="189"/>
        <v>0</v>
      </c>
      <c r="AD450" s="119">
        <f t="shared" si="189"/>
        <v>0</v>
      </c>
      <c r="AE450" s="119">
        <f t="shared" si="189"/>
        <v>0</v>
      </c>
      <c r="AF450" s="119">
        <f t="shared" si="189"/>
        <v>0</v>
      </c>
      <c r="AG450" s="119">
        <f t="shared" si="189"/>
        <v>0</v>
      </c>
      <c r="AH450" s="119">
        <f t="shared" si="189"/>
        <v>0</v>
      </c>
      <c r="AI450" s="119">
        <f t="shared" si="189"/>
        <v>0</v>
      </c>
      <c r="AJ450" s="119">
        <f t="shared" si="189"/>
        <v>0</v>
      </c>
      <c r="AK450" s="119">
        <f t="shared" si="189"/>
        <v>0</v>
      </c>
      <c r="AL450" s="119">
        <f t="shared" si="189"/>
        <v>0</v>
      </c>
      <c r="AM450" s="119">
        <f t="shared" si="189"/>
        <v>0</v>
      </c>
      <c r="AN450" s="119">
        <f t="shared" si="189"/>
        <v>0</v>
      </c>
      <c r="AO450" s="119">
        <f t="shared" si="189"/>
        <v>0</v>
      </c>
      <c r="AP450" s="119">
        <f t="shared" si="189"/>
        <v>0</v>
      </c>
    </row>
    <row r="451" spans="1:42" x14ac:dyDescent="0.2">
      <c r="A451" s="22" t="s">
        <v>78</v>
      </c>
      <c r="B451" s="163" cm="1">
        <f t="array" ref="B451">SUM(IF(ISNUMBER(C451:AP451),C451:AP451))</f>
        <v>0</v>
      </c>
      <c r="C451" s="120">
        <f>P408</f>
        <v>0</v>
      </c>
      <c r="D451" s="120">
        <v>0</v>
      </c>
      <c r="E451" s="120">
        <v>0</v>
      </c>
      <c r="F451" s="120">
        <v>0</v>
      </c>
      <c r="G451" s="120">
        <v>0</v>
      </c>
      <c r="H451" s="120">
        <v>0</v>
      </c>
      <c r="I451" s="120">
        <v>0</v>
      </c>
      <c r="J451" s="120">
        <v>0</v>
      </c>
      <c r="K451" s="120">
        <v>0</v>
      </c>
      <c r="L451" s="120">
        <v>0</v>
      </c>
      <c r="M451" s="120">
        <v>0</v>
      </c>
      <c r="N451" s="120">
        <v>0</v>
      </c>
      <c r="O451" s="120">
        <v>0</v>
      </c>
      <c r="P451" s="120">
        <v>0</v>
      </c>
      <c r="Q451" s="120">
        <v>0</v>
      </c>
      <c r="R451" s="120">
        <v>0</v>
      </c>
      <c r="S451" s="120">
        <v>0</v>
      </c>
      <c r="T451" s="120">
        <v>0</v>
      </c>
      <c r="U451" s="120">
        <v>0</v>
      </c>
      <c r="V451" s="120">
        <v>0</v>
      </c>
      <c r="W451" s="120">
        <v>0</v>
      </c>
      <c r="X451" s="120">
        <v>0</v>
      </c>
      <c r="Y451" s="120">
        <v>0</v>
      </c>
      <c r="Z451" s="120">
        <v>0</v>
      </c>
      <c r="AA451" s="120">
        <v>0</v>
      </c>
      <c r="AB451" s="120">
        <v>0</v>
      </c>
      <c r="AC451" s="120">
        <v>0</v>
      </c>
      <c r="AD451" s="120">
        <v>0</v>
      </c>
      <c r="AE451" s="120">
        <v>0</v>
      </c>
      <c r="AF451" s="120">
        <v>0</v>
      </c>
      <c r="AG451" s="120">
        <v>0</v>
      </c>
      <c r="AH451" s="120">
        <v>0</v>
      </c>
      <c r="AI451" s="120">
        <v>0</v>
      </c>
      <c r="AJ451" s="120">
        <v>0</v>
      </c>
      <c r="AK451" s="120">
        <v>0</v>
      </c>
      <c r="AL451" s="120">
        <v>0</v>
      </c>
      <c r="AM451" s="120">
        <v>0</v>
      </c>
      <c r="AN451" s="120">
        <v>0</v>
      </c>
      <c r="AO451" s="120">
        <v>0</v>
      </c>
      <c r="AP451" s="120">
        <v>0</v>
      </c>
    </row>
    <row r="452" spans="1:42" x14ac:dyDescent="0.2">
      <c r="A452" s="21"/>
      <c r="B452" s="163" cm="1">
        <f t="array" ref="B452">SUM(IF(ISNUMBER(C452:AP452),C452:AP452))</f>
        <v>0</v>
      </c>
      <c r="C452" s="119" t="e">
        <f>SUM(C444:C451)</f>
        <v>#N/A</v>
      </c>
      <c r="D452" s="119" t="e">
        <f t="shared" ref="D452:AP452" si="190">SUM(D444:D451)</f>
        <v>#N/A</v>
      </c>
      <c r="E452" s="119" t="e">
        <f t="shared" si="190"/>
        <v>#N/A</v>
      </c>
      <c r="F452" s="119" t="e">
        <f t="shared" si="190"/>
        <v>#N/A</v>
      </c>
      <c r="G452" s="119" t="e">
        <f t="shared" si="190"/>
        <v>#N/A</v>
      </c>
      <c r="H452" s="119" t="e">
        <f t="shared" si="190"/>
        <v>#N/A</v>
      </c>
      <c r="I452" s="119" t="e">
        <f t="shared" si="190"/>
        <v>#N/A</v>
      </c>
      <c r="J452" s="119" t="e">
        <f t="shared" si="190"/>
        <v>#N/A</v>
      </c>
      <c r="K452" s="119" t="e">
        <f t="shared" si="190"/>
        <v>#N/A</v>
      </c>
      <c r="L452" s="119" t="e">
        <f t="shared" si="190"/>
        <v>#N/A</v>
      </c>
      <c r="M452" s="119" t="e">
        <f t="shared" si="190"/>
        <v>#N/A</v>
      </c>
      <c r="N452" s="119" t="e">
        <f t="shared" si="190"/>
        <v>#N/A</v>
      </c>
      <c r="O452" s="119" t="e">
        <f t="shared" si="190"/>
        <v>#N/A</v>
      </c>
      <c r="P452" s="119" t="e">
        <f t="shared" si="190"/>
        <v>#N/A</v>
      </c>
      <c r="Q452" s="119" t="e">
        <f t="shared" si="190"/>
        <v>#N/A</v>
      </c>
      <c r="R452" s="119" t="e">
        <f t="shared" si="190"/>
        <v>#N/A</v>
      </c>
      <c r="S452" s="119" t="e">
        <f t="shared" si="190"/>
        <v>#N/A</v>
      </c>
      <c r="T452" s="119" t="e">
        <f t="shared" si="190"/>
        <v>#N/A</v>
      </c>
      <c r="U452" s="119" t="e">
        <f t="shared" si="190"/>
        <v>#N/A</v>
      </c>
      <c r="V452" s="119" t="e">
        <f t="shared" si="190"/>
        <v>#N/A</v>
      </c>
      <c r="W452" s="119" t="e">
        <f t="shared" si="190"/>
        <v>#N/A</v>
      </c>
      <c r="X452" s="119" t="e">
        <f t="shared" si="190"/>
        <v>#N/A</v>
      </c>
      <c r="Y452" s="119" t="e">
        <f t="shared" si="190"/>
        <v>#N/A</v>
      </c>
      <c r="Z452" s="119" t="e">
        <f t="shared" si="190"/>
        <v>#N/A</v>
      </c>
      <c r="AA452" s="119" t="e">
        <f t="shared" si="190"/>
        <v>#N/A</v>
      </c>
      <c r="AB452" s="119" t="e">
        <f t="shared" si="190"/>
        <v>#N/A</v>
      </c>
      <c r="AC452" s="119" t="e">
        <f t="shared" si="190"/>
        <v>#N/A</v>
      </c>
      <c r="AD452" s="119" t="e">
        <f t="shared" si="190"/>
        <v>#N/A</v>
      </c>
      <c r="AE452" s="119" t="e">
        <f t="shared" si="190"/>
        <v>#N/A</v>
      </c>
      <c r="AF452" s="119" t="e">
        <f t="shared" si="190"/>
        <v>#N/A</v>
      </c>
      <c r="AG452" s="119" t="e">
        <f t="shared" si="190"/>
        <v>#N/A</v>
      </c>
      <c r="AH452" s="119" t="e">
        <f t="shared" si="190"/>
        <v>#N/A</v>
      </c>
      <c r="AI452" s="119" t="e">
        <f t="shared" si="190"/>
        <v>#N/A</v>
      </c>
      <c r="AJ452" s="119" t="e">
        <f t="shared" si="190"/>
        <v>#N/A</v>
      </c>
      <c r="AK452" s="119" t="e">
        <f t="shared" si="190"/>
        <v>#N/A</v>
      </c>
      <c r="AL452" s="119" t="e">
        <f t="shared" si="190"/>
        <v>#N/A</v>
      </c>
      <c r="AM452" s="119" t="e">
        <f t="shared" si="190"/>
        <v>#N/A</v>
      </c>
      <c r="AN452" s="119" t="e">
        <f t="shared" si="190"/>
        <v>#N/A</v>
      </c>
      <c r="AO452" s="119" t="e">
        <f t="shared" si="190"/>
        <v>#N/A</v>
      </c>
      <c r="AP452" s="119" t="e">
        <f t="shared" si="190"/>
        <v>#N/A</v>
      </c>
    </row>
    <row r="453" spans="1:42" x14ac:dyDescent="0.2">
      <c r="A453" s="21"/>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row>
    <row r="454" spans="1:42" x14ac:dyDescent="0.2">
      <c r="A454" s="86" t="s">
        <v>446</v>
      </c>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row>
    <row r="455" spans="1:42" x14ac:dyDescent="0.2">
      <c r="A455" s="21" t="s">
        <v>451</v>
      </c>
      <c r="B455" s="24" t="str">
        <f>equip_reserve_depr_fed</f>
        <v>5-yr MACRS</v>
      </c>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row>
    <row r="456" spans="1:42" x14ac:dyDescent="0.2">
      <c r="A456" s="21" t="s">
        <v>69</v>
      </c>
      <c r="B456" s="169">
        <f t="shared" ref="B456:AP456" si="191">B2</f>
        <v>0</v>
      </c>
      <c r="C456" s="169" t="str">
        <f t="shared" si="191"/>
        <v/>
      </c>
      <c r="D456" s="169" t="str">
        <f t="shared" si="191"/>
        <v/>
      </c>
      <c r="E456" s="169" t="str">
        <f t="shared" si="191"/>
        <v/>
      </c>
      <c r="F456" s="169" t="str">
        <f t="shared" si="191"/>
        <v/>
      </c>
      <c r="G456" s="169" t="str">
        <f t="shared" si="191"/>
        <v/>
      </c>
      <c r="H456" s="169" t="str">
        <f t="shared" si="191"/>
        <v/>
      </c>
      <c r="I456" s="169" t="str">
        <f t="shared" si="191"/>
        <v/>
      </c>
      <c r="J456" s="169" t="str">
        <f t="shared" si="191"/>
        <v/>
      </c>
      <c r="K456" s="169" t="str">
        <f t="shared" si="191"/>
        <v/>
      </c>
      <c r="L456" s="169" t="str">
        <f t="shared" si="191"/>
        <v/>
      </c>
      <c r="M456" s="169" t="str">
        <f t="shared" si="191"/>
        <v/>
      </c>
      <c r="N456" s="169" t="str">
        <f t="shared" si="191"/>
        <v/>
      </c>
      <c r="O456" s="169" t="str">
        <f t="shared" si="191"/>
        <v/>
      </c>
      <c r="P456" s="169" t="str">
        <f t="shared" si="191"/>
        <v/>
      </c>
      <c r="Q456" s="169" t="str">
        <f t="shared" si="191"/>
        <v/>
      </c>
      <c r="R456" s="169" t="str">
        <f t="shared" si="191"/>
        <v/>
      </c>
      <c r="S456" s="169" t="str">
        <f t="shared" si="191"/>
        <v/>
      </c>
      <c r="T456" s="169" t="str">
        <f t="shared" si="191"/>
        <v/>
      </c>
      <c r="U456" s="169" t="str">
        <f t="shared" si="191"/>
        <v/>
      </c>
      <c r="V456" s="169" t="str">
        <f t="shared" si="191"/>
        <v/>
      </c>
      <c r="W456" s="169" t="str">
        <f t="shared" si="191"/>
        <v/>
      </c>
      <c r="X456" s="169" t="str">
        <f t="shared" si="191"/>
        <v/>
      </c>
      <c r="Y456" s="169" t="str">
        <f t="shared" si="191"/>
        <v/>
      </c>
      <c r="Z456" s="169" t="str">
        <f t="shared" si="191"/>
        <v/>
      </c>
      <c r="AA456" s="169" t="str">
        <f t="shared" si="191"/>
        <v/>
      </c>
      <c r="AB456" s="169" t="str">
        <f t="shared" si="191"/>
        <v/>
      </c>
      <c r="AC456" s="169" t="str">
        <f t="shared" si="191"/>
        <v/>
      </c>
      <c r="AD456" s="169" t="str">
        <f t="shared" si="191"/>
        <v/>
      </c>
      <c r="AE456" s="169" t="str">
        <f t="shared" si="191"/>
        <v/>
      </c>
      <c r="AF456" s="169" t="str">
        <f t="shared" si="191"/>
        <v/>
      </c>
      <c r="AG456" s="169" t="str">
        <f t="shared" si="191"/>
        <v/>
      </c>
      <c r="AH456" s="169" t="str">
        <f t="shared" si="191"/>
        <v/>
      </c>
      <c r="AI456" s="169" t="str">
        <f t="shared" si="191"/>
        <v/>
      </c>
      <c r="AJ456" s="169" t="str">
        <f t="shared" si="191"/>
        <v/>
      </c>
      <c r="AK456" s="169" t="str">
        <f t="shared" si="191"/>
        <v/>
      </c>
      <c r="AL456" s="169" t="str">
        <f t="shared" si="191"/>
        <v/>
      </c>
      <c r="AM456" s="169" t="str">
        <f t="shared" si="191"/>
        <v/>
      </c>
      <c r="AN456" s="169" t="str">
        <f t="shared" si="191"/>
        <v/>
      </c>
      <c r="AO456" s="169" t="str">
        <f t="shared" si="191"/>
        <v/>
      </c>
      <c r="AP456" s="169" t="str">
        <f t="shared" si="191"/>
        <v/>
      </c>
    </row>
    <row r="457" spans="1:42" x14ac:dyDescent="0.2">
      <c r="A457" s="21" t="s">
        <v>452</v>
      </c>
      <c r="B457" s="168">
        <v>0</v>
      </c>
      <c r="C457" s="164" t="e">
        <f t="shared" ref="C457:AP457" si="192">IF($B$455=$A436,C436,0)+IF($B$455=$A437,C437,0)+IF($B$455=$A438,C438,0)+IF($B$455=$A439,C439,0)+IF($B$455=$A440,C440,0)+IF($B$455=$A441,C441,0)</f>
        <v>#N/A</v>
      </c>
      <c r="D457" s="164" t="e">
        <f t="shared" si="192"/>
        <v>#N/A</v>
      </c>
      <c r="E457" s="164" t="e">
        <f t="shared" si="192"/>
        <v>#N/A</v>
      </c>
      <c r="F457" s="164" t="e">
        <f t="shared" si="192"/>
        <v>#N/A</v>
      </c>
      <c r="G457" s="164" t="e">
        <f t="shared" si="192"/>
        <v>#N/A</v>
      </c>
      <c r="H457" s="164" t="e">
        <f t="shared" si="192"/>
        <v>#N/A</v>
      </c>
      <c r="I457" s="164" t="e">
        <f t="shared" si="192"/>
        <v>#N/A</v>
      </c>
      <c r="J457" s="164" t="e">
        <f t="shared" si="192"/>
        <v>#N/A</v>
      </c>
      <c r="K457" s="164" t="e">
        <f t="shared" si="192"/>
        <v>#N/A</v>
      </c>
      <c r="L457" s="164" t="e">
        <f t="shared" si="192"/>
        <v>#N/A</v>
      </c>
      <c r="M457" s="164" t="e">
        <f t="shared" si="192"/>
        <v>#N/A</v>
      </c>
      <c r="N457" s="164" t="e">
        <f t="shared" si="192"/>
        <v>#N/A</v>
      </c>
      <c r="O457" s="164" t="e">
        <f t="shared" si="192"/>
        <v>#N/A</v>
      </c>
      <c r="P457" s="164" t="e">
        <f t="shared" si="192"/>
        <v>#N/A</v>
      </c>
      <c r="Q457" s="164" t="e">
        <f t="shared" si="192"/>
        <v>#N/A</v>
      </c>
      <c r="R457" s="164" t="e">
        <f t="shared" si="192"/>
        <v>#N/A</v>
      </c>
      <c r="S457" s="164" t="e">
        <f t="shared" si="192"/>
        <v>#N/A</v>
      </c>
      <c r="T457" s="164" t="e">
        <f t="shared" si="192"/>
        <v>#N/A</v>
      </c>
      <c r="U457" s="164" t="e">
        <f t="shared" si="192"/>
        <v>#N/A</v>
      </c>
      <c r="V457" s="164" t="e">
        <f t="shared" si="192"/>
        <v>#N/A</v>
      </c>
      <c r="W457" s="164" t="e">
        <f t="shared" si="192"/>
        <v>#N/A</v>
      </c>
      <c r="X457" s="164" t="e">
        <f t="shared" si="192"/>
        <v>#N/A</v>
      </c>
      <c r="Y457" s="164" t="e">
        <f t="shared" si="192"/>
        <v>#N/A</v>
      </c>
      <c r="Z457" s="164" t="e">
        <f t="shared" si="192"/>
        <v>#N/A</v>
      </c>
      <c r="AA457" s="164" t="e">
        <f t="shared" si="192"/>
        <v>#N/A</v>
      </c>
      <c r="AB457" s="164" t="e">
        <f t="shared" si="192"/>
        <v>#N/A</v>
      </c>
      <c r="AC457" s="164" t="e">
        <f t="shared" si="192"/>
        <v>#N/A</v>
      </c>
      <c r="AD457" s="164" t="e">
        <f t="shared" si="192"/>
        <v>#N/A</v>
      </c>
      <c r="AE457" s="164" t="e">
        <f t="shared" si="192"/>
        <v>#N/A</v>
      </c>
      <c r="AF457" s="164" t="e">
        <f t="shared" si="192"/>
        <v>#N/A</v>
      </c>
      <c r="AG457" s="164" t="e">
        <f t="shared" si="192"/>
        <v>#N/A</v>
      </c>
      <c r="AH457" s="164" t="e">
        <f t="shared" si="192"/>
        <v>#N/A</v>
      </c>
      <c r="AI457" s="164" t="e">
        <f t="shared" si="192"/>
        <v>#N/A</v>
      </c>
      <c r="AJ457" s="164" t="e">
        <f t="shared" si="192"/>
        <v>#N/A</v>
      </c>
      <c r="AK457" s="164" t="e">
        <f t="shared" si="192"/>
        <v>#N/A</v>
      </c>
      <c r="AL457" s="164" t="e">
        <f t="shared" si="192"/>
        <v>#N/A</v>
      </c>
      <c r="AM457" s="164" t="e">
        <f t="shared" si="192"/>
        <v>#N/A</v>
      </c>
      <c r="AN457" s="164" t="e">
        <f t="shared" si="192"/>
        <v>#N/A</v>
      </c>
      <c r="AO457" s="164" t="e">
        <f t="shared" si="192"/>
        <v>#N/A</v>
      </c>
      <c r="AP457" s="164" t="e">
        <f t="shared" si="192"/>
        <v>#N/A</v>
      </c>
    </row>
    <row r="458" spans="1:42" x14ac:dyDescent="0.2">
      <c r="A458" s="17"/>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row>
    <row r="459" spans="1:42" x14ac:dyDescent="0.2">
      <c r="A459" s="21" t="s">
        <v>80</v>
      </c>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row>
    <row r="460" spans="1:42" x14ac:dyDescent="0.2">
      <c r="A460" s="87" t="s">
        <v>67</v>
      </c>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row>
    <row r="461" spans="1:42" x14ac:dyDescent="0.2">
      <c r="A461" s="4">
        <v>1</v>
      </c>
      <c r="C461" s="155">
        <f t="shared" ref="C461:AP461" si="193">C323</f>
        <v>0</v>
      </c>
      <c r="D461" s="155">
        <f t="shared" si="193"/>
        <v>0</v>
      </c>
      <c r="E461" s="155">
        <f t="shared" si="193"/>
        <v>0</v>
      </c>
      <c r="F461" s="155">
        <f t="shared" si="193"/>
        <v>0</v>
      </c>
      <c r="G461" s="155">
        <f t="shared" si="193"/>
        <v>0</v>
      </c>
      <c r="H461" s="155">
        <f t="shared" si="193"/>
        <v>0</v>
      </c>
      <c r="I461" s="155">
        <f t="shared" si="193"/>
        <v>0</v>
      </c>
      <c r="J461" s="155">
        <f t="shared" si="193"/>
        <v>0</v>
      </c>
      <c r="K461" s="155">
        <f t="shared" si="193"/>
        <v>0</v>
      </c>
      <c r="L461" s="155">
        <f t="shared" si="193"/>
        <v>0</v>
      </c>
      <c r="M461" s="155">
        <f t="shared" si="193"/>
        <v>0</v>
      </c>
      <c r="N461" s="155">
        <f t="shared" si="193"/>
        <v>0</v>
      </c>
      <c r="O461" s="155">
        <f t="shared" si="193"/>
        <v>0</v>
      </c>
      <c r="P461" s="155">
        <f t="shared" si="193"/>
        <v>0</v>
      </c>
      <c r="Q461" s="155">
        <f t="shared" si="193"/>
        <v>0</v>
      </c>
      <c r="R461" s="155">
        <f t="shared" si="193"/>
        <v>0</v>
      </c>
      <c r="S461" s="155">
        <f t="shared" si="193"/>
        <v>0</v>
      </c>
      <c r="T461" s="155">
        <f t="shared" si="193"/>
        <v>0</v>
      </c>
      <c r="U461" s="155">
        <f t="shared" si="193"/>
        <v>0</v>
      </c>
      <c r="V461" s="155">
        <f t="shared" si="193"/>
        <v>0</v>
      </c>
      <c r="W461" s="155">
        <f t="shared" si="193"/>
        <v>0</v>
      </c>
      <c r="X461" s="155">
        <f t="shared" si="193"/>
        <v>0</v>
      </c>
      <c r="Y461" s="155">
        <f t="shared" si="193"/>
        <v>0</v>
      </c>
      <c r="Z461" s="155">
        <f t="shared" si="193"/>
        <v>0</v>
      </c>
      <c r="AA461" s="155">
        <f t="shared" si="193"/>
        <v>0</v>
      </c>
      <c r="AB461" s="155">
        <f t="shared" si="193"/>
        <v>0</v>
      </c>
      <c r="AC461" s="155">
        <f t="shared" si="193"/>
        <v>0</v>
      </c>
      <c r="AD461" s="155">
        <f t="shared" si="193"/>
        <v>0</v>
      </c>
      <c r="AE461" s="155">
        <f t="shared" si="193"/>
        <v>0</v>
      </c>
      <c r="AF461" s="155">
        <f t="shared" si="193"/>
        <v>0</v>
      </c>
      <c r="AG461" s="155">
        <f t="shared" si="193"/>
        <v>0</v>
      </c>
      <c r="AH461" s="155">
        <f t="shared" si="193"/>
        <v>0</v>
      </c>
      <c r="AI461" s="155">
        <f t="shared" si="193"/>
        <v>0</v>
      </c>
      <c r="AJ461" s="155">
        <f t="shared" si="193"/>
        <v>0</v>
      </c>
      <c r="AK461" s="155">
        <f t="shared" si="193"/>
        <v>0</v>
      </c>
      <c r="AL461" s="155">
        <f t="shared" si="193"/>
        <v>0</v>
      </c>
      <c r="AM461" s="155">
        <f t="shared" si="193"/>
        <v>0</v>
      </c>
      <c r="AN461" s="155">
        <f t="shared" si="193"/>
        <v>0</v>
      </c>
      <c r="AO461" s="155">
        <f t="shared" si="193"/>
        <v>0</v>
      </c>
      <c r="AP461" s="155">
        <f t="shared" si="193"/>
        <v>0</v>
      </c>
    </row>
    <row r="462" spans="1:42" x14ac:dyDescent="0.2">
      <c r="A462" s="4">
        <f>A461+1</f>
        <v>2</v>
      </c>
      <c r="C462" s="155">
        <f t="shared" ref="C462:AP462" si="194">C324</f>
        <v>0</v>
      </c>
      <c r="D462" s="155">
        <f t="shared" si="194"/>
        <v>0</v>
      </c>
      <c r="E462" s="155">
        <f t="shared" si="194"/>
        <v>0</v>
      </c>
      <c r="F462" s="155">
        <f t="shared" si="194"/>
        <v>0</v>
      </c>
      <c r="G462" s="155">
        <f t="shared" si="194"/>
        <v>0</v>
      </c>
      <c r="H462" s="155">
        <f t="shared" si="194"/>
        <v>0</v>
      </c>
      <c r="I462" s="155">
        <f t="shared" si="194"/>
        <v>0</v>
      </c>
      <c r="J462" s="155">
        <f t="shared" si="194"/>
        <v>0</v>
      </c>
      <c r="K462" s="155">
        <f t="shared" si="194"/>
        <v>0</v>
      </c>
      <c r="L462" s="155">
        <f t="shared" si="194"/>
        <v>0</v>
      </c>
      <c r="M462" s="155">
        <f t="shared" si="194"/>
        <v>0</v>
      </c>
      <c r="N462" s="155">
        <f t="shared" si="194"/>
        <v>0</v>
      </c>
      <c r="O462" s="155">
        <f t="shared" si="194"/>
        <v>0</v>
      </c>
      <c r="P462" s="155">
        <f t="shared" si="194"/>
        <v>0</v>
      </c>
      <c r="Q462" s="155">
        <f t="shared" si="194"/>
        <v>0</v>
      </c>
      <c r="R462" s="155">
        <f t="shared" si="194"/>
        <v>0</v>
      </c>
      <c r="S462" s="155">
        <f t="shared" si="194"/>
        <v>0</v>
      </c>
      <c r="T462" s="155">
        <f t="shared" si="194"/>
        <v>0</v>
      </c>
      <c r="U462" s="155">
        <f t="shared" si="194"/>
        <v>0</v>
      </c>
      <c r="V462" s="155">
        <f t="shared" si="194"/>
        <v>0</v>
      </c>
      <c r="W462" s="155">
        <f t="shared" si="194"/>
        <v>0</v>
      </c>
      <c r="X462" s="155">
        <f t="shared" si="194"/>
        <v>0</v>
      </c>
      <c r="Y462" s="155">
        <f t="shared" si="194"/>
        <v>0</v>
      </c>
      <c r="Z462" s="155">
        <f t="shared" si="194"/>
        <v>0</v>
      </c>
      <c r="AA462" s="155">
        <f t="shared" si="194"/>
        <v>0</v>
      </c>
      <c r="AB462" s="155">
        <f t="shared" si="194"/>
        <v>0</v>
      </c>
      <c r="AC462" s="155">
        <f t="shared" si="194"/>
        <v>0</v>
      </c>
      <c r="AD462" s="155">
        <f t="shared" si="194"/>
        <v>0</v>
      </c>
      <c r="AE462" s="155">
        <f t="shared" si="194"/>
        <v>0</v>
      </c>
      <c r="AF462" s="155">
        <f t="shared" si="194"/>
        <v>0</v>
      </c>
      <c r="AG462" s="155">
        <f t="shared" si="194"/>
        <v>0</v>
      </c>
      <c r="AH462" s="155">
        <f t="shared" si="194"/>
        <v>0</v>
      </c>
      <c r="AI462" s="155">
        <f t="shared" si="194"/>
        <v>0</v>
      </c>
      <c r="AJ462" s="155">
        <f t="shared" si="194"/>
        <v>0</v>
      </c>
      <c r="AK462" s="155">
        <f t="shared" si="194"/>
        <v>0</v>
      </c>
      <c r="AL462" s="155">
        <f t="shared" si="194"/>
        <v>0</v>
      </c>
      <c r="AM462" s="155">
        <f t="shared" si="194"/>
        <v>0</v>
      </c>
      <c r="AN462" s="155">
        <f t="shared" si="194"/>
        <v>0</v>
      </c>
      <c r="AO462" s="155">
        <f t="shared" si="194"/>
        <v>0</v>
      </c>
      <c r="AP462" s="155">
        <f t="shared" si="194"/>
        <v>0</v>
      </c>
    </row>
    <row r="463" spans="1:42" x14ac:dyDescent="0.2">
      <c r="A463" s="4">
        <f t="shared" ref="A463:A468" si="195">A462+1</f>
        <v>3</v>
      </c>
      <c r="C463" s="155">
        <f t="shared" ref="C463:AP463" si="196">C325</f>
        <v>0</v>
      </c>
      <c r="D463" s="155">
        <f t="shared" si="196"/>
        <v>0</v>
      </c>
      <c r="E463" s="155">
        <f t="shared" si="196"/>
        <v>0</v>
      </c>
      <c r="F463" s="155">
        <f t="shared" si="196"/>
        <v>0</v>
      </c>
      <c r="G463" s="155">
        <f t="shared" si="196"/>
        <v>0</v>
      </c>
      <c r="H463" s="155">
        <f t="shared" si="196"/>
        <v>0</v>
      </c>
      <c r="I463" s="155">
        <f t="shared" si="196"/>
        <v>0</v>
      </c>
      <c r="J463" s="155">
        <f t="shared" si="196"/>
        <v>0</v>
      </c>
      <c r="K463" s="155">
        <f t="shared" si="196"/>
        <v>0</v>
      </c>
      <c r="L463" s="155">
        <f t="shared" si="196"/>
        <v>0</v>
      </c>
      <c r="M463" s="155">
        <f t="shared" si="196"/>
        <v>0</v>
      </c>
      <c r="N463" s="155">
        <f t="shared" si="196"/>
        <v>0</v>
      </c>
      <c r="O463" s="155">
        <f t="shared" si="196"/>
        <v>0</v>
      </c>
      <c r="P463" s="155">
        <f t="shared" si="196"/>
        <v>0</v>
      </c>
      <c r="Q463" s="155">
        <f t="shared" si="196"/>
        <v>0</v>
      </c>
      <c r="R463" s="155">
        <f t="shared" si="196"/>
        <v>0</v>
      </c>
      <c r="S463" s="155">
        <f t="shared" si="196"/>
        <v>0</v>
      </c>
      <c r="T463" s="155">
        <f t="shared" si="196"/>
        <v>0</v>
      </c>
      <c r="U463" s="155">
        <f t="shared" si="196"/>
        <v>0</v>
      </c>
      <c r="V463" s="155">
        <f t="shared" si="196"/>
        <v>0</v>
      </c>
      <c r="W463" s="155">
        <f t="shared" si="196"/>
        <v>0</v>
      </c>
      <c r="X463" s="155">
        <f t="shared" si="196"/>
        <v>0</v>
      </c>
      <c r="Y463" s="155">
        <f t="shared" si="196"/>
        <v>0</v>
      </c>
      <c r="Z463" s="155">
        <f t="shared" si="196"/>
        <v>0</v>
      </c>
      <c r="AA463" s="155">
        <f t="shared" si="196"/>
        <v>0</v>
      </c>
      <c r="AB463" s="155">
        <f t="shared" si="196"/>
        <v>0</v>
      </c>
      <c r="AC463" s="155">
        <f t="shared" si="196"/>
        <v>0</v>
      </c>
      <c r="AD463" s="155">
        <f t="shared" si="196"/>
        <v>0</v>
      </c>
      <c r="AE463" s="155">
        <f t="shared" si="196"/>
        <v>0</v>
      </c>
      <c r="AF463" s="155">
        <f t="shared" si="196"/>
        <v>0</v>
      </c>
      <c r="AG463" s="155">
        <f t="shared" si="196"/>
        <v>0</v>
      </c>
      <c r="AH463" s="155">
        <f t="shared" si="196"/>
        <v>0</v>
      </c>
      <c r="AI463" s="155">
        <f t="shared" si="196"/>
        <v>0</v>
      </c>
      <c r="AJ463" s="155">
        <f t="shared" si="196"/>
        <v>0</v>
      </c>
      <c r="AK463" s="155">
        <f t="shared" si="196"/>
        <v>0</v>
      </c>
      <c r="AL463" s="155">
        <f t="shared" si="196"/>
        <v>0</v>
      </c>
      <c r="AM463" s="155">
        <f t="shared" si="196"/>
        <v>0</v>
      </c>
      <c r="AN463" s="155">
        <f t="shared" si="196"/>
        <v>0</v>
      </c>
      <c r="AO463" s="155">
        <f t="shared" si="196"/>
        <v>0</v>
      </c>
      <c r="AP463" s="155">
        <f t="shared" si="196"/>
        <v>0</v>
      </c>
    </row>
    <row r="464" spans="1:42" x14ac:dyDescent="0.2">
      <c r="A464" s="4">
        <f t="shared" si="195"/>
        <v>4</v>
      </c>
      <c r="C464" s="155">
        <f t="shared" ref="C464:AP464" si="197">C326</f>
        <v>0</v>
      </c>
      <c r="D464" s="155">
        <f t="shared" si="197"/>
        <v>0</v>
      </c>
      <c r="E464" s="155">
        <f t="shared" si="197"/>
        <v>0</v>
      </c>
      <c r="F464" s="155">
        <f t="shared" si="197"/>
        <v>0</v>
      </c>
      <c r="G464" s="155">
        <f t="shared" si="197"/>
        <v>0</v>
      </c>
      <c r="H464" s="155">
        <f t="shared" si="197"/>
        <v>0</v>
      </c>
      <c r="I464" s="155">
        <f t="shared" si="197"/>
        <v>0</v>
      </c>
      <c r="J464" s="155">
        <f t="shared" si="197"/>
        <v>0</v>
      </c>
      <c r="K464" s="155">
        <f t="shared" si="197"/>
        <v>0</v>
      </c>
      <c r="L464" s="155">
        <f t="shared" si="197"/>
        <v>0</v>
      </c>
      <c r="M464" s="155">
        <f t="shared" si="197"/>
        <v>0</v>
      </c>
      <c r="N464" s="155">
        <f t="shared" si="197"/>
        <v>0</v>
      </c>
      <c r="O464" s="155">
        <f t="shared" si="197"/>
        <v>0</v>
      </c>
      <c r="P464" s="155">
        <f t="shared" si="197"/>
        <v>0</v>
      </c>
      <c r="Q464" s="155">
        <f t="shared" si="197"/>
        <v>0</v>
      </c>
      <c r="R464" s="155">
        <f t="shared" si="197"/>
        <v>0</v>
      </c>
      <c r="S464" s="155">
        <f t="shared" si="197"/>
        <v>0</v>
      </c>
      <c r="T464" s="155">
        <f t="shared" si="197"/>
        <v>0</v>
      </c>
      <c r="U464" s="155">
        <f t="shared" si="197"/>
        <v>0</v>
      </c>
      <c r="V464" s="155">
        <f t="shared" si="197"/>
        <v>0</v>
      </c>
      <c r="W464" s="155">
        <f t="shared" si="197"/>
        <v>0</v>
      </c>
      <c r="X464" s="155">
        <f t="shared" si="197"/>
        <v>0</v>
      </c>
      <c r="Y464" s="155">
        <f t="shared" si="197"/>
        <v>0</v>
      </c>
      <c r="Z464" s="155">
        <f t="shared" si="197"/>
        <v>0</v>
      </c>
      <c r="AA464" s="155">
        <f t="shared" si="197"/>
        <v>0</v>
      </c>
      <c r="AB464" s="155">
        <f t="shared" si="197"/>
        <v>0</v>
      </c>
      <c r="AC464" s="155">
        <f t="shared" si="197"/>
        <v>0</v>
      </c>
      <c r="AD464" s="155">
        <f t="shared" si="197"/>
        <v>0</v>
      </c>
      <c r="AE464" s="155">
        <f t="shared" si="197"/>
        <v>0</v>
      </c>
      <c r="AF464" s="155">
        <f t="shared" si="197"/>
        <v>0</v>
      </c>
      <c r="AG464" s="155">
        <f t="shared" si="197"/>
        <v>0</v>
      </c>
      <c r="AH464" s="155">
        <f t="shared" si="197"/>
        <v>0</v>
      </c>
      <c r="AI464" s="155">
        <f t="shared" si="197"/>
        <v>0</v>
      </c>
      <c r="AJ464" s="155">
        <f t="shared" si="197"/>
        <v>0</v>
      </c>
      <c r="AK464" s="155">
        <f t="shared" si="197"/>
        <v>0</v>
      </c>
      <c r="AL464" s="155">
        <f t="shared" si="197"/>
        <v>0</v>
      </c>
      <c r="AM464" s="155">
        <f t="shared" si="197"/>
        <v>0</v>
      </c>
      <c r="AN464" s="155">
        <f t="shared" si="197"/>
        <v>0</v>
      </c>
      <c r="AO464" s="155">
        <f t="shared" si="197"/>
        <v>0</v>
      </c>
      <c r="AP464" s="155">
        <f t="shared" si="197"/>
        <v>0</v>
      </c>
    </row>
    <row r="465" spans="1:42" x14ac:dyDescent="0.2">
      <c r="A465" s="4">
        <f t="shared" si="195"/>
        <v>5</v>
      </c>
      <c r="C465" s="155">
        <f t="shared" ref="C465:AP465" si="198">C327</f>
        <v>0</v>
      </c>
      <c r="D465" s="155">
        <f t="shared" si="198"/>
        <v>0</v>
      </c>
      <c r="E465" s="155">
        <f t="shared" si="198"/>
        <v>0</v>
      </c>
      <c r="F465" s="155">
        <f t="shared" si="198"/>
        <v>0</v>
      </c>
      <c r="G465" s="155">
        <f t="shared" si="198"/>
        <v>0</v>
      </c>
      <c r="H465" s="155">
        <f t="shared" si="198"/>
        <v>0</v>
      </c>
      <c r="I465" s="155">
        <f t="shared" si="198"/>
        <v>0</v>
      </c>
      <c r="J465" s="155">
        <f t="shared" si="198"/>
        <v>0</v>
      </c>
      <c r="K465" s="155">
        <f t="shared" si="198"/>
        <v>0</v>
      </c>
      <c r="L465" s="155">
        <f t="shared" si="198"/>
        <v>0</v>
      </c>
      <c r="M465" s="155">
        <f t="shared" si="198"/>
        <v>0</v>
      </c>
      <c r="N465" s="155">
        <f t="shared" si="198"/>
        <v>0</v>
      </c>
      <c r="O465" s="155">
        <f t="shared" si="198"/>
        <v>0</v>
      </c>
      <c r="P465" s="155">
        <f t="shared" si="198"/>
        <v>0</v>
      </c>
      <c r="Q465" s="155">
        <f t="shared" si="198"/>
        <v>0</v>
      </c>
      <c r="R465" s="155">
        <f t="shared" si="198"/>
        <v>0</v>
      </c>
      <c r="S465" s="155">
        <f t="shared" si="198"/>
        <v>0</v>
      </c>
      <c r="T465" s="155">
        <f t="shared" si="198"/>
        <v>0</v>
      </c>
      <c r="U465" s="155">
        <f t="shared" si="198"/>
        <v>0</v>
      </c>
      <c r="V465" s="155">
        <f t="shared" si="198"/>
        <v>0</v>
      </c>
      <c r="W465" s="155">
        <f t="shared" si="198"/>
        <v>0</v>
      </c>
      <c r="X465" s="155">
        <f t="shared" si="198"/>
        <v>0</v>
      </c>
      <c r="Y465" s="155">
        <f t="shared" si="198"/>
        <v>0</v>
      </c>
      <c r="Z465" s="155">
        <f t="shared" si="198"/>
        <v>0</v>
      </c>
      <c r="AA465" s="155">
        <f t="shared" si="198"/>
        <v>0</v>
      </c>
      <c r="AB465" s="155">
        <f t="shared" si="198"/>
        <v>0</v>
      </c>
      <c r="AC465" s="155">
        <f t="shared" si="198"/>
        <v>0</v>
      </c>
      <c r="AD465" s="155">
        <f t="shared" si="198"/>
        <v>0</v>
      </c>
      <c r="AE465" s="155">
        <f t="shared" si="198"/>
        <v>0</v>
      </c>
      <c r="AF465" s="155">
        <f t="shared" si="198"/>
        <v>0</v>
      </c>
      <c r="AG465" s="155">
        <f t="shared" si="198"/>
        <v>0</v>
      </c>
      <c r="AH465" s="155">
        <f t="shared" si="198"/>
        <v>0</v>
      </c>
      <c r="AI465" s="155">
        <f t="shared" si="198"/>
        <v>0</v>
      </c>
      <c r="AJ465" s="155">
        <f t="shared" si="198"/>
        <v>0</v>
      </c>
      <c r="AK465" s="155">
        <f t="shared" si="198"/>
        <v>0</v>
      </c>
      <c r="AL465" s="155">
        <f t="shared" si="198"/>
        <v>0</v>
      </c>
      <c r="AM465" s="155">
        <f t="shared" si="198"/>
        <v>0</v>
      </c>
      <c r="AN465" s="155">
        <f t="shared" si="198"/>
        <v>0</v>
      </c>
      <c r="AO465" s="155">
        <f t="shared" si="198"/>
        <v>0</v>
      </c>
      <c r="AP465" s="155">
        <f t="shared" si="198"/>
        <v>0</v>
      </c>
    </row>
    <row r="466" spans="1:42" x14ac:dyDescent="0.2">
      <c r="A466" s="4">
        <f t="shared" si="195"/>
        <v>6</v>
      </c>
      <c r="C466" s="155">
        <f t="shared" ref="C466:AP466" si="199">C328</f>
        <v>0</v>
      </c>
      <c r="D466" s="155">
        <f t="shared" si="199"/>
        <v>0</v>
      </c>
      <c r="E466" s="155">
        <f t="shared" si="199"/>
        <v>0</v>
      </c>
      <c r="F466" s="155">
        <f t="shared" si="199"/>
        <v>0</v>
      </c>
      <c r="G466" s="155">
        <f t="shared" si="199"/>
        <v>0</v>
      </c>
      <c r="H466" s="155">
        <f t="shared" si="199"/>
        <v>0</v>
      </c>
      <c r="I466" s="155">
        <f t="shared" si="199"/>
        <v>0</v>
      </c>
      <c r="J466" s="155">
        <f t="shared" si="199"/>
        <v>0</v>
      </c>
      <c r="K466" s="155">
        <f t="shared" si="199"/>
        <v>0</v>
      </c>
      <c r="L466" s="155">
        <f t="shared" si="199"/>
        <v>0</v>
      </c>
      <c r="M466" s="155">
        <f t="shared" si="199"/>
        <v>0</v>
      </c>
      <c r="N466" s="155">
        <f t="shared" si="199"/>
        <v>0</v>
      </c>
      <c r="O466" s="155">
        <f t="shared" si="199"/>
        <v>0</v>
      </c>
      <c r="P466" s="155">
        <f t="shared" si="199"/>
        <v>0</v>
      </c>
      <c r="Q466" s="155">
        <f t="shared" si="199"/>
        <v>0</v>
      </c>
      <c r="R466" s="155">
        <f t="shared" si="199"/>
        <v>0</v>
      </c>
      <c r="S466" s="155">
        <f t="shared" si="199"/>
        <v>0</v>
      </c>
      <c r="T466" s="155">
        <f t="shared" si="199"/>
        <v>0</v>
      </c>
      <c r="U466" s="155">
        <f t="shared" si="199"/>
        <v>0</v>
      </c>
      <c r="V466" s="155">
        <f t="shared" si="199"/>
        <v>0</v>
      </c>
      <c r="W466" s="155">
        <f t="shared" si="199"/>
        <v>0</v>
      </c>
      <c r="X466" s="155">
        <f t="shared" si="199"/>
        <v>0</v>
      </c>
      <c r="Y466" s="155">
        <f t="shared" si="199"/>
        <v>0</v>
      </c>
      <c r="Z466" s="155">
        <f t="shared" si="199"/>
        <v>0</v>
      </c>
      <c r="AA466" s="155">
        <f t="shared" si="199"/>
        <v>0</v>
      </c>
      <c r="AB466" s="155">
        <f t="shared" si="199"/>
        <v>0</v>
      </c>
      <c r="AC466" s="155">
        <f t="shared" si="199"/>
        <v>0</v>
      </c>
      <c r="AD466" s="155">
        <f t="shared" si="199"/>
        <v>0</v>
      </c>
      <c r="AE466" s="155">
        <f t="shared" si="199"/>
        <v>0</v>
      </c>
      <c r="AF466" s="155">
        <f t="shared" si="199"/>
        <v>0</v>
      </c>
      <c r="AG466" s="155">
        <f t="shared" si="199"/>
        <v>0</v>
      </c>
      <c r="AH466" s="155">
        <f t="shared" si="199"/>
        <v>0</v>
      </c>
      <c r="AI466" s="155">
        <f t="shared" si="199"/>
        <v>0</v>
      </c>
      <c r="AJ466" s="155">
        <f t="shared" si="199"/>
        <v>0</v>
      </c>
      <c r="AK466" s="155">
        <f t="shared" si="199"/>
        <v>0</v>
      </c>
      <c r="AL466" s="155">
        <f t="shared" si="199"/>
        <v>0</v>
      </c>
      <c r="AM466" s="155">
        <f t="shared" si="199"/>
        <v>0</v>
      </c>
      <c r="AN466" s="155">
        <f t="shared" si="199"/>
        <v>0</v>
      </c>
      <c r="AO466" s="155">
        <f t="shared" si="199"/>
        <v>0</v>
      </c>
      <c r="AP466" s="155">
        <f t="shared" si="199"/>
        <v>0</v>
      </c>
    </row>
    <row r="467" spans="1:42" x14ac:dyDescent="0.2">
      <c r="A467" s="4">
        <f t="shared" si="195"/>
        <v>7</v>
      </c>
      <c r="C467" s="155">
        <f t="shared" ref="C467:AP467" si="200">C329</f>
        <v>0</v>
      </c>
      <c r="D467" s="155">
        <f t="shared" si="200"/>
        <v>0</v>
      </c>
      <c r="E467" s="155">
        <f t="shared" si="200"/>
        <v>0</v>
      </c>
      <c r="F467" s="155">
        <f t="shared" si="200"/>
        <v>0</v>
      </c>
      <c r="G467" s="155">
        <f t="shared" si="200"/>
        <v>0</v>
      </c>
      <c r="H467" s="155">
        <f t="shared" si="200"/>
        <v>0</v>
      </c>
      <c r="I467" s="155">
        <f t="shared" si="200"/>
        <v>0</v>
      </c>
      <c r="J467" s="155">
        <f t="shared" si="200"/>
        <v>0</v>
      </c>
      <c r="K467" s="155">
        <f t="shared" si="200"/>
        <v>0</v>
      </c>
      <c r="L467" s="155">
        <f t="shared" si="200"/>
        <v>0</v>
      </c>
      <c r="M467" s="155">
        <f t="shared" si="200"/>
        <v>0</v>
      </c>
      <c r="N467" s="155">
        <f t="shared" si="200"/>
        <v>0</v>
      </c>
      <c r="O467" s="155">
        <f t="shared" si="200"/>
        <v>0</v>
      </c>
      <c r="P467" s="155">
        <f t="shared" si="200"/>
        <v>0</v>
      </c>
      <c r="Q467" s="155">
        <f t="shared" si="200"/>
        <v>0</v>
      </c>
      <c r="R467" s="155">
        <f t="shared" si="200"/>
        <v>0</v>
      </c>
      <c r="S467" s="155">
        <f t="shared" si="200"/>
        <v>0</v>
      </c>
      <c r="T467" s="155">
        <f t="shared" si="200"/>
        <v>0</v>
      </c>
      <c r="U467" s="155">
        <f t="shared" si="200"/>
        <v>0</v>
      </c>
      <c r="V467" s="155">
        <f t="shared" si="200"/>
        <v>0</v>
      </c>
      <c r="W467" s="155">
        <f t="shared" si="200"/>
        <v>0</v>
      </c>
      <c r="X467" s="155">
        <f t="shared" si="200"/>
        <v>0</v>
      </c>
      <c r="Y467" s="155">
        <f t="shared" si="200"/>
        <v>0</v>
      </c>
      <c r="Z467" s="155">
        <f t="shared" si="200"/>
        <v>0</v>
      </c>
      <c r="AA467" s="155">
        <f t="shared" si="200"/>
        <v>0</v>
      </c>
      <c r="AB467" s="155">
        <f t="shared" si="200"/>
        <v>0</v>
      </c>
      <c r="AC467" s="155">
        <f t="shared" si="200"/>
        <v>0</v>
      </c>
      <c r="AD467" s="155">
        <f t="shared" si="200"/>
        <v>0</v>
      </c>
      <c r="AE467" s="155">
        <f t="shared" si="200"/>
        <v>0</v>
      </c>
      <c r="AF467" s="155">
        <f t="shared" si="200"/>
        <v>0</v>
      </c>
      <c r="AG467" s="155">
        <f t="shared" si="200"/>
        <v>0</v>
      </c>
      <c r="AH467" s="155">
        <f t="shared" si="200"/>
        <v>0</v>
      </c>
      <c r="AI467" s="155">
        <f t="shared" si="200"/>
        <v>0</v>
      </c>
      <c r="AJ467" s="155">
        <f t="shared" si="200"/>
        <v>0</v>
      </c>
      <c r="AK467" s="155">
        <f t="shared" si="200"/>
        <v>0</v>
      </c>
      <c r="AL467" s="155">
        <f t="shared" si="200"/>
        <v>0</v>
      </c>
      <c r="AM467" s="155">
        <f t="shared" si="200"/>
        <v>0</v>
      </c>
      <c r="AN467" s="155">
        <f t="shared" si="200"/>
        <v>0</v>
      </c>
      <c r="AO467" s="155">
        <f t="shared" si="200"/>
        <v>0</v>
      </c>
      <c r="AP467" s="155">
        <f t="shared" si="200"/>
        <v>0</v>
      </c>
    </row>
    <row r="468" spans="1:42" x14ac:dyDescent="0.2">
      <c r="A468" s="4">
        <f t="shared" si="195"/>
        <v>8</v>
      </c>
      <c r="C468" s="155">
        <f t="shared" ref="C468:AP468" si="201">C330</f>
        <v>0</v>
      </c>
      <c r="D468" s="155">
        <f t="shared" si="201"/>
        <v>0</v>
      </c>
      <c r="E468" s="155">
        <f t="shared" si="201"/>
        <v>0</v>
      </c>
      <c r="F468" s="155">
        <f t="shared" si="201"/>
        <v>0</v>
      </c>
      <c r="G468" s="155">
        <f t="shared" si="201"/>
        <v>0</v>
      </c>
      <c r="H468" s="155">
        <f t="shared" si="201"/>
        <v>0</v>
      </c>
      <c r="I468" s="155">
        <f t="shared" si="201"/>
        <v>0</v>
      </c>
      <c r="J468" s="155">
        <f t="shared" si="201"/>
        <v>0</v>
      </c>
      <c r="K468" s="155">
        <f t="shared" si="201"/>
        <v>0</v>
      </c>
      <c r="L468" s="155">
        <f t="shared" si="201"/>
        <v>0</v>
      </c>
      <c r="M468" s="155">
        <f t="shared" si="201"/>
        <v>0</v>
      </c>
      <c r="N468" s="155">
        <f t="shared" si="201"/>
        <v>0</v>
      </c>
      <c r="O468" s="155">
        <f t="shared" si="201"/>
        <v>0</v>
      </c>
      <c r="P468" s="155">
        <f t="shared" si="201"/>
        <v>0</v>
      </c>
      <c r="Q468" s="155">
        <f t="shared" si="201"/>
        <v>0</v>
      </c>
      <c r="R468" s="155">
        <f t="shared" si="201"/>
        <v>0</v>
      </c>
      <c r="S468" s="155">
        <f t="shared" si="201"/>
        <v>0</v>
      </c>
      <c r="T468" s="155">
        <f t="shared" si="201"/>
        <v>0</v>
      </c>
      <c r="U468" s="155">
        <f t="shared" si="201"/>
        <v>0</v>
      </c>
      <c r="V468" s="155">
        <f t="shared" si="201"/>
        <v>0</v>
      </c>
      <c r="W468" s="155">
        <f t="shared" si="201"/>
        <v>0</v>
      </c>
      <c r="X468" s="155">
        <f t="shared" si="201"/>
        <v>0</v>
      </c>
      <c r="Y468" s="155">
        <f t="shared" si="201"/>
        <v>0</v>
      </c>
      <c r="Z468" s="155">
        <f t="shared" si="201"/>
        <v>0</v>
      </c>
      <c r="AA468" s="155">
        <f t="shared" si="201"/>
        <v>0</v>
      </c>
      <c r="AB468" s="155">
        <f t="shared" si="201"/>
        <v>0</v>
      </c>
      <c r="AC468" s="155">
        <f t="shared" si="201"/>
        <v>0</v>
      </c>
      <c r="AD468" s="155">
        <f t="shared" si="201"/>
        <v>0</v>
      </c>
      <c r="AE468" s="155">
        <f t="shared" si="201"/>
        <v>0</v>
      </c>
      <c r="AF468" s="155">
        <f t="shared" si="201"/>
        <v>0</v>
      </c>
      <c r="AG468" s="155">
        <f t="shared" si="201"/>
        <v>0</v>
      </c>
      <c r="AH468" s="155">
        <f t="shared" si="201"/>
        <v>0</v>
      </c>
      <c r="AI468" s="155">
        <f t="shared" si="201"/>
        <v>0</v>
      </c>
      <c r="AJ468" s="155">
        <f t="shared" si="201"/>
        <v>0</v>
      </c>
      <c r="AK468" s="155">
        <f t="shared" si="201"/>
        <v>0</v>
      </c>
      <c r="AL468" s="155">
        <f t="shared" si="201"/>
        <v>0</v>
      </c>
      <c r="AM468" s="155">
        <f t="shared" si="201"/>
        <v>0</v>
      </c>
      <c r="AN468" s="155">
        <f t="shared" si="201"/>
        <v>0</v>
      </c>
      <c r="AO468" s="155">
        <f t="shared" si="201"/>
        <v>0</v>
      </c>
      <c r="AP468" s="155">
        <f t="shared" si="201"/>
        <v>0</v>
      </c>
    </row>
    <row r="469" spans="1:42" x14ac:dyDescent="0.2">
      <c r="A469" s="4">
        <f>A468+1</f>
        <v>9</v>
      </c>
      <c r="C469" s="155">
        <f t="shared" ref="C469:AP469" si="202">C331</f>
        <v>0</v>
      </c>
      <c r="D469" s="155">
        <f t="shared" si="202"/>
        <v>0</v>
      </c>
      <c r="E469" s="155">
        <f t="shared" si="202"/>
        <v>0</v>
      </c>
      <c r="F469" s="155">
        <f t="shared" si="202"/>
        <v>0</v>
      </c>
      <c r="G469" s="155">
        <f t="shared" si="202"/>
        <v>0</v>
      </c>
      <c r="H469" s="155">
        <f t="shared" si="202"/>
        <v>0</v>
      </c>
      <c r="I469" s="155">
        <f t="shared" si="202"/>
        <v>0</v>
      </c>
      <c r="J469" s="155">
        <f t="shared" si="202"/>
        <v>0</v>
      </c>
      <c r="K469" s="155">
        <f t="shared" si="202"/>
        <v>0</v>
      </c>
      <c r="L469" s="155">
        <f t="shared" si="202"/>
        <v>0</v>
      </c>
      <c r="M469" s="155">
        <f t="shared" si="202"/>
        <v>0</v>
      </c>
      <c r="N469" s="155">
        <f t="shared" si="202"/>
        <v>0</v>
      </c>
      <c r="O469" s="155">
        <f t="shared" si="202"/>
        <v>0</v>
      </c>
      <c r="P469" s="155">
        <f t="shared" si="202"/>
        <v>0</v>
      </c>
      <c r="Q469" s="155">
        <f t="shared" si="202"/>
        <v>0</v>
      </c>
      <c r="R469" s="155">
        <f t="shared" si="202"/>
        <v>0</v>
      </c>
      <c r="S469" s="155">
        <f t="shared" si="202"/>
        <v>0</v>
      </c>
      <c r="T469" s="155">
        <f t="shared" si="202"/>
        <v>0</v>
      </c>
      <c r="U469" s="155">
        <f t="shared" si="202"/>
        <v>0</v>
      </c>
      <c r="V469" s="155">
        <f t="shared" si="202"/>
        <v>0</v>
      </c>
      <c r="W469" s="155">
        <f t="shared" si="202"/>
        <v>0</v>
      </c>
      <c r="X469" s="155">
        <f t="shared" si="202"/>
        <v>0</v>
      </c>
      <c r="Y469" s="155">
        <f t="shared" si="202"/>
        <v>0</v>
      </c>
      <c r="Z469" s="155">
        <f t="shared" si="202"/>
        <v>0</v>
      </c>
      <c r="AA469" s="155">
        <f t="shared" si="202"/>
        <v>0</v>
      </c>
      <c r="AB469" s="155">
        <f t="shared" si="202"/>
        <v>0</v>
      </c>
      <c r="AC469" s="155">
        <f t="shared" si="202"/>
        <v>0</v>
      </c>
      <c r="AD469" s="155">
        <f t="shared" si="202"/>
        <v>0</v>
      </c>
      <c r="AE469" s="155">
        <f t="shared" si="202"/>
        <v>0</v>
      </c>
      <c r="AF469" s="155">
        <f t="shared" si="202"/>
        <v>0</v>
      </c>
      <c r="AG469" s="155">
        <f t="shared" si="202"/>
        <v>0</v>
      </c>
      <c r="AH469" s="155">
        <f t="shared" si="202"/>
        <v>0</v>
      </c>
      <c r="AI469" s="155">
        <f t="shared" si="202"/>
        <v>0</v>
      </c>
      <c r="AJ469" s="155">
        <f t="shared" si="202"/>
        <v>0</v>
      </c>
      <c r="AK469" s="155">
        <f t="shared" si="202"/>
        <v>0</v>
      </c>
      <c r="AL469" s="155">
        <f t="shared" si="202"/>
        <v>0</v>
      </c>
      <c r="AM469" s="155">
        <f t="shared" si="202"/>
        <v>0</v>
      </c>
      <c r="AN469" s="155">
        <f t="shared" si="202"/>
        <v>0</v>
      </c>
      <c r="AO469" s="155">
        <f t="shared" si="202"/>
        <v>0</v>
      </c>
      <c r="AP469" s="155">
        <f t="shared" si="202"/>
        <v>0</v>
      </c>
    </row>
    <row r="470" spans="1:42" x14ac:dyDescent="0.2">
      <c r="A470" s="4">
        <f t="shared" ref="A470" si="203">A469+1</f>
        <v>10</v>
      </c>
      <c r="C470" s="155">
        <f t="shared" ref="C470:AP470" si="204">C332</f>
        <v>0</v>
      </c>
      <c r="D470" s="155">
        <f t="shared" si="204"/>
        <v>0</v>
      </c>
      <c r="E470" s="155">
        <f t="shared" si="204"/>
        <v>0</v>
      </c>
      <c r="F470" s="155">
        <f t="shared" si="204"/>
        <v>0</v>
      </c>
      <c r="G470" s="155">
        <f t="shared" si="204"/>
        <v>0</v>
      </c>
      <c r="H470" s="155">
        <f t="shared" si="204"/>
        <v>0</v>
      </c>
      <c r="I470" s="155">
        <f t="shared" si="204"/>
        <v>0</v>
      </c>
      <c r="J470" s="155">
        <f t="shared" si="204"/>
        <v>0</v>
      </c>
      <c r="K470" s="155">
        <f t="shared" si="204"/>
        <v>0</v>
      </c>
      <c r="L470" s="155">
        <f t="shared" si="204"/>
        <v>0</v>
      </c>
      <c r="M470" s="155">
        <f t="shared" si="204"/>
        <v>0</v>
      </c>
      <c r="N470" s="155">
        <f t="shared" si="204"/>
        <v>0</v>
      </c>
      <c r="O470" s="155">
        <f t="shared" si="204"/>
        <v>0</v>
      </c>
      <c r="P470" s="155">
        <f t="shared" si="204"/>
        <v>0</v>
      </c>
      <c r="Q470" s="155">
        <f t="shared" si="204"/>
        <v>0</v>
      </c>
      <c r="R470" s="155">
        <f t="shared" si="204"/>
        <v>0</v>
      </c>
      <c r="S470" s="155">
        <f t="shared" si="204"/>
        <v>0</v>
      </c>
      <c r="T470" s="155">
        <f t="shared" si="204"/>
        <v>0</v>
      </c>
      <c r="U470" s="155">
        <f t="shared" si="204"/>
        <v>0</v>
      </c>
      <c r="V470" s="155">
        <f t="shared" si="204"/>
        <v>0</v>
      </c>
      <c r="W470" s="155">
        <f t="shared" si="204"/>
        <v>0</v>
      </c>
      <c r="X470" s="155">
        <f t="shared" si="204"/>
        <v>0</v>
      </c>
      <c r="Y470" s="155">
        <f t="shared" si="204"/>
        <v>0</v>
      </c>
      <c r="Z470" s="155">
        <f t="shared" si="204"/>
        <v>0</v>
      </c>
      <c r="AA470" s="155">
        <f t="shared" si="204"/>
        <v>0</v>
      </c>
      <c r="AB470" s="155">
        <f t="shared" si="204"/>
        <v>0</v>
      </c>
      <c r="AC470" s="155">
        <f t="shared" si="204"/>
        <v>0</v>
      </c>
      <c r="AD470" s="155">
        <f t="shared" si="204"/>
        <v>0</v>
      </c>
      <c r="AE470" s="155">
        <f t="shared" si="204"/>
        <v>0</v>
      </c>
      <c r="AF470" s="155">
        <f t="shared" si="204"/>
        <v>0</v>
      </c>
      <c r="AG470" s="155">
        <f t="shared" si="204"/>
        <v>0</v>
      </c>
      <c r="AH470" s="155">
        <f t="shared" si="204"/>
        <v>0</v>
      </c>
      <c r="AI470" s="155">
        <f t="shared" si="204"/>
        <v>0</v>
      </c>
      <c r="AJ470" s="155">
        <f t="shared" si="204"/>
        <v>0</v>
      </c>
      <c r="AK470" s="155">
        <f t="shared" si="204"/>
        <v>0</v>
      </c>
      <c r="AL470" s="155">
        <f t="shared" si="204"/>
        <v>0</v>
      </c>
      <c r="AM470" s="155">
        <f t="shared" si="204"/>
        <v>0</v>
      </c>
      <c r="AN470" s="155">
        <f t="shared" si="204"/>
        <v>0</v>
      </c>
      <c r="AO470" s="155">
        <f t="shared" si="204"/>
        <v>0</v>
      </c>
      <c r="AP470" s="155">
        <f t="shared" si="204"/>
        <v>0</v>
      </c>
    </row>
    <row r="471" spans="1:42" x14ac:dyDescent="0.2">
      <c r="A471" s="21"/>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row>
    <row r="472" spans="1:42" x14ac:dyDescent="0.2">
      <c r="A472" s="87" t="s">
        <v>3</v>
      </c>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row>
    <row r="473" spans="1:42" x14ac:dyDescent="0.2">
      <c r="A473" s="4">
        <v>1</v>
      </c>
      <c r="B473" s="174">
        <f t="shared" ref="B473:B482" si="205">SUM(C473:AP473)</f>
        <v>0</v>
      </c>
      <c r="C473" s="155">
        <f t="shared" ref="C473:AP473" si="206">LOOKUP(C461,$B$456:$AP$456,$B$457:$AP$457)*$B660/100</f>
        <v>0</v>
      </c>
      <c r="D473" s="155">
        <f t="shared" si="206"/>
        <v>0</v>
      </c>
      <c r="E473" s="155">
        <f t="shared" si="206"/>
        <v>0</v>
      </c>
      <c r="F473" s="155">
        <f t="shared" si="206"/>
        <v>0</v>
      </c>
      <c r="G473" s="155">
        <f t="shared" si="206"/>
        <v>0</v>
      </c>
      <c r="H473" s="155">
        <f t="shared" si="206"/>
        <v>0</v>
      </c>
      <c r="I473" s="155">
        <f t="shared" si="206"/>
        <v>0</v>
      </c>
      <c r="J473" s="155">
        <f t="shared" si="206"/>
        <v>0</v>
      </c>
      <c r="K473" s="155">
        <f t="shared" si="206"/>
        <v>0</v>
      </c>
      <c r="L473" s="155">
        <f t="shared" si="206"/>
        <v>0</v>
      </c>
      <c r="M473" s="155">
        <f t="shared" si="206"/>
        <v>0</v>
      </c>
      <c r="N473" s="155">
        <f t="shared" si="206"/>
        <v>0</v>
      </c>
      <c r="O473" s="155">
        <f t="shared" si="206"/>
        <v>0</v>
      </c>
      <c r="P473" s="155">
        <f t="shared" si="206"/>
        <v>0</v>
      </c>
      <c r="Q473" s="155">
        <f t="shared" si="206"/>
        <v>0</v>
      </c>
      <c r="R473" s="155">
        <f t="shared" si="206"/>
        <v>0</v>
      </c>
      <c r="S473" s="155">
        <f t="shared" si="206"/>
        <v>0</v>
      </c>
      <c r="T473" s="155">
        <f t="shared" si="206"/>
        <v>0</v>
      </c>
      <c r="U473" s="155">
        <f t="shared" si="206"/>
        <v>0</v>
      </c>
      <c r="V473" s="155">
        <f t="shared" si="206"/>
        <v>0</v>
      </c>
      <c r="W473" s="155">
        <f t="shared" si="206"/>
        <v>0</v>
      </c>
      <c r="X473" s="155">
        <f t="shared" si="206"/>
        <v>0</v>
      </c>
      <c r="Y473" s="155">
        <f t="shared" si="206"/>
        <v>0</v>
      </c>
      <c r="Z473" s="155">
        <f t="shared" si="206"/>
        <v>0</v>
      </c>
      <c r="AA473" s="155">
        <f t="shared" si="206"/>
        <v>0</v>
      </c>
      <c r="AB473" s="155">
        <f t="shared" si="206"/>
        <v>0</v>
      </c>
      <c r="AC473" s="155">
        <f t="shared" si="206"/>
        <v>0</v>
      </c>
      <c r="AD473" s="155">
        <f t="shared" si="206"/>
        <v>0</v>
      </c>
      <c r="AE473" s="155">
        <f t="shared" si="206"/>
        <v>0</v>
      </c>
      <c r="AF473" s="155">
        <f t="shared" si="206"/>
        <v>0</v>
      </c>
      <c r="AG473" s="155">
        <f t="shared" si="206"/>
        <v>0</v>
      </c>
      <c r="AH473" s="155">
        <f t="shared" si="206"/>
        <v>0</v>
      </c>
      <c r="AI473" s="155">
        <f t="shared" si="206"/>
        <v>0</v>
      </c>
      <c r="AJ473" s="155">
        <f t="shared" si="206"/>
        <v>0</v>
      </c>
      <c r="AK473" s="155">
        <f t="shared" si="206"/>
        <v>0</v>
      </c>
      <c r="AL473" s="155">
        <f t="shared" si="206"/>
        <v>0</v>
      </c>
      <c r="AM473" s="155">
        <f t="shared" si="206"/>
        <v>0</v>
      </c>
      <c r="AN473" s="155">
        <f t="shared" si="206"/>
        <v>0</v>
      </c>
      <c r="AO473" s="155">
        <f t="shared" si="206"/>
        <v>0</v>
      </c>
      <c r="AP473" s="155">
        <f t="shared" si="206"/>
        <v>0</v>
      </c>
    </row>
    <row r="474" spans="1:42" x14ac:dyDescent="0.2">
      <c r="A474" s="4">
        <f>A473+1</f>
        <v>2</v>
      </c>
      <c r="B474" s="174">
        <f t="shared" si="205"/>
        <v>0</v>
      </c>
      <c r="C474" s="155">
        <f t="shared" ref="C474:AP474" si="207">LOOKUP(C462,$B$456:$AP$456,$B$457:$AP$457)*$B661/100</f>
        <v>0</v>
      </c>
      <c r="D474" s="155">
        <f t="shared" si="207"/>
        <v>0</v>
      </c>
      <c r="E474" s="155">
        <f t="shared" si="207"/>
        <v>0</v>
      </c>
      <c r="F474" s="155">
        <f t="shared" si="207"/>
        <v>0</v>
      </c>
      <c r="G474" s="155">
        <f t="shared" si="207"/>
        <v>0</v>
      </c>
      <c r="H474" s="155">
        <f t="shared" si="207"/>
        <v>0</v>
      </c>
      <c r="I474" s="155">
        <f t="shared" si="207"/>
        <v>0</v>
      </c>
      <c r="J474" s="155">
        <f t="shared" si="207"/>
        <v>0</v>
      </c>
      <c r="K474" s="155">
        <f t="shared" si="207"/>
        <v>0</v>
      </c>
      <c r="L474" s="155">
        <f t="shared" si="207"/>
        <v>0</v>
      </c>
      <c r="M474" s="155">
        <f t="shared" si="207"/>
        <v>0</v>
      </c>
      <c r="N474" s="155">
        <f t="shared" si="207"/>
        <v>0</v>
      </c>
      <c r="O474" s="155">
        <f t="shared" si="207"/>
        <v>0</v>
      </c>
      <c r="P474" s="155">
        <f t="shared" si="207"/>
        <v>0</v>
      </c>
      <c r="Q474" s="155">
        <f t="shared" si="207"/>
        <v>0</v>
      </c>
      <c r="R474" s="155">
        <f t="shared" si="207"/>
        <v>0</v>
      </c>
      <c r="S474" s="155">
        <f t="shared" si="207"/>
        <v>0</v>
      </c>
      <c r="T474" s="155">
        <f t="shared" si="207"/>
        <v>0</v>
      </c>
      <c r="U474" s="155">
        <f t="shared" si="207"/>
        <v>0</v>
      </c>
      <c r="V474" s="155">
        <f t="shared" si="207"/>
        <v>0</v>
      </c>
      <c r="W474" s="155">
        <f t="shared" si="207"/>
        <v>0</v>
      </c>
      <c r="X474" s="155">
        <f t="shared" si="207"/>
        <v>0</v>
      </c>
      <c r="Y474" s="155">
        <f t="shared" si="207"/>
        <v>0</v>
      </c>
      <c r="Z474" s="155">
        <f t="shared" si="207"/>
        <v>0</v>
      </c>
      <c r="AA474" s="155">
        <f t="shared" si="207"/>
        <v>0</v>
      </c>
      <c r="AB474" s="155">
        <f t="shared" si="207"/>
        <v>0</v>
      </c>
      <c r="AC474" s="155">
        <f t="shared" si="207"/>
        <v>0</v>
      </c>
      <c r="AD474" s="155">
        <f t="shared" si="207"/>
        <v>0</v>
      </c>
      <c r="AE474" s="155">
        <f t="shared" si="207"/>
        <v>0</v>
      </c>
      <c r="AF474" s="155">
        <f t="shared" si="207"/>
        <v>0</v>
      </c>
      <c r="AG474" s="155">
        <f t="shared" si="207"/>
        <v>0</v>
      </c>
      <c r="AH474" s="155">
        <f t="shared" si="207"/>
        <v>0</v>
      </c>
      <c r="AI474" s="155">
        <f t="shared" si="207"/>
        <v>0</v>
      </c>
      <c r="AJ474" s="155">
        <f t="shared" si="207"/>
        <v>0</v>
      </c>
      <c r="AK474" s="155">
        <f t="shared" si="207"/>
        <v>0</v>
      </c>
      <c r="AL474" s="155">
        <f t="shared" si="207"/>
        <v>0</v>
      </c>
      <c r="AM474" s="155">
        <f t="shared" si="207"/>
        <v>0</v>
      </c>
      <c r="AN474" s="155">
        <f t="shared" si="207"/>
        <v>0</v>
      </c>
      <c r="AO474" s="155">
        <f t="shared" si="207"/>
        <v>0</v>
      </c>
      <c r="AP474" s="155">
        <f t="shared" si="207"/>
        <v>0</v>
      </c>
    </row>
    <row r="475" spans="1:42" x14ac:dyDescent="0.2">
      <c r="A475" s="4">
        <f t="shared" ref="A475:A480" si="208">A474+1</f>
        <v>3</v>
      </c>
      <c r="B475" s="174">
        <f t="shared" si="205"/>
        <v>0</v>
      </c>
      <c r="C475" s="155">
        <f t="shared" ref="C475:AP475" si="209">LOOKUP(C463,$B$456:$AP$456,$B$457:$AP$457)*$B662/100</f>
        <v>0</v>
      </c>
      <c r="D475" s="155">
        <f t="shared" si="209"/>
        <v>0</v>
      </c>
      <c r="E475" s="155">
        <f t="shared" si="209"/>
        <v>0</v>
      </c>
      <c r="F475" s="155">
        <f t="shared" si="209"/>
        <v>0</v>
      </c>
      <c r="G475" s="155">
        <f t="shared" si="209"/>
        <v>0</v>
      </c>
      <c r="H475" s="155">
        <f t="shared" si="209"/>
        <v>0</v>
      </c>
      <c r="I475" s="155">
        <f t="shared" si="209"/>
        <v>0</v>
      </c>
      <c r="J475" s="155">
        <f t="shared" si="209"/>
        <v>0</v>
      </c>
      <c r="K475" s="155">
        <f t="shared" si="209"/>
        <v>0</v>
      </c>
      <c r="L475" s="155">
        <f t="shared" si="209"/>
        <v>0</v>
      </c>
      <c r="M475" s="155">
        <f t="shared" si="209"/>
        <v>0</v>
      </c>
      <c r="N475" s="155">
        <f t="shared" si="209"/>
        <v>0</v>
      </c>
      <c r="O475" s="155">
        <f t="shared" si="209"/>
        <v>0</v>
      </c>
      <c r="P475" s="155">
        <f t="shared" si="209"/>
        <v>0</v>
      </c>
      <c r="Q475" s="155">
        <f t="shared" si="209"/>
        <v>0</v>
      </c>
      <c r="R475" s="155">
        <f t="shared" si="209"/>
        <v>0</v>
      </c>
      <c r="S475" s="155">
        <f t="shared" si="209"/>
        <v>0</v>
      </c>
      <c r="T475" s="155">
        <f t="shared" si="209"/>
        <v>0</v>
      </c>
      <c r="U475" s="155">
        <f t="shared" si="209"/>
        <v>0</v>
      </c>
      <c r="V475" s="155">
        <f t="shared" si="209"/>
        <v>0</v>
      </c>
      <c r="W475" s="155">
        <f t="shared" si="209"/>
        <v>0</v>
      </c>
      <c r="X475" s="155">
        <f t="shared" si="209"/>
        <v>0</v>
      </c>
      <c r="Y475" s="155">
        <f t="shared" si="209"/>
        <v>0</v>
      </c>
      <c r="Z475" s="155">
        <f t="shared" si="209"/>
        <v>0</v>
      </c>
      <c r="AA475" s="155">
        <f t="shared" si="209"/>
        <v>0</v>
      </c>
      <c r="AB475" s="155">
        <f t="shared" si="209"/>
        <v>0</v>
      </c>
      <c r="AC475" s="155">
        <f t="shared" si="209"/>
        <v>0</v>
      </c>
      <c r="AD475" s="155">
        <f t="shared" si="209"/>
        <v>0</v>
      </c>
      <c r="AE475" s="155">
        <f t="shared" si="209"/>
        <v>0</v>
      </c>
      <c r="AF475" s="155">
        <f t="shared" si="209"/>
        <v>0</v>
      </c>
      <c r="AG475" s="155">
        <f t="shared" si="209"/>
        <v>0</v>
      </c>
      <c r="AH475" s="155">
        <f t="shared" si="209"/>
        <v>0</v>
      </c>
      <c r="AI475" s="155">
        <f t="shared" si="209"/>
        <v>0</v>
      </c>
      <c r="AJ475" s="155">
        <f t="shared" si="209"/>
        <v>0</v>
      </c>
      <c r="AK475" s="155">
        <f t="shared" si="209"/>
        <v>0</v>
      </c>
      <c r="AL475" s="155">
        <f t="shared" si="209"/>
        <v>0</v>
      </c>
      <c r="AM475" s="155">
        <f t="shared" si="209"/>
        <v>0</v>
      </c>
      <c r="AN475" s="155">
        <f t="shared" si="209"/>
        <v>0</v>
      </c>
      <c r="AO475" s="155">
        <f t="shared" si="209"/>
        <v>0</v>
      </c>
      <c r="AP475" s="155">
        <f t="shared" si="209"/>
        <v>0</v>
      </c>
    </row>
    <row r="476" spans="1:42" x14ac:dyDescent="0.2">
      <c r="A476" s="4">
        <f t="shared" si="208"/>
        <v>4</v>
      </c>
      <c r="B476" s="174">
        <f t="shared" si="205"/>
        <v>0</v>
      </c>
      <c r="C476" s="155">
        <f t="shared" ref="C476:AP476" si="210">LOOKUP(C464,$B$456:$AP$456,$B$457:$AP$457)*$B663/100</f>
        <v>0</v>
      </c>
      <c r="D476" s="155">
        <f t="shared" si="210"/>
        <v>0</v>
      </c>
      <c r="E476" s="155">
        <f t="shared" si="210"/>
        <v>0</v>
      </c>
      <c r="F476" s="155">
        <f t="shared" si="210"/>
        <v>0</v>
      </c>
      <c r="G476" s="155">
        <f t="shared" si="210"/>
        <v>0</v>
      </c>
      <c r="H476" s="155">
        <f t="shared" si="210"/>
        <v>0</v>
      </c>
      <c r="I476" s="155">
        <f t="shared" si="210"/>
        <v>0</v>
      </c>
      <c r="J476" s="155">
        <f t="shared" si="210"/>
        <v>0</v>
      </c>
      <c r="K476" s="155">
        <f t="shared" si="210"/>
        <v>0</v>
      </c>
      <c r="L476" s="155">
        <f t="shared" si="210"/>
        <v>0</v>
      </c>
      <c r="M476" s="155">
        <f t="shared" si="210"/>
        <v>0</v>
      </c>
      <c r="N476" s="155">
        <f t="shared" si="210"/>
        <v>0</v>
      </c>
      <c r="O476" s="155">
        <f t="shared" si="210"/>
        <v>0</v>
      </c>
      <c r="P476" s="155">
        <f t="shared" si="210"/>
        <v>0</v>
      </c>
      <c r="Q476" s="155">
        <f t="shared" si="210"/>
        <v>0</v>
      </c>
      <c r="R476" s="155">
        <f t="shared" si="210"/>
        <v>0</v>
      </c>
      <c r="S476" s="155">
        <f t="shared" si="210"/>
        <v>0</v>
      </c>
      <c r="T476" s="155">
        <f t="shared" si="210"/>
        <v>0</v>
      </c>
      <c r="U476" s="155">
        <f t="shared" si="210"/>
        <v>0</v>
      </c>
      <c r="V476" s="155">
        <f t="shared" si="210"/>
        <v>0</v>
      </c>
      <c r="W476" s="155">
        <f t="shared" si="210"/>
        <v>0</v>
      </c>
      <c r="X476" s="155">
        <f t="shared" si="210"/>
        <v>0</v>
      </c>
      <c r="Y476" s="155">
        <f t="shared" si="210"/>
        <v>0</v>
      </c>
      <c r="Z476" s="155">
        <f t="shared" si="210"/>
        <v>0</v>
      </c>
      <c r="AA476" s="155">
        <f t="shared" si="210"/>
        <v>0</v>
      </c>
      <c r="AB476" s="155">
        <f t="shared" si="210"/>
        <v>0</v>
      </c>
      <c r="AC476" s="155">
        <f t="shared" si="210"/>
        <v>0</v>
      </c>
      <c r="AD476" s="155">
        <f t="shared" si="210"/>
        <v>0</v>
      </c>
      <c r="AE476" s="155">
        <f t="shared" si="210"/>
        <v>0</v>
      </c>
      <c r="AF476" s="155">
        <f t="shared" si="210"/>
        <v>0</v>
      </c>
      <c r="AG476" s="155">
        <f t="shared" si="210"/>
        <v>0</v>
      </c>
      <c r="AH476" s="155">
        <f t="shared" si="210"/>
        <v>0</v>
      </c>
      <c r="AI476" s="155">
        <f t="shared" si="210"/>
        <v>0</v>
      </c>
      <c r="AJ476" s="155">
        <f t="shared" si="210"/>
        <v>0</v>
      </c>
      <c r="AK476" s="155">
        <f t="shared" si="210"/>
        <v>0</v>
      </c>
      <c r="AL476" s="155">
        <f t="shared" si="210"/>
        <v>0</v>
      </c>
      <c r="AM476" s="155">
        <f t="shared" si="210"/>
        <v>0</v>
      </c>
      <c r="AN476" s="155">
        <f t="shared" si="210"/>
        <v>0</v>
      </c>
      <c r="AO476" s="155">
        <f t="shared" si="210"/>
        <v>0</v>
      </c>
      <c r="AP476" s="155">
        <f t="shared" si="210"/>
        <v>0</v>
      </c>
    </row>
    <row r="477" spans="1:42" x14ac:dyDescent="0.2">
      <c r="A477" s="4">
        <f t="shared" si="208"/>
        <v>5</v>
      </c>
      <c r="B477" s="174">
        <f t="shared" si="205"/>
        <v>0</v>
      </c>
      <c r="C477" s="155">
        <f t="shared" ref="C477:AP477" si="211">LOOKUP(C465,$B$456:$AP$456,$B$457:$AP$457)*$B664/100</f>
        <v>0</v>
      </c>
      <c r="D477" s="155">
        <f t="shared" si="211"/>
        <v>0</v>
      </c>
      <c r="E477" s="155">
        <f t="shared" si="211"/>
        <v>0</v>
      </c>
      <c r="F477" s="155">
        <f t="shared" si="211"/>
        <v>0</v>
      </c>
      <c r="G477" s="155">
        <f t="shared" si="211"/>
        <v>0</v>
      </c>
      <c r="H477" s="155">
        <f t="shared" si="211"/>
        <v>0</v>
      </c>
      <c r="I477" s="155">
        <f t="shared" si="211"/>
        <v>0</v>
      </c>
      <c r="J477" s="155">
        <f t="shared" si="211"/>
        <v>0</v>
      </c>
      <c r="K477" s="155">
        <f t="shared" si="211"/>
        <v>0</v>
      </c>
      <c r="L477" s="155">
        <f t="shared" si="211"/>
        <v>0</v>
      </c>
      <c r="M477" s="155">
        <f t="shared" si="211"/>
        <v>0</v>
      </c>
      <c r="N477" s="155">
        <f t="shared" si="211"/>
        <v>0</v>
      </c>
      <c r="O477" s="155">
        <f t="shared" si="211"/>
        <v>0</v>
      </c>
      <c r="P477" s="155">
        <f t="shared" si="211"/>
        <v>0</v>
      </c>
      <c r="Q477" s="155">
        <f t="shared" si="211"/>
        <v>0</v>
      </c>
      <c r="R477" s="155">
        <f t="shared" si="211"/>
        <v>0</v>
      </c>
      <c r="S477" s="155">
        <f t="shared" si="211"/>
        <v>0</v>
      </c>
      <c r="T477" s="155">
        <f t="shared" si="211"/>
        <v>0</v>
      </c>
      <c r="U477" s="155">
        <f t="shared" si="211"/>
        <v>0</v>
      </c>
      <c r="V477" s="155">
        <f t="shared" si="211"/>
        <v>0</v>
      </c>
      <c r="W477" s="155">
        <f t="shared" si="211"/>
        <v>0</v>
      </c>
      <c r="X477" s="155">
        <f t="shared" si="211"/>
        <v>0</v>
      </c>
      <c r="Y477" s="155">
        <f t="shared" si="211"/>
        <v>0</v>
      </c>
      <c r="Z477" s="155">
        <f t="shared" si="211"/>
        <v>0</v>
      </c>
      <c r="AA477" s="155">
        <f t="shared" si="211"/>
        <v>0</v>
      </c>
      <c r="AB477" s="155">
        <f t="shared" si="211"/>
        <v>0</v>
      </c>
      <c r="AC477" s="155">
        <f t="shared" si="211"/>
        <v>0</v>
      </c>
      <c r="AD477" s="155">
        <f t="shared" si="211"/>
        <v>0</v>
      </c>
      <c r="AE477" s="155">
        <f t="shared" si="211"/>
        <v>0</v>
      </c>
      <c r="AF477" s="155">
        <f t="shared" si="211"/>
        <v>0</v>
      </c>
      <c r="AG477" s="155">
        <f t="shared" si="211"/>
        <v>0</v>
      </c>
      <c r="AH477" s="155">
        <f t="shared" si="211"/>
        <v>0</v>
      </c>
      <c r="AI477" s="155">
        <f t="shared" si="211"/>
        <v>0</v>
      </c>
      <c r="AJ477" s="155">
        <f t="shared" si="211"/>
        <v>0</v>
      </c>
      <c r="AK477" s="155">
        <f t="shared" si="211"/>
        <v>0</v>
      </c>
      <c r="AL477" s="155">
        <f t="shared" si="211"/>
        <v>0</v>
      </c>
      <c r="AM477" s="155">
        <f t="shared" si="211"/>
        <v>0</v>
      </c>
      <c r="AN477" s="155">
        <f t="shared" si="211"/>
        <v>0</v>
      </c>
      <c r="AO477" s="155">
        <f t="shared" si="211"/>
        <v>0</v>
      </c>
      <c r="AP477" s="155">
        <f t="shared" si="211"/>
        <v>0</v>
      </c>
    </row>
    <row r="478" spans="1:42" x14ac:dyDescent="0.2">
      <c r="A478" s="4">
        <f t="shared" si="208"/>
        <v>6</v>
      </c>
      <c r="B478" s="174">
        <f t="shared" si="205"/>
        <v>0</v>
      </c>
      <c r="C478" s="155">
        <f t="shared" ref="C478:AP478" si="212">LOOKUP(C466,$B$456:$AP$456,$B$457:$AP$457)*$B665/100</f>
        <v>0</v>
      </c>
      <c r="D478" s="155">
        <f t="shared" si="212"/>
        <v>0</v>
      </c>
      <c r="E478" s="155">
        <f t="shared" si="212"/>
        <v>0</v>
      </c>
      <c r="F478" s="155">
        <f t="shared" si="212"/>
        <v>0</v>
      </c>
      <c r="G478" s="155">
        <f t="shared" si="212"/>
        <v>0</v>
      </c>
      <c r="H478" s="155">
        <f t="shared" si="212"/>
        <v>0</v>
      </c>
      <c r="I478" s="155">
        <f t="shared" si="212"/>
        <v>0</v>
      </c>
      <c r="J478" s="155">
        <f t="shared" si="212"/>
        <v>0</v>
      </c>
      <c r="K478" s="155">
        <f t="shared" si="212"/>
        <v>0</v>
      </c>
      <c r="L478" s="155">
        <f t="shared" si="212"/>
        <v>0</v>
      </c>
      <c r="M478" s="155">
        <f t="shared" si="212"/>
        <v>0</v>
      </c>
      <c r="N478" s="155">
        <f t="shared" si="212"/>
        <v>0</v>
      </c>
      <c r="O478" s="155">
        <f t="shared" si="212"/>
        <v>0</v>
      </c>
      <c r="P478" s="155">
        <f t="shared" si="212"/>
        <v>0</v>
      </c>
      <c r="Q478" s="155">
        <f t="shared" si="212"/>
        <v>0</v>
      </c>
      <c r="R478" s="155">
        <f t="shared" si="212"/>
        <v>0</v>
      </c>
      <c r="S478" s="155">
        <f t="shared" si="212"/>
        <v>0</v>
      </c>
      <c r="T478" s="155">
        <f t="shared" si="212"/>
        <v>0</v>
      </c>
      <c r="U478" s="155">
        <f t="shared" si="212"/>
        <v>0</v>
      </c>
      <c r="V478" s="155">
        <f t="shared" si="212"/>
        <v>0</v>
      </c>
      <c r="W478" s="155">
        <f t="shared" si="212"/>
        <v>0</v>
      </c>
      <c r="X478" s="155">
        <f t="shared" si="212"/>
        <v>0</v>
      </c>
      <c r="Y478" s="155">
        <f t="shared" si="212"/>
        <v>0</v>
      </c>
      <c r="Z478" s="155">
        <f t="shared" si="212"/>
        <v>0</v>
      </c>
      <c r="AA478" s="155">
        <f t="shared" si="212"/>
        <v>0</v>
      </c>
      <c r="AB478" s="155">
        <f t="shared" si="212"/>
        <v>0</v>
      </c>
      <c r="AC478" s="155">
        <f t="shared" si="212"/>
        <v>0</v>
      </c>
      <c r="AD478" s="155">
        <f t="shared" si="212"/>
        <v>0</v>
      </c>
      <c r="AE478" s="155">
        <f t="shared" si="212"/>
        <v>0</v>
      </c>
      <c r="AF478" s="155">
        <f t="shared" si="212"/>
        <v>0</v>
      </c>
      <c r="AG478" s="155">
        <f t="shared" si="212"/>
        <v>0</v>
      </c>
      <c r="AH478" s="155">
        <f t="shared" si="212"/>
        <v>0</v>
      </c>
      <c r="AI478" s="155">
        <f t="shared" si="212"/>
        <v>0</v>
      </c>
      <c r="AJ478" s="155">
        <f t="shared" si="212"/>
        <v>0</v>
      </c>
      <c r="AK478" s="155">
        <f t="shared" si="212"/>
        <v>0</v>
      </c>
      <c r="AL478" s="155">
        <f t="shared" si="212"/>
        <v>0</v>
      </c>
      <c r="AM478" s="155">
        <f t="shared" si="212"/>
        <v>0</v>
      </c>
      <c r="AN478" s="155">
        <f t="shared" si="212"/>
        <v>0</v>
      </c>
      <c r="AO478" s="155">
        <f t="shared" si="212"/>
        <v>0</v>
      </c>
      <c r="AP478" s="155">
        <f t="shared" si="212"/>
        <v>0</v>
      </c>
    </row>
    <row r="479" spans="1:42" x14ac:dyDescent="0.2">
      <c r="A479" s="4">
        <f t="shared" si="208"/>
        <v>7</v>
      </c>
      <c r="B479" s="174">
        <f t="shared" si="205"/>
        <v>0</v>
      </c>
      <c r="C479" s="155">
        <f t="shared" ref="C479:AP479" si="213">LOOKUP(C467,$B$456:$AP$456,$B$457:$AP$457)*$B666/100</f>
        <v>0</v>
      </c>
      <c r="D479" s="155">
        <f t="shared" si="213"/>
        <v>0</v>
      </c>
      <c r="E479" s="155">
        <f t="shared" si="213"/>
        <v>0</v>
      </c>
      <c r="F479" s="155">
        <f t="shared" si="213"/>
        <v>0</v>
      </c>
      <c r="G479" s="155">
        <f t="shared" si="213"/>
        <v>0</v>
      </c>
      <c r="H479" s="155">
        <f t="shared" si="213"/>
        <v>0</v>
      </c>
      <c r="I479" s="155">
        <f t="shared" si="213"/>
        <v>0</v>
      </c>
      <c r="J479" s="155">
        <f t="shared" si="213"/>
        <v>0</v>
      </c>
      <c r="K479" s="155">
        <f t="shared" si="213"/>
        <v>0</v>
      </c>
      <c r="L479" s="155">
        <f t="shared" si="213"/>
        <v>0</v>
      </c>
      <c r="M479" s="155">
        <f t="shared" si="213"/>
        <v>0</v>
      </c>
      <c r="N479" s="155">
        <f t="shared" si="213"/>
        <v>0</v>
      </c>
      <c r="O479" s="155">
        <f t="shared" si="213"/>
        <v>0</v>
      </c>
      <c r="P479" s="155">
        <f t="shared" si="213"/>
        <v>0</v>
      </c>
      <c r="Q479" s="155">
        <f t="shared" si="213"/>
        <v>0</v>
      </c>
      <c r="R479" s="155">
        <f t="shared" si="213"/>
        <v>0</v>
      </c>
      <c r="S479" s="155">
        <f t="shared" si="213"/>
        <v>0</v>
      </c>
      <c r="T479" s="155">
        <f t="shared" si="213"/>
        <v>0</v>
      </c>
      <c r="U479" s="155">
        <f t="shared" si="213"/>
        <v>0</v>
      </c>
      <c r="V479" s="155">
        <f t="shared" si="213"/>
        <v>0</v>
      </c>
      <c r="W479" s="155">
        <f t="shared" si="213"/>
        <v>0</v>
      </c>
      <c r="X479" s="155">
        <f t="shared" si="213"/>
        <v>0</v>
      </c>
      <c r="Y479" s="155">
        <f t="shared" si="213"/>
        <v>0</v>
      </c>
      <c r="Z479" s="155">
        <f t="shared" si="213"/>
        <v>0</v>
      </c>
      <c r="AA479" s="155">
        <f t="shared" si="213"/>
        <v>0</v>
      </c>
      <c r="AB479" s="155">
        <f t="shared" si="213"/>
        <v>0</v>
      </c>
      <c r="AC479" s="155">
        <f t="shared" si="213"/>
        <v>0</v>
      </c>
      <c r="AD479" s="155">
        <f t="shared" si="213"/>
        <v>0</v>
      </c>
      <c r="AE479" s="155">
        <f t="shared" si="213"/>
        <v>0</v>
      </c>
      <c r="AF479" s="155">
        <f t="shared" si="213"/>
        <v>0</v>
      </c>
      <c r="AG479" s="155">
        <f t="shared" si="213"/>
        <v>0</v>
      </c>
      <c r="AH479" s="155">
        <f t="shared" si="213"/>
        <v>0</v>
      </c>
      <c r="AI479" s="155">
        <f t="shared" si="213"/>
        <v>0</v>
      </c>
      <c r="AJ479" s="155">
        <f t="shared" si="213"/>
        <v>0</v>
      </c>
      <c r="AK479" s="155">
        <f t="shared" si="213"/>
        <v>0</v>
      </c>
      <c r="AL479" s="155">
        <f t="shared" si="213"/>
        <v>0</v>
      </c>
      <c r="AM479" s="155">
        <f t="shared" si="213"/>
        <v>0</v>
      </c>
      <c r="AN479" s="155">
        <f t="shared" si="213"/>
        <v>0</v>
      </c>
      <c r="AO479" s="155">
        <f t="shared" si="213"/>
        <v>0</v>
      </c>
      <c r="AP479" s="155">
        <f t="shared" si="213"/>
        <v>0</v>
      </c>
    </row>
    <row r="480" spans="1:42" x14ac:dyDescent="0.2">
      <c r="A480" s="4">
        <f t="shared" si="208"/>
        <v>8</v>
      </c>
      <c r="B480" s="174">
        <f t="shared" si="205"/>
        <v>0</v>
      </c>
      <c r="C480" s="155">
        <f t="shared" ref="C480:AP480" si="214">LOOKUP(C468,$B$456:$AP$456,$B$457:$AP$457)*$B667/100</f>
        <v>0</v>
      </c>
      <c r="D480" s="155">
        <f t="shared" si="214"/>
        <v>0</v>
      </c>
      <c r="E480" s="155">
        <f t="shared" si="214"/>
        <v>0</v>
      </c>
      <c r="F480" s="155">
        <f t="shared" si="214"/>
        <v>0</v>
      </c>
      <c r="G480" s="155">
        <f t="shared" si="214"/>
        <v>0</v>
      </c>
      <c r="H480" s="155">
        <f t="shared" si="214"/>
        <v>0</v>
      </c>
      <c r="I480" s="155">
        <f t="shared" si="214"/>
        <v>0</v>
      </c>
      <c r="J480" s="155">
        <f t="shared" si="214"/>
        <v>0</v>
      </c>
      <c r="K480" s="155">
        <f t="shared" si="214"/>
        <v>0</v>
      </c>
      <c r="L480" s="155">
        <f t="shared" si="214"/>
        <v>0</v>
      </c>
      <c r="M480" s="155">
        <f t="shared" si="214"/>
        <v>0</v>
      </c>
      <c r="N480" s="155">
        <f t="shared" si="214"/>
        <v>0</v>
      </c>
      <c r="O480" s="155">
        <f t="shared" si="214"/>
        <v>0</v>
      </c>
      <c r="P480" s="155">
        <f t="shared" si="214"/>
        <v>0</v>
      </c>
      <c r="Q480" s="155">
        <f t="shared" si="214"/>
        <v>0</v>
      </c>
      <c r="R480" s="155">
        <f t="shared" si="214"/>
        <v>0</v>
      </c>
      <c r="S480" s="155">
        <f t="shared" si="214"/>
        <v>0</v>
      </c>
      <c r="T480" s="155">
        <f t="shared" si="214"/>
        <v>0</v>
      </c>
      <c r="U480" s="155">
        <f t="shared" si="214"/>
        <v>0</v>
      </c>
      <c r="V480" s="155">
        <f t="shared" si="214"/>
        <v>0</v>
      </c>
      <c r="W480" s="155">
        <f t="shared" si="214"/>
        <v>0</v>
      </c>
      <c r="X480" s="155">
        <f t="shared" si="214"/>
        <v>0</v>
      </c>
      <c r="Y480" s="155">
        <f t="shared" si="214"/>
        <v>0</v>
      </c>
      <c r="Z480" s="155">
        <f t="shared" si="214"/>
        <v>0</v>
      </c>
      <c r="AA480" s="155">
        <f t="shared" si="214"/>
        <v>0</v>
      </c>
      <c r="AB480" s="155">
        <f t="shared" si="214"/>
        <v>0</v>
      </c>
      <c r="AC480" s="155">
        <f t="shared" si="214"/>
        <v>0</v>
      </c>
      <c r="AD480" s="155">
        <f t="shared" si="214"/>
        <v>0</v>
      </c>
      <c r="AE480" s="155">
        <f t="shared" si="214"/>
        <v>0</v>
      </c>
      <c r="AF480" s="155">
        <f t="shared" si="214"/>
        <v>0</v>
      </c>
      <c r="AG480" s="155">
        <f t="shared" si="214"/>
        <v>0</v>
      </c>
      <c r="AH480" s="155">
        <f t="shared" si="214"/>
        <v>0</v>
      </c>
      <c r="AI480" s="155">
        <f t="shared" si="214"/>
        <v>0</v>
      </c>
      <c r="AJ480" s="155">
        <f t="shared" si="214"/>
        <v>0</v>
      </c>
      <c r="AK480" s="155">
        <f t="shared" si="214"/>
        <v>0</v>
      </c>
      <c r="AL480" s="155">
        <f t="shared" si="214"/>
        <v>0</v>
      </c>
      <c r="AM480" s="155">
        <f t="shared" si="214"/>
        <v>0</v>
      </c>
      <c r="AN480" s="155">
        <f t="shared" si="214"/>
        <v>0</v>
      </c>
      <c r="AO480" s="155">
        <f t="shared" si="214"/>
        <v>0</v>
      </c>
      <c r="AP480" s="155">
        <f t="shared" si="214"/>
        <v>0</v>
      </c>
    </row>
    <row r="481" spans="1:42" x14ac:dyDescent="0.2">
      <c r="A481" s="4">
        <f>A480+1</f>
        <v>9</v>
      </c>
      <c r="B481" s="174">
        <f t="shared" si="205"/>
        <v>0</v>
      </c>
      <c r="C481" s="155">
        <f t="shared" ref="C481:AP481" si="215">LOOKUP(C469,$B$456:$AP$456,$B$457:$AP$457)*$B668/100</f>
        <v>0</v>
      </c>
      <c r="D481" s="155">
        <f t="shared" si="215"/>
        <v>0</v>
      </c>
      <c r="E481" s="155">
        <f t="shared" si="215"/>
        <v>0</v>
      </c>
      <c r="F481" s="155">
        <f t="shared" si="215"/>
        <v>0</v>
      </c>
      <c r="G481" s="155">
        <f t="shared" si="215"/>
        <v>0</v>
      </c>
      <c r="H481" s="155">
        <f t="shared" si="215"/>
        <v>0</v>
      </c>
      <c r="I481" s="155">
        <f t="shared" si="215"/>
        <v>0</v>
      </c>
      <c r="J481" s="155">
        <f t="shared" si="215"/>
        <v>0</v>
      </c>
      <c r="K481" s="155">
        <f t="shared" si="215"/>
        <v>0</v>
      </c>
      <c r="L481" s="155">
        <f t="shared" si="215"/>
        <v>0</v>
      </c>
      <c r="M481" s="155">
        <f t="shared" si="215"/>
        <v>0</v>
      </c>
      <c r="N481" s="155">
        <f t="shared" si="215"/>
        <v>0</v>
      </c>
      <c r="O481" s="155">
        <f t="shared" si="215"/>
        <v>0</v>
      </c>
      <c r="P481" s="155">
        <f t="shared" si="215"/>
        <v>0</v>
      </c>
      <c r="Q481" s="155">
        <f t="shared" si="215"/>
        <v>0</v>
      </c>
      <c r="R481" s="155">
        <f t="shared" si="215"/>
        <v>0</v>
      </c>
      <c r="S481" s="155">
        <f t="shared" si="215"/>
        <v>0</v>
      </c>
      <c r="T481" s="155">
        <f t="shared" si="215"/>
        <v>0</v>
      </c>
      <c r="U481" s="155">
        <f t="shared" si="215"/>
        <v>0</v>
      </c>
      <c r="V481" s="155">
        <f t="shared" si="215"/>
        <v>0</v>
      </c>
      <c r="W481" s="155">
        <f t="shared" si="215"/>
        <v>0</v>
      </c>
      <c r="X481" s="155">
        <f t="shared" si="215"/>
        <v>0</v>
      </c>
      <c r="Y481" s="155">
        <f t="shared" si="215"/>
        <v>0</v>
      </c>
      <c r="Z481" s="155">
        <f t="shared" si="215"/>
        <v>0</v>
      </c>
      <c r="AA481" s="155">
        <f t="shared" si="215"/>
        <v>0</v>
      </c>
      <c r="AB481" s="155">
        <f t="shared" si="215"/>
        <v>0</v>
      </c>
      <c r="AC481" s="155">
        <f t="shared" si="215"/>
        <v>0</v>
      </c>
      <c r="AD481" s="155">
        <f t="shared" si="215"/>
        <v>0</v>
      </c>
      <c r="AE481" s="155">
        <f t="shared" si="215"/>
        <v>0</v>
      </c>
      <c r="AF481" s="155">
        <f t="shared" si="215"/>
        <v>0</v>
      </c>
      <c r="AG481" s="155">
        <f t="shared" si="215"/>
        <v>0</v>
      </c>
      <c r="AH481" s="155">
        <f t="shared" si="215"/>
        <v>0</v>
      </c>
      <c r="AI481" s="155">
        <f t="shared" si="215"/>
        <v>0</v>
      </c>
      <c r="AJ481" s="155">
        <f t="shared" si="215"/>
        <v>0</v>
      </c>
      <c r="AK481" s="155">
        <f t="shared" si="215"/>
        <v>0</v>
      </c>
      <c r="AL481" s="155">
        <f t="shared" si="215"/>
        <v>0</v>
      </c>
      <c r="AM481" s="155">
        <f t="shared" si="215"/>
        <v>0</v>
      </c>
      <c r="AN481" s="155">
        <f t="shared" si="215"/>
        <v>0</v>
      </c>
      <c r="AO481" s="155">
        <f t="shared" si="215"/>
        <v>0</v>
      </c>
      <c r="AP481" s="155">
        <f t="shared" si="215"/>
        <v>0</v>
      </c>
    </row>
    <row r="482" spans="1:42" x14ac:dyDescent="0.2">
      <c r="A482" s="4">
        <f t="shared" ref="A482" si="216">A481+1</f>
        <v>10</v>
      </c>
      <c r="B482" s="174">
        <f t="shared" si="205"/>
        <v>0</v>
      </c>
      <c r="C482" s="156">
        <f t="shared" ref="C482:AP482" si="217">LOOKUP(C470,$B$456:$AP$456,$B$457:$AP$457)*$B669/100</f>
        <v>0</v>
      </c>
      <c r="D482" s="156">
        <f t="shared" si="217"/>
        <v>0</v>
      </c>
      <c r="E482" s="156">
        <f t="shared" si="217"/>
        <v>0</v>
      </c>
      <c r="F482" s="156">
        <f t="shared" si="217"/>
        <v>0</v>
      </c>
      <c r="G482" s="156">
        <f t="shared" si="217"/>
        <v>0</v>
      </c>
      <c r="H482" s="156">
        <f t="shared" si="217"/>
        <v>0</v>
      </c>
      <c r="I482" s="156">
        <f t="shared" si="217"/>
        <v>0</v>
      </c>
      <c r="J482" s="156">
        <f t="shared" si="217"/>
        <v>0</v>
      </c>
      <c r="K482" s="156">
        <f t="shared" si="217"/>
        <v>0</v>
      </c>
      <c r="L482" s="156">
        <f t="shared" si="217"/>
        <v>0</v>
      </c>
      <c r="M482" s="156">
        <f t="shared" si="217"/>
        <v>0</v>
      </c>
      <c r="N482" s="156">
        <f t="shared" si="217"/>
        <v>0</v>
      </c>
      <c r="O482" s="156">
        <f t="shared" si="217"/>
        <v>0</v>
      </c>
      <c r="P482" s="156">
        <f t="shared" si="217"/>
        <v>0</v>
      </c>
      <c r="Q482" s="156">
        <f t="shared" si="217"/>
        <v>0</v>
      </c>
      <c r="R482" s="156">
        <f t="shared" si="217"/>
        <v>0</v>
      </c>
      <c r="S482" s="156">
        <f t="shared" si="217"/>
        <v>0</v>
      </c>
      <c r="T482" s="156">
        <f t="shared" si="217"/>
        <v>0</v>
      </c>
      <c r="U482" s="156">
        <f t="shared" si="217"/>
        <v>0</v>
      </c>
      <c r="V482" s="156">
        <f t="shared" si="217"/>
        <v>0</v>
      </c>
      <c r="W482" s="156">
        <f t="shared" si="217"/>
        <v>0</v>
      </c>
      <c r="X482" s="156">
        <f t="shared" si="217"/>
        <v>0</v>
      </c>
      <c r="Y482" s="156">
        <f t="shared" si="217"/>
        <v>0</v>
      </c>
      <c r="Z482" s="156">
        <f t="shared" si="217"/>
        <v>0</v>
      </c>
      <c r="AA482" s="156">
        <f t="shared" si="217"/>
        <v>0</v>
      </c>
      <c r="AB482" s="156">
        <f t="shared" si="217"/>
        <v>0</v>
      </c>
      <c r="AC482" s="156">
        <f t="shared" si="217"/>
        <v>0</v>
      </c>
      <c r="AD482" s="156">
        <f t="shared" si="217"/>
        <v>0</v>
      </c>
      <c r="AE482" s="156">
        <f t="shared" si="217"/>
        <v>0</v>
      </c>
      <c r="AF482" s="156">
        <f t="shared" si="217"/>
        <v>0</v>
      </c>
      <c r="AG482" s="156">
        <f t="shared" si="217"/>
        <v>0</v>
      </c>
      <c r="AH482" s="156">
        <f t="shared" si="217"/>
        <v>0</v>
      </c>
      <c r="AI482" s="156">
        <f t="shared" si="217"/>
        <v>0</v>
      </c>
      <c r="AJ482" s="156">
        <f t="shared" si="217"/>
        <v>0</v>
      </c>
      <c r="AK482" s="156">
        <f t="shared" si="217"/>
        <v>0</v>
      </c>
      <c r="AL482" s="156">
        <f t="shared" si="217"/>
        <v>0</v>
      </c>
      <c r="AM482" s="156">
        <f t="shared" si="217"/>
        <v>0</v>
      </c>
      <c r="AN482" s="156">
        <f t="shared" si="217"/>
        <v>0</v>
      </c>
      <c r="AO482" s="156">
        <f t="shared" si="217"/>
        <v>0</v>
      </c>
      <c r="AP482" s="156">
        <f t="shared" si="217"/>
        <v>0</v>
      </c>
    </row>
    <row r="483" spans="1:42" x14ac:dyDescent="0.2">
      <c r="A483" s="24" t="s">
        <v>13</v>
      </c>
      <c r="B483" s="14"/>
      <c r="C483" s="155">
        <f>SUM(C473:C482)</f>
        <v>0</v>
      </c>
      <c r="D483" s="155">
        <f t="shared" ref="D483:AP483" si="218">SUM(D473:D482)</f>
        <v>0</v>
      </c>
      <c r="E483" s="155">
        <f t="shared" si="218"/>
        <v>0</v>
      </c>
      <c r="F483" s="155">
        <f t="shared" si="218"/>
        <v>0</v>
      </c>
      <c r="G483" s="155">
        <f t="shared" si="218"/>
        <v>0</v>
      </c>
      <c r="H483" s="155">
        <f t="shared" si="218"/>
        <v>0</v>
      </c>
      <c r="I483" s="155">
        <f t="shared" si="218"/>
        <v>0</v>
      </c>
      <c r="J483" s="155">
        <f t="shared" si="218"/>
        <v>0</v>
      </c>
      <c r="K483" s="155">
        <f t="shared" si="218"/>
        <v>0</v>
      </c>
      <c r="L483" s="155">
        <f t="shared" si="218"/>
        <v>0</v>
      </c>
      <c r="M483" s="155">
        <f t="shared" si="218"/>
        <v>0</v>
      </c>
      <c r="N483" s="155">
        <f t="shared" si="218"/>
        <v>0</v>
      </c>
      <c r="O483" s="155">
        <f t="shared" si="218"/>
        <v>0</v>
      </c>
      <c r="P483" s="155">
        <f t="shared" si="218"/>
        <v>0</v>
      </c>
      <c r="Q483" s="155">
        <f t="shared" si="218"/>
        <v>0</v>
      </c>
      <c r="R483" s="155">
        <f t="shared" si="218"/>
        <v>0</v>
      </c>
      <c r="S483" s="155">
        <f t="shared" si="218"/>
        <v>0</v>
      </c>
      <c r="T483" s="155">
        <f t="shared" si="218"/>
        <v>0</v>
      </c>
      <c r="U483" s="155">
        <f t="shared" si="218"/>
        <v>0</v>
      </c>
      <c r="V483" s="155">
        <f t="shared" si="218"/>
        <v>0</v>
      </c>
      <c r="W483" s="155">
        <f t="shared" si="218"/>
        <v>0</v>
      </c>
      <c r="X483" s="155">
        <f t="shared" si="218"/>
        <v>0</v>
      </c>
      <c r="Y483" s="155">
        <f t="shared" si="218"/>
        <v>0</v>
      </c>
      <c r="Z483" s="155">
        <f t="shared" si="218"/>
        <v>0</v>
      </c>
      <c r="AA483" s="155">
        <f t="shared" si="218"/>
        <v>0</v>
      </c>
      <c r="AB483" s="155">
        <f t="shared" si="218"/>
        <v>0</v>
      </c>
      <c r="AC483" s="155">
        <f t="shared" si="218"/>
        <v>0</v>
      </c>
      <c r="AD483" s="155">
        <f t="shared" si="218"/>
        <v>0</v>
      </c>
      <c r="AE483" s="155">
        <f t="shared" si="218"/>
        <v>0</v>
      </c>
      <c r="AF483" s="155">
        <f t="shared" si="218"/>
        <v>0</v>
      </c>
      <c r="AG483" s="155">
        <f t="shared" si="218"/>
        <v>0</v>
      </c>
      <c r="AH483" s="155">
        <f t="shared" si="218"/>
        <v>0</v>
      </c>
      <c r="AI483" s="155">
        <f t="shared" si="218"/>
        <v>0</v>
      </c>
      <c r="AJ483" s="155">
        <f t="shared" si="218"/>
        <v>0</v>
      </c>
      <c r="AK483" s="155">
        <f t="shared" si="218"/>
        <v>0</v>
      </c>
      <c r="AL483" s="155">
        <f t="shared" si="218"/>
        <v>0</v>
      </c>
      <c r="AM483" s="155">
        <f t="shared" si="218"/>
        <v>0</v>
      </c>
      <c r="AN483" s="155">
        <f t="shared" si="218"/>
        <v>0</v>
      </c>
      <c r="AO483" s="155">
        <f t="shared" si="218"/>
        <v>0</v>
      </c>
      <c r="AP483" s="155">
        <f t="shared" si="218"/>
        <v>0</v>
      </c>
    </row>
    <row r="484" spans="1:42" x14ac:dyDescent="0.2">
      <c r="A484" s="24"/>
      <c r="B484" s="14"/>
      <c r="C484" s="155"/>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row>
    <row r="485" spans="1:42" x14ac:dyDescent="0.2">
      <c r="A485" s="21" t="s">
        <v>81</v>
      </c>
      <c r="C485" s="155"/>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row>
    <row r="486" spans="1:42" x14ac:dyDescent="0.2">
      <c r="A486" s="87" t="s">
        <v>67</v>
      </c>
      <c r="C486" s="155"/>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row>
    <row r="487" spans="1:42" x14ac:dyDescent="0.2">
      <c r="A487" s="4">
        <v>1</v>
      </c>
      <c r="C487" s="155">
        <f t="shared" ref="C487:AP487" si="219">C348</f>
        <v>0</v>
      </c>
      <c r="D487" s="155">
        <f t="shared" si="219"/>
        <v>0</v>
      </c>
      <c r="E487" s="155">
        <f t="shared" si="219"/>
        <v>0</v>
      </c>
      <c r="F487" s="155">
        <f t="shared" si="219"/>
        <v>0</v>
      </c>
      <c r="G487" s="155">
        <f t="shared" si="219"/>
        <v>0</v>
      </c>
      <c r="H487" s="155">
        <f t="shared" si="219"/>
        <v>0</v>
      </c>
      <c r="I487" s="155">
        <f t="shared" si="219"/>
        <v>0</v>
      </c>
      <c r="J487" s="155">
        <f t="shared" si="219"/>
        <v>0</v>
      </c>
      <c r="K487" s="155">
        <f t="shared" si="219"/>
        <v>0</v>
      </c>
      <c r="L487" s="155">
        <f t="shared" si="219"/>
        <v>0</v>
      </c>
      <c r="M487" s="155">
        <f t="shared" si="219"/>
        <v>0</v>
      </c>
      <c r="N487" s="155">
        <f t="shared" si="219"/>
        <v>0</v>
      </c>
      <c r="O487" s="155">
        <f t="shared" si="219"/>
        <v>0</v>
      </c>
      <c r="P487" s="155">
        <f t="shared" si="219"/>
        <v>0</v>
      </c>
      <c r="Q487" s="155">
        <f t="shared" si="219"/>
        <v>0</v>
      </c>
      <c r="R487" s="155">
        <f t="shared" si="219"/>
        <v>0</v>
      </c>
      <c r="S487" s="155">
        <f t="shared" si="219"/>
        <v>0</v>
      </c>
      <c r="T487" s="155">
        <f t="shared" si="219"/>
        <v>0</v>
      </c>
      <c r="U487" s="155">
        <f t="shared" si="219"/>
        <v>0</v>
      </c>
      <c r="V487" s="155">
        <f t="shared" si="219"/>
        <v>0</v>
      </c>
      <c r="W487" s="155">
        <f t="shared" si="219"/>
        <v>0</v>
      </c>
      <c r="X487" s="155">
        <f t="shared" si="219"/>
        <v>0</v>
      </c>
      <c r="Y487" s="155">
        <f t="shared" si="219"/>
        <v>0</v>
      </c>
      <c r="Z487" s="155">
        <f t="shared" si="219"/>
        <v>0</v>
      </c>
      <c r="AA487" s="155">
        <f t="shared" si="219"/>
        <v>0</v>
      </c>
      <c r="AB487" s="155">
        <f t="shared" si="219"/>
        <v>0</v>
      </c>
      <c r="AC487" s="155">
        <f t="shared" si="219"/>
        <v>0</v>
      </c>
      <c r="AD487" s="155">
        <f t="shared" si="219"/>
        <v>0</v>
      </c>
      <c r="AE487" s="155">
        <f t="shared" si="219"/>
        <v>0</v>
      </c>
      <c r="AF487" s="155">
        <f t="shared" si="219"/>
        <v>0</v>
      </c>
      <c r="AG487" s="155">
        <f t="shared" si="219"/>
        <v>0</v>
      </c>
      <c r="AH487" s="155">
        <f t="shared" si="219"/>
        <v>0</v>
      </c>
      <c r="AI487" s="155">
        <f t="shared" si="219"/>
        <v>0</v>
      </c>
      <c r="AJ487" s="155">
        <f t="shared" si="219"/>
        <v>0</v>
      </c>
      <c r="AK487" s="155">
        <f t="shared" si="219"/>
        <v>0</v>
      </c>
      <c r="AL487" s="155">
        <f t="shared" si="219"/>
        <v>0</v>
      </c>
      <c r="AM487" s="155">
        <f t="shared" si="219"/>
        <v>0</v>
      </c>
      <c r="AN487" s="155">
        <f t="shared" si="219"/>
        <v>0</v>
      </c>
      <c r="AO487" s="155">
        <f t="shared" si="219"/>
        <v>0</v>
      </c>
      <c r="AP487" s="155">
        <f t="shared" si="219"/>
        <v>0</v>
      </c>
    </row>
    <row r="488" spans="1:42" x14ac:dyDescent="0.2">
      <c r="A488" s="4">
        <f>A487+1</f>
        <v>2</v>
      </c>
      <c r="C488" s="155">
        <f t="shared" ref="C488:AP488" si="220">C349</f>
        <v>0</v>
      </c>
      <c r="D488" s="155">
        <f t="shared" si="220"/>
        <v>0</v>
      </c>
      <c r="E488" s="155">
        <f t="shared" si="220"/>
        <v>0</v>
      </c>
      <c r="F488" s="155">
        <f t="shared" si="220"/>
        <v>0</v>
      </c>
      <c r="G488" s="155">
        <f t="shared" si="220"/>
        <v>0</v>
      </c>
      <c r="H488" s="155">
        <f t="shared" si="220"/>
        <v>0</v>
      </c>
      <c r="I488" s="155">
        <f t="shared" si="220"/>
        <v>0</v>
      </c>
      <c r="J488" s="155">
        <f t="shared" si="220"/>
        <v>0</v>
      </c>
      <c r="K488" s="155">
        <f t="shared" si="220"/>
        <v>0</v>
      </c>
      <c r="L488" s="155">
        <f t="shared" si="220"/>
        <v>0</v>
      </c>
      <c r="M488" s="155">
        <f t="shared" si="220"/>
        <v>0</v>
      </c>
      <c r="N488" s="155">
        <f t="shared" si="220"/>
        <v>0</v>
      </c>
      <c r="O488" s="155">
        <f t="shared" si="220"/>
        <v>0</v>
      </c>
      <c r="P488" s="155">
        <f t="shared" si="220"/>
        <v>0</v>
      </c>
      <c r="Q488" s="155">
        <f t="shared" si="220"/>
        <v>0</v>
      </c>
      <c r="R488" s="155">
        <f t="shared" si="220"/>
        <v>0</v>
      </c>
      <c r="S488" s="155">
        <f t="shared" si="220"/>
        <v>0</v>
      </c>
      <c r="T488" s="155">
        <f t="shared" si="220"/>
        <v>0</v>
      </c>
      <c r="U488" s="155">
        <f t="shared" si="220"/>
        <v>0</v>
      </c>
      <c r="V488" s="155">
        <f t="shared" si="220"/>
        <v>0</v>
      </c>
      <c r="W488" s="155">
        <f t="shared" si="220"/>
        <v>0</v>
      </c>
      <c r="X488" s="155">
        <f t="shared" si="220"/>
        <v>0</v>
      </c>
      <c r="Y488" s="155">
        <f t="shared" si="220"/>
        <v>0</v>
      </c>
      <c r="Z488" s="155">
        <f t="shared" si="220"/>
        <v>0</v>
      </c>
      <c r="AA488" s="155">
        <f t="shared" si="220"/>
        <v>0</v>
      </c>
      <c r="AB488" s="155">
        <f t="shared" si="220"/>
        <v>0</v>
      </c>
      <c r="AC488" s="155">
        <f t="shared" si="220"/>
        <v>0</v>
      </c>
      <c r="AD488" s="155">
        <f t="shared" si="220"/>
        <v>0</v>
      </c>
      <c r="AE488" s="155">
        <f t="shared" si="220"/>
        <v>0</v>
      </c>
      <c r="AF488" s="155">
        <f t="shared" si="220"/>
        <v>0</v>
      </c>
      <c r="AG488" s="155">
        <f t="shared" si="220"/>
        <v>0</v>
      </c>
      <c r="AH488" s="155">
        <f t="shared" si="220"/>
        <v>0</v>
      </c>
      <c r="AI488" s="155">
        <f t="shared" si="220"/>
        <v>0</v>
      </c>
      <c r="AJ488" s="155">
        <f t="shared" si="220"/>
        <v>0</v>
      </c>
      <c r="AK488" s="155">
        <f t="shared" si="220"/>
        <v>0</v>
      </c>
      <c r="AL488" s="155">
        <f t="shared" si="220"/>
        <v>0</v>
      </c>
      <c r="AM488" s="155">
        <f t="shared" si="220"/>
        <v>0</v>
      </c>
      <c r="AN488" s="155">
        <f t="shared" si="220"/>
        <v>0</v>
      </c>
      <c r="AO488" s="155">
        <f t="shared" si="220"/>
        <v>0</v>
      </c>
      <c r="AP488" s="155">
        <f t="shared" si="220"/>
        <v>0</v>
      </c>
    </row>
    <row r="489" spans="1:42" x14ac:dyDescent="0.2">
      <c r="A489" s="4">
        <f t="shared" ref="A489:A494" si="221">A488+1</f>
        <v>3</v>
      </c>
      <c r="C489" s="155">
        <f t="shared" ref="C489:AP489" si="222">C350</f>
        <v>0</v>
      </c>
      <c r="D489" s="155">
        <f t="shared" si="222"/>
        <v>0</v>
      </c>
      <c r="E489" s="155">
        <f t="shared" si="222"/>
        <v>0</v>
      </c>
      <c r="F489" s="155">
        <f t="shared" si="222"/>
        <v>0</v>
      </c>
      <c r="G489" s="155">
        <f t="shared" si="222"/>
        <v>0</v>
      </c>
      <c r="H489" s="155">
        <f t="shared" si="222"/>
        <v>0</v>
      </c>
      <c r="I489" s="155">
        <f t="shared" si="222"/>
        <v>0</v>
      </c>
      <c r="J489" s="155">
        <f t="shared" si="222"/>
        <v>0</v>
      </c>
      <c r="K489" s="155">
        <f t="shared" si="222"/>
        <v>0</v>
      </c>
      <c r="L489" s="155">
        <f t="shared" si="222"/>
        <v>0</v>
      </c>
      <c r="M489" s="155">
        <f t="shared" si="222"/>
        <v>0</v>
      </c>
      <c r="N489" s="155">
        <f t="shared" si="222"/>
        <v>0</v>
      </c>
      <c r="O489" s="155">
        <f t="shared" si="222"/>
        <v>0</v>
      </c>
      <c r="P489" s="155">
        <f t="shared" si="222"/>
        <v>0</v>
      </c>
      <c r="Q489" s="155">
        <f t="shared" si="222"/>
        <v>0</v>
      </c>
      <c r="R489" s="155">
        <f t="shared" si="222"/>
        <v>0</v>
      </c>
      <c r="S489" s="155">
        <f t="shared" si="222"/>
        <v>0</v>
      </c>
      <c r="T489" s="155">
        <f t="shared" si="222"/>
        <v>0</v>
      </c>
      <c r="U489" s="155">
        <f t="shared" si="222"/>
        <v>0</v>
      </c>
      <c r="V489" s="155">
        <f t="shared" si="222"/>
        <v>0</v>
      </c>
      <c r="W489" s="155">
        <f t="shared" si="222"/>
        <v>0</v>
      </c>
      <c r="X489" s="155">
        <f t="shared" si="222"/>
        <v>0</v>
      </c>
      <c r="Y489" s="155">
        <f t="shared" si="222"/>
        <v>0</v>
      </c>
      <c r="Z489" s="155">
        <f t="shared" si="222"/>
        <v>0</v>
      </c>
      <c r="AA489" s="155">
        <f t="shared" si="222"/>
        <v>0</v>
      </c>
      <c r="AB489" s="155">
        <f t="shared" si="222"/>
        <v>0</v>
      </c>
      <c r="AC489" s="155">
        <f t="shared" si="222"/>
        <v>0</v>
      </c>
      <c r="AD489" s="155">
        <f t="shared" si="222"/>
        <v>0</v>
      </c>
      <c r="AE489" s="155">
        <f t="shared" si="222"/>
        <v>0</v>
      </c>
      <c r="AF489" s="155">
        <f t="shared" si="222"/>
        <v>0</v>
      </c>
      <c r="AG489" s="155">
        <f t="shared" si="222"/>
        <v>0</v>
      </c>
      <c r="AH489" s="155">
        <f t="shared" si="222"/>
        <v>0</v>
      </c>
      <c r="AI489" s="155">
        <f t="shared" si="222"/>
        <v>0</v>
      </c>
      <c r="AJ489" s="155">
        <f t="shared" si="222"/>
        <v>0</v>
      </c>
      <c r="AK489" s="155">
        <f t="shared" si="222"/>
        <v>0</v>
      </c>
      <c r="AL489" s="155">
        <f t="shared" si="222"/>
        <v>0</v>
      </c>
      <c r="AM489" s="155">
        <f t="shared" si="222"/>
        <v>0</v>
      </c>
      <c r="AN489" s="155">
        <f t="shared" si="222"/>
        <v>0</v>
      </c>
      <c r="AO489" s="155">
        <f t="shared" si="222"/>
        <v>0</v>
      </c>
      <c r="AP489" s="155">
        <f t="shared" si="222"/>
        <v>0</v>
      </c>
    </row>
    <row r="490" spans="1:42" x14ac:dyDescent="0.2">
      <c r="A490" s="4">
        <f t="shared" si="221"/>
        <v>4</v>
      </c>
      <c r="C490" s="155">
        <f t="shared" ref="C490:AP490" si="223">C351</f>
        <v>0</v>
      </c>
      <c r="D490" s="155">
        <f t="shared" si="223"/>
        <v>0</v>
      </c>
      <c r="E490" s="155">
        <f t="shared" si="223"/>
        <v>0</v>
      </c>
      <c r="F490" s="155">
        <f t="shared" si="223"/>
        <v>0</v>
      </c>
      <c r="G490" s="155">
        <f t="shared" si="223"/>
        <v>0</v>
      </c>
      <c r="H490" s="155">
        <f t="shared" si="223"/>
        <v>0</v>
      </c>
      <c r="I490" s="155">
        <f t="shared" si="223"/>
        <v>0</v>
      </c>
      <c r="J490" s="155">
        <f t="shared" si="223"/>
        <v>0</v>
      </c>
      <c r="K490" s="155">
        <f t="shared" si="223"/>
        <v>0</v>
      </c>
      <c r="L490" s="155">
        <f t="shared" si="223"/>
        <v>0</v>
      </c>
      <c r="M490" s="155">
        <f t="shared" si="223"/>
        <v>0</v>
      </c>
      <c r="N490" s="155">
        <f t="shared" si="223"/>
        <v>0</v>
      </c>
      <c r="O490" s="155">
        <f t="shared" si="223"/>
        <v>0</v>
      </c>
      <c r="P490" s="155">
        <f t="shared" si="223"/>
        <v>0</v>
      </c>
      <c r="Q490" s="155">
        <f t="shared" si="223"/>
        <v>0</v>
      </c>
      <c r="R490" s="155">
        <f t="shared" si="223"/>
        <v>0</v>
      </c>
      <c r="S490" s="155">
        <f t="shared" si="223"/>
        <v>0</v>
      </c>
      <c r="T490" s="155">
        <f t="shared" si="223"/>
        <v>0</v>
      </c>
      <c r="U490" s="155">
        <f t="shared" si="223"/>
        <v>0</v>
      </c>
      <c r="V490" s="155">
        <f t="shared" si="223"/>
        <v>0</v>
      </c>
      <c r="W490" s="155">
        <f t="shared" si="223"/>
        <v>0</v>
      </c>
      <c r="X490" s="155">
        <f t="shared" si="223"/>
        <v>0</v>
      </c>
      <c r="Y490" s="155">
        <f t="shared" si="223"/>
        <v>0</v>
      </c>
      <c r="Z490" s="155">
        <f t="shared" si="223"/>
        <v>0</v>
      </c>
      <c r="AA490" s="155">
        <f t="shared" si="223"/>
        <v>0</v>
      </c>
      <c r="AB490" s="155">
        <f t="shared" si="223"/>
        <v>0</v>
      </c>
      <c r="AC490" s="155">
        <f t="shared" si="223"/>
        <v>0</v>
      </c>
      <c r="AD490" s="155">
        <f t="shared" si="223"/>
        <v>0</v>
      </c>
      <c r="AE490" s="155">
        <f t="shared" si="223"/>
        <v>0</v>
      </c>
      <c r="AF490" s="155">
        <f t="shared" si="223"/>
        <v>0</v>
      </c>
      <c r="AG490" s="155">
        <f t="shared" si="223"/>
        <v>0</v>
      </c>
      <c r="AH490" s="155">
        <f t="shared" si="223"/>
        <v>0</v>
      </c>
      <c r="AI490" s="155">
        <f t="shared" si="223"/>
        <v>0</v>
      </c>
      <c r="AJ490" s="155">
        <f t="shared" si="223"/>
        <v>0</v>
      </c>
      <c r="AK490" s="155">
        <f t="shared" si="223"/>
        <v>0</v>
      </c>
      <c r="AL490" s="155">
        <f t="shared" si="223"/>
        <v>0</v>
      </c>
      <c r="AM490" s="155">
        <f t="shared" si="223"/>
        <v>0</v>
      </c>
      <c r="AN490" s="155">
        <f t="shared" si="223"/>
        <v>0</v>
      </c>
      <c r="AO490" s="155">
        <f t="shared" si="223"/>
        <v>0</v>
      </c>
      <c r="AP490" s="155">
        <f t="shared" si="223"/>
        <v>0</v>
      </c>
    </row>
    <row r="491" spans="1:42" x14ac:dyDescent="0.2">
      <c r="A491" s="4">
        <f t="shared" si="221"/>
        <v>5</v>
      </c>
      <c r="C491" s="155">
        <f t="shared" ref="C491:AP491" si="224">C352</f>
        <v>0</v>
      </c>
      <c r="D491" s="155">
        <f t="shared" si="224"/>
        <v>0</v>
      </c>
      <c r="E491" s="155">
        <f t="shared" si="224"/>
        <v>0</v>
      </c>
      <c r="F491" s="155">
        <f t="shared" si="224"/>
        <v>0</v>
      </c>
      <c r="G491" s="155">
        <f t="shared" si="224"/>
        <v>0</v>
      </c>
      <c r="H491" s="155">
        <f t="shared" si="224"/>
        <v>0</v>
      </c>
      <c r="I491" s="155">
        <f t="shared" si="224"/>
        <v>0</v>
      </c>
      <c r="J491" s="155">
        <f t="shared" si="224"/>
        <v>0</v>
      </c>
      <c r="K491" s="155">
        <f t="shared" si="224"/>
        <v>0</v>
      </c>
      <c r="L491" s="155">
        <f t="shared" si="224"/>
        <v>0</v>
      </c>
      <c r="M491" s="155">
        <f t="shared" si="224"/>
        <v>0</v>
      </c>
      <c r="N491" s="155">
        <f t="shared" si="224"/>
        <v>0</v>
      </c>
      <c r="O491" s="155">
        <f t="shared" si="224"/>
        <v>0</v>
      </c>
      <c r="P491" s="155">
        <f t="shared" si="224"/>
        <v>0</v>
      </c>
      <c r="Q491" s="155">
        <f t="shared" si="224"/>
        <v>0</v>
      </c>
      <c r="R491" s="155">
        <f t="shared" si="224"/>
        <v>0</v>
      </c>
      <c r="S491" s="155">
        <f t="shared" si="224"/>
        <v>0</v>
      </c>
      <c r="T491" s="155">
        <f t="shared" si="224"/>
        <v>0</v>
      </c>
      <c r="U491" s="155">
        <f t="shared" si="224"/>
        <v>0</v>
      </c>
      <c r="V491" s="155">
        <f t="shared" si="224"/>
        <v>0</v>
      </c>
      <c r="W491" s="155">
        <f t="shared" si="224"/>
        <v>0</v>
      </c>
      <c r="X491" s="155">
        <f t="shared" si="224"/>
        <v>0</v>
      </c>
      <c r="Y491" s="155">
        <f t="shared" si="224"/>
        <v>0</v>
      </c>
      <c r="Z491" s="155">
        <f t="shared" si="224"/>
        <v>0</v>
      </c>
      <c r="AA491" s="155">
        <f t="shared" si="224"/>
        <v>0</v>
      </c>
      <c r="AB491" s="155">
        <f t="shared" si="224"/>
        <v>0</v>
      </c>
      <c r="AC491" s="155">
        <f t="shared" si="224"/>
        <v>0</v>
      </c>
      <c r="AD491" s="155">
        <f t="shared" si="224"/>
        <v>0</v>
      </c>
      <c r="AE491" s="155">
        <f t="shared" si="224"/>
        <v>0</v>
      </c>
      <c r="AF491" s="155">
        <f t="shared" si="224"/>
        <v>0</v>
      </c>
      <c r="AG491" s="155">
        <f t="shared" si="224"/>
        <v>0</v>
      </c>
      <c r="AH491" s="155">
        <f t="shared" si="224"/>
        <v>0</v>
      </c>
      <c r="AI491" s="155">
        <f t="shared" si="224"/>
        <v>0</v>
      </c>
      <c r="AJ491" s="155">
        <f t="shared" si="224"/>
        <v>0</v>
      </c>
      <c r="AK491" s="155">
        <f t="shared" si="224"/>
        <v>0</v>
      </c>
      <c r="AL491" s="155">
        <f t="shared" si="224"/>
        <v>0</v>
      </c>
      <c r="AM491" s="155">
        <f t="shared" si="224"/>
        <v>0</v>
      </c>
      <c r="AN491" s="155">
        <f t="shared" si="224"/>
        <v>0</v>
      </c>
      <c r="AO491" s="155">
        <f t="shared" si="224"/>
        <v>0</v>
      </c>
      <c r="AP491" s="155">
        <f t="shared" si="224"/>
        <v>0</v>
      </c>
    </row>
    <row r="492" spans="1:42" x14ac:dyDescent="0.2">
      <c r="A492" s="4">
        <f t="shared" si="221"/>
        <v>6</v>
      </c>
      <c r="C492" s="155">
        <f t="shared" ref="C492:AP492" si="225">C353</f>
        <v>0</v>
      </c>
      <c r="D492" s="155">
        <f t="shared" si="225"/>
        <v>0</v>
      </c>
      <c r="E492" s="155">
        <f t="shared" si="225"/>
        <v>0</v>
      </c>
      <c r="F492" s="155">
        <f t="shared" si="225"/>
        <v>0</v>
      </c>
      <c r="G492" s="155">
        <f t="shared" si="225"/>
        <v>0</v>
      </c>
      <c r="H492" s="155">
        <f t="shared" si="225"/>
        <v>0</v>
      </c>
      <c r="I492" s="155">
        <f t="shared" si="225"/>
        <v>0</v>
      </c>
      <c r="J492" s="155">
        <f t="shared" si="225"/>
        <v>0</v>
      </c>
      <c r="K492" s="155">
        <f t="shared" si="225"/>
        <v>0</v>
      </c>
      <c r="L492" s="155">
        <f t="shared" si="225"/>
        <v>0</v>
      </c>
      <c r="M492" s="155">
        <f t="shared" si="225"/>
        <v>0</v>
      </c>
      <c r="N492" s="155">
        <f t="shared" si="225"/>
        <v>0</v>
      </c>
      <c r="O492" s="155">
        <f t="shared" si="225"/>
        <v>0</v>
      </c>
      <c r="P492" s="155">
        <f t="shared" si="225"/>
        <v>0</v>
      </c>
      <c r="Q492" s="155">
        <f t="shared" si="225"/>
        <v>0</v>
      </c>
      <c r="R492" s="155">
        <f t="shared" si="225"/>
        <v>0</v>
      </c>
      <c r="S492" s="155">
        <f t="shared" si="225"/>
        <v>0</v>
      </c>
      <c r="T492" s="155">
        <f t="shared" si="225"/>
        <v>0</v>
      </c>
      <c r="U492" s="155">
        <f t="shared" si="225"/>
        <v>0</v>
      </c>
      <c r="V492" s="155">
        <f t="shared" si="225"/>
        <v>0</v>
      </c>
      <c r="W492" s="155">
        <f t="shared" si="225"/>
        <v>0</v>
      </c>
      <c r="X492" s="155">
        <f t="shared" si="225"/>
        <v>0</v>
      </c>
      <c r="Y492" s="155">
        <f t="shared" si="225"/>
        <v>0</v>
      </c>
      <c r="Z492" s="155">
        <f t="shared" si="225"/>
        <v>0</v>
      </c>
      <c r="AA492" s="155">
        <f t="shared" si="225"/>
        <v>0</v>
      </c>
      <c r="AB492" s="155">
        <f t="shared" si="225"/>
        <v>0</v>
      </c>
      <c r="AC492" s="155">
        <f t="shared" si="225"/>
        <v>0</v>
      </c>
      <c r="AD492" s="155">
        <f t="shared" si="225"/>
        <v>0</v>
      </c>
      <c r="AE492" s="155">
        <f t="shared" si="225"/>
        <v>0</v>
      </c>
      <c r="AF492" s="155">
        <f t="shared" si="225"/>
        <v>0</v>
      </c>
      <c r="AG492" s="155">
        <f t="shared" si="225"/>
        <v>0</v>
      </c>
      <c r="AH492" s="155">
        <f t="shared" si="225"/>
        <v>0</v>
      </c>
      <c r="AI492" s="155">
        <f t="shared" si="225"/>
        <v>0</v>
      </c>
      <c r="AJ492" s="155">
        <f t="shared" si="225"/>
        <v>0</v>
      </c>
      <c r="AK492" s="155">
        <f t="shared" si="225"/>
        <v>0</v>
      </c>
      <c r="AL492" s="155">
        <f t="shared" si="225"/>
        <v>0</v>
      </c>
      <c r="AM492" s="155">
        <f t="shared" si="225"/>
        <v>0</v>
      </c>
      <c r="AN492" s="155">
        <f t="shared" si="225"/>
        <v>0</v>
      </c>
      <c r="AO492" s="155">
        <f t="shared" si="225"/>
        <v>0</v>
      </c>
      <c r="AP492" s="155">
        <f t="shared" si="225"/>
        <v>0</v>
      </c>
    </row>
    <row r="493" spans="1:42" x14ac:dyDescent="0.2">
      <c r="A493" s="4">
        <f t="shared" si="221"/>
        <v>7</v>
      </c>
      <c r="C493" s="155">
        <f t="shared" ref="C493:AP493" si="226">C354</f>
        <v>0</v>
      </c>
      <c r="D493" s="155">
        <f t="shared" si="226"/>
        <v>0</v>
      </c>
      <c r="E493" s="155">
        <f t="shared" si="226"/>
        <v>0</v>
      </c>
      <c r="F493" s="155">
        <f t="shared" si="226"/>
        <v>0</v>
      </c>
      <c r="G493" s="155">
        <f t="shared" si="226"/>
        <v>0</v>
      </c>
      <c r="H493" s="155">
        <f t="shared" si="226"/>
        <v>0</v>
      </c>
      <c r="I493" s="155">
        <f t="shared" si="226"/>
        <v>0</v>
      </c>
      <c r="J493" s="155">
        <f t="shared" si="226"/>
        <v>0</v>
      </c>
      <c r="K493" s="155">
        <f t="shared" si="226"/>
        <v>0</v>
      </c>
      <c r="L493" s="155">
        <f t="shared" si="226"/>
        <v>0</v>
      </c>
      <c r="M493" s="155">
        <f t="shared" si="226"/>
        <v>0</v>
      </c>
      <c r="N493" s="155">
        <f t="shared" si="226"/>
        <v>0</v>
      </c>
      <c r="O493" s="155">
        <f t="shared" si="226"/>
        <v>0</v>
      </c>
      <c r="P493" s="155">
        <f t="shared" si="226"/>
        <v>0</v>
      </c>
      <c r="Q493" s="155">
        <f t="shared" si="226"/>
        <v>0</v>
      </c>
      <c r="R493" s="155">
        <f t="shared" si="226"/>
        <v>0</v>
      </c>
      <c r="S493" s="155">
        <f t="shared" si="226"/>
        <v>0</v>
      </c>
      <c r="T493" s="155">
        <f t="shared" si="226"/>
        <v>0</v>
      </c>
      <c r="U493" s="155">
        <f t="shared" si="226"/>
        <v>0</v>
      </c>
      <c r="V493" s="155">
        <f t="shared" si="226"/>
        <v>0</v>
      </c>
      <c r="W493" s="155">
        <f t="shared" si="226"/>
        <v>0</v>
      </c>
      <c r="X493" s="155">
        <f t="shared" si="226"/>
        <v>0</v>
      </c>
      <c r="Y493" s="155">
        <f t="shared" si="226"/>
        <v>0</v>
      </c>
      <c r="Z493" s="155">
        <f t="shared" si="226"/>
        <v>0</v>
      </c>
      <c r="AA493" s="155">
        <f t="shared" si="226"/>
        <v>0</v>
      </c>
      <c r="AB493" s="155">
        <f t="shared" si="226"/>
        <v>0</v>
      </c>
      <c r="AC493" s="155">
        <f t="shared" si="226"/>
        <v>0</v>
      </c>
      <c r="AD493" s="155">
        <f t="shared" si="226"/>
        <v>0</v>
      </c>
      <c r="AE493" s="155">
        <f t="shared" si="226"/>
        <v>0</v>
      </c>
      <c r="AF493" s="155">
        <f t="shared" si="226"/>
        <v>0</v>
      </c>
      <c r="AG493" s="155">
        <f t="shared" si="226"/>
        <v>0</v>
      </c>
      <c r="AH493" s="155">
        <f t="shared" si="226"/>
        <v>0</v>
      </c>
      <c r="AI493" s="155">
        <f t="shared" si="226"/>
        <v>0</v>
      </c>
      <c r="AJ493" s="155">
        <f t="shared" si="226"/>
        <v>0</v>
      </c>
      <c r="AK493" s="155">
        <f t="shared" si="226"/>
        <v>0</v>
      </c>
      <c r="AL493" s="155">
        <f t="shared" si="226"/>
        <v>0</v>
      </c>
      <c r="AM493" s="155">
        <f t="shared" si="226"/>
        <v>0</v>
      </c>
      <c r="AN493" s="155">
        <f t="shared" si="226"/>
        <v>0</v>
      </c>
      <c r="AO493" s="155">
        <f t="shared" si="226"/>
        <v>0</v>
      </c>
      <c r="AP493" s="155">
        <f t="shared" si="226"/>
        <v>0</v>
      </c>
    </row>
    <row r="494" spans="1:42" x14ac:dyDescent="0.2">
      <c r="A494" s="4">
        <f t="shared" si="221"/>
        <v>8</v>
      </c>
      <c r="C494" s="155">
        <f t="shared" ref="C494:AP494" si="227">C355</f>
        <v>0</v>
      </c>
      <c r="D494" s="155">
        <f t="shared" si="227"/>
        <v>0</v>
      </c>
      <c r="E494" s="155">
        <f t="shared" si="227"/>
        <v>0</v>
      </c>
      <c r="F494" s="155">
        <f t="shared" si="227"/>
        <v>0</v>
      </c>
      <c r="G494" s="155">
        <f t="shared" si="227"/>
        <v>0</v>
      </c>
      <c r="H494" s="155">
        <f t="shared" si="227"/>
        <v>0</v>
      </c>
      <c r="I494" s="155">
        <f t="shared" si="227"/>
        <v>0</v>
      </c>
      <c r="J494" s="155">
        <f t="shared" si="227"/>
        <v>0</v>
      </c>
      <c r="K494" s="155">
        <f t="shared" si="227"/>
        <v>0</v>
      </c>
      <c r="L494" s="155">
        <f t="shared" si="227"/>
        <v>0</v>
      </c>
      <c r="M494" s="155">
        <f t="shared" si="227"/>
        <v>0</v>
      </c>
      <c r="N494" s="155">
        <f t="shared" si="227"/>
        <v>0</v>
      </c>
      <c r="O494" s="155">
        <f t="shared" si="227"/>
        <v>0</v>
      </c>
      <c r="P494" s="155">
        <f t="shared" si="227"/>
        <v>0</v>
      </c>
      <c r="Q494" s="155">
        <f t="shared" si="227"/>
        <v>0</v>
      </c>
      <c r="R494" s="155">
        <f t="shared" si="227"/>
        <v>0</v>
      </c>
      <c r="S494" s="155">
        <f t="shared" si="227"/>
        <v>0</v>
      </c>
      <c r="T494" s="155">
        <f t="shared" si="227"/>
        <v>0</v>
      </c>
      <c r="U494" s="155">
        <f t="shared" si="227"/>
        <v>0</v>
      </c>
      <c r="V494" s="155">
        <f t="shared" si="227"/>
        <v>0</v>
      </c>
      <c r="W494" s="155">
        <f t="shared" si="227"/>
        <v>0</v>
      </c>
      <c r="X494" s="155">
        <f t="shared" si="227"/>
        <v>0</v>
      </c>
      <c r="Y494" s="155">
        <f t="shared" si="227"/>
        <v>0</v>
      </c>
      <c r="Z494" s="155">
        <f t="shared" si="227"/>
        <v>0</v>
      </c>
      <c r="AA494" s="155">
        <f t="shared" si="227"/>
        <v>0</v>
      </c>
      <c r="AB494" s="155">
        <f t="shared" si="227"/>
        <v>0</v>
      </c>
      <c r="AC494" s="155">
        <f t="shared" si="227"/>
        <v>0</v>
      </c>
      <c r="AD494" s="155">
        <f t="shared" si="227"/>
        <v>0</v>
      </c>
      <c r="AE494" s="155">
        <f t="shared" si="227"/>
        <v>0</v>
      </c>
      <c r="AF494" s="155">
        <f t="shared" si="227"/>
        <v>0</v>
      </c>
      <c r="AG494" s="155">
        <f t="shared" si="227"/>
        <v>0</v>
      </c>
      <c r="AH494" s="155">
        <f t="shared" si="227"/>
        <v>0</v>
      </c>
      <c r="AI494" s="155">
        <f t="shared" si="227"/>
        <v>0</v>
      </c>
      <c r="AJ494" s="155">
        <f t="shared" si="227"/>
        <v>0</v>
      </c>
      <c r="AK494" s="155">
        <f t="shared" si="227"/>
        <v>0</v>
      </c>
      <c r="AL494" s="155">
        <f t="shared" si="227"/>
        <v>0</v>
      </c>
      <c r="AM494" s="155">
        <f t="shared" si="227"/>
        <v>0</v>
      </c>
      <c r="AN494" s="155">
        <f t="shared" si="227"/>
        <v>0</v>
      </c>
      <c r="AO494" s="155">
        <f t="shared" si="227"/>
        <v>0</v>
      </c>
      <c r="AP494" s="155">
        <f t="shared" si="227"/>
        <v>0</v>
      </c>
    </row>
    <row r="495" spans="1:42" x14ac:dyDescent="0.2">
      <c r="A495" s="4">
        <f>A494+1</f>
        <v>9</v>
      </c>
      <c r="C495" s="155">
        <f t="shared" ref="C495:AP495" si="228">C356</f>
        <v>0</v>
      </c>
      <c r="D495" s="155">
        <f t="shared" si="228"/>
        <v>0</v>
      </c>
      <c r="E495" s="155">
        <f t="shared" si="228"/>
        <v>0</v>
      </c>
      <c r="F495" s="155">
        <f t="shared" si="228"/>
        <v>0</v>
      </c>
      <c r="G495" s="155">
        <f t="shared" si="228"/>
        <v>0</v>
      </c>
      <c r="H495" s="155">
        <f t="shared" si="228"/>
        <v>0</v>
      </c>
      <c r="I495" s="155">
        <f t="shared" si="228"/>
        <v>0</v>
      </c>
      <c r="J495" s="155">
        <f t="shared" si="228"/>
        <v>0</v>
      </c>
      <c r="K495" s="155">
        <f t="shared" si="228"/>
        <v>0</v>
      </c>
      <c r="L495" s="155">
        <f t="shared" si="228"/>
        <v>0</v>
      </c>
      <c r="M495" s="155">
        <f t="shared" si="228"/>
        <v>0</v>
      </c>
      <c r="N495" s="155">
        <f t="shared" si="228"/>
        <v>0</v>
      </c>
      <c r="O495" s="155">
        <f t="shared" si="228"/>
        <v>0</v>
      </c>
      <c r="P495" s="155">
        <f t="shared" si="228"/>
        <v>0</v>
      </c>
      <c r="Q495" s="155">
        <f t="shared" si="228"/>
        <v>0</v>
      </c>
      <c r="R495" s="155">
        <f t="shared" si="228"/>
        <v>0</v>
      </c>
      <c r="S495" s="155">
        <f t="shared" si="228"/>
        <v>0</v>
      </c>
      <c r="T495" s="155">
        <f t="shared" si="228"/>
        <v>0</v>
      </c>
      <c r="U495" s="155">
        <f t="shared" si="228"/>
        <v>0</v>
      </c>
      <c r="V495" s="155">
        <f t="shared" si="228"/>
        <v>0</v>
      </c>
      <c r="W495" s="155">
        <f t="shared" si="228"/>
        <v>0</v>
      </c>
      <c r="X495" s="155">
        <f t="shared" si="228"/>
        <v>0</v>
      </c>
      <c r="Y495" s="155">
        <f t="shared" si="228"/>
        <v>0</v>
      </c>
      <c r="Z495" s="155">
        <f t="shared" si="228"/>
        <v>0</v>
      </c>
      <c r="AA495" s="155">
        <f t="shared" si="228"/>
        <v>0</v>
      </c>
      <c r="AB495" s="155">
        <f t="shared" si="228"/>
        <v>0</v>
      </c>
      <c r="AC495" s="155">
        <f t="shared" si="228"/>
        <v>0</v>
      </c>
      <c r="AD495" s="155">
        <f t="shared" si="228"/>
        <v>0</v>
      </c>
      <c r="AE495" s="155">
        <f t="shared" si="228"/>
        <v>0</v>
      </c>
      <c r="AF495" s="155">
        <f t="shared" si="228"/>
        <v>0</v>
      </c>
      <c r="AG495" s="155">
        <f t="shared" si="228"/>
        <v>0</v>
      </c>
      <c r="AH495" s="155">
        <f t="shared" si="228"/>
        <v>0</v>
      </c>
      <c r="AI495" s="155">
        <f t="shared" si="228"/>
        <v>0</v>
      </c>
      <c r="AJ495" s="155">
        <f t="shared" si="228"/>
        <v>0</v>
      </c>
      <c r="AK495" s="155">
        <f t="shared" si="228"/>
        <v>0</v>
      </c>
      <c r="AL495" s="155">
        <f t="shared" si="228"/>
        <v>0</v>
      </c>
      <c r="AM495" s="155">
        <f t="shared" si="228"/>
        <v>0</v>
      </c>
      <c r="AN495" s="155">
        <f t="shared" si="228"/>
        <v>0</v>
      </c>
      <c r="AO495" s="155">
        <f t="shared" si="228"/>
        <v>0</v>
      </c>
      <c r="AP495" s="155">
        <f t="shared" si="228"/>
        <v>0</v>
      </c>
    </row>
    <row r="496" spans="1:42" x14ac:dyDescent="0.2">
      <c r="A496" s="4">
        <f t="shared" ref="A496" si="229">A495+1</f>
        <v>10</v>
      </c>
      <c r="C496" s="155">
        <f t="shared" ref="C496:AP496" si="230">C357</f>
        <v>0</v>
      </c>
      <c r="D496" s="155">
        <f t="shared" si="230"/>
        <v>0</v>
      </c>
      <c r="E496" s="155">
        <f t="shared" si="230"/>
        <v>0</v>
      </c>
      <c r="F496" s="155">
        <f t="shared" si="230"/>
        <v>0</v>
      </c>
      <c r="G496" s="155">
        <f t="shared" si="230"/>
        <v>0</v>
      </c>
      <c r="H496" s="155">
        <f t="shared" si="230"/>
        <v>0</v>
      </c>
      <c r="I496" s="155">
        <f t="shared" si="230"/>
        <v>0</v>
      </c>
      <c r="J496" s="155">
        <f t="shared" si="230"/>
        <v>0</v>
      </c>
      <c r="K496" s="155">
        <f t="shared" si="230"/>
        <v>0</v>
      </c>
      <c r="L496" s="155">
        <f t="shared" si="230"/>
        <v>0</v>
      </c>
      <c r="M496" s="155">
        <f t="shared" si="230"/>
        <v>0</v>
      </c>
      <c r="N496" s="155">
        <f t="shared" si="230"/>
        <v>0</v>
      </c>
      <c r="O496" s="155">
        <f t="shared" si="230"/>
        <v>0</v>
      </c>
      <c r="P496" s="155">
        <f t="shared" si="230"/>
        <v>0</v>
      </c>
      <c r="Q496" s="155">
        <f t="shared" si="230"/>
        <v>0</v>
      </c>
      <c r="R496" s="155">
        <f t="shared" si="230"/>
        <v>0</v>
      </c>
      <c r="S496" s="155">
        <f t="shared" si="230"/>
        <v>0</v>
      </c>
      <c r="T496" s="155">
        <f t="shared" si="230"/>
        <v>0</v>
      </c>
      <c r="U496" s="155">
        <f t="shared" si="230"/>
        <v>0</v>
      </c>
      <c r="V496" s="155">
        <f t="shared" si="230"/>
        <v>0</v>
      </c>
      <c r="W496" s="155">
        <f t="shared" si="230"/>
        <v>0</v>
      </c>
      <c r="X496" s="155">
        <f t="shared" si="230"/>
        <v>0</v>
      </c>
      <c r="Y496" s="155">
        <f t="shared" si="230"/>
        <v>0</v>
      </c>
      <c r="Z496" s="155">
        <f t="shared" si="230"/>
        <v>0</v>
      </c>
      <c r="AA496" s="155">
        <f t="shared" si="230"/>
        <v>0</v>
      </c>
      <c r="AB496" s="155">
        <f t="shared" si="230"/>
        <v>0</v>
      </c>
      <c r="AC496" s="155">
        <f t="shared" si="230"/>
        <v>0</v>
      </c>
      <c r="AD496" s="155">
        <f t="shared" si="230"/>
        <v>0</v>
      </c>
      <c r="AE496" s="155">
        <f t="shared" si="230"/>
        <v>0</v>
      </c>
      <c r="AF496" s="155">
        <f t="shared" si="230"/>
        <v>0</v>
      </c>
      <c r="AG496" s="155">
        <f t="shared" si="230"/>
        <v>0</v>
      </c>
      <c r="AH496" s="155">
        <f t="shared" si="230"/>
        <v>0</v>
      </c>
      <c r="AI496" s="155">
        <f t="shared" si="230"/>
        <v>0</v>
      </c>
      <c r="AJ496" s="155">
        <f t="shared" si="230"/>
        <v>0</v>
      </c>
      <c r="AK496" s="155">
        <f t="shared" si="230"/>
        <v>0</v>
      </c>
      <c r="AL496" s="155">
        <f t="shared" si="230"/>
        <v>0</v>
      </c>
      <c r="AM496" s="155">
        <f t="shared" si="230"/>
        <v>0</v>
      </c>
      <c r="AN496" s="155">
        <f t="shared" si="230"/>
        <v>0</v>
      </c>
      <c r="AO496" s="155">
        <f t="shared" si="230"/>
        <v>0</v>
      </c>
      <c r="AP496" s="155">
        <f t="shared" si="230"/>
        <v>0</v>
      </c>
    </row>
    <row r="497" spans="1:42" x14ac:dyDescent="0.2">
      <c r="A497" s="21"/>
      <c r="C497" s="155"/>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row>
    <row r="498" spans="1:42" x14ac:dyDescent="0.2">
      <c r="A498" s="87" t="s">
        <v>3</v>
      </c>
      <c r="C498" s="155"/>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row>
    <row r="499" spans="1:42" x14ac:dyDescent="0.2">
      <c r="A499" s="4">
        <v>1</v>
      </c>
      <c r="B499" s="145">
        <f t="shared" ref="B499:B508" si="231">SUM(C499:AP499)</f>
        <v>0</v>
      </c>
      <c r="C499" s="155">
        <f t="shared" ref="C499:AP499" si="232">LOOKUP(C487,$B$456:$AP$456,$B$457:$AP$457)*$B692/100</f>
        <v>0</v>
      </c>
      <c r="D499" s="155">
        <f t="shared" si="232"/>
        <v>0</v>
      </c>
      <c r="E499" s="155">
        <f t="shared" si="232"/>
        <v>0</v>
      </c>
      <c r="F499" s="155">
        <f t="shared" si="232"/>
        <v>0</v>
      </c>
      <c r="G499" s="155">
        <f t="shared" si="232"/>
        <v>0</v>
      </c>
      <c r="H499" s="155">
        <f t="shared" si="232"/>
        <v>0</v>
      </c>
      <c r="I499" s="155">
        <f t="shared" si="232"/>
        <v>0</v>
      </c>
      <c r="J499" s="155">
        <f t="shared" si="232"/>
        <v>0</v>
      </c>
      <c r="K499" s="155">
        <f t="shared" si="232"/>
        <v>0</v>
      </c>
      <c r="L499" s="155">
        <f t="shared" si="232"/>
        <v>0</v>
      </c>
      <c r="M499" s="155">
        <f t="shared" si="232"/>
        <v>0</v>
      </c>
      <c r="N499" s="155">
        <f t="shared" si="232"/>
        <v>0</v>
      </c>
      <c r="O499" s="155">
        <f t="shared" si="232"/>
        <v>0</v>
      </c>
      <c r="P499" s="155">
        <f t="shared" si="232"/>
        <v>0</v>
      </c>
      <c r="Q499" s="155">
        <f t="shared" si="232"/>
        <v>0</v>
      </c>
      <c r="R499" s="155">
        <f t="shared" si="232"/>
        <v>0</v>
      </c>
      <c r="S499" s="155">
        <f t="shared" si="232"/>
        <v>0</v>
      </c>
      <c r="T499" s="155">
        <f t="shared" si="232"/>
        <v>0</v>
      </c>
      <c r="U499" s="155">
        <f t="shared" si="232"/>
        <v>0</v>
      </c>
      <c r="V499" s="155">
        <f t="shared" si="232"/>
        <v>0</v>
      </c>
      <c r="W499" s="155">
        <f t="shared" si="232"/>
        <v>0</v>
      </c>
      <c r="X499" s="155">
        <f t="shared" si="232"/>
        <v>0</v>
      </c>
      <c r="Y499" s="155">
        <f t="shared" si="232"/>
        <v>0</v>
      </c>
      <c r="Z499" s="155">
        <f t="shared" si="232"/>
        <v>0</v>
      </c>
      <c r="AA499" s="155">
        <f t="shared" si="232"/>
        <v>0</v>
      </c>
      <c r="AB499" s="155">
        <f t="shared" si="232"/>
        <v>0</v>
      </c>
      <c r="AC499" s="155">
        <f t="shared" si="232"/>
        <v>0</v>
      </c>
      <c r="AD499" s="155">
        <f t="shared" si="232"/>
        <v>0</v>
      </c>
      <c r="AE499" s="155">
        <f t="shared" si="232"/>
        <v>0</v>
      </c>
      <c r="AF499" s="155">
        <f t="shared" si="232"/>
        <v>0</v>
      </c>
      <c r="AG499" s="155">
        <f t="shared" si="232"/>
        <v>0</v>
      </c>
      <c r="AH499" s="155">
        <f t="shared" si="232"/>
        <v>0</v>
      </c>
      <c r="AI499" s="155">
        <f t="shared" si="232"/>
        <v>0</v>
      </c>
      <c r="AJ499" s="155">
        <f t="shared" si="232"/>
        <v>0</v>
      </c>
      <c r="AK499" s="155">
        <f t="shared" si="232"/>
        <v>0</v>
      </c>
      <c r="AL499" s="155">
        <f t="shared" si="232"/>
        <v>0</v>
      </c>
      <c r="AM499" s="155">
        <f t="shared" si="232"/>
        <v>0</v>
      </c>
      <c r="AN499" s="155">
        <f t="shared" si="232"/>
        <v>0</v>
      </c>
      <c r="AO499" s="155">
        <f t="shared" si="232"/>
        <v>0</v>
      </c>
      <c r="AP499" s="155">
        <f t="shared" si="232"/>
        <v>0</v>
      </c>
    </row>
    <row r="500" spans="1:42" x14ac:dyDescent="0.2">
      <c r="A500" s="4">
        <f>A499+1</f>
        <v>2</v>
      </c>
      <c r="B500" s="145">
        <f t="shared" si="231"/>
        <v>0</v>
      </c>
      <c r="C500" s="155">
        <f t="shared" ref="C500:AP500" si="233">LOOKUP(C488,$B$456:$AP$456,$B$457:$AP$457)*$B693/100</f>
        <v>0</v>
      </c>
      <c r="D500" s="155">
        <f t="shared" si="233"/>
        <v>0</v>
      </c>
      <c r="E500" s="155">
        <f t="shared" si="233"/>
        <v>0</v>
      </c>
      <c r="F500" s="155">
        <f t="shared" si="233"/>
        <v>0</v>
      </c>
      <c r="G500" s="155">
        <f t="shared" si="233"/>
        <v>0</v>
      </c>
      <c r="H500" s="155">
        <f t="shared" si="233"/>
        <v>0</v>
      </c>
      <c r="I500" s="155">
        <f t="shared" si="233"/>
        <v>0</v>
      </c>
      <c r="J500" s="155">
        <f t="shared" si="233"/>
        <v>0</v>
      </c>
      <c r="K500" s="155">
        <f t="shared" si="233"/>
        <v>0</v>
      </c>
      <c r="L500" s="155">
        <f t="shared" si="233"/>
        <v>0</v>
      </c>
      <c r="M500" s="155">
        <f t="shared" si="233"/>
        <v>0</v>
      </c>
      <c r="N500" s="155">
        <f t="shared" si="233"/>
        <v>0</v>
      </c>
      <c r="O500" s="155">
        <f t="shared" si="233"/>
        <v>0</v>
      </c>
      <c r="P500" s="155">
        <f t="shared" si="233"/>
        <v>0</v>
      </c>
      <c r="Q500" s="155">
        <f t="shared" si="233"/>
        <v>0</v>
      </c>
      <c r="R500" s="155">
        <f t="shared" si="233"/>
        <v>0</v>
      </c>
      <c r="S500" s="155">
        <f t="shared" si="233"/>
        <v>0</v>
      </c>
      <c r="T500" s="155">
        <f t="shared" si="233"/>
        <v>0</v>
      </c>
      <c r="U500" s="155">
        <f t="shared" si="233"/>
        <v>0</v>
      </c>
      <c r="V500" s="155">
        <f t="shared" si="233"/>
        <v>0</v>
      </c>
      <c r="W500" s="155">
        <f t="shared" si="233"/>
        <v>0</v>
      </c>
      <c r="X500" s="155">
        <f t="shared" si="233"/>
        <v>0</v>
      </c>
      <c r="Y500" s="155">
        <f t="shared" si="233"/>
        <v>0</v>
      </c>
      <c r="Z500" s="155">
        <f t="shared" si="233"/>
        <v>0</v>
      </c>
      <c r="AA500" s="155">
        <f t="shared" si="233"/>
        <v>0</v>
      </c>
      <c r="AB500" s="155">
        <f t="shared" si="233"/>
        <v>0</v>
      </c>
      <c r="AC500" s="155">
        <f t="shared" si="233"/>
        <v>0</v>
      </c>
      <c r="AD500" s="155">
        <f t="shared" si="233"/>
        <v>0</v>
      </c>
      <c r="AE500" s="155">
        <f t="shared" si="233"/>
        <v>0</v>
      </c>
      <c r="AF500" s="155">
        <f t="shared" si="233"/>
        <v>0</v>
      </c>
      <c r="AG500" s="155">
        <f t="shared" si="233"/>
        <v>0</v>
      </c>
      <c r="AH500" s="155">
        <f t="shared" si="233"/>
        <v>0</v>
      </c>
      <c r="AI500" s="155">
        <f t="shared" si="233"/>
        <v>0</v>
      </c>
      <c r="AJ500" s="155">
        <f t="shared" si="233"/>
        <v>0</v>
      </c>
      <c r="AK500" s="155">
        <f t="shared" si="233"/>
        <v>0</v>
      </c>
      <c r="AL500" s="155">
        <f t="shared" si="233"/>
        <v>0</v>
      </c>
      <c r="AM500" s="155">
        <f t="shared" si="233"/>
        <v>0</v>
      </c>
      <c r="AN500" s="155">
        <f t="shared" si="233"/>
        <v>0</v>
      </c>
      <c r="AO500" s="155">
        <f t="shared" si="233"/>
        <v>0</v>
      </c>
      <c r="AP500" s="155">
        <f t="shared" si="233"/>
        <v>0</v>
      </c>
    </row>
    <row r="501" spans="1:42" x14ac:dyDescent="0.2">
      <c r="A501" s="4">
        <f t="shared" ref="A501:A506" si="234">A500+1</f>
        <v>3</v>
      </c>
      <c r="B501" s="145">
        <f t="shared" si="231"/>
        <v>0</v>
      </c>
      <c r="C501" s="155">
        <f t="shared" ref="C501:AP501" si="235">LOOKUP(C489,$B$456:$AP$456,$B$457:$AP$457)*$B694/100</f>
        <v>0</v>
      </c>
      <c r="D501" s="155">
        <f t="shared" si="235"/>
        <v>0</v>
      </c>
      <c r="E501" s="155">
        <f t="shared" si="235"/>
        <v>0</v>
      </c>
      <c r="F501" s="155">
        <f t="shared" si="235"/>
        <v>0</v>
      </c>
      <c r="G501" s="155">
        <f t="shared" si="235"/>
        <v>0</v>
      </c>
      <c r="H501" s="155">
        <f t="shared" si="235"/>
        <v>0</v>
      </c>
      <c r="I501" s="155">
        <f t="shared" si="235"/>
        <v>0</v>
      </c>
      <c r="J501" s="155">
        <f t="shared" si="235"/>
        <v>0</v>
      </c>
      <c r="K501" s="155">
        <f t="shared" si="235"/>
        <v>0</v>
      </c>
      <c r="L501" s="155">
        <f t="shared" si="235"/>
        <v>0</v>
      </c>
      <c r="M501" s="155">
        <f t="shared" si="235"/>
        <v>0</v>
      </c>
      <c r="N501" s="155">
        <f t="shared" si="235"/>
        <v>0</v>
      </c>
      <c r="O501" s="155">
        <f t="shared" si="235"/>
        <v>0</v>
      </c>
      <c r="P501" s="155">
        <f t="shared" si="235"/>
        <v>0</v>
      </c>
      <c r="Q501" s="155">
        <f t="shared" si="235"/>
        <v>0</v>
      </c>
      <c r="R501" s="155">
        <f t="shared" si="235"/>
        <v>0</v>
      </c>
      <c r="S501" s="155">
        <f t="shared" si="235"/>
        <v>0</v>
      </c>
      <c r="T501" s="155">
        <f t="shared" si="235"/>
        <v>0</v>
      </c>
      <c r="U501" s="155">
        <f t="shared" si="235"/>
        <v>0</v>
      </c>
      <c r="V501" s="155">
        <f t="shared" si="235"/>
        <v>0</v>
      </c>
      <c r="W501" s="155">
        <f t="shared" si="235"/>
        <v>0</v>
      </c>
      <c r="X501" s="155">
        <f t="shared" si="235"/>
        <v>0</v>
      </c>
      <c r="Y501" s="155">
        <f t="shared" si="235"/>
        <v>0</v>
      </c>
      <c r="Z501" s="155">
        <f t="shared" si="235"/>
        <v>0</v>
      </c>
      <c r="AA501" s="155">
        <f t="shared" si="235"/>
        <v>0</v>
      </c>
      <c r="AB501" s="155">
        <f t="shared" si="235"/>
        <v>0</v>
      </c>
      <c r="AC501" s="155">
        <f t="shared" si="235"/>
        <v>0</v>
      </c>
      <c r="AD501" s="155">
        <f t="shared" si="235"/>
        <v>0</v>
      </c>
      <c r="AE501" s="155">
        <f t="shared" si="235"/>
        <v>0</v>
      </c>
      <c r="AF501" s="155">
        <f t="shared" si="235"/>
        <v>0</v>
      </c>
      <c r="AG501" s="155">
        <f t="shared" si="235"/>
        <v>0</v>
      </c>
      <c r="AH501" s="155">
        <f t="shared" si="235"/>
        <v>0</v>
      </c>
      <c r="AI501" s="155">
        <f t="shared" si="235"/>
        <v>0</v>
      </c>
      <c r="AJ501" s="155">
        <f t="shared" si="235"/>
        <v>0</v>
      </c>
      <c r="AK501" s="155">
        <f t="shared" si="235"/>
        <v>0</v>
      </c>
      <c r="AL501" s="155">
        <f t="shared" si="235"/>
        <v>0</v>
      </c>
      <c r="AM501" s="155">
        <f t="shared" si="235"/>
        <v>0</v>
      </c>
      <c r="AN501" s="155">
        <f t="shared" si="235"/>
        <v>0</v>
      </c>
      <c r="AO501" s="155">
        <f t="shared" si="235"/>
        <v>0</v>
      </c>
      <c r="AP501" s="155">
        <f t="shared" si="235"/>
        <v>0</v>
      </c>
    </row>
    <row r="502" spans="1:42" x14ac:dyDescent="0.2">
      <c r="A502" s="4">
        <f t="shared" si="234"/>
        <v>4</v>
      </c>
      <c r="B502" s="145">
        <f t="shared" si="231"/>
        <v>0</v>
      </c>
      <c r="C502" s="155">
        <f t="shared" ref="C502:AP502" si="236">LOOKUP(C490,$B$456:$AP$456,$B$457:$AP$457)*$B695/100</f>
        <v>0</v>
      </c>
      <c r="D502" s="155">
        <f t="shared" si="236"/>
        <v>0</v>
      </c>
      <c r="E502" s="155">
        <f t="shared" si="236"/>
        <v>0</v>
      </c>
      <c r="F502" s="155">
        <f t="shared" si="236"/>
        <v>0</v>
      </c>
      <c r="G502" s="155">
        <f t="shared" si="236"/>
        <v>0</v>
      </c>
      <c r="H502" s="155">
        <f t="shared" si="236"/>
        <v>0</v>
      </c>
      <c r="I502" s="155">
        <f t="shared" si="236"/>
        <v>0</v>
      </c>
      <c r="J502" s="155">
        <f t="shared" si="236"/>
        <v>0</v>
      </c>
      <c r="K502" s="155">
        <f t="shared" si="236"/>
        <v>0</v>
      </c>
      <c r="L502" s="155">
        <f t="shared" si="236"/>
        <v>0</v>
      </c>
      <c r="M502" s="155">
        <f t="shared" si="236"/>
        <v>0</v>
      </c>
      <c r="N502" s="155">
        <f t="shared" si="236"/>
        <v>0</v>
      </c>
      <c r="O502" s="155">
        <f t="shared" si="236"/>
        <v>0</v>
      </c>
      <c r="P502" s="155">
        <f t="shared" si="236"/>
        <v>0</v>
      </c>
      <c r="Q502" s="155">
        <f t="shared" si="236"/>
        <v>0</v>
      </c>
      <c r="R502" s="155">
        <f t="shared" si="236"/>
        <v>0</v>
      </c>
      <c r="S502" s="155">
        <f t="shared" si="236"/>
        <v>0</v>
      </c>
      <c r="T502" s="155">
        <f t="shared" si="236"/>
        <v>0</v>
      </c>
      <c r="U502" s="155">
        <f t="shared" si="236"/>
        <v>0</v>
      </c>
      <c r="V502" s="155">
        <f t="shared" si="236"/>
        <v>0</v>
      </c>
      <c r="W502" s="155">
        <f t="shared" si="236"/>
        <v>0</v>
      </c>
      <c r="X502" s="155">
        <f t="shared" si="236"/>
        <v>0</v>
      </c>
      <c r="Y502" s="155">
        <f t="shared" si="236"/>
        <v>0</v>
      </c>
      <c r="Z502" s="155">
        <f t="shared" si="236"/>
        <v>0</v>
      </c>
      <c r="AA502" s="155">
        <f t="shared" si="236"/>
        <v>0</v>
      </c>
      <c r="AB502" s="155">
        <f t="shared" si="236"/>
        <v>0</v>
      </c>
      <c r="AC502" s="155">
        <f t="shared" si="236"/>
        <v>0</v>
      </c>
      <c r="AD502" s="155">
        <f t="shared" si="236"/>
        <v>0</v>
      </c>
      <c r="AE502" s="155">
        <f t="shared" si="236"/>
        <v>0</v>
      </c>
      <c r="AF502" s="155">
        <f t="shared" si="236"/>
        <v>0</v>
      </c>
      <c r="AG502" s="155">
        <f t="shared" si="236"/>
        <v>0</v>
      </c>
      <c r="AH502" s="155">
        <f t="shared" si="236"/>
        <v>0</v>
      </c>
      <c r="AI502" s="155">
        <f t="shared" si="236"/>
        <v>0</v>
      </c>
      <c r="AJ502" s="155">
        <f t="shared" si="236"/>
        <v>0</v>
      </c>
      <c r="AK502" s="155">
        <f t="shared" si="236"/>
        <v>0</v>
      </c>
      <c r="AL502" s="155">
        <f t="shared" si="236"/>
        <v>0</v>
      </c>
      <c r="AM502" s="155">
        <f t="shared" si="236"/>
        <v>0</v>
      </c>
      <c r="AN502" s="155">
        <f t="shared" si="236"/>
        <v>0</v>
      </c>
      <c r="AO502" s="155">
        <f t="shared" si="236"/>
        <v>0</v>
      </c>
      <c r="AP502" s="155">
        <f t="shared" si="236"/>
        <v>0</v>
      </c>
    </row>
    <row r="503" spans="1:42" x14ac:dyDescent="0.2">
      <c r="A503" s="4">
        <f t="shared" si="234"/>
        <v>5</v>
      </c>
      <c r="B503" s="145">
        <f t="shared" si="231"/>
        <v>0</v>
      </c>
      <c r="C503" s="155">
        <f t="shared" ref="C503:AP503" si="237">LOOKUP(C491,$B$456:$AP$456,$B$457:$AP$457)*$B696/100</f>
        <v>0</v>
      </c>
      <c r="D503" s="155">
        <f t="shared" si="237"/>
        <v>0</v>
      </c>
      <c r="E503" s="155">
        <f t="shared" si="237"/>
        <v>0</v>
      </c>
      <c r="F503" s="155">
        <f t="shared" si="237"/>
        <v>0</v>
      </c>
      <c r="G503" s="155">
        <f t="shared" si="237"/>
        <v>0</v>
      </c>
      <c r="H503" s="155">
        <f t="shared" si="237"/>
        <v>0</v>
      </c>
      <c r="I503" s="155">
        <f t="shared" si="237"/>
        <v>0</v>
      </c>
      <c r="J503" s="155">
        <f t="shared" si="237"/>
        <v>0</v>
      </c>
      <c r="K503" s="155">
        <f t="shared" si="237"/>
        <v>0</v>
      </c>
      <c r="L503" s="155">
        <f t="shared" si="237"/>
        <v>0</v>
      </c>
      <c r="M503" s="155">
        <f t="shared" si="237"/>
        <v>0</v>
      </c>
      <c r="N503" s="155">
        <f t="shared" si="237"/>
        <v>0</v>
      </c>
      <c r="O503" s="155">
        <f t="shared" si="237"/>
        <v>0</v>
      </c>
      <c r="P503" s="155">
        <f t="shared" si="237"/>
        <v>0</v>
      </c>
      <c r="Q503" s="155">
        <f t="shared" si="237"/>
        <v>0</v>
      </c>
      <c r="R503" s="155">
        <f t="shared" si="237"/>
        <v>0</v>
      </c>
      <c r="S503" s="155">
        <f t="shared" si="237"/>
        <v>0</v>
      </c>
      <c r="T503" s="155">
        <f t="shared" si="237"/>
        <v>0</v>
      </c>
      <c r="U503" s="155">
        <f t="shared" si="237"/>
        <v>0</v>
      </c>
      <c r="V503" s="155">
        <f t="shared" si="237"/>
        <v>0</v>
      </c>
      <c r="W503" s="155">
        <f t="shared" si="237"/>
        <v>0</v>
      </c>
      <c r="X503" s="155">
        <f t="shared" si="237"/>
        <v>0</v>
      </c>
      <c r="Y503" s="155">
        <f t="shared" si="237"/>
        <v>0</v>
      </c>
      <c r="Z503" s="155">
        <f t="shared" si="237"/>
        <v>0</v>
      </c>
      <c r="AA503" s="155">
        <f t="shared" si="237"/>
        <v>0</v>
      </c>
      <c r="AB503" s="155">
        <f t="shared" si="237"/>
        <v>0</v>
      </c>
      <c r="AC503" s="155">
        <f t="shared" si="237"/>
        <v>0</v>
      </c>
      <c r="AD503" s="155">
        <f t="shared" si="237"/>
        <v>0</v>
      </c>
      <c r="AE503" s="155">
        <f t="shared" si="237"/>
        <v>0</v>
      </c>
      <c r="AF503" s="155">
        <f t="shared" si="237"/>
        <v>0</v>
      </c>
      <c r="AG503" s="155">
        <f t="shared" si="237"/>
        <v>0</v>
      </c>
      <c r="AH503" s="155">
        <f t="shared" si="237"/>
        <v>0</v>
      </c>
      <c r="AI503" s="155">
        <f t="shared" si="237"/>
        <v>0</v>
      </c>
      <c r="AJ503" s="155">
        <f t="shared" si="237"/>
        <v>0</v>
      </c>
      <c r="AK503" s="155">
        <f t="shared" si="237"/>
        <v>0</v>
      </c>
      <c r="AL503" s="155">
        <f t="shared" si="237"/>
        <v>0</v>
      </c>
      <c r="AM503" s="155">
        <f t="shared" si="237"/>
        <v>0</v>
      </c>
      <c r="AN503" s="155">
        <f t="shared" si="237"/>
        <v>0</v>
      </c>
      <c r="AO503" s="155">
        <f t="shared" si="237"/>
        <v>0</v>
      </c>
      <c r="AP503" s="155">
        <f t="shared" si="237"/>
        <v>0</v>
      </c>
    </row>
    <row r="504" spans="1:42" x14ac:dyDescent="0.2">
      <c r="A504" s="4">
        <f t="shared" si="234"/>
        <v>6</v>
      </c>
      <c r="B504" s="145">
        <f t="shared" si="231"/>
        <v>0</v>
      </c>
      <c r="C504" s="155">
        <f t="shared" ref="C504:AP504" si="238">LOOKUP(C492,$B$456:$AP$456,$B$457:$AP$457)*$B697/100</f>
        <v>0</v>
      </c>
      <c r="D504" s="155">
        <f t="shared" si="238"/>
        <v>0</v>
      </c>
      <c r="E504" s="155">
        <f t="shared" si="238"/>
        <v>0</v>
      </c>
      <c r="F504" s="155">
        <f t="shared" si="238"/>
        <v>0</v>
      </c>
      <c r="G504" s="155">
        <f t="shared" si="238"/>
        <v>0</v>
      </c>
      <c r="H504" s="155">
        <f t="shared" si="238"/>
        <v>0</v>
      </c>
      <c r="I504" s="155">
        <f t="shared" si="238"/>
        <v>0</v>
      </c>
      <c r="J504" s="155">
        <f t="shared" si="238"/>
        <v>0</v>
      </c>
      <c r="K504" s="155">
        <f t="shared" si="238"/>
        <v>0</v>
      </c>
      <c r="L504" s="155">
        <f t="shared" si="238"/>
        <v>0</v>
      </c>
      <c r="M504" s="155">
        <f t="shared" si="238"/>
        <v>0</v>
      </c>
      <c r="N504" s="155">
        <f t="shared" si="238"/>
        <v>0</v>
      </c>
      <c r="O504" s="155">
        <f t="shared" si="238"/>
        <v>0</v>
      </c>
      <c r="P504" s="155">
        <f t="shared" si="238"/>
        <v>0</v>
      </c>
      <c r="Q504" s="155">
        <f t="shared" si="238"/>
        <v>0</v>
      </c>
      <c r="R504" s="155">
        <f t="shared" si="238"/>
        <v>0</v>
      </c>
      <c r="S504" s="155">
        <f t="shared" si="238"/>
        <v>0</v>
      </c>
      <c r="T504" s="155">
        <f t="shared" si="238"/>
        <v>0</v>
      </c>
      <c r="U504" s="155">
        <f t="shared" si="238"/>
        <v>0</v>
      </c>
      <c r="V504" s="155">
        <f t="shared" si="238"/>
        <v>0</v>
      </c>
      <c r="W504" s="155">
        <f t="shared" si="238"/>
        <v>0</v>
      </c>
      <c r="X504" s="155">
        <f t="shared" si="238"/>
        <v>0</v>
      </c>
      <c r="Y504" s="155">
        <f t="shared" si="238"/>
        <v>0</v>
      </c>
      <c r="Z504" s="155">
        <f t="shared" si="238"/>
        <v>0</v>
      </c>
      <c r="AA504" s="155">
        <f t="shared" si="238"/>
        <v>0</v>
      </c>
      <c r="AB504" s="155">
        <f t="shared" si="238"/>
        <v>0</v>
      </c>
      <c r="AC504" s="155">
        <f t="shared" si="238"/>
        <v>0</v>
      </c>
      <c r="AD504" s="155">
        <f t="shared" si="238"/>
        <v>0</v>
      </c>
      <c r="AE504" s="155">
        <f t="shared" si="238"/>
        <v>0</v>
      </c>
      <c r="AF504" s="155">
        <f t="shared" si="238"/>
        <v>0</v>
      </c>
      <c r="AG504" s="155">
        <f t="shared" si="238"/>
        <v>0</v>
      </c>
      <c r="AH504" s="155">
        <f t="shared" si="238"/>
        <v>0</v>
      </c>
      <c r="AI504" s="155">
        <f t="shared" si="238"/>
        <v>0</v>
      </c>
      <c r="AJ504" s="155">
        <f t="shared" si="238"/>
        <v>0</v>
      </c>
      <c r="AK504" s="155">
        <f t="shared" si="238"/>
        <v>0</v>
      </c>
      <c r="AL504" s="155">
        <f t="shared" si="238"/>
        <v>0</v>
      </c>
      <c r="AM504" s="155">
        <f t="shared" si="238"/>
        <v>0</v>
      </c>
      <c r="AN504" s="155">
        <f t="shared" si="238"/>
        <v>0</v>
      </c>
      <c r="AO504" s="155">
        <f t="shared" si="238"/>
        <v>0</v>
      </c>
      <c r="AP504" s="155">
        <f t="shared" si="238"/>
        <v>0</v>
      </c>
    </row>
    <row r="505" spans="1:42" x14ac:dyDescent="0.2">
      <c r="A505" s="4">
        <f t="shared" si="234"/>
        <v>7</v>
      </c>
      <c r="B505" s="145">
        <f t="shared" si="231"/>
        <v>0</v>
      </c>
      <c r="C505" s="155">
        <f t="shared" ref="C505:AP505" si="239">LOOKUP(C493,$B$456:$AP$456,$B$457:$AP$457)*$B698/100</f>
        <v>0</v>
      </c>
      <c r="D505" s="155">
        <f t="shared" si="239"/>
        <v>0</v>
      </c>
      <c r="E505" s="155">
        <f t="shared" si="239"/>
        <v>0</v>
      </c>
      <c r="F505" s="155">
        <f t="shared" si="239"/>
        <v>0</v>
      </c>
      <c r="G505" s="155">
        <f t="shared" si="239"/>
        <v>0</v>
      </c>
      <c r="H505" s="155">
        <f t="shared" si="239"/>
        <v>0</v>
      </c>
      <c r="I505" s="155">
        <f t="shared" si="239"/>
        <v>0</v>
      </c>
      <c r="J505" s="155">
        <f t="shared" si="239"/>
        <v>0</v>
      </c>
      <c r="K505" s="155">
        <f t="shared" si="239"/>
        <v>0</v>
      </c>
      <c r="L505" s="155">
        <f t="shared" si="239"/>
        <v>0</v>
      </c>
      <c r="M505" s="155">
        <f t="shared" si="239"/>
        <v>0</v>
      </c>
      <c r="N505" s="155">
        <f t="shared" si="239"/>
        <v>0</v>
      </c>
      <c r="O505" s="155">
        <f t="shared" si="239"/>
        <v>0</v>
      </c>
      <c r="P505" s="155">
        <f t="shared" si="239"/>
        <v>0</v>
      </c>
      <c r="Q505" s="155">
        <f t="shared" si="239"/>
        <v>0</v>
      </c>
      <c r="R505" s="155">
        <f t="shared" si="239"/>
        <v>0</v>
      </c>
      <c r="S505" s="155">
        <f t="shared" si="239"/>
        <v>0</v>
      </c>
      <c r="T505" s="155">
        <f t="shared" si="239"/>
        <v>0</v>
      </c>
      <c r="U505" s="155">
        <f t="shared" si="239"/>
        <v>0</v>
      </c>
      <c r="V505" s="155">
        <f t="shared" si="239"/>
        <v>0</v>
      </c>
      <c r="W505" s="155">
        <f t="shared" si="239"/>
        <v>0</v>
      </c>
      <c r="X505" s="155">
        <f t="shared" si="239"/>
        <v>0</v>
      </c>
      <c r="Y505" s="155">
        <f t="shared" si="239"/>
        <v>0</v>
      </c>
      <c r="Z505" s="155">
        <f t="shared" si="239"/>
        <v>0</v>
      </c>
      <c r="AA505" s="155">
        <f t="shared" si="239"/>
        <v>0</v>
      </c>
      <c r="AB505" s="155">
        <f t="shared" si="239"/>
        <v>0</v>
      </c>
      <c r="AC505" s="155">
        <f t="shared" si="239"/>
        <v>0</v>
      </c>
      <c r="AD505" s="155">
        <f t="shared" si="239"/>
        <v>0</v>
      </c>
      <c r="AE505" s="155">
        <f t="shared" si="239"/>
        <v>0</v>
      </c>
      <c r="AF505" s="155">
        <f t="shared" si="239"/>
        <v>0</v>
      </c>
      <c r="AG505" s="155">
        <f t="shared" si="239"/>
        <v>0</v>
      </c>
      <c r="AH505" s="155">
        <f t="shared" si="239"/>
        <v>0</v>
      </c>
      <c r="AI505" s="155">
        <f t="shared" si="239"/>
        <v>0</v>
      </c>
      <c r="AJ505" s="155">
        <f t="shared" si="239"/>
        <v>0</v>
      </c>
      <c r="AK505" s="155">
        <f t="shared" si="239"/>
        <v>0</v>
      </c>
      <c r="AL505" s="155">
        <f t="shared" si="239"/>
        <v>0</v>
      </c>
      <c r="AM505" s="155">
        <f t="shared" si="239"/>
        <v>0</v>
      </c>
      <c r="AN505" s="155">
        <f t="shared" si="239"/>
        <v>0</v>
      </c>
      <c r="AO505" s="155">
        <f t="shared" si="239"/>
        <v>0</v>
      </c>
      <c r="AP505" s="155">
        <f t="shared" si="239"/>
        <v>0</v>
      </c>
    </row>
    <row r="506" spans="1:42" x14ac:dyDescent="0.2">
      <c r="A506" s="4">
        <f t="shared" si="234"/>
        <v>8</v>
      </c>
      <c r="B506" s="145">
        <f t="shared" si="231"/>
        <v>0</v>
      </c>
      <c r="C506" s="155">
        <f t="shared" ref="C506:AP506" si="240">LOOKUP(C494,$B$456:$AP$456,$B$457:$AP$457)*$B699/100</f>
        <v>0</v>
      </c>
      <c r="D506" s="155">
        <f t="shared" si="240"/>
        <v>0</v>
      </c>
      <c r="E506" s="155">
        <f t="shared" si="240"/>
        <v>0</v>
      </c>
      <c r="F506" s="155">
        <f t="shared" si="240"/>
        <v>0</v>
      </c>
      <c r="G506" s="155">
        <f t="shared" si="240"/>
        <v>0</v>
      </c>
      <c r="H506" s="155">
        <f t="shared" si="240"/>
        <v>0</v>
      </c>
      <c r="I506" s="155">
        <f t="shared" si="240"/>
        <v>0</v>
      </c>
      <c r="J506" s="155">
        <f t="shared" si="240"/>
        <v>0</v>
      </c>
      <c r="K506" s="155">
        <f t="shared" si="240"/>
        <v>0</v>
      </c>
      <c r="L506" s="155">
        <f t="shared" si="240"/>
        <v>0</v>
      </c>
      <c r="M506" s="155">
        <f t="shared" si="240"/>
        <v>0</v>
      </c>
      <c r="N506" s="155">
        <f t="shared" si="240"/>
        <v>0</v>
      </c>
      <c r="O506" s="155">
        <f t="shared" si="240"/>
        <v>0</v>
      </c>
      <c r="P506" s="155">
        <f t="shared" si="240"/>
        <v>0</v>
      </c>
      <c r="Q506" s="155">
        <f t="shared" si="240"/>
        <v>0</v>
      </c>
      <c r="R506" s="155">
        <f t="shared" si="240"/>
        <v>0</v>
      </c>
      <c r="S506" s="155">
        <f t="shared" si="240"/>
        <v>0</v>
      </c>
      <c r="T506" s="155">
        <f t="shared" si="240"/>
        <v>0</v>
      </c>
      <c r="U506" s="155">
        <f t="shared" si="240"/>
        <v>0</v>
      </c>
      <c r="V506" s="155">
        <f t="shared" si="240"/>
        <v>0</v>
      </c>
      <c r="W506" s="155">
        <f t="shared" si="240"/>
        <v>0</v>
      </c>
      <c r="X506" s="155">
        <f t="shared" si="240"/>
        <v>0</v>
      </c>
      <c r="Y506" s="155">
        <f t="shared" si="240"/>
        <v>0</v>
      </c>
      <c r="Z506" s="155">
        <f t="shared" si="240"/>
        <v>0</v>
      </c>
      <c r="AA506" s="155">
        <f t="shared" si="240"/>
        <v>0</v>
      </c>
      <c r="AB506" s="155">
        <f t="shared" si="240"/>
        <v>0</v>
      </c>
      <c r="AC506" s="155">
        <f t="shared" si="240"/>
        <v>0</v>
      </c>
      <c r="AD506" s="155">
        <f t="shared" si="240"/>
        <v>0</v>
      </c>
      <c r="AE506" s="155">
        <f t="shared" si="240"/>
        <v>0</v>
      </c>
      <c r="AF506" s="155">
        <f t="shared" si="240"/>
        <v>0</v>
      </c>
      <c r="AG506" s="155">
        <f t="shared" si="240"/>
        <v>0</v>
      </c>
      <c r="AH506" s="155">
        <f t="shared" si="240"/>
        <v>0</v>
      </c>
      <c r="AI506" s="155">
        <f t="shared" si="240"/>
        <v>0</v>
      </c>
      <c r="AJ506" s="155">
        <f t="shared" si="240"/>
        <v>0</v>
      </c>
      <c r="AK506" s="155">
        <f t="shared" si="240"/>
        <v>0</v>
      </c>
      <c r="AL506" s="155">
        <f t="shared" si="240"/>
        <v>0</v>
      </c>
      <c r="AM506" s="155">
        <f t="shared" si="240"/>
        <v>0</v>
      </c>
      <c r="AN506" s="155">
        <f t="shared" si="240"/>
        <v>0</v>
      </c>
      <c r="AO506" s="155">
        <f t="shared" si="240"/>
        <v>0</v>
      </c>
      <c r="AP506" s="155">
        <f t="shared" si="240"/>
        <v>0</v>
      </c>
    </row>
    <row r="507" spans="1:42" x14ac:dyDescent="0.2">
      <c r="A507" s="4">
        <f>A506+1</f>
        <v>9</v>
      </c>
      <c r="B507" s="145">
        <f t="shared" si="231"/>
        <v>0</v>
      </c>
      <c r="C507" s="155">
        <f t="shared" ref="C507:AP507" si="241">LOOKUP(C495,$B$456:$AP$456,$B$457:$AP$457)*$B700/100</f>
        <v>0</v>
      </c>
      <c r="D507" s="155">
        <f t="shared" si="241"/>
        <v>0</v>
      </c>
      <c r="E507" s="155">
        <f t="shared" si="241"/>
        <v>0</v>
      </c>
      <c r="F507" s="155">
        <f t="shared" si="241"/>
        <v>0</v>
      </c>
      <c r="G507" s="155">
        <f t="shared" si="241"/>
        <v>0</v>
      </c>
      <c r="H507" s="155">
        <f t="shared" si="241"/>
        <v>0</v>
      </c>
      <c r="I507" s="155">
        <f t="shared" si="241"/>
        <v>0</v>
      </c>
      <c r="J507" s="155">
        <f t="shared" si="241"/>
        <v>0</v>
      </c>
      <c r="K507" s="155">
        <f t="shared" si="241"/>
        <v>0</v>
      </c>
      <c r="L507" s="155">
        <f t="shared" si="241"/>
        <v>0</v>
      </c>
      <c r="M507" s="155">
        <f t="shared" si="241"/>
        <v>0</v>
      </c>
      <c r="N507" s="155">
        <f t="shared" si="241"/>
        <v>0</v>
      </c>
      <c r="O507" s="155">
        <f t="shared" si="241"/>
        <v>0</v>
      </c>
      <c r="P507" s="155">
        <f t="shared" si="241"/>
        <v>0</v>
      </c>
      <c r="Q507" s="155">
        <f t="shared" si="241"/>
        <v>0</v>
      </c>
      <c r="R507" s="155">
        <f t="shared" si="241"/>
        <v>0</v>
      </c>
      <c r="S507" s="155">
        <f t="shared" si="241"/>
        <v>0</v>
      </c>
      <c r="T507" s="155">
        <f t="shared" si="241"/>
        <v>0</v>
      </c>
      <c r="U507" s="155">
        <f t="shared" si="241"/>
        <v>0</v>
      </c>
      <c r="V507" s="155">
        <f t="shared" si="241"/>
        <v>0</v>
      </c>
      <c r="W507" s="155">
        <f t="shared" si="241"/>
        <v>0</v>
      </c>
      <c r="X507" s="155">
        <f t="shared" si="241"/>
        <v>0</v>
      </c>
      <c r="Y507" s="155">
        <f t="shared" si="241"/>
        <v>0</v>
      </c>
      <c r="Z507" s="155">
        <f t="shared" si="241"/>
        <v>0</v>
      </c>
      <c r="AA507" s="155">
        <f t="shared" si="241"/>
        <v>0</v>
      </c>
      <c r="AB507" s="155">
        <f t="shared" si="241"/>
        <v>0</v>
      </c>
      <c r="AC507" s="155">
        <f t="shared" si="241"/>
        <v>0</v>
      </c>
      <c r="AD507" s="155">
        <f t="shared" si="241"/>
        <v>0</v>
      </c>
      <c r="AE507" s="155">
        <f t="shared" si="241"/>
        <v>0</v>
      </c>
      <c r="AF507" s="155">
        <f t="shared" si="241"/>
        <v>0</v>
      </c>
      <c r="AG507" s="155">
        <f t="shared" si="241"/>
        <v>0</v>
      </c>
      <c r="AH507" s="155">
        <f t="shared" si="241"/>
        <v>0</v>
      </c>
      <c r="AI507" s="155">
        <f t="shared" si="241"/>
        <v>0</v>
      </c>
      <c r="AJ507" s="155">
        <f t="shared" si="241"/>
        <v>0</v>
      </c>
      <c r="AK507" s="155">
        <f t="shared" si="241"/>
        <v>0</v>
      </c>
      <c r="AL507" s="155">
        <f t="shared" si="241"/>
        <v>0</v>
      </c>
      <c r="AM507" s="155">
        <f t="shared" si="241"/>
        <v>0</v>
      </c>
      <c r="AN507" s="155">
        <f t="shared" si="241"/>
        <v>0</v>
      </c>
      <c r="AO507" s="155">
        <f t="shared" si="241"/>
        <v>0</v>
      </c>
      <c r="AP507" s="155">
        <f t="shared" si="241"/>
        <v>0</v>
      </c>
    </row>
    <row r="508" spans="1:42" x14ac:dyDescent="0.2">
      <c r="A508" s="4">
        <f t="shared" ref="A508" si="242">A507+1</f>
        <v>10</v>
      </c>
      <c r="B508" s="173">
        <f t="shared" si="231"/>
        <v>0</v>
      </c>
      <c r="C508" s="156">
        <f t="shared" ref="C508:AP508" si="243">LOOKUP(C496,$B$456:$AP$456,$B$457:$AP$457)*$B701/100</f>
        <v>0</v>
      </c>
      <c r="D508" s="156">
        <f t="shared" si="243"/>
        <v>0</v>
      </c>
      <c r="E508" s="156">
        <f t="shared" si="243"/>
        <v>0</v>
      </c>
      <c r="F508" s="156">
        <f t="shared" si="243"/>
        <v>0</v>
      </c>
      <c r="G508" s="156">
        <f t="shared" si="243"/>
        <v>0</v>
      </c>
      <c r="H508" s="156">
        <f t="shared" si="243"/>
        <v>0</v>
      </c>
      <c r="I508" s="156">
        <f t="shared" si="243"/>
        <v>0</v>
      </c>
      <c r="J508" s="156">
        <f t="shared" si="243"/>
        <v>0</v>
      </c>
      <c r="K508" s="156">
        <f t="shared" si="243"/>
        <v>0</v>
      </c>
      <c r="L508" s="156">
        <f t="shared" si="243"/>
        <v>0</v>
      </c>
      <c r="M508" s="156">
        <f t="shared" si="243"/>
        <v>0</v>
      </c>
      <c r="N508" s="156">
        <f t="shared" si="243"/>
        <v>0</v>
      </c>
      <c r="O508" s="156">
        <f t="shared" si="243"/>
        <v>0</v>
      </c>
      <c r="P508" s="156">
        <f t="shared" si="243"/>
        <v>0</v>
      </c>
      <c r="Q508" s="156">
        <f t="shared" si="243"/>
        <v>0</v>
      </c>
      <c r="R508" s="156">
        <f t="shared" si="243"/>
        <v>0</v>
      </c>
      <c r="S508" s="156">
        <f t="shared" si="243"/>
        <v>0</v>
      </c>
      <c r="T508" s="156">
        <f t="shared" si="243"/>
        <v>0</v>
      </c>
      <c r="U508" s="156">
        <f t="shared" si="243"/>
        <v>0</v>
      </c>
      <c r="V508" s="156">
        <f t="shared" si="243"/>
        <v>0</v>
      </c>
      <c r="W508" s="156">
        <f t="shared" si="243"/>
        <v>0</v>
      </c>
      <c r="X508" s="156">
        <f t="shared" si="243"/>
        <v>0</v>
      </c>
      <c r="Y508" s="156">
        <f t="shared" si="243"/>
        <v>0</v>
      </c>
      <c r="Z508" s="156">
        <f t="shared" si="243"/>
        <v>0</v>
      </c>
      <c r="AA508" s="156">
        <f t="shared" si="243"/>
        <v>0</v>
      </c>
      <c r="AB508" s="156">
        <f t="shared" si="243"/>
        <v>0</v>
      </c>
      <c r="AC508" s="156">
        <f t="shared" si="243"/>
        <v>0</v>
      </c>
      <c r="AD508" s="156">
        <f t="shared" si="243"/>
        <v>0</v>
      </c>
      <c r="AE508" s="156">
        <f t="shared" si="243"/>
        <v>0</v>
      </c>
      <c r="AF508" s="156">
        <f t="shared" si="243"/>
        <v>0</v>
      </c>
      <c r="AG508" s="156">
        <f t="shared" si="243"/>
        <v>0</v>
      </c>
      <c r="AH508" s="156">
        <f t="shared" si="243"/>
        <v>0</v>
      </c>
      <c r="AI508" s="156">
        <f t="shared" si="243"/>
        <v>0</v>
      </c>
      <c r="AJ508" s="156">
        <f t="shared" si="243"/>
        <v>0</v>
      </c>
      <c r="AK508" s="156">
        <f t="shared" si="243"/>
        <v>0</v>
      </c>
      <c r="AL508" s="156">
        <f t="shared" si="243"/>
        <v>0</v>
      </c>
      <c r="AM508" s="156">
        <f t="shared" si="243"/>
        <v>0</v>
      </c>
      <c r="AN508" s="156">
        <f t="shared" si="243"/>
        <v>0</v>
      </c>
      <c r="AO508" s="156">
        <f t="shared" si="243"/>
        <v>0</v>
      </c>
      <c r="AP508" s="156">
        <f t="shared" si="243"/>
        <v>0</v>
      </c>
    </row>
    <row r="509" spans="1:42" x14ac:dyDescent="0.2">
      <c r="A509" s="24" t="s">
        <v>13</v>
      </c>
      <c r="B509" s="14"/>
      <c r="C509" s="155">
        <f>SUM(C499:C508)</f>
        <v>0</v>
      </c>
      <c r="D509" s="155">
        <f t="shared" ref="D509:AP509" si="244">SUM(D499:D508)</f>
        <v>0</v>
      </c>
      <c r="E509" s="155">
        <f t="shared" si="244"/>
        <v>0</v>
      </c>
      <c r="F509" s="155">
        <f t="shared" si="244"/>
        <v>0</v>
      </c>
      <c r="G509" s="155">
        <f t="shared" si="244"/>
        <v>0</v>
      </c>
      <c r="H509" s="155">
        <f t="shared" si="244"/>
        <v>0</v>
      </c>
      <c r="I509" s="155">
        <f t="shared" si="244"/>
        <v>0</v>
      </c>
      <c r="J509" s="155">
        <f t="shared" si="244"/>
        <v>0</v>
      </c>
      <c r="K509" s="155">
        <f t="shared" si="244"/>
        <v>0</v>
      </c>
      <c r="L509" s="155">
        <f t="shared" si="244"/>
        <v>0</v>
      </c>
      <c r="M509" s="155">
        <f t="shared" si="244"/>
        <v>0</v>
      </c>
      <c r="N509" s="155">
        <f t="shared" si="244"/>
        <v>0</v>
      </c>
      <c r="O509" s="155">
        <f t="shared" si="244"/>
        <v>0</v>
      </c>
      <c r="P509" s="155">
        <f t="shared" si="244"/>
        <v>0</v>
      </c>
      <c r="Q509" s="155">
        <f t="shared" si="244"/>
        <v>0</v>
      </c>
      <c r="R509" s="155">
        <f t="shared" si="244"/>
        <v>0</v>
      </c>
      <c r="S509" s="155">
        <f t="shared" si="244"/>
        <v>0</v>
      </c>
      <c r="T509" s="155">
        <f t="shared" si="244"/>
        <v>0</v>
      </c>
      <c r="U509" s="155">
        <f t="shared" si="244"/>
        <v>0</v>
      </c>
      <c r="V509" s="155">
        <f t="shared" si="244"/>
        <v>0</v>
      </c>
      <c r="W509" s="155">
        <f t="shared" si="244"/>
        <v>0</v>
      </c>
      <c r="X509" s="155">
        <f t="shared" si="244"/>
        <v>0</v>
      </c>
      <c r="Y509" s="155">
        <f t="shared" si="244"/>
        <v>0</v>
      </c>
      <c r="Z509" s="155">
        <f t="shared" si="244"/>
        <v>0</v>
      </c>
      <c r="AA509" s="155">
        <f t="shared" si="244"/>
        <v>0</v>
      </c>
      <c r="AB509" s="155">
        <f t="shared" si="244"/>
        <v>0</v>
      </c>
      <c r="AC509" s="155">
        <f t="shared" si="244"/>
        <v>0</v>
      </c>
      <c r="AD509" s="155">
        <f t="shared" si="244"/>
        <v>0</v>
      </c>
      <c r="AE509" s="155">
        <f t="shared" si="244"/>
        <v>0</v>
      </c>
      <c r="AF509" s="155">
        <f t="shared" si="244"/>
        <v>0</v>
      </c>
      <c r="AG509" s="155">
        <f t="shared" si="244"/>
        <v>0</v>
      </c>
      <c r="AH509" s="155">
        <f t="shared" si="244"/>
        <v>0</v>
      </c>
      <c r="AI509" s="155">
        <f t="shared" si="244"/>
        <v>0</v>
      </c>
      <c r="AJ509" s="155">
        <f t="shared" si="244"/>
        <v>0</v>
      </c>
      <c r="AK509" s="155">
        <f t="shared" si="244"/>
        <v>0</v>
      </c>
      <c r="AL509" s="155">
        <f t="shared" si="244"/>
        <v>0</v>
      </c>
      <c r="AM509" s="155">
        <f t="shared" si="244"/>
        <v>0</v>
      </c>
      <c r="AN509" s="155">
        <f t="shared" si="244"/>
        <v>0</v>
      </c>
      <c r="AO509" s="155">
        <f t="shared" si="244"/>
        <v>0</v>
      </c>
      <c r="AP509" s="155">
        <f t="shared" si="244"/>
        <v>0</v>
      </c>
    </row>
    <row r="510" spans="1:42" x14ac:dyDescent="0.2">
      <c r="A510" s="24"/>
      <c r="B510" s="14"/>
      <c r="C510" s="155"/>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row>
    <row r="511" spans="1:42" x14ac:dyDescent="0.2">
      <c r="A511" s="21" t="s">
        <v>82</v>
      </c>
      <c r="C511" s="155"/>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row>
    <row r="512" spans="1:42" x14ac:dyDescent="0.2">
      <c r="A512" s="87" t="s">
        <v>67</v>
      </c>
      <c r="C512" s="155"/>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row>
    <row r="513" spans="1:42" x14ac:dyDescent="0.2">
      <c r="A513" s="4">
        <v>1</v>
      </c>
      <c r="C513" s="155">
        <f t="shared" ref="C513:AP513" si="245">C374</f>
        <v>0</v>
      </c>
      <c r="D513" s="155">
        <f t="shared" si="245"/>
        <v>0</v>
      </c>
      <c r="E513" s="155">
        <f t="shared" si="245"/>
        <v>0</v>
      </c>
      <c r="F513" s="155">
        <f t="shared" si="245"/>
        <v>0</v>
      </c>
      <c r="G513" s="155">
        <f t="shared" si="245"/>
        <v>0</v>
      </c>
      <c r="H513" s="155">
        <f t="shared" si="245"/>
        <v>0</v>
      </c>
      <c r="I513" s="155">
        <f t="shared" si="245"/>
        <v>0</v>
      </c>
      <c r="J513" s="155">
        <f t="shared" si="245"/>
        <v>0</v>
      </c>
      <c r="K513" s="155">
        <f t="shared" si="245"/>
        <v>0</v>
      </c>
      <c r="L513" s="155">
        <f t="shared" si="245"/>
        <v>0</v>
      </c>
      <c r="M513" s="155">
        <f t="shared" si="245"/>
        <v>0</v>
      </c>
      <c r="N513" s="155">
        <f t="shared" si="245"/>
        <v>0</v>
      </c>
      <c r="O513" s="155">
        <f t="shared" si="245"/>
        <v>0</v>
      </c>
      <c r="P513" s="155">
        <f t="shared" si="245"/>
        <v>0</v>
      </c>
      <c r="Q513" s="155">
        <f t="shared" si="245"/>
        <v>0</v>
      </c>
      <c r="R513" s="155">
        <f t="shared" si="245"/>
        <v>0</v>
      </c>
      <c r="S513" s="155">
        <f t="shared" si="245"/>
        <v>0</v>
      </c>
      <c r="T513" s="155">
        <f t="shared" si="245"/>
        <v>0</v>
      </c>
      <c r="U513" s="155">
        <f t="shared" si="245"/>
        <v>0</v>
      </c>
      <c r="V513" s="155">
        <f t="shared" si="245"/>
        <v>0</v>
      </c>
      <c r="W513" s="155">
        <f t="shared" si="245"/>
        <v>0</v>
      </c>
      <c r="X513" s="155">
        <f t="shared" si="245"/>
        <v>0</v>
      </c>
      <c r="Y513" s="155">
        <f t="shared" si="245"/>
        <v>0</v>
      </c>
      <c r="Z513" s="155">
        <f t="shared" si="245"/>
        <v>0</v>
      </c>
      <c r="AA513" s="155">
        <f t="shared" si="245"/>
        <v>0</v>
      </c>
      <c r="AB513" s="155">
        <f t="shared" si="245"/>
        <v>0</v>
      </c>
      <c r="AC513" s="155">
        <f t="shared" si="245"/>
        <v>0</v>
      </c>
      <c r="AD513" s="155">
        <f t="shared" si="245"/>
        <v>0</v>
      </c>
      <c r="AE513" s="155">
        <f t="shared" si="245"/>
        <v>0</v>
      </c>
      <c r="AF513" s="155">
        <f t="shared" si="245"/>
        <v>0</v>
      </c>
      <c r="AG513" s="155">
        <f t="shared" si="245"/>
        <v>0</v>
      </c>
      <c r="AH513" s="155">
        <f t="shared" si="245"/>
        <v>0</v>
      </c>
      <c r="AI513" s="155">
        <f t="shared" si="245"/>
        <v>0</v>
      </c>
      <c r="AJ513" s="155">
        <f t="shared" si="245"/>
        <v>0</v>
      </c>
      <c r="AK513" s="155">
        <f t="shared" si="245"/>
        <v>0</v>
      </c>
      <c r="AL513" s="155">
        <f t="shared" si="245"/>
        <v>0</v>
      </c>
      <c r="AM513" s="155">
        <f t="shared" si="245"/>
        <v>0</v>
      </c>
      <c r="AN513" s="155">
        <f t="shared" si="245"/>
        <v>0</v>
      </c>
      <c r="AO513" s="155">
        <f t="shared" si="245"/>
        <v>0</v>
      </c>
      <c r="AP513" s="155">
        <f t="shared" si="245"/>
        <v>0</v>
      </c>
    </row>
    <row r="514" spans="1:42" x14ac:dyDescent="0.2">
      <c r="A514" s="4">
        <f>A513+1</f>
        <v>2</v>
      </c>
      <c r="C514" s="155">
        <f t="shared" ref="C514:AP514" si="246">C375</f>
        <v>0</v>
      </c>
      <c r="D514" s="155">
        <f t="shared" si="246"/>
        <v>0</v>
      </c>
      <c r="E514" s="155">
        <f t="shared" si="246"/>
        <v>0</v>
      </c>
      <c r="F514" s="155">
        <f t="shared" si="246"/>
        <v>0</v>
      </c>
      <c r="G514" s="155">
        <f t="shared" si="246"/>
        <v>0</v>
      </c>
      <c r="H514" s="155">
        <f t="shared" si="246"/>
        <v>0</v>
      </c>
      <c r="I514" s="155">
        <f t="shared" si="246"/>
        <v>0</v>
      </c>
      <c r="J514" s="155">
        <f t="shared" si="246"/>
        <v>0</v>
      </c>
      <c r="K514" s="155">
        <f t="shared" si="246"/>
        <v>0</v>
      </c>
      <c r="L514" s="155">
        <f t="shared" si="246"/>
        <v>0</v>
      </c>
      <c r="M514" s="155">
        <f t="shared" si="246"/>
        <v>0</v>
      </c>
      <c r="N514" s="155">
        <f t="shared" si="246"/>
        <v>0</v>
      </c>
      <c r="O514" s="155">
        <f t="shared" si="246"/>
        <v>0</v>
      </c>
      <c r="P514" s="155">
        <f t="shared" si="246"/>
        <v>0</v>
      </c>
      <c r="Q514" s="155">
        <f t="shared" si="246"/>
        <v>0</v>
      </c>
      <c r="R514" s="155">
        <f t="shared" si="246"/>
        <v>0</v>
      </c>
      <c r="S514" s="155">
        <f t="shared" si="246"/>
        <v>0</v>
      </c>
      <c r="T514" s="155">
        <f t="shared" si="246"/>
        <v>0</v>
      </c>
      <c r="U514" s="155">
        <f t="shared" si="246"/>
        <v>0</v>
      </c>
      <c r="V514" s="155">
        <f t="shared" si="246"/>
        <v>0</v>
      </c>
      <c r="W514" s="155">
        <f t="shared" si="246"/>
        <v>0</v>
      </c>
      <c r="X514" s="155">
        <f t="shared" si="246"/>
        <v>0</v>
      </c>
      <c r="Y514" s="155">
        <f t="shared" si="246"/>
        <v>0</v>
      </c>
      <c r="Z514" s="155">
        <f t="shared" si="246"/>
        <v>0</v>
      </c>
      <c r="AA514" s="155">
        <f t="shared" si="246"/>
        <v>0</v>
      </c>
      <c r="AB514" s="155">
        <f t="shared" si="246"/>
        <v>0</v>
      </c>
      <c r="AC514" s="155">
        <f t="shared" si="246"/>
        <v>0</v>
      </c>
      <c r="AD514" s="155">
        <f t="shared" si="246"/>
        <v>0</v>
      </c>
      <c r="AE514" s="155">
        <f t="shared" si="246"/>
        <v>0</v>
      </c>
      <c r="AF514" s="155">
        <f t="shared" si="246"/>
        <v>0</v>
      </c>
      <c r="AG514" s="155">
        <f t="shared" si="246"/>
        <v>0</v>
      </c>
      <c r="AH514" s="155">
        <f t="shared" si="246"/>
        <v>0</v>
      </c>
      <c r="AI514" s="155">
        <f t="shared" si="246"/>
        <v>0</v>
      </c>
      <c r="AJ514" s="155">
        <f t="shared" si="246"/>
        <v>0</v>
      </c>
      <c r="AK514" s="155">
        <f t="shared" si="246"/>
        <v>0</v>
      </c>
      <c r="AL514" s="155">
        <f t="shared" si="246"/>
        <v>0</v>
      </c>
      <c r="AM514" s="155">
        <f t="shared" si="246"/>
        <v>0</v>
      </c>
      <c r="AN514" s="155">
        <f t="shared" si="246"/>
        <v>0</v>
      </c>
      <c r="AO514" s="155">
        <f t="shared" si="246"/>
        <v>0</v>
      </c>
      <c r="AP514" s="155">
        <f t="shared" si="246"/>
        <v>0</v>
      </c>
    </row>
    <row r="515" spans="1:42" x14ac:dyDescent="0.2">
      <c r="A515" s="4">
        <f t="shared" ref="A515:A520" si="247">A514+1</f>
        <v>3</v>
      </c>
      <c r="C515" s="155">
        <f t="shared" ref="C515:AP515" si="248">C376</f>
        <v>0</v>
      </c>
      <c r="D515" s="155">
        <f t="shared" si="248"/>
        <v>0</v>
      </c>
      <c r="E515" s="155">
        <f t="shared" si="248"/>
        <v>0</v>
      </c>
      <c r="F515" s="155">
        <f t="shared" si="248"/>
        <v>0</v>
      </c>
      <c r="G515" s="155">
        <f t="shared" si="248"/>
        <v>0</v>
      </c>
      <c r="H515" s="155">
        <f t="shared" si="248"/>
        <v>0</v>
      </c>
      <c r="I515" s="155">
        <f t="shared" si="248"/>
        <v>0</v>
      </c>
      <c r="J515" s="155">
        <f t="shared" si="248"/>
        <v>0</v>
      </c>
      <c r="K515" s="155">
        <f t="shared" si="248"/>
        <v>0</v>
      </c>
      <c r="L515" s="155">
        <f t="shared" si="248"/>
        <v>0</v>
      </c>
      <c r="M515" s="155">
        <f t="shared" si="248"/>
        <v>0</v>
      </c>
      <c r="N515" s="155">
        <f t="shared" si="248"/>
        <v>0</v>
      </c>
      <c r="O515" s="155">
        <f t="shared" si="248"/>
        <v>0</v>
      </c>
      <c r="P515" s="155">
        <f t="shared" si="248"/>
        <v>0</v>
      </c>
      <c r="Q515" s="155">
        <f t="shared" si="248"/>
        <v>0</v>
      </c>
      <c r="R515" s="155">
        <f t="shared" si="248"/>
        <v>0</v>
      </c>
      <c r="S515" s="155">
        <f t="shared" si="248"/>
        <v>0</v>
      </c>
      <c r="T515" s="155">
        <f t="shared" si="248"/>
        <v>0</v>
      </c>
      <c r="U515" s="155">
        <f t="shared" si="248"/>
        <v>0</v>
      </c>
      <c r="V515" s="155">
        <f t="shared" si="248"/>
        <v>0</v>
      </c>
      <c r="W515" s="155">
        <f t="shared" si="248"/>
        <v>0</v>
      </c>
      <c r="X515" s="155">
        <f t="shared" si="248"/>
        <v>0</v>
      </c>
      <c r="Y515" s="155">
        <f t="shared" si="248"/>
        <v>0</v>
      </c>
      <c r="Z515" s="155">
        <f t="shared" si="248"/>
        <v>0</v>
      </c>
      <c r="AA515" s="155">
        <f t="shared" si="248"/>
        <v>0</v>
      </c>
      <c r="AB515" s="155">
        <f t="shared" si="248"/>
        <v>0</v>
      </c>
      <c r="AC515" s="155">
        <f t="shared" si="248"/>
        <v>0</v>
      </c>
      <c r="AD515" s="155">
        <f t="shared" si="248"/>
        <v>0</v>
      </c>
      <c r="AE515" s="155">
        <f t="shared" si="248"/>
        <v>0</v>
      </c>
      <c r="AF515" s="155">
        <f t="shared" si="248"/>
        <v>0</v>
      </c>
      <c r="AG515" s="155">
        <f t="shared" si="248"/>
        <v>0</v>
      </c>
      <c r="AH515" s="155">
        <f t="shared" si="248"/>
        <v>0</v>
      </c>
      <c r="AI515" s="155">
        <f t="shared" si="248"/>
        <v>0</v>
      </c>
      <c r="AJ515" s="155">
        <f t="shared" si="248"/>
        <v>0</v>
      </c>
      <c r="AK515" s="155">
        <f t="shared" si="248"/>
        <v>0</v>
      </c>
      <c r="AL515" s="155">
        <f t="shared" si="248"/>
        <v>0</v>
      </c>
      <c r="AM515" s="155">
        <f t="shared" si="248"/>
        <v>0</v>
      </c>
      <c r="AN515" s="155">
        <f t="shared" si="248"/>
        <v>0</v>
      </c>
      <c r="AO515" s="155">
        <f t="shared" si="248"/>
        <v>0</v>
      </c>
      <c r="AP515" s="155">
        <f t="shared" si="248"/>
        <v>0</v>
      </c>
    </row>
    <row r="516" spans="1:42" x14ac:dyDescent="0.2">
      <c r="A516" s="4">
        <f t="shared" si="247"/>
        <v>4</v>
      </c>
      <c r="C516" s="155">
        <f t="shared" ref="C516:AP516" si="249">C377</f>
        <v>0</v>
      </c>
      <c r="D516" s="155">
        <f t="shared" si="249"/>
        <v>0</v>
      </c>
      <c r="E516" s="155">
        <f t="shared" si="249"/>
        <v>0</v>
      </c>
      <c r="F516" s="155">
        <f t="shared" si="249"/>
        <v>0</v>
      </c>
      <c r="G516" s="155">
        <f t="shared" si="249"/>
        <v>0</v>
      </c>
      <c r="H516" s="155">
        <f t="shared" si="249"/>
        <v>0</v>
      </c>
      <c r="I516" s="155">
        <f t="shared" si="249"/>
        <v>0</v>
      </c>
      <c r="J516" s="155">
        <f t="shared" si="249"/>
        <v>0</v>
      </c>
      <c r="K516" s="155">
        <f t="shared" si="249"/>
        <v>0</v>
      </c>
      <c r="L516" s="155">
        <f t="shared" si="249"/>
        <v>0</v>
      </c>
      <c r="M516" s="155">
        <f t="shared" si="249"/>
        <v>0</v>
      </c>
      <c r="N516" s="155">
        <f t="shared" si="249"/>
        <v>0</v>
      </c>
      <c r="O516" s="155">
        <f t="shared" si="249"/>
        <v>0</v>
      </c>
      <c r="P516" s="155">
        <f t="shared" si="249"/>
        <v>0</v>
      </c>
      <c r="Q516" s="155">
        <f t="shared" si="249"/>
        <v>0</v>
      </c>
      <c r="R516" s="155">
        <f t="shared" si="249"/>
        <v>0</v>
      </c>
      <c r="S516" s="155">
        <f t="shared" si="249"/>
        <v>0</v>
      </c>
      <c r="T516" s="155">
        <f t="shared" si="249"/>
        <v>0</v>
      </c>
      <c r="U516" s="155">
        <f t="shared" si="249"/>
        <v>0</v>
      </c>
      <c r="V516" s="155">
        <f t="shared" si="249"/>
        <v>0</v>
      </c>
      <c r="W516" s="155">
        <f t="shared" si="249"/>
        <v>0</v>
      </c>
      <c r="X516" s="155">
        <f t="shared" si="249"/>
        <v>0</v>
      </c>
      <c r="Y516" s="155">
        <f t="shared" si="249"/>
        <v>0</v>
      </c>
      <c r="Z516" s="155">
        <f t="shared" si="249"/>
        <v>0</v>
      </c>
      <c r="AA516" s="155">
        <f t="shared" si="249"/>
        <v>0</v>
      </c>
      <c r="AB516" s="155">
        <f t="shared" si="249"/>
        <v>0</v>
      </c>
      <c r="AC516" s="155">
        <f t="shared" si="249"/>
        <v>0</v>
      </c>
      <c r="AD516" s="155">
        <f t="shared" si="249"/>
        <v>0</v>
      </c>
      <c r="AE516" s="155">
        <f t="shared" si="249"/>
        <v>0</v>
      </c>
      <c r="AF516" s="155">
        <f t="shared" si="249"/>
        <v>0</v>
      </c>
      <c r="AG516" s="155">
        <f t="shared" si="249"/>
        <v>0</v>
      </c>
      <c r="AH516" s="155">
        <f t="shared" si="249"/>
        <v>0</v>
      </c>
      <c r="AI516" s="155">
        <f t="shared" si="249"/>
        <v>0</v>
      </c>
      <c r="AJ516" s="155">
        <f t="shared" si="249"/>
        <v>0</v>
      </c>
      <c r="AK516" s="155">
        <f t="shared" si="249"/>
        <v>0</v>
      </c>
      <c r="AL516" s="155">
        <f t="shared" si="249"/>
        <v>0</v>
      </c>
      <c r="AM516" s="155">
        <f t="shared" si="249"/>
        <v>0</v>
      </c>
      <c r="AN516" s="155">
        <f t="shared" si="249"/>
        <v>0</v>
      </c>
      <c r="AO516" s="155">
        <f t="shared" si="249"/>
        <v>0</v>
      </c>
      <c r="AP516" s="155">
        <f t="shared" si="249"/>
        <v>0</v>
      </c>
    </row>
    <row r="517" spans="1:42" x14ac:dyDescent="0.2">
      <c r="A517" s="4">
        <f t="shared" si="247"/>
        <v>5</v>
      </c>
      <c r="C517" s="155">
        <f t="shared" ref="C517:AP517" si="250">C378</f>
        <v>0</v>
      </c>
      <c r="D517" s="155">
        <f t="shared" si="250"/>
        <v>0</v>
      </c>
      <c r="E517" s="155">
        <f t="shared" si="250"/>
        <v>0</v>
      </c>
      <c r="F517" s="155">
        <f t="shared" si="250"/>
        <v>0</v>
      </c>
      <c r="G517" s="155">
        <f t="shared" si="250"/>
        <v>0</v>
      </c>
      <c r="H517" s="155">
        <f t="shared" si="250"/>
        <v>0</v>
      </c>
      <c r="I517" s="155">
        <f t="shared" si="250"/>
        <v>0</v>
      </c>
      <c r="J517" s="155">
        <f t="shared" si="250"/>
        <v>0</v>
      </c>
      <c r="K517" s="155">
        <f t="shared" si="250"/>
        <v>0</v>
      </c>
      <c r="L517" s="155">
        <f t="shared" si="250"/>
        <v>0</v>
      </c>
      <c r="M517" s="155">
        <f t="shared" si="250"/>
        <v>0</v>
      </c>
      <c r="N517" s="155">
        <f t="shared" si="250"/>
        <v>0</v>
      </c>
      <c r="O517" s="155">
        <f t="shared" si="250"/>
        <v>0</v>
      </c>
      <c r="P517" s="155">
        <f t="shared" si="250"/>
        <v>0</v>
      </c>
      <c r="Q517" s="155">
        <f t="shared" si="250"/>
        <v>0</v>
      </c>
      <c r="R517" s="155">
        <f t="shared" si="250"/>
        <v>0</v>
      </c>
      <c r="S517" s="155">
        <f t="shared" si="250"/>
        <v>0</v>
      </c>
      <c r="T517" s="155">
        <f t="shared" si="250"/>
        <v>0</v>
      </c>
      <c r="U517" s="155">
        <f t="shared" si="250"/>
        <v>0</v>
      </c>
      <c r="V517" s="155">
        <f t="shared" si="250"/>
        <v>0</v>
      </c>
      <c r="W517" s="155">
        <f t="shared" si="250"/>
        <v>0</v>
      </c>
      <c r="X517" s="155">
        <f t="shared" si="250"/>
        <v>0</v>
      </c>
      <c r="Y517" s="155">
        <f t="shared" si="250"/>
        <v>0</v>
      </c>
      <c r="Z517" s="155">
        <f t="shared" si="250"/>
        <v>0</v>
      </c>
      <c r="AA517" s="155">
        <f t="shared" si="250"/>
        <v>0</v>
      </c>
      <c r="AB517" s="155">
        <f t="shared" si="250"/>
        <v>0</v>
      </c>
      <c r="AC517" s="155">
        <f t="shared" si="250"/>
        <v>0</v>
      </c>
      <c r="AD517" s="155">
        <f t="shared" si="250"/>
        <v>0</v>
      </c>
      <c r="AE517" s="155">
        <f t="shared" si="250"/>
        <v>0</v>
      </c>
      <c r="AF517" s="155">
        <f t="shared" si="250"/>
        <v>0</v>
      </c>
      <c r="AG517" s="155">
        <f t="shared" si="250"/>
        <v>0</v>
      </c>
      <c r="AH517" s="155">
        <f t="shared" si="250"/>
        <v>0</v>
      </c>
      <c r="AI517" s="155">
        <f t="shared" si="250"/>
        <v>0</v>
      </c>
      <c r="AJ517" s="155">
        <f t="shared" si="250"/>
        <v>0</v>
      </c>
      <c r="AK517" s="155">
        <f t="shared" si="250"/>
        <v>0</v>
      </c>
      <c r="AL517" s="155">
        <f t="shared" si="250"/>
        <v>0</v>
      </c>
      <c r="AM517" s="155">
        <f t="shared" si="250"/>
        <v>0</v>
      </c>
      <c r="AN517" s="155">
        <f t="shared" si="250"/>
        <v>0</v>
      </c>
      <c r="AO517" s="155">
        <f t="shared" si="250"/>
        <v>0</v>
      </c>
      <c r="AP517" s="155">
        <f t="shared" si="250"/>
        <v>0</v>
      </c>
    </row>
    <row r="518" spans="1:42" x14ac:dyDescent="0.2">
      <c r="A518" s="4">
        <f t="shared" si="247"/>
        <v>6</v>
      </c>
      <c r="C518" s="155">
        <f t="shared" ref="C518:AP518" si="251">C379</f>
        <v>0</v>
      </c>
      <c r="D518" s="155">
        <f t="shared" si="251"/>
        <v>0</v>
      </c>
      <c r="E518" s="155">
        <f t="shared" si="251"/>
        <v>0</v>
      </c>
      <c r="F518" s="155">
        <f t="shared" si="251"/>
        <v>0</v>
      </c>
      <c r="G518" s="155">
        <f t="shared" si="251"/>
        <v>0</v>
      </c>
      <c r="H518" s="155">
        <f t="shared" si="251"/>
        <v>0</v>
      </c>
      <c r="I518" s="155">
        <f t="shared" si="251"/>
        <v>0</v>
      </c>
      <c r="J518" s="155">
        <f t="shared" si="251"/>
        <v>0</v>
      </c>
      <c r="K518" s="155">
        <f t="shared" si="251"/>
        <v>0</v>
      </c>
      <c r="L518" s="155">
        <f t="shared" si="251"/>
        <v>0</v>
      </c>
      <c r="M518" s="155">
        <f t="shared" si="251"/>
        <v>0</v>
      </c>
      <c r="N518" s="155">
        <f t="shared" si="251"/>
        <v>0</v>
      </c>
      <c r="O518" s="155">
        <f t="shared" si="251"/>
        <v>0</v>
      </c>
      <c r="P518" s="155">
        <f t="shared" si="251"/>
        <v>0</v>
      </c>
      <c r="Q518" s="155">
        <f t="shared" si="251"/>
        <v>0</v>
      </c>
      <c r="R518" s="155">
        <f t="shared" si="251"/>
        <v>0</v>
      </c>
      <c r="S518" s="155">
        <f t="shared" si="251"/>
        <v>0</v>
      </c>
      <c r="T518" s="155">
        <f t="shared" si="251"/>
        <v>0</v>
      </c>
      <c r="U518" s="155">
        <f t="shared" si="251"/>
        <v>0</v>
      </c>
      <c r="V518" s="155">
        <f t="shared" si="251"/>
        <v>0</v>
      </c>
      <c r="W518" s="155">
        <f t="shared" si="251"/>
        <v>0</v>
      </c>
      <c r="X518" s="155">
        <f t="shared" si="251"/>
        <v>0</v>
      </c>
      <c r="Y518" s="155">
        <f t="shared" si="251"/>
        <v>0</v>
      </c>
      <c r="Z518" s="155">
        <f t="shared" si="251"/>
        <v>0</v>
      </c>
      <c r="AA518" s="155">
        <f t="shared" si="251"/>
        <v>0</v>
      </c>
      <c r="AB518" s="155">
        <f t="shared" si="251"/>
        <v>0</v>
      </c>
      <c r="AC518" s="155">
        <f t="shared" si="251"/>
        <v>0</v>
      </c>
      <c r="AD518" s="155">
        <f t="shared" si="251"/>
        <v>0</v>
      </c>
      <c r="AE518" s="155">
        <f t="shared" si="251"/>
        <v>0</v>
      </c>
      <c r="AF518" s="155">
        <f t="shared" si="251"/>
        <v>0</v>
      </c>
      <c r="AG518" s="155">
        <f t="shared" si="251"/>
        <v>0</v>
      </c>
      <c r="AH518" s="155">
        <f t="shared" si="251"/>
        <v>0</v>
      </c>
      <c r="AI518" s="155">
        <f t="shared" si="251"/>
        <v>0</v>
      </c>
      <c r="AJ518" s="155">
        <f t="shared" si="251"/>
        <v>0</v>
      </c>
      <c r="AK518" s="155">
        <f t="shared" si="251"/>
        <v>0</v>
      </c>
      <c r="AL518" s="155">
        <f t="shared" si="251"/>
        <v>0</v>
      </c>
      <c r="AM518" s="155">
        <f t="shared" si="251"/>
        <v>0</v>
      </c>
      <c r="AN518" s="155">
        <f t="shared" si="251"/>
        <v>0</v>
      </c>
      <c r="AO518" s="155">
        <f t="shared" si="251"/>
        <v>0</v>
      </c>
      <c r="AP518" s="155">
        <f t="shared" si="251"/>
        <v>0</v>
      </c>
    </row>
    <row r="519" spans="1:42" x14ac:dyDescent="0.2">
      <c r="A519" s="4">
        <f t="shared" si="247"/>
        <v>7</v>
      </c>
      <c r="C519" s="155">
        <f t="shared" ref="C519:AP519" si="252">C380</f>
        <v>0</v>
      </c>
      <c r="D519" s="155">
        <f t="shared" si="252"/>
        <v>0</v>
      </c>
      <c r="E519" s="155">
        <f t="shared" si="252"/>
        <v>0</v>
      </c>
      <c r="F519" s="155">
        <f t="shared" si="252"/>
        <v>0</v>
      </c>
      <c r="G519" s="155">
        <f t="shared" si="252"/>
        <v>0</v>
      </c>
      <c r="H519" s="155">
        <f t="shared" si="252"/>
        <v>0</v>
      </c>
      <c r="I519" s="155">
        <f t="shared" si="252"/>
        <v>0</v>
      </c>
      <c r="J519" s="155">
        <f t="shared" si="252"/>
        <v>0</v>
      </c>
      <c r="K519" s="155">
        <f t="shared" si="252"/>
        <v>0</v>
      </c>
      <c r="L519" s="155">
        <f t="shared" si="252"/>
        <v>0</v>
      </c>
      <c r="M519" s="155">
        <f t="shared" si="252"/>
        <v>0</v>
      </c>
      <c r="N519" s="155">
        <f t="shared" si="252"/>
        <v>0</v>
      </c>
      <c r="O519" s="155">
        <f t="shared" si="252"/>
        <v>0</v>
      </c>
      <c r="P519" s="155">
        <f t="shared" si="252"/>
        <v>0</v>
      </c>
      <c r="Q519" s="155">
        <f t="shared" si="252"/>
        <v>0</v>
      </c>
      <c r="R519" s="155">
        <f t="shared" si="252"/>
        <v>0</v>
      </c>
      <c r="S519" s="155">
        <f t="shared" si="252"/>
        <v>0</v>
      </c>
      <c r="T519" s="155">
        <f t="shared" si="252"/>
        <v>0</v>
      </c>
      <c r="U519" s="155">
        <f t="shared" si="252"/>
        <v>0</v>
      </c>
      <c r="V519" s="155">
        <f t="shared" si="252"/>
        <v>0</v>
      </c>
      <c r="W519" s="155">
        <f t="shared" si="252"/>
        <v>0</v>
      </c>
      <c r="X519" s="155">
        <f t="shared" si="252"/>
        <v>0</v>
      </c>
      <c r="Y519" s="155">
        <f t="shared" si="252"/>
        <v>0</v>
      </c>
      <c r="Z519" s="155">
        <f t="shared" si="252"/>
        <v>0</v>
      </c>
      <c r="AA519" s="155">
        <f t="shared" si="252"/>
        <v>0</v>
      </c>
      <c r="AB519" s="155">
        <f t="shared" si="252"/>
        <v>0</v>
      </c>
      <c r="AC519" s="155">
        <f t="shared" si="252"/>
        <v>0</v>
      </c>
      <c r="AD519" s="155">
        <f t="shared" si="252"/>
        <v>0</v>
      </c>
      <c r="AE519" s="155">
        <f t="shared" si="252"/>
        <v>0</v>
      </c>
      <c r="AF519" s="155">
        <f t="shared" si="252"/>
        <v>0</v>
      </c>
      <c r="AG519" s="155">
        <f t="shared" si="252"/>
        <v>0</v>
      </c>
      <c r="AH519" s="155">
        <f t="shared" si="252"/>
        <v>0</v>
      </c>
      <c r="AI519" s="155">
        <f t="shared" si="252"/>
        <v>0</v>
      </c>
      <c r="AJ519" s="155">
        <f t="shared" si="252"/>
        <v>0</v>
      </c>
      <c r="AK519" s="155">
        <f t="shared" si="252"/>
        <v>0</v>
      </c>
      <c r="AL519" s="155">
        <f t="shared" si="252"/>
        <v>0</v>
      </c>
      <c r="AM519" s="155">
        <f t="shared" si="252"/>
        <v>0</v>
      </c>
      <c r="AN519" s="155">
        <f t="shared" si="252"/>
        <v>0</v>
      </c>
      <c r="AO519" s="155">
        <f t="shared" si="252"/>
        <v>0</v>
      </c>
      <c r="AP519" s="155">
        <f t="shared" si="252"/>
        <v>0</v>
      </c>
    </row>
    <row r="520" spans="1:42" x14ac:dyDescent="0.2">
      <c r="A520" s="4">
        <f t="shared" si="247"/>
        <v>8</v>
      </c>
      <c r="C520" s="155">
        <f t="shared" ref="C520:AP520" si="253">C381</f>
        <v>0</v>
      </c>
      <c r="D520" s="155">
        <f t="shared" si="253"/>
        <v>0</v>
      </c>
      <c r="E520" s="155">
        <f t="shared" si="253"/>
        <v>0</v>
      </c>
      <c r="F520" s="155">
        <f t="shared" si="253"/>
        <v>0</v>
      </c>
      <c r="G520" s="155">
        <f t="shared" si="253"/>
        <v>0</v>
      </c>
      <c r="H520" s="155">
        <f t="shared" si="253"/>
        <v>0</v>
      </c>
      <c r="I520" s="155">
        <f t="shared" si="253"/>
        <v>0</v>
      </c>
      <c r="J520" s="155">
        <f t="shared" si="253"/>
        <v>0</v>
      </c>
      <c r="K520" s="155">
        <f t="shared" si="253"/>
        <v>0</v>
      </c>
      <c r="L520" s="155">
        <f t="shared" si="253"/>
        <v>0</v>
      </c>
      <c r="M520" s="155">
        <f t="shared" si="253"/>
        <v>0</v>
      </c>
      <c r="N520" s="155">
        <f t="shared" si="253"/>
        <v>0</v>
      </c>
      <c r="O520" s="155">
        <f t="shared" si="253"/>
        <v>0</v>
      </c>
      <c r="P520" s="155">
        <f t="shared" si="253"/>
        <v>0</v>
      </c>
      <c r="Q520" s="155">
        <f t="shared" si="253"/>
        <v>0</v>
      </c>
      <c r="R520" s="155">
        <f t="shared" si="253"/>
        <v>0</v>
      </c>
      <c r="S520" s="155">
        <f t="shared" si="253"/>
        <v>0</v>
      </c>
      <c r="T520" s="155">
        <f t="shared" si="253"/>
        <v>0</v>
      </c>
      <c r="U520" s="155">
        <f t="shared" si="253"/>
        <v>0</v>
      </c>
      <c r="V520" s="155">
        <f t="shared" si="253"/>
        <v>0</v>
      </c>
      <c r="W520" s="155">
        <f t="shared" si="253"/>
        <v>0</v>
      </c>
      <c r="X520" s="155">
        <f t="shared" si="253"/>
        <v>0</v>
      </c>
      <c r="Y520" s="155">
        <f t="shared" si="253"/>
        <v>0</v>
      </c>
      <c r="Z520" s="155">
        <f t="shared" si="253"/>
        <v>0</v>
      </c>
      <c r="AA520" s="155">
        <f t="shared" si="253"/>
        <v>0</v>
      </c>
      <c r="AB520" s="155">
        <f t="shared" si="253"/>
        <v>0</v>
      </c>
      <c r="AC520" s="155">
        <f t="shared" si="253"/>
        <v>0</v>
      </c>
      <c r="AD520" s="155">
        <f t="shared" si="253"/>
        <v>0</v>
      </c>
      <c r="AE520" s="155">
        <f t="shared" si="253"/>
        <v>0</v>
      </c>
      <c r="AF520" s="155">
        <f t="shared" si="253"/>
        <v>0</v>
      </c>
      <c r="AG520" s="155">
        <f t="shared" si="253"/>
        <v>0</v>
      </c>
      <c r="AH520" s="155">
        <f t="shared" si="253"/>
        <v>0</v>
      </c>
      <c r="AI520" s="155">
        <f t="shared" si="253"/>
        <v>0</v>
      </c>
      <c r="AJ520" s="155">
        <f t="shared" si="253"/>
        <v>0</v>
      </c>
      <c r="AK520" s="155">
        <f t="shared" si="253"/>
        <v>0</v>
      </c>
      <c r="AL520" s="155">
        <f t="shared" si="253"/>
        <v>0</v>
      </c>
      <c r="AM520" s="155">
        <f t="shared" si="253"/>
        <v>0</v>
      </c>
      <c r="AN520" s="155">
        <f t="shared" si="253"/>
        <v>0</v>
      </c>
      <c r="AO520" s="155">
        <f t="shared" si="253"/>
        <v>0</v>
      </c>
      <c r="AP520" s="155">
        <f t="shared" si="253"/>
        <v>0</v>
      </c>
    </row>
    <row r="521" spans="1:42" x14ac:dyDescent="0.2">
      <c r="A521" s="4">
        <f>A520+1</f>
        <v>9</v>
      </c>
      <c r="C521" s="155">
        <f t="shared" ref="C521:AP521" si="254">C382</f>
        <v>0</v>
      </c>
      <c r="D521" s="155">
        <f t="shared" si="254"/>
        <v>0</v>
      </c>
      <c r="E521" s="155">
        <f t="shared" si="254"/>
        <v>0</v>
      </c>
      <c r="F521" s="155">
        <f t="shared" si="254"/>
        <v>0</v>
      </c>
      <c r="G521" s="155">
        <f t="shared" si="254"/>
        <v>0</v>
      </c>
      <c r="H521" s="155">
        <f t="shared" si="254"/>
        <v>0</v>
      </c>
      <c r="I521" s="155">
        <f t="shared" si="254"/>
        <v>0</v>
      </c>
      <c r="J521" s="155">
        <f t="shared" si="254"/>
        <v>0</v>
      </c>
      <c r="K521" s="155">
        <f t="shared" si="254"/>
        <v>0</v>
      </c>
      <c r="L521" s="155">
        <f t="shared" si="254"/>
        <v>0</v>
      </c>
      <c r="M521" s="155">
        <f t="shared" si="254"/>
        <v>0</v>
      </c>
      <c r="N521" s="155">
        <f t="shared" si="254"/>
        <v>0</v>
      </c>
      <c r="O521" s="155">
        <f t="shared" si="254"/>
        <v>0</v>
      </c>
      <c r="P521" s="155">
        <f t="shared" si="254"/>
        <v>0</v>
      </c>
      <c r="Q521" s="155">
        <f t="shared" si="254"/>
        <v>0</v>
      </c>
      <c r="R521" s="155">
        <f t="shared" si="254"/>
        <v>0</v>
      </c>
      <c r="S521" s="155">
        <f t="shared" si="254"/>
        <v>0</v>
      </c>
      <c r="T521" s="155">
        <f t="shared" si="254"/>
        <v>0</v>
      </c>
      <c r="U521" s="155">
        <f t="shared" si="254"/>
        <v>0</v>
      </c>
      <c r="V521" s="155">
        <f t="shared" si="254"/>
        <v>0</v>
      </c>
      <c r="W521" s="155">
        <f t="shared" si="254"/>
        <v>0</v>
      </c>
      <c r="X521" s="155">
        <f t="shared" si="254"/>
        <v>0</v>
      </c>
      <c r="Y521" s="155">
        <f t="shared" si="254"/>
        <v>0</v>
      </c>
      <c r="Z521" s="155">
        <f t="shared" si="254"/>
        <v>0</v>
      </c>
      <c r="AA521" s="155">
        <f t="shared" si="254"/>
        <v>0</v>
      </c>
      <c r="AB521" s="155">
        <f t="shared" si="254"/>
        <v>0</v>
      </c>
      <c r="AC521" s="155">
        <f t="shared" si="254"/>
        <v>0</v>
      </c>
      <c r="AD521" s="155">
        <f t="shared" si="254"/>
        <v>0</v>
      </c>
      <c r="AE521" s="155">
        <f t="shared" si="254"/>
        <v>0</v>
      </c>
      <c r="AF521" s="155">
        <f t="shared" si="254"/>
        <v>0</v>
      </c>
      <c r="AG521" s="155">
        <f t="shared" si="254"/>
        <v>0</v>
      </c>
      <c r="AH521" s="155">
        <f t="shared" si="254"/>
        <v>0</v>
      </c>
      <c r="AI521" s="155">
        <f t="shared" si="254"/>
        <v>0</v>
      </c>
      <c r="AJ521" s="155">
        <f t="shared" si="254"/>
        <v>0</v>
      </c>
      <c r="AK521" s="155">
        <f t="shared" si="254"/>
        <v>0</v>
      </c>
      <c r="AL521" s="155">
        <f t="shared" si="254"/>
        <v>0</v>
      </c>
      <c r="AM521" s="155">
        <f t="shared" si="254"/>
        <v>0</v>
      </c>
      <c r="AN521" s="155">
        <f t="shared" si="254"/>
        <v>0</v>
      </c>
      <c r="AO521" s="155">
        <f t="shared" si="254"/>
        <v>0</v>
      </c>
      <c r="AP521" s="155">
        <f t="shared" si="254"/>
        <v>0</v>
      </c>
    </row>
    <row r="522" spans="1:42" x14ac:dyDescent="0.2">
      <c r="A522" s="4">
        <f t="shared" ref="A522" si="255">A521+1</f>
        <v>10</v>
      </c>
      <c r="C522" s="155">
        <f t="shared" ref="C522:AP522" si="256">C383</f>
        <v>0</v>
      </c>
      <c r="D522" s="155">
        <f t="shared" si="256"/>
        <v>0</v>
      </c>
      <c r="E522" s="155">
        <f t="shared" si="256"/>
        <v>0</v>
      </c>
      <c r="F522" s="155">
        <f t="shared" si="256"/>
        <v>0</v>
      </c>
      <c r="G522" s="155">
        <f t="shared" si="256"/>
        <v>0</v>
      </c>
      <c r="H522" s="155">
        <f t="shared" si="256"/>
        <v>0</v>
      </c>
      <c r="I522" s="155">
        <f t="shared" si="256"/>
        <v>0</v>
      </c>
      <c r="J522" s="155">
        <f t="shared" si="256"/>
        <v>0</v>
      </c>
      <c r="K522" s="155">
        <f t="shared" si="256"/>
        <v>0</v>
      </c>
      <c r="L522" s="155">
        <f t="shared" si="256"/>
        <v>0</v>
      </c>
      <c r="M522" s="155">
        <f t="shared" si="256"/>
        <v>0</v>
      </c>
      <c r="N522" s="155">
        <f t="shared" si="256"/>
        <v>0</v>
      </c>
      <c r="O522" s="155">
        <f t="shared" si="256"/>
        <v>0</v>
      </c>
      <c r="P522" s="155">
        <f t="shared" si="256"/>
        <v>0</v>
      </c>
      <c r="Q522" s="155">
        <f t="shared" si="256"/>
        <v>0</v>
      </c>
      <c r="R522" s="155">
        <f t="shared" si="256"/>
        <v>0</v>
      </c>
      <c r="S522" s="155">
        <f t="shared" si="256"/>
        <v>0</v>
      </c>
      <c r="T522" s="155">
        <f t="shared" si="256"/>
        <v>0</v>
      </c>
      <c r="U522" s="155">
        <f t="shared" si="256"/>
        <v>0</v>
      </c>
      <c r="V522" s="155">
        <f t="shared" si="256"/>
        <v>0</v>
      </c>
      <c r="W522" s="155">
        <f t="shared" si="256"/>
        <v>0</v>
      </c>
      <c r="X522" s="155">
        <f t="shared" si="256"/>
        <v>0</v>
      </c>
      <c r="Y522" s="155">
        <f t="shared" si="256"/>
        <v>0</v>
      </c>
      <c r="Z522" s="155">
        <f t="shared" si="256"/>
        <v>0</v>
      </c>
      <c r="AA522" s="155">
        <f t="shared" si="256"/>
        <v>0</v>
      </c>
      <c r="AB522" s="155">
        <f t="shared" si="256"/>
        <v>0</v>
      </c>
      <c r="AC522" s="155">
        <f t="shared" si="256"/>
        <v>0</v>
      </c>
      <c r="AD522" s="155">
        <f t="shared" si="256"/>
        <v>0</v>
      </c>
      <c r="AE522" s="155">
        <f t="shared" si="256"/>
        <v>0</v>
      </c>
      <c r="AF522" s="155">
        <f t="shared" si="256"/>
        <v>0</v>
      </c>
      <c r="AG522" s="155">
        <f t="shared" si="256"/>
        <v>0</v>
      </c>
      <c r="AH522" s="155">
        <f t="shared" si="256"/>
        <v>0</v>
      </c>
      <c r="AI522" s="155">
        <f t="shared" si="256"/>
        <v>0</v>
      </c>
      <c r="AJ522" s="155">
        <f t="shared" si="256"/>
        <v>0</v>
      </c>
      <c r="AK522" s="155">
        <f t="shared" si="256"/>
        <v>0</v>
      </c>
      <c r="AL522" s="155">
        <f t="shared" si="256"/>
        <v>0</v>
      </c>
      <c r="AM522" s="155">
        <f t="shared" si="256"/>
        <v>0</v>
      </c>
      <c r="AN522" s="155">
        <f t="shared" si="256"/>
        <v>0</v>
      </c>
      <c r="AO522" s="155">
        <f t="shared" si="256"/>
        <v>0</v>
      </c>
      <c r="AP522" s="155">
        <f t="shared" si="256"/>
        <v>0</v>
      </c>
    </row>
    <row r="523" spans="1:42" x14ac:dyDescent="0.2">
      <c r="A523" s="21"/>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row>
    <row r="524" spans="1:42" x14ac:dyDescent="0.2">
      <c r="A524" s="21" t="s">
        <v>3</v>
      </c>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row>
    <row r="525" spans="1:42" x14ac:dyDescent="0.2">
      <c r="A525" s="4">
        <v>1</v>
      </c>
      <c r="B525" s="174">
        <f t="shared" ref="B525:B534" si="257">SUM(C525:AP525)</f>
        <v>0</v>
      </c>
      <c r="C525" s="155">
        <f t="shared" ref="C525:AP525" si="258">LOOKUP(C513,$B$456:$AP$456,$B$457:$AP$457)*$B724/100</f>
        <v>0</v>
      </c>
      <c r="D525" s="155">
        <f t="shared" si="258"/>
        <v>0</v>
      </c>
      <c r="E525" s="155">
        <f t="shared" si="258"/>
        <v>0</v>
      </c>
      <c r="F525" s="155">
        <f t="shared" si="258"/>
        <v>0</v>
      </c>
      <c r="G525" s="155">
        <f t="shared" si="258"/>
        <v>0</v>
      </c>
      <c r="H525" s="155">
        <f t="shared" si="258"/>
        <v>0</v>
      </c>
      <c r="I525" s="155">
        <f t="shared" si="258"/>
        <v>0</v>
      </c>
      <c r="J525" s="155">
        <f t="shared" si="258"/>
        <v>0</v>
      </c>
      <c r="K525" s="155">
        <f t="shared" si="258"/>
        <v>0</v>
      </c>
      <c r="L525" s="155">
        <f t="shared" si="258"/>
        <v>0</v>
      </c>
      <c r="M525" s="155">
        <f t="shared" si="258"/>
        <v>0</v>
      </c>
      <c r="N525" s="155">
        <f t="shared" si="258"/>
        <v>0</v>
      </c>
      <c r="O525" s="155">
        <f t="shared" si="258"/>
        <v>0</v>
      </c>
      <c r="P525" s="155">
        <f t="shared" si="258"/>
        <v>0</v>
      </c>
      <c r="Q525" s="155">
        <f t="shared" si="258"/>
        <v>0</v>
      </c>
      <c r="R525" s="155">
        <f t="shared" si="258"/>
        <v>0</v>
      </c>
      <c r="S525" s="155">
        <f t="shared" si="258"/>
        <v>0</v>
      </c>
      <c r="T525" s="155">
        <f t="shared" si="258"/>
        <v>0</v>
      </c>
      <c r="U525" s="155">
        <f t="shared" si="258"/>
        <v>0</v>
      </c>
      <c r="V525" s="155">
        <f t="shared" si="258"/>
        <v>0</v>
      </c>
      <c r="W525" s="155">
        <f t="shared" si="258"/>
        <v>0</v>
      </c>
      <c r="X525" s="155">
        <f t="shared" si="258"/>
        <v>0</v>
      </c>
      <c r="Y525" s="155">
        <f t="shared" si="258"/>
        <v>0</v>
      </c>
      <c r="Z525" s="155">
        <f t="shared" si="258"/>
        <v>0</v>
      </c>
      <c r="AA525" s="155">
        <f t="shared" si="258"/>
        <v>0</v>
      </c>
      <c r="AB525" s="155">
        <f t="shared" si="258"/>
        <v>0</v>
      </c>
      <c r="AC525" s="155">
        <f t="shared" si="258"/>
        <v>0</v>
      </c>
      <c r="AD525" s="155">
        <f t="shared" si="258"/>
        <v>0</v>
      </c>
      <c r="AE525" s="155">
        <f t="shared" si="258"/>
        <v>0</v>
      </c>
      <c r="AF525" s="155">
        <f t="shared" si="258"/>
        <v>0</v>
      </c>
      <c r="AG525" s="155">
        <f t="shared" si="258"/>
        <v>0</v>
      </c>
      <c r="AH525" s="155">
        <f t="shared" si="258"/>
        <v>0</v>
      </c>
      <c r="AI525" s="155">
        <f t="shared" si="258"/>
        <v>0</v>
      </c>
      <c r="AJ525" s="155">
        <f t="shared" si="258"/>
        <v>0</v>
      </c>
      <c r="AK525" s="155">
        <f t="shared" si="258"/>
        <v>0</v>
      </c>
      <c r="AL525" s="155">
        <f t="shared" si="258"/>
        <v>0</v>
      </c>
      <c r="AM525" s="155">
        <f t="shared" si="258"/>
        <v>0</v>
      </c>
      <c r="AN525" s="155">
        <f t="shared" si="258"/>
        <v>0</v>
      </c>
      <c r="AO525" s="155">
        <f t="shared" si="258"/>
        <v>0</v>
      </c>
      <c r="AP525" s="155">
        <f t="shared" si="258"/>
        <v>0</v>
      </c>
    </row>
    <row r="526" spans="1:42" x14ac:dyDescent="0.2">
      <c r="A526" s="4">
        <f>A525+1</f>
        <v>2</v>
      </c>
      <c r="B526" s="174">
        <f t="shared" si="257"/>
        <v>0</v>
      </c>
      <c r="C526" s="155">
        <f t="shared" ref="C526:AP526" si="259">LOOKUP(C514,$B$456:$AP$456,$B$457:$AP$457)*$B725/100</f>
        <v>0</v>
      </c>
      <c r="D526" s="155">
        <f t="shared" si="259"/>
        <v>0</v>
      </c>
      <c r="E526" s="155">
        <f t="shared" si="259"/>
        <v>0</v>
      </c>
      <c r="F526" s="155">
        <f t="shared" si="259"/>
        <v>0</v>
      </c>
      <c r="G526" s="155">
        <f t="shared" si="259"/>
        <v>0</v>
      </c>
      <c r="H526" s="155">
        <f t="shared" si="259"/>
        <v>0</v>
      </c>
      <c r="I526" s="155">
        <f t="shared" si="259"/>
        <v>0</v>
      </c>
      <c r="J526" s="155">
        <f t="shared" si="259"/>
        <v>0</v>
      </c>
      <c r="K526" s="155">
        <f t="shared" si="259"/>
        <v>0</v>
      </c>
      <c r="L526" s="155">
        <f t="shared" si="259"/>
        <v>0</v>
      </c>
      <c r="M526" s="155">
        <f t="shared" si="259"/>
        <v>0</v>
      </c>
      <c r="N526" s="155">
        <f t="shared" si="259"/>
        <v>0</v>
      </c>
      <c r="O526" s="155">
        <f t="shared" si="259"/>
        <v>0</v>
      </c>
      <c r="P526" s="155">
        <f t="shared" si="259"/>
        <v>0</v>
      </c>
      <c r="Q526" s="155">
        <f t="shared" si="259"/>
        <v>0</v>
      </c>
      <c r="R526" s="155">
        <f t="shared" si="259"/>
        <v>0</v>
      </c>
      <c r="S526" s="155">
        <f t="shared" si="259"/>
        <v>0</v>
      </c>
      <c r="T526" s="155">
        <f t="shared" si="259"/>
        <v>0</v>
      </c>
      <c r="U526" s="155">
        <f t="shared" si="259"/>
        <v>0</v>
      </c>
      <c r="V526" s="155">
        <f t="shared" si="259"/>
        <v>0</v>
      </c>
      <c r="W526" s="155">
        <f t="shared" si="259"/>
        <v>0</v>
      </c>
      <c r="X526" s="155">
        <f t="shared" si="259"/>
        <v>0</v>
      </c>
      <c r="Y526" s="155">
        <f t="shared" si="259"/>
        <v>0</v>
      </c>
      <c r="Z526" s="155">
        <f t="shared" si="259"/>
        <v>0</v>
      </c>
      <c r="AA526" s="155">
        <f t="shared" si="259"/>
        <v>0</v>
      </c>
      <c r="AB526" s="155">
        <f t="shared" si="259"/>
        <v>0</v>
      </c>
      <c r="AC526" s="155">
        <f t="shared" si="259"/>
        <v>0</v>
      </c>
      <c r="AD526" s="155">
        <f t="shared" si="259"/>
        <v>0</v>
      </c>
      <c r="AE526" s="155">
        <f t="shared" si="259"/>
        <v>0</v>
      </c>
      <c r="AF526" s="155">
        <f t="shared" si="259"/>
        <v>0</v>
      </c>
      <c r="AG526" s="155">
        <f t="shared" si="259"/>
        <v>0</v>
      </c>
      <c r="AH526" s="155">
        <f t="shared" si="259"/>
        <v>0</v>
      </c>
      <c r="AI526" s="155">
        <f t="shared" si="259"/>
        <v>0</v>
      </c>
      <c r="AJ526" s="155">
        <f t="shared" si="259"/>
        <v>0</v>
      </c>
      <c r="AK526" s="155">
        <f t="shared" si="259"/>
        <v>0</v>
      </c>
      <c r="AL526" s="155">
        <f t="shared" si="259"/>
        <v>0</v>
      </c>
      <c r="AM526" s="155">
        <f t="shared" si="259"/>
        <v>0</v>
      </c>
      <c r="AN526" s="155">
        <f t="shared" si="259"/>
        <v>0</v>
      </c>
      <c r="AO526" s="155">
        <f t="shared" si="259"/>
        <v>0</v>
      </c>
      <c r="AP526" s="155">
        <f t="shared" si="259"/>
        <v>0</v>
      </c>
    </row>
    <row r="527" spans="1:42" x14ac:dyDescent="0.2">
      <c r="A527" s="4">
        <f t="shared" ref="A527:A532" si="260">A526+1</f>
        <v>3</v>
      </c>
      <c r="B527" s="174">
        <f t="shared" si="257"/>
        <v>0</v>
      </c>
      <c r="C527" s="155">
        <f t="shared" ref="C527:AP527" si="261">LOOKUP(C515,$B$456:$AP$456,$B$457:$AP$457)*$B726/100</f>
        <v>0</v>
      </c>
      <c r="D527" s="155">
        <f t="shared" si="261"/>
        <v>0</v>
      </c>
      <c r="E527" s="155">
        <f t="shared" si="261"/>
        <v>0</v>
      </c>
      <c r="F527" s="155">
        <f t="shared" si="261"/>
        <v>0</v>
      </c>
      <c r="G527" s="155">
        <f t="shared" si="261"/>
        <v>0</v>
      </c>
      <c r="H527" s="155">
        <f t="shared" si="261"/>
        <v>0</v>
      </c>
      <c r="I527" s="155">
        <f t="shared" si="261"/>
        <v>0</v>
      </c>
      <c r="J527" s="155">
        <f t="shared" si="261"/>
        <v>0</v>
      </c>
      <c r="K527" s="155">
        <f t="shared" si="261"/>
        <v>0</v>
      </c>
      <c r="L527" s="155">
        <f t="shared" si="261"/>
        <v>0</v>
      </c>
      <c r="M527" s="155">
        <f t="shared" si="261"/>
        <v>0</v>
      </c>
      <c r="N527" s="155">
        <f t="shared" si="261"/>
        <v>0</v>
      </c>
      <c r="O527" s="155">
        <f t="shared" si="261"/>
        <v>0</v>
      </c>
      <c r="P527" s="155">
        <f t="shared" si="261"/>
        <v>0</v>
      </c>
      <c r="Q527" s="155">
        <f t="shared" si="261"/>
        <v>0</v>
      </c>
      <c r="R527" s="155">
        <f t="shared" si="261"/>
        <v>0</v>
      </c>
      <c r="S527" s="155">
        <f t="shared" si="261"/>
        <v>0</v>
      </c>
      <c r="T527" s="155">
        <f t="shared" si="261"/>
        <v>0</v>
      </c>
      <c r="U527" s="155">
        <f t="shared" si="261"/>
        <v>0</v>
      </c>
      <c r="V527" s="155">
        <f t="shared" si="261"/>
        <v>0</v>
      </c>
      <c r="W527" s="155">
        <f t="shared" si="261"/>
        <v>0</v>
      </c>
      <c r="X527" s="155">
        <f t="shared" si="261"/>
        <v>0</v>
      </c>
      <c r="Y527" s="155">
        <f t="shared" si="261"/>
        <v>0</v>
      </c>
      <c r="Z527" s="155">
        <f t="shared" si="261"/>
        <v>0</v>
      </c>
      <c r="AA527" s="155">
        <f t="shared" si="261"/>
        <v>0</v>
      </c>
      <c r="AB527" s="155">
        <f t="shared" si="261"/>
        <v>0</v>
      </c>
      <c r="AC527" s="155">
        <f t="shared" si="261"/>
        <v>0</v>
      </c>
      <c r="AD527" s="155">
        <f t="shared" si="261"/>
        <v>0</v>
      </c>
      <c r="AE527" s="155">
        <f t="shared" si="261"/>
        <v>0</v>
      </c>
      <c r="AF527" s="155">
        <f t="shared" si="261"/>
        <v>0</v>
      </c>
      <c r="AG527" s="155">
        <f t="shared" si="261"/>
        <v>0</v>
      </c>
      <c r="AH527" s="155">
        <f t="shared" si="261"/>
        <v>0</v>
      </c>
      <c r="AI527" s="155">
        <f t="shared" si="261"/>
        <v>0</v>
      </c>
      <c r="AJ527" s="155">
        <f t="shared" si="261"/>
        <v>0</v>
      </c>
      <c r="AK527" s="155">
        <f t="shared" si="261"/>
        <v>0</v>
      </c>
      <c r="AL527" s="155">
        <f t="shared" si="261"/>
        <v>0</v>
      </c>
      <c r="AM527" s="155">
        <f t="shared" si="261"/>
        <v>0</v>
      </c>
      <c r="AN527" s="155">
        <f t="shared" si="261"/>
        <v>0</v>
      </c>
      <c r="AO527" s="155">
        <f t="shared" si="261"/>
        <v>0</v>
      </c>
      <c r="AP527" s="155">
        <f t="shared" si="261"/>
        <v>0</v>
      </c>
    </row>
    <row r="528" spans="1:42" x14ac:dyDescent="0.2">
      <c r="A528" s="4">
        <f t="shared" si="260"/>
        <v>4</v>
      </c>
      <c r="B528" s="174">
        <f t="shared" si="257"/>
        <v>0</v>
      </c>
      <c r="C528" s="155">
        <f t="shared" ref="C528:AP528" si="262">LOOKUP(C516,$B$456:$AP$456,$B$457:$AP$457)*$B727/100</f>
        <v>0</v>
      </c>
      <c r="D528" s="155">
        <f t="shared" si="262"/>
        <v>0</v>
      </c>
      <c r="E528" s="155">
        <f t="shared" si="262"/>
        <v>0</v>
      </c>
      <c r="F528" s="155">
        <f t="shared" si="262"/>
        <v>0</v>
      </c>
      <c r="G528" s="155">
        <f t="shared" si="262"/>
        <v>0</v>
      </c>
      <c r="H528" s="155">
        <f t="shared" si="262"/>
        <v>0</v>
      </c>
      <c r="I528" s="155">
        <f t="shared" si="262"/>
        <v>0</v>
      </c>
      <c r="J528" s="155">
        <f t="shared" si="262"/>
        <v>0</v>
      </c>
      <c r="K528" s="155">
        <f t="shared" si="262"/>
        <v>0</v>
      </c>
      <c r="L528" s="155">
        <f t="shared" si="262"/>
        <v>0</v>
      </c>
      <c r="M528" s="155">
        <f t="shared" si="262"/>
        <v>0</v>
      </c>
      <c r="N528" s="155">
        <f t="shared" si="262"/>
        <v>0</v>
      </c>
      <c r="O528" s="155">
        <f t="shared" si="262"/>
        <v>0</v>
      </c>
      <c r="P528" s="155">
        <f t="shared" si="262"/>
        <v>0</v>
      </c>
      <c r="Q528" s="155">
        <f t="shared" si="262"/>
        <v>0</v>
      </c>
      <c r="R528" s="155">
        <f t="shared" si="262"/>
        <v>0</v>
      </c>
      <c r="S528" s="155">
        <f t="shared" si="262"/>
        <v>0</v>
      </c>
      <c r="T528" s="155">
        <f t="shared" si="262"/>
        <v>0</v>
      </c>
      <c r="U528" s="155">
        <f t="shared" si="262"/>
        <v>0</v>
      </c>
      <c r="V528" s="155">
        <f t="shared" si="262"/>
        <v>0</v>
      </c>
      <c r="W528" s="155">
        <f t="shared" si="262"/>
        <v>0</v>
      </c>
      <c r="X528" s="155">
        <f t="shared" si="262"/>
        <v>0</v>
      </c>
      <c r="Y528" s="155">
        <f t="shared" si="262"/>
        <v>0</v>
      </c>
      <c r="Z528" s="155">
        <f t="shared" si="262"/>
        <v>0</v>
      </c>
      <c r="AA528" s="155">
        <f t="shared" si="262"/>
        <v>0</v>
      </c>
      <c r="AB528" s="155">
        <f t="shared" si="262"/>
        <v>0</v>
      </c>
      <c r="AC528" s="155">
        <f t="shared" si="262"/>
        <v>0</v>
      </c>
      <c r="AD528" s="155">
        <f t="shared" si="262"/>
        <v>0</v>
      </c>
      <c r="AE528" s="155">
        <f t="shared" si="262"/>
        <v>0</v>
      </c>
      <c r="AF528" s="155">
        <f t="shared" si="262"/>
        <v>0</v>
      </c>
      <c r="AG528" s="155">
        <f t="shared" si="262"/>
        <v>0</v>
      </c>
      <c r="AH528" s="155">
        <f t="shared" si="262"/>
        <v>0</v>
      </c>
      <c r="AI528" s="155">
        <f t="shared" si="262"/>
        <v>0</v>
      </c>
      <c r="AJ528" s="155">
        <f t="shared" si="262"/>
        <v>0</v>
      </c>
      <c r="AK528" s="155">
        <f t="shared" si="262"/>
        <v>0</v>
      </c>
      <c r="AL528" s="155">
        <f t="shared" si="262"/>
        <v>0</v>
      </c>
      <c r="AM528" s="155">
        <f t="shared" si="262"/>
        <v>0</v>
      </c>
      <c r="AN528" s="155">
        <f t="shared" si="262"/>
        <v>0</v>
      </c>
      <c r="AO528" s="155">
        <f t="shared" si="262"/>
        <v>0</v>
      </c>
      <c r="AP528" s="155">
        <f t="shared" si="262"/>
        <v>0</v>
      </c>
    </row>
    <row r="529" spans="1:42" x14ac:dyDescent="0.2">
      <c r="A529" s="4">
        <f t="shared" si="260"/>
        <v>5</v>
      </c>
      <c r="B529" s="174">
        <f t="shared" si="257"/>
        <v>0</v>
      </c>
      <c r="C529" s="155">
        <f t="shared" ref="C529:AP529" si="263">LOOKUP(C517,$B$456:$AP$456,$B$457:$AP$457)*$B728/100</f>
        <v>0</v>
      </c>
      <c r="D529" s="155">
        <f t="shared" si="263"/>
        <v>0</v>
      </c>
      <c r="E529" s="155">
        <f t="shared" si="263"/>
        <v>0</v>
      </c>
      <c r="F529" s="155">
        <f t="shared" si="263"/>
        <v>0</v>
      </c>
      <c r="G529" s="155">
        <f t="shared" si="263"/>
        <v>0</v>
      </c>
      <c r="H529" s="155">
        <f t="shared" si="263"/>
        <v>0</v>
      </c>
      <c r="I529" s="155">
        <f t="shared" si="263"/>
        <v>0</v>
      </c>
      <c r="J529" s="155">
        <f t="shared" si="263"/>
        <v>0</v>
      </c>
      <c r="K529" s="155">
        <f t="shared" si="263"/>
        <v>0</v>
      </c>
      <c r="L529" s="155">
        <f t="shared" si="263"/>
        <v>0</v>
      </c>
      <c r="M529" s="155">
        <f t="shared" si="263"/>
        <v>0</v>
      </c>
      <c r="N529" s="155">
        <f t="shared" si="263"/>
        <v>0</v>
      </c>
      <c r="O529" s="155">
        <f t="shared" si="263"/>
        <v>0</v>
      </c>
      <c r="P529" s="155">
        <f t="shared" si="263"/>
        <v>0</v>
      </c>
      <c r="Q529" s="155">
        <f t="shared" si="263"/>
        <v>0</v>
      </c>
      <c r="R529" s="155">
        <f t="shared" si="263"/>
        <v>0</v>
      </c>
      <c r="S529" s="155">
        <f t="shared" si="263"/>
        <v>0</v>
      </c>
      <c r="T529" s="155">
        <f t="shared" si="263"/>
        <v>0</v>
      </c>
      <c r="U529" s="155">
        <f t="shared" si="263"/>
        <v>0</v>
      </c>
      <c r="V529" s="155">
        <f t="shared" si="263"/>
        <v>0</v>
      </c>
      <c r="W529" s="155">
        <f t="shared" si="263"/>
        <v>0</v>
      </c>
      <c r="X529" s="155">
        <f t="shared" si="263"/>
        <v>0</v>
      </c>
      <c r="Y529" s="155">
        <f t="shared" si="263"/>
        <v>0</v>
      </c>
      <c r="Z529" s="155">
        <f t="shared" si="263"/>
        <v>0</v>
      </c>
      <c r="AA529" s="155">
        <f t="shared" si="263"/>
        <v>0</v>
      </c>
      <c r="AB529" s="155">
        <f t="shared" si="263"/>
        <v>0</v>
      </c>
      <c r="AC529" s="155">
        <f t="shared" si="263"/>
        <v>0</v>
      </c>
      <c r="AD529" s="155">
        <f t="shared" si="263"/>
        <v>0</v>
      </c>
      <c r="AE529" s="155">
        <f t="shared" si="263"/>
        <v>0</v>
      </c>
      <c r="AF529" s="155">
        <f t="shared" si="263"/>
        <v>0</v>
      </c>
      <c r="AG529" s="155">
        <f t="shared" si="263"/>
        <v>0</v>
      </c>
      <c r="AH529" s="155">
        <f t="shared" si="263"/>
        <v>0</v>
      </c>
      <c r="AI529" s="155">
        <f t="shared" si="263"/>
        <v>0</v>
      </c>
      <c r="AJ529" s="155">
        <f t="shared" si="263"/>
        <v>0</v>
      </c>
      <c r="AK529" s="155">
        <f t="shared" si="263"/>
        <v>0</v>
      </c>
      <c r="AL529" s="155">
        <f t="shared" si="263"/>
        <v>0</v>
      </c>
      <c r="AM529" s="155">
        <f t="shared" si="263"/>
        <v>0</v>
      </c>
      <c r="AN529" s="155">
        <f t="shared" si="263"/>
        <v>0</v>
      </c>
      <c r="AO529" s="155">
        <f t="shared" si="263"/>
        <v>0</v>
      </c>
      <c r="AP529" s="155">
        <f t="shared" si="263"/>
        <v>0</v>
      </c>
    </row>
    <row r="530" spans="1:42" x14ac:dyDescent="0.2">
      <c r="A530" s="4">
        <f t="shared" si="260"/>
        <v>6</v>
      </c>
      <c r="B530" s="174">
        <f t="shared" si="257"/>
        <v>0</v>
      </c>
      <c r="C530" s="155">
        <f t="shared" ref="C530:AP530" si="264">LOOKUP(C518,$B$456:$AP$456,$B$457:$AP$457)*$B729/100</f>
        <v>0</v>
      </c>
      <c r="D530" s="155">
        <f t="shared" si="264"/>
        <v>0</v>
      </c>
      <c r="E530" s="155">
        <f t="shared" si="264"/>
        <v>0</v>
      </c>
      <c r="F530" s="155">
        <f t="shared" si="264"/>
        <v>0</v>
      </c>
      <c r="G530" s="155">
        <f t="shared" si="264"/>
        <v>0</v>
      </c>
      <c r="H530" s="155">
        <f t="shared" si="264"/>
        <v>0</v>
      </c>
      <c r="I530" s="155">
        <f t="shared" si="264"/>
        <v>0</v>
      </c>
      <c r="J530" s="155">
        <f t="shared" si="264"/>
        <v>0</v>
      </c>
      <c r="K530" s="155">
        <f t="shared" si="264"/>
        <v>0</v>
      </c>
      <c r="L530" s="155">
        <f t="shared" si="264"/>
        <v>0</v>
      </c>
      <c r="M530" s="155">
        <f t="shared" si="264"/>
        <v>0</v>
      </c>
      <c r="N530" s="155">
        <f t="shared" si="264"/>
        <v>0</v>
      </c>
      <c r="O530" s="155">
        <f t="shared" si="264"/>
        <v>0</v>
      </c>
      <c r="P530" s="155">
        <f t="shared" si="264"/>
        <v>0</v>
      </c>
      <c r="Q530" s="155">
        <f t="shared" si="264"/>
        <v>0</v>
      </c>
      <c r="R530" s="155">
        <f t="shared" si="264"/>
        <v>0</v>
      </c>
      <c r="S530" s="155">
        <f t="shared" si="264"/>
        <v>0</v>
      </c>
      <c r="T530" s="155">
        <f t="shared" si="264"/>
        <v>0</v>
      </c>
      <c r="U530" s="155">
        <f t="shared" si="264"/>
        <v>0</v>
      </c>
      <c r="V530" s="155">
        <f t="shared" si="264"/>
        <v>0</v>
      </c>
      <c r="W530" s="155">
        <f t="shared" si="264"/>
        <v>0</v>
      </c>
      <c r="X530" s="155">
        <f t="shared" si="264"/>
        <v>0</v>
      </c>
      <c r="Y530" s="155">
        <f t="shared" si="264"/>
        <v>0</v>
      </c>
      <c r="Z530" s="155">
        <f t="shared" si="264"/>
        <v>0</v>
      </c>
      <c r="AA530" s="155">
        <f t="shared" si="264"/>
        <v>0</v>
      </c>
      <c r="AB530" s="155">
        <f t="shared" si="264"/>
        <v>0</v>
      </c>
      <c r="AC530" s="155">
        <f t="shared" si="264"/>
        <v>0</v>
      </c>
      <c r="AD530" s="155">
        <f t="shared" si="264"/>
        <v>0</v>
      </c>
      <c r="AE530" s="155">
        <f t="shared" si="264"/>
        <v>0</v>
      </c>
      <c r="AF530" s="155">
        <f t="shared" si="264"/>
        <v>0</v>
      </c>
      <c r="AG530" s="155">
        <f t="shared" si="264"/>
        <v>0</v>
      </c>
      <c r="AH530" s="155">
        <f t="shared" si="264"/>
        <v>0</v>
      </c>
      <c r="AI530" s="155">
        <f t="shared" si="264"/>
        <v>0</v>
      </c>
      <c r="AJ530" s="155">
        <f t="shared" si="264"/>
        <v>0</v>
      </c>
      <c r="AK530" s="155">
        <f t="shared" si="264"/>
        <v>0</v>
      </c>
      <c r="AL530" s="155">
        <f t="shared" si="264"/>
        <v>0</v>
      </c>
      <c r="AM530" s="155">
        <f t="shared" si="264"/>
        <v>0</v>
      </c>
      <c r="AN530" s="155">
        <f t="shared" si="264"/>
        <v>0</v>
      </c>
      <c r="AO530" s="155">
        <f t="shared" si="264"/>
        <v>0</v>
      </c>
      <c r="AP530" s="155">
        <f t="shared" si="264"/>
        <v>0</v>
      </c>
    </row>
    <row r="531" spans="1:42" x14ac:dyDescent="0.2">
      <c r="A531" s="4">
        <f t="shared" si="260"/>
        <v>7</v>
      </c>
      <c r="B531" s="174">
        <f t="shared" si="257"/>
        <v>0</v>
      </c>
      <c r="C531" s="155">
        <f t="shared" ref="C531:AP531" si="265">LOOKUP(C519,$B$456:$AP$456,$B$457:$AP$457)*$B730/100</f>
        <v>0</v>
      </c>
      <c r="D531" s="155">
        <f t="shared" si="265"/>
        <v>0</v>
      </c>
      <c r="E531" s="155">
        <f t="shared" si="265"/>
        <v>0</v>
      </c>
      <c r="F531" s="155">
        <f t="shared" si="265"/>
        <v>0</v>
      </c>
      <c r="G531" s="155">
        <f t="shared" si="265"/>
        <v>0</v>
      </c>
      <c r="H531" s="155">
        <f t="shared" si="265"/>
        <v>0</v>
      </c>
      <c r="I531" s="155">
        <f t="shared" si="265"/>
        <v>0</v>
      </c>
      <c r="J531" s="155">
        <f t="shared" si="265"/>
        <v>0</v>
      </c>
      <c r="K531" s="155">
        <f t="shared" si="265"/>
        <v>0</v>
      </c>
      <c r="L531" s="155">
        <f t="shared" si="265"/>
        <v>0</v>
      </c>
      <c r="M531" s="155">
        <f t="shared" si="265"/>
        <v>0</v>
      </c>
      <c r="N531" s="155">
        <f t="shared" si="265"/>
        <v>0</v>
      </c>
      <c r="O531" s="155">
        <f t="shared" si="265"/>
        <v>0</v>
      </c>
      <c r="P531" s="155">
        <f t="shared" si="265"/>
        <v>0</v>
      </c>
      <c r="Q531" s="155">
        <f t="shared" si="265"/>
        <v>0</v>
      </c>
      <c r="R531" s="155">
        <f t="shared" si="265"/>
        <v>0</v>
      </c>
      <c r="S531" s="155">
        <f t="shared" si="265"/>
        <v>0</v>
      </c>
      <c r="T531" s="155">
        <f t="shared" si="265"/>
        <v>0</v>
      </c>
      <c r="U531" s="155">
        <f t="shared" si="265"/>
        <v>0</v>
      </c>
      <c r="V531" s="155">
        <f t="shared" si="265"/>
        <v>0</v>
      </c>
      <c r="W531" s="155">
        <f t="shared" si="265"/>
        <v>0</v>
      </c>
      <c r="X531" s="155">
        <f t="shared" si="265"/>
        <v>0</v>
      </c>
      <c r="Y531" s="155">
        <f t="shared" si="265"/>
        <v>0</v>
      </c>
      <c r="Z531" s="155">
        <f t="shared" si="265"/>
        <v>0</v>
      </c>
      <c r="AA531" s="155">
        <f t="shared" si="265"/>
        <v>0</v>
      </c>
      <c r="AB531" s="155">
        <f t="shared" si="265"/>
        <v>0</v>
      </c>
      <c r="AC531" s="155">
        <f t="shared" si="265"/>
        <v>0</v>
      </c>
      <c r="AD531" s="155">
        <f t="shared" si="265"/>
        <v>0</v>
      </c>
      <c r="AE531" s="155">
        <f t="shared" si="265"/>
        <v>0</v>
      </c>
      <c r="AF531" s="155">
        <f t="shared" si="265"/>
        <v>0</v>
      </c>
      <c r="AG531" s="155">
        <f t="shared" si="265"/>
        <v>0</v>
      </c>
      <c r="AH531" s="155">
        <f t="shared" si="265"/>
        <v>0</v>
      </c>
      <c r="AI531" s="155">
        <f t="shared" si="265"/>
        <v>0</v>
      </c>
      <c r="AJ531" s="155">
        <f t="shared" si="265"/>
        <v>0</v>
      </c>
      <c r="AK531" s="155">
        <f t="shared" si="265"/>
        <v>0</v>
      </c>
      <c r="AL531" s="155">
        <f t="shared" si="265"/>
        <v>0</v>
      </c>
      <c r="AM531" s="155">
        <f t="shared" si="265"/>
        <v>0</v>
      </c>
      <c r="AN531" s="155">
        <f t="shared" si="265"/>
        <v>0</v>
      </c>
      <c r="AO531" s="155">
        <f t="shared" si="265"/>
        <v>0</v>
      </c>
      <c r="AP531" s="155">
        <f t="shared" si="265"/>
        <v>0</v>
      </c>
    </row>
    <row r="532" spans="1:42" x14ac:dyDescent="0.2">
      <c r="A532" s="4">
        <f t="shared" si="260"/>
        <v>8</v>
      </c>
      <c r="B532" s="174">
        <f t="shared" si="257"/>
        <v>0</v>
      </c>
      <c r="C532" s="155">
        <f t="shared" ref="C532:AP532" si="266">LOOKUP(C520,$B$456:$AP$456,$B$457:$AP$457)*$B731/100</f>
        <v>0</v>
      </c>
      <c r="D532" s="155">
        <f t="shared" si="266"/>
        <v>0</v>
      </c>
      <c r="E532" s="155">
        <f t="shared" si="266"/>
        <v>0</v>
      </c>
      <c r="F532" s="155">
        <f t="shared" si="266"/>
        <v>0</v>
      </c>
      <c r="G532" s="155">
        <f t="shared" si="266"/>
        <v>0</v>
      </c>
      <c r="H532" s="155">
        <f t="shared" si="266"/>
        <v>0</v>
      </c>
      <c r="I532" s="155">
        <f t="shared" si="266"/>
        <v>0</v>
      </c>
      <c r="J532" s="155">
        <f t="shared" si="266"/>
        <v>0</v>
      </c>
      <c r="K532" s="155">
        <f t="shared" si="266"/>
        <v>0</v>
      </c>
      <c r="L532" s="155">
        <f t="shared" si="266"/>
        <v>0</v>
      </c>
      <c r="M532" s="155">
        <f t="shared" si="266"/>
        <v>0</v>
      </c>
      <c r="N532" s="155">
        <f t="shared" si="266"/>
        <v>0</v>
      </c>
      <c r="O532" s="155">
        <f t="shared" si="266"/>
        <v>0</v>
      </c>
      <c r="P532" s="155">
        <f t="shared" si="266"/>
        <v>0</v>
      </c>
      <c r="Q532" s="155">
        <f t="shared" si="266"/>
        <v>0</v>
      </c>
      <c r="R532" s="155">
        <f t="shared" si="266"/>
        <v>0</v>
      </c>
      <c r="S532" s="155">
        <f t="shared" si="266"/>
        <v>0</v>
      </c>
      <c r="T532" s="155">
        <f t="shared" si="266"/>
        <v>0</v>
      </c>
      <c r="U532" s="155">
        <f t="shared" si="266"/>
        <v>0</v>
      </c>
      <c r="V532" s="155">
        <f t="shared" si="266"/>
        <v>0</v>
      </c>
      <c r="W532" s="155">
        <f t="shared" si="266"/>
        <v>0</v>
      </c>
      <c r="X532" s="155">
        <f t="shared" si="266"/>
        <v>0</v>
      </c>
      <c r="Y532" s="155">
        <f t="shared" si="266"/>
        <v>0</v>
      </c>
      <c r="Z532" s="155">
        <f t="shared" si="266"/>
        <v>0</v>
      </c>
      <c r="AA532" s="155">
        <f t="shared" si="266"/>
        <v>0</v>
      </c>
      <c r="AB532" s="155">
        <f t="shared" si="266"/>
        <v>0</v>
      </c>
      <c r="AC532" s="155">
        <f t="shared" si="266"/>
        <v>0</v>
      </c>
      <c r="AD532" s="155">
        <f t="shared" si="266"/>
        <v>0</v>
      </c>
      <c r="AE532" s="155">
        <f t="shared" si="266"/>
        <v>0</v>
      </c>
      <c r="AF532" s="155">
        <f t="shared" si="266"/>
        <v>0</v>
      </c>
      <c r="AG532" s="155">
        <f t="shared" si="266"/>
        <v>0</v>
      </c>
      <c r="AH532" s="155">
        <f t="shared" si="266"/>
        <v>0</v>
      </c>
      <c r="AI532" s="155">
        <f t="shared" si="266"/>
        <v>0</v>
      </c>
      <c r="AJ532" s="155">
        <f t="shared" si="266"/>
        <v>0</v>
      </c>
      <c r="AK532" s="155">
        <f t="shared" si="266"/>
        <v>0</v>
      </c>
      <c r="AL532" s="155">
        <f t="shared" si="266"/>
        <v>0</v>
      </c>
      <c r="AM532" s="155">
        <f t="shared" si="266"/>
        <v>0</v>
      </c>
      <c r="AN532" s="155">
        <f t="shared" si="266"/>
        <v>0</v>
      </c>
      <c r="AO532" s="155">
        <f t="shared" si="266"/>
        <v>0</v>
      </c>
      <c r="AP532" s="155">
        <f t="shared" si="266"/>
        <v>0</v>
      </c>
    </row>
    <row r="533" spans="1:42" x14ac:dyDescent="0.2">
      <c r="A533" s="4">
        <f>A532+1</f>
        <v>9</v>
      </c>
      <c r="B533" s="174">
        <f t="shared" si="257"/>
        <v>0</v>
      </c>
      <c r="C533" s="155">
        <f t="shared" ref="C533:AP533" si="267">LOOKUP(C521,$B$456:$AP$456,$B$457:$AP$457)*$B732/100</f>
        <v>0</v>
      </c>
      <c r="D533" s="155">
        <f t="shared" si="267"/>
        <v>0</v>
      </c>
      <c r="E533" s="155">
        <f t="shared" si="267"/>
        <v>0</v>
      </c>
      <c r="F533" s="155">
        <f t="shared" si="267"/>
        <v>0</v>
      </c>
      <c r="G533" s="155">
        <f t="shared" si="267"/>
        <v>0</v>
      </c>
      <c r="H533" s="155">
        <f t="shared" si="267"/>
        <v>0</v>
      </c>
      <c r="I533" s="155">
        <f t="shared" si="267"/>
        <v>0</v>
      </c>
      <c r="J533" s="155">
        <f t="shared" si="267"/>
        <v>0</v>
      </c>
      <c r="K533" s="155">
        <f t="shared" si="267"/>
        <v>0</v>
      </c>
      <c r="L533" s="155">
        <f t="shared" si="267"/>
        <v>0</v>
      </c>
      <c r="M533" s="155">
        <f t="shared" si="267"/>
        <v>0</v>
      </c>
      <c r="N533" s="155">
        <f t="shared" si="267"/>
        <v>0</v>
      </c>
      <c r="O533" s="155">
        <f t="shared" si="267"/>
        <v>0</v>
      </c>
      <c r="P533" s="155">
        <f t="shared" si="267"/>
        <v>0</v>
      </c>
      <c r="Q533" s="155">
        <f t="shared" si="267"/>
        <v>0</v>
      </c>
      <c r="R533" s="155">
        <f t="shared" si="267"/>
        <v>0</v>
      </c>
      <c r="S533" s="155">
        <f t="shared" si="267"/>
        <v>0</v>
      </c>
      <c r="T533" s="155">
        <f t="shared" si="267"/>
        <v>0</v>
      </c>
      <c r="U533" s="155">
        <f t="shared" si="267"/>
        <v>0</v>
      </c>
      <c r="V533" s="155">
        <f t="shared" si="267"/>
        <v>0</v>
      </c>
      <c r="W533" s="155">
        <f t="shared" si="267"/>
        <v>0</v>
      </c>
      <c r="X533" s="155">
        <f t="shared" si="267"/>
        <v>0</v>
      </c>
      <c r="Y533" s="155">
        <f t="shared" si="267"/>
        <v>0</v>
      </c>
      <c r="Z533" s="155">
        <f t="shared" si="267"/>
        <v>0</v>
      </c>
      <c r="AA533" s="155">
        <f t="shared" si="267"/>
        <v>0</v>
      </c>
      <c r="AB533" s="155">
        <f t="shared" si="267"/>
        <v>0</v>
      </c>
      <c r="AC533" s="155">
        <f t="shared" si="267"/>
        <v>0</v>
      </c>
      <c r="AD533" s="155">
        <f t="shared" si="267"/>
        <v>0</v>
      </c>
      <c r="AE533" s="155">
        <f t="shared" si="267"/>
        <v>0</v>
      </c>
      <c r="AF533" s="155">
        <f t="shared" si="267"/>
        <v>0</v>
      </c>
      <c r="AG533" s="155">
        <f t="shared" si="267"/>
        <v>0</v>
      </c>
      <c r="AH533" s="155">
        <f t="shared" si="267"/>
        <v>0</v>
      </c>
      <c r="AI533" s="155">
        <f t="shared" si="267"/>
        <v>0</v>
      </c>
      <c r="AJ533" s="155">
        <f t="shared" si="267"/>
        <v>0</v>
      </c>
      <c r="AK533" s="155">
        <f t="shared" si="267"/>
        <v>0</v>
      </c>
      <c r="AL533" s="155">
        <f t="shared" si="267"/>
        <v>0</v>
      </c>
      <c r="AM533" s="155">
        <f t="shared" si="267"/>
        <v>0</v>
      </c>
      <c r="AN533" s="155">
        <f t="shared" si="267"/>
        <v>0</v>
      </c>
      <c r="AO533" s="155">
        <f t="shared" si="267"/>
        <v>0</v>
      </c>
      <c r="AP533" s="155">
        <f t="shared" si="267"/>
        <v>0</v>
      </c>
    </row>
    <row r="534" spans="1:42" x14ac:dyDescent="0.2">
      <c r="A534" s="4">
        <f t="shared" ref="A534" si="268">A533+1</f>
        <v>10</v>
      </c>
      <c r="B534" s="174">
        <f t="shared" si="257"/>
        <v>0</v>
      </c>
      <c r="C534" s="156">
        <f t="shared" ref="C534:AP534" si="269">LOOKUP(C522,$B$456:$AP$456,$B$457:$AP$457)*$B733/100</f>
        <v>0</v>
      </c>
      <c r="D534" s="156">
        <f t="shared" si="269"/>
        <v>0</v>
      </c>
      <c r="E534" s="156">
        <f t="shared" si="269"/>
        <v>0</v>
      </c>
      <c r="F534" s="156">
        <f t="shared" si="269"/>
        <v>0</v>
      </c>
      <c r="G534" s="156">
        <f t="shared" si="269"/>
        <v>0</v>
      </c>
      <c r="H534" s="156">
        <f t="shared" si="269"/>
        <v>0</v>
      </c>
      <c r="I534" s="156">
        <f t="shared" si="269"/>
        <v>0</v>
      </c>
      <c r="J534" s="156">
        <f t="shared" si="269"/>
        <v>0</v>
      </c>
      <c r="K534" s="156">
        <f t="shared" si="269"/>
        <v>0</v>
      </c>
      <c r="L534" s="156">
        <f t="shared" si="269"/>
        <v>0</v>
      </c>
      <c r="M534" s="156">
        <f t="shared" si="269"/>
        <v>0</v>
      </c>
      <c r="N534" s="156">
        <f t="shared" si="269"/>
        <v>0</v>
      </c>
      <c r="O534" s="156">
        <f t="shared" si="269"/>
        <v>0</v>
      </c>
      <c r="P534" s="156">
        <f t="shared" si="269"/>
        <v>0</v>
      </c>
      <c r="Q534" s="156">
        <f t="shared" si="269"/>
        <v>0</v>
      </c>
      <c r="R534" s="156">
        <f t="shared" si="269"/>
        <v>0</v>
      </c>
      <c r="S534" s="156">
        <f t="shared" si="269"/>
        <v>0</v>
      </c>
      <c r="T534" s="156">
        <f t="shared" si="269"/>
        <v>0</v>
      </c>
      <c r="U534" s="156">
        <f t="shared" si="269"/>
        <v>0</v>
      </c>
      <c r="V534" s="156">
        <f t="shared" si="269"/>
        <v>0</v>
      </c>
      <c r="W534" s="156">
        <f t="shared" si="269"/>
        <v>0</v>
      </c>
      <c r="X534" s="156">
        <f t="shared" si="269"/>
        <v>0</v>
      </c>
      <c r="Y534" s="156">
        <f t="shared" si="269"/>
        <v>0</v>
      </c>
      <c r="Z534" s="156">
        <f t="shared" si="269"/>
        <v>0</v>
      </c>
      <c r="AA534" s="156">
        <f t="shared" si="269"/>
        <v>0</v>
      </c>
      <c r="AB534" s="156">
        <f t="shared" si="269"/>
        <v>0</v>
      </c>
      <c r="AC534" s="156">
        <f t="shared" si="269"/>
        <v>0</v>
      </c>
      <c r="AD534" s="156">
        <f t="shared" si="269"/>
        <v>0</v>
      </c>
      <c r="AE534" s="156">
        <f t="shared" si="269"/>
        <v>0</v>
      </c>
      <c r="AF534" s="156">
        <f t="shared" si="269"/>
        <v>0</v>
      </c>
      <c r="AG534" s="156">
        <f t="shared" si="269"/>
        <v>0</v>
      </c>
      <c r="AH534" s="156">
        <f t="shared" si="269"/>
        <v>0</v>
      </c>
      <c r="AI534" s="156">
        <f t="shared" si="269"/>
        <v>0</v>
      </c>
      <c r="AJ534" s="156">
        <f t="shared" si="269"/>
        <v>0</v>
      </c>
      <c r="AK534" s="156">
        <f t="shared" si="269"/>
        <v>0</v>
      </c>
      <c r="AL534" s="156">
        <f t="shared" si="269"/>
        <v>0</v>
      </c>
      <c r="AM534" s="156">
        <f t="shared" si="269"/>
        <v>0</v>
      </c>
      <c r="AN534" s="156">
        <f t="shared" si="269"/>
        <v>0</v>
      </c>
      <c r="AO534" s="156">
        <f t="shared" si="269"/>
        <v>0</v>
      </c>
      <c r="AP534" s="156">
        <f t="shared" si="269"/>
        <v>0</v>
      </c>
    </row>
    <row r="535" spans="1:42" x14ac:dyDescent="0.2">
      <c r="A535" s="24" t="s">
        <v>13</v>
      </c>
      <c r="B535" s="14"/>
      <c r="C535" s="155">
        <f>SUM(C525:C534)</f>
        <v>0</v>
      </c>
      <c r="D535" s="155">
        <f t="shared" ref="D535:AP535" si="270">SUM(D525:D534)</f>
        <v>0</v>
      </c>
      <c r="E535" s="155">
        <f t="shared" si="270"/>
        <v>0</v>
      </c>
      <c r="F535" s="155">
        <f t="shared" si="270"/>
        <v>0</v>
      </c>
      <c r="G535" s="155">
        <f t="shared" si="270"/>
        <v>0</v>
      </c>
      <c r="H535" s="155">
        <f t="shared" si="270"/>
        <v>0</v>
      </c>
      <c r="I535" s="155">
        <f t="shared" si="270"/>
        <v>0</v>
      </c>
      <c r="J535" s="155">
        <f t="shared" si="270"/>
        <v>0</v>
      </c>
      <c r="K535" s="155">
        <f t="shared" si="270"/>
        <v>0</v>
      </c>
      <c r="L535" s="155">
        <f t="shared" si="270"/>
        <v>0</v>
      </c>
      <c r="M535" s="155">
        <f t="shared" si="270"/>
        <v>0</v>
      </c>
      <c r="N535" s="155">
        <f t="shared" si="270"/>
        <v>0</v>
      </c>
      <c r="O535" s="155">
        <f t="shared" si="270"/>
        <v>0</v>
      </c>
      <c r="P535" s="155">
        <f t="shared" si="270"/>
        <v>0</v>
      </c>
      <c r="Q535" s="155">
        <f t="shared" si="270"/>
        <v>0</v>
      </c>
      <c r="R535" s="155">
        <f t="shared" si="270"/>
        <v>0</v>
      </c>
      <c r="S535" s="155">
        <f t="shared" si="270"/>
        <v>0</v>
      </c>
      <c r="T535" s="155">
        <f t="shared" si="270"/>
        <v>0</v>
      </c>
      <c r="U535" s="155">
        <f t="shared" si="270"/>
        <v>0</v>
      </c>
      <c r="V535" s="155">
        <f t="shared" si="270"/>
        <v>0</v>
      </c>
      <c r="W535" s="155">
        <f t="shared" si="270"/>
        <v>0</v>
      </c>
      <c r="X535" s="155">
        <f t="shared" si="270"/>
        <v>0</v>
      </c>
      <c r="Y535" s="155">
        <f t="shared" si="270"/>
        <v>0</v>
      </c>
      <c r="Z535" s="155">
        <f t="shared" si="270"/>
        <v>0</v>
      </c>
      <c r="AA535" s="155">
        <f t="shared" si="270"/>
        <v>0</v>
      </c>
      <c r="AB535" s="155">
        <f t="shared" si="270"/>
        <v>0</v>
      </c>
      <c r="AC535" s="155">
        <f t="shared" si="270"/>
        <v>0</v>
      </c>
      <c r="AD535" s="155">
        <f t="shared" si="270"/>
        <v>0</v>
      </c>
      <c r="AE535" s="155">
        <f t="shared" si="270"/>
        <v>0</v>
      </c>
      <c r="AF535" s="155">
        <f t="shared" si="270"/>
        <v>0</v>
      </c>
      <c r="AG535" s="155">
        <f t="shared" si="270"/>
        <v>0</v>
      </c>
      <c r="AH535" s="155">
        <f t="shared" si="270"/>
        <v>0</v>
      </c>
      <c r="AI535" s="155">
        <f t="shared" si="270"/>
        <v>0</v>
      </c>
      <c r="AJ535" s="155">
        <f t="shared" si="270"/>
        <v>0</v>
      </c>
      <c r="AK535" s="155">
        <f t="shared" si="270"/>
        <v>0</v>
      </c>
      <c r="AL535" s="155">
        <f t="shared" si="270"/>
        <v>0</v>
      </c>
      <c r="AM535" s="155">
        <f t="shared" si="270"/>
        <v>0</v>
      </c>
      <c r="AN535" s="155">
        <f t="shared" si="270"/>
        <v>0</v>
      </c>
      <c r="AO535" s="155">
        <f t="shared" si="270"/>
        <v>0</v>
      </c>
      <c r="AP535" s="155">
        <f t="shared" si="270"/>
        <v>0</v>
      </c>
    </row>
    <row r="536" spans="1:42" x14ac:dyDescent="0.2">
      <c r="A536" s="24"/>
      <c r="B536" s="14"/>
      <c r="C536" s="155"/>
      <c r="D536" s="155"/>
      <c r="E536" s="155"/>
      <c r="F536" s="155"/>
      <c r="G536" s="155"/>
      <c r="H536" s="155"/>
      <c r="I536" s="155"/>
      <c r="J536" s="155"/>
      <c r="K536" s="155"/>
      <c r="L536" s="155"/>
      <c r="M536" s="155"/>
      <c r="N536" s="155"/>
      <c r="O536" s="155"/>
      <c r="P536" s="155"/>
      <c r="Q536" s="155"/>
      <c r="R536" s="155"/>
      <c r="S536" s="155"/>
      <c r="T536" s="155"/>
      <c r="U536" s="155"/>
      <c r="V536" s="155"/>
      <c r="W536" s="155"/>
      <c r="X536" s="155"/>
      <c r="Y536" s="155"/>
      <c r="Z536" s="155"/>
      <c r="AA536" s="155"/>
      <c r="AB536" s="155"/>
      <c r="AC536" s="155"/>
      <c r="AD536" s="155"/>
      <c r="AE536" s="155"/>
      <c r="AF536" s="155"/>
      <c r="AG536" s="155"/>
      <c r="AH536" s="155"/>
      <c r="AI536" s="155"/>
      <c r="AJ536" s="155"/>
      <c r="AK536" s="155"/>
      <c r="AL536" s="155"/>
      <c r="AM536" s="155"/>
      <c r="AN536" s="155"/>
      <c r="AO536" s="155"/>
      <c r="AP536" s="155"/>
    </row>
    <row r="537" spans="1:42" x14ac:dyDescent="0.2">
      <c r="A537" s="208" t="s">
        <v>319</v>
      </c>
      <c r="B537" s="209"/>
      <c r="C537" s="209"/>
      <c r="D537" s="209"/>
      <c r="E537" s="209"/>
      <c r="F537" s="209"/>
      <c r="G537" s="209"/>
      <c r="H537" s="209"/>
      <c r="I537" s="209"/>
      <c r="J537" s="209"/>
      <c r="K537" s="209"/>
      <c r="L537" s="209"/>
      <c r="M537" s="209"/>
      <c r="N537" s="209"/>
      <c r="O537" s="209"/>
      <c r="P537" s="209"/>
      <c r="Q537" s="209"/>
      <c r="R537" s="209"/>
      <c r="S537" s="209"/>
      <c r="T537" s="209"/>
      <c r="U537" s="209"/>
      <c r="V537" s="209"/>
      <c r="W537" s="209"/>
      <c r="X537" s="209"/>
      <c r="Y537" s="209"/>
      <c r="Z537" s="209"/>
      <c r="AA537" s="209"/>
      <c r="AB537" s="209"/>
      <c r="AC537" s="209"/>
      <c r="AD537" s="209"/>
      <c r="AE537" s="209"/>
      <c r="AF537" s="209"/>
      <c r="AG537" s="209"/>
      <c r="AH537" s="209"/>
      <c r="AI537" s="209"/>
      <c r="AJ537" s="209"/>
      <c r="AK537" s="209"/>
      <c r="AL537" s="209"/>
      <c r="AM537" s="209"/>
      <c r="AN537" s="209"/>
      <c r="AO537" s="209"/>
      <c r="AP537" s="209"/>
    </row>
    <row r="538" spans="1:42" x14ac:dyDescent="0.2">
      <c r="A538" s="19" t="s">
        <v>411</v>
      </c>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c r="AL538" s="124"/>
      <c r="AM538" s="124"/>
      <c r="AN538" s="124"/>
      <c r="AO538" s="124"/>
      <c r="AP538" s="124"/>
    </row>
    <row r="539" spans="1:42" x14ac:dyDescent="0.2">
      <c r="A539" s="17" t="s">
        <v>5</v>
      </c>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row>
    <row r="540" spans="1:42" x14ac:dyDescent="0.2">
      <c r="A540" s="86" t="s">
        <v>412</v>
      </c>
      <c r="B540" s="119"/>
      <c r="C540" s="119">
        <f t="array" ref="C540:AP540">Inputs!D178:AQ178</f>
        <v>0</v>
      </c>
      <c r="D540" s="119">
        <v>0</v>
      </c>
      <c r="E540" s="119">
        <v>0</v>
      </c>
      <c r="F540" s="119">
        <v>0</v>
      </c>
      <c r="G540" s="119">
        <v>0</v>
      </c>
      <c r="H540" s="119">
        <v>0</v>
      </c>
      <c r="I540" s="119">
        <v>0</v>
      </c>
      <c r="J540" s="119">
        <v>0</v>
      </c>
      <c r="K540" s="119">
        <v>0</v>
      </c>
      <c r="L540" s="119">
        <v>0</v>
      </c>
      <c r="M540" s="119">
        <v>0</v>
      </c>
      <c r="N540" s="119">
        <v>0</v>
      </c>
      <c r="O540" s="119">
        <v>0</v>
      </c>
      <c r="P540" s="119">
        <v>0</v>
      </c>
      <c r="Q540" s="119">
        <v>0</v>
      </c>
      <c r="R540" s="119">
        <v>0</v>
      </c>
      <c r="S540" s="119">
        <v>0</v>
      </c>
      <c r="T540" s="119">
        <v>0</v>
      </c>
      <c r="U540" s="119">
        <v>0</v>
      </c>
      <c r="V540" s="119">
        <v>0</v>
      </c>
      <c r="W540" s="119">
        <v>0</v>
      </c>
      <c r="X540" s="119">
        <v>0</v>
      </c>
      <c r="Y540" s="119">
        <v>0</v>
      </c>
      <c r="Z540" s="119">
        <v>0</v>
      </c>
      <c r="AA540" s="119">
        <v>0</v>
      </c>
      <c r="AB540" s="119">
        <v>0</v>
      </c>
      <c r="AC540" s="119">
        <v>0</v>
      </c>
      <c r="AD540" s="119">
        <v>0</v>
      </c>
      <c r="AE540" s="119">
        <v>0</v>
      </c>
      <c r="AF540" s="119">
        <v>0</v>
      </c>
      <c r="AG540" s="119">
        <v>0</v>
      </c>
      <c r="AH540" s="119">
        <v>0</v>
      </c>
      <c r="AI540" s="119">
        <v>0</v>
      </c>
      <c r="AJ540" s="119">
        <v>0</v>
      </c>
      <c r="AK540" s="119">
        <v>0</v>
      </c>
      <c r="AL540" s="119">
        <v>0</v>
      </c>
      <c r="AM540" s="119">
        <v>0</v>
      </c>
      <c r="AN540" s="119">
        <v>0</v>
      </c>
      <c r="AO540" s="119">
        <v>0</v>
      </c>
      <c r="AP540" s="119">
        <v>0</v>
      </c>
    </row>
    <row r="541" spans="1:42" x14ac:dyDescent="0.2">
      <c r="A541" s="86" t="s">
        <v>413</v>
      </c>
      <c r="B541" s="119"/>
      <c r="C541" s="119">
        <f t="array" ref="C541:AP541">Inputs!D181:AQ181</f>
        <v>0</v>
      </c>
      <c r="D541" s="119">
        <v>0</v>
      </c>
      <c r="E541" s="119">
        <v>0</v>
      </c>
      <c r="F541" s="119">
        <v>0</v>
      </c>
      <c r="G541" s="119">
        <v>0</v>
      </c>
      <c r="H541" s="119">
        <v>0</v>
      </c>
      <c r="I541" s="119">
        <v>0</v>
      </c>
      <c r="J541" s="119">
        <v>0</v>
      </c>
      <c r="K541" s="119">
        <v>0</v>
      </c>
      <c r="L541" s="119">
        <v>0</v>
      </c>
      <c r="M541" s="119">
        <v>0</v>
      </c>
      <c r="N541" s="119">
        <v>0</v>
      </c>
      <c r="O541" s="119">
        <v>0</v>
      </c>
      <c r="P541" s="119">
        <v>0</v>
      </c>
      <c r="Q541" s="119">
        <v>0</v>
      </c>
      <c r="R541" s="119">
        <v>0</v>
      </c>
      <c r="S541" s="119">
        <v>0</v>
      </c>
      <c r="T541" s="119">
        <v>0</v>
      </c>
      <c r="U541" s="119">
        <v>0</v>
      </c>
      <c r="V541" s="119">
        <v>0</v>
      </c>
      <c r="W541" s="119">
        <v>0</v>
      </c>
      <c r="X541" s="119">
        <v>0</v>
      </c>
      <c r="Y541" s="119">
        <v>0</v>
      </c>
      <c r="Z541" s="119">
        <v>0</v>
      </c>
      <c r="AA541" s="119">
        <v>0</v>
      </c>
      <c r="AB541" s="119">
        <v>0</v>
      </c>
      <c r="AC541" s="119">
        <v>0</v>
      </c>
      <c r="AD541" s="119">
        <v>0</v>
      </c>
      <c r="AE541" s="119">
        <v>0</v>
      </c>
      <c r="AF541" s="119">
        <v>0</v>
      </c>
      <c r="AG541" s="119">
        <v>0</v>
      </c>
      <c r="AH541" s="119">
        <v>0</v>
      </c>
      <c r="AI541" s="119">
        <v>0</v>
      </c>
      <c r="AJ541" s="119">
        <v>0</v>
      </c>
      <c r="AK541" s="119">
        <v>0</v>
      </c>
      <c r="AL541" s="119">
        <v>0</v>
      </c>
      <c r="AM541" s="119">
        <v>0</v>
      </c>
      <c r="AN541" s="119">
        <v>0</v>
      </c>
      <c r="AO541" s="119">
        <v>0</v>
      </c>
      <c r="AP541" s="119">
        <v>0</v>
      </c>
    </row>
    <row r="542" spans="1:42" x14ac:dyDescent="0.2">
      <c r="A542" s="21" t="s">
        <v>414</v>
      </c>
      <c r="B542" s="320"/>
      <c r="C542" s="320">
        <f t="array" ref="C542:AP542">Inputs!D182:AQ182</f>
        <v>0</v>
      </c>
      <c r="D542" s="320">
        <v>0</v>
      </c>
      <c r="E542" s="320">
        <v>0</v>
      </c>
      <c r="F542" s="320">
        <v>0</v>
      </c>
      <c r="G542" s="320">
        <v>0</v>
      </c>
      <c r="H542" s="320">
        <v>0</v>
      </c>
      <c r="I542" s="320">
        <v>0</v>
      </c>
      <c r="J542" s="320">
        <v>0</v>
      </c>
      <c r="K542" s="320">
        <v>0</v>
      </c>
      <c r="L542" s="320">
        <v>0</v>
      </c>
      <c r="M542" s="320">
        <v>0</v>
      </c>
      <c r="N542" s="320">
        <v>0</v>
      </c>
      <c r="O542" s="320">
        <v>0</v>
      </c>
      <c r="P542" s="320">
        <v>0</v>
      </c>
      <c r="Q542" s="320">
        <v>0</v>
      </c>
      <c r="R542" s="320">
        <v>0</v>
      </c>
      <c r="S542" s="320">
        <v>0</v>
      </c>
      <c r="T542" s="320">
        <v>0</v>
      </c>
      <c r="U542" s="320">
        <v>0</v>
      </c>
      <c r="V542" s="320">
        <v>0</v>
      </c>
      <c r="W542" s="320">
        <v>0</v>
      </c>
      <c r="X542" s="320">
        <v>0</v>
      </c>
      <c r="Y542" s="320">
        <v>0</v>
      </c>
      <c r="Z542" s="320">
        <v>0</v>
      </c>
      <c r="AA542" s="320">
        <v>0</v>
      </c>
      <c r="AB542" s="320">
        <v>0</v>
      </c>
      <c r="AC542" s="320">
        <v>0</v>
      </c>
      <c r="AD542" s="320">
        <v>0</v>
      </c>
      <c r="AE542" s="320">
        <v>0</v>
      </c>
      <c r="AF542" s="320">
        <v>0</v>
      </c>
      <c r="AG542" s="320">
        <v>0</v>
      </c>
      <c r="AH542" s="320">
        <v>0</v>
      </c>
      <c r="AI542" s="320">
        <v>0</v>
      </c>
      <c r="AJ542" s="320">
        <v>0</v>
      </c>
      <c r="AK542" s="320">
        <v>0</v>
      </c>
      <c r="AL542" s="320">
        <v>0</v>
      </c>
      <c r="AM542" s="320">
        <v>0</v>
      </c>
      <c r="AN542" s="320">
        <v>0</v>
      </c>
      <c r="AO542" s="320">
        <v>0</v>
      </c>
      <c r="AP542" s="320">
        <v>0</v>
      </c>
    </row>
    <row r="543" spans="1:42" x14ac:dyDescent="0.2">
      <c r="A543" s="21" t="s">
        <v>415</v>
      </c>
      <c r="B543" s="119"/>
      <c r="C543" s="119">
        <f t="shared" ref="C543:AP543" si="271">MIN(C$542,C$541/100*$B$272)</f>
        <v>0</v>
      </c>
      <c r="D543" s="119">
        <f t="shared" si="271"/>
        <v>0</v>
      </c>
      <c r="E543" s="119">
        <f t="shared" si="271"/>
        <v>0</v>
      </c>
      <c r="F543" s="119">
        <f t="shared" si="271"/>
        <v>0</v>
      </c>
      <c r="G543" s="119">
        <f t="shared" si="271"/>
        <v>0</v>
      </c>
      <c r="H543" s="119">
        <f t="shared" si="271"/>
        <v>0</v>
      </c>
      <c r="I543" s="119">
        <f t="shared" si="271"/>
        <v>0</v>
      </c>
      <c r="J543" s="119">
        <f t="shared" si="271"/>
        <v>0</v>
      </c>
      <c r="K543" s="119">
        <f t="shared" si="271"/>
        <v>0</v>
      </c>
      <c r="L543" s="119">
        <f t="shared" si="271"/>
        <v>0</v>
      </c>
      <c r="M543" s="119">
        <f t="shared" si="271"/>
        <v>0</v>
      </c>
      <c r="N543" s="119">
        <f t="shared" si="271"/>
        <v>0</v>
      </c>
      <c r="O543" s="119">
        <f t="shared" si="271"/>
        <v>0</v>
      </c>
      <c r="P543" s="119">
        <f t="shared" si="271"/>
        <v>0</v>
      </c>
      <c r="Q543" s="119">
        <f t="shared" si="271"/>
        <v>0</v>
      </c>
      <c r="R543" s="119">
        <f t="shared" si="271"/>
        <v>0</v>
      </c>
      <c r="S543" s="119">
        <f t="shared" si="271"/>
        <v>0</v>
      </c>
      <c r="T543" s="119">
        <f t="shared" si="271"/>
        <v>0</v>
      </c>
      <c r="U543" s="119">
        <f t="shared" si="271"/>
        <v>0</v>
      </c>
      <c r="V543" s="119">
        <f t="shared" si="271"/>
        <v>0</v>
      </c>
      <c r="W543" s="119">
        <f t="shared" si="271"/>
        <v>0</v>
      </c>
      <c r="X543" s="119">
        <f t="shared" si="271"/>
        <v>0</v>
      </c>
      <c r="Y543" s="119">
        <f t="shared" si="271"/>
        <v>0</v>
      </c>
      <c r="Z543" s="119">
        <f t="shared" si="271"/>
        <v>0</v>
      </c>
      <c r="AA543" s="119">
        <f t="shared" si="271"/>
        <v>0</v>
      </c>
      <c r="AB543" s="119">
        <f t="shared" si="271"/>
        <v>0</v>
      </c>
      <c r="AC543" s="119">
        <f t="shared" si="271"/>
        <v>0</v>
      </c>
      <c r="AD543" s="119">
        <f t="shared" si="271"/>
        <v>0</v>
      </c>
      <c r="AE543" s="119">
        <f t="shared" si="271"/>
        <v>0</v>
      </c>
      <c r="AF543" s="119">
        <f t="shared" si="271"/>
        <v>0</v>
      </c>
      <c r="AG543" s="119">
        <f t="shared" si="271"/>
        <v>0</v>
      </c>
      <c r="AH543" s="119">
        <f t="shared" si="271"/>
        <v>0</v>
      </c>
      <c r="AI543" s="119">
        <f t="shared" si="271"/>
        <v>0</v>
      </c>
      <c r="AJ543" s="119">
        <f t="shared" si="271"/>
        <v>0</v>
      </c>
      <c r="AK543" s="119">
        <f t="shared" si="271"/>
        <v>0</v>
      </c>
      <c r="AL543" s="119">
        <f t="shared" si="271"/>
        <v>0</v>
      </c>
      <c r="AM543" s="119">
        <f t="shared" si="271"/>
        <v>0</v>
      </c>
      <c r="AN543" s="119">
        <f t="shared" si="271"/>
        <v>0</v>
      </c>
      <c r="AO543" s="119">
        <f t="shared" si="271"/>
        <v>0</v>
      </c>
      <c r="AP543" s="119">
        <f t="shared" si="271"/>
        <v>0</v>
      </c>
    </row>
    <row r="544" spans="1:42" x14ac:dyDescent="0.2">
      <c r="A544" s="86" t="s">
        <v>13</v>
      </c>
      <c r="B544" s="119"/>
      <c r="C544" s="119">
        <f>C$540+C$543</f>
        <v>0</v>
      </c>
      <c r="D544" s="119">
        <f t="shared" ref="D544:AP544" si="272">D$540+D$543</f>
        <v>0</v>
      </c>
      <c r="E544" s="119">
        <f t="shared" si="272"/>
        <v>0</v>
      </c>
      <c r="F544" s="119">
        <f t="shared" si="272"/>
        <v>0</v>
      </c>
      <c r="G544" s="119">
        <f t="shared" si="272"/>
        <v>0</v>
      </c>
      <c r="H544" s="119">
        <f t="shared" si="272"/>
        <v>0</v>
      </c>
      <c r="I544" s="119">
        <f t="shared" si="272"/>
        <v>0</v>
      </c>
      <c r="J544" s="119">
        <f t="shared" si="272"/>
        <v>0</v>
      </c>
      <c r="K544" s="119">
        <f t="shared" si="272"/>
        <v>0</v>
      </c>
      <c r="L544" s="119">
        <f t="shared" si="272"/>
        <v>0</v>
      </c>
      <c r="M544" s="119">
        <f t="shared" si="272"/>
        <v>0</v>
      </c>
      <c r="N544" s="119">
        <f t="shared" si="272"/>
        <v>0</v>
      </c>
      <c r="O544" s="119">
        <f t="shared" si="272"/>
        <v>0</v>
      </c>
      <c r="P544" s="119">
        <f t="shared" si="272"/>
        <v>0</v>
      </c>
      <c r="Q544" s="119">
        <f t="shared" si="272"/>
        <v>0</v>
      </c>
      <c r="R544" s="119">
        <f t="shared" si="272"/>
        <v>0</v>
      </c>
      <c r="S544" s="119">
        <f t="shared" si="272"/>
        <v>0</v>
      </c>
      <c r="T544" s="119">
        <f t="shared" si="272"/>
        <v>0</v>
      </c>
      <c r="U544" s="119">
        <f t="shared" si="272"/>
        <v>0</v>
      </c>
      <c r="V544" s="119">
        <f t="shared" si="272"/>
        <v>0</v>
      </c>
      <c r="W544" s="119">
        <f t="shared" si="272"/>
        <v>0</v>
      </c>
      <c r="X544" s="119">
        <f t="shared" si="272"/>
        <v>0</v>
      </c>
      <c r="Y544" s="119">
        <f t="shared" si="272"/>
        <v>0</v>
      </c>
      <c r="Z544" s="119">
        <f t="shared" si="272"/>
        <v>0</v>
      </c>
      <c r="AA544" s="119">
        <f t="shared" si="272"/>
        <v>0</v>
      </c>
      <c r="AB544" s="119">
        <f t="shared" si="272"/>
        <v>0</v>
      </c>
      <c r="AC544" s="119">
        <f t="shared" si="272"/>
        <v>0</v>
      </c>
      <c r="AD544" s="119">
        <f t="shared" si="272"/>
        <v>0</v>
      </c>
      <c r="AE544" s="119">
        <f t="shared" si="272"/>
        <v>0</v>
      </c>
      <c r="AF544" s="119">
        <f t="shared" si="272"/>
        <v>0</v>
      </c>
      <c r="AG544" s="119">
        <f t="shared" si="272"/>
        <v>0</v>
      </c>
      <c r="AH544" s="119">
        <f t="shared" si="272"/>
        <v>0</v>
      </c>
      <c r="AI544" s="119">
        <f t="shared" si="272"/>
        <v>0</v>
      </c>
      <c r="AJ544" s="119">
        <f t="shared" si="272"/>
        <v>0</v>
      </c>
      <c r="AK544" s="119">
        <f t="shared" si="272"/>
        <v>0</v>
      </c>
      <c r="AL544" s="119">
        <f t="shared" si="272"/>
        <v>0</v>
      </c>
      <c r="AM544" s="119">
        <f t="shared" si="272"/>
        <v>0</v>
      </c>
      <c r="AN544" s="119">
        <f t="shared" si="272"/>
        <v>0</v>
      </c>
      <c r="AO544" s="119">
        <f t="shared" si="272"/>
        <v>0</v>
      </c>
      <c r="AP544" s="119">
        <f t="shared" si="272"/>
        <v>0</v>
      </c>
    </row>
    <row r="545" spans="1:42" x14ac:dyDescent="0.2">
      <c r="A545" s="17" t="s">
        <v>4</v>
      </c>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row>
    <row r="546" spans="1:42" x14ac:dyDescent="0.2">
      <c r="A546" s="86" t="s">
        <v>412</v>
      </c>
      <c r="B546" s="119"/>
      <c r="C546" s="119">
        <f t="array" ref="C546:AP546">Inputs!D177:AQ177</f>
        <v>0</v>
      </c>
      <c r="D546" s="119">
        <v>0</v>
      </c>
      <c r="E546" s="119">
        <v>0</v>
      </c>
      <c r="F546" s="119">
        <v>0</v>
      </c>
      <c r="G546" s="119">
        <v>0</v>
      </c>
      <c r="H546" s="119">
        <v>0</v>
      </c>
      <c r="I546" s="119">
        <v>0</v>
      </c>
      <c r="J546" s="119">
        <v>0</v>
      </c>
      <c r="K546" s="119">
        <v>0</v>
      </c>
      <c r="L546" s="119">
        <v>0</v>
      </c>
      <c r="M546" s="119">
        <v>0</v>
      </c>
      <c r="N546" s="119">
        <v>0</v>
      </c>
      <c r="O546" s="119">
        <v>0</v>
      </c>
      <c r="P546" s="119">
        <v>0</v>
      </c>
      <c r="Q546" s="119">
        <v>0</v>
      </c>
      <c r="R546" s="119">
        <v>0</v>
      </c>
      <c r="S546" s="119">
        <v>0</v>
      </c>
      <c r="T546" s="119">
        <v>0</v>
      </c>
      <c r="U546" s="119">
        <v>0</v>
      </c>
      <c r="V546" s="119">
        <v>0</v>
      </c>
      <c r="W546" s="119">
        <v>0</v>
      </c>
      <c r="X546" s="119">
        <v>0</v>
      </c>
      <c r="Y546" s="119">
        <v>0</v>
      </c>
      <c r="Z546" s="119">
        <v>0</v>
      </c>
      <c r="AA546" s="119">
        <v>0</v>
      </c>
      <c r="AB546" s="119">
        <v>0</v>
      </c>
      <c r="AC546" s="119">
        <v>0</v>
      </c>
      <c r="AD546" s="119">
        <v>0</v>
      </c>
      <c r="AE546" s="119">
        <v>0</v>
      </c>
      <c r="AF546" s="119">
        <v>0</v>
      </c>
      <c r="AG546" s="119">
        <v>0</v>
      </c>
      <c r="AH546" s="119">
        <v>0</v>
      </c>
      <c r="AI546" s="119">
        <v>0</v>
      </c>
      <c r="AJ546" s="119">
        <v>0</v>
      </c>
      <c r="AK546" s="119">
        <v>0</v>
      </c>
      <c r="AL546" s="119">
        <v>0</v>
      </c>
      <c r="AM546" s="119">
        <v>0</v>
      </c>
      <c r="AN546" s="119">
        <v>0</v>
      </c>
      <c r="AO546" s="119">
        <v>0</v>
      </c>
      <c r="AP546" s="119">
        <v>0</v>
      </c>
    </row>
    <row r="547" spans="1:42" x14ac:dyDescent="0.2">
      <c r="A547" s="86" t="s">
        <v>416</v>
      </c>
      <c r="B547" s="119"/>
      <c r="C547" s="119">
        <f t="array" ref="C547:AP547">Inputs!D179:AQ179</f>
        <v>0</v>
      </c>
      <c r="D547" s="119">
        <v>0</v>
      </c>
      <c r="E547" s="119">
        <v>0</v>
      </c>
      <c r="F547" s="119">
        <v>0</v>
      </c>
      <c r="G547" s="119">
        <v>0</v>
      </c>
      <c r="H547" s="119">
        <v>0</v>
      </c>
      <c r="I547" s="119">
        <v>0</v>
      </c>
      <c r="J547" s="119">
        <v>0</v>
      </c>
      <c r="K547" s="119">
        <v>0</v>
      </c>
      <c r="L547" s="119">
        <v>0</v>
      </c>
      <c r="M547" s="119">
        <v>0</v>
      </c>
      <c r="N547" s="119">
        <v>0</v>
      </c>
      <c r="O547" s="119">
        <v>0</v>
      </c>
      <c r="P547" s="119">
        <v>0</v>
      </c>
      <c r="Q547" s="119">
        <v>0</v>
      </c>
      <c r="R547" s="119">
        <v>0</v>
      </c>
      <c r="S547" s="119">
        <v>0</v>
      </c>
      <c r="T547" s="119">
        <v>0</v>
      </c>
      <c r="U547" s="119">
        <v>0</v>
      </c>
      <c r="V547" s="119">
        <v>0</v>
      </c>
      <c r="W547" s="119">
        <v>0</v>
      </c>
      <c r="X547" s="119">
        <v>0</v>
      </c>
      <c r="Y547" s="119">
        <v>0</v>
      </c>
      <c r="Z547" s="119">
        <v>0</v>
      </c>
      <c r="AA547" s="119">
        <v>0</v>
      </c>
      <c r="AB547" s="119">
        <v>0</v>
      </c>
      <c r="AC547" s="119">
        <v>0</v>
      </c>
      <c r="AD547" s="119">
        <v>0</v>
      </c>
      <c r="AE547" s="119">
        <v>0</v>
      </c>
      <c r="AF547" s="119">
        <v>0</v>
      </c>
      <c r="AG547" s="119">
        <v>0</v>
      </c>
      <c r="AH547" s="119">
        <v>0</v>
      </c>
      <c r="AI547" s="119">
        <v>0</v>
      </c>
      <c r="AJ547" s="119">
        <v>0</v>
      </c>
      <c r="AK547" s="119">
        <v>0</v>
      </c>
      <c r="AL547" s="119">
        <v>0</v>
      </c>
      <c r="AM547" s="119">
        <v>0</v>
      </c>
      <c r="AN547" s="119">
        <v>0</v>
      </c>
      <c r="AO547" s="119">
        <v>0</v>
      </c>
      <c r="AP547" s="119">
        <v>0</v>
      </c>
    </row>
    <row r="548" spans="1:42" x14ac:dyDescent="0.2">
      <c r="A548" s="21" t="s">
        <v>414</v>
      </c>
      <c r="B548" s="320"/>
      <c r="C548" s="320">
        <f t="array" ref="C548:AP548">Inputs!D180:AQ180</f>
        <v>0</v>
      </c>
      <c r="D548" s="320">
        <v>0</v>
      </c>
      <c r="E548" s="320">
        <v>0</v>
      </c>
      <c r="F548" s="320">
        <v>0</v>
      </c>
      <c r="G548" s="320">
        <v>0</v>
      </c>
      <c r="H548" s="320">
        <v>0</v>
      </c>
      <c r="I548" s="320">
        <v>0</v>
      </c>
      <c r="J548" s="320">
        <v>0</v>
      </c>
      <c r="K548" s="320">
        <v>0</v>
      </c>
      <c r="L548" s="320">
        <v>0</v>
      </c>
      <c r="M548" s="320">
        <v>0</v>
      </c>
      <c r="N548" s="320">
        <v>0</v>
      </c>
      <c r="O548" s="320">
        <v>0</v>
      </c>
      <c r="P548" s="320">
        <v>0</v>
      </c>
      <c r="Q548" s="320">
        <v>0</v>
      </c>
      <c r="R548" s="320">
        <v>0</v>
      </c>
      <c r="S548" s="320">
        <v>0</v>
      </c>
      <c r="T548" s="320">
        <v>0</v>
      </c>
      <c r="U548" s="320">
        <v>0</v>
      </c>
      <c r="V548" s="320">
        <v>0</v>
      </c>
      <c r="W548" s="320">
        <v>0</v>
      </c>
      <c r="X548" s="320">
        <v>0</v>
      </c>
      <c r="Y548" s="320">
        <v>0</v>
      </c>
      <c r="Z548" s="320">
        <v>0</v>
      </c>
      <c r="AA548" s="320">
        <v>0</v>
      </c>
      <c r="AB548" s="320">
        <v>0</v>
      </c>
      <c r="AC548" s="320">
        <v>0</v>
      </c>
      <c r="AD548" s="320">
        <v>0</v>
      </c>
      <c r="AE548" s="320">
        <v>0</v>
      </c>
      <c r="AF548" s="320">
        <v>0</v>
      </c>
      <c r="AG548" s="320">
        <v>0</v>
      </c>
      <c r="AH548" s="320">
        <v>0</v>
      </c>
      <c r="AI548" s="320">
        <v>0</v>
      </c>
      <c r="AJ548" s="320">
        <v>0</v>
      </c>
      <c r="AK548" s="320">
        <v>0</v>
      </c>
      <c r="AL548" s="320">
        <v>0</v>
      </c>
      <c r="AM548" s="320">
        <v>0</v>
      </c>
      <c r="AN548" s="320">
        <v>0</v>
      </c>
      <c r="AO548" s="320">
        <v>0</v>
      </c>
      <c r="AP548" s="320">
        <v>0</v>
      </c>
    </row>
    <row r="549" spans="1:42" x14ac:dyDescent="0.2">
      <c r="A549" s="86" t="s">
        <v>415</v>
      </c>
      <c r="B549" s="119"/>
      <c r="C549" s="119">
        <f t="shared" ref="C549:AP549" si="273">MIN(C$548,C$547/100*$B$410)</f>
        <v>0</v>
      </c>
      <c r="D549" s="119">
        <f t="shared" si="273"/>
        <v>0</v>
      </c>
      <c r="E549" s="119">
        <f t="shared" si="273"/>
        <v>0</v>
      </c>
      <c r="F549" s="119">
        <f t="shared" si="273"/>
        <v>0</v>
      </c>
      <c r="G549" s="119">
        <f t="shared" si="273"/>
        <v>0</v>
      </c>
      <c r="H549" s="119">
        <f t="shared" si="273"/>
        <v>0</v>
      </c>
      <c r="I549" s="119">
        <f t="shared" si="273"/>
        <v>0</v>
      </c>
      <c r="J549" s="119">
        <f t="shared" si="273"/>
        <v>0</v>
      </c>
      <c r="K549" s="119">
        <f t="shared" si="273"/>
        <v>0</v>
      </c>
      <c r="L549" s="119">
        <f t="shared" si="273"/>
        <v>0</v>
      </c>
      <c r="M549" s="119">
        <f t="shared" si="273"/>
        <v>0</v>
      </c>
      <c r="N549" s="119">
        <f t="shared" si="273"/>
        <v>0</v>
      </c>
      <c r="O549" s="119">
        <f t="shared" si="273"/>
        <v>0</v>
      </c>
      <c r="P549" s="119">
        <f t="shared" si="273"/>
        <v>0</v>
      </c>
      <c r="Q549" s="119">
        <f t="shared" si="273"/>
        <v>0</v>
      </c>
      <c r="R549" s="119">
        <f t="shared" si="273"/>
        <v>0</v>
      </c>
      <c r="S549" s="119">
        <f t="shared" si="273"/>
        <v>0</v>
      </c>
      <c r="T549" s="119">
        <f t="shared" si="273"/>
        <v>0</v>
      </c>
      <c r="U549" s="119">
        <f t="shared" si="273"/>
        <v>0</v>
      </c>
      <c r="V549" s="119">
        <f t="shared" si="273"/>
        <v>0</v>
      </c>
      <c r="W549" s="119">
        <f t="shared" si="273"/>
        <v>0</v>
      </c>
      <c r="X549" s="119">
        <f t="shared" si="273"/>
        <v>0</v>
      </c>
      <c r="Y549" s="119">
        <f t="shared" si="273"/>
        <v>0</v>
      </c>
      <c r="Z549" s="119">
        <f t="shared" si="273"/>
        <v>0</v>
      </c>
      <c r="AA549" s="119">
        <f t="shared" si="273"/>
        <v>0</v>
      </c>
      <c r="AB549" s="119">
        <f t="shared" si="273"/>
        <v>0</v>
      </c>
      <c r="AC549" s="119">
        <f t="shared" si="273"/>
        <v>0</v>
      </c>
      <c r="AD549" s="119">
        <f t="shared" si="273"/>
        <v>0</v>
      </c>
      <c r="AE549" s="119">
        <f t="shared" si="273"/>
        <v>0</v>
      </c>
      <c r="AF549" s="119">
        <f t="shared" si="273"/>
        <v>0</v>
      </c>
      <c r="AG549" s="119">
        <f t="shared" si="273"/>
        <v>0</v>
      </c>
      <c r="AH549" s="119">
        <f t="shared" si="273"/>
        <v>0</v>
      </c>
      <c r="AI549" s="119">
        <f t="shared" si="273"/>
        <v>0</v>
      </c>
      <c r="AJ549" s="119">
        <f t="shared" si="273"/>
        <v>0</v>
      </c>
      <c r="AK549" s="119">
        <f t="shared" si="273"/>
        <v>0</v>
      </c>
      <c r="AL549" s="119">
        <f t="shared" si="273"/>
        <v>0</v>
      </c>
      <c r="AM549" s="119">
        <f t="shared" si="273"/>
        <v>0</v>
      </c>
      <c r="AN549" s="119">
        <f t="shared" si="273"/>
        <v>0</v>
      </c>
      <c r="AO549" s="119">
        <f t="shared" si="273"/>
        <v>0</v>
      </c>
      <c r="AP549" s="119">
        <f t="shared" si="273"/>
        <v>0</v>
      </c>
    </row>
    <row r="550" spans="1:42" x14ac:dyDescent="0.2">
      <c r="A550" s="86" t="s">
        <v>13</v>
      </c>
      <c r="B550" s="14"/>
      <c r="C550" s="119">
        <f>C$546+C$549</f>
        <v>0</v>
      </c>
      <c r="D550" s="119">
        <f t="shared" ref="D550:AP550" si="274">D$546+D$549</f>
        <v>0</v>
      </c>
      <c r="E550" s="119">
        <f t="shared" si="274"/>
        <v>0</v>
      </c>
      <c r="F550" s="119">
        <f t="shared" si="274"/>
        <v>0</v>
      </c>
      <c r="G550" s="119">
        <f t="shared" si="274"/>
        <v>0</v>
      </c>
      <c r="H550" s="119">
        <f t="shared" si="274"/>
        <v>0</v>
      </c>
      <c r="I550" s="119">
        <f t="shared" si="274"/>
        <v>0</v>
      </c>
      <c r="J550" s="119">
        <f t="shared" si="274"/>
        <v>0</v>
      </c>
      <c r="K550" s="119">
        <f t="shared" si="274"/>
        <v>0</v>
      </c>
      <c r="L550" s="119">
        <f t="shared" si="274"/>
        <v>0</v>
      </c>
      <c r="M550" s="119">
        <f t="shared" si="274"/>
        <v>0</v>
      </c>
      <c r="N550" s="119">
        <f t="shared" si="274"/>
        <v>0</v>
      </c>
      <c r="O550" s="119">
        <f t="shared" si="274"/>
        <v>0</v>
      </c>
      <c r="P550" s="119">
        <f t="shared" si="274"/>
        <v>0</v>
      </c>
      <c r="Q550" s="119">
        <f t="shared" si="274"/>
        <v>0</v>
      </c>
      <c r="R550" s="119">
        <f t="shared" si="274"/>
        <v>0</v>
      </c>
      <c r="S550" s="119">
        <f t="shared" si="274"/>
        <v>0</v>
      </c>
      <c r="T550" s="119">
        <f t="shared" si="274"/>
        <v>0</v>
      </c>
      <c r="U550" s="119">
        <f t="shared" si="274"/>
        <v>0</v>
      </c>
      <c r="V550" s="119">
        <f t="shared" si="274"/>
        <v>0</v>
      </c>
      <c r="W550" s="119">
        <f t="shared" si="274"/>
        <v>0</v>
      </c>
      <c r="X550" s="119">
        <f t="shared" si="274"/>
        <v>0</v>
      </c>
      <c r="Y550" s="119">
        <f t="shared" si="274"/>
        <v>0</v>
      </c>
      <c r="Z550" s="119">
        <f t="shared" si="274"/>
        <v>0</v>
      </c>
      <c r="AA550" s="119">
        <f t="shared" si="274"/>
        <v>0</v>
      </c>
      <c r="AB550" s="119">
        <f t="shared" si="274"/>
        <v>0</v>
      </c>
      <c r="AC550" s="119">
        <f t="shared" si="274"/>
        <v>0</v>
      </c>
      <c r="AD550" s="119">
        <f t="shared" si="274"/>
        <v>0</v>
      </c>
      <c r="AE550" s="119">
        <f t="shared" si="274"/>
        <v>0</v>
      </c>
      <c r="AF550" s="119">
        <f t="shared" si="274"/>
        <v>0</v>
      </c>
      <c r="AG550" s="119">
        <f t="shared" si="274"/>
        <v>0</v>
      </c>
      <c r="AH550" s="119">
        <f t="shared" si="274"/>
        <v>0</v>
      </c>
      <c r="AI550" s="119">
        <f t="shared" si="274"/>
        <v>0</v>
      </c>
      <c r="AJ550" s="119">
        <f t="shared" si="274"/>
        <v>0</v>
      </c>
      <c r="AK550" s="119">
        <f t="shared" si="274"/>
        <v>0</v>
      </c>
      <c r="AL550" s="119">
        <f t="shared" si="274"/>
        <v>0</v>
      </c>
      <c r="AM550" s="119">
        <f t="shared" si="274"/>
        <v>0</v>
      </c>
      <c r="AN550" s="119">
        <f t="shared" si="274"/>
        <v>0</v>
      </c>
      <c r="AO550" s="119">
        <f t="shared" si="274"/>
        <v>0</v>
      </c>
      <c r="AP550" s="119">
        <f t="shared" si="274"/>
        <v>0</v>
      </c>
    </row>
    <row r="551" spans="1:42" x14ac:dyDescent="0.2">
      <c r="A551" s="19"/>
    </row>
    <row r="552" spans="1:42" x14ac:dyDescent="0.2">
      <c r="A552" s="19" t="s">
        <v>62</v>
      </c>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row>
    <row r="553" spans="1:42" x14ac:dyDescent="0.2">
      <c r="A553" s="17" t="s">
        <v>5</v>
      </c>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row>
    <row r="554" spans="1:42" x14ac:dyDescent="0.2">
      <c r="A554" s="21" t="s">
        <v>261</v>
      </c>
      <c r="C554" s="108">
        <f>IF(ptc_sta_amount="n/a",Inputs!D185,IF(C$2&lt;=ptc_sta_term,ptc_sta_amount*(1+ptc_sta_escal/100)^B$2,0))</f>
        <v>0</v>
      </c>
      <c r="D554" s="108">
        <f>IF(ptc_sta_amount="n/a",Inputs!E185,IF(D$2&lt;=ptc_sta_term,ptc_sta_amount*(1+ptc_sta_escal/100)^C$2,0))</f>
        <v>0</v>
      </c>
      <c r="E554" s="108">
        <f>IF(ptc_sta_amount="n/a",Inputs!F185,IF(E$2&lt;=ptc_sta_term,ptc_sta_amount*(1+ptc_sta_escal/100)^D$2,0))</f>
        <v>0</v>
      </c>
      <c r="F554" s="108">
        <f>IF(ptc_sta_amount="n/a",Inputs!G185,IF(F$2&lt;=ptc_sta_term,ptc_sta_amount*(1+ptc_sta_escal/100)^E$2,0))</f>
        <v>0</v>
      </c>
      <c r="G554" s="108">
        <f>IF(ptc_sta_amount="n/a",Inputs!H185,IF(G$2&lt;=ptc_sta_term,ptc_sta_amount*(1+ptc_sta_escal/100)^F$2,0))</f>
        <v>0</v>
      </c>
      <c r="H554" s="108">
        <f>IF(ptc_sta_amount="n/a",Inputs!I185,IF(H$2&lt;=ptc_sta_term,ptc_sta_amount*(1+ptc_sta_escal/100)^G$2,0))</f>
        <v>0</v>
      </c>
      <c r="I554" s="108">
        <f>IF(ptc_sta_amount="n/a",Inputs!J185,IF(I$2&lt;=ptc_sta_term,ptc_sta_amount*(1+ptc_sta_escal/100)^H$2,0))</f>
        <v>0</v>
      </c>
      <c r="J554" s="108">
        <f>IF(ptc_sta_amount="n/a",Inputs!K185,IF(J$2&lt;=ptc_sta_term,ptc_sta_amount*(1+ptc_sta_escal/100)^I$2,0))</f>
        <v>0</v>
      </c>
      <c r="K554" s="108">
        <f>IF(ptc_sta_amount="n/a",Inputs!L185,IF(K$2&lt;=ptc_sta_term,ptc_sta_amount*(1+ptc_sta_escal/100)^J$2,0))</f>
        <v>0</v>
      </c>
      <c r="L554" s="108">
        <f>IF(ptc_sta_amount="n/a",Inputs!M185,IF(L$2&lt;=ptc_sta_term,ptc_sta_amount*(1+ptc_sta_escal/100)^K$2,0))</f>
        <v>0</v>
      </c>
      <c r="M554" s="108">
        <f>IF(ptc_sta_amount="n/a",Inputs!N185,IF(M$2&lt;=ptc_sta_term,ptc_sta_amount*(1+ptc_sta_escal/100)^L$2,0))</f>
        <v>0</v>
      </c>
      <c r="N554" s="108">
        <f>IF(ptc_sta_amount="n/a",Inputs!O185,IF(N$2&lt;=ptc_sta_term,ptc_sta_amount*(1+ptc_sta_escal/100)^M$2,0))</f>
        <v>0</v>
      </c>
      <c r="O554" s="108">
        <f>IF(ptc_sta_amount="n/a",Inputs!P185,IF(O$2&lt;=ptc_sta_term,ptc_sta_amount*(1+ptc_sta_escal/100)^N$2,0))</f>
        <v>0</v>
      </c>
      <c r="P554" s="108">
        <f>IF(ptc_sta_amount="n/a",Inputs!Q185,IF(P$2&lt;=ptc_sta_term,ptc_sta_amount*(1+ptc_sta_escal/100)^O$2,0))</f>
        <v>0</v>
      </c>
      <c r="Q554" s="108">
        <f>IF(ptc_sta_amount="n/a",Inputs!R185,IF(Q$2&lt;=ptc_sta_term,ptc_sta_amount*(1+ptc_sta_escal/100)^P$2,0))</f>
        <v>0</v>
      </c>
      <c r="R554" s="108">
        <f>IF(ptc_sta_amount="n/a",Inputs!S185,IF(R$2&lt;=ptc_sta_term,ptc_sta_amount*(1+ptc_sta_escal/100)^Q$2,0))</f>
        <v>0</v>
      </c>
      <c r="S554" s="108">
        <f>IF(ptc_sta_amount="n/a",Inputs!T185,IF(S$2&lt;=ptc_sta_term,ptc_sta_amount*(1+ptc_sta_escal/100)^R$2,0))</f>
        <v>0</v>
      </c>
      <c r="T554" s="108">
        <f>IF(ptc_sta_amount="n/a",Inputs!U185,IF(T$2&lt;=ptc_sta_term,ptc_sta_amount*(1+ptc_sta_escal/100)^S$2,0))</f>
        <v>0</v>
      </c>
      <c r="U554" s="108">
        <f>IF(ptc_sta_amount="n/a",Inputs!V185,IF(U$2&lt;=ptc_sta_term,ptc_sta_amount*(1+ptc_sta_escal/100)^T$2,0))</f>
        <v>0</v>
      </c>
      <c r="V554" s="108">
        <f>IF(ptc_sta_amount="n/a",Inputs!W185,IF(V$2&lt;=ptc_sta_term,ptc_sta_amount*(1+ptc_sta_escal/100)^U$2,0))</f>
        <v>0</v>
      </c>
      <c r="W554" s="108">
        <f>IF(ptc_sta_amount="n/a",Inputs!X185,IF(W$2&lt;=ptc_sta_term,ptc_sta_amount*(1+ptc_sta_escal/100)^V$2,0))</f>
        <v>0</v>
      </c>
      <c r="X554" s="108">
        <f>IF(ptc_sta_amount="n/a",Inputs!Y185,IF(X$2&lt;=ptc_sta_term,ptc_sta_amount*(1+ptc_sta_escal/100)^W$2,0))</f>
        <v>0</v>
      </c>
      <c r="Y554" s="108">
        <f>IF(ptc_sta_amount="n/a",Inputs!Z185,IF(Y$2&lt;=ptc_sta_term,ptc_sta_amount*(1+ptc_sta_escal/100)^X$2,0))</f>
        <v>0</v>
      </c>
      <c r="Z554" s="108">
        <f>IF(ptc_sta_amount="n/a",Inputs!AA185,IF(Z$2&lt;=ptc_sta_term,ptc_sta_amount*(1+ptc_sta_escal/100)^Y$2,0))</f>
        <v>0</v>
      </c>
      <c r="AA554" s="108">
        <f>IF(ptc_sta_amount="n/a",Inputs!AB185,IF(AA$2&lt;=ptc_sta_term,ptc_sta_amount*(1+ptc_sta_escal/100)^Z$2,0))</f>
        <v>0</v>
      </c>
      <c r="AB554" s="108">
        <f>IF(ptc_sta_amount="n/a",Inputs!AC185,IF(AB$2&lt;=ptc_sta_term,ptc_sta_amount*(1+ptc_sta_escal/100)^AA$2,0))</f>
        <v>0</v>
      </c>
      <c r="AC554" s="108">
        <f>IF(ptc_sta_amount="n/a",Inputs!AD185,IF(AC$2&lt;=ptc_sta_term,ptc_sta_amount*(1+ptc_sta_escal/100)^AB$2,0))</f>
        <v>0</v>
      </c>
      <c r="AD554" s="108">
        <f>IF(ptc_sta_amount="n/a",Inputs!AE185,IF(AD$2&lt;=ptc_sta_term,ptc_sta_amount*(1+ptc_sta_escal/100)^AC$2,0))</f>
        <v>0</v>
      </c>
      <c r="AE554" s="108">
        <f>IF(ptc_sta_amount="n/a",Inputs!AF185,IF(AE$2&lt;=ptc_sta_term,ptc_sta_amount*(1+ptc_sta_escal/100)^AD$2,0))</f>
        <v>0</v>
      </c>
      <c r="AF554" s="108">
        <f>IF(ptc_sta_amount="n/a",Inputs!AG185,IF(AF$2&lt;=ptc_sta_term,ptc_sta_amount*(1+ptc_sta_escal/100)^AE$2,0))</f>
        <v>0</v>
      </c>
      <c r="AG554" s="108">
        <f>IF(ptc_sta_amount="n/a",Inputs!AH185,IF(AG$2&lt;=ptc_sta_term,ptc_sta_amount*(1+ptc_sta_escal/100)^AF$2,0))</f>
        <v>0</v>
      </c>
      <c r="AH554" s="108">
        <f>IF(ptc_sta_amount="n/a",Inputs!AI185,IF(AH$2&lt;=ptc_sta_term,ptc_sta_amount*(1+ptc_sta_escal/100)^AG$2,0))</f>
        <v>0</v>
      </c>
      <c r="AI554" s="108">
        <f>IF(ptc_sta_amount="n/a",Inputs!AJ185,IF(AI$2&lt;=ptc_sta_term,ptc_sta_amount*(1+ptc_sta_escal/100)^AH$2,0))</f>
        <v>0</v>
      </c>
      <c r="AJ554" s="108">
        <f>IF(ptc_sta_amount="n/a",Inputs!AK185,IF(AJ$2&lt;=ptc_sta_term,ptc_sta_amount*(1+ptc_sta_escal/100)^AI$2,0))</f>
        <v>0</v>
      </c>
      <c r="AK554" s="108">
        <f>IF(ptc_sta_amount="n/a",Inputs!AL185,IF(AK$2&lt;=ptc_sta_term,ptc_sta_amount*(1+ptc_sta_escal/100)^AJ$2,0))</f>
        <v>0</v>
      </c>
      <c r="AL554" s="108">
        <f>IF(ptc_sta_amount="n/a",Inputs!AM185,IF(AL$2&lt;=ptc_sta_term,ptc_sta_amount*(1+ptc_sta_escal/100)^AK$2,0))</f>
        <v>0</v>
      </c>
      <c r="AM554" s="108">
        <f>IF(ptc_sta_amount="n/a",Inputs!AN185,IF(AM$2&lt;=ptc_sta_term,ptc_sta_amount*(1+ptc_sta_escal/100)^AL$2,0))</f>
        <v>0</v>
      </c>
      <c r="AN554" s="108">
        <f>IF(ptc_sta_amount="n/a",Inputs!AO185,IF(AN$2&lt;=ptc_sta_term,ptc_sta_amount*(1+ptc_sta_escal/100)^AM$2,0))</f>
        <v>0</v>
      </c>
      <c r="AO554" s="108">
        <f>IF(ptc_sta_amount="n/a",Inputs!AP185,IF(AO$2&lt;=ptc_sta_term,ptc_sta_amount*(1+ptc_sta_escal/100)^AN$2,0))</f>
        <v>0</v>
      </c>
      <c r="AP554" s="108">
        <f>IF(ptc_sta_amount="n/a",Inputs!AQ185,IF(AP$2&lt;=ptc_sta_term,ptc_sta_amount*(1+ptc_sta_escal/100)^AO$2,0))</f>
        <v>0</v>
      </c>
    </row>
    <row r="555" spans="1:42" x14ac:dyDescent="0.2">
      <c r="A555" s="21" t="s">
        <v>262</v>
      </c>
      <c r="C555" s="108">
        <f>ROUND(C554*1000,0)</f>
        <v>0</v>
      </c>
      <c r="D555" s="108">
        <f>ROUND(D554*1000,0)</f>
        <v>0</v>
      </c>
      <c r="E555" s="108">
        <f t="shared" ref="E555:AP555" si="275">ROUND(E554*1000,0)</f>
        <v>0</v>
      </c>
      <c r="F555" s="108">
        <f t="shared" si="275"/>
        <v>0</v>
      </c>
      <c r="G555" s="108">
        <f t="shared" si="275"/>
        <v>0</v>
      </c>
      <c r="H555" s="108">
        <f t="shared" si="275"/>
        <v>0</v>
      </c>
      <c r="I555" s="108">
        <f t="shared" si="275"/>
        <v>0</v>
      </c>
      <c r="J555" s="108">
        <f t="shared" si="275"/>
        <v>0</v>
      </c>
      <c r="K555" s="108">
        <f t="shared" si="275"/>
        <v>0</v>
      </c>
      <c r="L555" s="108">
        <f t="shared" si="275"/>
        <v>0</v>
      </c>
      <c r="M555" s="108">
        <f t="shared" si="275"/>
        <v>0</v>
      </c>
      <c r="N555" s="108">
        <f t="shared" si="275"/>
        <v>0</v>
      </c>
      <c r="O555" s="108">
        <f t="shared" si="275"/>
        <v>0</v>
      </c>
      <c r="P555" s="108">
        <f t="shared" si="275"/>
        <v>0</v>
      </c>
      <c r="Q555" s="108">
        <f t="shared" si="275"/>
        <v>0</v>
      </c>
      <c r="R555" s="108">
        <f t="shared" si="275"/>
        <v>0</v>
      </c>
      <c r="S555" s="108">
        <f t="shared" si="275"/>
        <v>0</v>
      </c>
      <c r="T555" s="108">
        <f t="shared" si="275"/>
        <v>0</v>
      </c>
      <c r="U555" s="108">
        <f t="shared" si="275"/>
        <v>0</v>
      </c>
      <c r="V555" s="108">
        <f t="shared" si="275"/>
        <v>0</v>
      </c>
      <c r="W555" s="108">
        <f t="shared" si="275"/>
        <v>0</v>
      </c>
      <c r="X555" s="108">
        <f t="shared" si="275"/>
        <v>0</v>
      </c>
      <c r="Y555" s="108">
        <f t="shared" si="275"/>
        <v>0</v>
      </c>
      <c r="Z555" s="108">
        <f t="shared" si="275"/>
        <v>0</v>
      </c>
      <c r="AA555" s="108">
        <f t="shared" si="275"/>
        <v>0</v>
      </c>
      <c r="AB555" s="108">
        <f t="shared" si="275"/>
        <v>0</v>
      </c>
      <c r="AC555" s="108">
        <f t="shared" si="275"/>
        <v>0</v>
      </c>
      <c r="AD555" s="108">
        <f t="shared" si="275"/>
        <v>0</v>
      </c>
      <c r="AE555" s="108">
        <f t="shared" si="275"/>
        <v>0</v>
      </c>
      <c r="AF555" s="108">
        <f t="shared" si="275"/>
        <v>0</v>
      </c>
      <c r="AG555" s="108">
        <f t="shared" si="275"/>
        <v>0</v>
      </c>
      <c r="AH555" s="108">
        <f t="shared" si="275"/>
        <v>0</v>
      </c>
      <c r="AI555" s="108">
        <f t="shared" si="275"/>
        <v>0</v>
      </c>
      <c r="AJ555" s="108">
        <f t="shared" si="275"/>
        <v>0</v>
      </c>
      <c r="AK555" s="108">
        <f t="shared" si="275"/>
        <v>0</v>
      </c>
      <c r="AL555" s="108">
        <f t="shared" si="275"/>
        <v>0</v>
      </c>
      <c r="AM555" s="108">
        <f t="shared" si="275"/>
        <v>0</v>
      </c>
      <c r="AN555" s="108">
        <f t="shared" si="275"/>
        <v>0</v>
      </c>
      <c r="AO555" s="108">
        <f t="shared" si="275"/>
        <v>0</v>
      </c>
      <c r="AP555" s="108">
        <f t="shared" si="275"/>
        <v>0</v>
      </c>
    </row>
    <row r="556" spans="1:42" x14ac:dyDescent="0.2">
      <c r="A556" s="21" t="s">
        <v>63</v>
      </c>
      <c r="C556" s="120">
        <f>C$5/1000</f>
        <v>0</v>
      </c>
      <c r="D556" s="120">
        <f t="shared" ref="D556:AP556" si="276">D$5/1000</f>
        <v>0</v>
      </c>
      <c r="E556" s="120">
        <f t="shared" si="276"/>
        <v>0</v>
      </c>
      <c r="F556" s="120">
        <f t="shared" si="276"/>
        <v>0</v>
      </c>
      <c r="G556" s="120">
        <f t="shared" si="276"/>
        <v>0</v>
      </c>
      <c r="H556" s="120">
        <f t="shared" si="276"/>
        <v>0</v>
      </c>
      <c r="I556" s="120">
        <f t="shared" si="276"/>
        <v>0</v>
      </c>
      <c r="J556" s="120">
        <f t="shared" si="276"/>
        <v>0</v>
      </c>
      <c r="K556" s="120">
        <f t="shared" si="276"/>
        <v>0</v>
      </c>
      <c r="L556" s="120">
        <f t="shared" si="276"/>
        <v>0</v>
      </c>
      <c r="M556" s="120">
        <f t="shared" si="276"/>
        <v>0</v>
      </c>
      <c r="N556" s="120">
        <f t="shared" si="276"/>
        <v>0</v>
      </c>
      <c r="O556" s="120">
        <f t="shared" si="276"/>
        <v>0</v>
      </c>
      <c r="P556" s="120">
        <f t="shared" si="276"/>
        <v>0</v>
      </c>
      <c r="Q556" s="120">
        <f t="shared" si="276"/>
        <v>0</v>
      </c>
      <c r="R556" s="120">
        <f t="shared" si="276"/>
        <v>0</v>
      </c>
      <c r="S556" s="120">
        <f t="shared" si="276"/>
        <v>0</v>
      </c>
      <c r="T556" s="120">
        <f t="shared" si="276"/>
        <v>0</v>
      </c>
      <c r="U556" s="120">
        <f t="shared" si="276"/>
        <v>0</v>
      </c>
      <c r="V556" s="120">
        <f t="shared" si="276"/>
        <v>0</v>
      </c>
      <c r="W556" s="120">
        <f t="shared" si="276"/>
        <v>0</v>
      </c>
      <c r="X556" s="120">
        <f t="shared" si="276"/>
        <v>0</v>
      </c>
      <c r="Y556" s="120">
        <f t="shared" si="276"/>
        <v>0</v>
      </c>
      <c r="Z556" s="120">
        <f t="shared" si="276"/>
        <v>0</v>
      </c>
      <c r="AA556" s="120">
        <f t="shared" si="276"/>
        <v>0</v>
      </c>
      <c r="AB556" s="120">
        <f t="shared" si="276"/>
        <v>0</v>
      </c>
      <c r="AC556" s="120">
        <f t="shared" si="276"/>
        <v>0</v>
      </c>
      <c r="AD556" s="120">
        <f t="shared" si="276"/>
        <v>0</v>
      </c>
      <c r="AE556" s="120">
        <f t="shared" si="276"/>
        <v>0</v>
      </c>
      <c r="AF556" s="120">
        <f t="shared" si="276"/>
        <v>0</v>
      </c>
      <c r="AG556" s="120">
        <f t="shared" si="276"/>
        <v>0</v>
      </c>
      <c r="AH556" s="120">
        <f t="shared" si="276"/>
        <v>0</v>
      </c>
      <c r="AI556" s="120">
        <f t="shared" si="276"/>
        <v>0</v>
      </c>
      <c r="AJ556" s="120">
        <f t="shared" si="276"/>
        <v>0</v>
      </c>
      <c r="AK556" s="120">
        <f t="shared" si="276"/>
        <v>0</v>
      </c>
      <c r="AL556" s="120">
        <f t="shared" si="276"/>
        <v>0</v>
      </c>
      <c r="AM556" s="120">
        <f t="shared" si="276"/>
        <v>0</v>
      </c>
      <c r="AN556" s="120">
        <f t="shared" si="276"/>
        <v>0</v>
      </c>
      <c r="AO556" s="120">
        <f t="shared" si="276"/>
        <v>0</v>
      </c>
      <c r="AP556" s="120">
        <f t="shared" si="276"/>
        <v>0</v>
      </c>
    </row>
    <row r="557" spans="1:42" x14ac:dyDescent="0.2">
      <c r="A557" s="21" t="s">
        <v>13</v>
      </c>
      <c r="C557" s="119">
        <f>C555*C556</f>
        <v>0</v>
      </c>
      <c r="D557" s="119">
        <f>D555*D556</f>
        <v>0</v>
      </c>
      <c r="E557" s="119">
        <f t="shared" ref="E557:AP557" si="277">E555*E556</f>
        <v>0</v>
      </c>
      <c r="F557" s="119">
        <f t="shared" si="277"/>
        <v>0</v>
      </c>
      <c r="G557" s="119">
        <f t="shared" si="277"/>
        <v>0</v>
      </c>
      <c r="H557" s="119">
        <f t="shared" si="277"/>
        <v>0</v>
      </c>
      <c r="I557" s="119">
        <f t="shared" si="277"/>
        <v>0</v>
      </c>
      <c r="J557" s="119">
        <f t="shared" si="277"/>
        <v>0</v>
      </c>
      <c r="K557" s="119">
        <f t="shared" si="277"/>
        <v>0</v>
      </c>
      <c r="L557" s="119">
        <f t="shared" si="277"/>
        <v>0</v>
      </c>
      <c r="M557" s="119">
        <f t="shared" si="277"/>
        <v>0</v>
      </c>
      <c r="N557" s="119">
        <f t="shared" si="277"/>
        <v>0</v>
      </c>
      <c r="O557" s="119">
        <f t="shared" si="277"/>
        <v>0</v>
      </c>
      <c r="P557" s="119">
        <f t="shared" si="277"/>
        <v>0</v>
      </c>
      <c r="Q557" s="119">
        <f t="shared" si="277"/>
        <v>0</v>
      </c>
      <c r="R557" s="119">
        <f t="shared" si="277"/>
        <v>0</v>
      </c>
      <c r="S557" s="119">
        <f t="shared" si="277"/>
        <v>0</v>
      </c>
      <c r="T557" s="119">
        <f t="shared" si="277"/>
        <v>0</v>
      </c>
      <c r="U557" s="119">
        <f t="shared" si="277"/>
        <v>0</v>
      </c>
      <c r="V557" s="119">
        <f t="shared" si="277"/>
        <v>0</v>
      </c>
      <c r="W557" s="119">
        <f t="shared" si="277"/>
        <v>0</v>
      </c>
      <c r="X557" s="119">
        <f t="shared" si="277"/>
        <v>0</v>
      </c>
      <c r="Y557" s="119">
        <f t="shared" si="277"/>
        <v>0</v>
      </c>
      <c r="Z557" s="119">
        <f t="shared" si="277"/>
        <v>0</v>
      </c>
      <c r="AA557" s="119">
        <f t="shared" si="277"/>
        <v>0</v>
      </c>
      <c r="AB557" s="119">
        <f t="shared" si="277"/>
        <v>0</v>
      </c>
      <c r="AC557" s="119">
        <f t="shared" si="277"/>
        <v>0</v>
      </c>
      <c r="AD557" s="119">
        <f t="shared" si="277"/>
        <v>0</v>
      </c>
      <c r="AE557" s="119">
        <f t="shared" si="277"/>
        <v>0</v>
      </c>
      <c r="AF557" s="119">
        <f t="shared" si="277"/>
        <v>0</v>
      </c>
      <c r="AG557" s="119">
        <f t="shared" si="277"/>
        <v>0</v>
      </c>
      <c r="AH557" s="119">
        <f t="shared" si="277"/>
        <v>0</v>
      </c>
      <c r="AI557" s="119">
        <f t="shared" si="277"/>
        <v>0</v>
      </c>
      <c r="AJ557" s="119">
        <f t="shared" si="277"/>
        <v>0</v>
      </c>
      <c r="AK557" s="119">
        <f t="shared" si="277"/>
        <v>0</v>
      </c>
      <c r="AL557" s="119">
        <f t="shared" si="277"/>
        <v>0</v>
      </c>
      <c r="AM557" s="119">
        <f t="shared" si="277"/>
        <v>0</v>
      </c>
      <c r="AN557" s="119">
        <f t="shared" si="277"/>
        <v>0</v>
      </c>
      <c r="AO557" s="119">
        <f t="shared" si="277"/>
        <v>0</v>
      </c>
      <c r="AP557" s="119">
        <f t="shared" si="277"/>
        <v>0</v>
      </c>
    </row>
    <row r="558" spans="1:42" x14ac:dyDescent="0.2">
      <c r="A558" s="17"/>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row>
    <row r="559" spans="1:42" x14ac:dyDescent="0.2">
      <c r="A559" s="17" t="s">
        <v>4</v>
      </c>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row>
    <row r="560" spans="1:42" x14ac:dyDescent="0.2">
      <c r="A560" s="21" t="s">
        <v>261</v>
      </c>
      <c r="C560" s="108">
        <f>IF(ptc_fed_amount="n/a",Inputs!D184,IF(C$2&lt;=ptc_fed_term,ptc_fed_amount*(1+ptc_fed_escal/100)^B$2,0))</f>
        <v>0</v>
      </c>
      <c r="D560" s="108">
        <f>IF(ptc_fed_amount="n/a",Inputs!E184,IF(D$2&lt;=ptc_fed_term,ptc_fed_amount*(1+ptc_fed_escal/100)^C$2,0))</f>
        <v>0</v>
      </c>
      <c r="E560" s="108">
        <f>IF(ptc_fed_amount="n/a",Inputs!F184,IF(E$2&lt;=ptc_fed_term,ptc_fed_amount*(1+ptc_fed_escal/100)^D$2,0))</f>
        <v>0</v>
      </c>
      <c r="F560" s="108">
        <f>IF(ptc_fed_amount="n/a",Inputs!G184,IF(F$2&lt;=ptc_fed_term,ptc_fed_amount*(1+ptc_fed_escal/100)^E$2,0))</f>
        <v>0</v>
      </c>
      <c r="G560" s="108">
        <f>IF(ptc_fed_amount="n/a",Inputs!H184,IF(G$2&lt;=ptc_fed_term,ptc_fed_amount*(1+ptc_fed_escal/100)^F$2,0))</f>
        <v>0</v>
      </c>
      <c r="H560" s="108">
        <f>IF(ptc_fed_amount="n/a",Inputs!I184,IF(H$2&lt;=ptc_fed_term,ptc_fed_amount*(1+ptc_fed_escal/100)^G$2,0))</f>
        <v>0</v>
      </c>
      <c r="I560" s="108">
        <f>IF(ptc_fed_amount="n/a",Inputs!J184,IF(I$2&lt;=ptc_fed_term,ptc_fed_amount*(1+ptc_fed_escal/100)^H$2,0))</f>
        <v>0</v>
      </c>
      <c r="J560" s="108">
        <f>IF(ptc_fed_amount="n/a",Inputs!K184,IF(J$2&lt;=ptc_fed_term,ptc_fed_amount*(1+ptc_fed_escal/100)^I$2,0))</f>
        <v>0</v>
      </c>
      <c r="K560" s="108">
        <f>IF(ptc_fed_amount="n/a",Inputs!L184,IF(K$2&lt;=ptc_fed_term,ptc_fed_amount*(1+ptc_fed_escal/100)^J$2,0))</f>
        <v>0</v>
      </c>
      <c r="L560" s="108">
        <f>IF(ptc_fed_amount="n/a",Inputs!M184,IF(L$2&lt;=ptc_fed_term,ptc_fed_amount*(1+ptc_fed_escal/100)^K$2,0))</f>
        <v>0</v>
      </c>
      <c r="M560" s="108">
        <f>IF(ptc_fed_amount="n/a",Inputs!N184,IF(M$2&lt;=ptc_fed_term,ptc_fed_amount*(1+ptc_fed_escal/100)^L$2,0))</f>
        <v>0</v>
      </c>
      <c r="N560" s="108">
        <f>IF(ptc_fed_amount="n/a",Inputs!O184,IF(N$2&lt;=ptc_fed_term,ptc_fed_amount*(1+ptc_fed_escal/100)^M$2,0))</f>
        <v>0</v>
      </c>
      <c r="O560" s="108">
        <f>IF(ptc_fed_amount="n/a",Inputs!P184,IF(O$2&lt;=ptc_fed_term,ptc_fed_amount*(1+ptc_fed_escal/100)^N$2,0))</f>
        <v>0</v>
      </c>
      <c r="P560" s="108">
        <f>IF(ptc_fed_amount="n/a",Inputs!Q184,IF(P$2&lt;=ptc_fed_term,ptc_fed_amount*(1+ptc_fed_escal/100)^O$2,0))</f>
        <v>0</v>
      </c>
      <c r="Q560" s="108">
        <f>IF(ptc_fed_amount="n/a",Inputs!R184,IF(Q$2&lt;=ptc_fed_term,ptc_fed_amount*(1+ptc_fed_escal/100)^P$2,0))</f>
        <v>0</v>
      </c>
      <c r="R560" s="108">
        <f>IF(ptc_fed_amount="n/a",Inputs!S184,IF(R$2&lt;=ptc_fed_term,ptc_fed_amount*(1+ptc_fed_escal/100)^Q$2,0))</f>
        <v>0</v>
      </c>
      <c r="S560" s="108">
        <f>IF(ptc_fed_amount="n/a",Inputs!T184,IF(S$2&lt;=ptc_fed_term,ptc_fed_amount*(1+ptc_fed_escal/100)^R$2,0))</f>
        <v>0</v>
      </c>
      <c r="T560" s="108">
        <f>IF(ptc_fed_amount="n/a",Inputs!U184,IF(T$2&lt;=ptc_fed_term,ptc_fed_amount*(1+ptc_fed_escal/100)^S$2,0))</f>
        <v>0</v>
      </c>
      <c r="U560" s="108">
        <f>IF(ptc_fed_amount="n/a",Inputs!V184,IF(U$2&lt;=ptc_fed_term,ptc_fed_amount*(1+ptc_fed_escal/100)^T$2,0))</f>
        <v>0</v>
      </c>
      <c r="V560" s="108">
        <f>IF(ptc_fed_amount="n/a",Inputs!W184,IF(V$2&lt;=ptc_fed_term,ptc_fed_amount*(1+ptc_fed_escal/100)^U$2,0))</f>
        <v>0</v>
      </c>
      <c r="W560" s="108">
        <f>IF(ptc_fed_amount="n/a",Inputs!X184,IF(W$2&lt;=ptc_fed_term,ptc_fed_amount*(1+ptc_fed_escal/100)^V$2,0))</f>
        <v>0</v>
      </c>
      <c r="X560" s="108">
        <f>IF(ptc_fed_amount="n/a",Inputs!Y184,IF(X$2&lt;=ptc_fed_term,ptc_fed_amount*(1+ptc_fed_escal/100)^W$2,0))</f>
        <v>0</v>
      </c>
      <c r="Y560" s="108">
        <f>IF(ptc_fed_amount="n/a",Inputs!Z184,IF(Y$2&lt;=ptc_fed_term,ptc_fed_amount*(1+ptc_fed_escal/100)^X$2,0))</f>
        <v>0</v>
      </c>
      <c r="Z560" s="108">
        <f>IF(ptc_fed_amount="n/a",Inputs!AA184,IF(Z$2&lt;=ptc_fed_term,ptc_fed_amount*(1+ptc_fed_escal/100)^Y$2,0))</f>
        <v>0</v>
      </c>
      <c r="AA560" s="108">
        <f>IF(ptc_fed_amount="n/a",Inputs!AB184,IF(AA$2&lt;=ptc_fed_term,ptc_fed_amount*(1+ptc_fed_escal/100)^Z$2,0))</f>
        <v>0</v>
      </c>
      <c r="AB560" s="108">
        <f>IF(ptc_fed_amount="n/a",Inputs!AC184,IF(AB$2&lt;=ptc_fed_term,ptc_fed_amount*(1+ptc_fed_escal/100)^AA$2,0))</f>
        <v>0</v>
      </c>
      <c r="AC560" s="108">
        <f>IF(ptc_fed_amount="n/a",Inputs!AD184,IF(AC$2&lt;=ptc_fed_term,ptc_fed_amount*(1+ptc_fed_escal/100)^AB$2,0))</f>
        <v>0</v>
      </c>
      <c r="AD560" s="108">
        <f>IF(ptc_fed_amount="n/a",Inputs!AE184,IF(AD$2&lt;=ptc_fed_term,ptc_fed_amount*(1+ptc_fed_escal/100)^AC$2,0))</f>
        <v>0</v>
      </c>
      <c r="AE560" s="108">
        <f>IF(ptc_fed_amount="n/a",Inputs!AF184,IF(AE$2&lt;=ptc_fed_term,ptc_fed_amount*(1+ptc_fed_escal/100)^AD$2,0))</f>
        <v>0</v>
      </c>
      <c r="AF560" s="108">
        <f>IF(ptc_fed_amount="n/a",Inputs!AG184,IF(AF$2&lt;=ptc_fed_term,ptc_fed_amount*(1+ptc_fed_escal/100)^AE$2,0))</f>
        <v>0</v>
      </c>
      <c r="AG560" s="108">
        <f>IF(ptc_fed_amount="n/a",Inputs!AH184,IF(AG$2&lt;=ptc_fed_term,ptc_fed_amount*(1+ptc_fed_escal/100)^AF$2,0))</f>
        <v>0</v>
      </c>
      <c r="AH560" s="108">
        <f>IF(ptc_fed_amount="n/a",Inputs!AI184,IF(AH$2&lt;=ptc_fed_term,ptc_fed_amount*(1+ptc_fed_escal/100)^AG$2,0))</f>
        <v>0</v>
      </c>
      <c r="AI560" s="108">
        <f>IF(ptc_fed_amount="n/a",Inputs!AJ184,IF(AI$2&lt;=ptc_fed_term,ptc_fed_amount*(1+ptc_fed_escal/100)^AH$2,0))</f>
        <v>0</v>
      </c>
      <c r="AJ560" s="108">
        <f>IF(ptc_fed_amount="n/a",Inputs!AK184,IF(AJ$2&lt;=ptc_fed_term,ptc_fed_amount*(1+ptc_fed_escal/100)^AI$2,0))</f>
        <v>0</v>
      </c>
      <c r="AK560" s="108">
        <f>IF(ptc_fed_amount="n/a",Inputs!AL184,IF(AK$2&lt;=ptc_fed_term,ptc_fed_amount*(1+ptc_fed_escal/100)^AJ$2,0))</f>
        <v>0</v>
      </c>
      <c r="AL560" s="108">
        <f>IF(ptc_fed_amount="n/a",Inputs!AM184,IF(AL$2&lt;=ptc_fed_term,ptc_fed_amount*(1+ptc_fed_escal/100)^AK$2,0))</f>
        <v>0</v>
      </c>
      <c r="AM560" s="108">
        <f>IF(ptc_fed_amount="n/a",Inputs!AN184,IF(AM$2&lt;=ptc_fed_term,ptc_fed_amount*(1+ptc_fed_escal/100)^AL$2,0))</f>
        <v>0</v>
      </c>
      <c r="AN560" s="108">
        <f>IF(ptc_fed_amount="n/a",Inputs!AO184,IF(AN$2&lt;=ptc_fed_term,ptc_fed_amount*(1+ptc_fed_escal/100)^AM$2,0))</f>
        <v>0</v>
      </c>
      <c r="AO560" s="108">
        <f>IF(ptc_fed_amount="n/a",Inputs!AP184,IF(AO$2&lt;=ptc_fed_term,ptc_fed_amount*(1+ptc_fed_escal/100)^AN$2,0))</f>
        <v>0</v>
      </c>
      <c r="AP560" s="108">
        <f>IF(ptc_fed_amount="n/a",Inputs!AQ184,IF(AP$2&lt;=ptc_fed_term,ptc_fed_amount*(1+ptc_fed_escal/100)^AO$2,0))</f>
        <v>0</v>
      </c>
    </row>
    <row r="561" spans="1:42" x14ac:dyDescent="0.2">
      <c r="A561" s="21" t="s">
        <v>262</v>
      </c>
      <c r="C561" s="108">
        <f>ROUND(C560*1000,0)</f>
        <v>0</v>
      </c>
      <c r="D561" s="108">
        <f>ROUND(D560*1000,0)</f>
        <v>0</v>
      </c>
      <c r="E561" s="108">
        <f t="shared" ref="E561:AP561" si="278">ROUND(E560*1000,0)</f>
        <v>0</v>
      </c>
      <c r="F561" s="108">
        <f t="shared" si="278"/>
        <v>0</v>
      </c>
      <c r="G561" s="108">
        <f t="shared" si="278"/>
        <v>0</v>
      </c>
      <c r="H561" s="108">
        <f t="shared" si="278"/>
        <v>0</v>
      </c>
      <c r="I561" s="108">
        <f t="shared" si="278"/>
        <v>0</v>
      </c>
      <c r="J561" s="108">
        <f t="shared" si="278"/>
        <v>0</v>
      </c>
      <c r="K561" s="108">
        <f t="shared" si="278"/>
        <v>0</v>
      </c>
      <c r="L561" s="108">
        <f t="shared" si="278"/>
        <v>0</v>
      </c>
      <c r="M561" s="108">
        <f t="shared" si="278"/>
        <v>0</v>
      </c>
      <c r="N561" s="108">
        <f t="shared" si="278"/>
        <v>0</v>
      </c>
      <c r="O561" s="108">
        <f t="shared" si="278"/>
        <v>0</v>
      </c>
      <c r="P561" s="108">
        <f t="shared" si="278"/>
        <v>0</v>
      </c>
      <c r="Q561" s="108">
        <f t="shared" si="278"/>
        <v>0</v>
      </c>
      <c r="R561" s="108">
        <f t="shared" si="278"/>
        <v>0</v>
      </c>
      <c r="S561" s="108">
        <f t="shared" si="278"/>
        <v>0</v>
      </c>
      <c r="T561" s="108">
        <f t="shared" si="278"/>
        <v>0</v>
      </c>
      <c r="U561" s="108">
        <f t="shared" si="278"/>
        <v>0</v>
      </c>
      <c r="V561" s="108">
        <f t="shared" si="278"/>
        <v>0</v>
      </c>
      <c r="W561" s="108">
        <f t="shared" si="278"/>
        <v>0</v>
      </c>
      <c r="X561" s="108">
        <f t="shared" si="278"/>
        <v>0</v>
      </c>
      <c r="Y561" s="108">
        <f t="shared" si="278"/>
        <v>0</v>
      </c>
      <c r="Z561" s="108">
        <f t="shared" si="278"/>
        <v>0</v>
      </c>
      <c r="AA561" s="108">
        <f t="shared" si="278"/>
        <v>0</v>
      </c>
      <c r="AB561" s="108">
        <f t="shared" si="278"/>
        <v>0</v>
      </c>
      <c r="AC561" s="108">
        <f t="shared" si="278"/>
        <v>0</v>
      </c>
      <c r="AD561" s="108">
        <f t="shared" si="278"/>
        <v>0</v>
      </c>
      <c r="AE561" s="108">
        <f t="shared" si="278"/>
        <v>0</v>
      </c>
      <c r="AF561" s="108">
        <f t="shared" si="278"/>
        <v>0</v>
      </c>
      <c r="AG561" s="108">
        <f t="shared" si="278"/>
        <v>0</v>
      </c>
      <c r="AH561" s="108">
        <f t="shared" si="278"/>
        <v>0</v>
      </c>
      <c r="AI561" s="108">
        <f t="shared" si="278"/>
        <v>0</v>
      </c>
      <c r="AJ561" s="108">
        <f t="shared" si="278"/>
        <v>0</v>
      </c>
      <c r="AK561" s="108">
        <f t="shared" si="278"/>
        <v>0</v>
      </c>
      <c r="AL561" s="108">
        <f t="shared" si="278"/>
        <v>0</v>
      </c>
      <c r="AM561" s="108">
        <f t="shared" si="278"/>
        <v>0</v>
      </c>
      <c r="AN561" s="108">
        <f t="shared" si="278"/>
        <v>0</v>
      </c>
      <c r="AO561" s="108">
        <f t="shared" si="278"/>
        <v>0</v>
      </c>
      <c r="AP561" s="108">
        <f t="shared" si="278"/>
        <v>0</v>
      </c>
    </row>
    <row r="562" spans="1:42" x14ac:dyDescent="0.2">
      <c r="A562" s="21" t="s">
        <v>63</v>
      </c>
      <c r="C562" s="120">
        <f>C$5/1000</f>
        <v>0</v>
      </c>
      <c r="D562" s="120">
        <f t="shared" ref="D562:AP562" si="279">D$5/1000</f>
        <v>0</v>
      </c>
      <c r="E562" s="120">
        <f t="shared" si="279"/>
        <v>0</v>
      </c>
      <c r="F562" s="120">
        <f t="shared" si="279"/>
        <v>0</v>
      </c>
      <c r="G562" s="120">
        <f t="shared" si="279"/>
        <v>0</v>
      </c>
      <c r="H562" s="120">
        <f t="shared" si="279"/>
        <v>0</v>
      </c>
      <c r="I562" s="120">
        <f t="shared" si="279"/>
        <v>0</v>
      </c>
      <c r="J562" s="120">
        <f t="shared" si="279"/>
        <v>0</v>
      </c>
      <c r="K562" s="120">
        <f t="shared" si="279"/>
        <v>0</v>
      </c>
      <c r="L562" s="120">
        <f t="shared" si="279"/>
        <v>0</v>
      </c>
      <c r="M562" s="120">
        <f t="shared" si="279"/>
        <v>0</v>
      </c>
      <c r="N562" s="120">
        <f t="shared" si="279"/>
        <v>0</v>
      </c>
      <c r="O562" s="120">
        <f t="shared" si="279"/>
        <v>0</v>
      </c>
      <c r="P562" s="120">
        <f t="shared" si="279"/>
        <v>0</v>
      </c>
      <c r="Q562" s="120">
        <f t="shared" si="279"/>
        <v>0</v>
      </c>
      <c r="R562" s="120">
        <f t="shared" si="279"/>
        <v>0</v>
      </c>
      <c r="S562" s="120">
        <f t="shared" si="279"/>
        <v>0</v>
      </c>
      <c r="T562" s="120">
        <f t="shared" si="279"/>
        <v>0</v>
      </c>
      <c r="U562" s="120">
        <f t="shared" si="279"/>
        <v>0</v>
      </c>
      <c r="V562" s="120">
        <f t="shared" si="279"/>
        <v>0</v>
      </c>
      <c r="W562" s="120">
        <f t="shared" si="279"/>
        <v>0</v>
      </c>
      <c r="X562" s="120">
        <f t="shared" si="279"/>
        <v>0</v>
      </c>
      <c r="Y562" s="120">
        <f t="shared" si="279"/>
        <v>0</v>
      </c>
      <c r="Z562" s="120">
        <f t="shared" si="279"/>
        <v>0</v>
      </c>
      <c r="AA562" s="120">
        <f t="shared" si="279"/>
        <v>0</v>
      </c>
      <c r="AB562" s="120">
        <f t="shared" si="279"/>
        <v>0</v>
      </c>
      <c r="AC562" s="120">
        <f t="shared" si="279"/>
        <v>0</v>
      </c>
      <c r="AD562" s="120">
        <f t="shared" si="279"/>
        <v>0</v>
      </c>
      <c r="AE562" s="120">
        <f t="shared" si="279"/>
        <v>0</v>
      </c>
      <c r="AF562" s="120">
        <f t="shared" si="279"/>
        <v>0</v>
      </c>
      <c r="AG562" s="120">
        <f t="shared" si="279"/>
        <v>0</v>
      </c>
      <c r="AH562" s="120">
        <f t="shared" si="279"/>
        <v>0</v>
      </c>
      <c r="AI562" s="120">
        <f t="shared" si="279"/>
        <v>0</v>
      </c>
      <c r="AJ562" s="120">
        <f t="shared" si="279"/>
        <v>0</v>
      </c>
      <c r="AK562" s="120">
        <f t="shared" si="279"/>
        <v>0</v>
      </c>
      <c r="AL562" s="120">
        <f t="shared" si="279"/>
        <v>0</v>
      </c>
      <c r="AM562" s="120">
        <f t="shared" si="279"/>
        <v>0</v>
      </c>
      <c r="AN562" s="120">
        <f t="shared" si="279"/>
        <v>0</v>
      </c>
      <c r="AO562" s="120">
        <f t="shared" si="279"/>
        <v>0</v>
      </c>
      <c r="AP562" s="120">
        <f t="shared" si="279"/>
        <v>0</v>
      </c>
    </row>
    <row r="563" spans="1:42" x14ac:dyDescent="0.2">
      <c r="A563" s="21" t="s">
        <v>13</v>
      </c>
      <c r="C563" s="119">
        <f>C561*C562</f>
        <v>0</v>
      </c>
      <c r="D563" s="119">
        <f>D561*D562</f>
        <v>0</v>
      </c>
      <c r="E563" s="119">
        <f t="shared" ref="E563:AP563" si="280">E561*E562</f>
        <v>0</v>
      </c>
      <c r="F563" s="119">
        <f t="shared" si="280"/>
        <v>0</v>
      </c>
      <c r="G563" s="119">
        <f t="shared" si="280"/>
        <v>0</v>
      </c>
      <c r="H563" s="119">
        <f t="shared" si="280"/>
        <v>0</v>
      </c>
      <c r="I563" s="119">
        <f t="shared" si="280"/>
        <v>0</v>
      </c>
      <c r="J563" s="119">
        <f t="shared" si="280"/>
        <v>0</v>
      </c>
      <c r="K563" s="119">
        <f t="shared" si="280"/>
        <v>0</v>
      </c>
      <c r="L563" s="119">
        <f t="shared" si="280"/>
        <v>0</v>
      </c>
      <c r="M563" s="119">
        <f t="shared" si="280"/>
        <v>0</v>
      </c>
      <c r="N563" s="119">
        <f t="shared" si="280"/>
        <v>0</v>
      </c>
      <c r="O563" s="119">
        <f t="shared" si="280"/>
        <v>0</v>
      </c>
      <c r="P563" s="119">
        <f t="shared" si="280"/>
        <v>0</v>
      </c>
      <c r="Q563" s="119">
        <f t="shared" si="280"/>
        <v>0</v>
      </c>
      <c r="R563" s="119">
        <f t="shared" si="280"/>
        <v>0</v>
      </c>
      <c r="S563" s="119">
        <f t="shared" si="280"/>
        <v>0</v>
      </c>
      <c r="T563" s="119">
        <f t="shared" si="280"/>
        <v>0</v>
      </c>
      <c r="U563" s="119">
        <f t="shared" si="280"/>
        <v>0</v>
      </c>
      <c r="V563" s="119">
        <f t="shared" si="280"/>
        <v>0</v>
      </c>
      <c r="W563" s="119">
        <f t="shared" si="280"/>
        <v>0</v>
      </c>
      <c r="X563" s="119">
        <f t="shared" si="280"/>
        <v>0</v>
      </c>
      <c r="Y563" s="119">
        <f t="shared" si="280"/>
        <v>0</v>
      </c>
      <c r="Z563" s="119">
        <f t="shared" si="280"/>
        <v>0</v>
      </c>
      <c r="AA563" s="119">
        <f t="shared" si="280"/>
        <v>0</v>
      </c>
      <c r="AB563" s="119">
        <f t="shared" si="280"/>
        <v>0</v>
      </c>
      <c r="AC563" s="119">
        <f t="shared" si="280"/>
        <v>0</v>
      </c>
      <c r="AD563" s="119">
        <f t="shared" si="280"/>
        <v>0</v>
      </c>
      <c r="AE563" s="119">
        <f t="shared" si="280"/>
        <v>0</v>
      </c>
      <c r="AF563" s="119">
        <f t="shared" si="280"/>
        <v>0</v>
      </c>
      <c r="AG563" s="119">
        <f t="shared" si="280"/>
        <v>0</v>
      </c>
      <c r="AH563" s="119">
        <f t="shared" si="280"/>
        <v>0</v>
      </c>
      <c r="AI563" s="119">
        <f t="shared" si="280"/>
        <v>0</v>
      </c>
      <c r="AJ563" s="119">
        <f t="shared" si="280"/>
        <v>0</v>
      </c>
      <c r="AK563" s="119">
        <f t="shared" si="280"/>
        <v>0</v>
      </c>
      <c r="AL563" s="119">
        <f t="shared" si="280"/>
        <v>0</v>
      </c>
      <c r="AM563" s="119">
        <f t="shared" si="280"/>
        <v>0</v>
      </c>
      <c r="AN563" s="119">
        <f t="shared" si="280"/>
        <v>0</v>
      </c>
      <c r="AO563" s="119">
        <f t="shared" si="280"/>
        <v>0</v>
      </c>
      <c r="AP563" s="119">
        <f t="shared" si="280"/>
        <v>0</v>
      </c>
    </row>
    <row r="564" spans="1:42" x14ac:dyDescent="0.2">
      <c r="A564" s="21"/>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row>
    <row r="565" spans="1:42" x14ac:dyDescent="0.2">
      <c r="A565" s="19" t="s">
        <v>15</v>
      </c>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row>
    <row r="566" spans="1:42" x14ac:dyDescent="0.2">
      <c r="A566" s="17" t="str">
        <f>Inputs!B114</f>
        <v>As fixed amount</v>
      </c>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row>
    <row r="567" spans="1:42" x14ac:dyDescent="0.2">
      <c r="A567" s="21" t="str">
        <f>Inputs!B115</f>
        <v>Federal ($)</v>
      </c>
      <c r="C567" s="119">
        <f>ibi_fed_amount</f>
        <v>0</v>
      </c>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row>
    <row r="568" spans="1:42" x14ac:dyDescent="0.2">
      <c r="A568" s="21" t="str">
        <f>Inputs!B116</f>
        <v>State ($)</v>
      </c>
      <c r="C568" s="119">
        <f>ibi_sta_amount</f>
        <v>0</v>
      </c>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row>
    <row r="569" spans="1:42" x14ac:dyDescent="0.2">
      <c r="A569" s="21" t="str">
        <f>Inputs!B117</f>
        <v>Utility ($)</v>
      </c>
      <c r="C569" s="119">
        <f>ibi_uti_amount</f>
        <v>0</v>
      </c>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row>
    <row r="570" spans="1:42" x14ac:dyDescent="0.2">
      <c r="A570" s="21" t="str">
        <f>Inputs!B118</f>
        <v>Other ($)</v>
      </c>
      <c r="C570" s="120">
        <f>ibi_oth_amount</f>
        <v>0</v>
      </c>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row>
    <row r="571" spans="1:42" x14ac:dyDescent="0.2">
      <c r="A571" s="21" t="s">
        <v>13</v>
      </c>
      <c r="C571" s="119">
        <f>SUM(C567:C570)</f>
        <v>0</v>
      </c>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row>
    <row r="572" spans="1:42" x14ac:dyDescent="0.2">
      <c r="A572" s="17" t="str">
        <f>Inputs!B119</f>
        <v>As percentage</v>
      </c>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row>
    <row r="573" spans="1:42" x14ac:dyDescent="0.2">
      <c r="A573" s="21" t="str">
        <f>Inputs!B120</f>
        <v>Federal (% of total installed cost)</v>
      </c>
      <c r="C573" s="153">
        <f>MIN(ibi_fed_percent/100*total_installed_cost,Inputs!D120)</f>
        <v>0</v>
      </c>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row>
    <row r="574" spans="1:42" x14ac:dyDescent="0.2">
      <c r="A574" s="21" t="str">
        <f>Inputs!B121</f>
        <v>State (% of total installed cost)</v>
      </c>
      <c r="C574" s="153">
        <f>MIN(ibi_sta_percent/100*total_installed_cost,Inputs!D121)</f>
        <v>0</v>
      </c>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row>
    <row r="575" spans="1:42" x14ac:dyDescent="0.2">
      <c r="A575" s="21" t="str">
        <f>Inputs!B122</f>
        <v>Utility (% of total installed cost)</v>
      </c>
      <c r="C575" s="153">
        <f>MIN(ibi_uti_percent/100*total_installed_cost,Inputs!D122)</f>
        <v>0</v>
      </c>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row>
    <row r="576" spans="1:42" x14ac:dyDescent="0.2">
      <c r="A576" s="21" t="str">
        <f>Inputs!B123</f>
        <v>Other (% of total installed cost)</v>
      </c>
      <c r="C576" s="153">
        <f>MIN(ibi_oth_percent/100*total_installed_cost,Inputs!D123)</f>
        <v>0</v>
      </c>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row>
    <row r="577" spans="1:42" x14ac:dyDescent="0.2">
      <c r="A577" s="21" t="s">
        <v>13</v>
      </c>
      <c r="C577" s="124">
        <f>SUM(C573:C576)</f>
        <v>0</v>
      </c>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row>
    <row r="578" spans="1:42" x14ac:dyDescent="0.2">
      <c r="A578" s="21"/>
      <c r="C578" s="119"/>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row>
    <row r="579" spans="1:42" x14ac:dyDescent="0.2">
      <c r="A579" s="19" t="s">
        <v>34</v>
      </c>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row>
    <row r="580" spans="1:42" x14ac:dyDescent="0.2">
      <c r="A580" s="17" t="str">
        <f>Inputs!B125</f>
        <v>Federal ($/W)</v>
      </c>
      <c r="C580" s="153">
        <f>MIN(cbi_fed_amount*system_capacity*1000,cbi_fed_maxvalue)</f>
        <v>0</v>
      </c>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row>
    <row r="581" spans="1:42" x14ac:dyDescent="0.2">
      <c r="A581" s="17" t="str">
        <f>Inputs!B126</f>
        <v>State ($/W)</v>
      </c>
      <c r="C581" s="153">
        <f>MIN(cbi_sta_amount*system_capacity*1000,cbi_sta_maxvalue)</f>
        <v>0</v>
      </c>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row>
    <row r="582" spans="1:42" x14ac:dyDescent="0.2">
      <c r="A582" s="17" t="str">
        <f>Inputs!B127</f>
        <v>Utility ($/W)</v>
      </c>
      <c r="C582" s="153">
        <f>MIN(cbi_uti_amount*system_capacity*1000,cbi_uti_maxvalue)</f>
        <v>0</v>
      </c>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row>
    <row r="583" spans="1:42" x14ac:dyDescent="0.2">
      <c r="A583" s="17" t="str">
        <f>Inputs!B128</f>
        <v>Other ($/W)</v>
      </c>
      <c r="C583" s="153">
        <f>MIN(cbi_oth_amount*system_capacity*1000,cbi_oth_maxvalue)</f>
        <v>0</v>
      </c>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row>
    <row r="584" spans="1:42" x14ac:dyDescent="0.2">
      <c r="A584" s="17" t="s">
        <v>13</v>
      </c>
      <c r="C584" s="124">
        <f>SUM(C580:C583)</f>
        <v>0</v>
      </c>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row>
    <row r="585" spans="1:42" x14ac:dyDescent="0.2">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row>
    <row r="586" spans="1:42" x14ac:dyDescent="0.2">
      <c r="A586" s="19" t="s">
        <v>31</v>
      </c>
    </row>
    <row r="587" spans="1:42" x14ac:dyDescent="0.2">
      <c r="A587" s="17" t="str">
        <f>Inputs!B130</f>
        <v>Federal ($/kWh)</v>
      </c>
    </row>
    <row r="588" spans="1:42" x14ac:dyDescent="0.2">
      <c r="A588" s="21" t="s">
        <v>32</v>
      </c>
      <c r="C588" s="108">
        <f>IF(pbi_fed_amount="n/a",Inputs!D172,IF(AND(C$2&lt;=pbi_fed_term,C$2&lt;=analysis_period),pbi_fed_amount*(1+pbi_fed_escal/100)^B$2,0))</f>
        <v>0</v>
      </c>
      <c r="D588" s="108">
        <f>IF(pbi_fed_amount="n/a",Inputs!E172,IF(AND(D$2&lt;=pbi_fed_term,D$2&lt;=analysis_period),pbi_fed_amount*(1+pbi_fed_escal/100)^C$2,0))</f>
        <v>0</v>
      </c>
      <c r="E588" s="108">
        <f>IF(pbi_fed_amount="n/a",Inputs!F172,IF(AND(E$2&lt;=pbi_fed_term,E$2&lt;=analysis_period),pbi_fed_amount*(1+pbi_fed_escal/100)^D$2,0))</f>
        <v>0</v>
      </c>
      <c r="F588" s="108">
        <f>IF(pbi_fed_amount="n/a",Inputs!G172,IF(AND(F$2&lt;=pbi_fed_term,F$2&lt;=analysis_period),pbi_fed_amount*(1+pbi_fed_escal/100)^E$2,0))</f>
        <v>0</v>
      </c>
      <c r="G588" s="108">
        <f>IF(pbi_fed_amount="n/a",Inputs!H172,IF(AND(G$2&lt;=pbi_fed_term,G$2&lt;=analysis_period),pbi_fed_amount*(1+pbi_fed_escal/100)^F$2,0))</f>
        <v>0</v>
      </c>
      <c r="H588" s="108">
        <f>IF(pbi_fed_amount="n/a",Inputs!I172,IF(AND(H$2&lt;=pbi_fed_term,H$2&lt;=analysis_period),pbi_fed_amount*(1+pbi_fed_escal/100)^G$2,0))</f>
        <v>0</v>
      </c>
      <c r="I588" s="108">
        <f>IF(pbi_fed_amount="n/a",Inputs!J172,IF(AND(I$2&lt;=pbi_fed_term,I$2&lt;=analysis_period),pbi_fed_amount*(1+pbi_fed_escal/100)^H$2,0))</f>
        <v>0</v>
      </c>
      <c r="J588" s="108">
        <f>IF(pbi_fed_amount="n/a",Inputs!K172,IF(AND(J$2&lt;=pbi_fed_term,J$2&lt;=analysis_period),pbi_fed_amount*(1+pbi_fed_escal/100)^I$2,0))</f>
        <v>0</v>
      </c>
      <c r="K588" s="108">
        <f>IF(pbi_fed_amount="n/a",Inputs!L172,IF(AND(K$2&lt;=pbi_fed_term,K$2&lt;=analysis_period),pbi_fed_amount*(1+pbi_fed_escal/100)^J$2,0))</f>
        <v>0</v>
      </c>
      <c r="L588" s="108">
        <f>IF(pbi_fed_amount="n/a",Inputs!M172,IF(AND(L$2&lt;=pbi_fed_term,L$2&lt;=analysis_period),pbi_fed_amount*(1+pbi_fed_escal/100)^K$2,0))</f>
        <v>0</v>
      </c>
      <c r="M588" s="108">
        <f>IF(pbi_fed_amount="n/a",Inputs!N172,IF(AND(M$2&lt;=pbi_fed_term,M$2&lt;=analysis_period),pbi_fed_amount*(1+pbi_fed_escal/100)^L$2,0))</f>
        <v>0</v>
      </c>
      <c r="N588" s="108">
        <f>IF(pbi_fed_amount="n/a",Inputs!O172,IF(AND(N$2&lt;=pbi_fed_term,N$2&lt;=analysis_period),pbi_fed_amount*(1+pbi_fed_escal/100)^M$2,0))</f>
        <v>0</v>
      </c>
      <c r="O588" s="108">
        <f>IF(pbi_fed_amount="n/a",Inputs!P172,IF(AND(O$2&lt;=pbi_fed_term,O$2&lt;=analysis_period),pbi_fed_amount*(1+pbi_fed_escal/100)^N$2,0))</f>
        <v>0</v>
      </c>
      <c r="P588" s="108">
        <f>IF(pbi_fed_amount="n/a",Inputs!Q172,IF(AND(P$2&lt;=pbi_fed_term,P$2&lt;=analysis_period),pbi_fed_amount*(1+pbi_fed_escal/100)^O$2,0))</f>
        <v>0</v>
      </c>
      <c r="Q588" s="108">
        <f>IF(pbi_fed_amount="n/a",Inputs!R172,IF(AND(Q$2&lt;=pbi_fed_term,Q$2&lt;=analysis_period),pbi_fed_amount*(1+pbi_fed_escal/100)^P$2,0))</f>
        <v>0</v>
      </c>
      <c r="R588" s="108">
        <f>IF(pbi_fed_amount="n/a",Inputs!S172,IF(AND(R$2&lt;=pbi_fed_term,R$2&lt;=analysis_period),pbi_fed_amount*(1+pbi_fed_escal/100)^Q$2,0))</f>
        <v>0</v>
      </c>
      <c r="S588" s="108">
        <f>IF(pbi_fed_amount="n/a",Inputs!T172,IF(AND(S$2&lt;=pbi_fed_term,S$2&lt;=analysis_period),pbi_fed_amount*(1+pbi_fed_escal/100)^R$2,0))</f>
        <v>0</v>
      </c>
      <c r="T588" s="108">
        <f>IF(pbi_fed_amount="n/a",Inputs!U172,IF(AND(T$2&lt;=pbi_fed_term,T$2&lt;=analysis_period),pbi_fed_amount*(1+pbi_fed_escal/100)^S$2,0))</f>
        <v>0</v>
      </c>
      <c r="U588" s="108">
        <f>IF(pbi_fed_amount="n/a",Inputs!V172,IF(AND(U$2&lt;=pbi_fed_term,U$2&lt;=analysis_period),pbi_fed_amount*(1+pbi_fed_escal/100)^T$2,0))</f>
        <v>0</v>
      </c>
      <c r="V588" s="108">
        <f>IF(pbi_fed_amount="n/a",Inputs!W172,IF(AND(V$2&lt;=pbi_fed_term,V$2&lt;=analysis_period),pbi_fed_amount*(1+pbi_fed_escal/100)^U$2,0))</f>
        <v>0</v>
      </c>
      <c r="W588" s="108">
        <f>IF(pbi_fed_amount="n/a",Inputs!X172,IF(AND(W$2&lt;=pbi_fed_term,W$2&lt;=analysis_period),pbi_fed_amount*(1+pbi_fed_escal/100)^V$2,0))</f>
        <v>0</v>
      </c>
      <c r="X588" s="108">
        <f>IF(pbi_fed_amount="n/a",Inputs!Y172,IF(AND(X$2&lt;=pbi_fed_term,X$2&lt;=analysis_period),pbi_fed_amount*(1+pbi_fed_escal/100)^W$2,0))</f>
        <v>0</v>
      </c>
      <c r="Y588" s="108">
        <f>IF(pbi_fed_amount="n/a",Inputs!Z172,IF(AND(Y$2&lt;=pbi_fed_term,Y$2&lt;=analysis_period),pbi_fed_amount*(1+pbi_fed_escal/100)^X$2,0))</f>
        <v>0</v>
      </c>
      <c r="Z588" s="108">
        <f>IF(pbi_fed_amount="n/a",Inputs!AA172,IF(AND(Z$2&lt;=pbi_fed_term,Z$2&lt;=analysis_period),pbi_fed_amount*(1+pbi_fed_escal/100)^Y$2,0))</f>
        <v>0</v>
      </c>
      <c r="AA588" s="108">
        <f>IF(pbi_fed_amount="n/a",Inputs!AB172,IF(AND(AA$2&lt;=pbi_fed_term,AA$2&lt;=analysis_period),pbi_fed_amount*(1+pbi_fed_escal/100)^Z$2,0))</f>
        <v>0</v>
      </c>
      <c r="AB588" s="108">
        <f>IF(pbi_fed_amount="n/a",Inputs!AC172,IF(AND(AB$2&lt;=pbi_fed_term,AB$2&lt;=analysis_period),pbi_fed_amount*(1+pbi_fed_escal/100)^AA$2,0))</f>
        <v>0</v>
      </c>
      <c r="AC588" s="108">
        <f>IF(pbi_fed_amount="n/a",Inputs!AD172,IF(AND(AC$2&lt;=pbi_fed_term,AC$2&lt;=analysis_period),pbi_fed_amount*(1+pbi_fed_escal/100)^AB$2,0))</f>
        <v>0</v>
      </c>
      <c r="AD588" s="108">
        <f>IF(pbi_fed_amount="n/a",Inputs!AE172,IF(AND(AD$2&lt;=pbi_fed_term,AD$2&lt;=analysis_period),pbi_fed_amount*(1+pbi_fed_escal/100)^AC$2,0))</f>
        <v>0</v>
      </c>
      <c r="AE588" s="108">
        <f>IF(pbi_fed_amount="n/a",Inputs!AF172,IF(AND(AE$2&lt;=pbi_fed_term,AE$2&lt;=analysis_period),pbi_fed_amount*(1+pbi_fed_escal/100)^AD$2,0))</f>
        <v>0</v>
      </c>
      <c r="AF588" s="108">
        <f>IF(pbi_fed_amount="n/a",Inputs!AG172,IF(AND(AF$2&lt;=pbi_fed_term,AF$2&lt;=analysis_period),pbi_fed_amount*(1+pbi_fed_escal/100)^AE$2,0))</f>
        <v>0</v>
      </c>
      <c r="AG588" s="108">
        <f>IF(pbi_fed_amount="n/a",Inputs!AH172,IF(AND(AG$2&lt;=pbi_fed_term,AG$2&lt;=analysis_period),pbi_fed_amount*(1+pbi_fed_escal/100)^AF$2,0))</f>
        <v>0</v>
      </c>
      <c r="AH588" s="108">
        <f>IF(pbi_fed_amount="n/a",Inputs!AI172,IF(AND(AH$2&lt;=pbi_fed_term,AH$2&lt;=analysis_period),pbi_fed_amount*(1+pbi_fed_escal/100)^AG$2,0))</f>
        <v>0</v>
      </c>
      <c r="AI588" s="108">
        <f>IF(pbi_fed_amount="n/a",Inputs!AJ172,IF(AND(AI$2&lt;=pbi_fed_term,AI$2&lt;=analysis_period),pbi_fed_amount*(1+pbi_fed_escal/100)^AH$2,0))</f>
        <v>0</v>
      </c>
      <c r="AJ588" s="108">
        <f>IF(pbi_fed_amount="n/a",Inputs!AK172,IF(AND(AJ$2&lt;=pbi_fed_term,AJ$2&lt;=analysis_period),pbi_fed_amount*(1+pbi_fed_escal/100)^AI$2,0))</f>
        <v>0</v>
      </c>
      <c r="AK588" s="108">
        <f>IF(pbi_fed_amount="n/a",Inputs!AL172,IF(AND(AK$2&lt;=pbi_fed_term,AK$2&lt;=analysis_period),pbi_fed_amount*(1+pbi_fed_escal/100)^AJ$2,0))</f>
        <v>0</v>
      </c>
      <c r="AL588" s="108">
        <f>IF(pbi_fed_amount="n/a",Inputs!AM172,IF(AND(AL$2&lt;=pbi_fed_term,AL$2&lt;=analysis_period),pbi_fed_amount*(1+pbi_fed_escal/100)^AK$2,0))</f>
        <v>0</v>
      </c>
      <c r="AM588" s="108">
        <f>IF(pbi_fed_amount="n/a",Inputs!AN172,IF(AND(AM$2&lt;=pbi_fed_term,AM$2&lt;=analysis_period),pbi_fed_amount*(1+pbi_fed_escal/100)^AL$2,0))</f>
        <v>0</v>
      </c>
      <c r="AN588" s="108">
        <f>IF(pbi_fed_amount="n/a",Inputs!AO172,IF(AND(AN$2&lt;=pbi_fed_term,AN$2&lt;=analysis_period),pbi_fed_amount*(1+pbi_fed_escal/100)^AM$2,0))</f>
        <v>0</v>
      </c>
      <c r="AO588" s="108">
        <f>IF(pbi_fed_amount="n/a",Inputs!AP172,IF(AND(AO$2&lt;=pbi_fed_term,AO$2&lt;=analysis_period),pbi_fed_amount*(1+pbi_fed_escal/100)^AN$2,0))</f>
        <v>0</v>
      </c>
      <c r="AP588" s="108">
        <f>IF(pbi_fed_amount="n/a",Inputs!AQ172,IF(AND(AP$2&lt;=pbi_fed_term,AP$2&lt;=analysis_period),pbi_fed_amount*(1+pbi_fed_escal/100)^AO$2,0))</f>
        <v>0</v>
      </c>
    </row>
    <row r="589" spans="1:42" x14ac:dyDescent="0.2">
      <c r="A589" s="21" t="s">
        <v>33</v>
      </c>
      <c r="C589" s="120">
        <f>C$5</f>
        <v>0</v>
      </c>
      <c r="D589" s="120">
        <f t="shared" ref="D589:AP589" si="281">D$5</f>
        <v>0</v>
      </c>
      <c r="E589" s="120">
        <f t="shared" si="281"/>
        <v>0</v>
      </c>
      <c r="F589" s="120">
        <f t="shared" si="281"/>
        <v>0</v>
      </c>
      <c r="G589" s="120">
        <f t="shared" si="281"/>
        <v>0</v>
      </c>
      <c r="H589" s="120">
        <f t="shared" si="281"/>
        <v>0</v>
      </c>
      <c r="I589" s="120">
        <f t="shared" si="281"/>
        <v>0</v>
      </c>
      <c r="J589" s="120">
        <f t="shared" si="281"/>
        <v>0</v>
      </c>
      <c r="K589" s="120">
        <f t="shared" si="281"/>
        <v>0</v>
      </c>
      <c r="L589" s="120">
        <f t="shared" si="281"/>
        <v>0</v>
      </c>
      <c r="M589" s="120">
        <f t="shared" si="281"/>
        <v>0</v>
      </c>
      <c r="N589" s="120">
        <f t="shared" si="281"/>
        <v>0</v>
      </c>
      <c r="O589" s="120">
        <f t="shared" si="281"/>
        <v>0</v>
      </c>
      <c r="P589" s="120">
        <f t="shared" si="281"/>
        <v>0</v>
      </c>
      <c r="Q589" s="120">
        <f t="shared" si="281"/>
        <v>0</v>
      </c>
      <c r="R589" s="120">
        <f t="shared" si="281"/>
        <v>0</v>
      </c>
      <c r="S589" s="120">
        <f t="shared" si="281"/>
        <v>0</v>
      </c>
      <c r="T589" s="120">
        <f t="shared" si="281"/>
        <v>0</v>
      </c>
      <c r="U589" s="120">
        <f t="shared" si="281"/>
        <v>0</v>
      </c>
      <c r="V589" s="120">
        <f t="shared" si="281"/>
        <v>0</v>
      </c>
      <c r="W589" s="120">
        <f t="shared" si="281"/>
        <v>0</v>
      </c>
      <c r="X589" s="120">
        <f t="shared" si="281"/>
        <v>0</v>
      </c>
      <c r="Y589" s="120">
        <f t="shared" si="281"/>
        <v>0</v>
      </c>
      <c r="Z589" s="120">
        <f t="shared" si="281"/>
        <v>0</v>
      </c>
      <c r="AA589" s="120">
        <f t="shared" si="281"/>
        <v>0</v>
      </c>
      <c r="AB589" s="120">
        <f t="shared" si="281"/>
        <v>0</v>
      </c>
      <c r="AC589" s="120">
        <f t="shared" si="281"/>
        <v>0</v>
      </c>
      <c r="AD589" s="120">
        <f t="shared" si="281"/>
        <v>0</v>
      </c>
      <c r="AE589" s="120">
        <f t="shared" si="281"/>
        <v>0</v>
      </c>
      <c r="AF589" s="120">
        <f t="shared" si="281"/>
        <v>0</v>
      </c>
      <c r="AG589" s="120">
        <f t="shared" si="281"/>
        <v>0</v>
      </c>
      <c r="AH589" s="120">
        <f t="shared" si="281"/>
        <v>0</v>
      </c>
      <c r="AI589" s="120">
        <f t="shared" si="281"/>
        <v>0</v>
      </c>
      <c r="AJ589" s="120">
        <f t="shared" si="281"/>
        <v>0</v>
      </c>
      <c r="AK589" s="120">
        <f t="shared" si="281"/>
        <v>0</v>
      </c>
      <c r="AL589" s="120">
        <f t="shared" si="281"/>
        <v>0</v>
      </c>
      <c r="AM589" s="120">
        <f t="shared" si="281"/>
        <v>0</v>
      </c>
      <c r="AN589" s="120">
        <f t="shared" si="281"/>
        <v>0</v>
      </c>
      <c r="AO589" s="120">
        <f t="shared" si="281"/>
        <v>0</v>
      </c>
      <c r="AP589" s="120">
        <f t="shared" si="281"/>
        <v>0</v>
      </c>
    </row>
    <row r="590" spans="1:42" x14ac:dyDescent="0.2">
      <c r="A590" s="21" t="s">
        <v>13</v>
      </c>
      <c r="C590" s="119">
        <f>C588*C589</f>
        <v>0</v>
      </c>
      <c r="D590" s="119">
        <f t="shared" ref="D590:AP590" si="282">D588*D589</f>
        <v>0</v>
      </c>
      <c r="E590" s="119">
        <f t="shared" si="282"/>
        <v>0</v>
      </c>
      <c r="F590" s="119">
        <f t="shared" si="282"/>
        <v>0</v>
      </c>
      <c r="G590" s="119">
        <f t="shared" si="282"/>
        <v>0</v>
      </c>
      <c r="H590" s="119">
        <f t="shared" si="282"/>
        <v>0</v>
      </c>
      <c r="I590" s="119">
        <f t="shared" si="282"/>
        <v>0</v>
      </c>
      <c r="J590" s="119">
        <f t="shared" si="282"/>
        <v>0</v>
      </c>
      <c r="K590" s="119">
        <f t="shared" si="282"/>
        <v>0</v>
      </c>
      <c r="L590" s="119">
        <f t="shared" si="282"/>
        <v>0</v>
      </c>
      <c r="M590" s="119">
        <f t="shared" si="282"/>
        <v>0</v>
      </c>
      <c r="N590" s="119">
        <f t="shared" si="282"/>
        <v>0</v>
      </c>
      <c r="O590" s="119">
        <f t="shared" si="282"/>
        <v>0</v>
      </c>
      <c r="P590" s="119">
        <f t="shared" si="282"/>
        <v>0</v>
      </c>
      <c r="Q590" s="119">
        <f t="shared" si="282"/>
        <v>0</v>
      </c>
      <c r="R590" s="119">
        <f t="shared" si="282"/>
        <v>0</v>
      </c>
      <c r="S590" s="119">
        <f t="shared" si="282"/>
        <v>0</v>
      </c>
      <c r="T590" s="119">
        <f t="shared" si="282"/>
        <v>0</v>
      </c>
      <c r="U590" s="119">
        <f t="shared" si="282"/>
        <v>0</v>
      </c>
      <c r="V590" s="119">
        <f t="shared" si="282"/>
        <v>0</v>
      </c>
      <c r="W590" s="119">
        <f t="shared" si="282"/>
        <v>0</v>
      </c>
      <c r="X590" s="119">
        <f t="shared" si="282"/>
        <v>0</v>
      </c>
      <c r="Y590" s="119">
        <f t="shared" si="282"/>
        <v>0</v>
      </c>
      <c r="Z590" s="119">
        <f t="shared" si="282"/>
        <v>0</v>
      </c>
      <c r="AA590" s="119">
        <f t="shared" si="282"/>
        <v>0</v>
      </c>
      <c r="AB590" s="119">
        <f t="shared" si="282"/>
        <v>0</v>
      </c>
      <c r="AC590" s="119">
        <f t="shared" si="282"/>
        <v>0</v>
      </c>
      <c r="AD590" s="119">
        <f t="shared" si="282"/>
        <v>0</v>
      </c>
      <c r="AE590" s="119">
        <f t="shared" si="282"/>
        <v>0</v>
      </c>
      <c r="AF590" s="119">
        <f t="shared" si="282"/>
        <v>0</v>
      </c>
      <c r="AG590" s="119">
        <f t="shared" si="282"/>
        <v>0</v>
      </c>
      <c r="AH590" s="119">
        <f t="shared" si="282"/>
        <v>0</v>
      </c>
      <c r="AI590" s="119">
        <f t="shared" si="282"/>
        <v>0</v>
      </c>
      <c r="AJ590" s="119">
        <f t="shared" si="282"/>
        <v>0</v>
      </c>
      <c r="AK590" s="119">
        <f t="shared" si="282"/>
        <v>0</v>
      </c>
      <c r="AL590" s="119">
        <f t="shared" si="282"/>
        <v>0</v>
      </c>
      <c r="AM590" s="119">
        <f t="shared" si="282"/>
        <v>0</v>
      </c>
      <c r="AN590" s="119">
        <f t="shared" si="282"/>
        <v>0</v>
      </c>
      <c r="AO590" s="119">
        <f t="shared" si="282"/>
        <v>0</v>
      </c>
      <c r="AP590" s="119">
        <f t="shared" si="282"/>
        <v>0</v>
      </c>
    </row>
    <row r="591" spans="1:42" x14ac:dyDescent="0.2">
      <c r="A591" s="17" t="str">
        <f>Inputs!B131</f>
        <v>State ($/kWh)</v>
      </c>
    </row>
    <row r="592" spans="1:42" x14ac:dyDescent="0.2">
      <c r="A592" s="21" t="s">
        <v>32</v>
      </c>
      <c r="C592" s="97">
        <f>IF(pbi_sta_amount="n/a",Inputs!D173,IF(AND(C$2&lt;=pbi_sta_term,C$2&lt;=analysis_period),pbi_sta_amount*(1+pbi_sta_escal/100)^B$2,0))</f>
        <v>0</v>
      </c>
      <c r="D592" s="97">
        <f>IF(pbi_sta_amount="n/a",Inputs!E173,IF(AND(D$2&lt;=pbi_sta_term,D$2&lt;=analysis_period),pbi_sta_amount*(1+pbi_sta_escal/100)^C$2,0))</f>
        <v>0</v>
      </c>
      <c r="E592" s="97">
        <f>IF(pbi_sta_amount="n/a",Inputs!F173,IF(AND(E$2&lt;=pbi_sta_term,E$2&lt;=analysis_period),pbi_sta_amount*(1+pbi_sta_escal/100)^D$2,0))</f>
        <v>0</v>
      </c>
      <c r="F592" s="97">
        <f>IF(pbi_sta_amount="n/a",Inputs!G173,IF(AND(F$2&lt;=pbi_sta_term,F$2&lt;=analysis_period),pbi_sta_amount*(1+pbi_sta_escal/100)^E$2,0))</f>
        <v>0</v>
      </c>
      <c r="G592" s="97">
        <f>IF(pbi_sta_amount="n/a",Inputs!H173,IF(AND(G$2&lt;=pbi_sta_term,G$2&lt;=analysis_period),pbi_sta_amount*(1+pbi_sta_escal/100)^F$2,0))</f>
        <v>0</v>
      </c>
      <c r="H592" s="97">
        <f>IF(pbi_sta_amount="n/a",Inputs!I173,IF(AND(H$2&lt;=pbi_sta_term,H$2&lt;=analysis_period),pbi_sta_amount*(1+pbi_sta_escal/100)^G$2,0))</f>
        <v>0</v>
      </c>
      <c r="I592" s="97">
        <f>IF(pbi_sta_amount="n/a",Inputs!J173,IF(AND(I$2&lt;=pbi_sta_term,I$2&lt;=analysis_period),pbi_sta_amount*(1+pbi_sta_escal/100)^H$2,0))</f>
        <v>0</v>
      </c>
      <c r="J592" s="97">
        <f>IF(pbi_sta_amount="n/a",Inputs!K173,IF(AND(J$2&lt;=pbi_sta_term,J$2&lt;=analysis_period),pbi_sta_amount*(1+pbi_sta_escal/100)^I$2,0))</f>
        <v>0</v>
      </c>
      <c r="K592" s="97">
        <f>IF(pbi_sta_amount="n/a",Inputs!L173,IF(AND(K$2&lt;=pbi_sta_term,K$2&lt;=analysis_period),pbi_sta_amount*(1+pbi_sta_escal/100)^J$2,0))</f>
        <v>0</v>
      </c>
      <c r="L592" s="97">
        <f>IF(pbi_sta_amount="n/a",Inputs!M173,IF(AND(L$2&lt;=pbi_sta_term,L$2&lt;=analysis_period),pbi_sta_amount*(1+pbi_sta_escal/100)^K$2,0))</f>
        <v>0</v>
      </c>
      <c r="M592" s="97">
        <f>IF(pbi_sta_amount="n/a",Inputs!N173,IF(AND(M$2&lt;=pbi_sta_term,M$2&lt;=analysis_period),pbi_sta_amount*(1+pbi_sta_escal/100)^L$2,0))</f>
        <v>0</v>
      </c>
      <c r="N592" s="97">
        <f>IF(pbi_sta_amount="n/a",Inputs!O173,IF(AND(N$2&lt;=pbi_sta_term,N$2&lt;=analysis_period),pbi_sta_amount*(1+pbi_sta_escal/100)^M$2,0))</f>
        <v>0</v>
      </c>
      <c r="O592" s="97">
        <f>IF(pbi_sta_amount="n/a",Inputs!P173,IF(AND(O$2&lt;=pbi_sta_term,O$2&lt;=analysis_period),pbi_sta_amount*(1+pbi_sta_escal/100)^N$2,0))</f>
        <v>0</v>
      </c>
      <c r="P592" s="97">
        <f>IF(pbi_sta_amount="n/a",Inputs!Q173,IF(AND(P$2&lt;=pbi_sta_term,P$2&lt;=analysis_period),pbi_sta_amount*(1+pbi_sta_escal/100)^O$2,0))</f>
        <v>0</v>
      </c>
      <c r="Q592" s="97">
        <f>IF(pbi_sta_amount="n/a",Inputs!R173,IF(AND(Q$2&lt;=pbi_sta_term,Q$2&lt;=analysis_period),pbi_sta_amount*(1+pbi_sta_escal/100)^P$2,0))</f>
        <v>0</v>
      </c>
      <c r="R592" s="97">
        <f>IF(pbi_sta_amount="n/a",Inputs!S173,IF(AND(R$2&lt;=pbi_sta_term,R$2&lt;=analysis_period),pbi_sta_amount*(1+pbi_sta_escal/100)^Q$2,0))</f>
        <v>0</v>
      </c>
      <c r="S592" s="97">
        <f>IF(pbi_sta_amount="n/a",Inputs!T173,IF(AND(S$2&lt;=pbi_sta_term,S$2&lt;=analysis_period),pbi_sta_amount*(1+pbi_sta_escal/100)^R$2,0))</f>
        <v>0</v>
      </c>
      <c r="T592" s="97">
        <f>IF(pbi_sta_amount="n/a",Inputs!U173,IF(AND(T$2&lt;=pbi_sta_term,T$2&lt;=analysis_period),pbi_sta_amount*(1+pbi_sta_escal/100)^S$2,0))</f>
        <v>0</v>
      </c>
      <c r="U592" s="97">
        <f>IF(pbi_sta_amount="n/a",Inputs!V173,IF(AND(U$2&lt;=pbi_sta_term,U$2&lt;=analysis_period),pbi_sta_amount*(1+pbi_sta_escal/100)^T$2,0))</f>
        <v>0</v>
      </c>
      <c r="V592" s="97">
        <f>IF(pbi_sta_amount="n/a",Inputs!W173,IF(AND(V$2&lt;=pbi_sta_term,V$2&lt;=analysis_period),pbi_sta_amount*(1+pbi_sta_escal/100)^U$2,0))</f>
        <v>0</v>
      </c>
      <c r="W592" s="97">
        <f>IF(pbi_sta_amount="n/a",Inputs!X173,IF(AND(W$2&lt;=pbi_sta_term,W$2&lt;=analysis_period),pbi_sta_amount*(1+pbi_sta_escal/100)^V$2,0))</f>
        <v>0</v>
      </c>
      <c r="X592" s="97">
        <f>IF(pbi_sta_amount="n/a",Inputs!Y173,IF(AND(X$2&lt;=pbi_sta_term,X$2&lt;=analysis_period),pbi_sta_amount*(1+pbi_sta_escal/100)^W$2,0))</f>
        <v>0</v>
      </c>
      <c r="Y592" s="97">
        <f>IF(pbi_sta_amount="n/a",Inputs!Z173,IF(AND(Y$2&lt;=pbi_sta_term,Y$2&lt;=analysis_period),pbi_sta_amount*(1+pbi_sta_escal/100)^X$2,0))</f>
        <v>0</v>
      </c>
      <c r="Z592" s="97">
        <f>IF(pbi_sta_amount="n/a",Inputs!AA173,IF(AND(Z$2&lt;=pbi_sta_term,Z$2&lt;=analysis_period),pbi_sta_amount*(1+pbi_sta_escal/100)^Y$2,0))</f>
        <v>0</v>
      </c>
      <c r="AA592" s="97">
        <f>IF(pbi_sta_amount="n/a",Inputs!AB173,IF(AND(AA$2&lt;=pbi_sta_term,AA$2&lt;=analysis_period),pbi_sta_amount*(1+pbi_sta_escal/100)^Z$2,0))</f>
        <v>0</v>
      </c>
      <c r="AB592" s="97">
        <f>IF(pbi_sta_amount="n/a",Inputs!AC173,IF(AND(AB$2&lt;=pbi_sta_term,AB$2&lt;=analysis_period),pbi_sta_amount*(1+pbi_sta_escal/100)^AA$2,0))</f>
        <v>0</v>
      </c>
      <c r="AC592" s="97">
        <f>IF(pbi_sta_amount="n/a",Inputs!AD173,IF(AND(AC$2&lt;=pbi_sta_term,AC$2&lt;=analysis_period),pbi_sta_amount*(1+pbi_sta_escal/100)^AB$2,0))</f>
        <v>0</v>
      </c>
      <c r="AD592" s="97">
        <f>IF(pbi_sta_amount="n/a",Inputs!AE173,IF(AND(AD$2&lt;=pbi_sta_term,AD$2&lt;=analysis_period),pbi_sta_amount*(1+pbi_sta_escal/100)^AC$2,0))</f>
        <v>0</v>
      </c>
      <c r="AE592" s="97">
        <f>IF(pbi_sta_amount="n/a",Inputs!AF173,IF(AND(AE$2&lt;=pbi_sta_term,AE$2&lt;=analysis_period),pbi_sta_amount*(1+pbi_sta_escal/100)^AD$2,0))</f>
        <v>0</v>
      </c>
      <c r="AF592" s="97">
        <f>IF(pbi_sta_amount="n/a",Inputs!AG173,IF(AND(AF$2&lt;=pbi_sta_term,AF$2&lt;=analysis_period),pbi_sta_amount*(1+pbi_sta_escal/100)^AE$2,0))</f>
        <v>0</v>
      </c>
      <c r="AG592" s="97">
        <f>IF(pbi_sta_amount="n/a",Inputs!AH173,IF(AND(AG$2&lt;=pbi_sta_term,AG$2&lt;=analysis_period),pbi_sta_amount*(1+pbi_sta_escal/100)^AF$2,0))</f>
        <v>0</v>
      </c>
      <c r="AH592" s="97">
        <f>IF(pbi_sta_amount="n/a",Inputs!AI173,IF(AND(AH$2&lt;=pbi_sta_term,AH$2&lt;=analysis_period),pbi_sta_amount*(1+pbi_sta_escal/100)^AG$2,0))</f>
        <v>0</v>
      </c>
      <c r="AI592" s="97">
        <f>IF(pbi_sta_amount="n/a",Inputs!AJ173,IF(AND(AI$2&lt;=pbi_sta_term,AI$2&lt;=analysis_period),pbi_sta_amount*(1+pbi_sta_escal/100)^AH$2,0))</f>
        <v>0</v>
      </c>
      <c r="AJ592" s="97">
        <f>IF(pbi_sta_amount="n/a",Inputs!AK173,IF(AND(AJ$2&lt;=pbi_sta_term,AJ$2&lt;=analysis_period),pbi_sta_amount*(1+pbi_sta_escal/100)^AI$2,0))</f>
        <v>0</v>
      </c>
      <c r="AK592" s="97">
        <f>IF(pbi_sta_amount="n/a",Inputs!AL173,IF(AND(AK$2&lt;=pbi_sta_term,AK$2&lt;=analysis_period),pbi_sta_amount*(1+pbi_sta_escal/100)^AJ$2,0))</f>
        <v>0</v>
      </c>
      <c r="AL592" s="97">
        <f>IF(pbi_sta_amount="n/a",Inputs!AM173,IF(AND(AL$2&lt;=pbi_sta_term,AL$2&lt;=analysis_period),pbi_sta_amount*(1+pbi_sta_escal/100)^AK$2,0))</f>
        <v>0</v>
      </c>
      <c r="AM592" s="97">
        <f>IF(pbi_sta_amount="n/a",Inputs!AN173,IF(AND(AM$2&lt;=pbi_sta_term,AM$2&lt;=analysis_period),pbi_sta_amount*(1+pbi_sta_escal/100)^AL$2,0))</f>
        <v>0</v>
      </c>
      <c r="AN592" s="97">
        <f>IF(pbi_sta_amount="n/a",Inputs!AO173,IF(AND(AN$2&lt;=pbi_sta_term,AN$2&lt;=analysis_period),pbi_sta_amount*(1+pbi_sta_escal/100)^AM$2,0))</f>
        <v>0</v>
      </c>
      <c r="AO592" s="97">
        <f>IF(pbi_sta_amount="n/a",Inputs!AP173,IF(AND(AO$2&lt;=pbi_sta_term,AO$2&lt;=analysis_period),pbi_sta_amount*(1+pbi_sta_escal/100)^AN$2,0))</f>
        <v>0</v>
      </c>
      <c r="AP592" s="97">
        <f>IF(pbi_sta_amount="n/a",Inputs!AQ173,IF(AND(AP$2&lt;=pbi_sta_term,AP$2&lt;=analysis_period),pbi_sta_amount*(1+pbi_sta_escal/100)^AO$2,0))</f>
        <v>0</v>
      </c>
    </row>
    <row r="593" spans="1:42" x14ac:dyDescent="0.2">
      <c r="A593" s="21" t="s">
        <v>33</v>
      </c>
      <c r="C593" s="120">
        <f>C$5</f>
        <v>0</v>
      </c>
      <c r="D593" s="120">
        <f t="shared" ref="D593:AP593" si="283">D$5</f>
        <v>0</v>
      </c>
      <c r="E593" s="120">
        <f t="shared" si="283"/>
        <v>0</v>
      </c>
      <c r="F593" s="120">
        <f t="shared" si="283"/>
        <v>0</v>
      </c>
      <c r="G593" s="120">
        <f t="shared" si="283"/>
        <v>0</v>
      </c>
      <c r="H593" s="120">
        <f t="shared" si="283"/>
        <v>0</v>
      </c>
      <c r="I593" s="120">
        <f t="shared" si="283"/>
        <v>0</v>
      </c>
      <c r="J593" s="120">
        <f t="shared" si="283"/>
        <v>0</v>
      </c>
      <c r="K593" s="120">
        <f t="shared" si="283"/>
        <v>0</v>
      </c>
      <c r="L593" s="120">
        <f t="shared" si="283"/>
        <v>0</v>
      </c>
      <c r="M593" s="120">
        <f t="shared" si="283"/>
        <v>0</v>
      </c>
      <c r="N593" s="120">
        <f t="shared" si="283"/>
        <v>0</v>
      </c>
      <c r="O593" s="120">
        <f t="shared" si="283"/>
        <v>0</v>
      </c>
      <c r="P593" s="120">
        <f t="shared" si="283"/>
        <v>0</v>
      </c>
      <c r="Q593" s="120">
        <f t="shared" si="283"/>
        <v>0</v>
      </c>
      <c r="R593" s="120">
        <f t="shared" si="283"/>
        <v>0</v>
      </c>
      <c r="S593" s="120">
        <f t="shared" si="283"/>
        <v>0</v>
      </c>
      <c r="T593" s="120">
        <f t="shared" si="283"/>
        <v>0</v>
      </c>
      <c r="U593" s="120">
        <f t="shared" si="283"/>
        <v>0</v>
      </c>
      <c r="V593" s="120">
        <f t="shared" si="283"/>
        <v>0</v>
      </c>
      <c r="W593" s="120">
        <f t="shared" si="283"/>
        <v>0</v>
      </c>
      <c r="X593" s="120">
        <f t="shared" si="283"/>
        <v>0</v>
      </c>
      <c r="Y593" s="120">
        <f t="shared" si="283"/>
        <v>0</v>
      </c>
      <c r="Z593" s="120">
        <f t="shared" si="283"/>
        <v>0</v>
      </c>
      <c r="AA593" s="120">
        <f t="shared" si="283"/>
        <v>0</v>
      </c>
      <c r="AB593" s="120">
        <f t="shared" si="283"/>
        <v>0</v>
      </c>
      <c r="AC593" s="120">
        <f t="shared" si="283"/>
        <v>0</v>
      </c>
      <c r="AD593" s="120">
        <f t="shared" si="283"/>
        <v>0</v>
      </c>
      <c r="AE593" s="120">
        <f t="shared" si="283"/>
        <v>0</v>
      </c>
      <c r="AF593" s="120">
        <f t="shared" si="283"/>
        <v>0</v>
      </c>
      <c r="AG593" s="120">
        <f t="shared" si="283"/>
        <v>0</v>
      </c>
      <c r="AH593" s="120">
        <f t="shared" si="283"/>
        <v>0</v>
      </c>
      <c r="AI593" s="120">
        <f t="shared" si="283"/>
        <v>0</v>
      </c>
      <c r="AJ593" s="120">
        <f t="shared" si="283"/>
        <v>0</v>
      </c>
      <c r="AK593" s="120">
        <f t="shared" si="283"/>
        <v>0</v>
      </c>
      <c r="AL593" s="120">
        <f t="shared" si="283"/>
        <v>0</v>
      </c>
      <c r="AM593" s="120">
        <f t="shared" si="283"/>
        <v>0</v>
      </c>
      <c r="AN593" s="120">
        <f t="shared" si="283"/>
        <v>0</v>
      </c>
      <c r="AO593" s="120">
        <f t="shared" si="283"/>
        <v>0</v>
      </c>
      <c r="AP593" s="120">
        <f t="shared" si="283"/>
        <v>0</v>
      </c>
    </row>
    <row r="594" spans="1:42" x14ac:dyDescent="0.2">
      <c r="A594" s="21" t="s">
        <v>13</v>
      </c>
      <c r="C594" s="119">
        <f>C592*C593</f>
        <v>0</v>
      </c>
      <c r="D594" s="119">
        <f t="shared" ref="D594:AP594" si="284">D592*D593</f>
        <v>0</v>
      </c>
      <c r="E594" s="119">
        <f t="shared" si="284"/>
        <v>0</v>
      </c>
      <c r="F594" s="119">
        <f t="shared" si="284"/>
        <v>0</v>
      </c>
      <c r="G594" s="119">
        <f t="shared" si="284"/>
        <v>0</v>
      </c>
      <c r="H594" s="119">
        <f t="shared" si="284"/>
        <v>0</v>
      </c>
      <c r="I594" s="119">
        <f t="shared" si="284"/>
        <v>0</v>
      </c>
      <c r="J594" s="119">
        <f t="shared" si="284"/>
        <v>0</v>
      </c>
      <c r="K594" s="119">
        <f t="shared" si="284"/>
        <v>0</v>
      </c>
      <c r="L594" s="119">
        <f t="shared" si="284"/>
        <v>0</v>
      </c>
      <c r="M594" s="119">
        <f t="shared" si="284"/>
        <v>0</v>
      </c>
      <c r="N594" s="119">
        <f t="shared" si="284"/>
        <v>0</v>
      </c>
      <c r="O594" s="119">
        <f t="shared" si="284"/>
        <v>0</v>
      </c>
      <c r="P594" s="119">
        <f t="shared" si="284"/>
        <v>0</v>
      </c>
      <c r="Q594" s="119">
        <f t="shared" si="284"/>
        <v>0</v>
      </c>
      <c r="R594" s="119">
        <f t="shared" si="284"/>
        <v>0</v>
      </c>
      <c r="S594" s="119">
        <f t="shared" si="284"/>
        <v>0</v>
      </c>
      <c r="T594" s="119">
        <f t="shared" si="284"/>
        <v>0</v>
      </c>
      <c r="U594" s="119">
        <f t="shared" si="284"/>
        <v>0</v>
      </c>
      <c r="V594" s="119">
        <f t="shared" si="284"/>
        <v>0</v>
      </c>
      <c r="W594" s="119">
        <f t="shared" si="284"/>
        <v>0</v>
      </c>
      <c r="X594" s="119">
        <f t="shared" si="284"/>
        <v>0</v>
      </c>
      <c r="Y594" s="119">
        <f t="shared" si="284"/>
        <v>0</v>
      </c>
      <c r="Z594" s="119">
        <f t="shared" si="284"/>
        <v>0</v>
      </c>
      <c r="AA594" s="119">
        <f t="shared" si="284"/>
        <v>0</v>
      </c>
      <c r="AB594" s="119">
        <f t="shared" si="284"/>
        <v>0</v>
      </c>
      <c r="AC594" s="119">
        <f t="shared" si="284"/>
        <v>0</v>
      </c>
      <c r="AD594" s="119">
        <f t="shared" si="284"/>
        <v>0</v>
      </c>
      <c r="AE594" s="119">
        <f t="shared" si="284"/>
        <v>0</v>
      </c>
      <c r="AF594" s="119">
        <f t="shared" si="284"/>
        <v>0</v>
      </c>
      <c r="AG594" s="119">
        <f t="shared" si="284"/>
        <v>0</v>
      </c>
      <c r="AH594" s="119">
        <f t="shared" si="284"/>
        <v>0</v>
      </c>
      <c r="AI594" s="119">
        <f t="shared" si="284"/>
        <v>0</v>
      </c>
      <c r="AJ594" s="119">
        <f t="shared" si="284"/>
        <v>0</v>
      </c>
      <c r="AK594" s="119">
        <f t="shared" si="284"/>
        <v>0</v>
      </c>
      <c r="AL594" s="119">
        <f t="shared" si="284"/>
        <v>0</v>
      </c>
      <c r="AM594" s="119">
        <f t="shared" si="284"/>
        <v>0</v>
      </c>
      <c r="AN594" s="119">
        <f t="shared" si="284"/>
        <v>0</v>
      </c>
      <c r="AO594" s="119">
        <f t="shared" si="284"/>
        <v>0</v>
      </c>
      <c r="AP594" s="119">
        <f t="shared" si="284"/>
        <v>0</v>
      </c>
    </row>
    <row r="595" spans="1:42" x14ac:dyDescent="0.2">
      <c r="A595" s="17" t="str">
        <f>Inputs!B132</f>
        <v>Utility ($/kWh)</v>
      </c>
    </row>
    <row r="596" spans="1:42" x14ac:dyDescent="0.2">
      <c r="A596" s="21" t="s">
        <v>32</v>
      </c>
      <c r="C596" s="97">
        <f>IF(pbi_uti_amount="n/a",Inputs!D174,IF(AND(C$2&lt;=pbi_uti_term,C$2&lt;=analysis_period),pbi_uti_amount*(1+pbi_uti_escal/100)^B$2,0))</f>
        <v>0</v>
      </c>
      <c r="D596" s="97">
        <f>IF(pbi_uti_amount="n/a",Inputs!E174,IF(AND(D$2&lt;=pbi_uti_term,D$2&lt;=analysis_period),pbi_uti_amount*(1+pbi_uti_escal/100)^C$2,0))</f>
        <v>0</v>
      </c>
      <c r="E596" s="97">
        <f>IF(pbi_uti_amount="n/a",Inputs!F174,IF(AND(E$2&lt;=pbi_uti_term,E$2&lt;=analysis_period),pbi_uti_amount*(1+pbi_uti_escal/100)^D$2,0))</f>
        <v>0</v>
      </c>
      <c r="F596" s="97">
        <f>IF(pbi_uti_amount="n/a",Inputs!G174,IF(AND(F$2&lt;=pbi_uti_term,F$2&lt;=analysis_period),pbi_uti_amount*(1+pbi_uti_escal/100)^E$2,0))</f>
        <v>0</v>
      </c>
      <c r="G596" s="97">
        <f>IF(pbi_uti_amount="n/a",Inputs!H174,IF(AND(G$2&lt;=pbi_uti_term,G$2&lt;=analysis_period),pbi_uti_amount*(1+pbi_uti_escal/100)^F$2,0))</f>
        <v>0</v>
      </c>
      <c r="H596" s="97">
        <f>IF(pbi_uti_amount="n/a",Inputs!I174,IF(AND(H$2&lt;=pbi_uti_term,H$2&lt;=analysis_period),pbi_uti_amount*(1+pbi_uti_escal/100)^G$2,0))</f>
        <v>0</v>
      </c>
      <c r="I596" s="97">
        <f>IF(pbi_uti_amount="n/a",Inputs!J174,IF(AND(I$2&lt;=pbi_uti_term,I$2&lt;=analysis_period),pbi_uti_amount*(1+pbi_uti_escal/100)^H$2,0))</f>
        <v>0</v>
      </c>
      <c r="J596" s="97">
        <f>IF(pbi_uti_amount="n/a",Inputs!K174,IF(AND(J$2&lt;=pbi_uti_term,J$2&lt;=analysis_period),pbi_uti_amount*(1+pbi_uti_escal/100)^I$2,0))</f>
        <v>0</v>
      </c>
      <c r="K596" s="97">
        <f>IF(pbi_uti_amount="n/a",Inputs!L174,IF(AND(K$2&lt;=pbi_uti_term,K$2&lt;=analysis_period),pbi_uti_amount*(1+pbi_uti_escal/100)^J$2,0))</f>
        <v>0</v>
      </c>
      <c r="L596" s="97">
        <f>IF(pbi_uti_amount="n/a",Inputs!M174,IF(AND(L$2&lt;=pbi_uti_term,L$2&lt;=analysis_period),pbi_uti_amount*(1+pbi_uti_escal/100)^K$2,0))</f>
        <v>0</v>
      </c>
      <c r="M596" s="97">
        <f>IF(pbi_uti_amount="n/a",Inputs!N174,IF(AND(M$2&lt;=pbi_uti_term,M$2&lt;=analysis_period),pbi_uti_amount*(1+pbi_uti_escal/100)^L$2,0))</f>
        <v>0</v>
      </c>
      <c r="N596" s="97">
        <f>IF(pbi_uti_amount="n/a",Inputs!O174,IF(AND(N$2&lt;=pbi_uti_term,N$2&lt;=analysis_period),pbi_uti_amount*(1+pbi_uti_escal/100)^M$2,0))</f>
        <v>0</v>
      </c>
      <c r="O596" s="97">
        <f>IF(pbi_uti_amount="n/a",Inputs!P174,IF(AND(O$2&lt;=pbi_uti_term,O$2&lt;=analysis_period),pbi_uti_amount*(1+pbi_uti_escal/100)^N$2,0))</f>
        <v>0</v>
      </c>
      <c r="P596" s="97">
        <f>IF(pbi_uti_amount="n/a",Inputs!Q174,IF(AND(P$2&lt;=pbi_uti_term,P$2&lt;=analysis_period),pbi_uti_amount*(1+pbi_uti_escal/100)^O$2,0))</f>
        <v>0</v>
      </c>
      <c r="Q596" s="97">
        <f>IF(pbi_uti_amount="n/a",Inputs!R174,IF(AND(Q$2&lt;=pbi_uti_term,Q$2&lt;=analysis_period),pbi_uti_amount*(1+pbi_uti_escal/100)^P$2,0))</f>
        <v>0</v>
      </c>
      <c r="R596" s="97">
        <f>IF(pbi_uti_amount="n/a",Inputs!S174,IF(AND(R$2&lt;=pbi_uti_term,R$2&lt;=analysis_period),pbi_uti_amount*(1+pbi_uti_escal/100)^Q$2,0))</f>
        <v>0</v>
      </c>
      <c r="S596" s="97">
        <f>IF(pbi_uti_amount="n/a",Inputs!T174,IF(AND(S$2&lt;=pbi_uti_term,S$2&lt;=analysis_period),pbi_uti_amount*(1+pbi_uti_escal/100)^R$2,0))</f>
        <v>0</v>
      </c>
      <c r="T596" s="97">
        <f>IF(pbi_uti_amount="n/a",Inputs!U174,IF(AND(T$2&lt;=pbi_uti_term,T$2&lt;=analysis_period),pbi_uti_amount*(1+pbi_uti_escal/100)^S$2,0))</f>
        <v>0</v>
      </c>
      <c r="U596" s="97">
        <f>IF(pbi_uti_amount="n/a",Inputs!V174,IF(AND(U$2&lt;=pbi_uti_term,U$2&lt;=analysis_period),pbi_uti_amount*(1+pbi_uti_escal/100)^T$2,0))</f>
        <v>0</v>
      </c>
      <c r="V596" s="97">
        <f>IF(pbi_uti_amount="n/a",Inputs!W174,IF(AND(V$2&lt;=pbi_uti_term,V$2&lt;=analysis_period),pbi_uti_amount*(1+pbi_uti_escal/100)^U$2,0))</f>
        <v>0</v>
      </c>
      <c r="W596" s="97">
        <f>IF(pbi_uti_amount="n/a",Inputs!X174,IF(AND(W$2&lt;=pbi_uti_term,W$2&lt;=analysis_period),pbi_uti_amount*(1+pbi_uti_escal/100)^V$2,0))</f>
        <v>0</v>
      </c>
      <c r="X596" s="97">
        <f>IF(pbi_uti_amount="n/a",Inputs!Y174,IF(AND(X$2&lt;=pbi_uti_term,X$2&lt;=analysis_period),pbi_uti_amount*(1+pbi_uti_escal/100)^W$2,0))</f>
        <v>0</v>
      </c>
      <c r="Y596" s="97">
        <f>IF(pbi_uti_amount="n/a",Inputs!Z174,IF(AND(Y$2&lt;=pbi_uti_term,Y$2&lt;=analysis_period),pbi_uti_amount*(1+pbi_uti_escal/100)^X$2,0))</f>
        <v>0</v>
      </c>
      <c r="Z596" s="97">
        <f>IF(pbi_uti_amount="n/a",Inputs!AA174,IF(AND(Z$2&lt;=pbi_uti_term,Z$2&lt;=analysis_period),pbi_uti_amount*(1+pbi_uti_escal/100)^Y$2,0))</f>
        <v>0</v>
      </c>
      <c r="AA596" s="97">
        <f>IF(pbi_uti_amount="n/a",Inputs!AB174,IF(AND(AA$2&lt;=pbi_uti_term,AA$2&lt;=analysis_period),pbi_uti_amount*(1+pbi_uti_escal/100)^Z$2,0))</f>
        <v>0</v>
      </c>
      <c r="AB596" s="97">
        <f>IF(pbi_uti_amount="n/a",Inputs!AC174,IF(AND(AB$2&lt;=pbi_uti_term,AB$2&lt;=analysis_period),pbi_uti_amount*(1+pbi_uti_escal/100)^AA$2,0))</f>
        <v>0</v>
      </c>
      <c r="AC596" s="97">
        <f>IF(pbi_uti_amount="n/a",Inputs!AD174,IF(AND(AC$2&lt;=pbi_uti_term,AC$2&lt;=analysis_period),pbi_uti_amount*(1+pbi_uti_escal/100)^AB$2,0))</f>
        <v>0</v>
      </c>
      <c r="AD596" s="97">
        <f>IF(pbi_uti_amount="n/a",Inputs!AE174,IF(AND(AD$2&lt;=pbi_uti_term,AD$2&lt;=analysis_period),pbi_uti_amount*(1+pbi_uti_escal/100)^AC$2,0))</f>
        <v>0</v>
      </c>
      <c r="AE596" s="97">
        <f>IF(pbi_uti_amount="n/a",Inputs!AF174,IF(AND(AE$2&lt;=pbi_uti_term,AE$2&lt;=analysis_period),pbi_uti_amount*(1+pbi_uti_escal/100)^AD$2,0))</f>
        <v>0</v>
      </c>
      <c r="AF596" s="97">
        <f>IF(pbi_uti_amount="n/a",Inputs!AG174,IF(AND(AF$2&lt;=pbi_uti_term,AF$2&lt;=analysis_period),pbi_uti_amount*(1+pbi_uti_escal/100)^AE$2,0))</f>
        <v>0</v>
      </c>
      <c r="AG596" s="97">
        <f>IF(pbi_uti_amount="n/a",Inputs!AH174,IF(AND(AG$2&lt;=pbi_uti_term,AG$2&lt;=analysis_period),pbi_uti_amount*(1+pbi_uti_escal/100)^AF$2,0))</f>
        <v>0</v>
      </c>
      <c r="AH596" s="97">
        <f>IF(pbi_uti_amount="n/a",Inputs!AI174,IF(AND(AH$2&lt;=pbi_uti_term,AH$2&lt;=analysis_period),pbi_uti_amount*(1+pbi_uti_escal/100)^AG$2,0))</f>
        <v>0</v>
      </c>
      <c r="AI596" s="97">
        <f>IF(pbi_uti_amount="n/a",Inputs!AJ174,IF(AND(AI$2&lt;=pbi_uti_term,AI$2&lt;=analysis_period),pbi_uti_amount*(1+pbi_uti_escal/100)^AH$2,0))</f>
        <v>0</v>
      </c>
      <c r="AJ596" s="97">
        <f>IF(pbi_uti_amount="n/a",Inputs!AK174,IF(AND(AJ$2&lt;=pbi_uti_term,AJ$2&lt;=analysis_period),pbi_uti_amount*(1+pbi_uti_escal/100)^AI$2,0))</f>
        <v>0</v>
      </c>
      <c r="AK596" s="97">
        <f>IF(pbi_uti_amount="n/a",Inputs!AL174,IF(AND(AK$2&lt;=pbi_uti_term,AK$2&lt;=analysis_period),pbi_uti_amount*(1+pbi_uti_escal/100)^AJ$2,0))</f>
        <v>0</v>
      </c>
      <c r="AL596" s="97">
        <f>IF(pbi_uti_amount="n/a",Inputs!AM174,IF(AND(AL$2&lt;=pbi_uti_term,AL$2&lt;=analysis_period),pbi_uti_amount*(1+pbi_uti_escal/100)^AK$2,0))</f>
        <v>0</v>
      </c>
      <c r="AM596" s="97">
        <f>IF(pbi_uti_amount="n/a",Inputs!AN174,IF(AND(AM$2&lt;=pbi_uti_term,AM$2&lt;=analysis_period),pbi_uti_amount*(1+pbi_uti_escal/100)^AL$2,0))</f>
        <v>0</v>
      </c>
      <c r="AN596" s="97">
        <f>IF(pbi_uti_amount="n/a",Inputs!AO174,IF(AND(AN$2&lt;=pbi_uti_term,AN$2&lt;=analysis_period),pbi_uti_amount*(1+pbi_uti_escal/100)^AM$2,0))</f>
        <v>0</v>
      </c>
      <c r="AO596" s="97">
        <f>IF(pbi_uti_amount="n/a",Inputs!AP174,IF(AND(AO$2&lt;=pbi_uti_term,AO$2&lt;=analysis_period),pbi_uti_amount*(1+pbi_uti_escal/100)^AN$2,0))</f>
        <v>0</v>
      </c>
      <c r="AP596" s="97">
        <f>IF(pbi_uti_amount="n/a",Inputs!AQ174,IF(AND(AP$2&lt;=pbi_uti_term,AP$2&lt;=analysis_period),pbi_uti_amount*(1+pbi_uti_escal/100)^AO$2,0))</f>
        <v>0</v>
      </c>
    </row>
    <row r="597" spans="1:42" x14ac:dyDescent="0.2">
      <c r="A597" s="21" t="s">
        <v>33</v>
      </c>
      <c r="C597" s="120">
        <f>C$5</f>
        <v>0</v>
      </c>
      <c r="D597" s="120">
        <f t="shared" ref="D597:AP597" si="285">D$5</f>
        <v>0</v>
      </c>
      <c r="E597" s="120">
        <f t="shared" si="285"/>
        <v>0</v>
      </c>
      <c r="F597" s="120">
        <f t="shared" si="285"/>
        <v>0</v>
      </c>
      <c r="G597" s="120">
        <f t="shared" si="285"/>
        <v>0</v>
      </c>
      <c r="H597" s="120">
        <f t="shared" si="285"/>
        <v>0</v>
      </c>
      <c r="I597" s="120">
        <f t="shared" si="285"/>
        <v>0</v>
      </c>
      <c r="J597" s="120">
        <f t="shared" si="285"/>
        <v>0</v>
      </c>
      <c r="K597" s="120">
        <f t="shared" si="285"/>
        <v>0</v>
      </c>
      <c r="L597" s="120">
        <f t="shared" si="285"/>
        <v>0</v>
      </c>
      <c r="M597" s="120">
        <f t="shared" si="285"/>
        <v>0</v>
      </c>
      <c r="N597" s="120">
        <f t="shared" si="285"/>
        <v>0</v>
      </c>
      <c r="O597" s="120">
        <f t="shared" si="285"/>
        <v>0</v>
      </c>
      <c r="P597" s="120">
        <f t="shared" si="285"/>
        <v>0</v>
      </c>
      <c r="Q597" s="120">
        <f t="shared" si="285"/>
        <v>0</v>
      </c>
      <c r="R597" s="120">
        <f t="shared" si="285"/>
        <v>0</v>
      </c>
      <c r="S597" s="120">
        <f t="shared" si="285"/>
        <v>0</v>
      </c>
      <c r="T597" s="120">
        <f t="shared" si="285"/>
        <v>0</v>
      </c>
      <c r="U597" s="120">
        <f t="shared" si="285"/>
        <v>0</v>
      </c>
      <c r="V597" s="120">
        <f t="shared" si="285"/>
        <v>0</v>
      </c>
      <c r="W597" s="120">
        <f t="shared" si="285"/>
        <v>0</v>
      </c>
      <c r="X597" s="120">
        <f t="shared" si="285"/>
        <v>0</v>
      </c>
      <c r="Y597" s="120">
        <f t="shared" si="285"/>
        <v>0</v>
      </c>
      <c r="Z597" s="120">
        <f t="shared" si="285"/>
        <v>0</v>
      </c>
      <c r="AA597" s="120">
        <f t="shared" si="285"/>
        <v>0</v>
      </c>
      <c r="AB597" s="120">
        <f t="shared" si="285"/>
        <v>0</v>
      </c>
      <c r="AC597" s="120">
        <f t="shared" si="285"/>
        <v>0</v>
      </c>
      <c r="AD597" s="120">
        <f t="shared" si="285"/>
        <v>0</v>
      </c>
      <c r="AE597" s="120">
        <f t="shared" si="285"/>
        <v>0</v>
      </c>
      <c r="AF597" s="120">
        <f t="shared" si="285"/>
        <v>0</v>
      </c>
      <c r="AG597" s="120">
        <f t="shared" si="285"/>
        <v>0</v>
      </c>
      <c r="AH597" s="120">
        <f t="shared" si="285"/>
        <v>0</v>
      </c>
      <c r="AI597" s="120">
        <f t="shared" si="285"/>
        <v>0</v>
      </c>
      <c r="AJ597" s="120">
        <f t="shared" si="285"/>
        <v>0</v>
      </c>
      <c r="AK597" s="120">
        <f t="shared" si="285"/>
        <v>0</v>
      </c>
      <c r="AL597" s="120">
        <f t="shared" si="285"/>
        <v>0</v>
      </c>
      <c r="AM597" s="120">
        <f t="shared" si="285"/>
        <v>0</v>
      </c>
      <c r="AN597" s="120">
        <f t="shared" si="285"/>
        <v>0</v>
      </c>
      <c r="AO597" s="120">
        <f t="shared" si="285"/>
        <v>0</v>
      </c>
      <c r="AP597" s="120">
        <f t="shared" si="285"/>
        <v>0</v>
      </c>
    </row>
    <row r="598" spans="1:42" x14ac:dyDescent="0.2">
      <c r="A598" s="21" t="s">
        <v>13</v>
      </c>
      <c r="C598" s="119">
        <f>C596*C597</f>
        <v>0</v>
      </c>
      <c r="D598" s="119">
        <f t="shared" ref="D598:AP598" si="286">D596*D597</f>
        <v>0</v>
      </c>
      <c r="E598" s="119">
        <f t="shared" si="286"/>
        <v>0</v>
      </c>
      <c r="F598" s="119">
        <f t="shared" si="286"/>
        <v>0</v>
      </c>
      <c r="G598" s="119">
        <f t="shared" si="286"/>
        <v>0</v>
      </c>
      <c r="H598" s="119">
        <f t="shared" si="286"/>
        <v>0</v>
      </c>
      <c r="I598" s="119">
        <f t="shared" si="286"/>
        <v>0</v>
      </c>
      <c r="J598" s="119">
        <f t="shared" si="286"/>
        <v>0</v>
      </c>
      <c r="K598" s="119">
        <f t="shared" si="286"/>
        <v>0</v>
      </c>
      <c r="L598" s="119">
        <f t="shared" si="286"/>
        <v>0</v>
      </c>
      <c r="M598" s="119">
        <f t="shared" si="286"/>
        <v>0</v>
      </c>
      <c r="N598" s="119">
        <f t="shared" si="286"/>
        <v>0</v>
      </c>
      <c r="O598" s="119">
        <f t="shared" si="286"/>
        <v>0</v>
      </c>
      <c r="P598" s="119">
        <f t="shared" si="286"/>
        <v>0</v>
      </c>
      <c r="Q598" s="119">
        <f t="shared" si="286"/>
        <v>0</v>
      </c>
      <c r="R598" s="119">
        <f t="shared" si="286"/>
        <v>0</v>
      </c>
      <c r="S598" s="119">
        <f t="shared" si="286"/>
        <v>0</v>
      </c>
      <c r="T598" s="119">
        <f t="shared" si="286"/>
        <v>0</v>
      </c>
      <c r="U598" s="119">
        <f t="shared" si="286"/>
        <v>0</v>
      </c>
      <c r="V598" s="119">
        <f t="shared" si="286"/>
        <v>0</v>
      </c>
      <c r="W598" s="119">
        <f t="shared" si="286"/>
        <v>0</v>
      </c>
      <c r="X598" s="119">
        <f t="shared" si="286"/>
        <v>0</v>
      </c>
      <c r="Y598" s="119">
        <f t="shared" si="286"/>
        <v>0</v>
      </c>
      <c r="Z598" s="119">
        <f t="shared" si="286"/>
        <v>0</v>
      </c>
      <c r="AA598" s="119">
        <f t="shared" si="286"/>
        <v>0</v>
      </c>
      <c r="AB598" s="119">
        <f t="shared" si="286"/>
        <v>0</v>
      </c>
      <c r="AC598" s="119">
        <f t="shared" si="286"/>
        <v>0</v>
      </c>
      <c r="AD598" s="119">
        <f t="shared" si="286"/>
        <v>0</v>
      </c>
      <c r="AE598" s="119">
        <f t="shared" si="286"/>
        <v>0</v>
      </c>
      <c r="AF598" s="119">
        <f t="shared" si="286"/>
        <v>0</v>
      </c>
      <c r="AG598" s="119">
        <f t="shared" si="286"/>
        <v>0</v>
      </c>
      <c r="AH598" s="119">
        <f t="shared" si="286"/>
        <v>0</v>
      </c>
      <c r="AI598" s="119">
        <f t="shared" si="286"/>
        <v>0</v>
      </c>
      <c r="AJ598" s="119">
        <f t="shared" si="286"/>
        <v>0</v>
      </c>
      <c r="AK598" s="119">
        <f t="shared" si="286"/>
        <v>0</v>
      </c>
      <c r="AL598" s="119">
        <f t="shared" si="286"/>
        <v>0</v>
      </c>
      <c r="AM598" s="119">
        <f t="shared" si="286"/>
        <v>0</v>
      </c>
      <c r="AN598" s="119">
        <f t="shared" si="286"/>
        <v>0</v>
      </c>
      <c r="AO598" s="119">
        <f t="shared" si="286"/>
        <v>0</v>
      </c>
      <c r="AP598" s="119">
        <f t="shared" si="286"/>
        <v>0</v>
      </c>
    </row>
    <row r="599" spans="1:42" x14ac:dyDescent="0.2">
      <c r="A599" s="17" t="str">
        <f>Inputs!B133</f>
        <v>Other ($/kWh)</v>
      </c>
    </row>
    <row r="600" spans="1:42" x14ac:dyDescent="0.2">
      <c r="A600" s="21" t="s">
        <v>32</v>
      </c>
      <c r="C600" s="97">
        <f>IF(pbi_oth_amount="n/a",Inputs!D175,IF(AND(C$2&lt;=pbi_oth_term,C$2&lt;=analysis_period),pbi_oth_amount*(1+pbi_oth_escal/100)^B$2,0))</f>
        <v>0</v>
      </c>
      <c r="D600" s="97">
        <f>IF(pbi_oth_amount="n/a",Inputs!E175,IF(AND(D$2&lt;=pbi_oth_term,D$2&lt;=analysis_period),pbi_oth_amount*(1+pbi_oth_escal/100)^C$2,0))</f>
        <v>0</v>
      </c>
      <c r="E600" s="97">
        <f>IF(pbi_oth_amount="n/a",Inputs!F175,IF(AND(E$2&lt;=pbi_oth_term,E$2&lt;=analysis_period),pbi_oth_amount*(1+pbi_oth_escal/100)^D$2,0))</f>
        <v>0</v>
      </c>
      <c r="F600" s="97">
        <f>IF(pbi_oth_amount="n/a",Inputs!G175,IF(AND(F$2&lt;=pbi_oth_term,F$2&lt;=analysis_period),pbi_oth_amount*(1+pbi_oth_escal/100)^E$2,0))</f>
        <v>0</v>
      </c>
      <c r="G600" s="97">
        <f>IF(pbi_oth_amount="n/a",Inputs!H175,IF(AND(G$2&lt;=pbi_oth_term,G$2&lt;=analysis_period),pbi_oth_amount*(1+pbi_oth_escal/100)^F$2,0))</f>
        <v>0</v>
      </c>
      <c r="H600" s="97">
        <f>IF(pbi_oth_amount="n/a",Inputs!I175,IF(AND(H$2&lt;=pbi_oth_term,H$2&lt;=analysis_period),pbi_oth_amount*(1+pbi_oth_escal/100)^G$2,0))</f>
        <v>0</v>
      </c>
      <c r="I600" s="97">
        <f>IF(pbi_oth_amount="n/a",Inputs!J175,IF(AND(I$2&lt;=pbi_oth_term,I$2&lt;=analysis_period),pbi_oth_amount*(1+pbi_oth_escal/100)^H$2,0))</f>
        <v>0</v>
      </c>
      <c r="J600" s="97">
        <f>IF(pbi_oth_amount="n/a",Inputs!K175,IF(AND(J$2&lt;=pbi_oth_term,J$2&lt;=analysis_period),pbi_oth_amount*(1+pbi_oth_escal/100)^I$2,0))</f>
        <v>0</v>
      </c>
      <c r="K600" s="97">
        <f>IF(pbi_oth_amount="n/a",Inputs!L175,IF(AND(K$2&lt;=pbi_oth_term,K$2&lt;=analysis_period),pbi_oth_amount*(1+pbi_oth_escal/100)^J$2,0))</f>
        <v>0</v>
      </c>
      <c r="L600" s="97">
        <f>IF(pbi_oth_amount="n/a",Inputs!M175,IF(AND(L$2&lt;=pbi_oth_term,L$2&lt;=analysis_period),pbi_oth_amount*(1+pbi_oth_escal/100)^K$2,0))</f>
        <v>0</v>
      </c>
      <c r="M600" s="97">
        <f>IF(pbi_oth_amount="n/a",Inputs!N175,IF(AND(M$2&lt;=pbi_oth_term,M$2&lt;=analysis_period),pbi_oth_amount*(1+pbi_oth_escal/100)^L$2,0))</f>
        <v>0</v>
      </c>
      <c r="N600" s="97">
        <f>IF(pbi_oth_amount="n/a",Inputs!O175,IF(AND(N$2&lt;=pbi_oth_term,N$2&lt;=analysis_period),pbi_oth_amount*(1+pbi_oth_escal/100)^M$2,0))</f>
        <v>0</v>
      </c>
      <c r="O600" s="97">
        <f>IF(pbi_oth_amount="n/a",Inputs!P175,IF(AND(O$2&lt;=pbi_oth_term,O$2&lt;=analysis_period),pbi_oth_amount*(1+pbi_oth_escal/100)^N$2,0))</f>
        <v>0</v>
      </c>
      <c r="P600" s="97">
        <f>IF(pbi_oth_amount="n/a",Inputs!Q175,IF(AND(P$2&lt;=pbi_oth_term,P$2&lt;=analysis_period),pbi_oth_amount*(1+pbi_oth_escal/100)^O$2,0))</f>
        <v>0</v>
      </c>
      <c r="Q600" s="97">
        <f>IF(pbi_oth_amount="n/a",Inputs!R175,IF(AND(Q$2&lt;=pbi_oth_term,Q$2&lt;=analysis_period),pbi_oth_amount*(1+pbi_oth_escal/100)^P$2,0))</f>
        <v>0</v>
      </c>
      <c r="R600" s="97">
        <f>IF(pbi_oth_amount="n/a",Inputs!S175,IF(AND(R$2&lt;=pbi_oth_term,R$2&lt;=analysis_period),pbi_oth_amount*(1+pbi_oth_escal/100)^Q$2,0))</f>
        <v>0</v>
      </c>
      <c r="S600" s="97">
        <f>IF(pbi_oth_amount="n/a",Inputs!T175,IF(AND(S$2&lt;=pbi_oth_term,S$2&lt;=analysis_period),pbi_oth_amount*(1+pbi_oth_escal/100)^R$2,0))</f>
        <v>0</v>
      </c>
      <c r="T600" s="97">
        <f>IF(pbi_oth_amount="n/a",Inputs!U175,IF(AND(T$2&lt;=pbi_oth_term,T$2&lt;=analysis_period),pbi_oth_amount*(1+pbi_oth_escal/100)^S$2,0))</f>
        <v>0</v>
      </c>
      <c r="U600" s="97">
        <f>IF(pbi_oth_amount="n/a",Inputs!V175,IF(AND(U$2&lt;=pbi_oth_term,U$2&lt;=analysis_period),pbi_oth_amount*(1+pbi_oth_escal/100)^T$2,0))</f>
        <v>0</v>
      </c>
      <c r="V600" s="97">
        <f>IF(pbi_oth_amount="n/a",Inputs!W175,IF(AND(V$2&lt;=pbi_oth_term,V$2&lt;=analysis_period),pbi_oth_amount*(1+pbi_oth_escal/100)^U$2,0))</f>
        <v>0</v>
      </c>
      <c r="W600" s="97">
        <f>IF(pbi_oth_amount="n/a",Inputs!X175,IF(AND(W$2&lt;=pbi_oth_term,W$2&lt;=analysis_period),pbi_oth_amount*(1+pbi_oth_escal/100)^V$2,0))</f>
        <v>0</v>
      </c>
      <c r="X600" s="97">
        <f>IF(pbi_oth_amount="n/a",Inputs!Y175,IF(AND(X$2&lt;=pbi_oth_term,X$2&lt;=analysis_period),pbi_oth_amount*(1+pbi_oth_escal/100)^W$2,0))</f>
        <v>0</v>
      </c>
      <c r="Y600" s="97">
        <f>IF(pbi_oth_amount="n/a",Inputs!Z175,IF(AND(Y$2&lt;=pbi_oth_term,Y$2&lt;=analysis_period),pbi_oth_amount*(1+pbi_oth_escal/100)^X$2,0))</f>
        <v>0</v>
      </c>
      <c r="Z600" s="97">
        <f>IF(pbi_oth_amount="n/a",Inputs!AA175,IF(AND(Z$2&lt;=pbi_oth_term,Z$2&lt;=analysis_period),pbi_oth_amount*(1+pbi_oth_escal/100)^Y$2,0))</f>
        <v>0</v>
      </c>
      <c r="AA600" s="97">
        <f>IF(pbi_oth_amount="n/a",Inputs!AB175,IF(AND(AA$2&lt;=pbi_oth_term,AA$2&lt;=analysis_period),pbi_oth_amount*(1+pbi_oth_escal/100)^Z$2,0))</f>
        <v>0</v>
      </c>
      <c r="AB600" s="97">
        <f>IF(pbi_oth_amount="n/a",Inputs!AC175,IF(AND(AB$2&lt;=pbi_oth_term,AB$2&lt;=analysis_period),pbi_oth_amount*(1+pbi_oth_escal/100)^AA$2,0))</f>
        <v>0</v>
      </c>
      <c r="AC600" s="97">
        <f>IF(pbi_oth_amount="n/a",Inputs!AD175,IF(AND(AC$2&lt;=pbi_oth_term,AC$2&lt;=analysis_period),pbi_oth_amount*(1+pbi_oth_escal/100)^AB$2,0))</f>
        <v>0</v>
      </c>
      <c r="AD600" s="97">
        <f>IF(pbi_oth_amount="n/a",Inputs!AE175,IF(AND(AD$2&lt;=pbi_oth_term,AD$2&lt;=analysis_period),pbi_oth_amount*(1+pbi_oth_escal/100)^AC$2,0))</f>
        <v>0</v>
      </c>
      <c r="AE600" s="97">
        <f>IF(pbi_oth_amount="n/a",Inputs!AF175,IF(AND(AE$2&lt;=pbi_oth_term,AE$2&lt;=analysis_period),pbi_oth_amount*(1+pbi_oth_escal/100)^AD$2,0))</f>
        <v>0</v>
      </c>
      <c r="AF600" s="97">
        <f>IF(pbi_oth_amount="n/a",Inputs!AG175,IF(AND(AF$2&lt;=pbi_oth_term,AF$2&lt;=analysis_period),pbi_oth_amount*(1+pbi_oth_escal/100)^AE$2,0))</f>
        <v>0</v>
      </c>
      <c r="AG600" s="97">
        <f>IF(pbi_oth_amount="n/a",Inputs!AH175,IF(AND(AG$2&lt;=pbi_oth_term,AG$2&lt;=analysis_period),pbi_oth_amount*(1+pbi_oth_escal/100)^AF$2,0))</f>
        <v>0</v>
      </c>
      <c r="AH600" s="97">
        <f>IF(pbi_oth_amount="n/a",Inputs!AI175,IF(AND(AH$2&lt;=pbi_oth_term,AH$2&lt;=analysis_period),pbi_oth_amount*(1+pbi_oth_escal/100)^AG$2,0))</f>
        <v>0</v>
      </c>
      <c r="AI600" s="97">
        <f>IF(pbi_oth_amount="n/a",Inputs!AJ175,IF(AND(AI$2&lt;=pbi_oth_term,AI$2&lt;=analysis_period),pbi_oth_amount*(1+pbi_oth_escal/100)^AH$2,0))</f>
        <v>0</v>
      </c>
      <c r="AJ600" s="97">
        <f>IF(pbi_oth_amount="n/a",Inputs!AK175,IF(AND(AJ$2&lt;=pbi_oth_term,AJ$2&lt;=analysis_period),pbi_oth_amount*(1+pbi_oth_escal/100)^AI$2,0))</f>
        <v>0</v>
      </c>
      <c r="AK600" s="97">
        <f>IF(pbi_oth_amount="n/a",Inputs!AL175,IF(AND(AK$2&lt;=pbi_oth_term,AK$2&lt;=analysis_period),pbi_oth_amount*(1+pbi_oth_escal/100)^AJ$2,0))</f>
        <v>0</v>
      </c>
      <c r="AL600" s="97">
        <f>IF(pbi_oth_amount="n/a",Inputs!AM175,IF(AND(AL$2&lt;=pbi_oth_term,AL$2&lt;=analysis_period),pbi_oth_amount*(1+pbi_oth_escal/100)^AK$2,0))</f>
        <v>0</v>
      </c>
      <c r="AM600" s="97">
        <f>IF(pbi_oth_amount="n/a",Inputs!AN175,IF(AND(AM$2&lt;=pbi_oth_term,AM$2&lt;=analysis_period),pbi_oth_amount*(1+pbi_oth_escal/100)^AL$2,0))</f>
        <v>0</v>
      </c>
      <c r="AN600" s="97">
        <f>IF(pbi_oth_amount="n/a",Inputs!AO175,IF(AND(AN$2&lt;=pbi_oth_term,AN$2&lt;=analysis_period),pbi_oth_amount*(1+pbi_oth_escal/100)^AM$2,0))</f>
        <v>0</v>
      </c>
      <c r="AO600" s="97">
        <f>IF(pbi_oth_amount="n/a",Inputs!AP175,IF(AND(AO$2&lt;=pbi_oth_term,AO$2&lt;=analysis_period),pbi_oth_amount*(1+pbi_oth_escal/100)^AN$2,0))</f>
        <v>0</v>
      </c>
      <c r="AP600" s="97">
        <f>IF(pbi_oth_amount="n/a",Inputs!AQ175,IF(AND(AP$2&lt;=pbi_oth_term,AP$2&lt;=analysis_period),pbi_oth_amount*(1+pbi_oth_escal/100)^AO$2,0))</f>
        <v>0</v>
      </c>
    </row>
    <row r="601" spans="1:42" x14ac:dyDescent="0.2">
      <c r="A601" s="21" t="s">
        <v>33</v>
      </c>
      <c r="C601" s="120">
        <f>C$5</f>
        <v>0</v>
      </c>
      <c r="D601" s="120">
        <f t="shared" ref="D601:AP601" si="287">D$5</f>
        <v>0</v>
      </c>
      <c r="E601" s="120">
        <f t="shared" si="287"/>
        <v>0</v>
      </c>
      <c r="F601" s="120">
        <f t="shared" si="287"/>
        <v>0</v>
      </c>
      <c r="G601" s="120">
        <f t="shared" si="287"/>
        <v>0</v>
      </c>
      <c r="H601" s="120">
        <f t="shared" si="287"/>
        <v>0</v>
      </c>
      <c r="I601" s="120">
        <f t="shared" si="287"/>
        <v>0</v>
      </c>
      <c r="J601" s="120">
        <f t="shared" si="287"/>
        <v>0</v>
      </c>
      <c r="K601" s="120">
        <f t="shared" si="287"/>
        <v>0</v>
      </c>
      <c r="L601" s="120">
        <f t="shared" si="287"/>
        <v>0</v>
      </c>
      <c r="M601" s="120">
        <f t="shared" si="287"/>
        <v>0</v>
      </c>
      <c r="N601" s="120">
        <f t="shared" si="287"/>
        <v>0</v>
      </c>
      <c r="O601" s="120">
        <f t="shared" si="287"/>
        <v>0</v>
      </c>
      <c r="P601" s="120">
        <f t="shared" si="287"/>
        <v>0</v>
      </c>
      <c r="Q601" s="120">
        <f t="shared" si="287"/>
        <v>0</v>
      </c>
      <c r="R601" s="120">
        <f t="shared" si="287"/>
        <v>0</v>
      </c>
      <c r="S601" s="120">
        <f t="shared" si="287"/>
        <v>0</v>
      </c>
      <c r="T601" s="120">
        <f t="shared" si="287"/>
        <v>0</v>
      </c>
      <c r="U601" s="120">
        <f t="shared" si="287"/>
        <v>0</v>
      </c>
      <c r="V601" s="120">
        <f t="shared" si="287"/>
        <v>0</v>
      </c>
      <c r="W601" s="120">
        <f t="shared" si="287"/>
        <v>0</v>
      </c>
      <c r="X601" s="120">
        <f t="shared" si="287"/>
        <v>0</v>
      </c>
      <c r="Y601" s="120">
        <f t="shared" si="287"/>
        <v>0</v>
      </c>
      <c r="Z601" s="120">
        <f t="shared" si="287"/>
        <v>0</v>
      </c>
      <c r="AA601" s="120">
        <f t="shared" si="287"/>
        <v>0</v>
      </c>
      <c r="AB601" s="120">
        <f t="shared" si="287"/>
        <v>0</v>
      </c>
      <c r="AC601" s="120">
        <f t="shared" si="287"/>
        <v>0</v>
      </c>
      <c r="AD601" s="120">
        <f t="shared" si="287"/>
        <v>0</v>
      </c>
      <c r="AE601" s="120">
        <f t="shared" si="287"/>
        <v>0</v>
      </c>
      <c r="AF601" s="120">
        <f t="shared" si="287"/>
        <v>0</v>
      </c>
      <c r="AG601" s="120">
        <f t="shared" si="287"/>
        <v>0</v>
      </c>
      <c r="AH601" s="120">
        <f t="shared" si="287"/>
        <v>0</v>
      </c>
      <c r="AI601" s="120">
        <f t="shared" si="287"/>
        <v>0</v>
      </c>
      <c r="AJ601" s="120">
        <f t="shared" si="287"/>
        <v>0</v>
      </c>
      <c r="AK601" s="120">
        <f t="shared" si="287"/>
        <v>0</v>
      </c>
      <c r="AL601" s="120">
        <f t="shared" si="287"/>
        <v>0</v>
      </c>
      <c r="AM601" s="120">
        <f t="shared" si="287"/>
        <v>0</v>
      </c>
      <c r="AN601" s="120">
        <f t="shared" si="287"/>
        <v>0</v>
      </c>
      <c r="AO601" s="120">
        <f t="shared" si="287"/>
        <v>0</v>
      </c>
      <c r="AP601" s="120">
        <f t="shared" si="287"/>
        <v>0</v>
      </c>
    </row>
    <row r="602" spans="1:42" x14ac:dyDescent="0.2">
      <c r="A602" s="21" t="s">
        <v>13</v>
      </c>
      <c r="C602" s="119">
        <f>C600*C601</f>
        <v>0</v>
      </c>
      <c r="D602" s="119">
        <f t="shared" ref="D602:AP602" si="288">D600*D601</f>
        <v>0</v>
      </c>
      <c r="E602" s="119">
        <f t="shared" si="288"/>
        <v>0</v>
      </c>
      <c r="F602" s="119">
        <f t="shared" si="288"/>
        <v>0</v>
      </c>
      <c r="G602" s="119">
        <f t="shared" si="288"/>
        <v>0</v>
      </c>
      <c r="H602" s="119">
        <f t="shared" si="288"/>
        <v>0</v>
      </c>
      <c r="I602" s="119">
        <f t="shared" si="288"/>
        <v>0</v>
      </c>
      <c r="J602" s="119">
        <f t="shared" si="288"/>
        <v>0</v>
      </c>
      <c r="K602" s="119">
        <f t="shared" si="288"/>
        <v>0</v>
      </c>
      <c r="L602" s="119">
        <f t="shared" si="288"/>
        <v>0</v>
      </c>
      <c r="M602" s="119">
        <f t="shared" si="288"/>
        <v>0</v>
      </c>
      <c r="N602" s="119">
        <f t="shared" si="288"/>
        <v>0</v>
      </c>
      <c r="O602" s="119">
        <f t="shared" si="288"/>
        <v>0</v>
      </c>
      <c r="P602" s="119">
        <f t="shared" si="288"/>
        <v>0</v>
      </c>
      <c r="Q602" s="119">
        <f t="shared" si="288"/>
        <v>0</v>
      </c>
      <c r="R602" s="119">
        <f t="shared" si="288"/>
        <v>0</v>
      </c>
      <c r="S602" s="119">
        <f t="shared" si="288"/>
        <v>0</v>
      </c>
      <c r="T602" s="119">
        <f t="shared" si="288"/>
        <v>0</v>
      </c>
      <c r="U602" s="119">
        <f t="shared" si="288"/>
        <v>0</v>
      </c>
      <c r="V602" s="119">
        <f t="shared" si="288"/>
        <v>0</v>
      </c>
      <c r="W602" s="119">
        <f t="shared" si="288"/>
        <v>0</v>
      </c>
      <c r="X602" s="119">
        <f t="shared" si="288"/>
        <v>0</v>
      </c>
      <c r="Y602" s="119">
        <f t="shared" si="288"/>
        <v>0</v>
      </c>
      <c r="Z602" s="119">
        <f t="shared" si="288"/>
        <v>0</v>
      </c>
      <c r="AA602" s="119">
        <f t="shared" si="288"/>
        <v>0</v>
      </c>
      <c r="AB602" s="119">
        <f t="shared" si="288"/>
        <v>0</v>
      </c>
      <c r="AC602" s="119">
        <f t="shared" si="288"/>
        <v>0</v>
      </c>
      <c r="AD602" s="119">
        <f t="shared" si="288"/>
        <v>0</v>
      </c>
      <c r="AE602" s="119">
        <f t="shared" si="288"/>
        <v>0</v>
      </c>
      <c r="AF602" s="119">
        <f t="shared" si="288"/>
        <v>0</v>
      </c>
      <c r="AG602" s="119">
        <f t="shared" si="288"/>
        <v>0</v>
      </c>
      <c r="AH602" s="119">
        <f t="shared" si="288"/>
        <v>0</v>
      </c>
      <c r="AI602" s="119">
        <f t="shared" si="288"/>
        <v>0</v>
      </c>
      <c r="AJ602" s="119">
        <f t="shared" si="288"/>
        <v>0</v>
      </c>
      <c r="AK602" s="119">
        <f t="shared" si="288"/>
        <v>0</v>
      </c>
      <c r="AL602" s="119">
        <f t="shared" si="288"/>
        <v>0</v>
      </c>
      <c r="AM602" s="119">
        <f t="shared" si="288"/>
        <v>0</v>
      </c>
      <c r="AN602" s="119">
        <f t="shared" si="288"/>
        <v>0</v>
      </c>
      <c r="AO602" s="119">
        <f t="shared" si="288"/>
        <v>0</v>
      </c>
      <c r="AP602" s="119">
        <f t="shared" si="288"/>
        <v>0</v>
      </c>
    </row>
    <row r="603" spans="1:42" x14ac:dyDescent="0.2">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row>
    <row r="604" spans="1:42" x14ac:dyDescent="0.2">
      <c r="A604" s="4" t="s">
        <v>13</v>
      </c>
      <c r="C604" s="144">
        <f>C590+C594+C598+C602</f>
        <v>0</v>
      </c>
      <c r="D604" s="144">
        <f t="shared" ref="D604:AP604" si="289">D590+D594+D598+D602</f>
        <v>0</v>
      </c>
      <c r="E604" s="144">
        <f t="shared" si="289"/>
        <v>0</v>
      </c>
      <c r="F604" s="144">
        <f t="shared" si="289"/>
        <v>0</v>
      </c>
      <c r="G604" s="144">
        <f t="shared" si="289"/>
        <v>0</v>
      </c>
      <c r="H604" s="144">
        <f t="shared" si="289"/>
        <v>0</v>
      </c>
      <c r="I604" s="144">
        <f t="shared" si="289"/>
        <v>0</v>
      </c>
      <c r="J604" s="144">
        <f t="shared" si="289"/>
        <v>0</v>
      </c>
      <c r="K604" s="144">
        <f t="shared" si="289"/>
        <v>0</v>
      </c>
      <c r="L604" s="144">
        <f t="shared" si="289"/>
        <v>0</v>
      </c>
      <c r="M604" s="144">
        <f t="shared" si="289"/>
        <v>0</v>
      </c>
      <c r="N604" s="144">
        <f t="shared" si="289"/>
        <v>0</v>
      </c>
      <c r="O604" s="144">
        <f t="shared" si="289"/>
        <v>0</v>
      </c>
      <c r="P604" s="144">
        <f t="shared" si="289"/>
        <v>0</v>
      </c>
      <c r="Q604" s="144">
        <f t="shared" si="289"/>
        <v>0</v>
      </c>
      <c r="R604" s="144">
        <f t="shared" si="289"/>
        <v>0</v>
      </c>
      <c r="S604" s="144">
        <f t="shared" si="289"/>
        <v>0</v>
      </c>
      <c r="T604" s="144">
        <f t="shared" si="289"/>
        <v>0</v>
      </c>
      <c r="U604" s="144">
        <f t="shared" si="289"/>
        <v>0</v>
      </c>
      <c r="V604" s="144">
        <f t="shared" si="289"/>
        <v>0</v>
      </c>
      <c r="W604" s="144">
        <f t="shared" si="289"/>
        <v>0</v>
      </c>
      <c r="X604" s="144">
        <f t="shared" si="289"/>
        <v>0</v>
      </c>
      <c r="Y604" s="144">
        <f t="shared" si="289"/>
        <v>0</v>
      </c>
      <c r="Z604" s="144">
        <f t="shared" si="289"/>
        <v>0</v>
      </c>
      <c r="AA604" s="144">
        <f t="shared" si="289"/>
        <v>0</v>
      </c>
      <c r="AB604" s="144">
        <f t="shared" si="289"/>
        <v>0</v>
      </c>
      <c r="AC604" s="144">
        <f t="shared" si="289"/>
        <v>0</v>
      </c>
      <c r="AD604" s="144">
        <f t="shared" si="289"/>
        <v>0</v>
      </c>
      <c r="AE604" s="144">
        <f t="shared" si="289"/>
        <v>0</v>
      </c>
      <c r="AF604" s="144">
        <f t="shared" si="289"/>
        <v>0</v>
      </c>
      <c r="AG604" s="144">
        <f t="shared" si="289"/>
        <v>0</v>
      </c>
      <c r="AH604" s="144">
        <f t="shared" si="289"/>
        <v>0</v>
      </c>
      <c r="AI604" s="144">
        <f t="shared" si="289"/>
        <v>0</v>
      </c>
      <c r="AJ604" s="144">
        <f t="shared" si="289"/>
        <v>0</v>
      </c>
      <c r="AK604" s="144">
        <f t="shared" si="289"/>
        <v>0</v>
      </c>
      <c r="AL604" s="144">
        <f t="shared" si="289"/>
        <v>0</v>
      </c>
      <c r="AM604" s="144">
        <f t="shared" si="289"/>
        <v>0</v>
      </c>
      <c r="AN604" s="144">
        <f t="shared" si="289"/>
        <v>0</v>
      </c>
      <c r="AO604" s="144">
        <f t="shared" si="289"/>
        <v>0</v>
      </c>
      <c r="AP604" s="144">
        <f t="shared" si="289"/>
        <v>0</v>
      </c>
    </row>
    <row r="606" spans="1:42" x14ac:dyDescent="0.2">
      <c r="A606" s="80" t="s">
        <v>320</v>
      </c>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row>
    <row r="607" spans="1:42" x14ac:dyDescent="0.2">
      <c r="A607" s="17" t="s">
        <v>22</v>
      </c>
    </row>
    <row r="608" spans="1:42" x14ac:dyDescent="0.2">
      <c r="A608" s="21" t="s">
        <v>25</v>
      </c>
      <c r="B608" s="123"/>
      <c r="C608" s="119">
        <f>IF(C626="N/A",IF(C$627="N/A",C$628+C$609,C$627),C$626)</f>
        <v>0</v>
      </c>
      <c r="D608" s="119">
        <f t="shared" ref="D608:AP608" si="290">IF(D626="N/A",IF(D$627="N/A",D$628+D$609,D$627),D$626)</f>
        <v>0</v>
      </c>
      <c r="E608" s="119">
        <f t="shared" si="290"/>
        <v>0</v>
      </c>
      <c r="F608" s="119">
        <f t="shared" si="290"/>
        <v>0</v>
      </c>
      <c r="G608" s="119">
        <f t="shared" si="290"/>
        <v>0</v>
      </c>
      <c r="H608" s="119">
        <f t="shared" si="290"/>
        <v>0</v>
      </c>
      <c r="I608" s="119">
        <f t="shared" si="290"/>
        <v>0</v>
      </c>
      <c r="J608" s="119">
        <f t="shared" si="290"/>
        <v>0</v>
      </c>
      <c r="K608" s="119">
        <f t="shared" si="290"/>
        <v>0</v>
      </c>
      <c r="L608" s="119">
        <f t="shared" si="290"/>
        <v>0</v>
      </c>
      <c r="M608" s="119">
        <f t="shared" si="290"/>
        <v>0</v>
      </c>
      <c r="N608" s="119">
        <f t="shared" si="290"/>
        <v>0</v>
      </c>
      <c r="O608" s="119">
        <f t="shared" si="290"/>
        <v>0</v>
      </c>
      <c r="P608" s="119">
        <f t="shared" si="290"/>
        <v>0</v>
      </c>
      <c r="Q608" s="119">
        <f t="shared" si="290"/>
        <v>0</v>
      </c>
      <c r="R608" s="119">
        <f t="shared" si="290"/>
        <v>0</v>
      </c>
      <c r="S608" s="119">
        <f t="shared" si="290"/>
        <v>0</v>
      </c>
      <c r="T608" s="119">
        <f t="shared" si="290"/>
        <v>0</v>
      </c>
      <c r="U608" s="119">
        <f t="shared" si="290"/>
        <v>0</v>
      </c>
      <c r="V608" s="119">
        <f t="shared" si="290"/>
        <v>0</v>
      </c>
      <c r="W608" s="119">
        <f t="shared" si="290"/>
        <v>0</v>
      </c>
      <c r="X608" s="119">
        <f t="shared" si="290"/>
        <v>0</v>
      </c>
      <c r="Y608" s="119">
        <f t="shared" si="290"/>
        <v>0</v>
      </c>
      <c r="Z608" s="119">
        <f t="shared" si="290"/>
        <v>0</v>
      </c>
      <c r="AA608" s="119">
        <f t="shared" si="290"/>
        <v>0</v>
      </c>
      <c r="AB608" s="119">
        <f t="shared" si="290"/>
        <v>0</v>
      </c>
      <c r="AC608" s="119">
        <f t="shared" si="290"/>
        <v>0</v>
      </c>
      <c r="AD608" s="119">
        <f t="shared" si="290"/>
        <v>0</v>
      </c>
      <c r="AE608" s="119">
        <f t="shared" si="290"/>
        <v>0</v>
      </c>
      <c r="AF608" s="119">
        <f t="shared" si="290"/>
        <v>0</v>
      </c>
      <c r="AG608" s="119">
        <f t="shared" si="290"/>
        <v>0</v>
      </c>
      <c r="AH608" s="119">
        <f t="shared" si="290"/>
        <v>0</v>
      </c>
      <c r="AI608" s="119">
        <f t="shared" si="290"/>
        <v>0</v>
      </c>
      <c r="AJ608" s="119">
        <f t="shared" si="290"/>
        <v>0</v>
      </c>
      <c r="AK608" s="119">
        <f t="shared" si="290"/>
        <v>0</v>
      </c>
      <c r="AL608" s="119">
        <f t="shared" si="290"/>
        <v>0</v>
      </c>
      <c r="AM608" s="119">
        <f t="shared" si="290"/>
        <v>0</v>
      </c>
      <c r="AN608" s="119">
        <f t="shared" si="290"/>
        <v>0</v>
      </c>
      <c r="AO608" s="119">
        <f t="shared" si="290"/>
        <v>0</v>
      </c>
      <c r="AP608" s="119">
        <f t="shared" si="290"/>
        <v>0</v>
      </c>
    </row>
    <row r="609" spans="1:42" x14ac:dyDescent="0.2">
      <c r="A609" s="21" t="s">
        <v>178</v>
      </c>
      <c r="B609" s="119"/>
      <c r="C609" s="119">
        <f t="shared" ref="C609:AP609" si="291">IF(AND(C$2&lt;=term_tenor,C$2&lt;=analysis_period),B$611*term_int_rate/100,0)</f>
        <v>0</v>
      </c>
      <c r="D609" s="119">
        <f t="shared" si="291"/>
        <v>0</v>
      </c>
      <c r="E609" s="119">
        <f t="shared" si="291"/>
        <v>0</v>
      </c>
      <c r="F609" s="119">
        <f t="shared" si="291"/>
        <v>0</v>
      </c>
      <c r="G609" s="119">
        <f t="shared" si="291"/>
        <v>0</v>
      </c>
      <c r="H609" s="119">
        <f t="shared" si="291"/>
        <v>0</v>
      </c>
      <c r="I609" s="119">
        <f t="shared" si="291"/>
        <v>0</v>
      </c>
      <c r="J609" s="119">
        <f t="shared" si="291"/>
        <v>0</v>
      </c>
      <c r="K609" s="119">
        <f t="shared" si="291"/>
        <v>0</v>
      </c>
      <c r="L609" s="119">
        <f t="shared" si="291"/>
        <v>0</v>
      </c>
      <c r="M609" s="119">
        <f t="shared" si="291"/>
        <v>0</v>
      </c>
      <c r="N609" s="119">
        <f t="shared" si="291"/>
        <v>0</v>
      </c>
      <c r="O609" s="119">
        <f t="shared" si="291"/>
        <v>0</v>
      </c>
      <c r="P609" s="119">
        <f t="shared" si="291"/>
        <v>0</v>
      </c>
      <c r="Q609" s="119">
        <f t="shared" si="291"/>
        <v>0</v>
      </c>
      <c r="R609" s="119">
        <f t="shared" si="291"/>
        <v>0</v>
      </c>
      <c r="S609" s="119">
        <f t="shared" si="291"/>
        <v>0</v>
      </c>
      <c r="T609" s="119">
        <f t="shared" si="291"/>
        <v>0</v>
      </c>
      <c r="U609" s="119">
        <f t="shared" si="291"/>
        <v>0</v>
      </c>
      <c r="V609" s="119">
        <f t="shared" si="291"/>
        <v>0</v>
      </c>
      <c r="W609" s="119">
        <f t="shared" si="291"/>
        <v>0</v>
      </c>
      <c r="X609" s="119">
        <f t="shared" si="291"/>
        <v>0</v>
      </c>
      <c r="Y609" s="119">
        <f t="shared" si="291"/>
        <v>0</v>
      </c>
      <c r="Z609" s="119">
        <f t="shared" si="291"/>
        <v>0</v>
      </c>
      <c r="AA609" s="119">
        <f t="shared" si="291"/>
        <v>0</v>
      </c>
      <c r="AB609" s="119">
        <f t="shared" si="291"/>
        <v>0</v>
      </c>
      <c r="AC609" s="119">
        <f t="shared" si="291"/>
        <v>0</v>
      </c>
      <c r="AD609" s="119">
        <f t="shared" si="291"/>
        <v>0</v>
      </c>
      <c r="AE609" s="119">
        <f t="shared" si="291"/>
        <v>0</v>
      </c>
      <c r="AF609" s="119">
        <f t="shared" si="291"/>
        <v>0</v>
      </c>
      <c r="AG609" s="119">
        <f t="shared" si="291"/>
        <v>0</v>
      </c>
      <c r="AH609" s="119">
        <f t="shared" si="291"/>
        <v>0</v>
      </c>
      <c r="AI609" s="119">
        <f t="shared" si="291"/>
        <v>0</v>
      </c>
      <c r="AJ609" s="119">
        <f t="shared" si="291"/>
        <v>0</v>
      </c>
      <c r="AK609" s="119">
        <f t="shared" si="291"/>
        <v>0</v>
      </c>
      <c r="AL609" s="119">
        <f t="shared" si="291"/>
        <v>0</v>
      </c>
      <c r="AM609" s="119">
        <f t="shared" si="291"/>
        <v>0</v>
      </c>
      <c r="AN609" s="119">
        <f t="shared" si="291"/>
        <v>0</v>
      </c>
      <c r="AO609" s="119">
        <f t="shared" si="291"/>
        <v>0</v>
      </c>
      <c r="AP609" s="119">
        <f t="shared" si="291"/>
        <v>0</v>
      </c>
    </row>
    <row r="610" spans="1:42" x14ac:dyDescent="0.2">
      <c r="A610" s="21" t="s">
        <v>177</v>
      </c>
      <c r="B610" s="123"/>
      <c r="C610" s="119">
        <f t="shared" ref="C610:AP610" si="292">IF(C628="N/A",IF(C$2&gt;loan_moratorium,C$608-C$609,0),C$628)</f>
        <v>0</v>
      </c>
      <c r="D610" s="119">
        <f t="shared" si="292"/>
        <v>0</v>
      </c>
      <c r="E610" s="119">
        <f t="shared" si="292"/>
        <v>0</v>
      </c>
      <c r="F610" s="119">
        <f t="shared" si="292"/>
        <v>0</v>
      </c>
      <c r="G610" s="119">
        <f t="shared" si="292"/>
        <v>0</v>
      </c>
      <c r="H610" s="119">
        <f t="shared" si="292"/>
        <v>0</v>
      </c>
      <c r="I610" s="119">
        <f t="shared" si="292"/>
        <v>0</v>
      </c>
      <c r="J610" s="119">
        <f t="shared" si="292"/>
        <v>0</v>
      </c>
      <c r="K610" s="119">
        <f t="shared" si="292"/>
        <v>0</v>
      </c>
      <c r="L610" s="119">
        <f t="shared" si="292"/>
        <v>0</v>
      </c>
      <c r="M610" s="119">
        <f t="shared" si="292"/>
        <v>0</v>
      </c>
      <c r="N610" s="119">
        <f t="shared" si="292"/>
        <v>0</v>
      </c>
      <c r="O610" s="119">
        <f t="shared" si="292"/>
        <v>0</v>
      </c>
      <c r="P610" s="119">
        <f t="shared" si="292"/>
        <v>0</v>
      </c>
      <c r="Q610" s="119">
        <f t="shared" si="292"/>
        <v>0</v>
      </c>
      <c r="R610" s="119">
        <f t="shared" si="292"/>
        <v>0</v>
      </c>
      <c r="S610" s="119">
        <f t="shared" si="292"/>
        <v>0</v>
      </c>
      <c r="T610" s="119">
        <f t="shared" si="292"/>
        <v>0</v>
      </c>
      <c r="U610" s="119">
        <f t="shared" si="292"/>
        <v>0</v>
      </c>
      <c r="V610" s="119">
        <f t="shared" si="292"/>
        <v>0</v>
      </c>
      <c r="W610" s="119">
        <f t="shared" si="292"/>
        <v>0</v>
      </c>
      <c r="X610" s="119">
        <f t="shared" si="292"/>
        <v>0</v>
      </c>
      <c r="Y610" s="119">
        <f t="shared" si="292"/>
        <v>0</v>
      </c>
      <c r="Z610" s="119">
        <f t="shared" si="292"/>
        <v>0</v>
      </c>
      <c r="AA610" s="119">
        <f t="shared" si="292"/>
        <v>0</v>
      </c>
      <c r="AB610" s="119">
        <f t="shared" si="292"/>
        <v>0</v>
      </c>
      <c r="AC610" s="119">
        <f t="shared" si="292"/>
        <v>0</v>
      </c>
      <c r="AD610" s="119">
        <f t="shared" si="292"/>
        <v>0</v>
      </c>
      <c r="AE610" s="119">
        <f t="shared" si="292"/>
        <v>0</v>
      </c>
      <c r="AF610" s="119">
        <f t="shared" si="292"/>
        <v>0</v>
      </c>
      <c r="AG610" s="119">
        <f t="shared" si="292"/>
        <v>0</v>
      </c>
      <c r="AH610" s="119">
        <f t="shared" si="292"/>
        <v>0</v>
      </c>
      <c r="AI610" s="119">
        <f t="shared" si="292"/>
        <v>0</v>
      </c>
      <c r="AJ610" s="119">
        <f t="shared" si="292"/>
        <v>0</v>
      </c>
      <c r="AK610" s="119">
        <f t="shared" si="292"/>
        <v>0</v>
      </c>
      <c r="AL610" s="119">
        <f t="shared" si="292"/>
        <v>0</v>
      </c>
      <c r="AM610" s="119">
        <f t="shared" si="292"/>
        <v>0</v>
      </c>
      <c r="AN610" s="119">
        <f t="shared" si="292"/>
        <v>0</v>
      </c>
      <c r="AO610" s="119">
        <f t="shared" si="292"/>
        <v>0</v>
      </c>
      <c r="AP610" s="119">
        <f t="shared" si="292"/>
        <v>0</v>
      </c>
    </row>
    <row r="611" spans="1:42" x14ac:dyDescent="0.2">
      <c r="A611" s="21" t="s">
        <v>238</v>
      </c>
      <c r="B611" s="119">
        <f>$B$623</f>
        <v>0</v>
      </c>
      <c r="C611" s="119">
        <f>B$611-C$610</f>
        <v>0</v>
      </c>
      <c r="D611" s="119">
        <f t="shared" ref="D611:AP611" si="293">C$611-D$610</f>
        <v>0</v>
      </c>
      <c r="E611" s="119">
        <f t="shared" si="293"/>
        <v>0</v>
      </c>
      <c r="F611" s="119">
        <f t="shared" si="293"/>
        <v>0</v>
      </c>
      <c r="G611" s="119">
        <f t="shared" si="293"/>
        <v>0</v>
      </c>
      <c r="H611" s="119">
        <f t="shared" si="293"/>
        <v>0</v>
      </c>
      <c r="I611" s="119">
        <f t="shared" si="293"/>
        <v>0</v>
      </c>
      <c r="J611" s="119">
        <f t="shared" si="293"/>
        <v>0</v>
      </c>
      <c r="K611" s="119">
        <f t="shared" si="293"/>
        <v>0</v>
      </c>
      <c r="L611" s="119">
        <f t="shared" si="293"/>
        <v>0</v>
      </c>
      <c r="M611" s="119">
        <f t="shared" si="293"/>
        <v>0</v>
      </c>
      <c r="N611" s="119">
        <f t="shared" si="293"/>
        <v>0</v>
      </c>
      <c r="O611" s="119">
        <f t="shared" si="293"/>
        <v>0</v>
      </c>
      <c r="P611" s="119">
        <f t="shared" si="293"/>
        <v>0</v>
      </c>
      <c r="Q611" s="119">
        <f t="shared" si="293"/>
        <v>0</v>
      </c>
      <c r="R611" s="119">
        <f t="shared" si="293"/>
        <v>0</v>
      </c>
      <c r="S611" s="119">
        <f t="shared" si="293"/>
        <v>0</v>
      </c>
      <c r="T611" s="119">
        <f t="shared" si="293"/>
        <v>0</v>
      </c>
      <c r="U611" s="119">
        <f t="shared" si="293"/>
        <v>0</v>
      </c>
      <c r="V611" s="119">
        <f t="shared" si="293"/>
        <v>0</v>
      </c>
      <c r="W611" s="119">
        <f t="shared" si="293"/>
        <v>0</v>
      </c>
      <c r="X611" s="119">
        <f t="shared" si="293"/>
        <v>0</v>
      </c>
      <c r="Y611" s="119">
        <f t="shared" si="293"/>
        <v>0</v>
      </c>
      <c r="Z611" s="119">
        <f t="shared" si="293"/>
        <v>0</v>
      </c>
      <c r="AA611" s="119">
        <f t="shared" si="293"/>
        <v>0</v>
      </c>
      <c r="AB611" s="119">
        <f t="shared" si="293"/>
        <v>0</v>
      </c>
      <c r="AC611" s="119">
        <f t="shared" si="293"/>
        <v>0</v>
      </c>
      <c r="AD611" s="119">
        <f t="shared" si="293"/>
        <v>0</v>
      </c>
      <c r="AE611" s="119">
        <f t="shared" si="293"/>
        <v>0</v>
      </c>
      <c r="AF611" s="119">
        <f t="shared" si="293"/>
        <v>0</v>
      </c>
      <c r="AG611" s="119">
        <f t="shared" si="293"/>
        <v>0</v>
      </c>
      <c r="AH611" s="119">
        <f t="shared" si="293"/>
        <v>0</v>
      </c>
      <c r="AI611" s="119">
        <f t="shared" si="293"/>
        <v>0</v>
      </c>
      <c r="AJ611" s="119">
        <f t="shared" si="293"/>
        <v>0</v>
      </c>
      <c r="AK611" s="119">
        <f t="shared" si="293"/>
        <v>0</v>
      </c>
      <c r="AL611" s="119">
        <f t="shared" si="293"/>
        <v>0</v>
      </c>
      <c r="AM611" s="119">
        <f t="shared" si="293"/>
        <v>0</v>
      </c>
      <c r="AN611" s="119">
        <f t="shared" si="293"/>
        <v>0</v>
      </c>
      <c r="AO611" s="119">
        <f t="shared" si="293"/>
        <v>0</v>
      </c>
      <c r="AP611" s="119">
        <f t="shared" si="293"/>
        <v>0</v>
      </c>
    </row>
    <row r="612" spans="1:42" x14ac:dyDescent="0.2">
      <c r="B612" s="119"/>
      <c r="C612" s="119"/>
    </row>
    <row r="613" spans="1:42" x14ac:dyDescent="0.2">
      <c r="A613" s="17" t="s">
        <v>244</v>
      </c>
    </row>
    <row r="614" spans="1:42" x14ac:dyDescent="0.2">
      <c r="A614" s="21" t="s">
        <v>26</v>
      </c>
      <c r="B614" s="123"/>
      <c r="C614" s="119">
        <f t="shared" ref="C614:AP614" si="294">IF(AND(C$2&lt;=term_tenor,C$2&lt;=analysis_period),C76,0)</f>
        <v>0</v>
      </c>
      <c r="D614" s="119">
        <f t="shared" si="294"/>
        <v>0</v>
      </c>
      <c r="E614" s="119">
        <f t="shared" si="294"/>
        <v>0</v>
      </c>
      <c r="F614" s="119">
        <f t="shared" si="294"/>
        <v>0</v>
      </c>
      <c r="G614" s="119">
        <f t="shared" si="294"/>
        <v>0</v>
      </c>
      <c r="H614" s="119">
        <f t="shared" si="294"/>
        <v>0</v>
      </c>
      <c r="I614" s="119">
        <f t="shared" si="294"/>
        <v>0</v>
      </c>
      <c r="J614" s="119">
        <f t="shared" si="294"/>
        <v>0</v>
      </c>
      <c r="K614" s="119">
        <f t="shared" si="294"/>
        <v>0</v>
      </c>
      <c r="L614" s="119">
        <f t="shared" si="294"/>
        <v>0</v>
      </c>
      <c r="M614" s="119">
        <f t="shared" si="294"/>
        <v>0</v>
      </c>
      <c r="N614" s="119">
        <f t="shared" si="294"/>
        <v>0</v>
      </c>
      <c r="O614" s="119">
        <f t="shared" si="294"/>
        <v>0</v>
      </c>
      <c r="P614" s="119">
        <f t="shared" si="294"/>
        <v>0</v>
      </c>
      <c r="Q614" s="119">
        <f t="shared" si="294"/>
        <v>0</v>
      </c>
      <c r="R614" s="119">
        <f t="shared" si="294"/>
        <v>0</v>
      </c>
      <c r="S614" s="119">
        <f t="shared" si="294"/>
        <v>0</v>
      </c>
      <c r="T614" s="119">
        <f t="shared" si="294"/>
        <v>0</v>
      </c>
      <c r="U614" s="119">
        <f t="shared" si="294"/>
        <v>0</v>
      </c>
      <c r="V614" s="119">
        <f t="shared" si="294"/>
        <v>0</v>
      </c>
      <c r="W614" s="119">
        <f t="shared" si="294"/>
        <v>0</v>
      </c>
      <c r="X614" s="119">
        <f t="shared" si="294"/>
        <v>0</v>
      </c>
      <c r="Y614" s="119">
        <f t="shared" si="294"/>
        <v>0</v>
      </c>
      <c r="Z614" s="119">
        <f t="shared" si="294"/>
        <v>0</v>
      </c>
      <c r="AA614" s="119">
        <f t="shared" si="294"/>
        <v>0</v>
      </c>
      <c r="AB614" s="119">
        <f t="shared" si="294"/>
        <v>0</v>
      </c>
      <c r="AC614" s="119">
        <f t="shared" si="294"/>
        <v>0</v>
      </c>
      <c r="AD614" s="119">
        <f t="shared" si="294"/>
        <v>0</v>
      </c>
      <c r="AE614" s="119">
        <f t="shared" si="294"/>
        <v>0</v>
      </c>
      <c r="AF614" s="119">
        <f t="shared" si="294"/>
        <v>0</v>
      </c>
      <c r="AG614" s="119">
        <f t="shared" si="294"/>
        <v>0</v>
      </c>
      <c r="AH614" s="119">
        <f t="shared" si="294"/>
        <v>0</v>
      </c>
      <c r="AI614" s="119">
        <f t="shared" si="294"/>
        <v>0</v>
      </c>
      <c r="AJ614" s="119">
        <f t="shared" si="294"/>
        <v>0</v>
      </c>
      <c r="AK614" s="119">
        <f t="shared" si="294"/>
        <v>0</v>
      </c>
      <c r="AL614" s="119">
        <f t="shared" si="294"/>
        <v>0</v>
      </c>
      <c r="AM614" s="119">
        <f t="shared" si="294"/>
        <v>0</v>
      </c>
      <c r="AN614" s="119">
        <f t="shared" si="294"/>
        <v>0</v>
      </c>
      <c r="AO614" s="119">
        <f t="shared" si="294"/>
        <v>0</v>
      </c>
      <c r="AP614" s="119">
        <f t="shared" si="294"/>
        <v>0</v>
      </c>
    </row>
    <row r="615" spans="1:42" x14ac:dyDescent="0.2">
      <c r="A615" s="21" t="s">
        <v>293</v>
      </c>
      <c r="B615" s="123"/>
      <c r="C615" s="119">
        <f t="shared" ref="C615:AP615" si="295">IF(AND(C$2&lt;=term_tenor,C$2&lt;=analysis_period),-C648-C654-C686-C718,0)</f>
        <v>0</v>
      </c>
      <c r="D615" s="119">
        <f t="shared" si="295"/>
        <v>0</v>
      </c>
      <c r="E615" s="119">
        <f t="shared" si="295"/>
        <v>0</v>
      </c>
      <c r="F615" s="119">
        <f t="shared" si="295"/>
        <v>0</v>
      </c>
      <c r="G615" s="119">
        <f t="shared" si="295"/>
        <v>0</v>
      </c>
      <c r="H615" s="119">
        <f t="shared" si="295"/>
        <v>0</v>
      </c>
      <c r="I615" s="119">
        <f t="shared" si="295"/>
        <v>0</v>
      </c>
      <c r="J615" s="119">
        <f t="shared" si="295"/>
        <v>0</v>
      </c>
      <c r="K615" s="119">
        <f t="shared" si="295"/>
        <v>0</v>
      </c>
      <c r="L615" s="119">
        <f t="shared" si="295"/>
        <v>0</v>
      </c>
      <c r="M615" s="119">
        <f t="shared" si="295"/>
        <v>0</v>
      </c>
      <c r="N615" s="119">
        <f t="shared" si="295"/>
        <v>0</v>
      </c>
      <c r="O615" s="119">
        <f t="shared" si="295"/>
        <v>0</v>
      </c>
      <c r="P615" s="119">
        <f t="shared" si="295"/>
        <v>0</v>
      </c>
      <c r="Q615" s="119">
        <f t="shared" si="295"/>
        <v>0</v>
      </c>
      <c r="R615" s="119">
        <f t="shared" si="295"/>
        <v>0</v>
      </c>
      <c r="S615" s="119">
        <f t="shared" si="295"/>
        <v>0</v>
      </c>
      <c r="T615" s="119">
        <f t="shared" si="295"/>
        <v>0</v>
      </c>
      <c r="U615" s="119">
        <f t="shared" si="295"/>
        <v>0</v>
      </c>
      <c r="V615" s="119">
        <f t="shared" si="295"/>
        <v>0</v>
      </c>
      <c r="W615" s="119">
        <f t="shared" si="295"/>
        <v>0</v>
      </c>
      <c r="X615" s="119">
        <f t="shared" si="295"/>
        <v>0</v>
      </c>
      <c r="Y615" s="119">
        <f t="shared" si="295"/>
        <v>0</v>
      </c>
      <c r="Z615" s="119">
        <f t="shared" si="295"/>
        <v>0</v>
      </c>
      <c r="AA615" s="119">
        <f t="shared" si="295"/>
        <v>0</v>
      </c>
      <c r="AB615" s="119">
        <f t="shared" si="295"/>
        <v>0</v>
      </c>
      <c r="AC615" s="119">
        <f t="shared" si="295"/>
        <v>0</v>
      </c>
      <c r="AD615" s="119">
        <f t="shared" si="295"/>
        <v>0</v>
      </c>
      <c r="AE615" s="119">
        <f t="shared" si="295"/>
        <v>0</v>
      </c>
      <c r="AF615" s="119">
        <f t="shared" si="295"/>
        <v>0</v>
      </c>
      <c r="AG615" s="119">
        <f t="shared" si="295"/>
        <v>0</v>
      </c>
      <c r="AH615" s="119">
        <f t="shared" si="295"/>
        <v>0</v>
      </c>
      <c r="AI615" s="119">
        <f t="shared" si="295"/>
        <v>0</v>
      </c>
      <c r="AJ615" s="119">
        <f t="shared" si="295"/>
        <v>0</v>
      </c>
      <c r="AK615" s="119">
        <f t="shared" si="295"/>
        <v>0</v>
      </c>
      <c r="AL615" s="119">
        <f t="shared" si="295"/>
        <v>0</v>
      </c>
      <c r="AM615" s="119">
        <f t="shared" si="295"/>
        <v>0</v>
      </c>
      <c r="AN615" s="119">
        <f t="shared" si="295"/>
        <v>0</v>
      </c>
      <c r="AO615" s="119">
        <f t="shared" si="295"/>
        <v>0</v>
      </c>
      <c r="AP615" s="119">
        <f t="shared" si="295"/>
        <v>0</v>
      </c>
    </row>
    <row r="616" spans="1:42" x14ac:dyDescent="0.2">
      <c r="A616" s="21" t="s">
        <v>246</v>
      </c>
      <c r="B616" s="119"/>
      <c r="C616" s="119">
        <f>SUM(C614:C615)</f>
        <v>0</v>
      </c>
      <c r="D616" s="119">
        <f t="shared" ref="D616:AP616" si="296">SUM(D614:D615)</f>
        <v>0</v>
      </c>
      <c r="E616" s="119">
        <f t="shared" si="296"/>
        <v>0</v>
      </c>
      <c r="F616" s="119">
        <f t="shared" si="296"/>
        <v>0</v>
      </c>
      <c r="G616" s="119">
        <f t="shared" si="296"/>
        <v>0</v>
      </c>
      <c r="H616" s="119">
        <f t="shared" si="296"/>
        <v>0</v>
      </c>
      <c r="I616" s="119">
        <f t="shared" si="296"/>
        <v>0</v>
      </c>
      <c r="J616" s="119">
        <f t="shared" si="296"/>
        <v>0</v>
      </c>
      <c r="K616" s="119">
        <f t="shared" si="296"/>
        <v>0</v>
      </c>
      <c r="L616" s="119">
        <f t="shared" si="296"/>
        <v>0</v>
      </c>
      <c r="M616" s="119">
        <f t="shared" si="296"/>
        <v>0</v>
      </c>
      <c r="N616" s="119">
        <f t="shared" si="296"/>
        <v>0</v>
      </c>
      <c r="O616" s="119">
        <f t="shared" si="296"/>
        <v>0</v>
      </c>
      <c r="P616" s="119">
        <f t="shared" si="296"/>
        <v>0</v>
      </c>
      <c r="Q616" s="119">
        <f t="shared" si="296"/>
        <v>0</v>
      </c>
      <c r="R616" s="119">
        <f t="shared" si="296"/>
        <v>0</v>
      </c>
      <c r="S616" s="119">
        <f t="shared" si="296"/>
        <v>0</v>
      </c>
      <c r="T616" s="119">
        <f t="shared" si="296"/>
        <v>0</v>
      </c>
      <c r="U616" s="119">
        <f t="shared" si="296"/>
        <v>0</v>
      </c>
      <c r="V616" s="119">
        <f t="shared" si="296"/>
        <v>0</v>
      </c>
      <c r="W616" s="119">
        <f t="shared" si="296"/>
        <v>0</v>
      </c>
      <c r="X616" s="119">
        <f t="shared" si="296"/>
        <v>0</v>
      </c>
      <c r="Y616" s="119">
        <f t="shared" si="296"/>
        <v>0</v>
      </c>
      <c r="Z616" s="119">
        <f t="shared" si="296"/>
        <v>0</v>
      </c>
      <c r="AA616" s="119">
        <f t="shared" si="296"/>
        <v>0</v>
      </c>
      <c r="AB616" s="119">
        <f t="shared" si="296"/>
        <v>0</v>
      </c>
      <c r="AC616" s="119">
        <f t="shared" si="296"/>
        <v>0</v>
      </c>
      <c r="AD616" s="119">
        <f t="shared" si="296"/>
        <v>0</v>
      </c>
      <c r="AE616" s="119">
        <f t="shared" si="296"/>
        <v>0</v>
      </c>
      <c r="AF616" s="119">
        <f t="shared" si="296"/>
        <v>0</v>
      </c>
      <c r="AG616" s="119">
        <f t="shared" si="296"/>
        <v>0</v>
      </c>
      <c r="AH616" s="119">
        <f t="shared" si="296"/>
        <v>0</v>
      </c>
      <c r="AI616" s="119">
        <f t="shared" si="296"/>
        <v>0</v>
      </c>
      <c r="AJ616" s="119">
        <f t="shared" si="296"/>
        <v>0</v>
      </c>
      <c r="AK616" s="119">
        <f t="shared" si="296"/>
        <v>0</v>
      </c>
      <c r="AL616" s="119">
        <f t="shared" si="296"/>
        <v>0</v>
      </c>
      <c r="AM616" s="119">
        <f t="shared" si="296"/>
        <v>0</v>
      </c>
      <c r="AN616" s="119">
        <f t="shared" si="296"/>
        <v>0</v>
      </c>
      <c r="AO616" s="119">
        <f t="shared" si="296"/>
        <v>0</v>
      </c>
      <c r="AP616" s="119">
        <f t="shared" si="296"/>
        <v>0</v>
      </c>
    </row>
    <row r="617" spans="1:42" x14ac:dyDescent="0.2">
      <c r="A617" s="21" t="s">
        <v>247</v>
      </c>
      <c r="B617" s="119"/>
      <c r="C617" s="195">
        <f>IF(AND(C$2&lt;=term_tenor,C$2&lt;=analysis_period),1/(1+term_int_rate/100),0)</f>
        <v>0</v>
      </c>
      <c r="D617" s="195">
        <f t="shared" ref="D617:AP617" si="297">IF(AND(C$2&lt;=term_tenor,C$2&lt;=analysis_period),C617/(1+term_int_rate/100),0)</f>
        <v>0</v>
      </c>
      <c r="E617" s="195">
        <f t="shared" si="297"/>
        <v>0</v>
      </c>
      <c r="F617" s="195">
        <f t="shared" si="297"/>
        <v>0</v>
      </c>
      <c r="G617" s="195">
        <f t="shared" si="297"/>
        <v>0</v>
      </c>
      <c r="H617" s="195">
        <f t="shared" si="297"/>
        <v>0</v>
      </c>
      <c r="I617" s="195">
        <f t="shared" si="297"/>
        <v>0</v>
      </c>
      <c r="J617" s="195">
        <f t="shared" si="297"/>
        <v>0</v>
      </c>
      <c r="K617" s="195">
        <f t="shared" si="297"/>
        <v>0</v>
      </c>
      <c r="L617" s="195">
        <f t="shared" si="297"/>
        <v>0</v>
      </c>
      <c r="M617" s="195">
        <f t="shared" si="297"/>
        <v>0</v>
      </c>
      <c r="N617" s="195">
        <f t="shared" si="297"/>
        <v>0</v>
      </c>
      <c r="O617" s="195">
        <f t="shared" si="297"/>
        <v>0</v>
      </c>
      <c r="P617" s="195">
        <f t="shared" si="297"/>
        <v>0</v>
      </c>
      <c r="Q617" s="195">
        <f t="shared" si="297"/>
        <v>0</v>
      </c>
      <c r="R617" s="195">
        <f t="shared" si="297"/>
        <v>0</v>
      </c>
      <c r="S617" s="195">
        <f t="shared" si="297"/>
        <v>0</v>
      </c>
      <c r="T617" s="195">
        <f t="shared" si="297"/>
        <v>0</v>
      </c>
      <c r="U617" s="195">
        <f t="shared" si="297"/>
        <v>0</v>
      </c>
      <c r="V617" s="195">
        <f t="shared" si="297"/>
        <v>0</v>
      </c>
      <c r="W617" s="195">
        <f t="shared" si="297"/>
        <v>0</v>
      </c>
      <c r="X617" s="195">
        <f t="shared" si="297"/>
        <v>0</v>
      </c>
      <c r="Y617" s="195">
        <f t="shared" si="297"/>
        <v>0</v>
      </c>
      <c r="Z617" s="195">
        <f t="shared" si="297"/>
        <v>0</v>
      </c>
      <c r="AA617" s="195">
        <f t="shared" si="297"/>
        <v>0</v>
      </c>
      <c r="AB617" s="195">
        <f t="shared" si="297"/>
        <v>0</v>
      </c>
      <c r="AC617" s="195">
        <f t="shared" si="297"/>
        <v>0</v>
      </c>
      <c r="AD617" s="195">
        <f t="shared" si="297"/>
        <v>0</v>
      </c>
      <c r="AE617" s="195">
        <f t="shared" si="297"/>
        <v>0</v>
      </c>
      <c r="AF617" s="195">
        <f t="shared" si="297"/>
        <v>0</v>
      </c>
      <c r="AG617" s="195">
        <f t="shared" si="297"/>
        <v>0</v>
      </c>
      <c r="AH617" s="195">
        <f t="shared" si="297"/>
        <v>0</v>
      </c>
      <c r="AI617" s="195">
        <f t="shared" si="297"/>
        <v>0</v>
      </c>
      <c r="AJ617" s="195">
        <f t="shared" si="297"/>
        <v>0</v>
      </c>
      <c r="AK617" s="195">
        <f t="shared" si="297"/>
        <v>0</v>
      </c>
      <c r="AL617" s="195">
        <f t="shared" si="297"/>
        <v>0</v>
      </c>
      <c r="AM617" s="195">
        <f t="shared" si="297"/>
        <v>0</v>
      </c>
      <c r="AN617" s="195">
        <f t="shared" si="297"/>
        <v>0</v>
      </c>
      <c r="AO617" s="195">
        <f t="shared" si="297"/>
        <v>0</v>
      </c>
      <c r="AP617" s="195">
        <f t="shared" si="297"/>
        <v>0</v>
      </c>
    </row>
    <row r="618" spans="1:42" x14ac:dyDescent="0.2">
      <c r="A618" s="21" t="s">
        <v>245</v>
      </c>
      <c r="B618" s="119"/>
      <c r="C618" s="119">
        <f>C616*C617</f>
        <v>0</v>
      </c>
      <c r="D618" s="119">
        <f t="shared" ref="D618:AP618" si="298">D616*D617</f>
        <v>0</v>
      </c>
      <c r="E618" s="119">
        <f t="shared" si="298"/>
        <v>0</v>
      </c>
      <c r="F618" s="119">
        <f t="shared" si="298"/>
        <v>0</v>
      </c>
      <c r="G618" s="119">
        <f t="shared" si="298"/>
        <v>0</v>
      </c>
      <c r="H618" s="119">
        <f t="shared" si="298"/>
        <v>0</v>
      </c>
      <c r="I618" s="119">
        <f t="shared" si="298"/>
        <v>0</v>
      </c>
      <c r="J618" s="119">
        <f t="shared" si="298"/>
        <v>0</v>
      </c>
      <c r="K618" s="119">
        <f t="shared" si="298"/>
        <v>0</v>
      </c>
      <c r="L618" s="119">
        <f t="shared" si="298"/>
        <v>0</v>
      </c>
      <c r="M618" s="119">
        <f t="shared" si="298"/>
        <v>0</v>
      </c>
      <c r="N618" s="119">
        <f t="shared" si="298"/>
        <v>0</v>
      </c>
      <c r="O618" s="119">
        <f t="shared" si="298"/>
        <v>0</v>
      </c>
      <c r="P618" s="119">
        <f t="shared" si="298"/>
        <v>0</v>
      </c>
      <c r="Q618" s="119">
        <f t="shared" si="298"/>
        <v>0</v>
      </c>
      <c r="R618" s="119">
        <f t="shared" si="298"/>
        <v>0</v>
      </c>
      <c r="S618" s="119">
        <f t="shared" si="298"/>
        <v>0</v>
      </c>
      <c r="T618" s="119">
        <f t="shared" si="298"/>
        <v>0</v>
      </c>
      <c r="U618" s="119">
        <f t="shared" si="298"/>
        <v>0</v>
      </c>
      <c r="V618" s="119">
        <f t="shared" si="298"/>
        <v>0</v>
      </c>
      <c r="W618" s="119">
        <f t="shared" si="298"/>
        <v>0</v>
      </c>
      <c r="X618" s="119">
        <f t="shared" si="298"/>
        <v>0</v>
      </c>
      <c r="Y618" s="119">
        <f t="shared" si="298"/>
        <v>0</v>
      </c>
      <c r="Z618" s="119">
        <f t="shared" si="298"/>
        <v>0</v>
      </c>
      <c r="AA618" s="119">
        <f t="shared" si="298"/>
        <v>0</v>
      </c>
      <c r="AB618" s="119">
        <f t="shared" si="298"/>
        <v>0</v>
      </c>
      <c r="AC618" s="119">
        <f t="shared" si="298"/>
        <v>0</v>
      </c>
      <c r="AD618" s="119">
        <f t="shared" si="298"/>
        <v>0</v>
      </c>
      <c r="AE618" s="119">
        <f t="shared" si="298"/>
        <v>0</v>
      </c>
      <c r="AF618" s="119">
        <f t="shared" si="298"/>
        <v>0</v>
      </c>
      <c r="AG618" s="119">
        <f t="shared" si="298"/>
        <v>0</v>
      </c>
      <c r="AH618" s="119">
        <f t="shared" si="298"/>
        <v>0</v>
      </c>
      <c r="AI618" s="119">
        <f t="shared" si="298"/>
        <v>0</v>
      </c>
      <c r="AJ618" s="119">
        <f t="shared" si="298"/>
        <v>0</v>
      </c>
      <c r="AK618" s="119">
        <f t="shared" si="298"/>
        <v>0</v>
      </c>
      <c r="AL618" s="119">
        <f t="shared" si="298"/>
        <v>0</v>
      </c>
      <c r="AM618" s="119">
        <f t="shared" si="298"/>
        <v>0</v>
      </c>
      <c r="AN618" s="119">
        <f t="shared" si="298"/>
        <v>0</v>
      </c>
      <c r="AO618" s="119">
        <f t="shared" si="298"/>
        <v>0</v>
      </c>
      <c r="AP618" s="119">
        <f t="shared" si="298"/>
        <v>0</v>
      </c>
    </row>
    <row r="619" spans="1:42" x14ac:dyDescent="0.2">
      <c r="A619" s="21"/>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row>
    <row r="620" spans="1:42" x14ac:dyDescent="0.2">
      <c r="A620" s="17" t="s">
        <v>239</v>
      </c>
      <c r="B620" s="119"/>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c r="AB620" s="108"/>
      <c r="AC620" s="108"/>
      <c r="AD620" s="108"/>
      <c r="AE620" s="108"/>
      <c r="AF620" s="108"/>
      <c r="AG620" s="108"/>
      <c r="AH620" s="108"/>
      <c r="AI620" s="108"/>
      <c r="AJ620" s="108"/>
      <c r="AK620" s="108"/>
      <c r="AL620" s="108"/>
      <c r="AM620" s="108"/>
      <c r="AN620" s="108"/>
      <c r="AO620" s="108"/>
      <c r="AP620" s="108"/>
    </row>
    <row r="621" spans="1:42" x14ac:dyDescent="0.2">
      <c r="A621" s="21" t="s">
        <v>269</v>
      </c>
      <c r="B621" s="119">
        <f t="shared" ref="B621:AP621" si="299">IF(DebtServiceCoverageRatio="Calculated","N/A",IF(AND(B$2&lt;=term_tenor,B$2&lt;=analysis_period),IF(B$630=0,0,B$618/B$630),0))</f>
        <v>0</v>
      </c>
      <c r="C621" s="119">
        <f t="shared" si="299"/>
        <v>0</v>
      </c>
      <c r="D621" s="119">
        <f t="shared" si="299"/>
        <v>0</v>
      </c>
      <c r="E621" s="119">
        <f t="shared" si="299"/>
        <v>0</v>
      </c>
      <c r="F621" s="119">
        <f t="shared" si="299"/>
        <v>0</v>
      </c>
      <c r="G621" s="119">
        <f t="shared" si="299"/>
        <v>0</v>
      </c>
      <c r="H621" s="119">
        <f t="shared" si="299"/>
        <v>0</v>
      </c>
      <c r="I621" s="119">
        <f t="shared" si="299"/>
        <v>0</v>
      </c>
      <c r="J621" s="119">
        <f t="shared" si="299"/>
        <v>0</v>
      </c>
      <c r="K621" s="119">
        <f t="shared" si="299"/>
        <v>0</v>
      </c>
      <c r="L621" s="119">
        <f t="shared" si="299"/>
        <v>0</v>
      </c>
      <c r="M621" s="119">
        <f t="shared" si="299"/>
        <v>0</v>
      </c>
      <c r="N621" s="119">
        <f t="shared" si="299"/>
        <v>0</v>
      </c>
      <c r="O621" s="119">
        <f t="shared" si="299"/>
        <v>0</v>
      </c>
      <c r="P621" s="119">
        <f t="shared" si="299"/>
        <v>0</v>
      </c>
      <c r="Q621" s="119">
        <f t="shared" si="299"/>
        <v>0</v>
      </c>
      <c r="R621" s="119">
        <f t="shared" si="299"/>
        <v>0</v>
      </c>
      <c r="S621" s="119">
        <f t="shared" si="299"/>
        <v>0</v>
      </c>
      <c r="T621" s="119">
        <f t="shared" si="299"/>
        <v>0</v>
      </c>
      <c r="U621" s="119">
        <f t="shared" si="299"/>
        <v>0</v>
      </c>
      <c r="V621" s="119">
        <f t="shared" si="299"/>
        <v>0</v>
      </c>
      <c r="W621" s="119">
        <f t="shared" si="299"/>
        <v>0</v>
      </c>
      <c r="X621" s="119">
        <f t="shared" si="299"/>
        <v>0</v>
      </c>
      <c r="Y621" s="119">
        <f t="shared" si="299"/>
        <v>0</v>
      </c>
      <c r="Z621" s="119">
        <f t="shared" si="299"/>
        <v>0</v>
      </c>
      <c r="AA621" s="119">
        <f t="shared" si="299"/>
        <v>0</v>
      </c>
      <c r="AB621" s="119">
        <f t="shared" si="299"/>
        <v>0</v>
      </c>
      <c r="AC621" s="119">
        <f t="shared" si="299"/>
        <v>0</v>
      </c>
      <c r="AD621" s="119">
        <f t="shared" si="299"/>
        <v>0</v>
      </c>
      <c r="AE621" s="119">
        <f t="shared" si="299"/>
        <v>0</v>
      </c>
      <c r="AF621" s="119">
        <f t="shared" si="299"/>
        <v>0</v>
      </c>
      <c r="AG621" s="119">
        <f t="shared" si="299"/>
        <v>0</v>
      </c>
      <c r="AH621" s="119">
        <f t="shared" si="299"/>
        <v>0</v>
      </c>
      <c r="AI621" s="119">
        <f t="shared" si="299"/>
        <v>0</v>
      </c>
      <c r="AJ621" s="119">
        <f t="shared" si="299"/>
        <v>0</v>
      </c>
      <c r="AK621" s="119">
        <f t="shared" si="299"/>
        <v>0</v>
      </c>
      <c r="AL621" s="119">
        <f t="shared" si="299"/>
        <v>0</v>
      </c>
      <c r="AM621" s="119">
        <f t="shared" si="299"/>
        <v>0</v>
      </c>
      <c r="AN621" s="119">
        <f t="shared" si="299"/>
        <v>0</v>
      </c>
      <c r="AO621" s="119">
        <f t="shared" si="299"/>
        <v>0</v>
      </c>
      <c r="AP621" s="119">
        <f t="shared" si="299"/>
        <v>0</v>
      </c>
    </row>
    <row r="622" spans="1:42" x14ac:dyDescent="0.2">
      <c r="A622" s="87" t="s">
        <v>340</v>
      </c>
      <c r="B622" s="119">
        <f t="shared" ref="B622:AP622" si="300">IF(dscr_limit_debt_fraction="Yes",B$618/$B$631,B$621)</f>
        <v>0</v>
      </c>
      <c r="C622" s="119">
        <f t="shared" si="300"/>
        <v>0</v>
      </c>
      <c r="D622" s="119">
        <f t="shared" si="300"/>
        <v>0</v>
      </c>
      <c r="E622" s="119">
        <f t="shared" si="300"/>
        <v>0</v>
      </c>
      <c r="F622" s="119">
        <f t="shared" si="300"/>
        <v>0</v>
      </c>
      <c r="G622" s="119">
        <f t="shared" si="300"/>
        <v>0</v>
      </c>
      <c r="H622" s="119">
        <f t="shared" si="300"/>
        <v>0</v>
      </c>
      <c r="I622" s="119">
        <f t="shared" si="300"/>
        <v>0</v>
      </c>
      <c r="J622" s="119">
        <f t="shared" si="300"/>
        <v>0</v>
      </c>
      <c r="K622" s="119">
        <f t="shared" si="300"/>
        <v>0</v>
      </c>
      <c r="L622" s="119">
        <f t="shared" si="300"/>
        <v>0</v>
      </c>
      <c r="M622" s="119">
        <f t="shared" si="300"/>
        <v>0</v>
      </c>
      <c r="N622" s="119">
        <f t="shared" si="300"/>
        <v>0</v>
      </c>
      <c r="O622" s="119">
        <f t="shared" si="300"/>
        <v>0</v>
      </c>
      <c r="P622" s="119">
        <f t="shared" si="300"/>
        <v>0</v>
      </c>
      <c r="Q622" s="119">
        <f t="shared" si="300"/>
        <v>0</v>
      </c>
      <c r="R622" s="119">
        <f t="shared" si="300"/>
        <v>0</v>
      </c>
      <c r="S622" s="119">
        <f t="shared" si="300"/>
        <v>0</v>
      </c>
      <c r="T622" s="119">
        <f t="shared" si="300"/>
        <v>0</v>
      </c>
      <c r="U622" s="119">
        <f t="shared" si="300"/>
        <v>0</v>
      </c>
      <c r="V622" s="119">
        <f t="shared" si="300"/>
        <v>0</v>
      </c>
      <c r="W622" s="119">
        <f t="shared" si="300"/>
        <v>0</v>
      </c>
      <c r="X622" s="119">
        <f t="shared" si="300"/>
        <v>0</v>
      </c>
      <c r="Y622" s="119">
        <f t="shared" si="300"/>
        <v>0</v>
      </c>
      <c r="Z622" s="119">
        <f t="shared" si="300"/>
        <v>0</v>
      </c>
      <c r="AA622" s="119">
        <f t="shared" si="300"/>
        <v>0</v>
      </c>
      <c r="AB622" s="119">
        <f t="shared" si="300"/>
        <v>0</v>
      </c>
      <c r="AC622" s="119">
        <f t="shared" si="300"/>
        <v>0</v>
      </c>
      <c r="AD622" s="119">
        <f t="shared" si="300"/>
        <v>0</v>
      </c>
      <c r="AE622" s="119">
        <f t="shared" si="300"/>
        <v>0</v>
      </c>
      <c r="AF622" s="119">
        <f t="shared" si="300"/>
        <v>0</v>
      </c>
      <c r="AG622" s="119">
        <f t="shared" si="300"/>
        <v>0</v>
      </c>
      <c r="AH622" s="119">
        <f t="shared" si="300"/>
        <v>0</v>
      </c>
      <c r="AI622" s="119">
        <f t="shared" si="300"/>
        <v>0</v>
      </c>
      <c r="AJ622" s="119">
        <f t="shared" si="300"/>
        <v>0</v>
      </c>
      <c r="AK622" s="119">
        <f t="shared" si="300"/>
        <v>0</v>
      </c>
      <c r="AL622" s="119">
        <f t="shared" si="300"/>
        <v>0</v>
      </c>
      <c r="AM622" s="119">
        <f t="shared" si="300"/>
        <v>0</v>
      </c>
      <c r="AN622" s="119">
        <f t="shared" si="300"/>
        <v>0</v>
      </c>
      <c r="AO622" s="119">
        <f t="shared" si="300"/>
        <v>0</v>
      </c>
      <c r="AP622" s="119">
        <f t="shared" si="300"/>
        <v>0</v>
      </c>
    </row>
    <row r="623" spans="1:42" x14ac:dyDescent="0.2">
      <c r="A623" s="21" t="s">
        <v>206</v>
      </c>
      <c r="B623" s="173">
        <f>IF(MortgageSizeOfDebt="N/A",IF(dscr_limit_debt_fraction="Yes",SUM(B622:AP622),SUM(B621:AP621)),MortgageSizeOfDebt)</f>
        <v>0</v>
      </c>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row>
    <row r="624" spans="1:42" x14ac:dyDescent="0.2">
      <c r="A624" s="17"/>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row>
    <row r="625" spans="1:42" x14ac:dyDescent="0.2">
      <c r="A625" s="17" t="s">
        <v>270</v>
      </c>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row>
    <row r="626" spans="1:42" x14ac:dyDescent="0.2">
      <c r="A626" s="21" t="s">
        <v>271</v>
      </c>
      <c r="B626" s="119"/>
      <c r="C626" s="119">
        <f t="shared" ref="C626:AP626" si="301">IF(C$2&gt;term_tenor,0,IF(DebtPercent="Calculated",IF(C$630=0,0,C$616/C$630),"N/A"))</f>
        <v>0</v>
      </c>
      <c r="D626" s="119">
        <f t="shared" si="301"/>
        <v>0</v>
      </c>
      <c r="E626" s="119">
        <f t="shared" si="301"/>
        <v>0</v>
      </c>
      <c r="F626" s="119">
        <f t="shared" si="301"/>
        <v>0</v>
      </c>
      <c r="G626" s="119">
        <f t="shared" si="301"/>
        <v>0</v>
      </c>
      <c r="H626" s="119">
        <f t="shared" si="301"/>
        <v>0</v>
      </c>
      <c r="I626" s="119">
        <f t="shared" si="301"/>
        <v>0</v>
      </c>
      <c r="J626" s="119">
        <f t="shared" si="301"/>
        <v>0</v>
      </c>
      <c r="K626" s="119">
        <f t="shared" si="301"/>
        <v>0</v>
      </c>
      <c r="L626" s="119">
        <f t="shared" si="301"/>
        <v>0</v>
      </c>
      <c r="M626" s="119">
        <f t="shared" si="301"/>
        <v>0</v>
      </c>
      <c r="N626" s="119">
        <f t="shared" si="301"/>
        <v>0</v>
      </c>
      <c r="O626" s="119">
        <f t="shared" si="301"/>
        <v>0</v>
      </c>
      <c r="P626" s="119">
        <f t="shared" si="301"/>
        <v>0</v>
      </c>
      <c r="Q626" s="119">
        <f t="shared" si="301"/>
        <v>0</v>
      </c>
      <c r="R626" s="119">
        <f t="shared" si="301"/>
        <v>0</v>
      </c>
      <c r="S626" s="119">
        <f t="shared" si="301"/>
        <v>0</v>
      </c>
      <c r="T626" s="119">
        <f t="shared" si="301"/>
        <v>0</v>
      </c>
      <c r="U626" s="119">
        <f t="shared" si="301"/>
        <v>0</v>
      </c>
      <c r="V626" s="119">
        <f t="shared" si="301"/>
        <v>0</v>
      </c>
      <c r="W626" s="119">
        <f t="shared" si="301"/>
        <v>0</v>
      </c>
      <c r="X626" s="119">
        <f t="shared" si="301"/>
        <v>0</v>
      </c>
      <c r="Y626" s="119">
        <f t="shared" si="301"/>
        <v>0</v>
      </c>
      <c r="Z626" s="119">
        <f t="shared" si="301"/>
        <v>0</v>
      </c>
      <c r="AA626" s="119">
        <f t="shared" si="301"/>
        <v>0</v>
      </c>
      <c r="AB626" s="119">
        <f t="shared" si="301"/>
        <v>0</v>
      </c>
      <c r="AC626" s="119">
        <f t="shared" si="301"/>
        <v>0</v>
      </c>
      <c r="AD626" s="119">
        <f t="shared" si="301"/>
        <v>0</v>
      </c>
      <c r="AE626" s="119">
        <f t="shared" si="301"/>
        <v>0</v>
      </c>
      <c r="AF626" s="119">
        <f t="shared" si="301"/>
        <v>0</v>
      </c>
      <c r="AG626" s="119">
        <f t="shared" si="301"/>
        <v>0</v>
      </c>
      <c r="AH626" s="119">
        <f t="shared" si="301"/>
        <v>0</v>
      </c>
      <c r="AI626" s="119">
        <f t="shared" si="301"/>
        <v>0</v>
      </c>
      <c r="AJ626" s="119">
        <f t="shared" si="301"/>
        <v>0</v>
      </c>
      <c r="AK626" s="119">
        <f t="shared" si="301"/>
        <v>0</v>
      </c>
      <c r="AL626" s="119">
        <f t="shared" si="301"/>
        <v>0</v>
      </c>
      <c r="AM626" s="119">
        <f t="shared" si="301"/>
        <v>0</v>
      </c>
      <c r="AN626" s="119">
        <f t="shared" si="301"/>
        <v>0</v>
      </c>
      <c r="AO626" s="119">
        <f t="shared" si="301"/>
        <v>0</v>
      </c>
      <c r="AP626" s="119">
        <f t="shared" si="301"/>
        <v>0</v>
      </c>
    </row>
    <row r="627" spans="1:42" x14ac:dyDescent="0.2">
      <c r="A627" s="21" t="s">
        <v>272</v>
      </c>
      <c r="B627" s="119"/>
      <c r="C627" s="119">
        <f t="shared" ref="C627:AP627" si="302">IF(C$2&gt;term_tenor,0,IF(DebtPayment="Fixed principal","N/A",IF(DebtPercent="Calculated","N/A",IF(C$2&lt;loan_moratorium,C$609,IF(AND(C$2&lt;=term_tenor,C$2&lt;=analysis_period),-PMT(term_int_rate/100,term_tenor-loan_moratorium,$B$623),0)))))</f>
        <v>0</v>
      </c>
      <c r="D627" s="119">
        <f t="shared" si="302"/>
        <v>0</v>
      </c>
      <c r="E627" s="119">
        <f t="shared" si="302"/>
        <v>0</v>
      </c>
      <c r="F627" s="119">
        <f t="shared" si="302"/>
        <v>0</v>
      </c>
      <c r="G627" s="119">
        <f t="shared" si="302"/>
        <v>0</v>
      </c>
      <c r="H627" s="119">
        <f t="shared" si="302"/>
        <v>0</v>
      </c>
      <c r="I627" s="119">
        <f t="shared" si="302"/>
        <v>0</v>
      </c>
      <c r="J627" s="119">
        <f t="shared" si="302"/>
        <v>0</v>
      </c>
      <c r="K627" s="119">
        <f t="shared" si="302"/>
        <v>0</v>
      </c>
      <c r="L627" s="119">
        <f t="shared" si="302"/>
        <v>0</v>
      </c>
      <c r="M627" s="119">
        <f t="shared" si="302"/>
        <v>0</v>
      </c>
      <c r="N627" s="119">
        <f t="shared" si="302"/>
        <v>0</v>
      </c>
      <c r="O627" s="119">
        <f t="shared" si="302"/>
        <v>0</v>
      </c>
      <c r="P627" s="119">
        <f t="shared" si="302"/>
        <v>0</v>
      </c>
      <c r="Q627" s="119">
        <f t="shared" si="302"/>
        <v>0</v>
      </c>
      <c r="R627" s="119">
        <f t="shared" si="302"/>
        <v>0</v>
      </c>
      <c r="S627" s="119">
        <f t="shared" si="302"/>
        <v>0</v>
      </c>
      <c r="T627" s="119">
        <f t="shared" si="302"/>
        <v>0</v>
      </c>
      <c r="U627" s="119">
        <f t="shared" si="302"/>
        <v>0</v>
      </c>
      <c r="V627" s="119">
        <f t="shared" si="302"/>
        <v>0</v>
      </c>
      <c r="W627" s="119">
        <f t="shared" si="302"/>
        <v>0</v>
      </c>
      <c r="X627" s="119">
        <f t="shared" si="302"/>
        <v>0</v>
      </c>
      <c r="Y627" s="119">
        <f t="shared" si="302"/>
        <v>0</v>
      </c>
      <c r="Z627" s="119">
        <f t="shared" si="302"/>
        <v>0</v>
      </c>
      <c r="AA627" s="119">
        <f t="shared" si="302"/>
        <v>0</v>
      </c>
      <c r="AB627" s="119">
        <f t="shared" si="302"/>
        <v>0</v>
      </c>
      <c r="AC627" s="119">
        <f t="shared" si="302"/>
        <v>0</v>
      </c>
      <c r="AD627" s="119">
        <f t="shared" si="302"/>
        <v>0</v>
      </c>
      <c r="AE627" s="119">
        <f t="shared" si="302"/>
        <v>0</v>
      </c>
      <c r="AF627" s="119">
        <f t="shared" si="302"/>
        <v>0</v>
      </c>
      <c r="AG627" s="119">
        <f t="shared" si="302"/>
        <v>0</v>
      </c>
      <c r="AH627" s="119">
        <f t="shared" si="302"/>
        <v>0</v>
      </c>
      <c r="AI627" s="119">
        <f t="shared" si="302"/>
        <v>0</v>
      </c>
      <c r="AJ627" s="119">
        <f t="shared" si="302"/>
        <v>0</v>
      </c>
      <c r="AK627" s="119">
        <f t="shared" si="302"/>
        <v>0</v>
      </c>
      <c r="AL627" s="119">
        <f t="shared" si="302"/>
        <v>0</v>
      </c>
      <c r="AM627" s="119">
        <f t="shared" si="302"/>
        <v>0</v>
      </c>
      <c r="AN627" s="119">
        <f t="shared" si="302"/>
        <v>0</v>
      </c>
      <c r="AO627" s="119">
        <f t="shared" si="302"/>
        <v>0</v>
      </c>
      <c r="AP627" s="119">
        <f t="shared" si="302"/>
        <v>0</v>
      </c>
    </row>
    <row r="628" spans="1:42" x14ac:dyDescent="0.2">
      <c r="A628" s="21" t="s">
        <v>273</v>
      </c>
      <c r="B628" s="119"/>
      <c r="C628" s="119">
        <f t="shared" ref="C628:AP628" si="303">IF(C$2&gt;term_tenor,0,IF(DebtPayment="Equal Payments","N/A",IF(DebtPercent="Calculated","N/A",IF(C$2&lt;=loan_moratorium,0,$B$623/(term_tenor-loan_moratorium)))))</f>
        <v>0</v>
      </c>
      <c r="D628" s="119">
        <f t="shared" si="303"/>
        <v>0</v>
      </c>
      <c r="E628" s="119">
        <f t="shared" si="303"/>
        <v>0</v>
      </c>
      <c r="F628" s="119">
        <f t="shared" si="303"/>
        <v>0</v>
      </c>
      <c r="G628" s="119">
        <f t="shared" si="303"/>
        <v>0</v>
      </c>
      <c r="H628" s="119">
        <f t="shared" si="303"/>
        <v>0</v>
      </c>
      <c r="I628" s="119">
        <f t="shared" si="303"/>
        <v>0</v>
      </c>
      <c r="J628" s="119">
        <f t="shared" si="303"/>
        <v>0</v>
      </c>
      <c r="K628" s="119">
        <f t="shared" si="303"/>
        <v>0</v>
      </c>
      <c r="L628" s="119">
        <f t="shared" si="303"/>
        <v>0</v>
      </c>
      <c r="M628" s="119">
        <f t="shared" si="303"/>
        <v>0</v>
      </c>
      <c r="N628" s="119">
        <f t="shared" si="303"/>
        <v>0</v>
      </c>
      <c r="O628" s="119">
        <f t="shared" si="303"/>
        <v>0</v>
      </c>
      <c r="P628" s="119">
        <f t="shared" si="303"/>
        <v>0</v>
      </c>
      <c r="Q628" s="119">
        <f t="shared" si="303"/>
        <v>0</v>
      </c>
      <c r="R628" s="119">
        <f t="shared" si="303"/>
        <v>0</v>
      </c>
      <c r="S628" s="119">
        <f t="shared" si="303"/>
        <v>0</v>
      </c>
      <c r="T628" s="119">
        <f t="shared" si="303"/>
        <v>0</v>
      </c>
      <c r="U628" s="119">
        <f t="shared" si="303"/>
        <v>0</v>
      </c>
      <c r="V628" s="119">
        <f t="shared" si="303"/>
        <v>0</v>
      </c>
      <c r="W628" s="119">
        <f t="shared" si="303"/>
        <v>0</v>
      </c>
      <c r="X628" s="119">
        <f t="shared" si="303"/>
        <v>0</v>
      </c>
      <c r="Y628" s="119">
        <f t="shared" si="303"/>
        <v>0</v>
      </c>
      <c r="Z628" s="119">
        <f t="shared" si="303"/>
        <v>0</v>
      </c>
      <c r="AA628" s="119">
        <f t="shared" si="303"/>
        <v>0</v>
      </c>
      <c r="AB628" s="119">
        <f t="shared" si="303"/>
        <v>0</v>
      </c>
      <c r="AC628" s="119">
        <f t="shared" si="303"/>
        <v>0</v>
      </c>
      <c r="AD628" s="119">
        <f t="shared" si="303"/>
        <v>0</v>
      </c>
      <c r="AE628" s="119">
        <f t="shared" si="303"/>
        <v>0</v>
      </c>
      <c r="AF628" s="119">
        <f t="shared" si="303"/>
        <v>0</v>
      </c>
      <c r="AG628" s="119">
        <f t="shared" si="303"/>
        <v>0</v>
      </c>
      <c r="AH628" s="119">
        <f t="shared" si="303"/>
        <v>0</v>
      </c>
      <c r="AI628" s="119">
        <f t="shared" si="303"/>
        <v>0</v>
      </c>
      <c r="AJ628" s="119">
        <f t="shared" si="303"/>
        <v>0</v>
      </c>
      <c r="AK628" s="119">
        <f t="shared" si="303"/>
        <v>0</v>
      </c>
      <c r="AL628" s="119">
        <f t="shared" si="303"/>
        <v>0</v>
      </c>
      <c r="AM628" s="119">
        <f t="shared" si="303"/>
        <v>0</v>
      </c>
      <c r="AN628" s="119">
        <f t="shared" si="303"/>
        <v>0</v>
      </c>
      <c r="AO628" s="119">
        <f t="shared" si="303"/>
        <v>0</v>
      </c>
      <c r="AP628" s="119">
        <f t="shared" si="303"/>
        <v>0</v>
      </c>
    </row>
    <row r="629" spans="1:42" x14ac:dyDescent="0.2">
      <c r="A629" s="21"/>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row>
    <row r="630" spans="1:42" x14ac:dyDescent="0.2">
      <c r="A630" s="17" t="s">
        <v>237</v>
      </c>
      <c r="B630" s="106">
        <f>MIN(C630:AP630)</f>
        <v>0</v>
      </c>
      <c r="C630" s="108" t="str">
        <f t="shared" ref="C630:AP630" si="304">IF(DebtServiceCoverageRatio="Calculated",IF(AND(C$2&lt;=term_tenor,C$2&lt;=analysis_period),C616/C608,"N/A"),IF(AND(C$2&lt;=term_tenor,C$2&lt;=analysis_period),DebtServiceCoverageRatio,"N/A"))</f>
        <v>N/A</v>
      </c>
      <c r="D630" s="108" t="str">
        <f t="shared" si="304"/>
        <v>N/A</v>
      </c>
      <c r="E630" s="108" t="str">
        <f t="shared" si="304"/>
        <v>N/A</v>
      </c>
      <c r="F630" s="108" t="str">
        <f t="shared" si="304"/>
        <v>N/A</v>
      </c>
      <c r="G630" s="108" t="str">
        <f t="shared" si="304"/>
        <v>N/A</v>
      </c>
      <c r="H630" s="108" t="str">
        <f t="shared" si="304"/>
        <v>N/A</v>
      </c>
      <c r="I630" s="108" t="str">
        <f t="shared" si="304"/>
        <v>N/A</v>
      </c>
      <c r="J630" s="108" t="str">
        <f t="shared" si="304"/>
        <v>N/A</v>
      </c>
      <c r="K630" s="108" t="str">
        <f t="shared" si="304"/>
        <v>N/A</v>
      </c>
      <c r="L630" s="108" t="str">
        <f t="shared" si="304"/>
        <v>N/A</v>
      </c>
      <c r="M630" s="108" t="str">
        <f t="shared" si="304"/>
        <v>N/A</v>
      </c>
      <c r="N630" s="108" t="str">
        <f t="shared" si="304"/>
        <v>N/A</v>
      </c>
      <c r="O630" s="108" t="str">
        <f t="shared" si="304"/>
        <v>N/A</v>
      </c>
      <c r="P630" s="108" t="str">
        <f t="shared" si="304"/>
        <v>N/A</v>
      </c>
      <c r="Q630" s="108" t="str">
        <f t="shared" si="304"/>
        <v>N/A</v>
      </c>
      <c r="R630" s="108" t="str">
        <f t="shared" si="304"/>
        <v>N/A</v>
      </c>
      <c r="S630" s="108" t="str">
        <f t="shared" si="304"/>
        <v>N/A</v>
      </c>
      <c r="T630" s="108" t="str">
        <f t="shared" si="304"/>
        <v>N/A</v>
      </c>
      <c r="U630" s="108" t="str">
        <f t="shared" si="304"/>
        <v>N/A</v>
      </c>
      <c r="V630" s="108" t="str">
        <f t="shared" si="304"/>
        <v>N/A</v>
      </c>
      <c r="W630" s="108" t="str">
        <f t="shared" si="304"/>
        <v>N/A</v>
      </c>
      <c r="X630" s="108" t="str">
        <f t="shared" si="304"/>
        <v>N/A</v>
      </c>
      <c r="Y630" s="108" t="str">
        <f t="shared" si="304"/>
        <v>N/A</v>
      </c>
      <c r="Z630" s="108" t="str">
        <f t="shared" si="304"/>
        <v>N/A</v>
      </c>
      <c r="AA630" s="108" t="str">
        <f t="shared" si="304"/>
        <v>N/A</v>
      </c>
      <c r="AB630" s="108" t="str">
        <f t="shared" si="304"/>
        <v>N/A</v>
      </c>
      <c r="AC630" s="108" t="str">
        <f t="shared" si="304"/>
        <v>N/A</v>
      </c>
      <c r="AD630" s="108" t="str">
        <f t="shared" si="304"/>
        <v>N/A</v>
      </c>
      <c r="AE630" s="108" t="str">
        <f t="shared" si="304"/>
        <v>N/A</v>
      </c>
      <c r="AF630" s="108" t="str">
        <f t="shared" si="304"/>
        <v>N/A</v>
      </c>
      <c r="AG630" s="108" t="str">
        <f t="shared" si="304"/>
        <v>N/A</v>
      </c>
      <c r="AH630" s="108" t="str">
        <f t="shared" si="304"/>
        <v>N/A</v>
      </c>
      <c r="AI630" s="108" t="str">
        <f t="shared" si="304"/>
        <v>N/A</v>
      </c>
      <c r="AJ630" s="108" t="str">
        <f t="shared" si="304"/>
        <v>N/A</v>
      </c>
      <c r="AK630" s="108" t="str">
        <f t="shared" si="304"/>
        <v>N/A</v>
      </c>
      <c r="AL630" s="108" t="str">
        <f t="shared" si="304"/>
        <v>N/A</v>
      </c>
      <c r="AM630" s="108" t="str">
        <f t="shared" si="304"/>
        <v>N/A</v>
      </c>
      <c r="AN630" s="108" t="str">
        <f t="shared" si="304"/>
        <v>N/A</v>
      </c>
      <c r="AO630" s="108" t="str">
        <f t="shared" si="304"/>
        <v>N/A</v>
      </c>
      <c r="AP630" s="108" t="str">
        <f t="shared" si="304"/>
        <v>N/A</v>
      </c>
    </row>
    <row r="631" spans="1:42" x14ac:dyDescent="0.2">
      <c r="A631" s="86" t="s">
        <v>340</v>
      </c>
      <c r="B631" s="106">
        <f>IF(dscr_limit_debt_fraction="Yes",SUM(B621:AP621)/(-$B$114*dscr_maximum_debt_fraction/100)*DebtServiceCoverageRatio,B630)</f>
        <v>0</v>
      </c>
      <c r="C631" s="108" t="str">
        <f t="shared" ref="C631:AP631" si="305">IF(dscr_limit_debt_fraction="Yes",B631,C$630)</f>
        <v>N/A</v>
      </c>
      <c r="D631" s="108" t="str">
        <f t="shared" si="305"/>
        <v>N/A</v>
      </c>
      <c r="E631" s="108" t="str">
        <f t="shared" si="305"/>
        <v>N/A</v>
      </c>
      <c r="F631" s="108" t="str">
        <f t="shared" si="305"/>
        <v>N/A</v>
      </c>
      <c r="G631" s="108" t="str">
        <f t="shared" si="305"/>
        <v>N/A</v>
      </c>
      <c r="H631" s="108" t="str">
        <f t="shared" si="305"/>
        <v>N/A</v>
      </c>
      <c r="I631" s="108" t="str">
        <f t="shared" si="305"/>
        <v>N/A</v>
      </c>
      <c r="J631" s="108" t="str">
        <f t="shared" si="305"/>
        <v>N/A</v>
      </c>
      <c r="K631" s="108" t="str">
        <f t="shared" si="305"/>
        <v>N/A</v>
      </c>
      <c r="L631" s="108" t="str">
        <f t="shared" si="305"/>
        <v>N/A</v>
      </c>
      <c r="M631" s="108" t="str">
        <f t="shared" si="305"/>
        <v>N/A</v>
      </c>
      <c r="N631" s="108" t="str">
        <f t="shared" si="305"/>
        <v>N/A</v>
      </c>
      <c r="O631" s="108" t="str">
        <f t="shared" si="305"/>
        <v>N/A</v>
      </c>
      <c r="P631" s="108" t="str">
        <f t="shared" si="305"/>
        <v>N/A</v>
      </c>
      <c r="Q631" s="108" t="str">
        <f t="shared" si="305"/>
        <v>N/A</v>
      </c>
      <c r="R631" s="108" t="str">
        <f t="shared" si="305"/>
        <v>N/A</v>
      </c>
      <c r="S631" s="108" t="str">
        <f t="shared" si="305"/>
        <v>N/A</v>
      </c>
      <c r="T631" s="108" t="str">
        <f t="shared" si="305"/>
        <v>N/A</v>
      </c>
      <c r="U631" s="108" t="str">
        <f t="shared" si="305"/>
        <v>N/A</v>
      </c>
      <c r="V631" s="108" t="str">
        <f t="shared" si="305"/>
        <v>N/A</v>
      </c>
      <c r="W631" s="108" t="str">
        <f t="shared" si="305"/>
        <v>N/A</v>
      </c>
      <c r="X631" s="108" t="str">
        <f t="shared" si="305"/>
        <v>N/A</v>
      </c>
      <c r="Y631" s="108" t="str">
        <f t="shared" si="305"/>
        <v>N/A</v>
      </c>
      <c r="Z631" s="108" t="str">
        <f t="shared" si="305"/>
        <v>N/A</v>
      </c>
      <c r="AA631" s="108" t="str">
        <f t="shared" si="305"/>
        <v>N/A</v>
      </c>
      <c r="AB631" s="108" t="str">
        <f t="shared" si="305"/>
        <v>N/A</v>
      </c>
      <c r="AC631" s="108" t="str">
        <f t="shared" si="305"/>
        <v>N/A</v>
      </c>
      <c r="AD631" s="108" t="str">
        <f t="shared" si="305"/>
        <v>N/A</v>
      </c>
      <c r="AE631" s="108" t="str">
        <f t="shared" si="305"/>
        <v>N/A</v>
      </c>
      <c r="AF631" s="108" t="str">
        <f t="shared" si="305"/>
        <v>N/A</v>
      </c>
      <c r="AG631" s="108" t="str">
        <f t="shared" si="305"/>
        <v>N/A</v>
      </c>
      <c r="AH631" s="108" t="str">
        <f t="shared" si="305"/>
        <v>N/A</v>
      </c>
      <c r="AI631" s="108" t="str">
        <f t="shared" si="305"/>
        <v>N/A</v>
      </c>
      <c r="AJ631" s="108" t="str">
        <f t="shared" si="305"/>
        <v>N/A</v>
      </c>
      <c r="AK631" s="108" t="str">
        <f t="shared" si="305"/>
        <v>N/A</v>
      </c>
      <c r="AL631" s="108" t="str">
        <f t="shared" si="305"/>
        <v>N/A</v>
      </c>
      <c r="AM631" s="108" t="str">
        <f t="shared" si="305"/>
        <v>N/A</v>
      </c>
      <c r="AN631" s="108" t="str">
        <f t="shared" si="305"/>
        <v>N/A</v>
      </c>
      <c r="AO631" s="108" t="str">
        <f t="shared" si="305"/>
        <v>N/A</v>
      </c>
      <c r="AP631" s="108" t="str">
        <f t="shared" si="305"/>
        <v>N/A</v>
      </c>
    </row>
    <row r="632" spans="1:42" x14ac:dyDescent="0.2">
      <c r="A632" s="22"/>
      <c r="B632" s="176"/>
    </row>
    <row r="633" spans="1:42" x14ac:dyDescent="0.2">
      <c r="A633" s="80" t="s">
        <v>321</v>
      </c>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7"/>
      <c r="AA633" s="207"/>
      <c r="AB633" s="207"/>
      <c r="AC633" s="207"/>
      <c r="AD633" s="207"/>
      <c r="AE633" s="207"/>
      <c r="AF633" s="207"/>
      <c r="AG633" s="207"/>
      <c r="AH633" s="207"/>
      <c r="AI633" s="207"/>
      <c r="AJ633" s="207"/>
      <c r="AK633" s="207"/>
      <c r="AL633" s="207"/>
      <c r="AM633" s="207"/>
      <c r="AN633" s="207"/>
      <c r="AO633" s="207"/>
      <c r="AP633" s="207"/>
    </row>
    <row r="634" spans="1:42" x14ac:dyDescent="0.2">
      <c r="A634" s="19" t="s">
        <v>275</v>
      </c>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row>
    <row r="635" spans="1:42" x14ac:dyDescent="0.2">
      <c r="A635" s="4" t="s">
        <v>276</v>
      </c>
      <c r="B635" s="155">
        <v>0</v>
      </c>
      <c r="C635" s="155">
        <f>B638</f>
        <v>0</v>
      </c>
      <c r="D635" s="155">
        <f t="shared" ref="D635:AP635" si="306">C638</f>
        <v>0</v>
      </c>
      <c r="E635" s="155">
        <f t="shared" si="306"/>
        <v>0</v>
      </c>
      <c r="F635" s="155">
        <f t="shared" si="306"/>
        <v>0</v>
      </c>
      <c r="G635" s="155">
        <f t="shared" si="306"/>
        <v>0</v>
      </c>
      <c r="H635" s="155">
        <f t="shared" si="306"/>
        <v>0</v>
      </c>
      <c r="I635" s="155">
        <f t="shared" si="306"/>
        <v>0</v>
      </c>
      <c r="J635" s="155">
        <f t="shared" si="306"/>
        <v>0</v>
      </c>
      <c r="K635" s="155">
        <f t="shared" si="306"/>
        <v>0</v>
      </c>
      <c r="L635" s="155">
        <f t="shared" si="306"/>
        <v>0</v>
      </c>
      <c r="M635" s="155">
        <f t="shared" si="306"/>
        <v>0</v>
      </c>
      <c r="N635" s="155">
        <f t="shared" si="306"/>
        <v>0</v>
      </c>
      <c r="O635" s="155">
        <f t="shared" si="306"/>
        <v>0</v>
      </c>
      <c r="P635" s="155">
        <f t="shared" si="306"/>
        <v>0</v>
      </c>
      <c r="Q635" s="155">
        <f t="shared" si="306"/>
        <v>0</v>
      </c>
      <c r="R635" s="155">
        <f t="shared" si="306"/>
        <v>0</v>
      </c>
      <c r="S635" s="155">
        <f t="shared" si="306"/>
        <v>0</v>
      </c>
      <c r="T635" s="155">
        <f t="shared" si="306"/>
        <v>0</v>
      </c>
      <c r="U635" s="155">
        <f t="shared" si="306"/>
        <v>0</v>
      </c>
      <c r="V635" s="155">
        <f t="shared" si="306"/>
        <v>0</v>
      </c>
      <c r="W635" s="155">
        <f t="shared" si="306"/>
        <v>0</v>
      </c>
      <c r="X635" s="155">
        <f t="shared" si="306"/>
        <v>0</v>
      </c>
      <c r="Y635" s="155">
        <f t="shared" si="306"/>
        <v>0</v>
      </c>
      <c r="Z635" s="155">
        <f t="shared" si="306"/>
        <v>0</v>
      </c>
      <c r="AA635" s="155">
        <f t="shared" si="306"/>
        <v>0</v>
      </c>
      <c r="AB635" s="155">
        <f t="shared" si="306"/>
        <v>0</v>
      </c>
      <c r="AC635" s="155">
        <f t="shared" si="306"/>
        <v>0</v>
      </c>
      <c r="AD635" s="155">
        <f t="shared" si="306"/>
        <v>0</v>
      </c>
      <c r="AE635" s="155">
        <f t="shared" si="306"/>
        <v>0</v>
      </c>
      <c r="AF635" s="155">
        <f t="shared" si="306"/>
        <v>0</v>
      </c>
      <c r="AG635" s="155">
        <f t="shared" si="306"/>
        <v>0</v>
      </c>
      <c r="AH635" s="155">
        <f t="shared" si="306"/>
        <v>0</v>
      </c>
      <c r="AI635" s="155">
        <f t="shared" si="306"/>
        <v>0</v>
      </c>
      <c r="AJ635" s="155">
        <f t="shared" si="306"/>
        <v>0</v>
      </c>
      <c r="AK635" s="155">
        <f t="shared" si="306"/>
        <v>0</v>
      </c>
      <c r="AL635" s="155">
        <f t="shared" si="306"/>
        <v>0</v>
      </c>
      <c r="AM635" s="155">
        <f t="shared" si="306"/>
        <v>0</v>
      </c>
      <c r="AN635" s="155">
        <f t="shared" si="306"/>
        <v>0</v>
      </c>
      <c r="AO635" s="155">
        <f t="shared" si="306"/>
        <v>0</v>
      </c>
      <c r="AP635" s="155">
        <f t="shared" si="306"/>
        <v>0</v>
      </c>
    </row>
    <row r="636" spans="1:42" x14ac:dyDescent="0.2">
      <c r="A636" s="4" t="s">
        <v>21</v>
      </c>
      <c r="B636" s="155">
        <f t="array" ref="B636:AP636">Inputs!C204:AQ204</f>
        <v>0</v>
      </c>
      <c r="C636" s="155">
        <v>0</v>
      </c>
      <c r="D636" s="155">
        <v>0</v>
      </c>
      <c r="E636" s="155">
        <v>0</v>
      </c>
      <c r="F636" s="155">
        <v>0</v>
      </c>
      <c r="G636" s="155">
        <v>0</v>
      </c>
      <c r="H636" s="155">
        <v>0</v>
      </c>
      <c r="I636" s="155">
        <v>0</v>
      </c>
      <c r="J636" s="155">
        <v>0</v>
      </c>
      <c r="K636" s="155">
        <v>0</v>
      </c>
      <c r="L636" s="155">
        <v>0</v>
      </c>
      <c r="M636" s="155">
        <v>0</v>
      </c>
      <c r="N636" s="155">
        <v>0</v>
      </c>
      <c r="O636" s="155">
        <v>0</v>
      </c>
      <c r="P636" s="155">
        <v>0</v>
      </c>
      <c r="Q636" s="155">
        <v>0</v>
      </c>
      <c r="R636" s="155">
        <v>0</v>
      </c>
      <c r="S636" s="155">
        <v>0</v>
      </c>
      <c r="T636" s="155">
        <v>0</v>
      </c>
      <c r="U636" s="155">
        <v>0</v>
      </c>
      <c r="V636" s="155">
        <v>0</v>
      </c>
      <c r="W636" s="155">
        <v>0</v>
      </c>
      <c r="X636" s="155">
        <v>0</v>
      </c>
      <c r="Y636" s="155">
        <v>0</v>
      </c>
      <c r="Z636" s="155">
        <v>0</v>
      </c>
      <c r="AA636" s="155">
        <v>0</v>
      </c>
      <c r="AB636" s="155">
        <v>0</v>
      </c>
      <c r="AC636" s="155">
        <v>0</v>
      </c>
      <c r="AD636" s="155">
        <v>0</v>
      </c>
      <c r="AE636" s="155">
        <v>0</v>
      </c>
      <c r="AF636" s="155">
        <v>0</v>
      </c>
      <c r="AG636" s="155">
        <v>0</v>
      </c>
      <c r="AH636" s="155">
        <v>0</v>
      </c>
      <c r="AI636" s="155">
        <v>0</v>
      </c>
      <c r="AJ636" s="155">
        <v>0</v>
      </c>
      <c r="AK636" s="155">
        <v>0</v>
      </c>
      <c r="AL636" s="155">
        <v>0</v>
      </c>
      <c r="AM636" s="155">
        <v>0</v>
      </c>
      <c r="AN636" s="155">
        <v>0</v>
      </c>
      <c r="AO636" s="155">
        <v>0</v>
      </c>
      <c r="AP636" s="155">
        <v>0</v>
      </c>
    </row>
    <row r="637" spans="1:42" x14ac:dyDescent="0.2">
      <c r="A637" s="4" t="s">
        <v>277</v>
      </c>
      <c r="B637" s="156">
        <f t="array" ref="B637:AP637">Inputs!C205:AQ205</f>
        <v>0</v>
      </c>
      <c r="C637" s="156">
        <v>0</v>
      </c>
      <c r="D637" s="156">
        <v>0</v>
      </c>
      <c r="E637" s="156">
        <v>0</v>
      </c>
      <c r="F637" s="156">
        <v>0</v>
      </c>
      <c r="G637" s="156">
        <v>0</v>
      </c>
      <c r="H637" s="156">
        <v>0</v>
      </c>
      <c r="I637" s="156">
        <v>0</v>
      </c>
      <c r="J637" s="156">
        <v>0</v>
      </c>
      <c r="K637" s="156">
        <v>0</v>
      </c>
      <c r="L637" s="156">
        <v>0</v>
      </c>
      <c r="M637" s="156">
        <v>0</v>
      </c>
      <c r="N637" s="156">
        <v>0</v>
      </c>
      <c r="O637" s="156">
        <v>0</v>
      </c>
      <c r="P637" s="156">
        <v>0</v>
      </c>
      <c r="Q637" s="156">
        <v>0</v>
      </c>
      <c r="R637" s="156">
        <v>0</v>
      </c>
      <c r="S637" s="156">
        <v>0</v>
      </c>
      <c r="T637" s="156">
        <v>0</v>
      </c>
      <c r="U637" s="156">
        <v>0</v>
      </c>
      <c r="V637" s="156">
        <v>0</v>
      </c>
      <c r="W637" s="156">
        <v>0</v>
      </c>
      <c r="X637" s="156">
        <v>0</v>
      </c>
      <c r="Y637" s="156">
        <v>0</v>
      </c>
      <c r="Z637" s="156">
        <v>0</v>
      </c>
      <c r="AA637" s="156">
        <v>0</v>
      </c>
      <c r="AB637" s="156">
        <v>0</v>
      </c>
      <c r="AC637" s="156">
        <v>0</v>
      </c>
      <c r="AD637" s="156">
        <v>0</v>
      </c>
      <c r="AE637" s="156">
        <v>0</v>
      </c>
      <c r="AF637" s="156">
        <v>0</v>
      </c>
      <c r="AG637" s="156">
        <v>0</v>
      </c>
      <c r="AH637" s="156">
        <v>0</v>
      </c>
      <c r="AI637" s="156">
        <v>0</v>
      </c>
      <c r="AJ637" s="156">
        <v>0</v>
      </c>
      <c r="AK637" s="156">
        <v>0</v>
      </c>
      <c r="AL637" s="156">
        <v>0</v>
      </c>
      <c r="AM637" s="156">
        <v>0</v>
      </c>
      <c r="AN637" s="156">
        <v>0</v>
      </c>
      <c r="AO637" s="156">
        <v>0</v>
      </c>
      <c r="AP637" s="156">
        <v>0</v>
      </c>
    </row>
    <row r="638" spans="1:42" x14ac:dyDescent="0.2">
      <c r="A638" s="4" t="s">
        <v>238</v>
      </c>
      <c r="B638" s="155">
        <f t="array" ref="B638:AP638">Inputs!C206:AQ206</f>
        <v>0</v>
      </c>
      <c r="C638" s="155">
        <v>0</v>
      </c>
      <c r="D638" s="155">
        <v>0</v>
      </c>
      <c r="E638" s="155">
        <v>0</v>
      </c>
      <c r="F638" s="155">
        <v>0</v>
      </c>
      <c r="G638" s="155">
        <v>0</v>
      </c>
      <c r="H638" s="155">
        <v>0</v>
      </c>
      <c r="I638" s="155">
        <v>0</v>
      </c>
      <c r="J638" s="155">
        <v>0</v>
      </c>
      <c r="K638" s="155">
        <v>0</v>
      </c>
      <c r="L638" s="155">
        <v>0</v>
      </c>
      <c r="M638" s="155">
        <v>0</v>
      </c>
      <c r="N638" s="155">
        <v>0</v>
      </c>
      <c r="O638" s="155">
        <v>0</v>
      </c>
      <c r="P638" s="155">
        <v>0</v>
      </c>
      <c r="Q638" s="155">
        <v>0</v>
      </c>
      <c r="R638" s="155">
        <v>0</v>
      </c>
      <c r="S638" s="155">
        <v>0</v>
      </c>
      <c r="T638" s="155">
        <v>0</v>
      </c>
      <c r="U638" s="155">
        <v>0</v>
      </c>
      <c r="V638" s="155">
        <v>0</v>
      </c>
      <c r="W638" s="155">
        <v>0</v>
      </c>
      <c r="X638" s="155">
        <v>0</v>
      </c>
      <c r="Y638" s="155">
        <v>0</v>
      </c>
      <c r="Z638" s="155">
        <v>0</v>
      </c>
      <c r="AA638" s="155">
        <v>0</v>
      </c>
      <c r="AB638" s="155">
        <v>0</v>
      </c>
      <c r="AC638" s="155">
        <v>0</v>
      </c>
      <c r="AD638" s="155">
        <v>0</v>
      </c>
      <c r="AE638" s="155">
        <v>0</v>
      </c>
      <c r="AF638" s="155">
        <v>0</v>
      </c>
      <c r="AG638" s="155">
        <v>0</v>
      </c>
      <c r="AH638" s="155">
        <v>0</v>
      </c>
      <c r="AI638" s="155">
        <v>0</v>
      </c>
      <c r="AJ638" s="155">
        <v>0</v>
      </c>
      <c r="AK638" s="155">
        <v>0</v>
      </c>
      <c r="AL638" s="155">
        <v>0</v>
      </c>
      <c r="AM638" s="155">
        <v>0</v>
      </c>
      <c r="AN638" s="155">
        <v>0</v>
      </c>
      <c r="AO638" s="155">
        <v>0</v>
      </c>
      <c r="AP638" s="155">
        <v>0</v>
      </c>
    </row>
    <row r="639" spans="1:42" x14ac:dyDescent="0.2">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row>
    <row r="640" spans="1:42" x14ac:dyDescent="0.2">
      <c r="A640" s="19" t="s">
        <v>274</v>
      </c>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row>
    <row r="641" spans="1:42" x14ac:dyDescent="0.2">
      <c r="A641" s="4" t="s">
        <v>276</v>
      </c>
      <c r="B641" s="155">
        <v>0</v>
      </c>
      <c r="C641" s="155">
        <f>B644</f>
        <v>0</v>
      </c>
      <c r="D641" s="155">
        <f t="shared" ref="D641:AP641" si="307">C644</f>
        <v>0</v>
      </c>
      <c r="E641" s="155">
        <f t="shared" si="307"/>
        <v>0</v>
      </c>
      <c r="F641" s="155">
        <f t="shared" si="307"/>
        <v>0</v>
      </c>
      <c r="G641" s="155">
        <f t="shared" si="307"/>
        <v>0</v>
      </c>
      <c r="H641" s="155">
        <f t="shared" si="307"/>
        <v>0</v>
      </c>
      <c r="I641" s="155">
        <f t="shared" si="307"/>
        <v>0</v>
      </c>
      <c r="J641" s="155">
        <f t="shared" si="307"/>
        <v>0</v>
      </c>
      <c r="K641" s="155">
        <f t="shared" si="307"/>
        <v>0</v>
      </c>
      <c r="L641" s="155">
        <f t="shared" si="307"/>
        <v>0</v>
      </c>
      <c r="M641" s="155">
        <f t="shared" si="307"/>
        <v>0</v>
      </c>
      <c r="N641" s="155">
        <f t="shared" si="307"/>
        <v>0</v>
      </c>
      <c r="O641" s="155">
        <f t="shared" si="307"/>
        <v>0</v>
      </c>
      <c r="P641" s="155">
        <f t="shared" si="307"/>
        <v>0</v>
      </c>
      <c r="Q641" s="155">
        <f t="shared" si="307"/>
        <v>0</v>
      </c>
      <c r="R641" s="155">
        <f t="shared" si="307"/>
        <v>0</v>
      </c>
      <c r="S641" s="155">
        <f t="shared" si="307"/>
        <v>0</v>
      </c>
      <c r="T641" s="155">
        <f t="shared" si="307"/>
        <v>0</v>
      </c>
      <c r="U641" s="155">
        <f t="shared" si="307"/>
        <v>0</v>
      </c>
      <c r="V641" s="155">
        <f t="shared" si="307"/>
        <v>0</v>
      </c>
      <c r="W641" s="155">
        <f t="shared" si="307"/>
        <v>0</v>
      </c>
      <c r="X641" s="155">
        <f t="shared" si="307"/>
        <v>0</v>
      </c>
      <c r="Y641" s="155">
        <f t="shared" si="307"/>
        <v>0</v>
      </c>
      <c r="Z641" s="155">
        <f t="shared" si="307"/>
        <v>0</v>
      </c>
      <c r="AA641" s="155">
        <f t="shared" si="307"/>
        <v>0</v>
      </c>
      <c r="AB641" s="155">
        <f t="shared" si="307"/>
        <v>0</v>
      </c>
      <c r="AC641" s="155">
        <f t="shared" si="307"/>
        <v>0</v>
      </c>
      <c r="AD641" s="155">
        <f t="shared" si="307"/>
        <v>0</v>
      </c>
      <c r="AE641" s="155">
        <f t="shared" si="307"/>
        <v>0</v>
      </c>
      <c r="AF641" s="155">
        <f t="shared" si="307"/>
        <v>0</v>
      </c>
      <c r="AG641" s="155">
        <f t="shared" si="307"/>
        <v>0</v>
      </c>
      <c r="AH641" s="155">
        <f t="shared" si="307"/>
        <v>0</v>
      </c>
      <c r="AI641" s="155">
        <f t="shared" si="307"/>
        <v>0</v>
      </c>
      <c r="AJ641" s="155">
        <f t="shared" si="307"/>
        <v>0</v>
      </c>
      <c r="AK641" s="155">
        <f t="shared" si="307"/>
        <v>0</v>
      </c>
      <c r="AL641" s="155">
        <f t="shared" si="307"/>
        <v>0</v>
      </c>
      <c r="AM641" s="155">
        <f t="shared" si="307"/>
        <v>0</v>
      </c>
      <c r="AN641" s="155">
        <f t="shared" si="307"/>
        <v>0</v>
      </c>
      <c r="AO641" s="155">
        <f t="shared" si="307"/>
        <v>0</v>
      </c>
      <c r="AP641" s="155">
        <f t="shared" si="307"/>
        <v>0</v>
      </c>
    </row>
    <row r="642" spans="1:42" x14ac:dyDescent="0.2">
      <c r="A642" s="4" t="s">
        <v>21</v>
      </c>
      <c r="B642" s="155">
        <f t="shared" ref="B642:AP642" si="308">IF(B$2&lt;analysis_period,B644-B641,0)</f>
        <v>0</v>
      </c>
      <c r="C642" s="155">
        <f t="shared" si="308"/>
        <v>0</v>
      </c>
      <c r="D642" s="155">
        <f t="shared" si="308"/>
        <v>0</v>
      </c>
      <c r="E642" s="155">
        <f t="shared" si="308"/>
        <v>0</v>
      </c>
      <c r="F642" s="155">
        <f t="shared" si="308"/>
        <v>0</v>
      </c>
      <c r="G642" s="155">
        <f t="shared" si="308"/>
        <v>0</v>
      </c>
      <c r="H642" s="155">
        <f t="shared" si="308"/>
        <v>0</v>
      </c>
      <c r="I642" s="155">
        <f t="shared" si="308"/>
        <v>0</v>
      </c>
      <c r="J642" s="155">
        <f t="shared" si="308"/>
        <v>0</v>
      </c>
      <c r="K642" s="155">
        <f t="shared" si="308"/>
        <v>0</v>
      </c>
      <c r="L642" s="155">
        <f t="shared" si="308"/>
        <v>0</v>
      </c>
      <c r="M642" s="155">
        <f t="shared" si="308"/>
        <v>0</v>
      </c>
      <c r="N642" s="155">
        <f t="shared" si="308"/>
        <v>0</v>
      </c>
      <c r="O642" s="155">
        <f t="shared" si="308"/>
        <v>0</v>
      </c>
      <c r="P642" s="155">
        <f t="shared" si="308"/>
        <v>0</v>
      </c>
      <c r="Q642" s="155">
        <f t="shared" si="308"/>
        <v>0</v>
      </c>
      <c r="R642" s="155">
        <f t="shared" si="308"/>
        <v>0</v>
      </c>
      <c r="S642" s="155">
        <f t="shared" si="308"/>
        <v>0</v>
      </c>
      <c r="T642" s="155">
        <f t="shared" si="308"/>
        <v>0</v>
      </c>
      <c r="U642" s="155">
        <f t="shared" si="308"/>
        <v>0</v>
      </c>
      <c r="V642" s="155">
        <f t="shared" si="308"/>
        <v>0</v>
      </c>
      <c r="W642" s="155">
        <f t="shared" si="308"/>
        <v>0</v>
      </c>
      <c r="X642" s="155">
        <f t="shared" si="308"/>
        <v>0</v>
      </c>
      <c r="Y642" s="155">
        <f t="shared" si="308"/>
        <v>0</v>
      </c>
      <c r="Z642" s="155">
        <f t="shared" si="308"/>
        <v>0</v>
      </c>
      <c r="AA642" s="155">
        <f t="shared" si="308"/>
        <v>0</v>
      </c>
      <c r="AB642" s="155">
        <f t="shared" si="308"/>
        <v>0</v>
      </c>
      <c r="AC642" s="155">
        <f t="shared" si="308"/>
        <v>0</v>
      </c>
      <c r="AD642" s="155">
        <f t="shared" si="308"/>
        <v>0</v>
      </c>
      <c r="AE642" s="155">
        <f t="shared" si="308"/>
        <v>0</v>
      </c>
      <c r="AF642" s="155">
        <f t="shared" si="308"/>
        <v>0</v>
      </c>
      <c r="AG642" s="155">
        <f t="shared" si="308"/>
        <v>0</v>
      </c>
      <c r="AH642" s="155">
        <f t="shared" si="308"/>
        <v>0</v>
      </c>
      <c r="AI642" s="155">
        <f t="shared" si="308"/>
        <v>0</v>
      </c>
      <c r="AJ642" s="155">
        <f t="shared" si="308"/>
        <v>0</v>
      </c>
      <c r="AK642" s="155">
        <f t="shared" si="308"/>
        <v>0</v>
      </c>
      <c r="AL642" s="155">
        <f t="shared" si="308"/>
        <v>0</v>
      </c>
      <c r="AM642" s="155">
        <f t="shared" si="308"/>
        <v>0</v>
      </c>
      <c r="AN642" s="155">
        <f t="shared" si="308"/>
        <v>0</v>
      </c>
      <c r="AO642" s="155">
        <f t="shared" si="308"/>
        <v>0</v>
      </c>
      <c r="AP642" s="155">
        <f t="shared" si="308"/>
        <v>0</v>
      </c>
    </row>
    <row r="643" spans="1:42" x14ac:dyDescent="0.2">
      <c r="A643" s="4" t="s">
        <v>277</v>
      </c>
      <c r="B643" s="156">
        <v>0</v>
      </c>
      <c r="C643" s="156">
        <f t="shared" ref="C643:AP643" si="309">IF(C$2=analysis_period,-C641,0)</f>
        <v>0</v>
      </c>
      <c r="D643" s="156">
        <f t="shared" si="309"/>
        <v>0</v>
      </c>
      <c r="E643" s="156">
        <f t="shared" si="309"/>
        <v>0</v>
      </c>
      <c r="F643" s="156">
        <f t="shared" si="309"/>
        <v>0</v>
      </c>
      <c r="G643" s="156">
        <f t="shared" si="309"/>
        <v>0</v>
      </c>
      <c r="H643" s="156">
        <f t="shared" si="309"/>
        <v>0</v>
      </c>
      <c r="I643" s="156">
        <f t="shared" si="309"/>
        <v>0</v>
      </c>
      <c r="J643" s="156">
        <f t="shared" si="309"/>
        <v>0</v>
      </c>
      <c r="K643" s="156">
        <f t="shared" si="309"/>
        <v>0</v>
      </c>
      <c r="L643" s="156">
        <f t="shared" si="309"/>
        <v>0</v>
      </c>
      <c r="M643" s="156">
        <f t="shared" si="309"/>
        <v>0</v>
      </c>
      <c r="N643" s="156">
        <f t="shared" si="309"/>
        <v>0</v>
      </c>
      <c r="O643" s="156">
        <f t="shared" si="309"/>
        <v>0</v>
      </c>
      <c r="P643" s="156">
        <f t="shared" si="309"/>
        <v>0</v>
      </c>
      <c r="Q643" s="156">
        <f t="shared" si="309"/>
        <v>0</v>
      </c>
      <c r="R643" s="156">
        <f t="shared" si="309"/>
        <v>0</v>
      </c>
      <c r="S643" s="156">
        <f t="shared" si="309"/>
        <v>0</v>
      </c>
      <c r="T643" s="156">
        <f t="shared" si="309"/>
        <v>0</v>
      </c>
      <c r="U643" s="156">
        <f t="shared" si="309"/>
        <v>0</v>
      </c>
      <c r="V643" s="156">
        <f t="shared" si="309"/>
        <v>0</v>
      </c>
      <c r="W643" s="156">
        <f t="shared" si="309"/>
        <v>0</v>
      </c>
      <c r="X643" s="156">
        <f t="shared" si="309"/>
        <v>0</v>
      </c>
      <c r="Y643" s="156">
        <f t="shared" si="309"/>
        <v>0</v>
      </c>
      <c r="Z643" s="156">
        <f t="shared" si="309"/>
        <v>0</v>
      </c>
      <c r="AA643" s="156">
        <f t="shared" si="309"/>
        <v>0</v>
      </c>
      <c r="AB643" s="156">
        <f t="shared" si="309"/>
        <v>0</v>
      </c>
      <c r="AC643" s="156">
        <f t="shared" si="309"/>
        <v>0</v>
      </c>
      <c r="AD643" s="156">
        <f t="shared" si="309"/>
        <v>0</v>
      </c>
      <c r="AE643" s="156">
        <f t="shared" si="309"/>
        <v>0</v>
      </c>
      <c r="AF643" s="156">
        <f t="shared" si="309"/>
        <v>0</v>
      </c>
      <c r="AG643" s="156">
        <f t="shared" si="309"/>
        <v>0</v>
      </c>
      <c r="AH643" s="156">
        <f t="shared" si="309"/>
        <v>0</v>
      </c>
      <c r="AI643" s="156">
        <f t="shared" si="309"/>
        <v>0</v>
      </c>
      <c r="AJ643" s="156">
        <f t="shared" si="309"/>
        <v>0</v>
      </c>
      <c r="AK643" s="156">
        <f t="shared" si="309"/>
        <v>0</v>
      </c>
      <c r="AL643" s="156">
        <f t="shared" si="309"/>
        <v>0</v>
      </c>
      <c r="AM643" s="156">
        <f t="shared" si="309"/>
        <v>0</v>
      </c>
      <c r="AN643" s="156">
        <f t="shared" si="309"/>
        <v>0</v>
      </c>
      <c r="AO643" s="156">
        <f t="shared" si="309"/>
        <v>0</v>
      </c>
      <c r="AP643" s="156">
        <f t="shared" si="309"/>
        <v>0</v>
      </c>
    </row>
    <row r="644" spans="1:42" x14ac:dyDescent="0.2">
      <c r="A644" s="4" t="s">
        <v>238</v>
      </c>
      <c r="B644" s="155">
        <f t="shared" ref="B644:AP644" si="310">C$74*(months_working_reserve/12)</f>
        <v>0</v>
      </c>
      <c r="C644" s="155">
        <f t="shared" si="310"/>
        <v>0</v>
      </c>
      <c r="D644" s="155">
        <f t="shared" si="310"/>
        <v>0</v>
      </c>
      <c r="E644" s="155">
        <f t="shared" si="310"/>
        <v>0</v>
      </c>
      <c r="F644" s="155">
        <f t="shared" si="310"/>
        <v>0</v>
      </c>
      <c r="G644" s="155">
        <f t="shared" si="310"/>
        <v>0</v>
      </c>
      <c r="H644" s="155">
        <f t="shared" si="310"/>
        <v>0</v>
      </c>
      <c r="I644" s="155">
        <f t="shared" si="310"/>
        <v>0</v>
      </c>
      <c r="J644" s="155">
        <f t="shared" si="310"/>
        <v>0</v>
      </c>
      <c r="K644" s="155">
        <f t="shared" si="310"/>
        <v>0</v>
      </c>
      <c r="L644" s="155">
        <f t="shared" si="310"/>
        <v>0</v>
      </c>
      <c r="M644" s="155">
        <f t="shared" si="310"/>
        <v>0</v>
      </c>
      <c r="N644" s="155">
        <f t="shared" si="310"/>
        <v>0</v>
      </c>
      <c r="O644" s="155">
        <f t="shared" si="310"/>
        <v>0</v>
      </c>
      <c r="P644" s="155">
        <f t="shared" si="310"/>
        <v>0</v>
      </c>
      <c r="Q644" s="155">
        <f t="shared" si="310"/>
        <v>0</v>
      </c>
      <c r="R644" s="155">
        <f t="shared" si="310"/>
        <v>0</v>
      </c>
      <c r="S644" s="155">
        <f t="shared" si="310"/>
        <v>0</v>
      </c>
      <c r="T644" s="155">
        <f t="shared" si="310"/>
        <v>0</v>
      </c>
      <c r="U644" s="155">
        <f t="shared" si="310"/>
        <v>0</v>
      </c>
      <c r="V644" s="155">
        <f t="shared" si="310"/>
        <v>0</v>
      </c>
      <c r="W644" s="155">
        <f t="shared" si="310"/>
        <v>0</v>
      </c>
      <c r="X644" s="155">
        <f t="shared" si="310"/>
        <v>0</v>
      </c>
      <c r="Y644" s="155">
        <f t="shared" si="310"/>
        <v>0</v>
      </c>
      <c r="Z644" s="155">
        <f t="shared" si="310"/>
        <v>0</v>
      </c>
      <c r="AA644" s="155">
        <f t="shared" si="310"/>
        <v>0</v>
      </c>
      <c r="AB644" s="155">
        <f t="shared" si="310"/>
        <v>0</v>
      </c>
      <c r="AC644" s="155">
        <f t="shared" si="310"/>
        <v>0</v>
      </c>
      <c r="AD644" s="155">
        <f t="shared" si="310"/>
        <v>0</v>
      </c>
      <c r="AE644" s="155">
        <f t="shared" si="310"/>
        <v>0</v>
      </c>
      <c r="AF644" s="155">
        <f t="shared" si="310"/>
        <v>0</v>
      </c>
      <c r="AG644" s="155">
        <f t="shared" si="310"/>
        <v>0</v>
      </c>
      <c r="AH644" s="155">
        <f t="shared" si="310"/>
        <v>0</v>
      </c>
      <c r="AI644" s="155">
        <f t="shared" si="310"/>
        <v>0</v>
      </c>
      <c r="AJ644" s="155">
        <f t="shared" si="310"/>
        <v>0</v>
      </c>
      <c r="AK644" s="155">
        <f t="shared" si="310"/>
        <v>0</v>
      </c>
      <c r="AL644" s="155">
        <f t="shared" si="310"/>
        <v>0</v>
      </c>
      <c r="AM644" s="155">
        <f t="shared" si="310"/>
        <v>0</v>
      </c>
      <c r="AN644" s="155">
        <f t="shared" si="310"/>
        <v>0</v>
      </c>
      <c r="AO644" s="155">
        <f t="shared" si="310"/>
        <v>0</v>
      </c>
      <c r="AP644" s="155">
        <f t="shared" si="310"/>
        <v>0</v>
      </c>
    </row>
    <row r="645" spans="1:42" x14ac:dyDescent="0.2">
      <c r="B645" s="155"/>
      <c r="C645" s="155"/>
      <c r="D645" s="155"/>
      <c r="E645" s="155"/>
      <c r="F645" s="155"/>
      <c r="G645" s="155"/>
      <c r="H645" s="155"/>
      <c r="I645" s="155"/>
      <c r="J645" s="155"/>
      <c r="K645" s="155"/>
      <c r="L645" s="155"/>
      <c r="M645" s="155"/>
      <c r="N645" s="155"/>
      <c r="O645" s="155"/>
      <c r="P645" s="155"/>
      <c r="Q645" s="155"/>
      <c r="R645" s="155"/>
      <c r="S645" s="155"/>
      <c r="T645" s="155"/>
      <c r="U645" s="155"/>
      <c r="V645" s="155"/>
      <c r="W645" s="155"/>
      <c r="X645" s="155"/>
      <c r="Y645" s="155"/>
      <c r="Z645" s="155"/>
      <c r="AA645" s="155"/>
      <c r="AB645" s="155"/>
      <c r="AC645" s="155"/>
      <c r="AD645" s="155"/>
      <c r="AE645" s="155"/>
      <c r="AF645" s="155"/>
      <c r="AG645" s="155"/>
      <c r="AH645" s="155"/>
      <c r="AI645" s="155"/>
      <c r="AJ645" s="155"/>
      <c r="AK645" s="155"/>
      <c r="AL645" s="155"/>
      <c r="AM645" s="155"/>
      <c r="AN645" s="155"/>
      <c r="AO645" s="155"/>
      <c r="AP645" s="155"/>
    </row>
    <row r="646" spans="1:42" x14ac:dyDescent="0.2">
      <c r="A646" s="19" t="s">
        <v>286</v>
      </c>
      <c r="B646" s="155"/>
      <c r="C646" s="155"/>
      <c r="D646" s="155"/>
      <c r="E646" s="155"/>
      <c r="F646" s="155"/>
      <c r="G646" s="155"/>
      <c r="H646" s="155"/>
      <c r="I646" s="155"/>
      <c r="J646" s="155"/>
      <c r="K646" s="155"/>
      <c r="L646" s="155"/>
      <c r="M646" s="155"/>
      <c r="N646" s="155"/>
      <c r="O646" s="155"/>
      <c r="P646" s="155"/>
      <c r="Q646" s="155"/>
      <c r="R646" s="155"/>
      <c r="S646" s="155"/>
      <c r="T646" s="155"/>
      <c r="U646" s="155"/>
      <c r="V646" s="155"/>
      <c r="W646" s="155"/>
      <c r="X646" s="155"/>
      <c r="Y646" s="155"/>
      <c r="Z646" s="155"/>
      <c r="AA646" s="155"/>
      <c r="AB646" s="155"/>
      <c r="AC646" s="155"/>
      <c r="AD646" s="155"/>
      <c r="AE646" s="155"/>
      <c r="AF646" s="155"/>
      <c r="AG646" s="155"/>
      <c r="AH646" s="155"/>
      <c r="AI646" s="155"/>
      <c r="AJ646" s="155"/>
      <c r="AK646" s="155"/>
      <c r="AL646" s="155"/>
      <c r="AM646" s="155"/>
      <c r="AN646" s="155"/>
      <c r="AO646" s="155"/>
      <c r="AP646" s="155"/>
    </row>
    <row r="647" spans="1:42" x14ac:dyDescent="0.2">
      <c r="A647" s="4" t="s">
        <v>276</v>
      </c>
      <c r="B647" s="155">
        <v>0</v>
      </c>
      <c r="C647" s="155">
        <f>B650</f>
        <v>0</v>
      </c>
      <c r="D647" s="155">
        <f t="shared" ref="D647" si="311">C650</f>
        <v>0</v>
      </c>
      <c r="E647" s="155">
        <f t="shared" ref="E647" si="312">D650</f>
        <v>0</v>
      </c>
      <c r="F647" s="155">
        <f t="shared" ref="F647" si="313">E650</f>
        <v>0</v>
      </c>
      <c r="G647" s="155">
        <f t="shared" ref="G647" si="314">F650</f>
        <v>0</v>
      </c>
      <c r="H647" s="155">
        <f t="shared" ref="H647" si="315">G650</f>
        <v>0</v>
      </c>
      <c r="I647" s="155">
        <f t="shared" ref="I647" si="316">H650</f>
        <v>0</v>
      </c>
      <c r="J647" s="155">
        <f t="shared" ref="J647" si="317">I650</f>
        <v>0</v>
      </c>
      <c r="K647" s="155">
        <f t="shared" ref="K647" si="318">J650</f>
        <v>0</v>
      </c>
      <c r="L647" s="155">
        <f t="shared" ref="L647" si="319">K650</f>
        <v>0</v>
      </c>
      <c r="M647" s="155">
        <f t="shared" ref="M647" si="320">L650</f>
        <v>0</v>
      </c>
      <c r="N647" s="155">
        <f t="shared" ref="N647" si="321">M650</f>
        <v>0</v>
      </c>
      <c r="O647" s="155">
        <f t="shared" ref="O647" si="322">N650</f>
        <v>0</v>
      </c>
      <c r="P647" s="155">
        <f t="shared" ref="P647" si="323">O650</f>
        <v>0</v>
      </c>
      <c r="Q647" s="155">
        <f t="shared" ref="Q647" si="324">P650</f>
        <v>0</v>
      </c>
      <c r="R647" s="155">
        <f t="shared" ref="R647" si="325">Q650</f>
        <v>0</v>
      </c>
      <c r="S647" s="155">
        <f t="shared" ref="S647" si="326">R650</f>
        <v>0</v>
      </c>
      <c r="T647" s="155">
        <f t="shared" ref="T647" si="327">S650</f>
        <v>0</v>
      </c>
      <c r="U647" s="155">
        <f t="shared" ref="U647" si="328">T650</f>
        <v>0</v>
      </c>
      <c r="V647" s="155">
        <f t="shared" ref="V647" si="329">U650</f>
        <v>0</v>
      </c>
      <c r="W647" s="155">
        <f t="shared" ref="W647" si="330">V650</f>
        <v>0</v>
      </c>
      <c r="X647" s="155">
        <f t="shared" ref="X647" si="331">W650</f>
        <v>0</v>
      </c>
      <c r="Y647" s="155">
        <f t="shared" ref="Y647" si="332">X650</f>
        <v>0</v>
      </c>
      <c r="Z647" s="155">
        <f t="shared" ref="Z647" si="333">Y650</f>
        <v>0</v>
      </c>
      <c r="AA647" s="155">
        <f t="shared" ref="AA647" si="334">Z650</f>
        <v>0</v>
      </c>
      <c r="AB647" s="155">
        <f t="shared" ref="AB647" si="335">AA650</f>
        <v>0</v>
      </c>
      <c r="AC647" s="155">
        <f t="shared" ref="AC647" si="336">AB650</f>
        <v>0</v>
      </c>
      <c r="AD647" s="155">
        <f t="shared" ref="AD647" si="337">AC650</f>
        <v>0</v>
      </c>
      <c r="AE647" s="155">
        <f t="shared" ref="AE647" si="338">AD650</f>
        <v>0</v>
      </c>
      <c r="AF647" s="155">
        <f t="shared" ref="AF647" si="339">AE650</f>
        <v>0</v>
      </c>
      <c r="AG647" s="155">
        <f t="shared" ref="AG647" si="340">AF650</f>
        <v>0</v>
      </c>
      <c r="AH647" s="155">
        <f t="shared" ref="AH647" si="341">AG650</f>
        <v>0</v>
      </c>
      <c r="AI647" s="155">
        <f t="shared" ref="AI647" si="342">AH650</f>
        <v>0</v>
      </c>
      <c r="AJ647" s="155">
        <f t="shared" ref="AJ647" si="343">AI650</f>
        <v>0</v>
      </c>
      <c r="AK647" s="155">
        <f t="shared" ref="AK647" si="344">AJ650</f>
        <v>0</v>
      </c>
      <c r="AL647" s="155">
        <f t="shared" ref="AL647" si="345">AK650</f>
        <v>0</v>
      </c>
      <c r="AM647" s="155">
        <f t="shared" ref="AM647" si="346">AL650</f>
        <v>0</v>
      </c>
      <c r="AN647" s="155">
        <f t="shared" ref="AN647" si="347">AM650</f>
        <v>0</v>
      </c>
      <c r="AO647" s="155">
        <f t="shared" ref="AO647" si="348">AN650</f>
        <v>0</v>
      </c>
      <c r="AP647" s="155">
        <f t="shared" ref="AP647" si="349">AO650</f>
        <v>0</v>
      </c>
    </row>
    <row r="648" spans="1:42" x14ac:dyDescent="0.2">
      <c r="A648" s="4" t="s">
        <v>21</v>
      </c>
      <c r="B648" s="155">
        <f t="shared" ref="B648:AP648" si="350">IF(B$2&lt;analysis_period,B650-B647,0)</f>
        <v>0</v>
      </c>
      <c r="C648" s="155">
        <f t="shared" si="350"/>
        <v>0</v>
      </c>
      <c r="D648" s="155">
        <f t="shared" si="350"/>
        <v>0</v>
      </c>
      <c r="E648" s="155">
        <f t="shared" si="350"/>
        <v>0</v>
      </c>
      <c r="F648" s="155">
        <f t="shared" si="350"/>
        <v>0</v>
      </c>
      <c r="G648" s="155">
        <f t="shared" si="350"/>
        <v>0</v>
      </c>
      <c r="H648" s="155">
        <f t="shared" si="350"/>
        <v>0</v>
      </c>
      <c r="I648" s="155">
        <f t="shared" si="350"/>
        <v>0</v>
      </c>
      <c r="J648" s="155">
        <f t="shared" si="350"/>
        <v>0</v>
      </c>
      <c r="K648" s="155">
        <f t="shared" si="350"/>
        <v>0</v>
      </c>
      <c r="L648" s="155">
        <f t="shared" si="350"/>
        <v>0</v>
      </c>
      <c r="M648" s="155">
        <f t="shared" si="350"/>
        <v>0</v>
      </c>
      <c r="N648" s="155">
        <f t="shared" si="350"/>
        <v>0</v>
      </c>
      <c r="O648" s="155">
        <f t="shared" si="350"/>
        <v>0</v>
      </c>
      <c r="P648" s="155">
        <f t="shared" si="350"/>
        <v>0</v>
      </c>
      <c r="Q648" s="155">
        <f t="shared" si="350"/>
        <v>0</v>
      </c>
      <c r="R648" s="155">
        <f t="shared" si="350"/>
        <v>0</v>
      </c>
      <c r="S648" s="155">
        <f t="shared" si="350"/>
        <v>0</v>
      </c>
      <c r="T648" s="155">
        <f t="shared" si="350"/>
        <v>0</v>
      </c>
      <c r="U648" s="155">
        <f t="shared" si="350"/>
        <v>0</v>
      </c>
      <c r="V648" s="155">
        <f t="shared" si="350"/>
        <v>0</v>
      </c>
      <c r="W648" s="155">
        <f t="shared" si="350"/>
        <v>0</v>
      </c>
      <c r="X648" s="155">
        <f t="shared" si="350"/>
        <v>0</v>
      </c>
      <c r="Y648" s="155">
        <f t="shared" si="350"/>
        <v>0</v>
      </c>
      <c r="Z648" s="155">
        <f t="shared" si="350"/>
        <v>0</v>
      </c>
      <c r="AA648" s="155">
        <f t="shared" si="350"/>
        <v>0</v>
      </c>
      <c r="AB648" s="155">
        <f t="shared" si="350"/>
        <v>0</v>
      </c>
      <c r="AC648" s="155">
        <f t="shared" si="350"/>
        <v>0</v>
      </c>
      <c r="AD648" s="155">
        <f t="shared" si="350"/>
        <v>0</v>
      </c>
      <c r="AE648" s="155">
        <f t="shared" si="350"/>
        <v>0</v>
      </c>
      <c r="AF648" s="155">
        <f t="shared" si="350"/>
        <v>0</v>
      </c>
      <c r="AG648" s="155">
        <f t="shared" si="350"/>
        <v>0</v>
      </c>
      <c r="AH648" s="155">
        <f t="shared" si="350"/>
        <v>0</v>
      </c>
      <c r="AI648" s="155">
        <f t="shared" si="350"/>
        <v>0</v>
      </c>
      <c r="AJ648" s="155">
        <f t="shared" si="350"/>
        <v>0</v>
      </c>
      <c r="AK648" s="155">
        <f t="shared" si="350"/>
        <v>0</v>
      </c>
      <c r="AL648" s="155">
        <f t="shared" si="350"/>
        <v>0</v>
      </c>
      <c r="AM648" s="155">
        <f t="shared" si="350"/>
        <v>0</v>
      </c>
      <c r="AN648" s="155">
        <f t="shared" si="350"/>
        <v>0</v>
      </c>
      <c r="AO648" s="155">
        <f t="shared" si="350"/>
        <v>0</v>
      </c>
      <c r="AP648" s="155">
        <f t="shared" si="350"/>
        <v>0</v>
      </c>
    </row>
    <row r="649" spans="1:42" x14ac:dyDescent="0.2">
      <c r="A649" s="4" t="s">
        <v>277</v>
      </c>
      <c r="B649" s="156">
        <v>0</v>
      </c>
      <c r="C649" s="156">
        <f t="shared" ref="C649:AP649" si="351">IF(C$2=analysis_period,-C647,0)</f>
        <v>0</v>
      </c>
      <c r="D649" s="156">
        <f t="shared" si="351"/>
        <v>0</v>
      </c>
      <c r="E649" s="156">
        <f t="shared" si="351"/>
        <v>0</v>
      </c>
      <c r="F649" s="156">
        <f t="shared" si="351"/>
        <v>0</v>
      </c>
      <c r="G649" s="156">
        <f t="shared" si="351"/>
        <v>0</v>
      </c>
      <c r="H649" s="156">
        <f t="shared" si="351"/>
        <v>0</v>
      </c>
      <c r="I649" s="156">
        <f t="shared" si="351"/>
        <v>0</v>
      </c>
      <c r="J649" s="156">
        <f t="shared" si="351"/>
        <v>0</v>
      </c>
      <c r="K649" s="156">
        <f t="shared" si="351"/>
        <v>0</v>
      </c>
      <c r="L649" s="156">
        <f t="shared" si="351"/>
        <v>0</v>
      </c>
      <c r="M649" s="156">
        <f t="shared" si="351"/>
        <v>0</v>
      </c>
      <c r="N649" s="156">
        <f t="shared" si="351"/>
        <v>0</v>
      </c>
      <c r="O649" s="156">
        <f t="shared" si="351"/>
        <v>0</v>
      </c>
      <c r="P649" s="156">
        <f t="shared" si="351"/>
        <v>0</v>
      </c>
      <c r="Q649" s="156">
        <f t="shared" si="351"/>
        <v>0</v>
      </c>
      <c r="R649" s="156">
        <f t="shared" si="351"/>
        <v>0</v>
      </c>
      <c r="S649" s="156">
        <f t="shared" si="351"/>
        <v>0</v>
      </c>
      <c r="T649" s="156">
        <f t="shared" si="351"/>
        <v>0</v>
      </c>
      <c r="U649" s="156">
        <f t="shared" si="351"/>
        <v>0</v>
      </c>
      <c r="V649" s="156">
        <f t="shared" si="351"/>
        <v>0</v>
      </c>
      <c r="W649" s="156">
        <f t="shared" si="351"/>
        <v>0</v>
      </c>
      <c r="X649" s="156">
        <f t="shared" si="351"/>
        <v>0</v>
      </c>
      <c r="Y649" s="156">
        <f t="shared" si="351"/>
        <v>0</v>
      </c>
      <c r="Z649" s="156">
        <f t="shared" si="351"/>
        <v>0</v>
      </c>
      <c r="AA649" s="156">
        <f t="shared" si="351"/>
        <v>0</v>
      </c>
      <c r="AB649" s="156">
        <f t="shared" si="351"/>
        <v>0</v>
      </c>
      <c r="AC649" s="156">
        <f t="shared" si="351"/>
        <v>0</v>
      </c>
      <c r="AD649" s="156">
        <f t="shared" si="351"/>
        <v>0</v>
      </c>
      <c r="AE649" s="156">
        <f t="shared" si="351"/>
        <v>0</v>
      </c>
      <c r="AF649" s="156">
        <f t="shared" si="351"/>
        <v>0</v>
      </c>
      <c r="AG649" s="156">
        <f t="shared" si="351"/>
        <v>0</v>
      </c>
      <c r="AH649" s="156">
        <f t="shared" si="351"/>
        <v>0</v>
      </c>
      <c r="AI649" s="156">
        <f t="shared" si="351"/>
        <v>0</v>
      </c>
      <c r="AJ649" s="156">
        <f t="shared" si="351"/>
        <v>0</v>
      </c>
      <c r="AK649" s="156">
        <f t="shared" si="351"/>
        <v>0</v>
      </c>
      <c r="AL649" s="156">
        <f t="shared" si="351"/>
        <v>0</v>
      </c>
      <c r="AM649" s="156">
        <f t="shared" si="351"/>
        <v>0</v>
      </c>
      <c r="AN649" s="156">
        <f t="shared" si="351"/>
        <v>0</v>
      </c>
      <c r="AO649" s="156">
        <f t="shared" si="351"/>
        <v>0</v>
      </c>
      <c r="AP649" s="156">
        <f t="shared" si="351"/>
        <v>0</v>
      </c>
    </row>
    <row r="650" spans="1:42" x14ac:dyDescent="0.2">
      <c r="A650" s="4" t="s">
        <v>238</v>
      </c>
      <c r="B650" s="155">
        <f t="shared" ref="B650:AP650" si="352">(months_receivables_reserve/12)*SUM(C29,C31:C33)</f>
        <v>0</v>
      </c>
      <c r="C650" s="155">
        <f t="shared" si="352"/>
        <v>0</v>
      </c>
      <c r="D650" s="155">
        <f t="shared" si="352"/>
        <v>0</v>
      </c>
      <c r="E650" s="155">
        <f t="shared" si="352"/>
        <v>0</v>
      </c>
      <c r="F650" s="155">
        <f t="shared" si="352"/>
        <v>0</v>
      </c>
      <c r="G650" s="155">
        <f t="shared" si="352"/>
        <v>0</v>
      </c>
      <c r="H650" s="155">
        <f t="shared" si="352"/>
        <v>0</v>
      </c>
      <c r="I650" s="155">
        <f t="shared" si="352"/>
        <v>0</v>
      </c>
      <c r="J650" s="155">
        <f t="shared" si="352"/>
        <v>0</v>
      </c>
      <c r="K650" s="155">
        <f t="shared" si="352"/>
        <v>0</v>
      </c>
      <c r="L650" s="155">
        <f t="shared" si="352"/>
        <v>0</v>
      </c>
      <c r="M650" s="155">
        <f t="shared" si="352"/>
        <v>0</v>
      </c>
      <c r="N650" s="155">
        <f t="shared" si="352"/>
        <v>0</v>
      </c>
      <c r="O650" s="155">
        <f t="shared" si="352"/>
        <v>0</v>
      </c>
      <c r="P650" s="155">
        <f t="shared" si="352"/>
        <v>0</v>
      </c>
      <c r="Q650" s="155">
        <f t="shared" si="352"/>
        <v>0</v>
      </c>
      <c r="R650" s="155">
        <f t="shared" si="352"/>
        <v>0</v>
      </c>
      <c r="S650" s="155">
        <f t="shared" si="352"/>
        <v>0</v>
      </c>
      <c r="T650" s="155">
        <f t="shared" si="352"/>
        <v>0</v>
      </c>
      <c r="U650" s="155">
        <f t="shared" si="352"/>
        <v>0</v>
      </c>
      <c r="V650" s="155">
        <f t="shared" si="352"/>
        <v>0</v>
      </c>
      <c r="W650" s="155">
        <f t="shared" si="352"/>
        <v>0</v>
      </c>
      <c r="X650" s="155">
        <f t="shared" si="352"/>
        <v>0</v>
      </c>
      <c r="Y650" s="155">
        <f t="shared" si="352"/>
        <v>0</v>
      </c>
      <c r="Z650" s="155">
        <f t="shared" si="352"/>
        <v>0</v>
      </c>
      <c r="AA650" s="155">
        <f t="shared" si="352"/>
        <v>0</v>
      </c>
      <c r="AB650" s="155">
        <f t="shared" si="352"/>
        <v>0</v>
      </c>
      <c r="AC650" s="155">
        <f t="shared" si="352"/>
        <v>0</v>
      </c>
      <c r="AD650" s="155">
        <f t="shared" si="352"/>
        <v>0</v>
      </c>
      <c r="AE650" s="155">
        <f t="shared" si="352"/>
        <v>0</v>
      </c>
      <c r="AF650" s="155">
        <f t="shared" si="352"/>
        <v>0</v>
      </c>
      <c r="AG650" s="155">
        <f t="shared" si="352"/>
        <v>0</v>
      </c>
      <c r="AH650" s="155">
        <f t="shared" si="352"/>
        <v>0</v>
      </c>
      <c r="AI650" s="155">
        <f t="shared" si="352"/>
        <v>0</v>
      </c>
      <c r="AJ650" s="155">
        <f t="shared" si="352"/>
        <v>0</v>
      </c>
      <c r="AK650" s="155">
        <f t="shared" si="352"/>
        <v>0</v>
      </c>
      <c r="AL650" s="155">
        <f t="shared" si="352"/>
        <v>0</v>
      </c>
      <c r="AM650" s="155">
        <f t="shared" si="352"/>
        <v>0</v>
      </c>
      <c r="AN650" s="155">
        <f t="shared" si="352"/>
        <v>0</v>
      </c>
      <c r="AO650" s="155">
        <f t="shared" si="352"/>
        <v>0</v>
      </c>
      <c r="AP650" s="155">
        <f t="shared" si="352"/>
        <v>0</v>
      </c>
    </row>
    <row r="651" spans="1:42" x14ac:dyDescent="0.2">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row>
    <row r="652" spans="1:42" x14ac:dyDescent="0.2">
      <c r="A652" s="19" t="s">
        <v>278</v>
      </c>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row>
    <row r="653" spans="1:42" x14ac:dyDescent="0.2">
      <c r="A653" s="4" t="s">
        <v>276</v>
      </c>
      <c r="B653" s="155">
        <v>0</v>
      </c>
      <c r="C653" s="155">
        <f>B656</f>
        <v>0</v>
      </c>
      <c r="D653" s="155">
        <f t="shared" ref="D653:AP653" si="353">C656</f>
        <v>0</v>
      </c>
      <c r="E653" s="155">
        <f t="shared" si="353"/>
        <v>0</v>
      </c>
      <c r="F653" s="155">
        <f t="shared" si="353"/>
        <v>0</v>
      </c>
      <c r="G653" s="155">
        <f t="shared" si="353"/>
        <v>0</v>
      </c>
      <c r="H653" s="155">
        <f t="shared" si="353"/>
        <v>0</v>
      </c>
      <c r="I653" s="155">
        <f t="shared" si="353"/>
        <v>0</v>
      </c>
      <c r="J653" s="155">
        <f t="shared" si="353"/>
        <v>0</v>
      </c>
      <c r="K653" s="155">
        <f t="shared" si="353"/>
        <v>0</v>
      </c>
      <c r="L653" s="155">
        <f t="shared" si="353"/>
        <v>0</v>
      </c>
      <c r="M653" s="155">
        <f t="shared" si="353"/>
        <v>0</v>
      </c>
      <c r="N653" s="155">
        <f t="shared" si="353"/>
        <v>0</v>
      </c>
      <c r="O653" s="155">
        <f t="shared" si="353"/>
        <v>0</v>
      </c>
      <c r="P653" s="155">
        <f t="shared" si="353"/>
        <v>0</v>
      </c>
      <c r="Q653" s="155">
        <f t="shared" si="353"/>
        <v>0</v>
      </c>
      <c r="R653" s="155">
        <f t="shared" si="353"/>
        <v>0</v>
      </c>
      <c r="S653" s="155">
        <f t="shared" si="353"/>
        <v>0</v>
      </c>
      <c r="T653" s="155">
        <f t="shared" si="353"/>
        <v>0</v>
      </c>
      <c r="U653" s="155">
        <f t="shared" si="353"/>
        <v>0</v>
      </c>
      <c r="V653" s="155">
        <f t="shared" si="353"/>
        <v>0</v>
      </c>
      <c r="W653" s="155">
        <f t="shared" si="353"/>
        <v>0</v>
      </c>
      <c r="X653" s="155">
        <f t="shared" si="353"/>
        <v>0</v>
      </c>
      <c r="Y653" s="155">
        <f t="shared" si="353"/>
        <v>0</v>
      </c>
      <c r="Z653" s="155">
        <f t="shared" si="353"/>
        <v>0</v>
      </c>
      <c r="AA653" s="155">
        <f t="shared" si="353"/>
        <v>0</v>
      </c>
      <c r="AB653" s="155">
        <f t="shared" si="353"/>
        <v>0</v>
      </c>
      <c r="AC653" s="155">
        <f t="shared" si="353"/>
        <v>0</v>
      </c>
      <c r="AD653" s="155">
        <f t="shared" si="353"/>
        <v>0</v>
      </c>
      <c r="AE653" s="155">
        <f t="shared" si="353"/>
        <v>0</v>
      </c>
      <c r="AF653" s="155">
        <f t="shared" si="353"/>
        <v>0</v>
      </c>
      <c r="AG653" s="155">
        <f t="shared" si="353"/>
        <v>0</v>
      </c>
      <c r="AH653" s="155">
        <f t="shared" si="353"/>
        <v>0</v>
      </c>
      <c r="AI653" s="155">
        <f t="shared" si="353"/>
        <v>0</v>
      </c>
      <c r="AJ653" s="155">
        <f t="shared" si="353"/>
        <v>0</v>
      </c>
      <c r="AK653" s="155">
        <f t="shared" si="353"/>
        <v>0</v>
      </c>
      <c r="AL653" s="155">
        <f t="shared" si="353"/>
        <v>0</v>
      </c>
      <c r="AM653" s="155">
        <f t="shared" si="353"/>
        <v>0</v>
      </c>
      <c r="AN653" s="155">
        <f t="shared" si="353"/>
        <v>0</v>
      </c>
      <c r="AO653" s="155">
        <f t="shared" si="353"/>
        <v>0</v>
      </c>
      <c r="AP653" s="155">
        <f t="shared" si="353"/>
        <v>0</v>
      </c>
    </row>
    <row r="654" spans="1:42" x14ac:dyDescent="0.2">
      <c r="A654" s="4" t="s">
        <v>66</v>
      </c>
      <c r="B654" s="155">
        <v>0</v>
      </c>
      <c r="C654" s="155">
        <f>C682</f>
        <v>0</v>
      </c>
      <c r="D654" s="155">
        <f t="shared" ref="D654:AP654" si="354">D682</f>
        <v>0</v>
      </c>
      <c r="E654" s="155">
        <f t="shared" si="354"/>
        <v>0</v>
      </c>
      <c r="F654" s="155">
        <f t="shared" si="354"/>
        <v>0</v>
      </c>
      <c r="G654" s="155">
        <f t="shared" si="354"/>
        <v>0</v>
      </c>
      <c r="H654" s="155">
        <f t="shared" si="354"/>
        <v>0</v>
      </c>
      <c r="I654" s="155">
        <f t="shared" si="354"/>
        <v>0</v>
      </c>
      <c r="J654" s="155">
        <f t="shared" si="354"/>
        <v>0</v>
      </c>
      <c r="K654" s="155">
        <f t="shared" si="354"/>
        <v>0</v>
      </c>
      <c r="L654" s="155">
        <f t="shared" si="354"/>
        <v>0</v>
      </c>
      <c r="M654" s="155">
        <f t="shared" si="354"/>
        <v>0</v>
      </c>
      <c r="N654" s="155">
        <f t="shared" si="354"/>
        <v>0</v>
      </c>
      <c r="O654" s="155">
        <f t="shared" si="354"/>
        <v>0</v>
      </c>
      <c r="P654" s="155">
        <f t="shared" si="354"/>
        <v>0</v>
      </c>
      <c r="Q654" s="155">
        <f t="shared" si="354"/>
        <v>0</v>
      </c>
      <c r="R654" s="155">
        <f t="shared" si="354"/>
        <v>0</v>
      </c>
      <c r="S654" s="155">
        <f t="shared" si="354"/>
        <v>0</v>
      </c>
      <c r="T654" s="155">
        <f t="shared" si="354"/>
        <v>0</v>
      </c>
      <c r="U654" s="155">
        <f t="shared" si="354"/>
        <v>0</v>
      </c>
      <c r="V654" s="155">
        <f t="shared" si="354"/>
        <v>0</v>
      </c>
      <c r="W654" s="155">
        <f t="shared" si="354"/>
        <v>0</v>
      </c>
      <c r="X654" s="155">
        <f t="shared" si="354"/>
        <v>0</v>
      </c>
      <c r="Y654" s="155">
        <f t="shared" si="354"/>
        <v>0</v>
      </c>
      <c r="Z654" s="155">
        <f t="shared" si="354"/>
        <v>0</v>
      </c>
      <c r="AA654" s="155">
        <f t="shared" si="354"/>
        <v>0</v>
      </c>
      <c r="AB654" s="155">
        <f t="shared" si="354"/>
        <v>0</v>
      </c>
      <c r="AC654" s="155">
        <f t="shared" si="354"/>
        <v>0</v>
      </c>
      <c r="AD654" s="155">
        <f t="shared" si="354"/>
        <v>0</v>
      </c>
      <c r="AE654" s="155">
        <f t="shared" si="354"/>
        <v>0</v>
      </c>
      <c r="AF654" s="155">
        <f t="shared" si="354"/>
        <v>0</v>
      </c>
      <c r="AG654" s="155">
        <f t="shared" si="354"/>
        <v>0</v>
      </c>
      <c r="AH654" s="155">
        <f t="shared" si="354"/>
        <v>0</v>
      </c>
      <c r="AI654" s="155">
        <f t="shared" si="354"/>
        <v>0</v>
      </c>
      <c r="AJ654" s="155">
        <f t="shared" si="354"/>
        <v>0</v>
      </c>
      <c r="AK654" s="155">
        <f t="shared" si="354"/>
        <v>0</v>
      </c>
      <c r="AL654" s="155">
        <f t="shared" si="354"/>
        <v>0</v>
      </c>
      <c r="AM654" s="155">
        <f t="shared" si="354"/>
        <v>0</v>
      </c>
      <c r="AN654" s="155">
        <f t="shared" si="354"/>
        <v>0</v>
      </c>
      <c r="AO654" s="155">
        <f t="shared" si="354"/>
        <v>0</v>
      </c>
      <c r="AP654" s="155">
        <f t="shared" si="354"/>
        <v>0</v>
      </c>
    </row>
    <row r="655" spans="1:42" x14ac:dyDescent="0.2">
      <c r="A655" s="4" t="s">
        <v>277</v>
      </c>
      <c r="B655" s="156">
        <v>0</v>
      </c>
      <c r="C655" s="156">
        <f>-C670</f>
        <v>0</v>
      </c>
      <c r="D655" s="156">
        <f t="shared" ref="D655:AP655" si="355">-D670</f>
        <v>0</v>
      </c>
      <c r="E655" s="156">
        <f t="shared" si="355"/>
        <v>0</v>
      </c>
      <c r="F655" s="156">
        <f t="shared" si="355"/>
        <v>0</v>
      </c>
      <c r="G655" s="156">
        <f t="shared" si="355"/>
        <v>0</v>
      </c>
      <c r="H655" s="156">
        <f t="shared" si="355"/>
        <v>0</v>
      </c>
      <c r="I655" s="156">
        <f t="shared" si="355"/>
        <v>0</v>
      </c>
      <c r="J655" s="156">
        <f t="shared" si="355"/>
        <v>0</v>
      </c>
      <c r="K655" s="156">
        <f t="shared" si="355"/>
        <v>0</v>
      </c>
      <c r="L655" s="156">
        <f t="shared" si="355"/>
        <v>0</v>
      </c>
      <c r="M655" s="156">
        <f t="shared" si="355"/>
        <v>0</v>
      </c>
      <c r="N655" s="156">
        <f t="shared" si="355"/>
        <v>0</v>
      </c>
      <c r="O655" s="156">
        <f t="shared" si="355"/>
        <v>0</v>
      </c>
      <c r="P655" s="156">
        <f t="shared" si="355"/>
        <v>0</v>
      </c>
      <c r="Q655" s="156">
        <f t="shared" si="355"/>
        <v>0</v>
      </c>
      <c r="R655" s="156">
        <f t="shared" si="355"/>
        <v>0</v>
      </c>
      <c r="S655" s="156">
        <f t="shared" si="355"/>
        <v>0</v>
      </c>
      <c r="T655" s="156">
        <f t="shared" si="355"/>
        <v>0</v>
      </c>
      <c r="U655" s="156">
        <f t="shared" si="355"/>
        <v>0</v>
      </c>
      <c r="V655" s="156">
        <f t="shared" si="355"/>
        <v>0</v>
      </c>
      <c r="W655" s="156">
        <f t="shared" si="355"/>
        <v>0</v>
      </c>
      <c r="X655" s="156">
        <f t="shared" si="355"/>
        <v>0</v>
      </c>
      <c r="Y655" s="156">
        <f t="shared" si="355"/>
        <v>0</v>
      </c>
      <c r="Z655" s="156">
        <f t="shared" si="355"/>
        <v>0</v>
      </c>
      <c r="AA655" s="156">
        <f t="shared" si="355"/>
        <v>0</v>
      </c>
      <c r="AB655" s="156">
        <f t="shared" si="355"/>
        <v>0</v>
      </c>
      <c r="AC655" s="156">
        <f t="shared" si="355"/>
        <v>0</v>
      </c>
      <c r="AD655" s="156">
        <f t="shared" si="355"/>
        <v>0</v>
      </c>
      <c r="AE655" s="156">
        <f t="shared" si="355"/>
        <v>0</v>
      </c>
      <c r="AF655" s="156">
        <f t="shared" si="355"/>
        <v>0</v>
      </c>
      <c r="AG655" s="156">
        <f t="shared" si="355"/>
        <v>0</v>
      </c>
      <c r="AH655" s="156">
        <f t="shared" si="355"/>
        <v>0</v>
      </c>
      <c r="AI655" s="156">
        <f t="shared" si="355"/>
        <v>0</v>
      </c>
      <c r="AJ655" s="156">
        <f t="shared" si="355"/>
        <v>0</v>
      </c>
      <c r="AK655" s="156">
        <f t="shared" si="355"/>
        <v>0</v>
      </c>
      <c r="AL655" s="156">
        <f t="shared" si="355"/>
        <v>0</v>
      </c>
      <c r="AM655" s="156">
        <f t="shared" si="355"/>
        <v>0</v>
      </c>
      <c r="AN655" s="156">
        <f t="shared" si="355"/>
        <v>0</v>
      </c>
      <c r="AO655" s="156">
        <f t="shared" si="355"/>
        <v>0</v>
      </c>
      <c r="AP655" s="156">
        <f t="shared" si="355"/>
        <v>0</v>
      </c>
    </row>
    <row r="656" spans="1:42" x14ac:dyDescent="0.2">
      <c r="A656" s="4" t="s">
        <v>238</v>
      </c>
      <c r="B656" s="155">
        <f>SUM(B653:B655)</f>
        <v>0</v>
      </c>
      <c r="C656" s="155">
        <f>SUM(C653:C655)</f>
        <v>0</v>
      </c>
      <c r="D656" s="155">
        <f t="shared" ref="D656:AP656" si="356">SUM(D653:D655)</f>
        <v>0</v>
      </c>
      <c r="E656" s="155">
        <f t="shared" si="356"/>
        <v>0</v>
      </c>
      <c r="F656" s="155">
        <f t="shared" si="356"/>
        <v>0</v>
      </c>
      <c r="G656" s="155">
        <f t="shared" si="356"/>
        <v>0</v>
      </c>
      <c r="H656" s="155">
        <f t="shared" si="356"/>
        <v>0</v>
      </c>
      <c r="I656" s="155">
        <f t="shared" si="356"/>
        <v>0</v>
      </c>
      <c r="J656" s="155">
        <f t="shared" si="356"/>
        <v>0</v>
      </c>
      <c r="K656" s="155">
        <f t="shared" si="356"/>
        <v>0</v>
      </c>
      <c r="L656" s="155">
        <f t="shared" si="356"/>
        <v>0</v>
      </c>
      <c r="M656" s="155">
        <f t="shared" si="356"/>
        <v>0</v>
      </c>
      <c r="N656" s="155">
        <f t="shared" si="356"/>
        <v>0</v>
      </c>
      <c r="O656" s="155">
        <f t="shared" si="356"/>
        <v>0</v>
      </c>
      <c r="P656" s="155">
        <f t="shared" si="356"/>
        <v>0</v>
      </c>
      <c r="Q656" s="155">
        <f t="shared" si="356"/>
        <v>0</v>
      </c>
      <c r="R656" s="155">
        <f t="shared" si="356"/>
        <v>0</v>
      </c>
      <c r="S656" s="155">
        <f t="shared" si="356"/>
        <v>0</v>
      </c>
      <c r="T656" s="155">
        <f t="shared" si="356"/>
        <v>0</v>
      </c>
      <c r="U656" s="155">
        <f t="shared" si="356"/>
        <v>0</v>
      </c>
      <c r="V656" s="155">
        <f t="shared" si="356"/>
        <v>0</v>
      </c>
      <c r="W656" s="155">
        <f t="shared" si="356"/>
        <v>0</v>
      </c>
      <c r="X656" s="155">
        <f t="shared" si="356"/>
        <v>0</v>
      </c>
      <c r="Y656" s="155">
        <f t="shared" si="356"/>
        <v>0</v>
      </c>
      <c r="Z656" s="155">
        <f t="shared" si="356"/>
        <v>0</v>
      </c>
      <c r="AA656" s="155">
        <f t="shared" si="356"/>
        <v>0</v>
      </c>
      <c r="AB656" s="155">
        <f t="shared" si="356"/>
        <v>0</v>
      </c>
      <c r="AC656" s="155">
        <f t="shared" si="356"/>
        <v>0</v>
      </c>
      <c r="AD656" s="155">
        <f t="shared" si="356"/>
        <v>0</v>
      </c>
      <c r="AE656" s="155">
        <f t="shared" si="356"/>
        <v>0</v>
      </c>
      <c r="AF656" s="155">
        <f t="shared" si="356"/>
        <v>0</v>
      </c>
      <c r="AG656" s="155">
        <f t="shared" si="356"/>
        <v>0</v>
      </c>
      <c r="AH656" s="155">
        <f t="shared" si="356"/>
        <v>0</v>
      </c>
      <c r="AI656" s="155">
        <f t="shared" si="356"/>
        <v>0</v>
      </c>
      <c r="AJ656" s="155">
        <f t="shared" si="356"/>
        <v>0</v>
      </c>
      <c r="AK656" s="155">
        <f t="shared" si="356"/>
        <v>0</v>
      </c>
      <c r="AL656" s="155">
        <f t="shared" si="356"/>
        <v>0</v>
      </c>
      <c r="AM656" s="155">
        <f t="shared" si="356"/>
        <v>0</v>
      </c>
      <c r="AN656" s="155">
        <f t="shared" si="356"/>
        <v>0</v>
      </c>
      <c r="AO656" s="155">
        <f t="shared" si="356"/>
        <v>0</v>
      </c>
      <c r="AP656" s="155">
        <f t="shared" si="356"/>
        <v>0</v>
      </c>
    </row>
    <row r="657" spans="1:42" x14ac:dyDescent="0.2">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row>
    <row r="658" spans="1:42" x14ac:dyDescent="0.2">
      <c r="A658" s="4" t="s">
        <v>279</v>
      </c>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row>
    <row r="659" spans="1:42" x14ac:dyDescent="0.2">
      <c r="A659" s="4" t="s">
        <v>280</v>
      </c>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row>
    <row r="660" spans="1:42" x14ac:dyDescent="0.2">
      <c r="A660" s="4">
        <v>1</v>
      </c>
      <c r="B660" s="170">
        <f t="shared" ref="B660:B669" si="357">SUM(C660:AP660)</f>
        <v>0</v>
      </c>
      <c r="C660" s="155">
        <f t="shared" ref="C660:AP660" si="358">IF(C$2&gt;analysis_period,0,IF(C$2=equip1_reserve_freq*$A660,equip1_reserve_cost*system_capacity*1000*(1+inflation_rate/100)^B$2,0))</f>
        <v>0</v>
      </c>
      <c r="D660" s="155">
        <f t="shared" si="358"/>
        <v>0</v>
      </c>
      <c r="E660" s="155">
        <f t="shared" si="358"/>
        <v>0</v>
      </c>
      <c r="F660" s="155">
        <f t="shared" si="358"/>
        <v>0</v>
      </c>
      <c r="G660" s="155">
        <f t="shared" si="358"/>
        <v>0</v>
      </c>
      <c r="H660" s="155">
        <f t="shared" si="358"/>
        <v>0</v>
      </c>
      <c r="I660" s="155">
        <f t="shared" si="358"/>
        <v>0</v>
      </c>
      <c r="J660" s="155">
        <f t="shared" si="358"/>
        <v>0</v>
      </c>
      <c r="K660" s="155">
        <f t="shared" si="358"/>
        <v>0</v>
      </c>
      <c r="L660" s="155">
        <f t="shared" si="358"/>
        <v>0</v>
      </c>
      <c r="M660" s="155">
        <f t="shared" si="358"/>
        <v>0</v>
      </c>
      <c r="N660" s="155">
        <f t="shared" si="358"/>
        <v>0</v>
      </c>
      <c r="O660" s="155">
        <f t="shared" si="358"/>
        <v>0</v>
      </c>
      <c r="P660" s="155">
        <f t="shared" si="358"/>
        <v>0</v>
      </c>
      <c r="Q660" s="155">
        <f t="shared" si="358"/>
        <v>0</v>
      </c>
      <c r="R660" s="155">
        <f t="shared" si="358"/>
        <v>0</v>
      </c>
      <c r="S660" s="155">
        <f t="shared" si="358"/>
        <v>0</v>
      </c>
      <c r="T660" s="155">
        <f t="shared" si="358"/>
        <v>0</v>
      </c>
      <c r="U660" s="155">
        <f t="shared" si="358"/>
        <v>0</v>
      </c>
      <c r="V660" s="155">
        <f t="shared" si="358"/>
        <v>0</v>
      </c>
      <c r="W660" s="155">
        <f t="shared" si="358"/>
        <v>0</v>
      </c>
      <c r="X660" s="155">
        <f t="shared" si="358"/>
        <v>0</v>
      </c>
      <c r="Y660" s="155">
        <f t="shared" si="358"/>
        <v>0</v>
      </c>
      <c r="Z660" s="155">
        <f t="shared" si="358"/>
        <v>0</v>
      </c>
      <c r="AA660" s="155">
        <f t="shared" si="358"/>
        <v>0</v>
      </c>
      <c r="AB660" s="155">
        <f t="shared" si="358"/>
        <v>0</v>
      </c>
      <c r="AC660" s="155">
        <f t="shared" si="358"/>
        <v>0</v>
      </c>
      <c r="AD660" s="155">
        <f t="shared" si="358"/>
        <v>0</v>
      </c>
      <c r="AE660" s="155">
        <f t="shared" si="358"/>
        <v>0</v>
      </c>
      <c r="AF660" s="155">
        <f t="shared" si="358"/>
        <v>0</v>
      </c>
      <c r="AG660" s="155">
        <f t="shared" si="358"/>
        <v>0</v>
      </c>
      <c r="AH660" s="155">
        <f t="shared" si="358"/>
        <v>0</v>
      </c>
      <c r="AI660" s="155">
        <f t="shared" si="358"/>
        <v>0</v>
      </c>
      <c r="AJ660" s="155">
        <f t="shared" si="358"/>
        <v>0</v>
      </c>
      <c r="AK660" s="155">
        <f t="shared" si="358"/>
        <v>0</v>
      </c>
      <c r="AL660" s="155">
        <f t="shared" si="358"/>
        <v>0</v>
      </c>
      <c r="AM660" s="155">
        <f t="shared" si="358"/>
        <v>0</v>
      </c>
      <c r="AN660" s="155">
        <f t="shared" si="358"/>
        <v>0</v>
      </c>
      <c r="AO660" s="155">
        <f t="shared" si="358"/>
        <v>0</v>
      </c>
      <c r="AP660" s="155">
        <f t="shared" si="358"/>
        <v>0</v>
      </c>
    </row>
    <row r="661" spans="1:42" x14ac:dyDescent="0.2">
      <c r="A661" s="4">
        <f>A660+1</f>
        <v>2</v>
      </c>
      <c r="B661" s="170">
        <f t="shared" si="357"/>
        <v>0</v>
      </c>
      <c r="C661" s="155">
        <f t="shared" ref="C661:AP661" si="359">IF(C$2&gt;analysis_period,0,IF(C$2=equip1_reserve_freq*$A661,equip1_reserve_cost*system_capacity*1000*(1+inflation_rate/100)^B$2,0))</f>
        <v>0</v>
      </c>
      <c r="D661" s="155">
        <f t="shared" si="359"/>
        <v>0</v>
      </c>
      <c r="E661" s="155">
        <f t="shared" si="359"/>
        <v>0</v>
      </c>
      <c r="F661" s="155">
        <f t="shared" si="359"/>
        <v>0</v>
      </c>
      <c r="G661" s="155">
        <f t="shared" si="359"/>
        <v>0</v>
      </c>
      <c r="H661" s="155">
        <f t="shared" si="359"/>
        <v>0</v>
      </c>
      <c r="I661" s="155">
        <f t="shared" si="359"/>
        <v>0</v>
      </c>
      <c r="J661" s="155">
        <f t="shared" si="359"/>
        <v>0</v>
      </c>
      <c r="K661" s="155">
        <f t="shared" si="359"/>
        <v>0</v>
      </c>
      <c r="L661" s="155">
        <f t="shared" si="359"/>
        <v>0</v>
      </c>
      <c r="M661" s="155">
        <f t="shared" si="359"/>
        <v>0</v>
      </c>
      <c r="N661" s="155">
        <f t="shared" si="359"/>
        <v>0</v>
      </c>
      <c r="O661" s="155">
        <f t="shared" si="359"/>
        <v>0</v>
      </c>
      <c r="P661" s="155">
        <f t="shared" si="359"/>
        <v>0</v>
      </c>
      <c r="Q661" s="155">
        <f t="shared" si="359"/>
        <v>0</v>
      </c>
      <c r="R661" s="155">
        <f t="shared" si="359"/>
        <v>0</v>
      </c>
      <c r="S661" s="155">
        <f t="shared" si="359"/>
        <v>0</v>
      </c>
      <c r="T661" s="155">
        <f t="shared" si="359"/>
        <v>0</v>
      </c>
      <c r="U661" s="155">
        <f t="shared" si="359"/>
        <v>0</v>
      </c>
      <c r="V661" s="155">
        <f t="shared" si="359"/>
        <v>0</v>
      </c>
      <c r="W661" s="155">
        <f t="shared" si="359"/>
        <v>0</v>
      </c>
      <c r="X661" s="155">
        <f t="shared" si="359"/>
        <v>0</v>
      </c>
      <c r="Y661" s="155">
        <f t="shared" si="359"/>
        <v>0</v>
      </c>
      <c r="Z661" s="155">
        <f t="shared" si="359"/>
        <v>0</v>
      </c>
      <c r="AA661" s="155">
        <f t="shared" si="359"/>
        <v>0</v>
      </c>
      <c r="AB661" s="155">
        <f t="shared" si="359"/>
        <v>0</v>
      </c>
      <c r="AC661" s="155">
        <f t="shared" si="359"/>
        <v>0</v>
      </c>
      <c r="AD661" s="155">
        <f t="shared" si="359"/>
        <v>0</v>
      </c>
      <c r="AE661" s="155">
        <f t="shared" si="359"/>
        <v>0</v>
      </c>
      <c r="AF661" s="155">
        <f t="shared" si="359"/>
        <v>0</v>
      </c>
      <c r="AG661" s="155">
        <f t="shared" si="359"/>
        <v>0</v>
      </c>
      <c r="AH661" s="155">
        <f t="shared" si="359"/>
        <v>0</v>
      </c>
      <c r="AI661" s="155">
        <f t="shared" si="359"/>
        <v>0</v>
      </c>
      <c r="AJ661" s="155">
        <f t="shared" si="359"/>
        <v>0</v>
      </c>
      <c r="AK661" s="155">
        <f t="shared" si="359"/>
        <v>0</v>
      </c>
      <c r="AL661" s="155">
        <f t="shared" si="359"/>
        <v>0</v>
      </c>
      <c r="AM661" s="155">
        <f t="shared" si="359"/>
        <v>0</v>
      </c>
      <c r="AN661" s="155">
        <f t="shared" si="359"/>
        <v>0</v>
      </c>
      <c r="AO661" s="155">
        <f t="shared" si="359"/>
        <v>0</v>
      </c>
      <c r="AP661" s="155">
        <f t="shared" si="359"/>
        <v>0</v>
      </c>
    </row>
    <row r="662" spans="1:42" x14ac:dyDescent="0.2">
      <c r="A662" s="4">
        <f t="shared" ref="A662:A669" si="360">A661+1</f>
        <v>3</v>
      </c>
      <c r="B662" s="170">
        <f t="shared" si="357"/>
        <v>0</v>
      </c>
      <c r="C662" s="155">
        <f t="shared" ref="C662:AP662" si="361">IF(C$2&gt;analysis_period,0,IF(C$2=equip1_reserve_freq*$A662,equip1_reserve_cost*system_capacity*1000*(1+inflation_rate/100)^B$2,0))</f>
        <v>0</v>
      </c>
      <c r="D662" s="155">
        <f t="shared" si="361"/>
        <v>0</v>
      </c>
      <c r="E662" s="155">
        <f t="shared" si="361"/>
        <v>0</v>
      </c>
      <c r="F662" s="155">
        <f t="shared" si="361"/>
        <v>0</v>
      </c>
      <c r="G662" s="155">
        <f t="shared" si="361"/>
        <v>0</v>
      </c>
      <c r="H662" s="155">
        <f t="shared" si="361"/>
        <v>0</v>
      </c>
      <c r="I662" s="155">
        <f t="shared" si="361"/>
        <v>0</v>
      </c>
      <c r="J662" s="155">
        <f t="shared" si="361"/>
        <v>0</v>
      </c>
      <c r="K662" s="155">
        <f t="shared" si="361"/>
        <v>0</v>
      </c>
      <c r="L662" s="155">
        <f t="shared" si="361"/>
        <v>0</v>
      </c>
      <c r="M662" s="155">
        <f t="shared" si="361"/>
        <v>0</v>
      </c>
      <c r="N662" s="155">
        <f t="shared" si="361"/>
        <v>0</v>
      </c>
      <c r="O662" s="155">
        <f t="shared" si="361"/>
        <v>0</v>
      </c>
      <c r="P662" s="155">
        <f t="shared" si="361"/>
        <v>0</v>
      </c>
      <c r="Q662" s="155">
        <f t="shared" si="361"/>
        <v>0</v>
      </c>
      <c r="R662" s="155">
        <f t="shared" si="361"/>
        <v>0</v>
      </c>
      <c r="S662" s="155">
        <f t="shared" si="361"/>
        <v>0</v>
      </c>
      <c r="T662" s="155">
        <f t="shared" si="361"/>
        <v>0</v>
      </c>
      <c r="U662" s="155">
        <f t="shared" si="361"/>
        <v>0</v>
      </c>
      <c r="V662" s="155">
        <f t="shared" si="361"/>
        <v>0</v>
      </c>
      <c r="W662" s="155">
        <f t="shared" si="361"/>
        <v>0</v>
      </c>
      <c r="X662" s="155">
        <f t="shared" si="361"/>
        <v>0</v>
      </c>
      <c r="Y662" s="155">
        <f t="shared" si="361"/>
        <v>0</v>
      </c>
      <c r="Z662" s="155">
        <f t="shared" si="361"/>
        <v>0</v>
      </c>
      <c r="AA662" s="155">
        <f t="shared" si="361"/>
        <v>0</v>
      </c>
      <c r="AB662" s="155">
        <f t="shared" si="361"/>
        <v>0</v>
      </c>
      <c r="AC662" s="155">
        <f t="shared" si="361"/>
        <v>0</v>
      </c>
      <c r="AD662" s="155">
        <f t="shared" si="361"/>
        <v>0</v>
      </c>
      <c r="AE662" s="155">
        <f t="shared" si="361"/>
        <v>0</v>
      </c>
      <c r="AF662" s="155">
        <f t="shared" si="361"/>
        <v>0</v>
      </c>
      <c r="AG662" s="155">
        <f t="shared" si="361"/>
        <v>0</v>
      </c>
      <c r="AH662" s="155">
        <f t="shared" si="361"/>
        <v>0</v>
      </c>
      <c r="AI662" s="155">
        <f t="shared" si="361"/>
        <v>0</v>
      </c>
      <c r="AJ662" s="155">
        <f t="shared" si="361"/>
        <v>0</v>
      </c>
      <c r="AK662" s="155">
        <f t="shared" si="361"/>
        <v>0</v>
      </c>
      <c r="AL662" s="155">
        <f t="shared" si="361"/>
        <v>0</v>
      </c>
      <c r="AM662" s="155">
        <f t="shared" si="361"/>
        <v>0</v>
      </c>
      <c r="AN662" s="155">
        <f t="shared" si="361"/>
        <v>0</v>
      </c>
      <c r="AO662" s="155">
        <f t="shared" si="361"/>
        <v>0</v>
      </c>
      <c r="AP662" s="155">
        <f t="shared" si="361"/>
        <v>0</v>
      </c>
    </row>
    <row r="663" spans="1:42" x14ac:dyDescent="0.2">
      <c r="A663" s="4">
        <f t="shared" si="360"/>
        <v>4</v>
      </c>
      <c r="B663" s="170">
        <f t="shared" si="357"/>
        <v>0</v>
      </c>
      <c r="C663" s="155">
        <f t="shared" ref="C663:AP663" si="362">IF(C$2&gt;analysis_period,0,IF(C$2=equip1_reserve_freq*$A663,equip1_reserve_cost*system_capacity*1000*(1+inflation_rate/100)^B$2,0))</f>
        <v>0</v>
      </c>
      <c r="D663" s="155">
        <f t="shared" si="362"/>
        <v>0</v>
      </c>
      <c r="E663" s="155">
        <f t="shared" si="362"/>
        <v>0</v>
      </c>
      <c r="F663" s="155">
        <f t="shared" si="362"/>
        <v>0</v>
      </c>
      <c r="G663" s="155">
        <f t="shared" si="362"/>
        <v>0</v>
      </c>
      <c r="H663" s="155">
        <f t="shared" si="362"/>
        <v>0</v>
      </c>
      <c r="I663" s="155">
        <f t="shared" si="362"/>
        <v>0</v>
      </c>
      <c r="J663" s="155">
        <f t="shared" si="362"/>
        <v>0</v>
      </c>
      <c r="K663" s="155">
        <f t="shared" si="362"/>
        <v>0</v>
      </c>
      <c r="L663" s="155">
        <f t="shared" si="362"/>
        <v>0</v>
      </c>
      <c r="M663" s="155">
        <f t="shared" si="362"/>
        <v>0</v>
      </c>
      <c r="N663" s="155">
        <f t="shared" si="362"/>
        <v>0</v>
      </c>
      <c r="O663" s="155">
        <f t="shared" si="362"/>
        <v>0</v>
      </c>
      <c r="P663" s="155">
        <f t="shared" si="362"/>
        <v>0</v>
      </c>
      <c r="Q663" s="155">
        <f t="shared" si="362"/>
        <v>0</v>
      </c>
      <c r="R663" s="155">
        <f t="shared" si="362"/>
        <v>0</v>
      </c>
      <c r="S663" s="155">
        <f t="shared" si="362"/>
        <v>0</v>
      </c>
      <c r="T663" s="155">
        <f t="shared" si="362"/>
        <v>0</v>
      </c>
      <c r="U663" s="155">
        <f t="shared" si="362"/>
        <v>0</v>
      </c>
      <c r="V663" s="155">
        <f t="shared" si="362"/>
        <v>0</v>
      </c>
      <c r="W663" s="155">
        <f t="shared" si="362"/>
        <v>0</v>
      </c>
      <c r="X663" s="155">
        <f t="shared" si="362"/>
        <v>0</v>
      </c>
      <c r="Y663" s="155">
        <f t="shared" si="362"/>
        <v>0</v>
      </c>
      <c r="Z663" s="155">
        <f t="shared" si="362"/>
        <v>0</v>
      </c>
      <c r="AA663" s="155">
        <f t="shared" si="362"/>
        <v>0</v>
      </c>
      <c r="AB663" s="155">
        <f t="shared" si="362"/>
        <v>0</v>
      </c>
      <c r="AC663" s="155">
        <f t="shared" si="362"/>
        <v>0</v>
      </c>
      <c r="AD663" s="155">
        <f t="shared" si="362"/>
        <v>0</v>
      </c>
      <c r="AE663" s="155">
        <f t="shared" si="362"/>
        <v>0</v>
      </c>
      <c r="AF663" s="155">
        <f t="shared" si="362"/>
        <v>0</v>
      </c>
      <c r="AG663" s="155">
        <f t="shared" si="362"/>
        <v>0</v>
      </c>
      <c r="AH663" s="155">
        <f t="shared" si="362"/>
        <v>0</v>
      </c>
      <c r="AI663" s="155">
        <f t="shared" si="362"/>
        <v>0</v>
      </c>
      <c r="AJ663" s="155">
        <f t="shared" si="362"/>
        <v>0</v>
      </c>
      <c r="AK663" s="155">
        <f t="shared" si="362"/>
        <v>0</v>
      </c>
      <c r="AL663" s="155">
        <f t="shared" si="362"/>
        <v>0</v>
      </c>
      <c r="AM663" s="155">
        <f t="shared" si="362"/>
        <v>0</v>
      </c>
      <c r="AN663" s="155">
        <f t="shared" si="362"/>
        <v>0</v>
      </c>
      <c r="AO663" s="155">
        <f t="shared" si="362"/>
        <v>0</v>
      </c>
      <c r="AP663" s="155">
        <f t="shared" si="362"/>
        <v>0</v>
      </c>
    </row>
    <row r="664" spans="1:42" x14ac:dyDescent="0.2">
      <c r="A664" s="4">
        <f t="shared" si="360"/>
        <v>5</v>
      </c>
      <c r="B664" s="170">
        <f t="shared" si="357"/>
        <v>0</v>
      </c>
      <c r="C664" s="155">
        <f t="shared" ref="C664:AP664" si="363">IF(C$2&gt;analysis_period,0,IF(C$2=equip1_reserve_freq*$A664,equip1_reserve_cost*system_capacity*1000*(1+inflation_rate/100)^B$2,0))</f>
        <v>0</v>
      </c>
      <c r="D664" s="155">
        <f t="shared" si="363"/>
        <v>0</v>
      </c>
      <c r="E664" s="155">
        <f t="shared" si="363"/>
        <v>0</v>
      </c>
      <c r="F664" s="155">
        <f t="shared" si="363"/>
        <v>0</v>
      </c>
      <c r="G664" s="155">
        <f t="shared" si="363"/>
        <v>0</v>
      </c>
      <c r="H664" s="155">
        <f t="shared" si="363"/>
        <v>0</v>
      </c>
      <c r="I664" s="155">
        <f t="shared" si="363"/>
        <v>0</v>
      </c>
      <c r="J664" s="155">
        <f t="shared" si="363"/>
        <v>0</v>
      </c>
      <c r="K664" s="155">
        <f t="shared" si="363"/>
        <v>0</v>
      </c>
      <c r="L664" s="155">
        <f t="shared" si="363"/>
        <v>0</v>
      </c>
      <c r="M664" s="155">
        <f t="shared" si="363"/>
        <v>0</v>
      </c>
      <c r="N664" s="155">
        <f t="shared" si="363"/>
        <v>0</v>
      </c>
      <c r="O664" s="155">
        <f t="shared" si="363"/>
        <v>0</v>
      </c>
      <c r="P664" s="155">
        <f t="shared" si="363"/>
        <v>0</v>
      </c>
      <c r="Q664" s="155">
        <f t="shared" si="363"/>
        <v>0</v>
      </c>
      <c r="R664" s="155">
        <f t="shared" si="363"/>
        <v>0</v>
      </c>
      <c r="S664" s="155">
        <f t="shared" si="363"/>
        <v>0</v>
      </c>
      <c r="T664" s="155">
        <f t="shared" si="363"/>
        <v>0</v>
      </c>
      <c r="U664" s="155">
        <f t="shared" si="363"/>
        <v>0</v>
      </c>
      <c r="V664" s="155">
        <f t="shared" si="363"/>
        <v>0</v>
      </c>
      <c r="W664" s="155">
        <f t="shared" si="363"/>
        <v>0</v>
      </c>
      <c r="X664" s="155">
        <f t="shared" si="363"/>
        <v>0</v>
      </c>
      <c r="Y664" s="155">
        <f t="shared" si="363"/>
        <v>0</v>
      </c>
      <c r="Z664" s="155">
        <f t="shared" si="363"/>
        <v>0</v>
      </c>
      <c r="AA664" s="155">
        <f t="shared" si="363"/>
        <v>0</v>
      </c>
      <c r="AB664" s="155">
        <f t="shared" si="363"/>
        <v>0</v>
      </c>
      <c r="AC664" s="155">
        <f t="shared" si="363"/>
        <v>0</v>
      </c>
      <c r="AD664" s="155">
        <f t="shared" si="363"/>
        <v>0</v>
      </c>
      <c r="AE664" s="155">
        <f t="shared" si="363"/>
        <v>0</v>
      </c>
      <c r="AF664" s="155">
        <f t="shared" si="363"/>
        <v>0</v>
      </c>
      <c r="AG664" s="155">
        <f t="shared" si="363"/>
        <v>0</v>
      </c>
      <c r="AH664" s="155">
        <f t="shared" si="363"/>
        <v>0</v>
      </c>
      <c r="AI664" s="155">
        <f t="shared" si="363"/>
        <v>0</v>
      </c>
      <c r="AJ664" s="155">
        <f t="shared" si="363"/>
        <v>0</v>
      </c>
      <c r="AK664" s="155">
        <f t="shared" si="363"/>
        <v>0</v>
      </c>
      <c r="AL664" s="155">
        <f t="shared" si="363"/>
        <v>0</v>
      </c>
      <c r="AM664" s="155">
        <f t="shared" si="363"/>
        <v>0</v>
      </c>
      <c r="AN664" s="155">
        <f t="shared" si="363"/>
        <v>0</v>
      </c>
      <c r="AO664" s="155">
        <f t="shared" si="363"/>
        <v>0</v>
      </c>
      <c r="AP664" s="155">
        <f t="shared" si="363"/>
        <v>0</v>
      </c>
    </row>
    <row r="665" spans="1:42" x14ac:dyDescent="0.2">
      <c r="A665" s="4">
        <f t="shared" si="360"/>
        <v>6</v>
      </c>
      <c r="B665" s="170">
        <f t="shared" si="357"/>
        <v>0</v>
      </c>
      <c r="C665" s="155">
        <f t="shared" ref="C665:AP665" si="364">IF(C$2&gt;analysis_period,0,IF(C$2=equip1_reserve_freq*$A665,equip1_reserve_cost*system_capacity*1000*(1+inflation_rate/100)^B$2,0))</f>
        <v>0</v>
      </c>
      <c r="D665" s="155">
        <f t="shared" si="364"/>
        <v>0</v>
      </c>
      <c r="E665" s="155">
        <f t="shared" si="364"/>
        <v>0</v>
      </c>
      <c r="F665" s="155">
        <f t="shared" si="364"/>
        <v>0</v>
      </c>
      <c r="G665" s="155">
        <f t="shared" si="364"/>
        <v>0</v>
      </c>
      <c r="H665" s="155">
        <f t="shared" si="364"/>
        <v>0</v>
      </c>
      <c r="I665" s="155">
        <f t="shared" si="364"/>
        <v>0</v>
      </c>
      <c r="J665" s="155">
        <f t="shared" si="364"/>
        <v>0</v>
      </c>
      <c r="K665" s="155">
        <f t="shared" si="364"/>
        <v>0</v>
      </c>
      <c r="L665" s="155">
        <f t="shared" si="364"/>
        <v>0</v>
      </c>
      <c r="M665" s="155">
        <f t="shared" si="364"/>
        <v>0</v>
      </c>
      <c r="N665" s="155">
        <f t="shared" si="364"/>
        <v>0</v>
      </c>
      <c r="O665" s="155">
        <f t="shared" si="364"/>
        <v>0</v>
      </c>
      <c r="P665" s="155">
        <f t="shared" si="364"/>
        <v>0</v>
      </c>
      <c r="Q665" s="155">
        <f t="shared" si="364"/>
        <v>0</v>
      </c>
      <c r="R665" s="155">
        <f t="shared" si="364"/>
        <v>0</v>
      </c>
      <c r="S665" s="155">
        <f t="shared" si="364"/>
        <v>0</v>
      </c>
      <c r="T665" s="155">
        <f t="shared" si="364"/>
        <v>0</v>
      </c>
      <c r="U665" s="155">
        <f t="shared" si="364"/>
        <v>0</v>
      </c>
      <c r="V665" s="155">
        <f t="shared" si="364"/>
        <v>0</v>
      </c>
      <c r="W665" s="155">
        <f t="shared" si="364"/>
        <v>0</v>
      </c>
      <c r="X665" s="155">
        <f t="shared" si="364"/>
        <v>0</v>
      </c>
      <c r="Y665" s="155">
        <f t="shared" si="364"/>
        <v>0</v>
      </c>
      <c r="Z665" s="155">
        <f t="shared" si="364"/>
        <v>0</v>
      </c>
      <c r="AA665" s="155">
        <f t="shared" si="364"/>
        <v>0</v>
      </c>
      <c r="AB665" s="155">
        <f t="shared" si="364"/>
        <v>0</v>
      </c>
      <c r="AC665" s="155">
        <f t="shared" si="364"/>
        <v>0</v>
      </c>
      <c r="AD665" s="155">
        <f t="shared" si="364"/>
        <v>0</v>
      </c>
      <c r="AE665" s="155">
        <f t="shared" si="364"/>
        <v>0</v>
      </c>
      <c r="AF665" s="155">
        <f t="shared" si="364"/>
        <v>0</v>
      </c>
      <c r="AG665" s="155">
        <f t="shared" si="364"/>
        <v>0</v>
      </c>
      <c r="AH665" s="155">
        <f t="shared" si="364"/>
        <v>0</v>
      </c>
      <c r="AI665" s="155">
        <f t="shared" si="364"/>
        <v>0</v>
      </c>
      <c r="AJ665" s="155">
        <f t="shared" si="364"/>
        <v>0</v>
      </c>
      <c r="AK665" s="155">
        <f t="shared" si="364"/>
        <v>0</v>
      </c>
      <c r="AL665" s="155">
        <f t="shared" si="364"/>
        <v>0</v>
      </c>
      <c r="AM665" s="155">
        <f t="shared" si="364"/>
        <v>0</v>
      </c>
      <c r="AN665" s="155">
        <f t="shared" si="364"/>
        <v>0</v>
      </c>
      <c r="AO665" s="155">
        <f t="shared" si="364"/>
        <v>0</v>
      </c>
      <c r="AP665" s="155">
        <f t="shared" si="364"/>
        <v>0</v>
      </c>
    </row>
    <row r="666" spans="1:42" x14ac:dyDescent="0.2">
      <c r="A666" s="4">
        <f t="shared" si="360"/>
        <v>7</v>
      </c>
      <c r="B666" s="170">
        <f t="shared" si="357"/>
        <v>0</v>
      </c>
      <c r="C666" s="155">
        <f t="shared" ref="C666:AP666" si="365">IF(C$2&gt;analysis_period,0,IF(C$2=equip1_reserve_freq*$A666,equip1_reserve_cost*system_capacity*1000*(1+inflation_rate/100)^B$2,0))</f>
        <v>0</v>
      </c>
      <c r="D666" s="155">
        <f t="shared" si="365"/>
        <v>0</v>
      </c>
      <c r="E666" s="155">
        <f t="shared" si="365"/>
        <v>0</v>
      </c>
      <c r="F666" s="155">
        <f t="shared" si="365"/>
        <v>0</v>
      </c>
      <c r="G666" s="155">
        <f t="shared" si="365"/>
        <v>0</v>
      </c>
      <c r="H666" s="155">
        <f t="shared" si="365"/>
        <v>0</v>
      </c>
      <c r="I666" s="155">
        <f t="shared" si="365"/>
        <v>0</v>
      </c>
      <c r="J666" s="155">
        <f t="shared" si="365"/>
        <v>0</v>
      </c>
      <c r="K666" s="155">
        <f t="shared" si="365"/>
        <v>0</v>
      </c>
      <c r="L666" s="155">
        <f t="shared" si="365"/>
        <v>0</v>
      </c>
      <c r="M666" s="155">
        <f t="shared" si="365"/>
        <v>0</v>
      </c>
      <c r="N666" s="155">
        <f t="shared" si="365"/>
        <v>0</v>
      </c>
      <c r="O666" s="155">
        <f t="shared" si="365"/>
        <v>0</v>
      </c>
      <c r="P666" s="155">
        <f t="shared" si="365"/>
        <v>0</v>
      </c>
      <c r="Q666" s="155">
        <f t="shared" si="365"/>
        <v>0</v>
      </c>
      <c r="R666" s="155">
        <f t="shared" si="365"/>
        <v>0</v>
      </c>
      <c r="S666" s="155">
        <f t="shared" si="365"/>
        <v>0</v>
      </c>
      <c r="T666" s="155">
        <f t="shared" si="365"/>
        <v>0</v>
      </c>
      <c r="U666" s="155">
        <f t="shared" si="365"/>
        <v>0</v>
      </c>
      <c r="V666" s="155">
        <f t="shared" si="365"/>
        <v>0</v>
      </c>
      <c r="W666" s="155">
        <f t="shared" si="365"/>
        <v>0</v>
      </c>
      <c r="X666" s="155">
        <f t="shared" si="365"/>
        <v>0</v>
      </c>
      <c r="Y666" s="155">
        <f t="shared" si="365"/>
        <v>0</v>
      </c>
      <c r="Z666" s="155">
        <f t="shared" si="365"/>
        <v>0</v>
      </c>
      <c r="AA666" s="155">
        <f t="shared" si="365"/>
        <v>0</v>
      </c>
      <c r="AB666" s="155">
        <f t="shared" si="365"/>
        <v>0</v>
      </c>
      <c r="AC666" s="155">
        <f t="shared" si="365"/>
        <v>0</v>
      </c>
      <c r="AD666" s="155">
        <f t="shared" si="365"/>
        <v>0</v>
      </c>
      <c r="AE666" s="155">
        <f t="shared" si="365"/>
        <v>0</v>
      </c>
      <c r="AF666" s="155">
        <f t="shared" si="365"/>
        <v>0</v>
      </c>
      <c r="AG666" s="155">
        <f t="shared" si="365"/>
        <v>0</v>
      </c>
      <c r="AH666" s="155">
        <f t="shared" si="365"/>
        <v>0</v>
      </c>
      <c r="AI666" s="155">
        <f t="shared" si="365"/>
        <v>0</v>
      </c>
      <c r="AJ666" s="155">
        <f t="shared" si="365"/>
        <v>0</v>
      </c>
      <c r="AK666" s="155">
        <f t="shared" si="365"/>
        <v>0</v>
      </c>
      <c r="AL666" s="155">
        <f t="shared" si="365"/>
        <v>0</v>
      </c>
      <c r="AM666" s="155">
        <f t="shared" si="365"/>
        <v>0</v>
      </c>
      <c r="AN666" s="155">
        <f t="shared" si="365"/>
        <v>0</v>
      </c>
      <c r="AO666" s="155">
        <f t="shared" si="365"/>
        <v>0</v>
      </c>
      <c r="AP666" s="155">
        <f t="shared" si="365"/>
        <v>0</v>
      </c>
    </row>
    <row r="667" spans="1:42" x14ac:dyDescent="0.2">
      <c r="A667" s="4">
        <f t="shared" si="360"/>
        <v>8</v>
      </c>
      <c r="B667" s="170">
        <f t="shared" si="357"/>
        <v>0</v>
      </c>
      <c r="C667" s="155">
        <f t="shared" ref="C667:AP667" si="366">IF(C$2&gt;analysis_period,0,IF(C$2=equip1_reserve_freq*$A667,equip1_reserve_cost*system_capacity*1000*(1+inflation_rate/100)^B$2,0))</f>
        <v>0</v>
      </c>
      <c r="D667" s="155">
        <f t="shared" si="366"/>
        <v>0</v>
      </c>
      <c r="E667" s="155">
        <f t="shared" si="366"/>
        <v>0</v>
      </c>
      <c r="F667" s="155">
        <f t="shared" si="366"/>
        <v>0</v>
      </c>
      <c r="G667" s="155">
        <f t="shared" si="366"/>
        <v>0</v>
      </c>
      <c r="H667" s="155">
        <f t="shared" si="366"/>
        <v>0</v>
      </c>
      <c r="I667" s="155">
        <f t="shared" si="366"/>
        <v>0</v>
      </c>
      <c r="J667" s="155">
        <f t="shared" si="366"/>
        <v>0</v>
      </c>
      <c r="K667" s="155">
        <f t="shared" si="366"/>
        <v>0</v>
      </c>
      <c r="L667" s="155">
        <f t="shared" si="366"/>
        <v>0</v>
      </c>
      <c r="M667" s="155">
        <f t="shared" si="366"/>
        <v>0</v>
      </c>
      <c r="N667" s="155">
        <f t="shared" si="366"/>
        <v>0</v>
      </c>
      <c r="O667" s="155">
        <f t="shared" si="366"/>
        <v>0</v>
      </c>
      <c r="P667" s="155">
        <f t="shared" si="366"/>
        <v>0</v>
      </c>
      <c r="Q667" s="155">
        <f t="shared" si="366"/>
        <v>0</v>
      </c>
      <c r="R667" s="155">
        <f t="shared" si="366"/>
        <v>0</v>
      </c>
      <c r="S667" s="155">
        <f t="shared" si="366"/>
        <v>0</v>
      </c>
      <c r="T667" s="155">
        <f t="shared" si="366"/>
        <v>0</v>
      </c>
      <c r="U667" s="155">
        <f t="shared" si="366"/>
        <v>0</v>
      </c>
      <c r="V667" s="155">
        <f t="shared" si="366"/>
        <v>0</v>
      </c>
      <c r="W667" s="155">
        <f t="shared" si="366"/>
        <v>0</v>
      </c>
      <c r="X667" s="155">
        <f t="shared" si="366"/>
        <v>0</v>
      </c>
      <c r="Y667" s="155">
        <f t="shared" si="366"/>
        <v>0</v>
      </c>
      <c r="Z667" s="155">
        <f t="shared" si="366"/>
        <v>0</v>
      </c>
      <c r="AA667" s="155">
        <f t="shared" si="366"/>
        <v>0</v>
      </c>
      <c r="AB667" s="155">
        <f t="shared" si="366"/>
        <v>0</v>
      </c>
      <c r="AC667" s="155">
        <f t="shared" si="366"/>
        <v>0</v>
      </c>
      <c r="AD667" s="155">
        <f t="shared" si="366"/>
        <v>0</v>
      </c>
      <c r="AE667" s="155">
        <f t="shared" si="366"/>
        <v>0</v>
      </c>
      <c r="AF667" s="155">
        <f t="shared" si="366"/>
        <v>0</v>
      </c>
      <c r="AG667" s="155">
        <f t="shared" si="366"/>
        <v>0</v>
      </c>
      <c r="AH667" s="155">
        <f t="shared" si="366"/>
        <v>0</v>
      </c>
      <c r="AI667" s="155">
        <f t="shared" si="366"/>
        <v>0</v>
      </c>
      <c r="AJ667" s="155">
        <f t="shared" si="366"/>
        <v>0</v>
      </c>
      <c r="AK667" s="155">
        <f t="shared" si="366"/>
        <v>0</v>
      </c>
      <c r="AL667" s="155">
        <f t="shared" si="366"/>
        <v>0</v>
      </c>
      <c r="AM667" s="155">
        <f t="shared" si="366"/>
        <v>0</v>
      </c>
      <c r="AN667" s="155">
        <f t="shared" si="366"/>
        <v>0</v>
      </c>
      <c r="AO667" s="155">
        <f t="shared" si="366"/>
        <v>0</v>
      </c>
      <c r="AP667" s="155">
        <f t="shared" si="366"/>
        <v>0</v>
      </c>
    </row>
    <row r="668" spans="1:42" x14ac:dyDescent="0.2">
      <c r="A668" s="4">
        <f>A667+1</f>
        <v>9</v>
      </c>
      <c r="B668" s="170">
        <f t="shared" si="357"/>
        <v>0</v>
      </c>
      <c r="C668" s="155">
        <f t="shared" ref="C668:AP668" si="367">IF(C$2&gt;analysis_period,0,IF(C$2=equip1_reserve_freq*$A668,equip1_reserve_cost*system_capacity*1000*(1+inflation_rate/100)^B$2,0))</f>
        <v>0</v>
      </c>
      <c r="D668" s="155">
        <f t="shared" si="367"/>
        <v>0</v>
      </c>
      <c r="E668" s="155">
        <f t="shared" si="367"/>
        <v>0</v>
      </c>
      <c r="F668" s="155">
        <f t="shared" si="367"/>
        <v>0</v>
      </c>
      <c r="G668" s="155">
        <f t="shared" si="367"/>
        <v>0</v>
      </c>
      <c r="H668" s="155">
        <f t="shared" si="367"/>
        <v>0</v>
      </c>
      <c r="I668" s="155">
        <f t="shared" si="367"/>
        <v>0</v>
      </c>
      <c r="J668" s="155">
        <f t="shared" si="367"/>
        <v>0</v>
      </c>
      <c r="K668" s="155">
        <f t="shared" si="367"/>
        <v>0</v>
      </c>
      <c r="L668" s="155">
        <f t="shared" si="367"/>
        <v>0</v>
      </c>
      <c r="M668" s="155">
        <f t="shared" si="367"/>
        <v>0</v>
      </c>
      <c r="N668" s="155">
        <f t="shared" si="367"/>
        <v>0</v>
      </c>
      <c r="O668" s="155">
        <f t="shared" si="367"/>
        <v>0</v>
      </c>
      <c r="P668" s="155">
        <f t="shared" si="367"/>
        <v>0</v>
      </c>
      <c r="Q668" s="155">
        <f t="shared" si="367"/>
        <v>0</v>
      </c>
      <c r="R668" s="155">
        <f t="shared" si="367"/>
        <v>0</v>
      </c>
      <c r="S668" s="155">
        <f t="shared" si="367"/>
        <v>0</v>
      </c>
      <c r="T668" s="155">
        <f t="shared" si="367"/>
        <v>0</v>
      </c>
      <c r="U668" s="155">
        <f t="shared" si="367"/>
        <v>0</v>
      </c>
      <c r="V668" s="155">
        <f t="shared" si="367"/>
        <v>0</v>
      </c>
      <c r="W668" s="155">
        <f t="shared" si="367"/>
        <v>0</v>
      </c>
      <c r="X668" s="155">
        <f t="shared" si="367"/>
        <v>0</v>
      </c>
      <c r="Y668" s="155">
        <f t="shared" si="367"/>
        <v>0</v>
      </c>
      <c r="Z668" s="155">
        <f t="shared" si="367"/>
        <v>0</v>
      </c>
      <c r="AA668" s="155">
        <f t="shared" si="367"/>
        <v>0</v>
      </c>
      <c r="AB668" s="155">
        <f t="shared" si="367"/>
        <v>0</v>
      </c>
      <c r="AC668" s="155">
        <f t="shared" si="367"/>
        <v>0</v>
      </c>
      <c r="AD668" s="155">
        <f t="shared" si="367"/>
        <v>0</v>
      </c>
      <c r="AE668" s="155">
        <f t="shared" si="367"/>
        <v>0</v>
      </c>
      <c r="AF668" s="155">
        <f t="shared" si="367"/>
        <v>0</v>
      </c>
      <c r="AG668" s="155">
        <f t="shared" si="367"/>
        <v>0</v>
      </c>
      <c r="AH668" s="155">
        <f t="shared" si="367"/>
        <v>0</v>
      </c>
      <c r="AI668" s="155">
        <f t="shared" si="367"/>
        <v>0</v>
      </c>
      <c r="AJ668" s="155">
        <f t="shared" si="367"/>
        <v>0</v>
      </c>
      <c r="AK668" s="155">
        <f t="shared" si="367"/>
        <v>0</v>
      </c>
      <c r="AL668" s="155">
        <f t="shared" si="367"/>
        <v>0</v>
      </c>
      <c r="AM668" s="155">
        <f t="shared" si="367"/>
        <v>0</v>
      </c>
      <c r="AN668" s="155">
        <f t="shared" si="367"/>
        <v>0</v>
      </c>
      <c r="AO668" s="155">
        <f t="shared" si="367"/>
        <v>0</v>
      </c>
      <c r="AP668" s="155">
        <f t="shared" si="367"/>
        <v>0</v>
      </c>
    </row>
    <row r="669" spans="1:42" x14ac:dyDescent="0.2">
      <c r="A669" s="4">
        <f t="shared" si="360"/>
        <v>10</v>
      </c>
      <c r="B669" s="170">
        <f t="shared" si="357"/>
        <v>0</v>
      </c>
      <c r="C669" s="155">
        <f t="shared" ref="C669:AP669" si="368">IF(C$2&gt;analysis_period,0,IF(C$2=equip1_reserve_freq*$A669,equip1_reserve_cost*system_capacity*1000*(1+inflation_rate/100)^B$2,0))</f>
        <v>0</v>
      </c>
      <c r="D669" s="155">
        <f t="shared" si="368"/>
        <v>0</v>
      </c>
      <c r="E669" s="155">
        <f t="shared" si="368"/>
        <v>0</v>
      </c>
      <c r="F669" s="155">
        <f t="shared" si="368"/>
        <v>0</v>
      </c>
      <c r="G669" s="155">
        <f t="shared" si="368"/>
        <v>0</v>
      </c>
      <c r="H669" s="155">
        <f t="shared" si="368"/>
        <v>0</v>
      </c>
      <c r="I669" s="155">
        <f t="shared" si="368"/>
        <v>0</v>
      </c>
      <c r="J669" s="155">
        <f t="shared" si="368"/>
        <v>0</v>
      </c>
      <c r="K669" s="155">
        <f t="shared" si="368"/>
        <v>0</v>
      </c>
      <c r="L669" s="155">
        <f t="shared" si="368"/>
        <v>0</v>
      </c>
      <c r="M669" s="155">
        <f t="shared" si="368"/>
        <v>0</v>
      </c>
      <c r="N669" s="155">
        <f t="shared" si="368"/>
        <v>0</v>
      </c>
      <c r="O669" s="155">
        <f t="shared" si="368"/>
        <v>0</v>
      </c>
      <c r="P669" s="155">
        <f t="shared" si="368"/>
        <v>0</v>
      </c>
      <c r="Q669" s="155">
        <f t="shared" si="368"/>
        <v>0</v>
      </c>
      <c r="R669" s="155">
        <f t="shared" si="368"/>
        <v>0</v>
      </c>
      <c r="S669" s="155">
        <f t="shared" si="368"/>
        <v>0</v>
      </c>
      <c r="T669" s="155">
        <f t="shared" si="368"/>
        <v>0</v>
      </c>
      <c r="U669" s="155">
        <f t="shared" si="368"/>
        <v>0</v>
      </c>
      <c r="V669" s="155">
        <f t="shared" si="368"/>
        <v>0</v>
      </c>
      <c r="W669" s="155">
        <f t="shared" si="368"/>
        <v>0</v>
      </c>
      <c r="X669" s="155">
        <f t="shared" si="368"/>
        <v>0</v>
      </c>
      <c r="Y669" s="155">
        <f t="shared" si="368"/>
        <v>0</v>
      </c>
      <c r="Z669" s="155">
        <f t="shared" si="368"/>
        <v>0</v>
      </c>
      <c r="AA669" s="155">
        <f t="shared" si="368"/>
        <v>0</v>
      </c>
      <c r="AB669" s="155">
        <f t="shared" si="368"/>
        <v>0</v>
      </c>
      <c r="AC669" s="155">
        <f t="shared" si="368"/>
        <v>0</v>
      </c>
      <c r="AD669" s="155">
        <f t="shared" si="368"/>
        <v>0</v>
      </c>
      <c r="AE669" s="155">
        <f t="shared" si="368"/>
        <v>0</v>
      </c>
      <c r="AF669" s="155">
        <f t="shared" si="368"/>
        <v>0</v>
      </c>
      <c r="AG669" s="155">
        <f t="shared" si="368"/>
        <v>0</v>
      </c>
      <c r="AH669" s="155">
        <f t="shared" si="368"/>
        <v>0</v>
      </c>
      <c r="AI669" s="155">
        <f t="shared" si="368"/>
        <v>0</v>
      </c>
      <c r="AJ669" s="155">
        <f t="shared" si="368"/>
        <v>0</v>
      </c>
      <c r="AK669" s="155">
        <f t="shared" si="368"/>
        <v>0</v>
      </c>
      <c r="AL669" s="155">
        <f t="shared" si="368"/>
        <v>0</v>
      </c>
      <c r="AM669" s="155">
        <f t="shared" si="368"/>
        <v>0</v>
      </c>
      <c r="AN669" s="155">
        <f t="shared" si="368"/>
        <v>0</v>
      </c>
      <c r="AO669" s="155">
        <f t="shared" si="368"/>
        <v>0</v>
      </c>
      <c r="AP669" s="155">
        <f t="shared" si="368"/>
        <v>0</v>
      </c>
    </row>
    <row r="670" spans="1:42" x14ac:dyDescent="0.2">
      <c r="A670" s="24" t="s">
        <v>13</v>
      </c>
      <c r="B670" s="14"/>
      <c r="C670" s="155">
        <f>SUM(C660:C669)</f>
        <v>0</v>
      </c>
      <c r="D670" s="155">
        <f t="shared" ref="D670:AD670" si="369">SUM(D660:D669)</f>
        <v>0</v>
      </c>
      <c r="E670" s="155">
        <f t="shared" si="369"/>
        <v>0</v>
      </c>
      <c r="F670" s="155">
        <f t="shared" si="369"/>
        <v>0</v>
      </c>
      <c r="G670" s="155">
        <f t="shared" si="369"/>
        <v>0</v>
      </c>
      <c r="H670" s="155">
        <f t="shared" si="369"/>
        <v>0</v>
      </c>
      <c r="I670" s="155">
        <f t="shared" si="369"/>
        <v>0</v>
      </c>
      <c r="J670" s="155">
        <f t="shared" si="369"/>
        <v>0</v>
      </c>
      <c r="K670" s="155">
        <f t="shared" si="369"/>
        <v>0</v>
      </c>
      <c r="L670" s="155">
        <f t="shared" si="369"/>
        <v>0</v>
      </c>
      <c r="M670" s="155">
        <f t="shared" si="369"/>
        <v>0</v>
      </c>
      <c r="N670" s="155">
        <f t="shared" si="369"/>
        <v>0</v>
      </c>
      <c r="O670" s="155">
        <f t="shared" si="369"/>
        <v>0</v>
      </c>
      <c r="P670" s="155">
        <f t="shared" si="369"/>
        <v>0</v>
      </c>
      <c r="Q670" s="155">
        <f t="shared" si="369"/>
        <v>0</v>
      </c>
      <c r="R670" s="155">
        <f t="shared" si="369"/>
        <v>0</v>
      </c>
      <c r="S670" s="155">
        <f t="shared" si="369"/>
        <v>0</v>
      </c>
      <c r="T670" s="155">
        <f t="shared" si="369"/>
        <v>0</v>
      </c>
      <c r="U670" s="155">
        <f t="shared" si="369"/>
        <v>0</v>
      </c>
      <c r="V670" s="155">
        <f t="shared" si="369"/>
        <v>0</v>
      </c>
      <c r="W670" s="155">
        <f t="shared" si="369"/>
        <v>0</v>
      </c>
      <c r="X670" s="155">
        <f t="shared" si="369"/>
        <v>0</v>
      </c>
      <c r="Y670" s="155">
        <f t="shared" si="369"/>
        <v>0</v>
      </c>
      <c r="Z670" s="155">
        <f t="shared" si="369"/>
        <v>0</v>
      </c>
      <c r="AA670" s="155">
        <f t="shared" si="369"/>
        <v>0</v>
      </c>
      <c r="AB670" s="155">
        <f t="shared" si="369"/>
        <v>0</v>
      </c>
      <c r="AC670" s="155">
        <f t="shared" si="369"/>
        <v>0</v>
      </c>
      <c r="AD670" s="155">
        <f t="shared" si="369"/>
        <v>0</v>
      </c>
      <c r="AE670" s="155">
        <f t="shared" ref="AE670" si="370">SUM(AE660:AE669)</f>
        <v>0</v>
      </c>
      <c r="AF670" s="155">
        <f t="shared" ref="AF670:AP670" si="371">SUM(AF660:AF669)</f>
        <v>0</v>
      </c>
      <c r="AG670" s="155">
        <f t="shared" si="371"/>
        <v>0</v>
      </c>
      <c r="AH670" s="155">
        <f t="shared" si="371"/>
        <v>0</v>
      </c>
      <c r="AI670" s="155">
        <f t="shared" si="371"/>
        <v>0</v>
      </c>
      <c r="AJ670" s="155">
        <f t="shared" si="371"/>
        <v>0</v>
      </c>
      <c r="AK670" s="155">
        <f t="shared" si="371"/>
        <v>0</v>
      </c>
      <c r="AL670" s="155">
        <f t="shared" si="371"/>
        <v>0</v>
      </c>
      <c r="AM670" s="155">
        <f t="shared" si="371"/>
        <v>0</v>
      </c>
      <c r="AN670" s="155">
        <f t="shared" si="371"/>
        <v>0</v>
      </c>
      <c r="AO670" s="155">
        <f t="shared" si="371"/>
        <v>0</v>
      </c>
      <c r="AP670" s="155">
        <f t="shared" si="371"/>
        <v>0</v>
      </c>
    </row>
    <row r="671" spans="1:42" x14ac:dyDescent="0.2">
      <c r="A671" s="4" t="s">
        <v>281</v>
      </c>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row>
    <row r="672" spans="1:42" x14ac:dyDescent="0.2">
      <c r="A672" s="4">
        <v>1</v>
      </c>
      <c r="B672" s="170">
        <f t="shared" ref="B672:B681" si="372">SUM(C672:AP672)</f>
        <v>0</v>
      </c>
      <c r="C672" s="155">
        <f t="shared" ref="C672:AP672" si="373">IF(C$2&lt;=equip1_reserve_freq*$A$660,$B$660/(equip1_reserve_freq),0)</f>
        <v>0</v>
      </c>
      <c r="D672" s="155">
        <f t="shared" si="373"/>
        <v>0</v>
      </c>
      <c r="E672" s="155">
        <f t="shared" si="373"/>
        <v>0</v>
      </c>
      <c r="F672" s="155">
        <f t="shared" si="373"/>
        <v>0</v>
      </c>
      <c r="G672" s="155">
        <f t="shared" si="373"/>
        <v>0</v>
      </c>
      <c r="H672" s="155">
        <f t="shared" si="373"/>
        <v>0</v>
      </c>
      <c r="I672" s="155">
        <f t="shared" si="373"/>
        <v>0</v>
      </c>
      <c r="J672" s="155">
        <f t="shared" si="373"/>
        <v>0</v>
      </c>
      <c r="K672" s="155">
        <f t="shared" si="373"/>
        <v>0</v>
      </c>
      <c r="L672" s="155">
        <f t="shared" si="373"/>
        <v>0</v>
      </c>
      <c r="M672" s="155">
        <f t="shared" si="373"/>
        <v>0</v>
      </c>
      <c r="N672" s="155">
        <f t="shared" si="373"/>
        <v>0</v>
      </c>
      <c r="O672" s="155">
        <f t="shared" si="373"/>
        <v>0</v>
      </c>
      <c r="P672" s="155">
        <f t="shared" si="373"/>
        <v>0</v>
      </c>
      <c r="Q672" s="155">
        <f t="shared" si="373"/>
        <v>0</v>
      </c>
      <c r="R672" s="155">
        <f t="shared" si="373"/>
        <v>0</v>
      </c>
      <c r="S672" s="155">
        <f t="shared" si="373"/>
        <v>0</v>
      </c>
      <c r="T672" s="155">
        <f t="shared" si="373"/>
        <v>0</v>
      </c>
      <c r="U672" s="155">
        <f t="shared" si="373"/>
        <v>0</v>
      </c>
      <c r="V672" s="155">
        <f t="shared" si="373"/>
        <v>0</v>
      </c>
      <c r="W672" s="155">
        <f t="shared" si="373"/>
        <v>0</v>
      </c>
      <c r="X672" s="155">
        <f t="shared" si="373"/>
        <v>0</v>
      </c>
      <c r="Y672" s="155">
        <f t="shared" si="373"/>
        <v>0</v>
      </c>
      <c r="Z672" s="155">
        <f t="shared" si="373"/>
        <v>0</v>
      </c>
      <c r="AA672" s="155">
        <f t="shared" si="373"/>
        <v>0</v>
      </c>
      <c r="AB672" s="155">
        <f t="shared" si="373"/>
        <v>0</v>
      </c>
      <c r="AC672" s="155">
        <f t="shared" si="373"/>
        <v>0</v>
      </c>
      <c r="AD672" s="155">
        <f t="shared" si="373"/>
        <v>0</v>
      </c>
      <c r="AE672" s="155">
        <f t="shared" si="373"/>
        <v>0</v>
      </c>
      <c r="AF672" s="155">
        <f t="shared" si="373"/>
        <v>0</v>
      </c>
      <c r="AG672" s="155">
        <f t="shared" si="373"/>
        <v>0</v>
      </c>
      <c r="AH672" s="155">
        <f t="shared" si="373"/>
        <v>0</v>
      </c>
      <c r="AI672" s="155">
        <f t="shared" si="373"/>
        <v>0</v>
      </c>
      <c r="AJ672" s="155">
        <f t="shared" si="373"/>
        <v>0</v>
      </c>
      <c r="AK672" s="155">
        <f t="shared" si="373"/>
        <v>0</v>
      </c>
      <c r="AL672" s="155">
        <f t="shared" si="373"/>
        <v>0</v>
      </c>
      <c r="AM672" s="155">
        <f t="shared" si="373"/>
        <v>0</v>
      </c>
      <c r="AN672" s="155">
        <f t="shared" si="373"/>
        <v>0</v>
      </c>
      <c r="AO672" s="155">
        <f t="shared" si="373"/>
        <v>0</v>
      </c>
      <c r="AP672" s="155">
        <f t="shared" si="373"/>
        <v>0</v>
      </c>
    </row>
    <row r="673" spans="1:42" x14ac:dyDescent="0.2">
      <c r="A673" s="4">
        <f>A672+1</f>
        <v>2</v>
      </c>
      <c r="B673" s="170">
        <f t="shared" si="372"/>
        <v>0</v>
      </c>
      <c r="C673" s="172">
        <f t="shared" ref="C673:AP673" si="374">IF(AND(C$2&gt;equip1_reserve_freq*$A660,C$2&lt;=equip1_reserve_freq*$A661),$B661/(equip1_reserve_freq),0)</f>
        <v>0</v>
      </c>
      <c r="D673" s="155">
        <f t="shared" si="374"/>
        <v>0</v>
      </c>
      <c r="E673" s="155">
        <f t="shared" si="374"/>
        <v>0</v>
      </c>
      <c r="F673" s="155">
        <f t="shared" si="374"/>
        <v>0</v>
      </c>
      <c r="G673" s="155">
        <f t="shared" si="374"/>
        <v>0</v>
      </c>
      <c r="H673" s="155">
        <f t="shared" si="374"/>
        <v>0</v>
      </c>
      <c r="I673" s="155">
        <f t="shared" si="374"/>
        <v>0</v>
      </c>
      <c r="J673" s="155">
        <f t="shared" si="374"/>
        <v>0</v>
      </c>
      <c r="K673" s="155">
        <f t="shared" si="374"/>
        <v>0</v>
      </c>
      <c r="L673" s="155">
        <f t="shared" si="374"/>
        <v>0</v>
      </c>
      <c r="M673" s="155">
        <f t="shared" si="374"/>
        <v>0</v>
      </c>
      <c r="N673" s="155">
        <f t="shared" si="374"/>
        <v>0</v>
      </c>
      <c r="O673" s="155">
        <f t="shared" si="374"/>
        <v>0</v>
      </c>
      <c r="P673" s="155">
        <f t="shared" si="374"/>
        <v>0</v>
      </c>
      <c r="Q673" s="155">
        <f t="shared" si="374"/>
        <v>0</v>
      </c>
      <c r="R673" s="155">
        <f t="shared" si="374"/>
        <v>0</v>
      </c>
      <c r="S673" s="155">
        <f t="shared" si="374"/>
        <v>0</v>
      </c>
      <c r="T673" s="155">
        <f t="shared" si="374"/>
        <v>0</v>
      </c>
      <c r="U673" s="155">
        <f t="shared" si="374"/>
        <v>0</v>
      </c>
      <c r="V673" s="155">
        <f t="shared" si="374"/>
        <v>0</v>
      </c>
      <c r="W673" s="155">
        <f t="shared" si="374"/>
        <v>0</v>
      </c>
      <c r="X673" s="155">
        <f t="shared" si="374"/>
        <v>0</v>
      </c>
      <c r="Y673" s="155">
        <f t="shared" si="374"/>
        <v>0</v>
      </c>
      <c r="Z673" s="155">
        <f t="shared" si="374"/>
        <v>0</v>
      </c>
      <c r="AA673" s="155">
        <f t="shared" si="374"/>
        <v>0</v>
      </c>
      <c r="AB673" s="155">
        <f t="shared" si="374"/>
        <v>0</v>
      </c>
      <c r="AC673" s="155">
        <f t="shared" si="374"/>
        <v>0</v>
      </c>
      <c r="AD673" s="155">
        <f t="shared" si="374"/>
        <v>0</v>
      </c>
      <c r="AE673" s="155">
        <f t="shared" si="374"/>
        <v>0</v>
      </c>
      <c r="AF673" s="155">
        <f t="shared" si="374"/>
        <v>0</v>
      </c>
      <c r="AG673" s="155">
        <f t="shared" si="374"/>
        <v>0</v>
      </c>
      <c r="AH673" s="155">
        <f t="shared" si="374"/>
        <v>0</v>
      </c>
      <c r="AI673" s="155">
        <f t="shared" si="374"/>
        <v>0</v>
      </c>
      <c r="AJ673" s="155">
        <f t="shared" si="374"/>
        <v>0</v>
      </c>
      <c r="AK673" s="155">
        <f t="shared" si="374"/>
        <v>0</v>
      </c>
      <c r="AL673" s="155">
        <f t="shared" si="374"/>
        <v>0</v>
      </c>
      <c r="AM673" s="155">
        <f t="shared" si="374"/>
        <v>0</v>
      </c>
      <c r="AN673" s="155">
        <f t="shared" si="374"/>
        <v>0</v>
      </c>
      <c r="AO673" s="155">
        <f t="shared" si="374"/>
        <v>0</v>
      </c>
      <c r="AP673" s="155">
        <f t="shared" si="374"/>
        <v>0</v>
      </c>
    </row>
    <row r="674" spans="1:42" x14ac:dyDescent="0.2">
      <c r="A674" s="4">
        <f t="shared" ref="A674:A679" si="375">A673+1</f>
        <v>3</v>
      </c>
      <c r="B674" s="170">
        <f t="shared" si="372"/>
        <v>0</v>
      </c>
      <c r="C674" s="172">
        <f t="shared" ref="C674:AP674" si="376">IF(AND(C$2&gt;equip1_reserve_freq*$A661,C$2&lt;=equip1_reserve_freq*$A662),$B662/(equip1_reserve_freq),0)</f>
        <v>0</v>
      </c>
      <c r="D674" s="155">
        <f t="shared" si="376"/>
        <v>0</v>
      </c>
      <c r="E674" s="155">
        <f t="shared" si="376"/>
        <v>0</v>
      </c>
      <c r="F674" s="155">
        <f t="shared" si="376"/>
        <v>0</v>
      </c>
      <c r="G674" s="155">
        <f t="shared" si="376"/>
        <v>0</v>
      </c>
      <c r="H674" s="155">
        <f t="shared" si="376"/>
        <v>0</v>
      </c>
      <c r="I674" s="155">
        <f t="shared" si="376"/>
        <v>0</v>
      </c>
      <c r="J674" s="155">
        <f t="shared" si="376"/>
        <v>0</v>
      </c>
      <c r="K674" s="155">
        <f t="shared" si="376"/>
        <v>0</v>
      </c>
      <c r="L674" s="155">
        <f t="shared" si="376"/>
        <v>0</v>
      </c>
      <c r="M674" s="155">
        <f t="shared" si="376"/>
        <v>0</v>
      </c>
      <c r="N674" s="155">
        <f t="shared" si="376"/>
        <v>0</v>
      </c>
      <c r="O674" s="155">
        <f t="shared" si="376"/>
        <v>0</v>
      </c>
      <c r="P674" s="155">
        <f t="shared" si="376"/>
        <v>0</v>
      </c>
      <c r="Q674" s="155">
        <f t="shared" si="376"/>
        <v>0</v>
      </c>
      <c r="R674" s="155">
        <f t="shared" si="376"/>
        <v>0</v>
      </c>
      <c r="S674" s="155">
        <f t="shared" si="376"/>
        <v>0</v>
      </c>
      <c r="T674" s="155">
        <f t="shared" si="376"/>
        <v>0</v>
      </c>
      <c r="U674" s="155">
        <f t="shared" si="376"/>
        <v>0</v>
      </c>
      <c r="V674" s="155">
        <f t="shared" si="376"/>
        <v>0</v>
      </c>
      <c r="W674" s="155">
        <f t="shared" si="376"/>
        <v>0</v>
      </c>
      <c r="X674" s="155">
        <f t="shared" si="376"/>
        <v>0</v>
      </c>
      <c r="Y674" s="155">
        <f t="shared" si="376"/>
        <v>0</v>
      </c>
      <c r="Z674" s="155">
        <f t="shared" si="376"/>
        <v>0</v>
      </c>
      <c r="AA674" s="155">
        <f t="shared" si="376"/>
        <v>0</v>
      </c>
      <c r="AB674" s="155">
        <f t="shared" si="376"/>
        <v>0</v>
      </c>
      <c r="AC674" s="155">
        <f t="shared" si="376"/>
        <v>0</v>
      </c>
      <c r="AD674" s="155">
        <f t="shared" si="376"/>
        <v>0</v>
      </c>
      <c r="AE674" s="155">
        <f t="shared" si="376"/>
        <v>0</v>
      </c>
      <c r="AF674" s="155">
        <f t="shared" si="376"/>
        <v>0</v>
      </c>
      <c r="AG674" s="155">
        <f t="shared" si="376"/>
        <v>0</v>
      </c>
      <c r="AH674" s="155">
        <f t="shared" si="376"/>
        <v>0</v>
      </c>
      <c r="AI674" s="155">
        <f t="shared" si="376"/>
        <v>0</v>
      </c>
      <c r="AJ674" s="155">
        <f t="shared" si="376"/>
        <v>0</v>
      </c>
      <c r="AK674" s="155">
        <f t="shared" si="376"/>
        <v>0</v>
      </c>
      <c r="AL674" s="155">
        <f t="shared" si="376"/>
        <v>0</v>
      </c>
      <c r="AM674" s="155">
        <f t="shared" si="376"/>
        <v>0</v>
      </c>
      <c r="AN674" s="155">
        <f t="shared" si="376"/>
        <v>0</v>
      </c>
      <c r="AO674" s="155">
        <f t="shared" si="376"/>
        <v>0</v>
      </c>
      <c r="AP674" s="155">
        <f t="shared" si="376"/>
        <v>0</v>
      </c>
    </row>
    <row r="675" spans="1:42" x14ac:dyDescent="0.2">
      <c r="A675" s="4">
        <f t="shared" si="375"/>
        <v>4</v>
      </c>
      <c r="B675" s="170">
        <f t="shared" si="372"/>
        <v>0</v>
      </c>
      <c r="C675" s="172">
        <f t="shared" ref="C675:AP675" si="377">IF(AND(C$2&gt;equip1_reserve_freq*$A662,C$2&lt;=equip1_reserve_freq*$A663),$B663/(equip1_reserve_freq),0)</f>
        <v>0</v>
      </c>
      <c r="D675" s="155">
        <f t="shared" si="377"/>
        <v>0</v>
      </c>
      <c r="E675" s="155">
        <f t="shared" si="377"/>
        <v>0</v>
      </c>
      <c r="F675" s="155">
        <f t="shared" si="377"/>
        <v>0</v>
      </c>
      <c r="G675" s="155">
        <f t="shared" si="377"/>
        <v>0</v>
      </c>
      <c r="H675" s="155">
        <f t="shared" si="377"/>
        <v>0</v>
      </c>
      <c r="I675" s="155">
        <f t="shared" si="377"/>
        <v>0</v>
      </c>
      <c r="J675" s="155">
        <f t="shared" si="377"/>
        <v>0</v>
      </c>
      <c r="K675" s="155">
        <f t="shared" si="377"/>
        <v>0</v>
      </c>
      <c r="L675" s="155">
        <f t="shared" si="377"/>
        <v>0</v>
      </c>
      <c r="M675" s="155">
        <f t="shared" si="377"/>
        <v>0</v>
      </c>
      <c r="N675" s="155">
        <f t="shared" si="377"/>
        <v>0</v>
      </c>
      <c r="O675" s="155">
        <f t="shared" si="377"/>
        <v>0</v>
      </c>
      <c r="P675" s="155">
        <f t="shared" si="377"/>
        <v>0</v>
      </c>
      <c r="Q675" s="155">
        <f t="shared" si="377"/>
        <v>0</v>
      </c>
      <c r="R675" s="155">
        <f t="shared" si="377"/>
        <v>0</v>
      </c>
      <c r="S675" s="155">
        <f t="shared" si="377"/>
        <v>0</v>
      </c>
      <c r="T675" s="155">
        <f t="shared" si="377"/>
        <v>0</v>
      </c>
      <c r="U675" s="155">
        <f t="shared" si="377"/>
        <v>0</v>
      </c>
      <c r="V675" s="155">
        <f t="shared" si="377"/>
        <v>0</v>
      </c>
      <c r="W675" s="155">
        <f t="shared" si="377"/>
        <v>0</v>
      </c>
      <c r="X675" s="155">
        <f t="shared" si="377"/>
        <v>0</v>
      </c>
      <c r="Y675" s="155">
        <f t="shared" si="377"/>
        <v>0</v>
      </c>
      <c r="Z675" s="155">
        <f t="shared" si="377"/>
        <v>0</v>
      </c>
      <c r="AA675" s="155">
        <f t="shared" si="377"/>
        <v>0</v>
      </c>
      <c r="AB675" s="155">
        <f t="shared" si="377"/>
        <v>0</v>
      </c>
      <c r="AC675" s="155">
        <f t="shared" si="377"/>
        <v>0</v>
      </c>
      <c r="AD675" s="155">
        <f t="shared" si="377"/>
        <v>0</v>
      </c>
      <c r="AE675" s="155">
        <f t="shared" si="377"/>
        <v>0</v>
      </c>
      <c r="AF675" s="155">
        <f t="shared" si="377"/>
        <v>0</v>
      </c>
      <c r="AG675" s="155">
        <f t="shared" si="377"/>
        <v>0</v>
      </c>
      <c r="AH675" s="155">
        <f t="shared" si="377"/>
        <v>0</v>
      </c>
      <c r="AI675" s="155">
        <f t="shared" si="377"/>
        <v>0</v>
      </c>
      <c r="AJ675" s="155">
        <f t="shared" si="377"/>
        <v>0</v>
      </c>
      <c r="AK675" s="155">
        <f t="shared" si="377"/>
        <v>0</v>
      </c>
      <c r="AL675" s="155">
        <f t="shared" si="377"/>
        <v>0</v>
      </c>
      <c r="AM675" s="155">
        <f t="shared" si="377"/>
        <v>0</v>
      </c>
      <c r="AN675" s="155">
        <f t="shared" si="377"/>
        <v>0</v>
      </c>
      <c r="AO675" s="155">
        <f t="shared" si="377"/>
        <v>0</v>
      </c>
      <c r="AP675" s="155">
        <f t="shared" si="377"/>
        <v>0</v>
      </c>
    </row>
    <row r="676" spans="1:42" x14ac:dyDescent="0.2">
      <c r="A676" s="4">
        <f t="shared" si="375"/>
        <v>5</v>
      </c>
      <c r="B676" s="170">
        <f t="shared" si="372"/>
        <v>0</v>
      </c>
      <c r="C676" s="172">
        <f t="shared" ref="C676:AP676" si="378">IF(AND(C$2&gt;equip1_reserve_freq*$A663,C$2&lt;=equip1_reserve_freq*$A664),$B664/(equip1_reserve_freq),0)</f>
        <v>0</v>
      </c>
      <c r="D676" s="155">
        <f t="shared" si="378"/>
        <v>0</v>
      </c>
      <c r="E676" s="155">
        <f t="shared" si="378"/>
        <v>0</v>
      </c>
      <c r="F676" s="155">
        <f t="shared" si="378"/>
        <v>0</v>
      </c>
      <c r="G676" s="155">
        <f t="shared" si="378"/>
        <v>0</v>
      </c>
      <c r="H676" s="155">
        <f t="shared" si="378"/>
        <v>0</v>
      </c>
      <c r="I676" s="155">
        <f t="shared" si="378"/>
        <v>0</v>
      </c>
      <c r="J676" s="155">
        <f t="shared" si="378"/>
        <v>0</v>
      </c>
      <c r="K676" s="155">
        <f t="shared" si="378"/>
        <v>0</v>
      </c>
      <c r="L676" s="155">
        <f t="shared" si="378"/>
        <v>0</v>
      </c>
      <c r="M676" s="155">
        <f t="shared" si="378"/>
        <v>0</v>
      </c>
      <c r="N676" s="155">
        <f t="shared" si="378"/>
        <v>0</v>
      </c>
      <c r="O676" s="155">
        <f t="shared" si="378"/>
        <v>0</v>
      </c>
      <c r="P676" s="155">
        <f t="shared" si="378"/>
        <v>0</v>
      </c>
      <c r="Q676" s="155">
        <f t="shared" si="378"/>
        <v>0</v>
      </c>
      <c r="R676" s="155">
        <f t="shared" si="378"/>
        <v>0</v>
      </c>
      <c r="S676" s="155">
        <f t="shared" si="378"/>
        <v>0</v>
      </c>
      <c r="T676" s="155">
        <f t="shared" si="378"/>
        <v>0</v>
      </c>
      <c r="U676" s="155">
        <f t="shared" si="378"/>
        <v>0</v>
      </c>
      <c r="V676" s="155">
        <f t="shared" si="378"/>
        <v>0</v>
      </c>
      <c r="W676" s="155">
        <f t="shared" si="378"/>
        <v>0</v>
      </c>
      <c r="X676" s="155">
        <f t="shared" si="378"/>
        <v>0</v>
      </c>
      <c r="Y676" s="155">
        <f t="shared" si="378"/>
        <v>0</v>
      </c>
      <c r="Z676" s="155">
        <f t="shared" si="378"/>
        <v>0</v>
      </c>
      <c r="AA676" s="155">
        <f t="shared" si="378"/>
        <v>0</v>
      </c>
      <c r="AB676" s="155">
        <f t="shared" si="378"/>
        <v>0</v>
      </c>
      <c r="AC676" s="155">
        <f t="shared" si="378"/>
        <v>0</v>
      </c>
      <c r="AD676" s="155">
        <f t="shared" si="378"/>
        <v>0</v>
      </c>
      <c r="AE676" s="155">
        <f t="shared" si="378"/>
        <v>0</v>
      </c>
      <c r="AF676" s="155">
        <f t="shared" si="378"/>
        <v>0</v>
      </c>
      <c r="AG676" s="155">
        <f t="shared" si="378"/>
        <v>0</v>
      </c>
      <c r="AH676" s="155">
        <f t="shared" si="378"/>
        <v>0</v>
      </c>
      <c r="AI676" s="155">
        <f t="shared" si="378"/>
        <v>0</v>
      </c>
      <c r="AJ676" s="155">
        <f t="shared" si="378"/>
        <v>0</v>
      </c>
      <c r="AK676" s="155">
        <f t="shared" si="378"/>
        <v>0</v>
      </c>
      <c r="AL676" s="155">
        <f t="shared" si="378"/>
        <v>0</v>
      </c>
      <c r="AM676" s="155">
        <f t="shared" si="378"/>
        <v>0</v>
      </c>
      <c r="AN676" s="155">
        <f t="shared" si="378"/>
        <v>0</v>
      </c>
      <c r="AO676" s="155">
        <f t="shared" si="378"/>
        <v>0</v>
      </c>
      <c r="AP676" s="155">
        <f t="shared" si="378"/>
        <v>0</v>
      </c>
    </row>
    <row r="677" spans="1:42" x14ac:dyDescent="0.2">
      <c r="A677" s="4">
        <f t="shared" si="375"/>
        <v>6</v>
      </c>
      <c r="B677" s="170">
        <f t="shared" si="372"/>
        <v>0</v>
      </c>
      <c r="C677" s="172">
        <f t="shared" ref="C677:AP677" si="379">IF(AND(C$2&gt;equip1_reserve_freq*$A664,C$2&lt;=equip1_reserve_freq*$A665),$B665/(equip1_reserve_freq),0)</f>
        <v>0</v>
      </c>
      <c r="D677" s="155">
        <f t="shared" si="379"/>
        <v>0</v>
      </c>
      <c r="E677" s="155">
        <f t="shared" si="379"/>
        <v>0</v>
      </c>
      <c r="F677" s="155">
        <f t="shared" si="379"/>
        <v>0</v>
      </c>
      <c r="G677" s="155">
        <f t="shared" si="379"/>
        <v>0</v>
      </c>
      <c r="H677" s="155">
        <f t="shared" si="379"/>
        <v>0</v>
      </c>
      <c r="I677" s="155">
        <f t="shared" si="379"/>
        <v>0</v>
      </c>
      <c r="J677" s="155">
        <f t="shared" si="379"/>
        <v>0</v>
      </c>
      <c r="K677" s="155">
        <f t="shared" si="379"/>
        <v>0</v>
      </c>
      <c r="L677" s="155">
        <f t="shared" si="379"/>
        <v>0</v>
      </c>
      <c r="M677" s="155">
        <f t="shared" si="379"/>
        <v>0</v>
      </c>
      <c r="N677" s="155">
        <f t="shared" si="379"/>
        <v>0</v>
      </c>
      <c r="O677" s="155">
        <f t="shared" si="379"/>
        <v>0</v>
      </c>
      <c r="P677" s="155">
        <f t="shared" si="379"/>
        <v>0</v>
      </c>
      <c r="Q677" s="155">
        <f t="shared" si="379"/>
        <v>0</v>
      </c>
      <c r="R677" s="155">
        <f t="shared" si="379"/>
        <v>0</v>
      </c>
      <c r="S677" s="155">
        <f t="shared" si="379"/>
        <v>0</v>
      </c>
      <c r="T677" s="155">
        <f t="shared" si="379"/>
        <v>0</v>
      </c>
      <c r="U677" s="155">
        <f t="shared" si="379"/>
        <v>0</v>
      </c>
      <c r="V677" s="155">
        <f t="shared" si="379"/>
        <v>0</v>
      </c>
      <c r="W677" s="155">
        <f t="shared" si="379"/>
        <v>0</v>
      </c>
      <c r="X677" s="155">
        <f t="shared" si="379"/>
        <v>0</v>
      </c>
      <c r="Y677" s="155">
        <f t="shared" si="379"/>
        <v>0</v>
      </c>
      <c r="Z677" s="155">
        <f t="shared" si="379"/>
        <v>0</v>
      </c>
      <c r="AA677" s="155">
        <f t="shared" si="379"/>
        <v>0</v>
      </c>
      <c r="AB677" s="155">
        <f t="shared" si="379"/>
        <v>0</v>
      </c>
      <c r="AC677" s="155">
        <f t="shared" si="379"/>
        <v>0</v>
      </c>
      <c r="AD677" s="155">
        <f t="shared" si="379"/>
        <v>0</v>
      </c>
      <c r="AE677" s="155">
        <f t="shared" si="379"/>
        <v>0</v>
      </c>
      <c r="AF677" s="155">
        <f t="shared" si="379"/>
        <v>0</v>
      </c>
      <c r="AG677" s="155">
        <f t="shared" si="379"/>
        <v>0</v>
      </c>
      <c r="AH677" s="155">
        <f t="shared" si="379"/>
        <v>0</v>
      </c>
      <c r="AI677" s="155">
        <f t="shared" si="379"/>
        <v>0</v>
      </c>
      <c r="AJ677" s="155">
        <f t="shared" si="379"/>
        <v>0</v>
      </c>
      <c r="AK677" s="155">
        <f t="shared" si="379"/>
        <v>0</v>
      </c>
      <c r="AL677" s="155">
        <f t="shared" si="379"/>
        <v>0</v>
      </c>
      <c r="AM677" s="155">
        <f t="shared" si="379"/>
        <v>0</v>
      </c>
      <c r="AN677" s="155">
        <f t="shared" si="379"/>
        <v>0</v>
      </c>
      <c r="AO677" s="155">
        <f t="shared" si="379"/>
        <v>0</v>
      </c>
      <c r="AP677" s="155">
        <f t="shared" si="379"/>
        <v>0</v>
      </c>
    </row>
    <row r="678" spans="1:42" x14ac:dyDescent="0.2">
      <c r="A678" s="4">
        <f t="shared" si="375"/>
        <v>7</v>
      </c>
      <c r="B678" s="170">
        <f t="shared" si="372"/>
        <v>0</v>
      </c>
      <c r="C678" s="172">
        <f t="shared" ref="C678:AP678" si="380">IF(AND(C$2&gt;equip1_reserve_freq*$A665,C$2&lt;=equip1_reserve_freq*$A666),$B666/(equip1_reserve_freq),0)</f>
        <v>0</v>
      </c>
      <c r="D678" s="155">
        <f t="shared" si="380"/>
        <v>0</v>
      </c>
      <c r="E678" s="155">
        <f t="shared" si="380"/>
        <v>0</v>
      </c>
      <c r="F678" s="155">
        <f t="shared" si="380"/>
        <v>0</v>
      </c>
      <c r="G678" s="155">
        <f t="shared" si="380"/>
        <v>0</v>
      </c>
      <c r="H678" s="155">
        <f t="shared" si="380"/>
        <v>0</v>
      </c>
      <c r="I678" s="155">
        <f t="shared" si="380"/>
        <v>0</v>
      </c>
      <c r="J678" s="155">
        <f t="shared" si="380"/>
        <v>0</v>
      </c>
      <c r="K678" s="155">
        <f t="shared" si="380"/>
        <v>0</v>
      </c>
      <c r="L678" s="155">
        <f t="shared" si="380"/>
        <v>0</v>
      </c>
      <c r="M678" s="155">
        <f t="shared" si="380"/>
        <v>0</v>
      </c>
      <c r="N678" s="155">
        <f t="shared" si="380"/>
        <v>0</v>
      </c>
      <c r="O678" s="155">
        <f t="shared" si="380"/>
        <v>0</v>
      </c>
      <c r="P678" s="155">
        <f t="shared" si="380"/>
        <v>0</v>
      </c>
      <c r="Q678" s="155">
        <f t="shared" si="380"/>
        <v>0</v>
      </c>
      <c r="R678" s="155">
        <f t="shared" si="380"/>
        <v>0</v>
      </c>
      <c r="S678" s="155">
        <f t="shared" si="380"/>
        <v>0</v>
      </c>
      <c r="T678" s="155">
        <f t="shared" si="380"/>
        <v>0</v>
      </c>
      <c r="U678" s="155">
        <f t="shared" si="380"/>
        <v>0</v>
      </c>
      <c r="V678" s="155">
        <f t="shared" si="380"/>
        <v>0</v>
      </c>
      <c r="W678" s="155">
        <f t="shared" si="380"/>
        <v>0</v>
      </c>
      <c r="X678" s="155">
        <f t="shared" si="380"/>
        <v>0</v>
      </c>
      <c r="Y678" s="155">
        <f t="shared" si="380"/>
        <v>0</v>
      </c>
      <c r="Z678" s="155">
        <f t="shared" si="380"/>
        <v>0</v>
      </c>
      <c r="AA678" s="155">
        <f t="shared" si="380"/>
        <v>0</v>
      </c>
      <c r="AB678" s="155">
        <f t="shared" si="380"/>
        <v>0</v>
      </c>
      <c r="AC678" s="155">
        <f t="shared" si="380"/>
        <v>0</v>
      </c>
      <c r="AD678" s="155">
        <f t="shared" si="380"/>
        <v>0</v>
      </c>
      <c r="AE678" s="155">
        <f t="shared" si="380"/>
        <v>0</v>
      </c>
      <c r="AF678" s="155">
        <f t="shared" si="380"/>
        <v>0</v>
      </c>
      <c r="AG678" s="155">
        <f t="shared" si="380"/>
        <v>0</v>
      </c>
      <c r="AH678" s="155">
        <f t="shared" si="380"/>
        <v>0</v>
      </c>
      <c r="AI678" s="155">
        <f t="shared" si="380"/>
        <v>0</v>
      </c>
      <c r="AJ678" s="155">
        <f t="shared" si="380"/>
        <v>0</v>
      </c>
      <c r="AK678" s="155">
        <f t="shared" si="380"/>
        <v>0</v>
      </c>
      <c r="AL678" s="155">
        <f t="shared" si="380"/>
        <v>0</v>
      </c>
      <c r="AM678" s="155">
        <f t="shared" si="380"/>
        <v>0</v>
      </c>
      <c r="AN678" s="155">
        <f t="shared" si="380"/>
        <v>0</v>
      </c>
      <c r="AO678" s="155">
        <f t="shared" si="380"/>
        <v>0</v>
      </c>
      <c r="AP678" s="155">
        <f t="shared" si="380"/>
        <v>0</v>
      </c>
    </row>
    <row r="679" spans="1:42" x14ac:dyDescent="0.2">
      <c r="A679" s="4">
        <f t="shared" si="375"/>
        <v>8</v>
      </c>
      <c r="B679" s="170">
        <f t="shared" si="372"/>
        <v>0</v>
      </c>
      <c r="C679" s="172">
        <f t="shared" ref="C679:AP679" si="381">IF(AND(C$2&gt;equip1_reserve_freq*$A666,C$2&lt;=equip1_reserve_freq*$A667),$B667/(equip1_reserve_freq),0)</f>
        <v>0</v>
      </c>
      <c r="D679" s="155">
        <f t="shared" si="381"/>
        <v>0</v>
      </c>
      <c r="E679" s="155">
        <f t="shared" si="381"/>
        <v>0</v>
      </c>
      <c r="F679" s="155">
        <f t="shared" si="381"/>
        <v>0</v>
      </c>
      <c r="G679" s="155">
        <f t="shared" si="381"/>
        <v>0</v>
      </c>
      <c r="H679" s="155">
        <f t="shared" si="381"/>
        <v>0</v>
      </c>
      <c r="I679" s="155">
        <f t="shared" si="381"/>
        <v>0</v>
      </c>
      <c r="J679" s="155">
        <f t="shared" si="381"/>
        <v>0</v>
      </c>
      <c r="K679" s="155">
        <f t="shared" si="381"/>
        <v>0</v>
      </c>
      <c r="L679" s="155">
        <f t="shared" si="381"/>
        <v>0</v>
      </c>
      <c r="M679" s="155">
        <f t="shared" si="381"/>
        <v>0</v>
      </c>
      <c r="N679" s="155">
        <f t="shared" si="381"/>
        <v>0</v>
      </c>
      <c r="O679" s="155">
        <f t="shared" si="381"/>
        <v>0</v>
      </c>
      <c r="P679" s="155">
        <f t="shared" si="381"/>
        <v>0</v>
      </c>
      <c r="Q679" s="155">
        <f t="shared" si="381"/>
        <v>0</v>
      </c>
      <c r="R679" s="155">
        <f t="shared" si="381"/>
        <v>0</v>
      </c>
      <c r="S679" s="155">
        <f t="shared" si="381"/>
        <v>0</v>
      </c>
      <c r="T679" s="155">
        <f t="shared" si="381"/>
        <v>0</v>
      </c>
      <c r="U679" s="155">
        <f t="shared" si="381"/>
        <v>0</v>
      </c>
      <c r="V679" s="155">
        <f t="shared" si="381"/>
        <v>0</v>
      </c>
      <c r="W679" s="155">
        <f t="shared" si="381"/>
        <v>0</v>
      </c>
      <c r="X679" s="155">
        <f t="shared" si="381"/>
        <v>0</v>
      </c>
      <c r="Y679" s="155">
        <f t="shared" si="381"/>
        <v>0</v>
      </c>
      <c r="Z679" s="155">
        <f t="shared" si="381"/>
        <v>0</v>
      </c>
      <c r="AA679" s="155">
        <f t="shared" si="381"/>
        <v>0</v>
      </c>
      <c r="AB679" s="155">
        <f t="shared" si="381"/>
        <v>0</v>
      </c>
      <c r="AC679" s="155">
        <f t="shared" si="381"/>
        <v>0</v>
      </c>
      <c r="AD679" s="155">
        <f t="shared" si="381"/>
        <v>0</v>
      </c>
      <c r="AE679" s="155">
        <f t="shared" si="381"/>
        <v>0</v>
      </c>
      <c r="AF679" s="155">
        <f t="shared" si="381"/>
        <v>0</v>
      </c>
      <c r="AG679" s="155">
        <f t="shared" si="381"/>
        <v>0</v>
      </c>
      <c r="AH679" s="155">
        <f t="shared" si="381"/>
        <v>0</v>
      </c>
      <c r="AI679" s="155">
        <f t="shared" si="381"/>
        <v>0</v>
      </c>
      <c r="AJ679" s="155">
        <f t="shared" si="381"/>
        <v>0</v>
      </c>
      <c r="AK679" s="155">
        <f t="shared" si="381"/>
        <v>0</v>
      </c>
      <c r="AL679" s="155">
        <f t="shared" si="381"/>
        <v>0</v>
      </c>
      <c r="AM679" s="155">
        <f t="shared" si="381"/>
        <v>0</v>
      </c>
      <c r="AN679" s="155">
        <f t="shared" si="381"/>
        <v>0</v>
      </c>
      <c r="AO679" s="155">
        <f t="shared" si="381"/>
        <v>0</v>
      </c>
      <c r="AP679" s="155">
        <f t="shared" si="381"/>
        <v>0</v>
      </c>
    </row>
    <row r="680" spans="1:42" x14ac:dyDescent="0.2">
      <c r="A680" s="4">
        <f>A679+1</f>
        <v>9</v>
      </c>
      <c r="B680" s="170">
        <f t="shared" si="372"/>
        <v>0</v>
      </c>
      <c r="C680" s="172">
        <f t="shared" ref="C680:AP680" si="382">IF(AND(C$2&gt;equip1_reserve_freq*$A667,C$2&lt;=equip1_reserve_freq*$A668),$B668/(equip1_reserve_freq),0)</f>
        <v>0</v>
      </c>
      <c r="D680" s="155">
        <f t="shared" si="382"/>
        <v>0</v>
      </c>
      <c r="E680" s="155">
        <f t="shared" si="382"/>
        <v>0</v>
      </c>
      <c r="F680" s="155">
        <f t="shared" si="382"/>
        <v>0</v>
      </c>
      <c r="G680" s="155">
        <f t="shared" si="382"/>
        <v>0</v>
      </c>
      <c r="H680" s="155">
        <f t="shared" si="382"/>
        <v>0</v>
      </c>
      <c r="I680" s="155">
        <f t="shared" si="382"/>
        <v>0</v>
      </c>
      <c r="J680" s="155">
        <f t="shared" si="382"/>
        <v>0</v>
      </c>
      <c r="K680" s="155">
        <f t="shared" si="382"/>
        <v>0</v>
      </c>
      <c r="L680" s="155">
        <f t="shared" si="382"/>
        <v>0</v>
      </c>
      <c r="M680" s="155">
        <f t="shared" si="382"/>
        <v>0</v>
      </c>
      <c r="N680" s="155">
        <f t="shared" si="382"/>
        <v>0</v>
      </c>
      <c r="O680" s="155">
        <f t="shared" si="382"/>
        <v>0</v>
      </c>
      <c r="P680" s="155">
        <f t="shared" si="382"/>
        <v>0</v>
      </c>
      <c r="Q680" s="155">
        <f t="shared" si="382"/>
        <v>0</v>
      </c>
      <c r="R680" s="155">
        <f t="shared" si="382"/>
        <v>0</v>
      </c>
      <c r="S680" s="155">
        <f t="shared" si="382"/>
        <v>0</v>
      </c>
      <c r="T680" s="155">
        <f t="shared" si="382"/>
        <v>0</v>
      </c>
      <c r="U680" s="155">
        <f t="shared" si="382"/>
        <v>0</v>
      </c>
      <c r="V680" s="155">
        <f t="shared" si="382"/>
        <v>0</v>
      </c>
      <c r="W680" s="155">
        <f t="shared" si="382"/>
        <v>0</v>
      </c>
      <c r="X680" s="155">
        <f t="shared" si="382"/>
        <v>0</v>
      </c>
      <c r="Y680" s="155">
        <f t="shared" si="382"/>
        <v>0</v>
      </c>
      <c r="Z680" s="155">
        <f t="shared" si="382"/>
        <v>0</v>
      </c>
      <c r="AA680" s="155">
        <f t="shared" si="382"/>
        <v>0</v>
      </c>
      <c r="AB680" s="155">
        <f t="shared" si="382"/>
        <v>0</v>
      </c>
      <c r="AC680" s="155">
        <f t="shared" si="382"/>
        <v>0</v>
      </c>
      <c r="AD680" s="155">
        <f t="shared" si="382"/>
        <v>0</v>
      </c>
      <c r="AE680" s="155">
        <f t="shared" si="382"/>
        <v>0</v>
      </c>
      <c r="AF680" s="155">
        <f t="shared" si="382"/>
        <v>0</v>
      </c>
      <c r="AG680" s="155">
        <f t="shared" si="382"/>
        <v>0</v>
      </c>
      <c r="AH680" s="155">
        <f t="shared" si="382"/>
        <v>0</v>
      </c>
      <c r="AI680" s="155">
        <f t="shared" si="382"/>
        <v>0</v>
      </c>
      <c r="AJ680" s="155">
        <f t="shared" si="382"/>
        <v>0</v>
      </c>
      <c r="AK680" s="155">
        <f t="shared" si="382"/>
        <v>0</v>
      </c>
      <c r="AL680" s="155">
        <f t="shared" si="382"/>
        <v>0</v>
      </c>
      <c r="AM680" s="155">
        <f t="shared" si="382"/>
        <v>0</v>
      </c>
      <c r="AN680" s="155">
        <f t="shared" si="382"/>
        <v>0</v>
      </c>
      <c r="AO680" s="155">
        <f t="shared" si="382"/>
        <v>0</v>
      </c>
      <c r="AP680" s="155">
        <f t="shared" si="382"/>
        <v>0</v>
      </c>
    </row>
    <row r="681" spans="1:42" x14ac:dyDescent="0.2">
      <c r="A681" s="4">
        <f t="shared" ref="A681" si="383">A680+1</f>
        <v>10</v>
      </c>
      <c r="B681" s="170">
        <f t="shared" si="372"/>
        <v>0</v>
      </c>
      <c r="C681" s="171">
        <f t="shared" ref="C681:AP681" si="384">IF(AND(C$2&gt;equip1_reserve_freq*$A668,C$2&lt;=equip1_reserve_freq*$A669),$B669/(equip1_reserve_freq),0)</f>
        <v>0</v>
      </c>
      <c r="D681" s="156">
        <f t="shared" si="384"/>
        <v>0</v>
      </c>
      <c r="E681" s="156">
        <f t="shared" si="384"/>
        <v>0</v>
      </c>
      <c r="F681" s="156">
        <f t="shared" si="384"/>
        <v>0</v>
      </c>
      <c r="G681" s="156">
        <f t="shared" si="384"/>
        <v>0</v>
      </c>
      <c r="H681" s="156">
        <f t="shared" si="384"/>
        <v>0</v>
      </c>
      <c r="I681" s="156">
        <f t="shared" si="384"/>
        <v>0</v>
      </c>
      <c r="J681" s="156">
        <f t="shared" si="384"/>
        <v>0</v>
      </c>
      <c r="K681" s="156">
        <f t="shared" si="384"/>
        <v>0</v>
      </c>
      <c r="L681" s="156">
        <f t="shared" si="384"/>
        <v>0</v>
      </c>
      <c r="M681" s="156">
        <f t="shared" si="384"/>
        <v>0</v>
      </c>
      <c r="N681" s="156">
        <f t="shared" si="384"/>
        <v>0</v>
      </c>
      <c r="O681" s="156">
        <f t="shared" si="384"/>
        <v>0</v>
      </c>
      <c r="P681" s="156">
        <f t="shared" si="384"/>
        <v>0</v>
      </c>
      <c r="Q681" s="156">
        <f t="shared" si="384"/>
        <v>0</v>
      </c>
      <c r="R681" s="156">
        <f t="shared" si="384"/>
        <v>0</v>
      </c>
      <c r="S681" s="156">
        <f t="shared" si="384"/>
        <v>0</v>
      </c>
      <c r="T681" s="156">
        <f t="shared" si="384"/>
        <v>0</v>
      </c>
      <c r="U681" s="156">
        <f t="shared" si="384"/>
        <v>0</v>
      </c>
      <c r="V681" s="156">
        <f t="shared" si="384"/>
        <v>0</v>
      </c>
      <c r="W681" s="156">
        <f t="shared" si="384"/>
        <v>0</v>
      </c>
      <c r="X681" s="156">
        <f t="shared" si="384"/>
        <v>0</v>
      </c>
      <c r="Y681" s="156">
        <f t="shared" si="384"/>
        <v>0</v>
      </c>
      <c r="Z681" s="156">
        <f t="shared" si="384"/>
        <v>0</v>
      </c>
      <c r="AA681" s="156">
        <f t="shared" si="384"/>
        <v>0</v>
      </c>
      <c r="AB681" s="156">
        <f t="shared" si="384"/>
        <v>0</v>
      </c>
      <c r="AC681" s="156">
        <f t="shared" si="384"/>
        <v>0</v>
      </c>
      <c r="AD681" s="156">
        <f t="shared" si="384"/>
        <v>0</v>
      </c>
      <c r="AE681" s="156">
        <f t="shared" si="384"/>
        <v>0</v>
      </c>
      <c r="AF681" s="156">
        <f t="shared" si="384"/>
        <v>0</v>
      </c>
      <c r="AG681" s="156">
        <f t="shared" si="384"/>
        <v>0</v>
      </c>
      <c r="AH681" s="156">
        <f t="shared" si="384"/>
        <v>0</v>
      </c>
      <c r="AI681" s="156">
        <f t="shared" si="384"/>
        <v>0</v>
      </c>
      <c r="AJ681" s="156">
        <f t="shared" si="384"/>
        <v>0</v>
      </c>
      <c r="AK681" s="156">
        <f t="shared" si="384"/>
        <v>0</v>
      </c>
      <c r="AL681" s="156">
        <f t="shared" si="384"/>
        <v>0</v>
      </c>
      <c r="AM681" s="156">
        <f t="shared" si="384"/>
        <v>0</v>
      </c>
      <c r="AN681" s="156">
        <f t="shared" si="384"/>
        <v>0</v>
      </c>
      <c r="AO681" s="156">
        <f t="shared" si="384"/>
        <v>0</v>
      </c>
      <c r="AP681" s="156">
        <f t="shared" si="384"/>
        <v>0</v>
      </c>
    </row>
    <row r="682" spans="1:42" x14ac:dyDescent="0.2">
      <c r="A682" s="24" t="s">
        <v>13</v>
      </c>
      <c r="B682" s="14"/>
      <c r="C682" s="14">
        <f>SUM(C672:C681)</f>
        <v>0</v>
      </c>
      <c r="D682" s="14">
        <f t="shared" ref="D682:AP682" si="385">SUM(D672:D681)</f>
        <v>0</v>
      </c>
      <c r="E682" s="14">
        <f t="shared" si="385"/>
        <v>0</v>
      </c>
      <c r="F682" s="14">
        <f t="shared" si="385"/>
        <v>0</v>
      </c>
      <c r="G682" s="14">
        <f t="shared" si="385"/>
        <v>0</v>
      </c>
      <c r="H682" s="14">
        <f t="shared" si="385"/>
        <v>0</v>
      </c>
      <c r="I682" s="14">
        <f t="shared" si="385"/>
        <v>0</v>
      </c>
      <c r="J682" s="14">
        <f t="shared" si="385"/>
        <v>0</v>
      </c>
      <c r="K682" s="14">
        <f t="shared" si="385"/>
        <v>0</v>
      </c>
      <c r="L682" s="14">
        <f t="shared" si="385"/>
        <v>0</v>
      </c>
      <c r="M682" s="14">
        <f t="shared" si="385"/>
        <v>0</v>
      </c>
      <c r="N682" s="14">
        <f t="shared" si="385"/>
        <v>0</v>
      </c>
      <c r="O682" s="14">
        <f t="shared" si="385"/>
        <v>0</v>
      </c>
      <c r="P682" s="14">
        <f t="shared" si="385"/>
        <v>0</v>
      </c>
      <c r="Q682" s="14">
        <f t="shared" si="385"/>
        <v>0</v>
      </c>
      <c r="R682" s="14">
        <f t="shared" si="385"/>
        <v>0</v>
      </c>
      <c r="S682" s="14">
        <f t="shared" si="385"/>
        <v>0</v>
      </c>
      <c r="T682" s="14">
        <f t="shared" si="385"/>
        <v>0</v>
      </c>
      <c r="U682" s="14">
        <f t="shared" si="385"/>
        <v>0</v>
      </c>
      <c r="V682" s="14">
        <f t="shared" si="385"/>
        <v>0</v>
      </c>
      <c r="W682" s="14">
        <f t="shared" si="385"/>
        <v>0</v>
      </c>
      <c r="X682" s="14">
        <f t="shared" si="385"/>
        <v>0</v>
      </c>
      <c r="Y682" s="14">
        <f t="shared" si="385"/>
        <v>0</v>
      </c>
      <c r="Z682" s="14">
        <f t="shared" si="385"/>
        <v>0</v>
      </c>
      <c r="AA682" s="14">
        <f t="shared" si="385"/>
        <v>0</v>
      </c>
      <c r="AB682" s="14">
        <f t="shared" si="385"/>
        <v>0</v>
      </c>
      <c r="AC682" s="14">
        <f t="shared" si="385"/>
        <v>0</v>
      </c>
      <c r="AD682" s="14">
        <f t="shared" si="385"/>
        <v>0</v>
      </c>
      <c r="AE682" s="14">
        <f t="shared" si="385"/>
        <v>0</v>
      </c>
      <c r="AF682" s="14">
        <f t="shared" si="385"/>
        <v>0</v>
      </c>
      <c r="AG682" s="14">
        <f t="shared" si="385"/>
        <v>0</v>
      </c>
      <c r="AH682" s="14">
        <f t="shared" si="385"/>
        <v>0</v>
      </c>
      <c r="AI682" s="14">
        <f t="shared" si="385"/>
        <v>0</v>
      </c>
      <c r="AJ682" s="14">
        <f t="shared" si="385"/>
        <v>0</v>
      </c>
      <c r="AK682" s="14">
        <f t="shared" si="385"/>
        <v>0</v>
      </c>
      <c r="AL682" s="14">
        <f t="shared" si="385"/>
        <v>0</v>
      </c>
      <c r="AM682" s="14">
        <f t="shared" si="385"/>
        <v>0</v>
      </c>
      <c r="AN682" s="14">
        <f t="shared" si="385"/>
        <v>0</v>
      </c>
      <c r="AO682" s="14">
        <f t="shared" si="385"/>
        <v>0</v>
      </c>
      <c r="AP682" s="14">
        <f t="shared" si="385"/>
        <v>0</v>
      </c>
    </row>
    <row r="683" spans="1:42" x14ac:dyDescent="0.2">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row>
    <row r="684" spans="1:42" x14ac:dyDescent="0.2">
      <c r="A684" s="19" t="s">
        <v>284</v>
      </c>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row>
    <row r="685" spans="1:42" x14ac:dyDescent="0.2">
      <c r="A685" s="4" t="s">
        <v>276</v>
      </c>
      <c r="B685" s="155">
        <v>0</v>
      </c>
      <c r="C685" s="155">
        <f>B688</f>
        <v>0</v>
      </c>
      <c r="D685" s="155">
        <f t="shared" ref="D685:AP685" si="386">C688</f>
        <v>0</v>
      </c>
      <c r="E685" s="155">
        <f t="shared" si="386"/>
        <v>0</v>
      </c>
      <c r="F685" s="155">
        <f t="shared" si="386"/>
        <v>0</v>
      </c>
      <c r="G685" s="155">
        <f t="shared" si="386"/>
        <v>0</v>
      </c>
      <c r="H685" s="155">
        <f t="shared" si="386"/>
        <v>0</v>
      </c>
      <c r="I685" s="155">
        <f t="shared" si="386"/>
        <v>0</v>
      </c>
      <c r="J685" s="155">
        <f t="shared" si="386"/>
        <v>0</v>
      </c>
      <c r="K685" s="155">
        <f t="shared" si="386"/>
        <v>0</v>
      </c>
      <c r="L685" s="155">
        <f t="shared" si="386"/>
        <v>0</v>
      </c>
      <c r="M685" s="155">
        <f t="shared" si="386"/>
        <v>0</v>
      </c>
      <c r="N685" s="155">
        <f t="shared" si="386"/>
        <v>0</v>
      </c>
      <c r="O685" s="155">
        <f t="shared" si="386"/>
        <v>0</v>
      </c>
      <c r="P685" s="155">
        <f t="shared" si="386"/>
        <v>0</v>
      </c>
      <c r="Q685" s="155">
        <f t="shared" si="386"/>
        <v>0</v>
      </c>
      <c r="R685" s="155">
        <f t="shared" si="386"/>
        <v>0</v>
      </c>
      <c r="S685" s="155">
        <f t="shared" si="386"/>
        <v>0</v>
      </c>
      <c r="T685" s="155">
        <f t="shared" si="386"/>
        <v>0</v>
      </c>
      <c r="U685" s="155">
        <f t="shared" si="386"/>
        <v>0</v>
      </c>
      <c r="V685" s="155">
        <f t="shared" si="386"/>
        <v>0</v>
      </c>
      <c r="W685" s="155">
        <f t="shared" si="386"/>
        <v>0</v>
      </c>
      <c r="X685" s="155">
        <f t="shared" si="386"/>
        <v>0</v>
      </c>
      <c r="Y685" s="155">
        <f t="shared" si="386"/>
        <v>0</v>
      </c>
      <c r="Z685" s="155">
        <f t="shared" si="386"/>
        <v>0</v>
      </c>
      <c r="AA685" s="155">
        <f t="shared" si="386"/>
        <v>0</v>
      </c>
      <c r="AB685" s="155">
        <f t="shared" si="386"/>
        <v>0</v>
      </c>
      <c r="AC685" s="155">
        <f t="shared" si="386"/>
        <v>0</v>
      </c>
      <c r="AD685" s="155">
        <f t="shared" si="386"/>
        <v>0</v>
      </c>
      <c r="AE685" s="155">
        <f t="shared" si="386"/>
        <v>0</v>
      </c>
      <c r="AF685" s="155">
        <f t="shared" si="386"/>
        <v>0</v>
      </c>
      <c r="AG685" s="155">
        <f t="shared" si="386"/>
        <v>0</v>
      </c>
      <c r="AH685" s="155">
        <f t="shared" si="386"/>
        <v>0</v>
      </c>
      <c r="AI685" s="155">
        <f t="shared" si="386"/>
        <v>0</v>
      </c>
      <c r="AJ685" s="155">
        <f t="shared" si="386"/>
        <v>0</v>
      </c>
      <c r="AK685" s="155">
        <f t="shared" si="386"/>
        <v>0</v>
      </c>
      <c r="AL685" s="155">
        <f t="shared" si="386"/>
        <v>0</v>
      </c>
      <c r="AM685" s="155">
        <f t="shared" si="386"/>
        <v>0</v>
      </c>
      <c r="AN685" s="155">
        <f t="shared" si="386"/>
        <v>0</v>
      </c>
      <c r="AO685" s="155">
        <f t="shared" si="386"/>
        <v>0</v>
      </c>
      <c r="AP685" s="155">
        <f t="shared" si="386"/>
        <v>0</v>
      </c>
    </row>
    <row r="686" spans="1:42" x14ac:dyDescent="0.2">
      <c r="A686" s="4" t="s">
        <v>66</v>
      </c>
      <c r="B686" s="155">
        <v>0</v>
      </c>
      <c r="C686" s="155">
        <f>C714</f>
        <v>0</v>
      </c>
      <c r="D686" s="155">
        <f t="shared" ref="D686:AP686" si="387">D714</f>
        <v>0</v>
      </c>
      <c r="E686" s="155">
        <f t="shared" si="387"/>
        <v>0</v>
      </c>
      <c r="F686" s="155">
        <f t="shared" si="387"/>
        <v>0</v>
      </c>
      <c r="G686" s="155">
        <f t="shared" si="387"/>
        <v>0</v>
      </c>
      <c r="H686" s="155">
        <f t="shared" si="387"/>
        <v>0</v>
      </c>
      <c r="I686" s="155">
        <f t="shared" si="387"/>
        <v>0</v>
      </c>
      <c r="J686" s="155">
        <f t="shared" si="387"/>
        <v>0</v>
      </c>
      <c r="K686" s="155">
        <f t="shared" si="387"/>
        <v>0</v>
      </c>
      <c r="L686" s="155">
        <f t="shared" si="387"/>
        <v>0</v>
      </c>
      <c r="M686" s="155">
        <f t="shared" si="387"/>
        <v>0</v>
      </c>
      <c r="N686" s="155">
        <f t="shared" si="387"/>
        <v>0</v>
      </c>
      <c r="O686" s="155">
        <f t="shared" si="387"/>
        <v>0</v>
      </c>
      <c r="P686" s="155">
        <f t="shared" si="387"/>
        <v>0</v>
      </c>
      <c r="Q686" s="155">
        <f t="shared" si="387"/>
        <v>0</v>
      </c>
      <c r="R686" s="155">
        <f t="shared" si="387"/>
        <v>0</v>
      </c>
      <c r="S686" s="155">
        <f t="shared" si="387"/>
        <v>0</v>
      </c>
      <c r="T686" s="155">
        <f t="shared" si="387"/>
        <v>0</v>
      </c>
      <c r="U686" s="155">
        <f t="shared" si="387"/>
        <v>0</v>
      </c>
      <c r="V686" s="155">
        <f t="shared" si="387"/>
        <v>0</v>
      </c>
      <c r="W686" s="155">
        <f t="shared" si="387"/>
        <v>0</v>
      </c>
      <c r="X686" s="155">
        <f t="shared" si="387"/>
        <v>0</v>
      </c>
      <c r="Y686" s="155">
        <f t="shared" si="387"/>
        <v>0</v>
      </c>
      <c r="Z686" s="155">
        <f t="shared" si="387"/>
        <v>0</v>
      </c>
      <c r="AA686" s="155">
        <f t="shared" si="387"/>
        <v>0</v>
      </c>
      <c r="AB686" s="155">
        <f t="shared" si="387"/>
        <v>0</v>
      </c>
      <c r="AC686" s="155">
        <f t="shared" si="387"/>
        <v>0</v>
      </c>
      <c r="AD686" s="155">
        <f t="shared" si="387"/>
        <v>0</v>
      </c>
      <c r="AE686" s="155">
        <f t="shared" si="387"/>
        <v>0</v>
      </c>
      <c r="AF686" s="155">
        <f t="shared" si="387"/>
        <v>0</v>
      </c>
      <c r="AG686" s="155">
        <f t="shared" si="387"/>
        <v>0</v>
      </c>
      <c r="AH686" s="155">
        <f t="shared" si="387"/>
        <v>0</v>
      </c>
      <c r="AI686" s="155">
        <f t="shared" si="387"/>
        <v>0</v>
      </c>
      <c r="AJ686" s="155">
        <f t="shared" si="387"/>
        <v>0</v>
      </c>
      <c r="AK686" s="155">
        <f t="shared" si="387"/>
        <v>0</v>
      </c>
      <c r="AL686" s="155">
        <f t="shared" si="387"/>
        <v>0</v>
      </c>
      <c r="AM686" s="155">
        <f t="shared" si="387"/>
        <v>0</v>
      </c>
      <c r="AN686" s="155">
        <f t="shared" si="387"/>
        <v>0</v>
      </c>
      <c r="AO686" s="155">
        <f t="shared" si="387"/>
        <v>0</v>
      </c>
      <c r="AP686" s="155">
        <f t="shared" si="387"/>
        <v>0</v>
      </c>
    </row>
    <row r="687" spans="1:42" x14ac:dyDescent="0.2">
      <c r="A687" s="4" t="s">
        <v>277</v>
      </c>
      <c r="B687" s="156">
        <v>0</v>
      </c>
      <c r="C687" s="156">
        <f>-C702</f>
        <v>0</v>
      </c>
      <c r="D687" s="156">
        <f t="shared" ref="D687:AP687" si="388">-D702</f>
        <v>0</v>
      </c>
      <c r="E687" s="156">
        <f t="shared" si="388"/>
        <v>0</v>
      </c>
      <c r="F687" s="156">
        <f t="shared" si="388"/>
        <v>0</v>
      </c>
      <c r="G687" s="156">
        <f t="shared" si="388"/>
        <v>0</v>
      </c>
      <c r="H687" s="156">
        <f t="shared" si="388"/>
        <v>0</v>
      </c>
      <c r="I687" s="156">
        <f t="shared" si="388"/>
        <v>0</v>
      </c>
      <c r="J687" s="156">
        <f t="shared" si="388"/>
        <v>0</v>
      </c>
      <c r="K687" s="156">
        <f t="shared" si="388"/>
        <v>0</v>
      </c>
      <c r="L687" s="156">
        <f t="shared" si="388"/>
        <v>0</v>
      </c>
      <c r="M687" s="156">
        <f t="shared" si="388"/>
        <v>0</v>
      </c>
      <c r="N687" s="156">
        <f t="shared" si="388"/>
        <v>0</v>
      </c>
      <c r="O687" s="156">
        <f t="shared" si="388"/>
        <v>0</v>
      </c>
      <c r="P687" s="156">
        <f t="shared" si="388"/>
        <v>0</v>
      </c>
      <c r="Q687" s="156">
        <f t="shared" si="388"/>
        <v>0</v>
      </c>
      <c r="R687" s="156">
        <f t="shared" si="388"/>
        <v>0</v>
      </c>
      <c r="S687" s="156">
        <f t="shared" si="388"/>
        <v>0</v>
      </c>
      <c r="T687" s="156">
        <f t="shared" si="388"/>
        <v>0</v>
      </c>
      <c r="U687" s="156">
        <f t="shared" si="388"/>
        <v>0</v>
      </c>
      <c r="V687" s="156">
        <f t="shared" si="388"/>
        <v>0</v>
      </c>
      <c r="W687" s="156">
        <f t="shared" si="388"/>
        <v>0</v>
      </c>
      <c r="X687" s="156">
        <f t="shared" si="388"/>
        <v>0</v>
      </c>
      <c r="Y687" s="156">
        <f t="shared" si="388"/>
        <v>0</v>
      </c>
      <c r="Z687" s="156">
        <f t="shared" si="388"/>
        <v>0</v>
      </c>
      <c r="AA687" s="156">
        <f t="shared" si="388"/>
        <v>0</v>
      </c>
      <c r="AB687" s="156">
        <f t="shared" si="388"/>
        <v>0</v>
      </c>
      <c r="AC687" s="156">
        <f t="shared" si="388"/>
        <v>0</v>
      </c>
      <c r="AD687" s="156">
        <f t="shared" si="388"/>
        <v>0</v>
      </c>
      <c r="AE687" s="156">
        <f t="shared" si="388"/>
        <v>0</v>
      </c>
      <c r="AF687" s="156">
        <f t="shared" si="388"/>
        <v>0</v>
      </c>
      <c r="AG687" s="156">
        <f t="shared" si="388"/>
        <v>0</v>
      </c>
      <c r="AH687" s="156">
        <f t="shared" si="388"/>
        <v>0</v>
      </c>
      <c r="AI687" s="156">
        <f t="shared" si="388"/>
        <v>0</v>
      </c>
      <c r="AJ687" s="156">
        <f t="shared" si="388"/>
        <v>0</v>
      </c>
      <c r="AK687" s="156">
        <f t="shared" si="388"/>
        <v>0</v>
      </c>
      <c r="AL687" s="156">
        <f t="shared" si="388"/>
        <v>0</v>
      </c>
      <c r="AM687" s="156">
        <f t="shared" si="388"/>
        <v>0</v>
      </c>
      <c r="AN687" s="156">
        <f t="shared" si="388"/>
        <v>0</v>
      </c>
      <c r="AO687" s="156">
        <f t="shared" si="388"/>
        <v>0</v>
      </c>
      <c r="AP687" s="156">
        <f t="shared" si="388"/>
        <v>0</v>
      </c>
    </row>
    <row r="688" spans="1:42" x14ac:dyDescent="0.2">
      <c r="A688" s="4" t="s">
        <v>238</v>
      </c>
      <c r="B688" s="155">
        <f>SUM(B685:B687)</f>
        <v>0</v>
      </c>
      <c r="C688" s="155">
        <f>SUM(C685:C687)</f>
        <v>0</v>
      </c>
      <c r="D688" s="155">
        <f t="shared" ref="D688:AP688" si="389">SUM(D685:D687)</f>
        <v>0</v>
      </c>
      <c r="E688" s="155">
        <f t="shared" si="389"/>
        <v>0</v>
      </c>
      <c r="F688" s="155">
        <f t="shared" si="389"/>
        <v>0</v>
      </c>
      <c r="G688" s="155">
        <f t="shared" si="389"/>
        <v>0</v>
      </c>
      <c r="H688" s="155">
        <f t="shared" si="389"/>
        <v>0</v>
      </c>
      <c r="I688" s="155">
        <f t="shared" si="389"/>
        <v>0</v>
      </c>
      <c r="J688" s="155">
        <f t="shared" si="389"/>
        <v>0</v>
      </c>
      <c r="K688" s="155">
        <f t="shared" si="389"/>
        <v>0</v>
      </c>
      <c r="L688" s="155">
        <f t="shared" si="389"/>
        <v>0</v>
      </c>
      <c r="M688" s="155">
        <f t="shared" si="389"/>
        <v>0</v>
      </c>
      <c r="N688" s="155">
        <f t="shared" si="389"/>
        <v>0</v>
      </c>
      <c r="O688" s="155">
        <f t="shared" si="389"/>
        <v>0</v>
      </c>
      <c r="P688" s="155">
        <f t="shared" si="389"/>
        <v>0</v>
      </c>
      <c r="Q688" s="155">
        <f t="shared" si="389"/>
        <v>0</v>
      </c>
      <c r="R688" s="155">
        <f t="shared" si="389"/>
        <v>0</v>
      </c>
      <c r="S688" s="155">
        <f t="shared" si="389"/>
        <v>0</v>
      </c>
      <c r="T688" s="155">
        <f t="shared" si="389"/>
        <v>0</v>
      </c>
      <c r="U688" s="155">
        <f t="shared" si="389"/>
        <v>0</v>
      </c>
      <c r="V688" s="155">
        <f t="shared" si="389"/>
        <v>0</v>
      </c>
      <c r="W688" s="155">
        <f t="shared" si="389"/>
        <v>0</v>
      </c>
      <c r="X688" s="155">
        <f t="shared" si="389"/>
        <v>0</v>
      </c>
      <c r="Y688" s="155">
        <f t="shared" si="389"/>
        <v>0</v>
      </c>
      <c r="Z688" s="155">
        <f t="shared" si="389"/>
        <v>0</v>
      </c>
      <c r="AA688" s="155">
        <f t="shared" si="389"/>
        <v>0</v>
      </c>
      <c r="AB688" s="155">
        <f t="shared" si="389"/>
        <v>0</v>
      </c>
      <c r="AC688" s="155">
        <f t="shared" si="389"/>
        <v>0</v>
      </c>
      <c r="AD688" s="155">
        <f t="shared" si="389"/>
        <v>0</v>
      </c>
      <c r="AE688" s="155">
        <f t="shared" si="389"/>
        <v>0</v>
      </c>
      <c r="AF688" s="155">
        <f t="shared" si="389"/>
        <v>0</v>
      </c>
      <c r="AG688" s="155">
        <f t="shared" si="389"/>
        <v>0</v>
      </c>
      <c r="AH688" s="155">
        <f t="shared" si="389"/>
        <v>0</v>
      </c>
      <c r="AI688" s="155">
        <f t="shared" si="389"/>
        <v>0</v>
      </c>
      <c r="AJ688" s="155">
        <f t="shared" si="389"/>
        <v>0</v>
      </c>
      <c r="AK688" s="155">
        <f t="shared" si="389"/>
        <v>0</v>
      </c>
      <c r="AL688" s="155">
        <f t="shared" si="389"/>
        <v>0</v>
      </c>
      <c r="AM688" s="155">
        <f t="shared" si="389"/>
        <v>0</v>
      </c>
      <c r="AN688" s="155">
        <f t="shared" si="389"/>
        <v>0</v>
      </c>
      <c r="AO688" s="155">
        <f t="shared" si="389"/>
        <v>0</v>
      </c>
      <c r="AP688" s="155">
        <f t="shared" si="389"/>
        <v>0</v>
      </c>
    </row>
    <row r="690" spans="1:42" x14ac:dyDescent="0.2">
      <c r="A690" s="4" t="s">
        <v>279</v>
      </c>
    </row>
    <row r="691" spans="1:42" x14ac:dyDescent="0.2">
      <c r="A691" s="4" t="s">
        <v>280</v>
      </c>
    </row>
    <row r="692" spans="1:42" x14ac:dyDescent="0.2">
      <c r="A692" s="4">
        <v>1</v>
      </c>
      <c r="B692" s="170">
        <f t="shared" ref="B692:B701" si="390">SUM(C692:AP692)</f>
        <v>0</v>
      </c>
      <c r="C692" s="155">
        <f t="shared" ref="C692:AP692" si="391">IF(C$2&gt;analysis_period,0,IF(C$2=equip2_reserve_freq*$A692,equip2_reserve_cost*system_capacity*1000*(1+inflation_rate/100)^B$2,0))</f>
        <v>0</v>
      </c>
      <c r="D692" s="155">
        <f t="shared" si="391"/>
        <v>0</v>
      </c>
      <c r="E692" s="155">
        <f t="shared" si="391"/>
        <v>0</v>
      </c>
      <c r="F692" s="155">
        <f t="shared" si="391"/>
        <v>0</v>
      </c>
      <c r="G692" s="155">
        <f t="shared" si="391"/>
        <v>0</v>
      </c>
      <c r="H692" s="155">
        <f t="shared" si="391"/>
        <v>0</v>
      </c>
      <c r="I692" s="155">
        <f t="shared" si="391"/>
        <v>0</v>
      </c>
      <c r="J692" s="155">
        <f t="shared" si="391"/>
        <v>0</v>
      </c>
      <c r="K692" s="155">
        <f t="shared" si="391"/>
        <v>0</v>
      </c>
      <c r="L692" s="155">
        <f t="shared" si="391"/>
        <v>0</v>
      </c>
      <c r="M692" s="155">
        <f t="shared" si="391"/>
        <v>0</v>
      </c>
      <c r="N692" s="155">
        <f t="shared" si="391"/>
        <v>0</v>
      </c>
      <c r="O692" s="155">
        <f t="shared" si="391"/>
        <v>0</v>
      </c>
      <c r="P692" s="155">
        <f t="shared" si="391"/>
        <v>0</v>
      </c>
      <c r="Q692" s="155">
        <f t="shared" si="391"/>
        <v>0</v>
      </c>
      <c r="R692" s="155">
        <f t="shared" si="391"/>
        <v>0</v>
      </c>
      <c r="S692" s="155">
        <f t="shared" si="391"/>
        <v>0</v>
      </c>
      <c r="T692" s="155">
        <f t="shared" si="391"/>
        <v>0</v>
      </c>
      <c r="U692" s="155">
        <f t="shared" si="391"/>
        <v>0</v>
      </c>
      <c r="V692" s="155">
        <f t="shared" si="391"/>
        <v>0</v>
      </c>
      <c r="W692" s="155">
        <f t="shared" si="391"/>
        <v>0</v>
      </c>
      <c r="X692" s="155">
        <f t="shared" si="391"/>
        <v>0</v>
      </c>
      <c r="Y692" s="155">
        <f t="shared" si="391"/>
        <v>0</v>
      </c>
      <c r="Z692" s="155">
        <f t="shared" si="391"/>
        <v>0</v>
      </c>
      <c r="AA692" s="155">
        <f t="shared" si="391"/>
        <v>0</v>
      </c>
      <c r="AB692" s="155">
        <f t="shared" si="391"/>
        <v>0</v>
      </c>
      <c r="AC692" s="155">
        <f t="shared" si="391"/>
        <v>0</v>
      </c>
      <c r="AD692" s="155">
        <f t="shared" si="391"/>
        <v>0</v>
      </c>
      <c r="AE692" s="155">
        <f t="shared" si="391"/>
        <v>0</v>
      </c>
      <c r="AF692" s="155">
        <f t="shared" si="391"/>
        <v>0</v>
      </c>
      <c r="AG692" s="155">
        <f t="shared" si="391"/>
        <v>0</v>
      </c>
      <c r="AH692" s="155">
        <f t="shared" si="391"/>
        <v>0</v>
      </c>
      <c r="AI692" s="155">
        <f t="shared" si="391"/>
        <v>0</v>
      </c>
      <c r="AJ692" s="155">
        <f t="shared" si="391"/>
        <v>0</v>
      </c>
      <c r="AK692" s="155">
        <f t="shared" si="391"/>
        <v>0</v>
      </c>
      <c r="AL692" s="155">
        <f t="shared" si="391"/>
        <v>0</v>
      </c>
      <c r="AM692" s="155">
        <f t="shared" si="391"/>
        <v>0</v>
      </c>
      <c r="AN692" s="155">
        <f t="shared" si="391"/>
        <v>0</v>
      </c>
      <c r="AO692" s="155">
        <f t="shared" si="391"/>
        <v>0</v>
      </c>
      <c r="AP692" s="155">
        <f t="shared" si="391"/>
        <v>0</v>
      </c>
    </row>
    <row r="693" spans="1:42" x14ac:dyDescent="0.2">
      <c r="A693" s="4">
        <f>A692+1</f>
        <v>2</v>
      </c>
      <c r="B693" s="170">
        <f t="shared" si="390"/>
        <v>0</v>
      </c>
      <c r="C693" s="155">
        <f t="shared" ref="C693:AP693" si="392">IF(C$2&gt;analysis_period,0,IF(C$2=equip2_reserve_freq*$A693,equip2_reserve_cost*system_capacity*1000*(1+inflation_rate/100)^B$2,0))</f>
        <v>0</v>
      </c>
      <c r="D693" s="155">
        <f t="shared" si="392"/>
        <v>0</v>
      </c>
      <c r="E693" s="155">
        <f t="shared" si="392"/>
        <v>0</v>
      </c>
      <c r="F693" s="155">
        <f t="shared" si="392"/>
        <v>0</v>
      </c>
      <c r="G693" s="155">
        <f t="shared" si="392"/>
        <v>0</v>
      </c>
      <c r="H693" s="155">
        <f t="shared" si="392"/>
        <v>0</v>
      </c>
      <c r="I693" s="155">
        <f t="shared" si="392"/>
        <v>0</v>
      </c>
      <c r="J693" s="155">
        <f t="shared" si="392"/>
        <v>0</v>
      </c>
      <c r="K693" s="155">
        <f t="shared" si="392"/>
        <v>0</v>
      </c>
      <c r="L693" s="155">
        <f t="shared" si="392"/>
        <v>0</v>
      </c>
      <c r="M693" s="155">
        <f t="shared" si="392"/>
        <v>0</v>
      </c>
      <c r="N693" s="155">
        <f t="shared" si="392"/>
        <v>0</v>
      </c>
      <c r="O693" s="155">
        <f t="shared" si="392"/>
        <v>0</v>
      </c>
      <c r="P693" s="155">
        <f t="shared" si="392"/>
        <v>0</v>
      </c>
      <c r="Q693" s="155">
        <f t="shared" si="392"/>
        <v>0</v>
      </c>
      <c r="R693" s="155">
        <f t="shared" si="392"/>
        <v>0</v>
      </c>
      <c r="S693" s="155">
        <f t="shared" si="392"/>
        <v>0</v>
      </c>
      <c r="T693" s="155">
        <f t="shared" si="392"/>
        <v>0</v>
      </c>
      <c r="U693" s="155">
        <f t="shared" si="392"/>
        <v>0</v>
      </c>
      <c r="V693" s="155">
        <f t="shared" si="392"/>
        <v>0</v>
      </c>
      <c r="W693" s="155">
        <f t="shared" si="392"/>
        <v>0</v>
      </c>
      <c r="X693" s="155">
        <f t="shared" si="392"/>
        <v>0</v>
      </c>
      <c r="Y693" s="155">
        <f t="shared" si="392"/>
        <v>0</v>
      </c>
      <c r="Z693" s="155">
        <f t="shared" si="392"/>
        <v>0</v>
      </c>
      <c r="AA693" s="155">
        <f t="shared" si="392"/>
        <v>0</v>
      </c>
      <c r="AB693" s="155">
        <f t="shared" si="392"/>
        <v>0</v>
      </c>
      <c r="AC693" s="155">
        <f t="shared" si="392"/>
        <v>0</v>
      </c>
      <c r="AD693" s="155">
        <f t="shared" si="392"/>
        <v>0</v>
      </c>
      <c r="AE693" s="155">
        <f t="shared" si="392"/>
        <v>0</v>
      </c>
      <c r="AF693" s="155">
        <f t="shared" si="392"/>
        <v>0</v>
      </c>
      <c r="AG693" s="155">
        <f t="shared" si="392"/>
        <v>0</v>
      </c>
      <c r="AH693" s="155">
        <f t="shared" si="392"/>
        <v>0</v>
      </c>
      <c r="AI693" s="155">
        <f t="shared" si="392"/>
        <v>0</v>
      </c>
      <c r="AJ693" s="155">
        <f t="shared" si="392"/>
        <v>0</v>
      </c>
      <c r="AK693" s="155">
        <f t="shared" si="392"/>
        <v>0</v>
      </c>
      <c r="AL693" s="155">
        <f t="shared" si="392"/>
        <v>0</v>
      </c>
      <c r="AM693" s="155">
        <f t="shared" si="392"/>
        <v>0</v>
      </c>
      <c r="AN693" s="155">
        <f t="shared" si="392"/>
        <v>0</v>
      </c>
      <c r="AO693" s="155">
        <f t="shared" si="392"/>
        <v>0</v>
      </c>
      <c r="AP693" s="155">
        <f t="shared" si="392"/>
        <v>0</v>
      </c>
    </row>
    <row r="694" spans="1:42" x14ac:dyDescent="0.2">
      <c r="A694" s="4">
        <f t="shared" ref="A694:A701" si="393">A693+1</f>
        <v>3</v>
      </c>
      <c r="B694" s="170">
        <f t="shared" si="390"/>
        <v>0</v>
      </c>
      <c r="C694" s="155">
        <f t="shared" ref="C694:AP694" si="394">IF(C$2&gt;analysis_period,0,IF(C$2=equip2_reserve_freq*$A694,equip2_reserve_cost*system_capacity*1000*(1+inflation_rate/100)^B$2,0))</f>
        <v>0</v>
      </c>
      <c r="D694" s="155">
        <f t="shared" si="394"/>
        <v>0</v>
      </c>
      <c r="E694" s="155">
        <f t="shared" si="394"/>
        <v>0</v>
      </c>
      <c r="F694" s="155">
        <f t="shared" si="394"/>
        <v>0</v>
      </c>
      <c r="G694" s="155">
        <f t="shared" si="394"/>
        <v>0</v>
      </c>
      <c r="H694" s="155">
        <f t="shared" si="394"/>
        <v>0</v>
      </c>
      <c r="I694" s="155">
        <f t="shared" si="394"/>
        <v>0</v>
      </c>
      <c r="J694" s="155">
        <f t="shared" si="394"/>
        <v>0</v>
      </c>
      <c r="K694" s="155">
        <f t="shared" si="394"/>
        <v>0</v>
      </c>
      <c r="L694" s="155">
        <f t="shared" si="394"/>
        <v>0</v>
      </c>
      <c r="M694" s="155">
        <f t="shared" si="394"/>
        <v>0</v>
      </c>
      <c r="N694" s="155">
        <f t="shared" si="394"/>
        <v>0</v>
      </c>
      <c r="O694" s="155">
        <f t="shared" si="394"/>
        <v>0</v>
      </c>
      <c r="P694" s="155">
        <f t="shared" si="394"/>
        <v>0</v>
      </c>
      <c r="Q694" s="155">
        <f t="shared" si="394"/>
        <v>0</v>
      </c>
      <c r="R694" s="155">
        <f t="shared" si="394"/>
        <v>0</v>
      </c>
      <c r="S694" s="155">
        <f t="shared" si="394"/>
        <v>0</v>
      </c>
      <c r="T694" s="155">
        <f t="shared" si="394"/>
        <v>0</v>
      </c>
      <c r="U694" s="155">
        <f t="shared" si="394"/>
        <v>0</v>
      </c>
      <c r="V694" s="155">
        <f t="shared" si="394"/>
        <v>0</v>
      </c>
      <c r="W694" s="155">
        <f t="shared" si="394"/>
        <v>0</v>
      </c>
      <c r="X694" s="155">
        <f t="shared" si="394"/>
        <v>0</v>
      </c>
      <c r="Y694" s="155">
        <f t="shared" si="394"/>
        <v>0</v>
      </c>
      <c r="Z694" s="155">
        <f t="shared" si="394"/>
        <v>0</v>
      </c>
      <c r="AA694" s="155">
        <f t="shared" si="394"/>
        <v>0</v>
      </c>
      <c r="AB694" s="155">
        <f t="shared" si="394"/>
        <v>0</v>
      </c>
      <c r="AC694" s="155">
        <f t="shared" si="394"/>
        <v>0</v>
      </c>
      <c r="AD694" s="155">
        <f t="shared" si="394"/>
        <v>0</v>
      </c>
      <c r="AE694" s="155">
        <f t="shared" si="394"/>
        <v>0</v>
      </c>
      <c r="AF694" s="155">
        <f t="shared" si="394"/>
        <v>0</v>
      </c>
      <c r="AG694" s="155">
        <f t="shared" si="394"/>
        <v>0</v>
      </c>
      <c r="AH694" s="155">
        <f t="shared" si="394"/>
        <v>0</v>
      </c>
      <c r="AI694" s="155">
        <f t="shared" si="394"/>
        <v>0</v>
      </c>
      <c r="AJ694" s="155">
        <f t="shared" si="394"/>
        <v>0</v>
      </c>
      <c r="AK694" s="155">
        <f t="shared" si="394"/>
        <v>0</v>
      </c>
      <c r="AL694" s="155">
        <f t="shared" si="394"/>
        <v>0</v>
      </c>
      <c r="AM694" s="155">
        <f t="shared" si="394"/>
        <v>0</v>
      </c>
      <c r="AN694" s="155">
        <f t="shared" si="394"/>
        <v>0</v>
      </c>
      <c r="AO694" s="155">
        <f t="shared" si="394"/>
        <v>0</v>
      </c>
      <c r="AP694" s="155">
        <f t="shared" si="394"/>
        <v>0</v>
      </c>
    </row>
    <row r="695" spans="1:42" x14ac:dyDescent="0.2">
      <c r="A695" s="4">
        <f t="shared" si="393"/>
        <v>4</v>
      </c>
      <c r="B695" s="170">
        <f t="shared" si="390"/>
        <v>0</v>
      </c>
      <c r="C695" s="155">
        <f t="shared" ref="C695:AP695" si="395">IF(C$2&gt;analysis_period,0,IF(C$2=equip2_reserve_freq*$A695,equip2_reserve_cost*system_capacity*1000*(1+inflation_rate/100)^B$2,0))</f>
        <v>0</v>
      </c>
      <c r="D695" s="155">
        <f t="shared" si="395"/>
        <v>0</v>
      </c>
      <c r="E695" s="155">
        <f t="shared" si="395"/>
        <v>0</v>
      </c>
      <c r="F695" s="155">
        <f t="shared" si="395"/>
        <v>0</v>
      </c>
      <c r="G695" s="155">
        <f t="shared" si="395"/>
        <v>0</v>
      </c>
      <c r="H695" s="155">
        <f t="shared" si="395"/>
        <v>0</v>
      </c>
      <c r="I695" s="155">
        <f t="shared" si="395"/>
        <v>0</v>
      </c>
      <c r="J695" s="155">
        <f t="shared" si="395"/>
        <v>0</v>
      </c>
      <c r="K695" s="155">
        <f t="shared" si="395"/>
        <v>0</v>
      </c>
      <c r="L695" s="155">
        <f t="shared" si="395"/>
        <v>0</v>
      </c>
      <c r="M695" s="155">
        <f t="shared" si="395"/>
        <v>0</v>
      </c>
      <c r="N695" s="155">
        <f t="shared" si="395"/>
        <v>0</v>
      </c>
      <c r="O695" s="155">
        <f t="shared" si="395"/>
        <v>0</v>
      </c>
      <c r="P695" s="155">
        <f t="shared" si="395"/>
        <v>0</v>
      </c>
      <c r="Q695" s="155">
        <f t="shared" si="395"/>
        <v>0</v>
      </c>
      <c r="R695" s="155">
        <f t="shared" si="395"/>
        <v>0</v>
      </c>
      <c r="S695" s="155">
        <f t="shared" si="395"/>
        <v>0</v>
      </c>
      <c r="T695" s="155">
        <f t="shared" si="395"/>
        <v>0</v>
      </c>
      <c r="U695" s="155">
        <f t="shared" si="395"/>
        <v>0</v>
      </c>
      <c r="V695" s="155">
        <f t="shared" si="395"/>
        <v>0</v>
      </c>
      <c r="W695" s="155">
        <f t="shared" si="395"/>
        <v>0</v>
      </c>
      <c r="X695" s="155">
        <f t="shared" si="395"/>
        <v>0</v>
      </c>
      <c r="Y695" s="155">
        <f t="shared" si="395"/>
        <v>0</v>
      </c>
      <c r="Z695" s="155">
        <f t="shared" si="395"/>
        <v>0</v>
      </c>
      <c r="AA695" s="155">
        <f t="shared" si="395"/>
        <v>0</v>
      </c>
      <c r="AB695" s="155">
        <f t="shared" si="395"/>
        <v>0</v>
      </c>
      <c r="AC695" s="155">
        <f t="shared" si="395"/>
        <v>0</v>
      </c>
      <c r="AD695" s="155">
        <f t="shared" si="395"/>
        <v>0</v>
      </c>
      <c r="AE695" s="155">
        <f t="shared" si="395"/>
        <v>0</v>
      </c>
      <c r="AF695" s="155">
        <f t="shared" si="395"/>
        <v>0</v>
      </c>
      <c r="AG695" s="155">
        <f t="shared" si="395"/>
        <v>0</v>
      </c>
      <c r="AH695" s="155">
        <f t="shared" si="395"/>
        <v>0</v>
      </c>
      <c r="AI695" s="155">
        <f t="shared" si="395"/>
        <v>0</v>
      </c>
      <c r="AJ695" s="155">
        <f t="shared" si="395"/>
        <v>0</v>
      </c>
      <c r="AK695" s="155">
        <f t="shared" si="395"/>
        <v>0</v>
      </c>
      <c r="AL695" s="155">
        <f t="shared" si="395"/>
        <v>0</v>
      </c>
      <c r="AM695" s="155">
        <f t="shared" si="395"/>
        <v>0</v>
      </c>
      <c r="AN695" s="155">
        <f t="shared" si="395"/>
        <v>0</v>
      </c>
      <c r="AO695" s="155">
        <f t="shared" si="395"/>
        <v>0</v>
      </c>
      <c r="AP695" s="155">
        <f t="shared" si="395"/>
        <v>0</v>
      </c>
    </row>
    <row r="696" spans="1:42" x14ac:dyDescent="0.2">
      <c r="A696" s="4">
        <f t="shared" si="393"/>
        <v>5</v>
      </c>
      <c r="B696" s="170">
        <f t="shared" si="390"/>
        <v>0</v>
      </c>
      <c r="C696" s="155">
        <f t="shared" ref="C696:AP696" si="396">IF(C$2&gt;analysis_period,0,IF(C$2=equip2_reserve_freq*$A696,equip2_reserve_cost*system_capacity*1000*(1+inflation_rate/100)^B$2,0))</f>
        <v>0</v>
      </c>
      <c r="D696" s="155">
        <f t="shared" si="396"/>
        <v>0</v>
      </c>
      <c r="E696" s="155">
        <f t="shared" si="396"/>
        <v>0</v>
      </c>
      <c r="F696" s="155">
        <f t="shared" si="396"/>
        <v>0</v>
      </c>
      <c r="G696" s="155">
        <f t="shared" si="396"/>
        <v>0</v>
      </c>
      <c r="H696" s="155">
        <f t="shared" si="396"/>
        <v>0</v>
      </c>
      <c r="I696" s="155">
        <f t="shared" si="396"/>
        <v>0</v>
      </c>
      <c r="J696" s="155">
        <f t="shared" si="396"/>
        <v>0</v>
      </c>
      <c r="K696" s="155">
        <f t="shared" si="396"/>
        <v>0</v>
      </c>
      <c r="L696" s="155">
        <f t="shared" si="396"/>
        <v>0</v>
      </c>
      <c r="M696" s="155">
        <f t="shared" si="396"/>
        <v>0</v>
      </c>
      <c r="N696" s="155">
        <f t="shared" si="396"/>
        <v>0</v>
      </c>
      <c r="O696" s="155">
        <f t="shared" si="396"/>
        <v>0</v>
      </c>
      <c r="P696" s="155">
        <f t="shared" si="396"/>
        <v>0</v>
      </c>
      <c r="Q696" s="155">
        <f t="shared" si="396"/>
        <v>0</v>
      </c>
      <c r="R696" s="155">
        <f t="shared" si="396"/>
        <v>0</v>
      </c>
      <c r="S696" s="155">
        <f t="shared" si="396"/>
        <v>0</v>
      </c>
      <c r="T696" s="155">
        <f t="shared" si="396"/>
        <v>0</v>
      </c>
      <c r="U696" s="155">
        <f t="shared" si="396"/>
        <v>0</v>
      </c>
      <c r="V696" s="155">
        <f t="shared" si="396"/>
        <v>0</v>
      </c>
      <c r="W696" s="155">
        <f t="shared" si="396"/>
        <v>0</v>
      </c>
      <c r="X696" s="155">
        <f t="shared" si="396"/>
        <v>0</v>
      </c>
      <c r="Y696" s="155">
        <f t="shared" si="396"/>
        <v>0</v>
      </c>
      <c r="Z696" s="155">
        <f t="shared" si="396"/>
        <v>0</v>
      </c>
      <c r="AA696" s="155">
        <f t="shared" si="396"/>
        <v>0</v>
      </c>
      <c r="AB696" s="155">
        <f t="shared" si="396"/>
        <v>0</v>
      </c>
      <c r="AC696" s="155">
        <f t="shared" si="396"/>
        <v>0</v>
      </c>
      <c r="AD696" s="155">
        <f t="shared" si="396"/>
        <v>0</v>
      </c>
      <c r="AE696" s="155">
        <f t="shared" si="396"/>
        <v>0</v>
      </c>
      <c r="AF696" s="155">
        <f t="shared" si="396"/>
        <v>0</v>
      </c>
      <c r="AG696" s="155">
        <f t="shared" si="396"/>
        <v>0</v>
      </c>
      <c r="AH696" s="155">
        <f t="shared" si="396"/>
        <v>0</v>
      </c>
      <c r="AI696" s="155">
        <f t="shared" si="396"/>
        <v>0</v>
      </c>
      <c r="AJ696" s="155">
        <f t="shared" si="396"/>
        <v>0</v>
      </c>
      <c r="AK696" s="155">
        <f t="shared" si="396"/>
        <v>0</v>
      </c>
      <c r="AL696" s="155">
        <f t="shared" si="396"/>
        <v>0</v>
      </c>
      <c r="AM696" s="155">
        <f t="shared" si="396"/>
        <v>0</v>
      </c>
      <c r="AN696" s="155">
        <f t="shared" si="396"/>
        <v>0</v>
      </c>
      <c r="AO696" s="155">
        <f t="shared" si="396"/>
        <v>0</v>
      </c>
      <c r="AP696" s="155">
        <f t="shared" si="396"/>
        <v>0</v>
      </c>
    </row>
    <row r="697" spans="1:42" x14ac:dyDescent="0.2">
      <c r="A697" s="4">
        <f t="shared" si="393"/>
        <v>6</v>
      </c>
      <c r="B697" s="170">
        <f t="shared" si="390"/>
        <v>0</v>
      </c>
      <c r="C697" s="155">
        <f t="shared" ref="C697:AP697" si="397">IF(C$2&gt;analysis_period,0,IF(C$2=equip2_reserve_freq*$A697,equip2_reserve_cost*system_capacity*1000*(1+inflation_rate/100)^B$2,0))</f>
        <v>0</v>
      </c>
      <c r="D697" s="155">
        <f t="shared" si="397"/>
        <v>0</v>
      </c>
      <c r="E697" s="155">
        <f t="shared" si="397"/>
        <v>0</v>
      </c>
      <c r="F697" s="155">
        <f t="shared" si="397"/>
        <v>0</v>
      </c>
      <c r="G697" s="155">
        <f t="shared" si="397"/>
        <v>0</v>
      </c>
      <c r="H697" s="155">
        <f t="shared" si="397"/>
        <v>0</v>
      </c>
      <c r="I697" s="155">
        <f t="shared" si="397"/>
        <v>0</v>
      </c>
      <c r="J697" s="155">
        <f t="shared" si="397"/>
        <v>0</v>
      </c>
      <c r="K697" s="155">
        <f t="shared" si="397"/>
        <v>0</v>
      </c>
      <c r="L697" s="155">
        <f t="shared" si="397"/>
        <v>0</v>
      </c>
      <c r="M697" s="155">
        <f t="shared" si="397"/>
        <v>0</v>
      </c>
      <c r="N697" s="155">
        <f t="shared" si="397"/>
        <v>0</v>
      </c>
      <c r="O697" s="155">
        <f t="shared" si="397"/>
        <v>0</v>
      </c>
      <c r="P697" s="155">
        <f t="shared" si="397"/>
        <v>0</v>
      </c>
      <c r="Q697" s="155">
        <f t="shared" si="397"/>
        <v>0</v>
      </c>
      <c r="R697" s="155">
        <f t="shared" si="397"/>
        <v>0</v>
      </c>
      <c r="S697" s="155">
        <f t="shared" si="397"/>
        <v>0</v>
      </c>
      <c r="T697" s="155">
        <f t="shared" si="397"/>
        <v>0</v>
      </c>
      <c r="U697" s="155">
        <f t="shared" si="397"/>
        <v>0</v>
      </c>
      <c r="V697" s="155">
        <f t="shared" si="397"/>
        <v>0</v>
      </c>
      <c r="W697" s="155">
        <f t="shared" si="397"/>
        <v>0</v>
      </c>
      <c r="X697" s="155">
        <f t="shared" si="397"/>
        <v>0</v>
      </c>
      <c r="Y697" s="155">
        <f t="shared" si="397"/>
        <v>0</v>
      </c>
      <c r="Z697" s="155">
        <f t="shared" si="397"/>
        <v>0</v>
      </c>
      <c r="AA697" s="155">
        <f t="shared" si="397"/>
        <v>0</v>
      </c>
      <c r="AB697" s="155">
        <f t="shared" si="397"/>
        <v>0</v>
      </c>
      <c r="AC697" s="155">
        <f t="shared" si="397"/>
        <v>0</v>
      </c>
      <c r="AD697" s="155">
        <f t="shared" si="397"/>
        <v>0</v>
      </c>
      <c r="AE697" s="155">
        <f t="shared" si="397"/>
        <v>0</v>
      </c>
      <c r="AF697" s="155">
        <f t="shared" si="397"/>
        <v>0</v>
      </c>
      <c r="AG697" s="155">
        <f t="shared" si="397"/>
        <v>0</v>
      </c>
      <c r="AH697" s="155">
        <f t="shared" si="397"/>
        <v>0</v>
      </c>
      <c r="AI697" s="155">
        <f t="shared" si="397"/>
        <v>0</v>
      </c>
      <c r="AJ697" s="155">
        <f t="shared" si="397"/>
        <v>0</v>
      </c>
      <c r="AK697" s="155">
        <f t="shared" si="397"/>
        <v>0</v>
      </c>
      <c r="AL697" s="155">
        <f t="shared" si="397"/>
        <v>0</v>
      </c>
      <c r="AM697" s="155">
        <f t="shared" si="397"/>
        <v>0</v>
      </c>
      <c r="AN697" s="155">
        <f t="shared" si="397"/>
        <v>0</v>
      </c>
      <c r="AO697" s="155">
        <f t="shared" si="397"/>
        <v>0</v>
      </c>
      <c r="AP697" s="155">
        <f t="shared" si="397"/>
        <v>0</v>
      </c>
    </row>
    <row r="698" spans="1:42" x14ac:dyDescent="0.2">
      <c r="A698" s="4">
        <f t="shared" si="393"/>
        <v>7</v>
      </c>
      <c r="B698" s="170">
        <f t="shared" si="390"/>
        <v>0</v>
      </c>
      <c r="C698" s="155">
        <f t="shared" ref="C698:AP698" si="398">IF(C$2&gt;analysis_period,0,IF(C$2=equip2_reserve_freq*$A698,equip2_reserve_cost*system_capacity*1000*(1+inflation_rate/100)^B$2,0))</f>
        <v>0</v>
      </c>
      <c r="D698" s="155">
        <f t="shared" si="398"/>
        <v>0</v>
      </c>
      <c r="E698" s="155">
        <f t="shared" si="398"/>
        <v>0</v>
      </c>
      <c r="F698" s="155">
        <f t="shared" si="398"/>
        <v>0</v>
      </c>
      <c r="G698" s="155">
        <f t="shared" si="398"/>
        <v>0</v>
      </c>
      <c r="H698" s="155">
        <f t="shared" si="398"/>
        <v>0</v>
      </c>
      <c r="I698" s="155">
        <f t="shared" si="398"/>
        <v>0</v>
      </c>
      <c r="J698" s="155">
        <f t="shared" si="398"/>
        <v>0</v>
      </c>
      <c r="K698" s="155">
        <f t="shared" si="398"/>
        <v>0</v>
      </c>
      <c r="L698" s="155">
        <f t="shared" si="398"/>
        <v>0</v>
      </c>
      <c r="M698" s="155">
        <f t="shared" si="398"/>
        <v>0</v>
      </c>
      <c r="N698" s="155">
        <f t="shared" si="398"/>
        <v>0</v>
      </c>
      <c r="O698" s="155">
        <f t="shared" si="398"/>
        <v>0</v>
      </c>
      <c r="P698" s="155">
        <f t="shared" si="398"/>
        <v>0</v>
      </c>
      <c r="Q698" s="155">
        <f t="shared" si="398"/>
        <v>0</v>
      </c>
      <c r="R698" s="155">
        <f t="shared" si="398"/>
        <v>0</v>
      </c>
      <c r="S698" s="155">
        <f t="shared" si="398"/>
        <v>0</v>
      </c>
      <c r="T698" s="155">
        <f t="shared" si="398"/>
        <v>0</v>
      </c>
      <c r="U698" s="155">
        <f t="shared" si="398"/>
        <v>0</v>
      </c>
      <c r="V698" s="155">
        <f t="shared" si="398"/>
        <v>0</v>
      </c>
      <c r="W698" s="155">
        <f t="shared" si="398"/>
        <v>0</v>
      </c>
      <c r="X698" s="155">
        <f t="shared" si="398"/>
        <v>0</v>
      </c>
      <c r="Y698" s="155">
        <f t="shared" si="398"/>
        <v>0</v>
      </c>
      <c r="Z698" s="155">
        <f t="shared" si="398"/>
        <v>0</v>
      </c>
      <c r="AA698" s="155">
        <f t="shared" si="398"/>
        <v>0</v>
      </c>
      <c r="AB698" s="155">
        <f t="shared" si="398"/>
        <v>0</v>
      </c>
      <c r="AC698" s="155">
        <f t="shared" si="398"/>
        <v>0</v>
      </c>
      <c r="AD698" s="155">
        <f t="shared" si="398"/>
        <v>0</v>
      </c>
      <c r="AE698" s="155">
        <f t="shared" si="398"/>
        <v>0</v>
      </c>
      <c r="AF698" s="155">
        <f t="shared" si="398"/>
        <v>0</v>
      </c>
      <c r="AG698" s="155">
        <f t="shared" si="398"/>
        <v>0</v>
      </c>
      <c r="AH698" s="155">
        <f t="shared" si="398"/>
        <v>0</v>
      </c>
      <c r="AI698" s="155">
        <f t="shared" si="398"/>
        <v>0</v>
      </c>
      <c r="AJ698" s="155">
        <f t="shared" si="398"/>
        <v>0</v>
      </c>
      <c r="AK698" s="155">
        <f t="shared" si="398"/>
        <v>0</v>
      </c>
      <c r="AL698" s="155">
        <f t="shared" si="398"/>
        <v>0</v>
      </c>
      <c r="AM698" s="155">
        <f t="shared" si="398"/>
        <v>0</v>
      </c>
      <c r="AN698" s="155">
        <f t="shared" si="398"/>
        <v>0</v>
      </c>
      <c r="AO698" s="155">
        <f t="shared" si="398"/>
        <v>0</v>
      </c>
      <c r="AP698" s="155">
        <f t="shared" si="398"/>
        <v>0</v>
      </c>
    </row>
    <row r="699" spans="1:42" x14ac:dyDescent="0.2">
      <c r="A699" s="4">
        <f t="shared" si="393"/>
        <v>8</v>
      </c>
      <c r="B699" s="170">
        <f t="shared" si="390"/>
        <v>0</v>
      </c>
      <c r="C699" s="155">
        <f t="shared" ref="C699:AP699" si="399">IF(C$2&gt;analysis_period,0,IF(C$2=equip2_reserve_freq*$A699,equip2_reserve_cost*system_capacity*1000*(1+inflation_rate/100)^B$2,0))</f>
        <v>0</v>
      </c>
      <c r="D699" s="155">
        <f t="shared" si="399"/>
        <v>0</v>
      </c>
      <c r="E699" s="155">
        <f t="shared" si="399"/>
        <v>0</v>
      </c>
      <c r="F699" s="155">
        <f t="shared" si="399"/>
        <v>0</v>
      </c>
      <c r="G699" s="155">
        <f t="shared" si="399"/>
        <v>0</v>
      </c>
      <c r="H699" s="155">
        <f t="shared" si="399"/>
        <v>0</v>
      </c>
      <c r="I699" s="155">
        <f t="shared" si="399"/>
        <v>0</v>
      </c>
      <c r="J699" s="155">
        <f t="shared" si="399"/>
        <v>0</v>
      </c>
      <c r="K699" s="155">
        <f t="shared" si="399"/>
        <v>0</v>
      </c>
      <c r="L699" s="155">
        <f t="shared" si="399"/>
        <v>0</v>
      </c>
      <c r="M699" s="155">
        <f t="shared" si="399"/>
        <v>0</v>
      </c>
      <c r="N699" s="155">
        <f t="shared" si="399"/>
        <v>0</v>
      </c>
      <c r="O699" s="155">
        <f t="shared" si="399"/>
        <v>0</v>
      </c>
      <c r="P699" s="155">
        <f t="shared" si="399"/>
        <v>0</v>
      </c>
      <c r="Q699" s="155">
        <f t="shared" si="399"/>
        <v>0</v>
      </c>
      <c r="R699" s="155">
        <f t="shared" si="399"/>
        <v>0</v>
      </c>
      <c r="S699" s="155">
        <f t="shared" si="399"/>
        <v>0</v>
      </c>
      <c r="T699" s="155">
        <f t="shared" si="399"/>
        <v>0</v>
      </c>
      <c r="U699" s="155">
        <f t="shared" si="399"/>
        <v>0</v>
      </c>
      <c r="V699" s="155">
        <f t="shared" si="399"/>
        <v>0</v>
      </c>
      <c r="W699" s="155">
        <f t="shared" si="399"/>
        <v>0</v>
      </c>
      <c r="X699" s="155">
        <f t="shared" si="399"/>
        <v>0</v>
      </c>
      <c r="Y699" s="155">
        <f t="shared" si="399"/>
        <v>0</v>
      </c>
      <c r="Z699" s="155">
        <f t="shared" si="399"/>
        <v>0</v>
      </c>
      <c r="AA699" s="155">
        <f t="shared" si="399"/>
        <v>0</v>
      </c>
      <c r="AB699" s="155">
        <f t="shared" si="399"/>
        <v>0</v>
      </c>
      <c r="AC699" s="155">
        <f t="shared" si="399"/>
        <v>0</v>
      </c>
      <c r="AD699" s="155">
        <f t="shared" si="399"/>
        <v>0</v>
      </c>
      <c r="AE699" s="155">
        <f t="shared" si="399"/>
        <v>0</v>
      </c>
      <c r="AF699" s="155">
        <f t="shared" si="399"/>
        <v>0</v>
      </c>
      <c r="AG699" s="155">
        <f t="shared" si="399"/>
        <v>0</v>
      </c>
      <c r="AH699" s="155">
        <f t="shared" si="399"/>
        <v>0</v>
      </c>
      <c r="AI699" s="155">
        <f t="shared" si="399"/>
        <v>0</v>
      </c>
      <c r="AJ699" s="155">
        <f t="shared" si="399"/>
        <v>0</v>
      </c>
      <c r="AK699" s="155">
        <f t="shared" si="399"/>
        <v>0</v>
      </c>
      <c r="AL699" s="155">
        <f t="shared" si="399"/>
        <v>0</v>
      </c>
      <c r="AM699" s="155">
        <f t="shared" si="399"/>
        <v>0</v>
      </c>
      <c r="AN699" s="155">
        <f t="shared" si="399"/>
        <v>0</v>
      </c>
      <c r="AO699" s="155">
        <f t="shared" si="399"/>
        <v>0</v>
      </c>
      <c r="AP699" s="155">
        <f t="shared" si="399"/>
        <v>0</v>
      </c>
    </row>
    <row r="700" spans="1:42" x14ac:dyDescent="0.2">
      <c r="A700" s="4">
        <f>A699+1</f>
        <v>9</v>
      </c>
      <c r="B700" s="170">
        <f t="shared" si="390"/>
        <v>0</v>
      </c>
      <c r="C700" s="155">
        <f t="shared" ref="C700:AP700" si="400">IF(C$2&gt;analysis_period,0,IF(C$2=equip2_reserve_freq*$A700,equip2_reserve_cost*system_capacity*1000*(1+inflation_rate/100)^B$2,0))</f>
        <v>0</v>
      </c>
      <c r="D700" s="155">
        <f t="shared" si="400"/>
        <v>0</v>
      </c>
      <c r="E700" s="155">
        <f t="shared" si="400"/>
        <v>0</v>
      </c>
      <c r="F700" s="155">
        <f t="shared" si="400"/>
        <v>0</v>
      </c>
      <c r="G700" s="155">
        <f t="shared" si="400"/>
        <v>0</v>
      </c>
      <c r="H700" s="155">
        <f t="shared" si="400"/>
        <v>0</v>
      </c>
      <c r="I700" s="155">
        <f t="shared" si="400"/>
        <v>0</v>
      </c>
      <c r="J700" s="155">
        <f t="shared" si="400"/>
        <v>0</v>
      </c>
      <c r="K700" s="155">
        <f t="shared" si="400"/>
        <v>0</v>
      </c>
      <c r="L700" s="155">
        <f t="shared" si="400"/>
        <v>0</v>
      </c>
      <c r="M700" s="155">
        <f t="shared" si="400"/>
        <v>0</v>
      </c>
      <c r="N700" s="155">
        <f t="shared" si="400"/>
        <v>0</v>
      </c>
      <c r="O700" s="155">
        <f t="shared" si="400"/>
        <v>0</v>
      </c>
      <c r="P700" s="155">
        <f t="shared" si="400"/>
        <v>0</v>
      </c>
      <c r="Q700" s="155">
        <f t="shared" si="400"/>
        <v>0</v>
      </c>
      <c r="R700" s="155">
        <f t="shared" si="400"/>
        <v>0</v>
      </c>
      <c r="S700" s="155">
        <f t="shared" si="400"/>
        <v>0</v>
      </c>
      <c r="T700" s="155">
        <f t="shared" si="400"/>
        <v>0</v>
      </c>
      <c r="U700" s="155">
        <f t="shared" si="400"/>
        <v>0</v>
      </c>
      <c r="V700" s="155">
        <f t="shared" si="400"/>
        <v>0</v>
      </c>
      <c r="W700" s="155">
        <f t="shared" si="400"/>
        <v>0</v>
      </c>
      <c r="X700" s="155">
        <f t="shared" si="400"/>
        <v>0</v>
      </c>
      <c r="Y700" s="155">
        <f t="shared" si="400"/>
        <v>0</v>
      </c>
      <c r="Z700" s="155">
        <f t="shared" si="400"/>
        <v>0</v>
      </c>
      <c r="AA700" s="155">
        <f t="shared" si="400"/>
        <v>0</v>
      </c>
      <c r="AB700" s="155">
        <f t="shared" si="400"/>
        <v>0</v>
      </c>
      <c r="AC700" s="155">
        <f t="shared" si="400"/>
        <v>0</v>
      </c>
      <c r="AD700" s="155">
        <f t="shared" si="400"/>
        <v>0</v>
      </c>
      <c r="AE700" s="155">
        <f t="shared" si="400"/>
        <v>0</v>
      </c>
      <c r="AF700" s="155">
        <f t="shared" si="400"/>
        <v>0</v>
      </c>
      <c r="AG700" s="155">
        <f t="shared" si="400"/>
        <v>0</v>
      </c>
      <c r="AH700" s="155">
        <f t="shared" si="400"/>
        <v>0</v>
      </c>
      <c r="AI700" s="155">
        <f t="shared" si="400"/>
        <v>0</v>
      </c>
      <c r="AJ700" s="155">
        <f t="shared" si="400"/>
        <v>0</v>
      </c>
      <c r="AK700" s="155">
        <f t="shared" si="400"/>
        <v>0</v>
      </c>
      <c r="AL700" s="155">
        <f t="shared" si="400"/>
        <v>0</v>
      </c>
      <c r="AM700" s="155">
        <f t="shared" si="400"/>
        <v>0</v>
      </c>
      <c r="AN700" s="155">
        <f t="shared" si="400"/>
        <v>0</v>
      </c>
      <c r="AO700" s="155">
        <f t="shared" si="400"/>
        <v>0</v>
      </c>
      <c r="AP700" s="155">
        <f t="shared" si="400"/>
        <v>0</v>
      </c>
    </row>
    <row r="701" spans="1:42" x14ac:dyDescent="0.2">
      <c r="A701" s="4">
        <f t="shared" si="393"/>
        <v>10</v>
      </c>
      <c r="B701" s="170">
        <f t="shared" si="390"/>
        <v>0</v>
      </c>
      <c r="C701" s="155">
        <f t="shared" ref="C701:AP701" si="401">IF(C$2&gt;analysis_period,0,IF(C$2=equip2_reserve_freq*$A701,equip2_reserve_cost*system_capacity*1000*(1+inflation_rate/100)^B$2,0))</f>
        <v>0</v>
      </c>
      <c r="D701" s="155">
        <f t="shared" si="401"/>
        <v>0</v>
      </c>
      <c r="E701" s="155">
        <f t="shared" si="401"/>
        <v>0</v>
      </c>
      <c r="F701" s="155">
        <f t="shared" si="401"/>
        <v>0</v>
      </c>
      <c r="G701" s="155">
        <f t="shared" si="401"/>
        <v>0</v>
      </c>
      <c r="H701" s="155">
        <f t="shared" si="401"/>
        <v>0</v>
      </c>
      <c r="I701" s="155">
        <f t="shared" si="401"/>
        <v>0</v>
      </c>
      <c r="J701" s="155">
        <f t="shared" si="401"/>
        <v>0</v>
      </c>
      <c r="K701" s="155">
        <f t="shared" si="401"/>
        <v>0</v>
      </c>
      <c r="L701" s="155">
        <f t="shared" si="401"/>
        <v>0</v>
      </c>
      <c r="M701" s="155">
        <f t="shared" si="401"/>
        <v>0</v>
      </c>
      <c r="N701" s="155">
        <f t="shared" si="401"/>
        <v>0</v>
      </c>
      <c r="O701" s="155">
        <f t="shared" si="401"/>
        <v>0</v>
      </c>
      <c r="P701" s="155">
        <f t="shared" si="401"/>
        <v>0</v>
      </c>
      <c r="Q701" s="155">
        <f t="shared" si="401"/>
        <v>0</v>
      </c>
      <c r="R701" s="155">
        <f t="shared" si="401"/>
        <v>0</v>
      </c>
      <c r="S701" s="155">
        <f t="shared" si="401"/>
        <v>0</v>
      </c>
      <c r="T701" s="155">
        <f t="shared" si="401"/>
        <v>0</v>
      </c>
      <c r="U701" s="155">
        <f t="shared" si="401"/>
        <v>0</v>
      </c>
      <c r="V701" s="155">
        <f t="shared" si="401"/>
        <v>0</v>
      </c>
      <c r="W701" s="155">
        <f t="shared" si="401"/>
        <v>0</v>
      </c>
      <c r="X701" s="155">
        <f t="shared" si="401"/>
        <v>0</v>
      </c>
      <c r="Y701" s="155">
        <f t="shared" si="401"/>
        <v>0</v>
      </c>
      <c r="Z701" s="155">
        <f t="shared" si="401"/>
        <v>0</v>
      </c>
      <c r="AA701" s="155">
        <f t="shared" si="401"/>
        <v>0</v>
      </c>
      <c r="AB701" s="155">
        <f t="shared" si="401"/>
        <v>0</v>
      </c>
      <c r="AC701" s="155">
        <f t="shared" si="401"/>
        <v>0</v>
      </c>
      <c r="AD701" s="155">
        <f t="shared" si="401"/>
        <v>0</v>
      </c>
      <c r="AE701" s="155">
        <f t="shared" si="401"/>
        <v>0</v>
      </c>
      <c r="AF701" s="155">
        <f t="shared" si="401"/>
        <v>0</v>
      </c>
      <c r="AG701" s="155">
        <f t="shared" si="401"/>
        <v>0</v>
      </c>
      <c r="AH701" s="155">
        <f t="shared" si="401"/>
        <v>0</v>
      </c>
      <c r="AI701" s="155">
        <f t="shared" si="401"/>
        <v>0</v>
      </c>
      <c r="AJ701" s="155">
        <f t="shared" si="401"/>
        <v>0</v>
      </c>
      <c r="AK701" s="155">
        <f t="shared" si="401"/>
        <v>0</v>
      </c>
      <c r="AL701" s="155">
        <f t="shared" si="401"/>
        <v>0</v>
      </c>
      <c r="AM701" s="155">
        <f t="shared" si="401"/>
        <v>0</v>
      </c>
      <c r="AN701" s="155">
        <f t="shared" si="401"/>
        <v>0</v>
      </c>
      <c r="AO701" s="155">
        <f t="shared" si="401"/>
        <v>0</v>
      </c>
      <c r="AP701" s="155">
        <f t="shared" si="401"/>
        <v>0</v>
      </c>
    </row>
    <row r="702" spans="1:42" x14ac:dyDescent="0.2">
      <c r="A702" s="24" t="s">
        <v>13</v>
      </c>
      <c r="B702" s="14"/>
      <c r="C702" s="155">
        <f>SUM(C692:C701)</f>
        <v>0</v>
      </c>
      <c r="D702" s="155">
        <f t="shared" ref="D702:AP702" si="402">SUM(D692:D701)</f>
        <v>0</v>
      </c>
      <c r="E702" s="155">
        <f t="shared" si="402"/>
        <v>0</v>
      </c>
      <c r="F702" s="155">
        <f t="shared" si="402"/>
        <v>0</v>
      </c>
      <c r="G702" s="155">
        <f t="shared" si="402"/>
        <v>0</v>
      </c>
      <c r="H702" s="155">
        <f t="shared" si="402"/>
        <v>0</v>
      </c>
      <c r="I702" s="155">
        <f t="shared" si="402"/>
        <v>0</v>
      </c>
      <c r="J702" s="155">
        <f t="shared" si="402"/>
        <v>0</v>
      </c>
      <c r="K702" s="155">
        <f t="shared" si="402"/>
        <v>0</v>
      </c>
      <c r="L702" s="155">
        <f t="shared" si="402"/>
        <v>0</v>
      </c>
      <c r="M702" s="155">
        <f t="shared" si="402"/>
        <v>0</v>
      </c>
      <c r="N702" s="155">
        <f t="shared" si="402"/>
        <v>0</v>
      </c>
      <c r="O702" s="155">
        <f t="shared" si="402"/>
        <v>0</v>
      </c>
      <c r="P702" s="155">
        <f t="shared" si="402"/>
        <v>0</v>
      </c>
      <c r="Q702" s="155">
        <f t="shared" si="402"/>
        <v>0</v>
      </c>
      <c r="R702" s="155">
        <f t="shared" si="402"/>
        <v>0</v>
      </c>
      <c r="S702" s="155">
        <f t="shared" si="402"/>
        <v>0</v>
      </c>
      <c r="T702" s="155">
        <f t="shared" si="402"/>
        <v>0</v>
      </c>
      <c r="U702" s="155">
        <f t="shared" si="402"/>
        <v>0</v>
      </c>
      <c r="V702" s="155">
        <f t="shared" si="402"/>
        <v>0</v>
      </c>
      <c r="W702" s="155">
        <f t="shared" si="402"/>
        <v>0</v>
      </c>
      <c r="X702" s="155">
        <f t="shared" si="402"/>
        <v>0</v>
      </c>
      <c r="Y702" s="155">
        <f t="shared" si="402"/>
        <v>0</v>
      </c>
      <c r="Z702" s="155">
        <f t="shared" si="402"/>
        <v>0</v>
      </c>
      <c r="AA702" s="155">
        <f t="shared" si="402"/>
        <v>0</v>
      </c>
      <c r="AB702" s="155">
        <f t="shared" si="402"/>
        <v>0</v>
      </c>
      <c r="AC702" s="155">
        <f t="shared" si="402"/>
        <v>0</v>
      </c>
      <c r="AD702" s="155">
        <f t="shared" si="402"/>
        <v>0</v>
      </c>
      <c r="AE702" s="155">
        <f t="shared" si="402"/>
        <v>0</v>
      </c>
      <c r="AF702" s="155">
        <f t="shared" si="402"/>
        <v>0</v>
      </c>
      <c r="AG702" s="155">
        <f t="shared" si="402"/>
        <v>0</v>
      </c>
      <c r="AH702" s="155">
        <f t="shared" si="402"/>
        <v>0</v>
      </c>
      <c r="AI702" s="155">
        <f t="shared" si="402"/>
        <v>0</v>
      </c>
      <c r="AJ702" s="155">
        <f t="shared" si="402"/>
        <v>0</v>
      </c>
      <c r="AK702" s="155">
        <f t="shared" si="402"/>
        <v>0</v>
      </c>
      <c r="AL702" s="155">
        <f t="shared" si="402"/>
        <v>0</v>
      </c>
      <c r="AM702" s="155">
        <f t="shared" si="402"/>
        <v>0</v>
      </c>
      <c r="AN702" s="155">
        <f t="shared" si="402"/>
        <v>0</v>
      </c>
      <c r="AO702" s="155">
        <f t="shared" si="402"/>
        <v>0</v>
      </c>
      <c r="AP702" s="155">
        <f t="shared" si="402"/>
        <v>0</v>
      </c>
    </row>
    <row r="703" spans="1:42" x14ac:dyDescent="0.2">
      <c r="A703" s="4" t="s">
        <v>281</v>
      </c>
    </row>
    <row r="704" spans="1:42" x14ac:dyDescent="0.2">
      <c r="A704" s="4">
        <v>1</v>
      </c>
      <c r="B704" s="174">
        <f t="shared" ref="B704:B713" si="403">SUM(C704:AP704)</f>
        <v>0</v>
      </c>
      <c r="C704" s="155">
        <f t="shared" ref="C704:AP704" si="404">IF(C$2&lt;=equip2_reserve_freq*$A$692,$B$692/(equip2_reserve_freq),0)</f>
        <v>0</v>
      </c>
      <c r="D704" s="155">
        <f t="shared" si="404"/>
        <v>0</v>
      </c>
      <c r="E704" s="155">
        <f t="shared" si="404"/>
        <v>0</v>
      </c>
      <c r="F704" s="155">
        <f t="shared" si="404"/>
        <v>0</v>
      </c>
      <c r="G704" s="155">
        <f t="shared" si="404"/>
        <v>0</v>
      </c>
      <c r="H704" s="155">
        <f t="shared" si="404"/>
        <v>0</v>
      </c>
      <c r="I704" s="155">
        <f t="shared" si="404"/>
        <v>0</v>
      </c>
      <c r="J704" s="155">
        <f t="shared" si="404"/>
        <v>0</v>
      </c>
      <c r="K704" s="155">
        <f t="shared" si="404"/>
        <v>0</v>
      </c>
      <c r="L704" s="155">
        <f t="shared" si="404"/>
        <v>0</v>
      </c>
      <c r="M704" s="155">
        <f t="shared" si="404"/>
        <v>0</v>
      </c>
      <c r="N704" s="155">
        <f t="shared" si="404"/>
        <v>0</v>
      </c>
      <c r="O704" s="155">
        <f t="shared" si="404"/>
        <v>0</v>
      </c>
      <c r="P704" s="155">
        <f t="shared" si="404"/>
        <v>0</v>
      </c>
      <c r="Q704" s="155">
        <f t="shared" si="404"/>
        <v>0</v>
      </c>
      <c r="R704" s="155">
        <f t="shared" si="404"/>
        <v>0</v>
      </c>
      <c r="S704" s="155">
        <f t="shared" si="404"/>
        <v>0</v>
      </c>
      <c r="T704" s="155">
        <f t="shared" si="404"/>
        <v>0</v>
      </c>
      <c r="U704" s="155">
        <f t="shared" si="404"/>
        <v>0</v>
      </c>
      <c r="V704" s="155">
        <f t="shared" si="404"/>
        <v>0</v>
      </c>
      <c r="W704" s="155">
        <f t="shared" si="404"/>
        <v>0</v>
      </c>
      <c r="X704" s="155">
        <f t="shared" si="404"/>
        <v>0</v>
      </c>
      <c r="Y704" s="155">
        <f t="shared" si="404"/>
        <v>0</v>
      </c>
      <c r="Z704" s="155">
        <f t="shared" si="404"/>
        <v>0</v>
      </c>
      <c r="AA704" s="155">
        <f t="shared" si="404"/>
        <v>0</v>
      </c>
      <c r="AB704" s="155">
        <f t="shared" si="404"/>
        <v>0</v>
      </c>
      <c r="AC704" s="155">
        <f t="shared" si="404"/>
        <v>0</v>
      </c>
      <c r="AD704" s="155">
        <f t="shared" si="404"/>
        <v>0</v>
      </c>
      <c r="AE704" s="155">
        <f t="shared" si="404"/>
        <v>0</v>
      </c>
      <c r="AF704" s="155">
        <f t="shared" si="404"/>
        <v>0</v>
      </c>
      <c r="AG704" s="155">
        <f t="shared" si="404"/>
        <v>0</v>
      </c>
      <c r="AH704" s="155">
        <f t="shared" si="404"/>
        <v>0</v>
      </c>
      <c r="AI704" s="155">
        <f t="shared" si="404"/>
        <v>0</v>
      </c>
      <c r="AJ704" s="155">
        <f t="shared" si="404"/>
        <v>0</v>
      </c>
      <c r="AK704" s="155">
        <f t="shared" si="404"/>
        <v>0</v>
      </c>
      <c r="AL704" s="155">
        <f t="shared" si="404"/>
        <v>0</v>
      </c>
      <c r="AM704" s="155">
        <f t="shared" si="404"/>
        <v>0</v>
      </c>
      <c r="AN704" s="155">
        <f t="shared" si="404"/>
        <v>0</v>
      </c>
      <c r="AO704" s="155">
        <f t="shared" si="404"/>
        <v>0</v>
      </c>
      <c r="AP704" s="155">
        <f t="shared" si="404"/>
        <v>0</v>
      </c>
    </row>
    <row r="705" spans="1:42" x14ac:dyDescent="0.2">
      <c r="A705" s="4">
        <f>A704+1</f>
        <v>2</v>
      </c>
      <c r="B705" s="174">
        <f t="shared" si="403"/>
        <v>0</v>
      </c>
      <c r="C705" s="155">
        <f t="shared" ref="C705:AP705" si="405">IF(AND(C$2&gt;equip2_reserve_freq*$A692,C$2&lt;=equip2_reserve_freq*$A693),$B693/(equip2_reserve_freq),0)</f>
        <v>0</v>
      </c>
      <c r="D705" s="155">
        <f t="shared" si="405"/>
        <v>0</v>
      </c>
      <c r="E705" s="155">
        <f t="shared" si="405"/>
        <v>0</v>
      </c>
      <c r="F705" s="155">
        <f t="shared" si="405"/>
        <v>0</v>
      </c>
      <c r="G705" s="155">
        <f t="shared" si="405"/>
        <v>0</v>
      </c>
      <c r="H705" s="155">
        <f t="shared" si="405"/>
        <v>0</v>
      </c>
      <c r="I705" s="155">
        <f t="shared" si="405"/>
        <v>0</v>
      </c>
      <c r="J705" s="155">
        <f t="shared" si="405"/>
        <v>0</v>
      </c>
      <c r="K705" s="155">
        <f t="shared" si="405"/>
        <v>0</v>
      </c>
      <c r="L705" s="155">
        <f t="shared" si="405"/>
        <v>0</v>
      </c>
      <c r="M705" s="155">
        <f t="shared" si="405"/>
        <v>0</v>
      </c>
      <c r="N705" s="155">
        <f t="shared" si="405"/>
        <v>0</v>
      </c>
      <c r="O705" s="155">
        <f t="shared" si="405"/>
        <v>0</v>
      </c>
      <c r="P705" s="155">
        <f t="shared" si="405"/>
        <v>0</v>
      </c>
      <c r="Q705" s="155">
        <f t="shared" si="405"/>
        <v>0</v>
      </c>
      <c r="R705" s="155">
        <f t="shared" si="405"/>
        <v>0</v>
      </c>
      <c r="S705" s="155">
        <f t="shared" si="405"/>
        <v>0</v>
      </c>
      <c r="T705" s="155">
        <f t="shared" si="405"/>
        <v>0</v>
      </c>
      <c r="U705" s="155">
        <f t="shared" si="405"/>
        <v>0</v>
      </c>
      <c r="V705" s="155">
        <f t="shared" si="405"/>
        <v>0</v>
      </c>
      <c r="W705" s="155">
        <f t="shared" si="405"/>
        <v>0</v>
      </c>
      <c r="X705" s="155">
        <f t="shared" si="405"/>
        <v>0</v>
      </c>
      <c r="Y705" s="155">
        <f t="shared" si="405"/>
        <v>0</v>
      </c>
      <c r="Z705" s="155">
        <f t="shared" si="405"/>
        <v>0</v>
      </c>
      <c r="AA705" s="155">
        <f t="shared" si="405"/>
        <v>0</v>
      </c>
      <c r="AB705" s="155">
        <f t="shared" si="405"/>
        <v>0</v>
      </c>
      <c r="AC705" s="155">
        <f t="shared" si="405"/>
        <v>0</v>
      </c>
      <c r="AD705" s="155">
        <f t="shared" si="405"/>
        <v>0</v>
      </c>
      <c r="AE705" s="155">
        <f t="shared" si="405"/>
        <v>0</v>
      </c>
      <c r="AF705" s="155">
        <f t="shared" si="405"/>
        <v>0</v>
      </c>
      <c r="AG705" s="155">
        <f t="shared" si="405"/>
        <v>0</v>
      </c>
      <c r="AH705" s="155">
        <f t="shared" si="405"/>
        <v>0</v>
      </c>
      <c r="AI705" s="155">
        <f t="shared" si="405"/>
        <v>0</v>
      </c>
      <c r="AJ705" s="155">
        <f t="shared" si="405"/>
        <v>0</v>
      </c>
      <c r="AK705" s="155">
        <f t="shared" si="405"/>
        <v>0</v>
      </c>
      <c r="AL705" s="155">
        <f t="shared" si="405"/>
        <v>0</v>
      </c>
      <c r="AM705" s="155">
        <f t="shared" si="405"/>
        <v>0</v>
      </c>
      <c r="AN705" s="155">
        <f t="shared" si="405"/>
        <v>0</v>
      </c>
      <c r="AO705" s="155">
        <f t="shared" si="405"/>
        <v>0</v>
      </c>
      <c r="AP705" s="155">
        <f t="shared" si="405"/>
        <v>0</v>
      </c>
    </row>
    <row r="706" spans="1:42" x14ac:dyDescent="0.2">
      <c r="A706" s="4">
        <f t="shared" ref="A706:A711" si="406">A705+1</f>
        <v>3</v>
      </c>
      <c r="B706" s="174">
        <f t="shared" si="403"/>
        <v>0</v>
      </c>
      <c r="C706" s="155">
        <f t="shared" ref="C706:AP706" si="407">IF(AND(C$2&gt;equip2_reserve_freq*$A693,C$2&lt;=equip2_reserve_freq*$A694),$B694/(equip2_reserve_freq),0)</f>
        <v>0</v>
      </c>
      <c r="D706" s="155">
        <f t="shared" si="407"/>
        <v>0</v>
      </c>
      <c r="E706" s="155">
        <f t="shared" si="407"/>
        <v>0</v>
      </c>
      <c r="F706" s="155">
        <f t="shared" si="407"/>
        <v>0</v>
      </c>
      <c r="G706" s="155">
        <f t="shared" si="407"/>
        <v>0</v>
      </c>
      <c r="H706" s="155">
        <f t="shared" si="407"/>
        <v>0</v>
      </c>
      <c r="I706" s="155">
        <f t="shared" si="407"/>
        <v>0</v>
      </c>
      <c r="J706" s="155">
        <f t="shared" si="407"/>
        <v>0</v>
      </c>
      <c r="K706" s="155">
        <f t="shared" si="407"/>
        <v>0</v>
      </c>
      <c r="L706" s="155">
        <f t="shared" si="407"/>
        <v>0</v>
      </c>
      <c r="M706" s="155">
        <f t="shared" si="407"/>
        <v>0</v>
      </c>
      <c r="N706" s="155">
        <f t="shared" si="407"/>
        <v>0</v>
      </c>
      <c r="O706" s="155">
        <f t="shared" si="407"/>
        <v>0</v>
      </c>
      <c r="P706" s="155">
        <f t="shared" si="407"/>
        <v>0</v>
      </c>
      <c r="Q706" s="155">
        <f t="shared" si="407"/>
        <v>0</v>
      </c>
      <c r="R706" s="155">
        <f t="shared" si="407"/>
        <v>0</v>
      </c>
      <c r="S706" s="155">
        <f t="shared" si="407"/>
        <v>0</v>
      </c>
      <c r="T706" s="155">
        <f t="shared" si="407"/>
        <v>0</v>
      </c>
      <c r="U706" s="155">
        <f t="shared" si="407"/>
        <v>0</v>
      </c>
      <c r="V706" s="155">
        <f t="shared" si="407"/>
        <v>0</v>
      </c>
      <c r="W706" s="155">
        <f t="shared" si="407"/>
        <v>0</v>
      </c>
      <c r="X706" s="155">
        <f t="shared" si="407"/>
        <v>0</v>
      </c>
      <c r="Y706" s="155">
        <f t="shared" si="407"/>
        <v>0</v>
      </c>
      <c r="Z706" s="155">
        <f t="shared" si="407"/>
        <v>0</v>
      </c>
      <c r="AA706" s="155">
        <f t="shared" si="407"/>
        <v>0</v>
      </c>
      <c r="AB706" s="155">
        <f t="shared" si="407"/>
        <v>0</v>
      </c>
      <c r="AC706" s="155">
        <f t="shared" si="407"/>
        <v>0</v>
      </c>
      <c r="AD706" s="155">
        <f t="shared" si="407"/>
        <v>0</v>
      </c>
      <c r="AE706" s="155">
        <f t="shared" si="407"/>
        <v>0</v>
      </c>
      <c r="AF706" s="155">
        <f t="shared" si="407"/>
        <v>0</v>
      </c>
      <c r="AG706" s="155">
        <f t="shared" si="407"/>
        <v>0</v>
      </c>
      <c r="AH706" s="155">
        <f t="shared" si="407"/>
        <v>0</v>
      </c>
      <c r="AI706" s="155">
        <f t="shared" si="407"/>
        <v>0</v>
      </c>
      <c r="AJ706" s="155">
        <f t="shared" si="407"/>
        <v>0</v>
      </c>
      <c r="AK706" s="155">
        <f t="shared" si="407"/>
        <v>0</v>
      </c>
      <c r="AL706" s="155">
        <f t="shared" si="407"/>
        <v>0</v>
      </c>
      <c r="AM706" s="155">
        <f t="shared" si="407"/>
        <v>0</v>
      </c>
      <c r="AN706" s="155">
        <f t="shared" si="407"/>
        <v>0</v>
      </c>
      <c r="AO706" s="155">
        <f t="shared" si="407"/>
        <v>0</v>
      </c>
      <c r="AP706" s="155">
        <f t="shared" si="407"/>
        <v>0</v>
      </c>
    </row>
    <row r="707" spans="1:42" x14ac:dyDescent="0.2">
      <c r="A707" s="4">
        <f t="shared" si="406"/>
        <v>4</v>
      </c>
      <c r="B707" s="174">
        <f t="shared" si="403"/>
        <v>0</v>
      </c>
      <c r="C707" s="155">
        <f t="shared" ref="C707:AP707" si="408">IF(AND(C$2&gt;equip2_reserve_freq*$A694,C$2&lt;=equip2_reserve_freq*$A695),$B695/(equip2_reserve_freq),0)</f>
        <v>0</v>
      </c>
      <c r="D707" s="155">
        <f t="shared" si="408"/>
        <v>0</v>
      </c>
      <c r="E707" s="155">
        <f t="shared" si="408"/>
        <v>0</v>
      </c>
      <c r="F707" s="155">
        <f t="shared" si="408"/>
        <v>0</v>
      </c>
      <c r="G707" s="155">
        <f t="shared" si="408"/>
        <v>0</v>
      </c>
      <c r="H707" s="155">
        <f t="shared" si="408"/>
        <v>0</v>
      </c>
      <c r="I707" s="155">
        <f t="shared" si="408"/>
        <v>0</v>
      </c>
      <c r="J707" s="155">
        <f t="shared" si="408"/>
        <v>0</v>
      </c>
      <c r="K707" s="155">
        <f t="shared" si="408"/>
        <v>0</v>
      </c>
      <c r="L707" s="155">
        <f t="shared" si="408"/>
        <v>0</v>
      </c>
      <c r="M707" s="155">
        <f t="shared" si="408"/>
        <v>0</v>
      </c>
      <c r="N707" s="155">
        <f t="shared" si="408"/>
        <v>0</v>
      </c>
      <c r="O707" s="155">
        <f t="shared" si="408"/>
        <v>0</v>
      </c>
      <c r="P707" s="155">
        <f t="shared" si="408"/>
        <v>0</v>
      </c>
      <c r="Q707" s="155">
        <f t="shared" si="408"/>
        <v>0</v>
      </c>
      <c r="R707" s="155">
        <f t="shared" si="408"/>
        <v>0</v>
      </c>
      <c r="S707" s="155">
        <f t="shared" si="408"/>
        <v>0</v>
      </c>
      <c r="T707" s="155">
        <f t="shared" si="408"/>
        <v>0</v>
      </c>
      <c r="U707" s="155">
        <f t="shared" si="408"/>
        <v>0</v>
      </c>
      <c r="V707" s="155">
        <f t="shared" si="408"/>
        <v>0</v>
      </c>
      <c r="W707" s="155">
        <f t="shared" si="408"/>
        <v>0</v>
      </c>
      <c r="X707" s="155">
        <f t="shared" si="408"/>
        <v>0</v>
      </c>
      <c r="Y707" s="155">
        <f t="shared" si="408"/>
        <v>0</v>
      </c>
      <c r="Z707" s="155">
        <f t="shared" si="408"/>
        <v>0</v>
      </c>
      <c r="AA707" s="155">
        <f t="shared" si="408"/>
        <v>0</v>
      </c>
      <c r="AB707" s="155">
        <f t="shared" si="408"/>
        <v>0</v>
      </c>
      <c r="AC707" s="155">
        <f t="shared" si="408"/>
        <v>0</v>
      </c>
      <c r="AD707" s="155">
        <f t="shared" si="408"/>
        <v>0</v>
      </c>
      <c r="AE707" s="155">
        <f t="shared" si="408"/>
        <v>0</v>
      </c>
      <c r="AF707" s="155">
        <f t="shared" si="408"/>
        <v>0</v>
      </c>
      <c r="AG707" s="155">
        <f t="shared" si="408"/>
        <v>0</v>
      </c>
      <c r="AH707" s="155">
        <f t="shared" si="408"/>
        <v>0</v>
      </c>
      <c r="AI707" s="155">
        <f t="shared" si="408"/>
        <v>0</v>
      </c>
      <c r="AJ707" s="155">
        <f t="shared" si="408"/>
        <v>0</v>
      </c>
      <c r="AK707" s="155">
        <f t="shared" si="408"/>
        <v>0</v>
      </c>
      <c r="AL707" s="155">
        <f t="shared" si="408"/>
        <v>0</v>
      </c>
      <c r="AM707" s="155">
        <f t="shared" si="408"/>
        <v>0</v>
      </c>
      <c r="AN707" s="155">
        <f t="shared" si="408"/>
        <v>0</v>
      </c>
      <c r="AO707" s="155">
        <f t="shared" si="408"/>
        <v>0</v>
      </c>
      <c r="AP707" s="155">
        <f t="shared" si="408"/>
        <v>0</v>
      </c>
    </row>
    <row r="708" spans="1:42" x14ac:dyDescent="0.2">
      <c r="A708" s="4">
        <f t="shared" si="406"/>
        <v>5</v>
      </c>
      <c r="B708" s="174">
        <f t="shared" si="403"/>
        <v>0</v>
      </c>
      <c r="C708" s="155">
        <f t="shared" ref="C708:AP708" si="409">IF(AND(C$2&gt;equip2_reserve_freq*$A695,C$2&lt;=equip2_reserve_freq*$A696),$B696/(equip2_reserve_freq),0)</f>
        <v>0</v>
      </c>
      <c r="D708" s="155">
        <f t="shared" si="409"/>
        <v>0</v>
      </c>
      <c r="E708" s="155">
        <f t="shared" si="409"/>
        <v>0</v>
      </c>
      <c r="F708" s="155">
        <f t="shared" si="409"/>
        <v>0</v>
      </c>
      <c r="G708" s="155">
        <f t="shared" si="409"/>
        <v>0</v>
      </c>
      <c r="H708" s="155">
        <f t="shared" si="409"/>
        <v>0</v>
      </c>
      <c r="I708" s="155">
        <f t="shared" si="409"/>
        <v>0</v>
      </c>
      <c r="J708" s="155">
        <f t="shared" si="409"/>
        <v>0</v>
      </c>
      <c r="K708" s="155">
        <f t="shared" si="409"/>
        <v>0</v>
      </c>
      <c r="L708" s="155">
        <f t="shared" si="409"/>
        <v>0</v>
      </c>
      <c r="M708" s="155">
        <f t="shared" si="409"/>
        <v>0</v>
      </c>
      <c r="N708" s="155">
        <f t="shared" si="409"/>
        <v>0</v>
      </c>
      <c r="O708" s="155">
        <f t="shared" si="409"/>
        <v>0</v>
      </c>
      <c r="P708" s="155">
        <f t="shared" si="409"/>
        <v>0</v>
      </c>
      <c r="Q708" s="155">
        <f t="shared" si="409"/>
        <v>0</v>
      </c>
      <c r="R708" s="155">
        <f t="shared" si="409"/>
        <v>0</v>
      </c>
      <c r="S708" s="155">
        <f t="shared" si="409"/>
        <v>0</v>
      </c>
      <c r="T708" s="155">
        <f t="shared" si="409"/>
        <v>0</v>
      </c>
      <c r="U708" s="155">
        <f t="shared" si="409"/>
        <v>0</v>
      </c>
      <c r="V708" s="155">
        <f t="shared" si="409"/>
        <v>0</v>
      </c>
      <c r="W708" s="155">
        <f t="shared" si="409"/>
        <v>0</v>
      </c>
      <c r="X708" s="155">
        <f t="shared" si="409"/>
        <v>0</v>
      </c>
      <c r="Y708" s="155">
        <f t="shared" si="409"/>
        <v>0</v>
      </c>
      <c r="Z708" s="155">
        <f t="shared" si="409"/>
        <v>0</v>
      </c>
      <c r="AA708" s="155">
        <f t="shared" si="409"/>
        <v>0</v>
      </c>
      <c r="AB708" s="155">
        <f t="shared" si="409"/>
        <v>0</v>
      </c>
      <c r="AC708" s="155">
        <f t="shared" si="409"/>
        <v>0</v>
      </c>
      <c r="AD708" s="155">
        <f t="shared" si="409"/>
        <v>0</v>
      </c>
      <c r="AE708" s="155">
        <f t="shared" si="409"/>
        <v>0</v>
      </c>
      <c r="AF708" s="155">
        <f t="shared" si="409"/>
        <v>0</v>
      </c>
      <c r="AG708" s="155">
        <f t="shared" si="409"/>
        <v>0</v>
      </c>
      <c r="AH708" s="155">
        <f t="shared" si="409"/>
        <v>0</v>
      </c>
      <c r="AI708" s="155">
        <f t="shared" si="409"/>
        <v>0</v>
      </c>
      <c r="AJ708" s="155">
        <f t="shared" si="409"/>
        <v>0</v>
      </c>
      <c r="AK708" s="155">
        <f t="shared" si="409"/>
        <v>0</v>
      </c>
      <c r="AL708" s="155">
        <f t="shared" si="409"/>
        <v>0</v>
      </c>
      <c r="AM708" s="155">
        <f t="shared" si="409"/>
        <v>0</v>
      </c>
      <c r="AN708" s="155">
        <f t="shared" si="409"/>
        <v>0</v>
      </c>
      <c r="AO708" s="155">
        <f t="shared" si="409"/>
        <v>0</v>
      </c>
      <c r="AP708" s="155">
        <f t="shared" si="409"/>
        <v>0</v>
      </c>
    </row>
    <row r="709" spans="1:42" x14ac:dyDescent="0.2">
      <c r="A709" s="4">
        <f t="shared" si="406"/>
        <v>6</v>
      </c>
      <c r="B709" s="174">
        <f t="shared" si="403"/>
        <v>0</v>
      </c>
      <c r="C709" s="155">
        <f t="shared" ref="C709:AP709" si="410">IF(AND(C$2&gt;equip2_reserve_freq*$A696,C$2&lt;=equip2_reserve_freq*$A697),$B697/(equip2_reserve_freq),0)</f>
        <v>0</v>
      </c>
      <c r="D709" s="155">
        <f t="shared" si="410"/>
        <v>0</v>
      </c>
      <c r="E709" s="155">
        <f t="shared" si="410"/>
        <v>0</v>
      </c>
      <c r="F709" s="155">
        <f t="shared" si="410"/>
        <v>0</v>
      </c>
      <c r="G709" s="155">
        <f t="shared" si="410"/>
        <v>0</v>
      </c>
      <c r="H709" s="155">
        <f t="shared" si="410"/>
        <v>0</v>
      </c>
      <c r="I709" s="155">
        <f t="shared" si="410"/>
        <v>0</v>
      </c>
      <c r="J709" s="155">
        <f t="shared" si="410"/>
        <v>0</v>
      </c>
      <c r="K709" s="155">
        <f t="shared" si="410"/>
        <v>0</v>
      </c>
      <c r="L709" s="155">
        <f t="shared" si="410"/>
        <v>0</v>
      </c>
      <c r="M709" s="155">
        <f t="shared" si="410"/>
        <v>0</v>
      </c>
      <c r="N709" s="155">
        <f t="shared" si="410"/>
        <v>0</v>
      </c>
      <c r="O709" s="155">
        <f t="shared" si="410"/>
        <v>0</v>
      </c>
      <c r="P709" s="155">
        <f t="shared" si="410"/>
        <v>0</v>
      </c>
      <c r="Q709" s="155">
        <f t="shared" si="410"/>
        <v>0</v>
      </c>
      <c r="R709" s="155">
        <f t="shared" si="410"/>
        <v>0</v>
      </c>
      <c r="S709" s="155">
        <f t="shared" si="410"/>
        <v>0</v>
      </c>
      <c r="T709" s="155">
        <f t="shared" si="410"/>
        <v>0</v>
      </c>
      <c r="U709" s="155">
        <f t="shared" si="410"/>
        <v>0</v>
      </c>
      <c r="V709" s="155">
        <f t="shared" si="410"/>
        <v>0</v>
      </c>
      <c r="W709" s="155">
        <f t="shared" si="410"/>
        <v>0</v>
      </c>
      <c r="X709" s="155">
        <f t="shared" si="410"/>
        <v>0</v>
      </c>
      <c r="Y709" s="155">
        <f t="shared" si="410"/>
        <v>0</v>
      </c>
      <c r="Z709" s="155">
        <f t="shared" si="410"/>
        <v>0</v>
      </c>
      <c r="AA709" s="155">
        <f t="shared" si="410"/>
        <v>0</v>
      </c>
      <c r="AB709" s="155">
        <f t="shared" si="410"/>
        <v>0</v>
      </c>
      <c r="AC709" s="155">
        <f t="shared" si="410"/>
        <v>0</v>
      </c>
      <c r="AD709" s="155">
        <f t="shared" si="410"/>
        <v>0</v>
      </c>
      <c r="AE709" s="155">
        <f t="shared" si="410"/>
        <v>0</v>
      </c>
      <c r="AF709" s="155">
        <f t="shared" si="410"/>
        <v>0</v>
      </c>
      <c r="AG709" s="155">
        <f t="shared" si="410"/>
        <v>0</v>
      </c>
      <c r="AH709" s="155">
        <f t="shared" si="410"/>
        <v>0</v>
      </c>
      <c r="AI709" s="155">
        <f t="shared" si="410"/>
        <v>0</v>
      </c>
      <c r="AJ709" s="155">
        <f t="shared" si="410"/>
        <v>0</v>
      </c>
      <c r="AK709" s="155">
        <f t="shared" si="410"/>
        <v>0</v>
      </c>
      <c r="AL709" s="155">
        <f t="shared" si="410"/>
        <v>0</v>
      </c>
      <c r="AM709" s="155">
        <f t="shared" si="410"/>
        <v>0</v>
      </c>
      <c r="AN709" s="155">
        <f t="shared" si="410"/>
        <v>0</v>
      </c>
      <c r="AO709" s="155">
        <f t="shared" si="410"/>
        <v>0</v>
      </c>
      <c r="AP709" s="155">
        <f t="shared" si="410"/>
        <v>0</v>
      </c>
    </row>
    <row r="710" spans="1:42" x14ac:dyDescent="0.2">
      <c r="A710" s="4">
        <f t="shared" si="406"/>
        <v>7</v>
      </c>
      <c r="B710" s="174">
        <f t="shared" si="403"/>
        <v>0</v>
      </c>
      <c r="C710" s="155">
        <f t="shared" ref="C710:AP710" si="411">IF(AND(C$2&gt;equip2_reserve_freq*$A697,C$2&lt;=equip2_reserve_freq*$A698),$B698/(equip2_reserve_freq),0)</f>
        <v>0</v>
      </c>
      <c r="D710" s="155">
        <f t="shared" si="411"/>
        <v>0</v>
      </c>
      <c r="E710" s="155">
        <f t="shared" si="411"/>
        <v>0</v>
      </c>
      <c r="F710" s="155">
        <f t="shared" si="411"/>
        <v>0</v>
      </c>
      <c r="G710" s="155">
        <f t="shared" si="411"/>
        <v>0</v>
      </c>
      <c r="H710" s="155">
        <f t="shared" si="411"/>
        <v>0</v>
      </c>
      <c r="I710" s="155">
        <f t="shared" si="411"/>
        <v>0</v>
      </c>
      <c r="J710" s="155">
        <f t="shared" si="411"/>
        <v>0</v>
      </c>
      <c r="K710" s="155">
        <f t="shared" si="411"/>
        <v>0</v>
      </c>
      <c r="L710" s="155">
        <f t="shared" si="411"/>
        <v>0</v>
      </c>
      <c r="M710" s="155">
        <f t="shared" si="411"/>
        <v>0</v>
      </c>
      <c r="N710" s="155">
        <f t="shared" si="411"/>
        <v>0</v>
      </c>
      <c r="O710" s="155">
        <f t="shared" si="411"/>
        <v>0</v>
      </c>
      <c r="P710" s="155">
        <f t="shared" si="411"/>
        <v>0</v>
      </c>
      <c r="Q710" s="155">
        <f t="shared" si="411"/>
        <v>0</v>
      </c>
      <c r="R710" s="155">
        <f t="shared" si="411"/>
        <v>0</v>
      </c>
      <c r="S710" s="155">
        <f t="shared" si="411"/>
        <v>0</v>
      </c>
      <c r="T710" s="155">
        <f t="shared" si="411"/>
        <v>0</v>
      </c>
      <c r="U710" s="155">
        <f t="shared" si="411"/>
        <v>0</v>
      </c>
      <c r="V710" s="155">
        <f t="shared" si="411"/>
        <v>0</v>
      </c>
      <c r="W710" s="155">
        <f t="shared" si="411"/>
        <v>0</v>
      </c>
      <c r="X710" s="155">
        <f t="shared" si="411"/>
        <v>0</v>
      </c>
      <c r="Y710" s="155">
        <f t="shared" si="411"/>
        <v>0</v>
      </c>
      <c r="Z710" s="155">
        <f t="shared" si="411"/>
        <v>0</v>
      </c>
      <c r="AA710" s="155">
        <f t="shared" si="411"/>
        <v>0</v>
      </c>
      <c r="AB710" s="155">
        <f t="shared" si="411"/>
        <v>0</v>
      </c>
      <c r="AC710" s="155">
        <f t="shared" si="411"/>
        <v>0</v>
      </c>
      <c r="AD710" s="155">
        <f t="shared" si="411"/>
        <v>0</v>
      </c>
      <c r="AE710" s="155">
        <f t="shared" si="411"/>
        <v>0</v>
      </c>
      <c r="AF710" s="155">
        <f t="shared" si="411"/>
        <v>0</v>
      </c>
      <c r="AG710" s="155">
        <f t="shared" si="411"/>
        <v>0</v>
      </c>
      <c r="AH710" s="155">
        <f t="shared" si="411"/>
        <v>0</v>
      </c>
      <c r="AI710" s="155">
        <f t="shared" si="411"/>
        <v>0</v>
      </c>
      <c r="AJ710" s="155">
        <f t="shared" si="411"/>
        <v>0</v>
      </c>
      <c r="AK710" s="155">
        <f t="shared" si="411"/>
        <v>0</v>
      </c>
      <c r="AL710" s="155">
        <f t="shared" si="411"/>
        <v>0</v>
      </c>
      <c r="AM710" s="155">
        <f t="shared" si="411"/>
        <v>0</v>
      </c>
      <c r="AN710" s="155">
        <f t="shared" si="411"/>
        <v>0</v>
      </c>
      <c r="AO710" s="155">
        <f t="shared" si="411"/>
        <v>0</v>
      </c>
      <c r="AP710" s="155">
        <f t="shared" si="411"/>
        <v>0</v>
      </c>
    </row>
    <row r="711" spans="1:42" x14ac:dyDescent="0.2">
      <c r="A711" s="4">
        <f t="shared" si="406"/>
        <v>8</v>
      </c>
      <c r="B711" s="174">
        <f t="shared" si="403"/>
        <v>0</v>
      </c>
      <c r="C711" s="155">
        <f t="shared" ref="C711:AP711" si="412">IF(AND(C$2&gt;equip2_reserve_freq*$A698,C$2&lt;=equip2_reserve_freq*$A699),$B699/(equip2_reserve_freq),0)</f>
        <v>0</v>
      </c>
      <c r="D711" s="155">
        <f t="shared" si="412"/>
        <v>0</v>
      </c>
      <c r="E711" s="155">
        <f t="shared" si="412"/>
        <v>0</v>
      </c>
      <c r="F711" s="155">
        <f t="shared" si="412"/>
        <v>0</v>
      </c>
      <c r="G711" s="155">
        <f t="shared" si="412"/>
        <v>0</v>
      </c>
      <c r="H711" s="155">
        <f t="shared" si="412"/>
        <v>0</v>
      </c>
      <c r="I711" s="155">
        <f t="shared" si="412"/>
        <v>0</v>
      </c>
      <c r="J711" s="155">
        <f t="shared" si="412"/>
        <v>0</v>
      </c>
      <c r="K711" s="155">
        <f t="shared" si="412"/>
        <v>0</v>
      </c>
      <c r="L711" s="155">
        <f t="shared" si="412"/>
        <v>0</v>
      </c>
      <c r="M711" s="155">
        <f t="shared" si="412"/>
        <v>0</v>
      </c>
      <c r="N711" s="155">
        <f t="shared" si="412"/>
        <v>0</v>
      </c>
      <c r="O711" s="155">
        <f t="shared" si="412"/>
        <v>0</v>
      </c>
      <c r="P711" s="155">
        <f t="shared" si="412"/>
        <v>0</v>
      </c>
      <c r="Q711" s="155">
        <f t="shared" si="412"/>
        <v>0</v>
      </c>
      <c r="R711" s="155">
        <f t="shared" si="412"/>
        <v>0</v>
      </c>
      <c r="S711" s="155">
        <f t="shared" si="412"/>
        <v>0</v>
      </c>
      <c r="T711" s="155">
        <f t="shared" si="412"/>
        <v>0</v>
      </c>
      <c r="U711" s="155">
        <f t="shared" si="412"/>
        <v>0</v>
      </c>
      <c r="V711" s="155">
        <f t="shared" si="412"/>
        <v>0</v>
      </c>
      <c r="W711" s="155">
        <f t="shared" si="412"/>
        <v>0</v>
      </c>
      <c r="X711" s="155">
        <f t="shared" si="412"/>
        <v>0</v>
      </c>
      <c r="Y711" s="155">
        <f t="shared" si="412"/>
        <v>0</v>
      </c>
      <c r="Z711" s="155">
        <f t="shared" si="412"/>
        <v>0</v>
      </c>
      <c r="AA711" s="155">
        <f t="shared" si="412"/>
        <v>0</v>
      </c>
      <c r="AB711" s="155">
        <f t="shared" si="412"/>
        <v>0</v>
      </c>
      <c r="AC711" s="155">
        <f t="shared" si="412"/>
        <v>0</v>
      </c>
      <c r="AD711" s="155">
        <f t="shared" si="412"/>
        <v>0</v>
      </c>
      <c r="AE711" s="155">
        <f t="shared" si="412"/>
        <v>0</v>
      </c>
      <c r="AF711" s="155">
        <f t="shared" si="412"/>
        <v>0</v>
      </c>
      <c r="AG711" s="155">
        <f t="shared" si="412"/>
        <v>0</v>
      </c>
      <c r="AH711" s="155">
        <f t="shared" si="412"/>
        <v>0</v>
      </c>
      <c r="AI711" s="155">
        <f t="shared" si="412"/>
        <v>0</v>
      </c>
      <c r="AJ711" s="155">
        <f t="shared" si="412"/>
        <v>0</v>
      </c>
      <c r="AK711" s="155">
        <f t="shared" si="412"/>
        <v>0</v>
      </c>
      <c r="AL711" s="155">
        <f t="shared" si="412"/>
        <v>0</v>
      </c>
      <c r="AM711" s="155">
        <f t="shared" si="412"/>
        <v>0</v>
      </c>
      <c r="AN711" s="155">
        <f t="shared" si="412"/>
        <v>0</v>
      </c>
      <c r="AO711" s="155">
        <f t="shared" si="412"/>
        <v>0</v>
      </c>
      <c r="AP711" s="155">
        <f t="shared" si="412"/>
        <v>0</v>
      </c>
    </row>
    <row r="712" spans="1:42" x14ac:dyDescent="0.2">
      <c r="A712" s="4">
        <f>A711+1</f>
        <v>9</v>
      </c>
      <c r="B712" s="174">
        <f t="shared" si="403"/>
        <v>0</v>
      </c>
      <c r="C712" s="155">
        <f t="shared" ref="C712:AP712" si="413">IF(AND(C$2&gt;equip2_reserve_freq*$A699,C$2&lt;=equip2_reserve_freq*$A700),$B700/(equip2_reserve_freq),0)</f>
        <v>0</v>
      </c>
      <c r="D712" s="155">
        <f t="shared" si="413"/>
        <v>0</v>
      </c>
      <c r="E712" s="155">
        <f t="shared" si="413"/>
        <v>0</v>
      </c>
      <c r="F712" s="155">
        <f t="shared" si="413"/>
        <v>0</v>
      </c>
      <c r="G712" s="155">
        <f t="shared" si="413"/>
        <v>0</v>
      </c>
      <c r="H712" s="155">
        <f t="shared" si="413"/>
        <v>0</v>
      </c>
      <c r="I712" s="155">
        <f t="shared" si="413"/>
        <v>0</v>
      </c>
      <c r="J712" s="155">
        <f t="shared" si="413"/>
        <v>0</v>
      </c>
      <c r="K712" s="155">
        <f t="shared" si="413"/>
        <v>0</v>
      </c>
      <c r="L712" s="155">
        <f t="shared" si="413"/>
        <v>0</v>
      </c>
      <c r="M712" s="155">
        <f t="shared" si="413"/>
        <v>0</v>
      </c>
      <c r="N712" s="155">
        <f t="shared" si="413"/>
        <v>0</v>
      </c>
      <c r="O712" s="155">
        <f t="shared" si="413"/>
        <v>0</v>
      </c>
      <c r="P712" s="155">
        <f t="shared" si="413"/>
        <v>0</v>
      </c>
      <c r="Q712" s="155">
        <f t="shared" si="413"/>
        <v>0</v>
      </c>
      <c r="R712" s="155">
        <f t="shared" si="413"/>
        <v>0</v>
      </c>
      <c r="S712" s="155">
        <f t="shared" si="413"/>
        <v>0</v>
      </c>
      <c r="T712" s="155">
        <f t="shared" si="413"/>
        <v>0</v>
      </c>
      <c r="U712" s="155">
        <f t="shared" si="413"/>
        <v>0</v>
      </c>
      <c r="V712" s="155">
        <f t="shared" si="413"/>
        <v>0</v>
      </c>
      <c r="W712" s="155">
        <f t="shared" si="413"/>
        <v>0</v>
      </c>
      <c r="X712" s="155">
        <f t="shared" si="413"/>
        <v>0</v>
      </c>
      <c r="Y712" s="155">
        <f t="shared" si="413"/>
        <v>0</v>
      </c>
      <c r="Z712" s="155">
        <f t="shared" si="413"/>
        <v>0</v>
      </c>
      <c r="AA712" s="155">
        <f t="shared" si="413"/>
        <v>0</v>
      </c>
      <c r="AB712" s="155">
        <f t="shared" si="413"/>
        <v>0</v>
      </c>
      <c r="AC712" s="155">
        <f t="shared" si="413"/>
        <v>0</v>
      </c>
      <c r="AD712" s="155">
        <f t="shared" si="413"/>
        <v>0</v>
      </c>
      <c r="AE712" s="155">
        <f t="shared" si="413"/>
        <v>0</v>
      </c>
      <c r="AF712" s="155">
        <f t="shared" si="413"/>
        <v>0</v>
      </c>
      <c r="AG712" s="155">
        <f t="shared" si="413"/>
        <v>0</v>
      </c>
      <c r="AH712" s="155">
        <f t="shared" si="413"/>
        <v>0</v>
      </c>
      <c r="AI712" s="155">
        <f t="shared" si="413"/>
        <v>0</v>
      </c>
      <c r="AJ712" s="155">
        <f t="shared" si="413"/>
        <v>0</v>
      </c>
      <c r="AK712" s="155">
        <f t="shared" si="413"/>
        <v>0</v>
      </c>
      <c r="AL712" s="155">
        <f t="shared" si="413"/>
        <v>0</v>
      </c>
      <c r="AM712" s="155">
        <f t="shared" si="413"/>
        <v>0</v>
      </c>
      <c r="AN712" s="155">
        <f t="shared" si="413"/>
        <v>0</v>
      </c>
      <c r="AO712" s="155">
        <f t="shared" si="413"/>
        <v>0</v>
      </c>
      <c r="AP712" s="155">
        <f t="shared" si="413"/>
        <v>0</v>
      </c>
    </row>
    <row r="713" spans="1:42" x14ac:dyDescent="0.2">
      <c r="A713" s="4">
        <f t="shared" ref="A713" si="414">A712+1</f>
        <v>10</v>
      </c>
      <c r="B713" s="174">
        <f t="shared" si="403"/>
        <v>0</v>
      </c>
      <c r="C713" s="156">
        <f t="shared" ref="C713:AP713" si="415">IF(AND(C$2&gt;equip2_reserve_freq*$A700,C$2&lt;=equip2_reserve_freq*$A701),$B701/(equip2_reserve_freq),0)</f>
        <v>0</v>
      </c>
      <c r="D713" s="156">
        <f t="shared" si="415"/>
        <v>0</v>
      </c>
      <c r="E713" s="156">
        <f t="shared" si="415"/>
        <v>0</v>
      </c>
      <c r="F713" s="156">
        <f t="shared" si="415"/>
        <v>0</v>
      </c>
      <c r="G713" s="156">
        <f t="shared" si="415"/>
        <v>0</v>
      </c>
      <c r="H713" s="156">
        <f t="shared" si="415"/>
        <v>0</v>
      </c>
      <c r="I713" s="156">
        <f t="shared" si="415"/>
        <v>0</v>
      </c>
      <c r="J713" s="156">
        <f t="shared" si="415"/>
        <v>0</v>
      </c>
      <c r="K713" s="156">
        <f t="shared" si="415"/>
        <v>0</v>
      </c>
      <c r="L713" s="156">
        <f t="shared" si="415"/>
        <v>0</v>
      </c>
      <c r="M713" s="156">
        <f t="shared" si="415"/>
        <v>0</v>
      </c>
      <c r="N713" s="156">
        <f t="shared" si="415"/>
        <v>0</v>
      </c>
      <c r="O713" s="156">
        <f t="shared" si="415"/>
        <v>0</v>
      </c>
      <c r="P713" s="156">
        <f t="shared" si="415"/>
        <v>0</v>
      </c>
      <c r="Q713" s="156">
        <f t="shared" si="415"/>
        <v>0</v>
      </c>
      <c r="R713" s="156">
        <f t="shared" si="415"/>
        <v>0</v>
      </c>
      <c r="S713" s="156">
        <f t="shared" si="415"/>
        <v>0</v>
      </c>
      <c r="T713" s="156">
        <f t="shared" si="415"/>
        <v>0</v>
      </c>
      <c r="U713" s="156">
        <f t="shared" si="415"/>
        <v>0</v>
      </c>
      <c r="V713" s="156">
        <f t="shared" si="415"/>
        <v>0</v>
      </c>
      <c r="W713" s="156">
        <f t="shared" si="415"/>
        <v>0</v>
      </c>
      <c r="X713" s="156">
        <f t="shared" si="415"/>
        <v>0</v>
      </c>
      <c r="Y713" s="156">
        <f t="shared" si="415"/>
        <v>0</v>
      </c>
      <c r="Z713" s="156">
        <f t="shared" si="415"/>
        <v>0</v>
      </c>
      <c r="AA713" s="156">
        <f t="shared" si="415"/>
        <v>0</v>
      </c>
      <c r="AB713" s="156">
        <f t="shared" si="415"/>
        <v>0</v>
      </c>
      <c r="AC713" s="156">
        <f t="shared" si="415"/>
        <v>0</v>
      </c>
      <c r="AD713" s="156">
        <f t="shared" si="415"/>
        <v>0</v>
      </c>
      <c r="AE713" s="156">
        <f t="shared" si="415"/>
        <v>0</v>
      </c>
      <c r="AF713" s="156">
        <f t="shared" si="415"/>
        <v>0</v>
      </c>
      <c r="AG713" s="156">
        <f t="shared" si="415"/>
        <v>0</v>
      </c>
      <c r="AH713" s="156">
        <f t="shared" si="415"/>
        <v>0</v>
      </c>
      <c r="AI713" s="156">
        <f t="shared" si="415"/>
        <v>0</v>
      </c>
      <c r="AJ713" s="156">
        <f t="shared" si="415"/>
        <v>0</v>
      </c>
      <c r="AK713" s="156">
        <f t="shared" si="415"/>
        <v>0</v>
      </c>
      <c r="AL713" s="156">
        <f t="shared" si="415"/>
        <v>0</v>
      </c>
      <c r="AM713" s="156">
        <f t="shared" si="415"/>
        <v>0</v>
      </c>
      <c r="AN713" s="156">
        <f t="shared" si="415"/>
        <v>0</v>
      </c>
      <c r="AO713" s="156">
        <f t="shared" si="415"/>
        <v>0</v>
      </c>
      <c r="AP713" s="156">
        <f t="shared" si="415"/>
        <v>0</v>
      </c>
    </row>
    <row r="714" spans="1:42" x14ac:dyDescent="0.2">
      <c r="A714" s="24" t="s">
        <v>13</v>
      </c>
      <c r="B714" s="14"/>
      <c r="C714" s="155">
        <f>SUM(C704:C713)</f>
        <v>0</v>
      </c>
      <c r="D714" s="155">
        <f t="shared" ref="D714:AP714" si="416">SUM(D704:D713)</f>
        <v>0</v>
      </c>
      <c r="E714" s="155">
        <f t="shared" si="416"/>
        <v>0</v>
      </c>
      <c r="F714" s="155">
        <f t="shared" si="416"/>
        <v>0</v>
      </c>
      <c r="G714" s="155">
        <f t="shared" si="416"/>
        <v>0</v>
      </c>
      <c r="H714" s="155">
        <f t="shared" si="416"/>
        <v>0</v>
      </c>
      <c r="I714" s="155">
        <f t="shared" si="416"/>
        <v>0</v>
      </c>
      <c r="J714" s="155">
        <f t="shared" si="416"/>
        <v>0</v>
      </c>
      <c r="K714" s="155">
        <f t="shared" si="416"/>
        <v>0</v>
      </c>
      <c r="L714" s="155">
        <f t="shared" si="416"/>
        <v>0</v>
      </c>
      <c r="M714" s="155">
        <f t="shared" si="416"/>
        <v>0</v>
      </c>
      <c r="N714" s="155">
        <f t="shared" si="416"/>
        <v>0</v>
      </c>
      <c r="O714" s="155">
        <f t="shared" si="416"/>
        <v>0</v>
      </c>
      <c r="P714" s="155">
        <f t="shared" si="416"/>
        <v>0</v>
      </c>
      <c r="Q714" s="155">
        <f t="shared" si="416"/>
        <v>0</v>
      </c>
      <c r="R714" s="155">
        <f t="shared" si="416"/>
        <v>0</v>
      </c>
      <c r="S714" s="155">
        <f t="shared" si="416"/>
        <v>0</v>
      </c>
      <c r="T714" s="155">
        <f t="shared" si="416"/>
        <v>0</v>
      </c>
      <c r="U714" s="155">
        <f t="shared" si="416"/>
        <v>0</v>
      </c>
      <c r="V714" s="155">
        <f t="shared" si="416"/>
        <v>0</v>
      </c>
      <c r="W714" s="155">
        <f t="shared" si="416"/>
        <v>0</v>
      </c>
      <c r="X714" s="155">
        <f t="shared" si="416"/>
        <v>0</v>
      </c>
      <c r="Y714" s="155">
        <f t="shared" si="416"/>
        <v>0</v>
      </c>
      <c r="Z714" s="155">
        <f t="shared" si="416"/>
        <v>0</v>
      </c>
      <c r="AA714" s="155">
        <f t="shared" si="416"/>
        <v>0</v>
      </c>
      <c r="AB714" s="155">
        <f t="shared" si="416"/>
        <v>0</v>
      </c>
      <c r="AC714" s="155">
        <f t="shared" si="416"/>
        <v>0</v>
      </c>
      <c r="AD714" s="155">
        <f t="shared" si="416"/>
        <v>0</v>
      </c>
      <c r="AE714" s="155">
        <f t="shared" si="416"/>
        <v>0</v>
      </c>
      <c r="AF714" s="155">
        <f t="shared" si="416"/>
        <v>0</v>
      </c>
      <c r="AG714" s="155">
        <f t="shared" si="416"/>
        <v>0</v>
      </c>
      <c r="AH714" s="155">
        <f t="shared" si="416"/>
        <v>0</v>
      </c>
      <c r="AI714" s="155">
        <f t="shared" si="416"/>
        <v>0</v>
      </c>
      <c r="AJ714" s="155">
        <f t="shared" si="416"/>
        <v>0</v>
      </c>
      <c r="AK714" s="155">
        <f t="shared" si="416"/>
        <v>0</v>
      </c>
      <c r="AL714" s="155">
        <f t="shared" si="416"/>
        <v>0</v>
      </c>
      <c r="AM714" s="155">
        <f t="shared" si="416"/>
        <v>0</v>
      </c>
      <c r="AN714" s="155">
        <f t="shared" si="416"/>
        <v>0</v>
      </c>
      <c r="AO714" s="155">
        <f t="shared" si="416"/>
        <v>0</v>
      </c>
      <c r="AP714" s="155">
        <f t="shared" si="416"/>
        <v>0</v>
      </c>
    </row>
    <row r="716" spans="1:42" x14ac:dyDescent="0.2">
      <c r="A716" s="19" t="s">
        <v>285</v>
      </c>
    </row>
    <row r="717" spans="1:42" x14ac:dyDescent="0.2">
      <c r="A717" s="4" t="s">
        <v>276</v>
      </c>
      <c r="B717" s="155">
        <v>0</v>
      </c>
      <c r="C717" s="155">
        <f>B720</f>
        <v>0</v>
      </c>
      <c r="D717" s="155">
        <f t="shared" ref="D717:AP717" si="417">C720</f>
        <v>0</v>
      </c>
      <c r="E717" s="155">
        <f t="shared" si="417"/>
        <v>0</v>
      </c>
      <c r="F717" s="155">
        <f t="shared" si="417"/>
        <v>0</v>
      </c>
      <c r="G717" s="155">
        <f t="shared" si="417"/>
        <v>0</v>
      </c>
      <c r="H717" s="155">
        <f t="shared" si="417"/>
        <v>0</v>
      </c>
      <c r="I717" s="155">
        <f t="shared" si="417"/>
        <v>0</v>
      </c>
      <c r="J717" s="155">
        <f t="shared" si="417"/>
        <v>0</v>
      </c>
      <c r="K717" s="155">
        <f t="shared" si="417"/>
        <v>0</v>
      </c>
      <c r="L717" s="155">
        <f t="shared" si="417"/>
        <v>0</v>
      </c>
      <c r="M717" s="155">
        <f t="shared" si="417"/>
        <v>0</v>
      </c>
      <c r="N717" s="155">
        <f t="shared" si="417"/>
        <v>0</v>
      </c>
      <c r="O717" s="155">
        <f t="shared" si="417"/>
        <v>0</v>
      </c>
      <c r="P717" s="155">
        <f t="shared" si="417"/>
        <v>0</v>
      </c>
      <c r="Q717" s="155">
        <f t="shared" si="417"/>
        <v>0</v>
      </c>
      <c r="R717" s="155">
        <f t="shared" si="417"/>
        <v>0</v>
      </c>
      <c r="S717" s="155">
        <f t="shared" si="417"/>
        <v>0</v>
      </c>
      <c r="T717" s="155">
        <f t="shared" si="417"/>
        <v>0</v>
      </c>
      <c r="U717" s="155">
        <f t="shared" si="417"/>
        <v>0</v>
      </c>
      <c r="V717" s="155">
        <f t="shared" si="417"/>
        <v>0</v>
      </c>
      <c r="W717" s="155">
        <f t="shared" si="417"/>
        <v>0</v>
      </c>
      <c r="X717" s="155">
        <f t="shared" si="417"/>
        <v>0</v>
      </c>
      <c r="Y717" s="155">
        <f t="shared" si="417"/>
        <v>0</v>
      </c>
      <c r="Z717" s="155">
        <f t="shared" si="417"/>
        <v>0</v>
      </c>
      <c r="AA717" s="155">
        <f t="shared" si="417"/>
        <v>0</v>
      </c>
      <c r="AB717" s="155">
        <f t="shared" si="417"/>
        <v>0</v>
      </c>
      <c r="AC717" s="155">
        <f t="shared" si="417"/>
        <v>0</v>
      </c>
      <c r="AD717" s="155">
        <f t="shared" si="417"/>
        <v>0</v>
      </c>
      <c r="AE717" s="155">
        <f t="shared" si="417"/>
        <v>0</v>
      </c>
      <c r="AF717" s="155">
        <f t="shared" si="417"/>
        <v>0</v>
      </c>
      <c r="AG717" s="155">
        <f t="shared" si="417"/>
        <v>0</v>
      </c>
      <c r="AH717" s="155">
        <f t="shared" si="417"/>
        <v>0</v>
      </c>
      <c r="AI717" s="155">
        <f t="shared" si="417"/>
        <v>0</v>
      </c>
      <c r="AJ717" s="155">
        <f t="shared" si="417"/>
        <v>0</v>
      </c>
      <c r="AK717" s="155">
        <f t="shared" si="417"/>
        <v>0</v>
      </c>
      <c r="AL717" s="155">
        <f t="shared" si="417"/>
        <v>0</v>
      </c>
      <c r="AM717" s="155">
        <f t="shared" si="417"/>
        <v>0</v>
      </c>
      <c r="AN717" s="155">
        <f t="shared" si="417"/>
        <v>0</v>
      </c>
      <c r="AO717" s="155">
        <f t="shared" si="417"/>
        <v>0</v>
      </c>
      <c r="AP717" s="155">
        <f t="shared" si="417"/>
        <v>0</v>
      </c>
    </row>
    <row r="718" spans="1:42" x14ac:dyDescent="0.2">
      <c r="A718" s="4" t="s">
        <v>66</v>
      </c>
      <c r="B718" s="155">
        <v>0</v>
      </c>
      <c r="C718" s="155">
        <f>C746</f>
        <v>0</v>
      </c>
      <c r="D718" s="155">
        <f t="shared" ref="D718:AP718" si="418">D746</f>
        <v>0</v>
      </c>
      <c r="E718" s="155">
        <f t="shared" si="418"/>
        <v>0</v>
      </c>
      <c r="F718" s="155">
        <f t="shared" si="418"/>
        <v>0</v>
      </c>
      <c r="G718" s="155">
        <f t="shared" si="418"/>
        <v>0</v>
      </c>
      <c r="H718" s="155">
        <f t="shared" si="418"/>
        <v>0</v>
      </c>
      <c r="I718" s="155">
        <f t="shared" si="418"/>
        <v>0</v>
      </c>
      <c r="J718" s="155">
        <f t="shared" si="418"/>
        <v>0</v>
      </c>
      <c r="K718" s="155">
        <f t="shared" si="418"/>
        <v>0</v>
      </c>
      <c r="L718" s="155">
        <f t="shared" si="418"/>
        <v>0</v>
      </c>
      <c r="M718" s="155">
        <f t="shared" si="418"/>
        <v>0</v>
      </c>
      <c r="N718" s="155">
        <f t="shared" si="418"/>
        <v>0</v>
      </c>
      <c r="O718" s="155">
        <f t="shared" si="418"/>
        <v>0</v>
      </c>
      <c r="P718" s="155">
        <f t="shared" si="418"/>
        <v>0</v>
      </c>
      <c r="Q718" s="155">
        <f t="shared" si="418"/>
        <v>0</v>
      </c>
      <c r="R718" s="155">
        <f t="shared" si="418"/>
        <v>0</v>
      </c>
      <c r="S718" s="155">
        <f t="shared" si="418"/>
        <v>0</v>
      </c>
      <c r="T718" s="155">
        <f t="shared" si="418"/>
        <v>0</v>
      </c>
      <c r="U718" s="155">
        <f t="shared" si="418"/>
        <v>0</v>
      </c>
      <c r="V718" s="155">
        <f t="shared" si="418"/>
        <v>0</v>
      </c>
      <c r="W718" s="155">
        <f t="shared" si="418"/>
        <v>0</v>
      </c>
      <c r="X718" s="155">
        <f t="shared" si="418"/>
        <v>0</v>
      </c>
      <c r="Y718" s="155">
        <f t="shared" si="418"/>
        <v>0</v>
      </c>
      <c r="Z718" s="155">
        <f t="shared" si="418"/>
        <v>0</v>
      </c>
      <c r="AA718" s="155">
        <f t="shared" si="418"/>
        <v>0</v>
      </c>
      <c r="AB718" s="155">
        <f t="shared" si="418"/>
        <v>0</v>
      </c>
      <c r="AC718" s="155">
        <f t="shared" si="418"/>
        <v>0</v>
      </c>
      <c r="AD718" s="155">
        <f t="shared" si="418"/>
        <v>0</v>
      </c>
      <c r="AE718" s="155">
        <f t="shared" si="418"/>
        <v>0</v>
      </c>
      <c r="AF718" s="155">
        <f t="shared" si="418"/>
        <v>0</v>
      </c>
      <c r="AG718" s="155">
        <f t="shared" si="418"/>
        <v>0</v>
      </c>
      <c r="AH718" s="155">
        <f t="shared" si="418"/>
        <v>0</v>
      </c>
      <c r="AI718" s="155">
        <f t="shared" si="418"/>
        <v>0</v>
      </c>
      <c r="AJ718" s="155">
        <f t="shared" si="418"/>
        <v>0</v>
      </c>
      <c r="AK718" s="155">
        <f t="shared" si="418"/>
        <v>0</v>
      </c>
      <c r="AL718" s="155">
        <f t="shared" si="418"/>
        <v>0</v>
      </c>
      <c r="AM718" s="155">
        <f t="shared" si="418"/>
        <v>0</v>
      </c>
      <c r="AN718" s="155">
        <f t="shared" si="418"/>
        <v>0</v>
      </c>
      <c r="AO718" s="155">
        <f t="shared" si="418"/>
        <v>0</v>
      </c>
      <c r="AP718" s="155">
        <f t="shared" si="418"/>
        <v>0</v>
      </c>
    </row>
    <row r="719" spans="1:42" x14ac:dyDescent="0.2">
      <c r="A719" s="4" t="s">
        <v>277</v>
      </c>
      <c r="B719" s="156">
        <v>0</v>
      </c>
      <c r="C719" s="156">
        <f>-C734</f>
        <v>0</v>
      </c>
      <c r="D719" s="156">
        <f t="shared" ref="D719:AP719" si="419">-D734</f>
        <v>0</v>
      </c>
      <c r="E719" s="156">
        <f t="shared" si="419"/>
        <v>0</v>
      </c>
      <c r="F719" s="156">
        <f t="shared" si="419"/>
        <v>0</v>
      </c>
      <c r="G719" s="156">
        <f t="shared" si="419"/>
        <v>0</v>
      </c>
      <c r="H719" s="156">
        <f t="shared" si="419"/>
        <v>0</v>
      </c>
      <c r="I719" s="156">
        <f t="shared" si="419"/>
        <v>0</v>
      </c>
      <c r="J719" s="156">
        <f t="shared" si="419"/>
        <v>0</v>
      </c>
      <c r="K719" s="156">
        <f t="shared" si="419"/>
        <v>0</v>
      </c>
      <c r="L719" s="156">
        <f t="shared" si="419"/>
        <v>0</v>
      </c>
      <c r="M719" s="156">
        <f t="shared" si="419"/>
        <v>0</v>
      </c>
      <c r="N719" s="156">
        <f t="shared" si="419"/>
        <v>0</v>
      </c>
      <c r="O719" s="156">
        <f t="shared" si="419"/>
        <v>0</v>
      </c>
      <c r="P719" s="156">
        <f t="shared" si="419"/>
        <v>0</v>
      </c>
      <c r="Q719" s="156">
        <f t="shared" si="419"/>
        <v>0</v>
      </c>
      <c r="R719" s="156">
        <f t="shared" si="419"/>
        <v>0</v>
      </c>
      <c r="S719" s="156">
        <f t="shared" si="419"/>
        <v>0</v>
      </c>
      <c r="T719" s="156">
        <f t="shared" si="419"/>
        <v>0</v>
      </c>
      <c r="U719" s="156">
        <f t="shared" si="419"/>
        <v>0</v>
      </c>
      <c r="V719" s="156">
        <f t="shared" si="419"/>
        <v>0</v>
      </c>
      <c r="W719" s="156">
        <f t="shared" si="419"/>
        <v>0</v>
      </c>
      <c r="X719" s="156">
        <f t="shared" si="419"/>
        <v>0</v>
      </c>
      <c r="Y719" s="156">
        <f t="shared" si="419"/>
        <v>0</v>
      </c>
      <c r="Z719" s="156">
        <f t="shared" si="419"/>
        <v>0</v>
      </c>
      <c r="AA719" s="156">
        <f t="shared" si="419"/>
        <v>0</v>
      </c>
      <c r="AB719" s="156">
        <f t="shared" si="419"/>
        <v>0</v>
      </c>
      <c r="AC719" s="156">
        <f t="shared" si="419"/>
        <v>0</v>
      </c>
      <c r="AD719" s="156">
        <f t="shared" si="419"/>
        <v>0</v>
      </c>
      <c r="AE719" s="156">
        <f t="shared" si="419"/>
        <v>0</v>
      </c>
      <c r="AF719" s="156">
        <f t="shared" si="419"/>
        <v>0</v>
      </c>
      <c r="AG719" s="156">
        <f t="shared" si="419"/>
        <v>0</v>
      </c>
      <c r="AH719" s="156">
        <f t="shared" si="419"/>
        <v>0</v>
      </c>
      <c r="AI719" s="156">
        <f t="shared" si="419"/>
        <v>0</v>
      </c>
      <c r="AJ719" s="156">
        <f t="shared" si="419"/>
        <v>0</v>
      </c>
      <c r="AK719" s="156">
        <f t="shared" si="419"/>
        <v>0</v>
      </c>
      <c r="AL719" s="156">
        <f t="shared" si="419"/>
        <v>0</v>
      </c>
      <c r="AM719" s="156">
        <f t="shared" si="419"/>
        <v>0</v>
      </c>
      <c r="AN719" s="156">
        <f t="shared" si="419"/>
        <v>0</v>
      </c>
      <c r="AO719" s="156">
        <f t="shared" si="419"/>
        <v>0</v>
      </c>
      <c r="AP719" s="156">
        <f t="shared" si="419"/>
        <v>0</v>
      </c>
    </row>
    <row r="720" spans="1:42" x14ac:dyDescent="0.2">
      <c r="A720" s="4" t="s">
        <v>238</v>
      </c>
      <c r="B720" s="155">
        <f>SUM(B717:B719)</f>
        <v>0</v>
      </c>
      <c r="C720" s="155">
        <f>SUM(C717:C719)</f>
        <v>0</v>
      </c>
      <c r="D720" s="155">
        <f t="shared" ref="D720:AP720" si="420">SUM(D717:D719)</f>
        <v>0</v>
      </c>
      <c r="E720" s="155">
        <f t="shared" si="420"/>
        <v>0</v>
      </c>
      <c r="F720" s="155">
        <f t="shared" si="420"/>
        <v>0</v>
      </c>
      <c r="G720" s="155">
        <f t="shared" si="420"/>
        <v>0</v>
      </c>
      <c r="H720" s="155">
        <f t="shared" si="420"/>
        <v>0</v>
      </c>
      <c r="I720" s="155">
        <f t="shared" si="420"/>
        <v>0</v>
      </c>
      <c r="J720" s="155">
        <f t="shared" si="420"/>
        <v>0</v>
      </c>
      <c r="K720" s="155">
        <f t="shared" si="420"/>
        <v>0</v>
      </c>
      <c r="L720" s="155">
        <f t="shared" si="420"/>
        <v>0</v>
      </c>
      <c r="M720" s="155">
        <f t="shared" si="420"/>
        <v>0</v>
      </c>
      <c r="N720" s="155">
        <f t="shared" si="420"/>
        <v>0</v>
      </c>
      <c r="O720" s="155">
        <f t="shared" si="420"/>
        <v>0</v>
      </c>
      <c r="P720" s="155">
        <f t="shared" si="420"/>
        <v>0</v>
      </c>
      <c r="Q720" s="155">
        <f t="shared" si="420"/>
        <v>0</v>
      </c>
      <c r="R720" s="155">
        <f t="shared" si="420"/>
        <v>0</v>
      </c>
      <c r="S720" s="155">
        <f t="shared" si="420"/>
        <v>0</v>
      </c>
      <c r="T720" s="155">
        <f t="shared" si="420"/>
        <v>0</v>
      </c>
      <c r="U720" s="155">
        <f t="shared" si="420"/>
        <v>0</v>
      </c>
      <c r="V720" s="155">
        <f t="shared" si="420"/>
        <v>0</v>
      </c>
      <c r="W720" s="155">
        <f t="shared" si="420"/>
        <v>0</v>
      </c>
      <c r="X720" s="155">
        <f t="shared" si="420"/>
        <v>0</v>
      </c>
      <c r="Y720" s="155">
        <f t="shared" si="420"/>
        <v>0</v>
      </c>
      <c r="Z720" s="155">
        <f t="shared" si="420"/>
        <v>0</v>
      </c>
      <c r="AA720" s="155">
        <f t="shared" si="420"/>
        <v>0</v>
      </c>
      <c r="AB720" s="155">
        <f t="shared" si="420"/>
        <v>0</v>
      </c>
      <c r="AC720" s="155">
        <f t="shared" si="420"/>
        <v>0</v>
      </c>
      <c r="AD720" s="155">
        <f t="shared" si="420"/>
        <v>0</v>
      </c>
      <c r="AE720" s="155">
        <f t="shared" si="420"/>
        <v>0</v>
      </c>
      <c r="AF720" s="155">
        <f t="shared" si="420"/>
        <v>0</v>
      </c>
      <c r="AG720" s="155">
        <f t="shared" si="420"/>
        <v>0</v>
      </c>
      <c r="AH720" s="155">
        <f t="shared" si="420"/>
        <v>0</v>
      </c>
      <c r="AI720" s="155">
        <f t="shared" si="420"/>
        <v>0</v>
      </c>
      <c r="AJ720" s="155">
        <f t="shared" si="420"/>
        <v>0</v>
      </c>
      <c r="AK720" s="155">
        <f t="shared" si="420"/>
        <v>0</v>
      </c>
      <c r="AL720" s="155">
        <f t="shared" si="420"/>
        <v>0</v>
      </c>
      <c r="AM720" s="155">
        <f t="shared" si="420"/>
        <v>0</v>
      </c>
      <c r="AN720" s="155">
        <f t="shared" si="420"/>
        <v>0</v>
      </c>
      <c r="AO720" s="155">
        <f t="shared" si="420"/>
        <v>0</v>
      </c>
      <c r="AP720" s="155">
        <f t="shared" si="420"/>
        <v>0</v>
      </c>
    </row>
    <row r="722" spans="1:42" x14ac:dyDescent="0.2">
      <c r="A722" s="4" t="s">
        <v>279</v>
      </c>
    </row>
    <row r="723" spans="1:42" x14ac:dyDescent="0.2">
      <c r="A723" s="4" t="s">
        <v>280</v>
      </c>
    </row>
    <row r="724" spans="1:42" x14ac:dyDescent="0.2">
      <c r="A724" s="4">
        <v>1</v>
      </c>
      <c r="B724" s="174">
        <f t="shared" ref="B724:B733" si="421">SUM(C724:AP724)</f>
        <v>0</v>
      </c>
      <c r="C724" s="155">
        <f t="shared" ref="C724:AP724" si="422">IF(C$2&gt;analysis_period,0,IF(C$2=equip3_reserve_freq*$A724,equip3_reserve_cost*system_capacity*1000*(1+inflation_rate/100)^B$2,0))</f>
        <v>0</v>
      </c>
      <c r="D724" s="155">
        <f t="shared" si="422"/>
        <v>0</v>
      </c>
      <c r="E724" s="155">
        <f t="shared" si="422"/>
        <v>0</v>
      </c>
      <c r="F724" s="155">
        <f t="shared" si="422"/>
        <v>0</v>
      </c>
      <c r="G724" s="155">
        <f t="shared" si="422"/>
        <v>0</v>
      </c>
      <c r="H724" s="155">
        <f t="shared" si="422"/>
        <v>0</v>
      </c>
      <c r="I724" s="155">
        <f t="shared" si="422"/>
        <v>0</v>
      </c>
      <c r="J724" s="155">
        <f t="shared" si="422"/>
        <v>0</v>
      </c>
      <c r="K724" s="155">
        <f t="shared" si="422"/>
        <v>0</v>
      </c>
      <c r="L724" s="155">
        <f t="shared" si="422"/>
        <v>0</v>
      </c>
      <c r="M724" s="155">
        <f t="shared" si="422"/>
        <v>0</v>
      </c>
      <c r="N724" s="155">
        <f t="shared" si="422"/>
        <v>0</v>
      </c>
      <c r="O724" s="155">
        <f t="shared" si="422"/>
        <v>0</v>
      </c>
      <c r="P724" s="155">
        <f t="shared" si="422"/>
        <v>0</v>
      </c>
      <c r="Q724" s="155">
        <f t="shared" si="422"/>
        <v>0</v>
      </c>
      <c r="R724" s="155">
        <f t="shared" si="422"/>
        <v>0</v>
      </c>
      <c r="S724" s="155">
        <f t="shared" si="422"/>
        <v>0</v>
      </c>
      <c r="T724" s="155">
        <f t="shared" si="422"/>
        <v>0</v>
      </c>
      <c r="U724" s="155">
        <f t="shared" si="422"/>
        <v>0</v>
      </c>
      <c r="V724" s="155">
        <f t="shared" si="422"/>
        <v>0</v>
      </c>
      <c r="W724" s="155">
        <f t="shared" si="422"/>
        <v>0</v>
      </c>
      <c r="X724" s="155">
        <f t="shared" si="422"/>
        <v>0</v>
      </c>
      <c r="Y724" s="155">
        <f t="shared" si="422"/>
        <v>0</v>
      </c>
      <c r="Z724" s="155">
        <f t="shared" si="422"/>
        <v>0</v>
      </c>
      <c r="AA724" s="155">
        <f t="shared" si="422"/>
        <v>0</v>
      </c>
      <c r="AB724" s="155">
        <f t="shared" si="422"/>
        <v>0</v>
      </c>
      <c r="AC724" s="155">
        <f t="shared" si="422"/>
        <v>0</v>
      </c>
      <c r="AD724" s="155">
        <f t="shared" si="422"/>
        <v>0</v>
      </c>
      <c r="AE724" s="155">
        <f t="shared" si="422"/>
        <v>0</v>
      </c>
      <c r="AF724" s="155">
        <f t="shared" si="422"/>
        <v>0</v>
      </c>
      <c r="AG724" s="155">
        <f t="shared" si="422"/>
        <v>0</v>
      </c>
      <c r="AH724" s="155">
        <f t="shared" si="422"/>
        <v>0</v>
      </c>
      <c r="AI724" s="155">
        <f t="shared" si="422"/>
        <v>0</v>
      </c>
      <c r="AJ724" s="155">
        <f t="shared" si="422"/>
        <v>0</v>
      </c>
      <c r="AK724" s="155">
        <f t="shared" si="422"/>
        <v>0</v>
      </c>
      <c r="AL724" s="155">
        <f t="shared" si="422"/>
        <v>0</v>
      </c>
      <c r="AM724" s="155">
        <f t="shared" si="422"/>
        <v>0</v>
      </c>
      <c r="AN724" s="155">
        <f t="shared" si="422"/>
        <v>0</v>
      </c>
      <c r="AO724" s="155">
        <f t="shared" si="422"/>
        <v>0</v>
      </c>
      <c r="AP724" s="155">
        <f t="shared" si="422"/>
        <v>0</v>
      </c>
    </row>
    <row r="725" spans="1:42" x14ac:dyDescent="0.2">
      <c r="A725" s="4">
        <f>A724+1</f>
        <v>2</v>
      </c>
      <c r="B725" s="174">
        <f t="shared" si="421"/>
        <v>0</v>
      </c>
      <c r="C725" s="155">
        <f t="shared" ref="C725:AP725" si="423">IF(C$2&gt;analysis_period,0,IF(C$2=equip3_reserve_freq*$A725,equip3_reserve_cost*system_capacity*1000*(1+inflation_rate/100)^B$2,0))</f>
        <v>0</v>
      </c>
      <c r="D725" s="155">
        <f t="shared" si="423"/>
        <v>0</v>
      </c>
      <c r="E725" s="155">
        <f t="shared" si="423"/>
        <v>0</v>
      </c>
      <c r="F725" s="155">
        <f t="shared" si="423"/>
        <v>0</v>
      </c>
      <c r="G725" s="155">
        <f t="shared" si="423"/>
        <v>0</v>
      </c>
      <c r="H725" s="155">
        <f t="shared" si="423"/>
        <v>0</v>
      </c>
      <c r="I725" s="155">
        <f t="shared" si="423"/>
        <v>0</v>
      </c>
      <c r="J725" s="155">
        <f t="shared" si="423"/>
        <v>0</v>
      </c>
      <c r="K725" s="155">
        <f t="shared" si="423"/>
        <v>0</v>
      </c>
      <c r="L725" s="155">
        <f t="shared" si="423"/>
        <v>0</v>
      </c>
      <c r="M725" s="155">
        <f t="shared" si="423"/>
        <v>0</v>
      </c>
      <c r="N725" s="155">
        <f t="shared" si="423"/>
        <v>0</v>
      </c>
      <c r="O725" s="155">
        <f t="shared" si="423"/>
        <v>0</v>
      </c>
      <c r="P725" s="155">
        <f t="shared" si="423"/>
        <v>0</v>
      </c>
      <c r="Q725" s="155">
        <f t="shared" si="423"/>
        <v>0</v>
      </c>
      <c r="R725" s="155">
        <f t="shared" si="423"/>
        <v>0</v>
      </c>
      <c r="S725" s="155">
        <f t="shared" si="423"/>
        <v>0</v>
      </c>
      <c r="T725" s="155">
        <f t="shared" si="423"/>
        <v>0</v>
      </c>
      <c r="U725" s="155">
        <f t="shared" si="423"/>
        <v>0</v>
      </c>
      <c r="V725" s="155">
        <f t="shared" si="423"/>
        <v>0</v>
      </c>
      <c r="W725" s="155">
        <f t="shared" si="423"/>
        <v>0</v>
      </c>
      <c r="X725" s="155">
        <f t="shared" si="423"/>
        <v>0</v>
      </c>
      <c r="Y725" s="155">
        <f t="shared" si="423"/>
        <v>0</v>
      </c>
      <c r="Z725" s="155">
        <f t="shared" si="423"/>
        <v>0</v>
      </c>
      <c r="AA725" s="155">
        <f t="shared" si="423"/>
        <v>0</v>
      </c>
      <c r="AB725" s="155">
        <f t="shared" si="423"/>
        <v>0</v>
      </c>
      <c r="AC725" s="155">
        <f t="shared" si="423"/>
        <v>0</v>
      </c>
      <c r="AD725" s="155">
        <f t="shared" si="423"/>
        <v>0</v>
      </c>
      <c r="AE725" s="155">
        <f t="shared" si="423"/>
        <v>0</v>
      </c>
      <c r="AF725" s="155">
        <f t="shared" si="423"/>
        <v>0</v>
      </c>
      <c r="AG725" s="155">
        <f t="shared" si="423"/>
        <v>0</v>
      </c>
      <c r="AH725" s="155">
        <f t="shared" si="423"/>
        <v>0</v>
      </c>
      <c r="AI725" s="155">
        <f t="shared" si="423"/>
        <v>0</v>
      </c>
      <c r="AJ725" s="155">
        <f t="shared" si="423"/>
        <v>0</v>
      </c>
      <c r="AK725" s="155">
        <f t="shared" si="423"/>
        <v>0</v>
      </c>
      <c r="AL725" s="155">
        <f t="shared" si="423"/>
        <v>0</v>
      </c>
      <c r="AM725" s="155">
        <f t="shared" si="423"/>
        <v>0</v>
      </c>
      <c r="AN725" s="155">
        <f t="shared" si="423"/>
        <v>0</v>
      </c>
      <c r="AO725" s="155">
        <f t="shared" si="423"/>
        <v>0</v>
      </c>
      <c r="AP725" s="155">
        <f t="shared" si="423"/>
        <v>0</v>
      </c>
    </row>
    <row r="726" spans="1:42" x14ac:dyDescent="0.2">
      <c r="A726" s="4">
        <f t="shared" ref="A726:A733" si="424">A725+1</f>
        <v>3</v>
      </c>
      <c r="B726" s="174">
        <f t="shared" si="421"/>
        <v>0</v>
      </c>
      <c r="C726" s="155">
        <f t="shared" ref="C726:AP726" si="425">IF(C$2&gt;analysis_period,0,IF(C$2=equip3_reserve_freq*$A726,equip3_reserve_cost*system_capacity*1000*(1+inflation_rate/100)^B$2,0))</f>
        <v>0</v>
      </c>
      <c r="D726" s="155">
        <f t="shared" si="425"/>
        <v>0</v>
      </c>
      <c r="E726" s="155">
        <f t="shared" si="425"/>
        <v>0</v>
      </c>
      <c r="F726" s="155">
        <f t="shared" si="425"/>
        <v>0</v>
      </c>
      <c r="G726" s="155">
        <f t="shared" si="425"/>
        <v>0</v>
      </c>
      <c r="H726" s="155">
        <f t="shared" si="425"/>
        <v>0</v>
      </c>
      <c r="I726" s="155">
        <f t="shared" si="425"/>
        <v>0</v>
      </c>
      <c r="J726" s="155">
        <f t="shared" si="425"/>
        <v>0</v>
      </c>
      <c r="K726" s="155">
        <f t="shared" si="425"/>
        <v>0</v>
      </c>
      <c r="L726" s="155">
        <f t="shared" si="425"/>
        <v>0</v>
      </c>
      <c r="M726" s="155">
        <f t="shared" si="425"/>
        <v>0</v>
      </c>
      <c r="N726" s="155">
        <f t="shared" si="425"/>
        <v>0</v>
      </c>
      <c r="O726" s="155">
        <f t="shared" si="425"/>
        <v>0</v>
      </c>
      <c r="P726" s="155">
        <f t="shared" si="425"/>
        <v>0</v>
      </c>
      <c r="Q726" s="155">
        <f t="shared" si="425"/>
        <v>0</v>
      </c>
      <c r="R726" s="155">
        <f t="shared" si="425"/>
        <v>0</v>
      </c>
      <c r="S726" s="155">
        <f t="shared" si="425"/>
        <v>0</v>
      </c>
      <c r="T726" s="155">
        <f t="shared" si="425"/>
        <v>0</v>
      </c>
      <c r="U726" s="155">
        <f t="shared" si="425"/>
        <v>0</v>
      </c>
      <c r="V726" s="155">
        <f t="shared" si="425"/>
        <v>0</v>
      </c>
      <c r="W726" s="155">
        <f t="shared" si="425"/>
        <v>0</v>
      </c>
      <c r="X726" s="155">
        <f t="shared" si="425"/>
        <v>0</v>
      </c>
      <c r="Y726" s="155">
        <f t="shared" si="425"/>
        <v>0</v>
      </c>
      <c r="Z726" s="155">
        <f t="shared" si="425"/>
        <v>0</v>
      </c>
      <c r="AA726" s="155">
        <f t="shared" si="425"/>
        <v>0</v>
      </c>
      <c r="AB726" s="155">
        <f t="shared" si="425"/>
        <v>0</v>
      </c>
      <c r="AC726" s="155">
        <f t="shared" si="425"/>
        <v>0</v>
      </c>
      <c r="AD726" s="155">
        <f t="shared" si="425"/>
        <v>0</v>
      </c>
      <c r="AE726" s="155">
        <f t="shared" si="425"/>
        <v>0</v>
      </c>
      <c r="AF726" s="155">
        <f t="shared" si="425"/>
        <v>0</v>
      </c>
      <c r="AG726" s="155">
        <f t="shared" si="425"/>
        <v>0</v>
      </c>
      <c r="AH726" s="155">
        <f t="shared" si="425"/>
        <v>0</v>
      </c>
      <c r="AI726" s="155">
        <f t="shared" si="425"/>
        <v>0</v>
      </c>
      <c r="AJ726" s="155">
        <f t="shared" si="425"/>
        <v>0</v>
      </c>
      <c r="AK726" s="155">
        <f t="shared" si="425"/>
        <v>0</v>
      </c>
      <c r="AL726" s="155">
        <f t="shared" si="425"/>
        <v>0</v>
      </c>
      <c r="AM726" s="155">
        <f t="shared" si="425"/>
        <v>0</v>
      </c>
      <c r="AN726" s="155">
        <f t="shared" si="425"/>
        <v>0</v>
      </c>
      <c r="AO726" s="155">
        <f t="shared" si="425"/>
        <v>0</v>
      </c>
      <c r="AP726" s="155">
        <f t="shared" si="425"/>
        <v>0</v>
      </c>
    </row>
    <row r="727" spans="1:42" x14ac:dyDescent="0.2">
      <c r="A727" s="4">
        <f t="shared" si="424"/>
        <v>4</v>
      </c>
      <c r="B727" s="174">
        <f t="shared" si="421"/>
        <v>0</v>
      </c>
      <c r="C727" s="155">
        <f t="shared" ref="C727:AP727" si="426">IF(C$2&gt;analysis_period,0,IF(C$2=equip3_reserve_freq*$A727,equip3_reserve_cost*system_capacity*1000*(1+inflation_rate/100)^B$2,0))</f>
        <v>0</v>
      </c>
      <c r="D727" s="155">
        <f t="shared" si="426"/>
        <v>0</v>
      </c>
      <c r="E727" s="155">
        <f t="shared" si="426"/>
        <v>0</v>
      </c>
      <c r="F727" s="155">
        <f t="shared" si="426"/>
        <v>0</v>
      </c>
      <c r="G727" s="155">
        <f t="shared" si="426"/>
        <v>0</v>
      </c>
      <c r="H727" s="155">
        <f t="shared" si="426"/>
        <v>0</v>
      </c>
      <c r="I727" s="155">
        <f t="shared" si="426"/>
        <v>0</v>
      </c>
      <c r="J727" s="155">
        <f t="shared" si="426"/>
        <v>0</v>
      </c>
      <c r="K727" s="155">
        <f t="shared" si="426"/>
        <v>0</v>
      </c>
      <c r="L727" s="155">
        <f t="shared" si="426"/>
        <v>0</v>
      </c>
      <c r="M727" s="155">
        <f t="shared" si="426"/>
        <v>0</v>
      </c>
      <c r="N727" s="155">
        <f t="shared" si="426"/>
        <v>0</v>
      </c>
      <c r="O727" s="155">
        <f t="shared" si="426"/>
        <v>0</v>
      </c>
      <c r="P727" s="155">
        <f t="shared" si="426"/>
        <v>0</v>
      </c>
      <c r="Q727" s="155">
        <f t="shared" si="426"/>
        <v>0</v>
      </c>
      <c r="R727" s="155">
        <f t="shared" si="426"/>
        <v>0</v>
      </c>
      <c r="S727" s="155">
        <f t="shared" si="426"/>
        <v>0</v>
      </c>
      <c r="T727" s="155">
        <f t="shared" si="426"/>
        <v>0</v>
      </c>
      <c r="U727" s="155">
        <f t="shared" si="426"/>
        <v>0</v>
      </c>
      <c r="V727" s="155">
        <f t="shared" si="426"/>
        <v>0</v>
      </c>
      <c r="W727" s="155">
        <f t="shared" si="426"/>
        <v>0</v>
      </c>
      <c r="X727" s="155">
        <f t="shared" si="426"/>
        <v>0</v>
      </c>
      <c r="Y727" s="155">
        <f t="shared" si="426"/>
        <v>0</v>
      </c>
      <c r="Z727" s="155">
        <f t="shared" si="426"/>
        <v>0</v>
      </c>
      <c r="AA727" s="155">
        <f t="shared" si="426"/>
        <v>0</v>
      </c>
      <c r="AB727" s="155">
        <f t="shared" si="426"/>
        <v>0</v>
      </c>
      <c r="AC727" s="155">
        <f t="shared" si="426"/>
        <v>0</v>
      </c>
      <c r="AD727" s="155">
        <f t="shared" si="426"/>
        <v>0</v>
      </c>
      <c r="AE727" s="155">
        <f t="shared" si="426"/>
        <v>0</v>
      </c>
      <c r="AF727" s="155">
        <f t="shared" si="426"/>
        <v>0</v>
      </c>
      <c r="AG727" s="155">
        <f t="shared" si="426"/>
        <v>0</v>
      </c>
      <c r="AH727" s="155">
        <f t="shared" si="426"/>
        <v>0</v>
      </c>
      <c r="AI727" s="155">
        <f t="shared" si="426"/>
        <v>0</v>
      </c>
      <c r="AJ727" s="155">
        <f t="shared" si="426"/>
        <v>0</v>
      </c>
      <c r="AK727" s="155">
        <f t="shared" si="426"/>
        <v>0</v>
      </c>
      <c r="AL727" s="155">
        <f t="shared" si="426"/>
        <v>0</v>
      </c>
      <c r="AM727" s="155">
        <f t="shared" si="426"/>
        <v>0</v>
      </c>
      <c r="AN727" s="155">
        <f t="shared" si="426"/>
        <v>0</v>
      </c>
      <c r="AO727" s="155">
        <f t="shared" si="426"/>
        <v>0</v>
      </c>
      <c r="AP727" s="155">
        <f t="shared" si="426"/>
        <v>0</v>
      </c>
    </row>
    <row r="728" spans="1:42" x14ac:dyDescent="0.2">
      <c r="A728" s="4">
        <f t="shared" si="424"/>
        <v>5</v>
      </c>
      <c r="B728" s="174">
        <f t="shared" si="421"/>
        <v>0</v>
      </c>
      <c r="C728" s="155">
        <f t="shared" ref="C728:AP728" si="427">IF(C$2&gt;analysis_period,0,IF(C$2=equip3_reserve_freq*$A728,equip3_reserve_cost*system_capacity*1000*(1+inflation_rate/100)^B$2,0))</f>
        <v>0</v>
      </c>
      <c r="D728" s="155">
        <f t="shared" si="427"/>
        <v>0</v>
      </c>
      <c r="E728" s="155">
        <f t="shared" si="427"/>
        <v>0</v>
      </c>
      <c r="F728" s="155">
        <f t="shared" si="427"/>
        <v>0</v>
      </c>
      <c r="G728" s="155">
        <f t="shared" si="427"/>
        <v>0</v>
      </c>
      <c r="H728" s="155">
        <f t="shared" si="427"/>
        <v>0</v>
      </c>
      <c r="I728" s="155">
        <f t="shared" si="427"/>
        <v>0</v>
      </c>
      <c r="J728" s="155">
        <f t="shared" si="427"/>
        <v>0</v>
      </c>
      <c r="K728" s="155">
        <f t="shared" si="427"/>
        <v>0</v>
      </c>
      <c r="L728" s="155">
        <f t="shared" si="427"/>
        <v>0</v>
      </c>
      <c r="M728" s="155">
        <f t="shared" si="427"/>
        <v>0</v>
      </c>
      <c r="N728" s="155">
        <f t="shared" si="427"/>
        <v>0</v>
      </c>
      <c r="O728" s="155">
        <f t="shared" si="427"/>
        <v>0</v>
      </c>
      <c r="P728" s="155">
        <f t="shared" si="427"/>
        <v>0</v>
      </c>
      <c r="Q728" s="155">
        <f t="shared" si="427"/>
        <v>0</v>
      </c>
      <c r="R728" s="155">
        <f t="shared" si="427"/>
        <v>0</v>
      </c>
      <c r="S728" s="155">
        <f t="shared" si="427"/>
        <v>0</v>
      </c>
      <c r="T728" s="155">
        <f t="shared" si="427"/>
        <v>0</v>
      </c>
      <c r="U728" s="155">
        <f t="shared" si="427"/>
        <v>0</v>
      </c>
      <c r="V728" s="155">
        <f t="shared" si="427"/>
        <v>0</v>
      </c>
      <c r="W728" s="155">
        <f t="shared" si="427"/>
        <v>0</v>
      </c>
      <c r="X728" s="155">
        <f t="shared" si="427"/>
        <v>0</v>
      </c>
      <c r="Y728" s="155">
        <f t="shared" si="427"/>
        <v>0</v>
      </c>
      <c r="Z728" s="155">
        <f t="shared" si="427"/>
        <v>0</v>
      </c>
      <c r="AA728" s="155">
        <f t="shared" si="427"/>
        <v>0</v>
      </c>
      <c r="AB728" s="155">
        <f t="shared" si="427"/>
        <v>0</v>
      </c>
      <c r="AC728" s="155">
        <f t="shared" si="427"/>
        <v>0</v>
      </c>
      <c r="AD728" s="155">
        <f t="shared" si="427"/>
        <v>0</v>
      </c>
      <c r="AE728" s="155">
        <f t="shared" si="427"/>
        <v>0</v>
      </c>
      <c r="AF728" s="155">
        <f t="shared" si="427"/>
        <v>0</v>
      </c>
      <c r="AG728" s="155">
        <f t="shared" si="427"/>
        <v>0</v>
      </c>
      <c r="AH728" s="155">
        <f t="shared" si="427"/>
        <v>0</v>
      </c>
      <c r="AI728" s="155">
        <f t="shared" si="427"/>
        <v>0</v>
      </c>
      <c r="AJ728" s="155">
        <f t="shared" si="427"/>
        <v>0</v>
      </c>
      <c r="AK728" s="155">
        <f t="shared" si="427"/>
        <v>0</v>
      </c>
      <c r="AL728" s="155">
        <f t="shared" si="427"/>
        <v>0</v>
      </c>
      <c r="AM728" s="155">
        <f t="shared" si="427"/>
        <v>0</v>
      </c>
      <c r="AN728" s="155">
        <f t="shared" si="427"/>
        <v>0</v>
      </c>
      <c r="AO728" s="155">
        <f t="shared" si="427"/>
        <v>0</v>
      </c>
      <c r="AP728" s="155">
        <f t="shared" si="427"/>
        <v>0</v>
      </c>
    </row>
    <row r="729" spans="1:42" x14ac:dyDescent="0.2">
      <c r="A729" s="4">
        <f t="shared" si="424"/>
        <v>6</v>
      </c>
      <c r="B729" s="174">
        <f t="shared" si="421"/>
        <v>0</v>
      </c>
      <c r="C729" s="155">
        <f t="shared" ref="C729:AP729" si="428">IF(C$2&gt;analysis_period,0,IF(C$2=equip3_reserve_freq*$A729,equip3_reserve_cost*system_capacity*1000*(1+inflation_rate/100)^B$2,0))</f>
        <v>0</v>
      </c>
      <c r="D729" s="155">
        <f t="shared" si="428"/>
        <v>0</v>
      </c>
      <c r="E729" s="155">
        <f t="shared" si="428"/>
        <v>0</v>
      </c>
      <c r="F729" s="155">
        <f t="shared" si="428"/>
        <v>0</v>
      </c>
      <c r="G729" s="155">
        <f t="shared" si="428"/>
        <v>0</v>
      </c>
      <c r="H729" s="155">
        <f t="shared" si="428"/>
        <v>0</v>
      </c>
      <c r="I729" s="155">
        <f t="shared" si="428"/>
        <v>0</v>
      </c>
      <c r="J729" s="155">
        <f t="shared" si="428"/>
        <v>0</v>
      </c>
      <c r="K729" s="155">
        <f t="shared" si="428"/>
        <v>0</v>
      </c>
      <c r="L729" s="155">
        <f t="shared" si="428"/>
        <v>0</v>
      </c>
      <c r="M729" s="155">
        <f t="shared" si="428"/>
        <v>0</v>
      </c>
      <c r="N729" s="155">
        <f t="shared" si="428"/>
        <v>0</v>
      </c>
      <c r="O729" s="155">
        <f t="shared" si="428"/>
        <v>0</v>
      </c>
      <c r="P729" s="155">
        <f t="shared" si="428"/>
        <v>0</v>
      </c>
      <c r="Q729" s="155">
        <f t="shared" si="428"/>
        <v>0</v>
      </c>
      <c r="R729" s="155">
        <f t="shared" si="428"/>
        <v>0</v>
      </c>
      <c r="S729" s="155">
        <f t="shared" si="428"/>
        <v>0</v>
      </c>
      <c r="T729" s="155">
        <f t="shared" si="428"/>
        <v>0</v>
      </c>
      <c r="U729" s="155">
        <f t="shared" si="428"/>
        <v>0</v>
      </c>
      <c r="V729" s="155">
        <f t="shared" si="428"/>
        <v>0</v>
      </c>
      <c r="W729" s="155">
        <f t="shared" si="428"/>
        <v>0</v>
      </c>
      <c r="X729" s="155">
        <f t="shared" si="428"/>
        <v>0</v>
      </c>
      <c r="Y729" s="155">
        <f t="shared" si="428"/>
        <v>0</v>
      </c>
      <c r="Z729" s="155">
        <f t="shared" si="428"/>
        <v>0</v>
      </c>
      <c r="AA729" s="155">
        <f t="shared" si="428"/>
        <v>0</v>
      </c>
      <c r="AB729" s="155">
        <f t="shared" si="428"/>
        <v>0</v>
      </c>
      <c r="AC729" s="155">
        <f t="shared" si="428"/>
        <v>0</v>
      </c>
      <c r="AD729" s="155">
        <f t="shared" si="428"/>
        <v>0</v>
      </c>
      <c r="AE729" s="155">
        <f t="shared" si="428"/>
        <v>0</v>
      </c>
      <c r="AF729" s="155">
        <f t="shared" si="428"/>
        <v>0</v>
      </c>
      <c r="AG729" s="155">
        <f t="shared" si="428"/>
        <v>0</v>
      </c>
      <c r="AH729" s="155">
        <f t="shared" si="428"/>
        <v>0</v>
      </c>
      <c r="AI729" s="155">
        <f t="shared" si="428"/>
        <v>0</v>
      </c>
      <c r="AJ729" s="155">
        <f t="shared" si="428"/>
        <v>0</v>
      </c>
      <c r="AK729" s="155">
        <f t="shared" si="428"/>
        <v>0</v>
      </c>
      <c r="AL729" s="155">
        <f t="shared" si="428"/>
        <v>0</v>
      </c>
      <c r="AM729" s="155">
        <f t="shared" si="428"/>
        <v>0</v>
      </c>
      <c r="AN729" s="155">
        <f t="shared" si="428"/>
        <v>0</v>
      </c>
      <c r="AO729" s="155">
        <f t="shared" si="428"/>
        <v>0</v>
      </c>
      <c r="AP729" s="155">
        <f t="shared" si="428"/>
        <v>0</v>
      </c>
    </row>
    <row r="730" spans="1:42" x14ac:dyDescent="0.2">
      <c r="A730" s="4">
        <f t="shared" si="424"/>
        <v>7</v>
      </c>
      <c r="B730" s="174">
        <f t="shared" si="421"/>
        <v>0</v>
      </c>
      <c r="C730" s="155">
        <f t="shared" ref="C730:AP730" si="429">IF(C$2&gt;analysis_period,0,IF(C$2=equip3_reserve_freq*$A730,equip3_reserve_cost*system_capacity*1000*(1+inflation_rate/100)^B$2,0))</f>
        <v>0</v>
      </c>
      <c r="D730" s="155">
        <f t="shared" si="429"/>
        <v>0</v>
      </c>
      <c r="E730" s="155">
        <f t="shared" si="429"/>
        <v>0</v>
      </c>
      <c r="F730" s="155">
        <f t="shared" si="429"/>
        <v>0</v>
      </c>
      <c r="G730" s="155">
        <f t="shared" si="429"/>
        <v>0</v>
      </c>
      <c r="H730" s="155">
        <f t="shared" si="429"/>
        <v>0</v>
      </c>
      <c r="I730" s="155">
        <f t="shared" si="429"/>
        <v>0</v>
      </c>
      <c r="J730" s="155">
        <f t="shared" si="429"/>
        <v>0</v>
      </c>
      <c r="K730" s="155">
        <f t="shared" si="429"/>
        <v>0</v>
      </c>
      <c r="L730" s="155">
        <f t="shared" si="429"/>
        <v>0</v>
      </c>
      <c r="M730" s="155">
        <f t="shared" si="429"/>
        <v>0</v>
      </c>
      <c r="N730" s="155">
        <f t="shared" si="429"/>
        <v>0</v>
      </c>
      <c r="O730" s="155">
        <f t="shared" si="429"/>
        <v>0</v>
      </c>
      <c r="P730" s="155">
        <f t="shared" si="429"/>
        <v>0</v>
      </c>
      <c r="Q730" s="155">
        <f t="shared" si="429"/>
        <v>0</v>
      </c>
      <c r="R730" s="155">
        <f t="shared" si="429"/>
        <v>0</v>
      </c>
      <c r="S730" s="155">
        <f t="shared" si="429"/>
        <v>0</v>
      </c>
      <c r="T730" s="155">
        <f t="shared" si="429"/>
        <v>0</v>
      </c>
      <c r="U730" s="155">
        <f t="shared" si="429"/>
        <v>0</v>
      </c>
      <c r="V730" s="155">
        <f t="shared" si="429"/>
        <v>0</v>
      </c>
      <c r="W730" s="155">
        <f t="shared" si="429"/>
        <v>0</v>
      </c>
      <c r="X730" s="155">
        <f t="shared" si="429"/>
        <v>0</v>
      </c>
      <c r="Y730" s="155">
        <f t="shared" si="429"/>
        <v>0</v>
      </c>
      <c r="Z730" s="155">
        <f t="shared" si="429"/>
        <v>0</v>
      </c>
      <c r="AA730" s="155">
        <f t="shared" si="429"/>
        <v>0</v>
      </c>
      <c r="AB730" s="155">
        <f t="shared" si="429"/>
        <v>0</v>
      </c>
      <c r="AC730" s="155">
        <f t="shared" si="429"/>
        <v>0</v>
      </c>
      <c r="AD730" s="155">
        <f t="shared" si="429"/>
        <v>0</v>
      </c>
      <c r="AE730" s="155">
        <f t="shared" si="429"/>
        <v>0</v>
      </c>
      <c r="AF730" s="155">
        <f t="shared" si="429"/>
        <v>0</v>
      </c>
      <c r="AG730" s="155">
        <f t="shared" si="429"/>
        <v>0</v>
      </c>
      <c r="AH730" s="155">
        <f t="shared" si="429"/>
        <v>0</v>
      </c>
      <c r="AI730" s="155">
        <f t="shared" si="429"/>
        <v>0</v>
      </c>
      <c r="AJ730" s="155">
        <f t="shared" si="429"/>
        <v>0</v>
      </c>
      <c r="AK730" s="155">
        <f t="shared" si="429"/>
        <v>0</v>
      </c>
      <c r="AL730" s="155">
        <f t="shared" si="429"/>
        <v>0</v>
      </c>
      <c r="AM730" s="155">
        <f t="shared" si="429"/>
        <v>0</v>
      </c>
      <c r="AN730" s="155">
        <f t="shared" si="429"/>
        <v>0</v>
      </c>
      <c r="AO730" s="155">
        <f t="shared" si="429"/>
        <v>0</v>
      </c>
      <c r="AP730" s="155">
        <f t="shared" si="429"/>
        <v>0</v>
      </c>
    </row>
    <row r="731" spans="1:42" x14ac:dyDescent="0.2">
      <c r="A731" s="4">
        <f t="shared" si="424"/>
        <v>8</v>
      </c>
      <c r="B731" s="174">
        <f t="shared" si="421"/>
        <v>0</v>
      </c>
      <c r="C731" s="155">
        <f t="shared" ref="C731:AP731" si="430">IF(C$2&gt;analysis_period,0,IF(C$2=equip3_reserve_freq*$A731,equip3_reserve_cost*system_capacity*1000*(1+inflation_rate/100)^B$2,0))</f>
        <v>0</v>
      </c>
      <c r="D731" s="155">
        <f t="shared" si="430"/>
        <v>0</v>
      </c>
      <c r="E731" s="155">
        <f t="shared" si="430"/>
        <v>0</v>
      </c>
      <c r="F731" s="155">
        <f t="shared" si="430"/>
        <v>0</v>
      </c>
      <c r="G731" s="155">
        <f t="shared" si="430"/>
        <v>0</v>
      </c>
      <c r="H731" s="155">
        <f t="shared" si="430"/>
        <v>0</v>
      </c>
      <c r="I731" s="155">
        <f t="shared" si="430"/>
        <v>0</v>
      </c>
      <c r="J731" s="155">
        <f t="shared" si="430"/>
        <v>0</v>
      </c>
      <c r="K731" s="155">
        <f t="shared" si="430"/>
        <v>0</v>
      </c>
      <c r="L731" s="155">
        <f t="shared" si="430"/>
        <v>0</v>
      </c>
      <c r="M731" s="155">
        <f t="shared" si="430"/>
        <v>0</v>
      </c>
      <c r="N731" s="155">
        <f t="shared" si="430"/>
        <v>0</v>
      </c>
      <c r="O731" s="155">
        <f t="shared" si="430"/>
        <v>0</v>
      </c>
      <c r="P731" s="155">
        <f t="shared" si="430"/>
        <v>0</v>
      </c>
      <c r="Q731" s="155">
        <f t="shared" si="430"/>
        <v>0</v>
      </c>
      <c r="R731" s="155">
        <f t="shared" si="430"/>
        <v>0</v>
      </c>
      <c r="S731" s="155">
        <f t="shared" si="430"/>
        <v>0</v>
      </c>
      <c r="T731" s="155">
        <f t="shared" si="430"/>
        <v>0</v>
      </c>
      <c r="U731" s="155">
        <f t="shared" si="430"/>
        <v>0</v>
      </c>
      <c r="V731" s="155">
        <f t="shared" si="430"/>
        <v>0</v>
      </c>
      <c r="W731" s="155">
        <f t="shared" si="430"/>
        <v>0</v>
      </c>
      <c r="X731" s="155">
        <f t="shared" si="430"/>
        <v>0</v>
      </c>
      <c r="Y731" s="155">
        <f t="shared" si="430"/>
        <v>0</v>
      </c>
      <c r="Z731" s="155">
        <f t="shared" si="430"/>
        <v>0</v>
      </c>
      <c r="AA731" s="155">
        <f t="shared" si="430"/>
        <v>0</v>
      </c>
      <c r="AB731" s="155">
        <f t="shared" si="430"/>
        <v>0</v>
      </c>
      <c r="AC731" s="155">
        <f t="shared" si="430"/>
        <v>0</v>
      </c>
      <c r="AD731" s="155">
        <f t="shared" si="430"/>
        <v>0</v>
      </c>
      <c r="AE731" s="155">
        <f t="shared" si="430"/>
        <v>0</v>
      </c>
      <c r="AF731" s="155">
        <f t="shared" si="430"/>
        <v>0</v>
      </c>
      <c r="AG731" s="155">
        <f t="shared" si="430"/>
        <v>0</v>
      </c>
      <c r="AH731" s="155">
        <f t="shared" si="430"/>
        <v>0</v>
      </c>
      <c r="AI731" s="155">
        <f t="shared" si="430"/>
        <v>0</v>
      </c>
      <c r="AJ731" s="155">
        <f t="shared" si="430"/>
        <v>0</v>
      </c>
      <c r="AK731" s="155">
        <f t="shared" si="430"/>
        <v>0</v>
      </c>
      <c r="AL731" s="155">
        <f t="shared" si="430"/>
        <v>0</v>
      </c>
      <c r="AM731" s="155">
        <f t="shared" si="430"/>
        <v>0</v>
      </c>
      <c r="AN731" s="155">
        <f t="shared" si="430"/>
        <v>0</v>
      </c>
      <c r="AO731" s="155">
        <f t="shared" si="430"/>
        <v>0</v>
      </c>
      <c r="AP731" s="155">
        <f t="shared" si="430"/>
        <v>0</v>
      </c>
    </row>
    <row r="732" spans="1:42" x14ac:dyDescent="0.2">
      <c r="A732" s="4">
        <f>A731+1</f>
        <v>9</v>
      </c>
      <c r="B732" s="174">
        <f t="shared" si="421"/>
        <v>0</v>
      </c>
      <c r="C732" s="155">
        <f t="shared" ref="C732:AP732" si="431">IF(C$2&gt;analysis_period,0,IF(C$2=equip3_reserve_freq*$A732,equip3_reserve_cost*system_capacity*1000*(1+inflation_rate/100)^B$2,0))</f>
        <v>0</v>
      </c>
      <c r="D732" s="155">
        <f t="shared" si="431"/>
        <v>0</v>
      </c>
      <c r="E732" s="155">
        <f t="shared" si="431"/>
        <v>0</v>
      </c>
      <c r="F732" s="155">
        <f t="shared" si="431"/>
        <v>0</v>
      </c>
      <c r="G732" s="155">
        <f t="shared" si="431"/>
        <v>0</v>
      </c>
      <c r="H732" s="155">
        <f t="shared" si="431"/>
        <v>0</v>
      </c>
      <c r="I732" s="155">
        <f t="shared" si="431"/>
        <v>0</v>
      </c>
      <c r="J732" s="155">
        <f t="shared" si="431"/>
        <v>0</v>
      </c>
      <c r="K732" s="155">
        <f t="shared" si="431"/>
        <v>0</v>
      </c>
      <c r="L732" s="155">
        <f t="shared" si="431"/>
        <v>0</v>
      </c>
      <c r="M732" s="155">
        <f t="shared" si="431"/>
        <v>0</v>
      </c>
      <c r="N732" s="155">
        <f t="shared" si="431"/>
        <v>0</v>
      </c>
      <c r="O732" s="155">
        <f t="shared" si="431"/>
        <v>0</v>
      </c>
      <c r="P732" s="155">
        <f t="shared" si="431"/>
        <v>0</v>
      </c>
      <c r="Q732" s="155">
        <f t="shared" si="431"/>
        <v>0</v>
      </c>
      <c r="R732" s="155">
        <f t="shared" si="431"/>
        <v>0</v>
      </c>
      <c r="S732" s="155">
        <f t="shared" si="431"/>
        <v>0</v>
      </c>
      <c r="T732" s="155">
        <f t="shared" si="431"/>
        <v>0</v>
      </c>
      <c r="U732" s="155">
        <f t="shared" si="431"/>
        <v>0</v>
      </c>
      <c r="V732" s="155">
        <f t="shared" si="431"/>
        <v>0</v>
      </c>
      <c r="W732" s="155">
        <f t="shared" si="431"/>
        <v>0</v>
      </c>
      <c r="X732" s="155">
        <f t="shared" si="431"/>
        <v>0</v>
      </c>
      <c r="Y732" s="155">
        <f t="shared" si="431"/>
        <v>0</v>
      </c>
      <c r="Z732" s="155">
        <f t="shared" si="431"/>
        <v>0</v>
      </c>
      <c r="AA732" s="155">
        <f t="shared" si="431"/>
        <v>0</v>
      </c>
      <c r="AB732" s="155">
        <f t="shared" si="431"/>
        <v>0</v>
      </c>
      <c r="AC732" s="155">
        <f t="shared" si="431"/>
        <v>0</v>
      </c>
      <c r="AD732" s="155">
        <f t="shared" si="431"/>
        <v>0</v>
      </c>
      <c r="AE732" s="155">
        <f t="shared" si="431"/>
        <v>0</v>
      </c>
      <c r="AF732" s="155">
        <f t="shared" si="431"/>
        <v>0</v>
      </c>
      <c r="AG732" s="155">
        <f t="shared" si="431"/>
        <v>0</v>
      </c>
      <c r="AH732" s="155">
        <f t="shared" si="431"/>
        <v>0</v>
      </c>
      <c r="AI732" s="155">
        <f t="shared" si="431"/>
        <v>0</v>
      </c>
      <c r="AJ732" s="155">
        <f t="shared" si="431"/>
        <v>0</v>
      </c>
      <c r="AK732" s="155">
        <f t="shared" si="431"/>
        <v>0</v>
      </c>
      <c r="AL732" s="155">
        <f t="shared" si="431"/>
        <v>0</v>
      </c>
      <c r="AM732" s="155">
        <f t="shared" si="431"/>
        <v>0</v>
      </c>
      <c r="AN732" s="155">
        <f t="shared" si="431"/>
        <v>0</v>
      </c>
      <c r="AO732" s="155">
        <f t="shared" si="431"/>
        <v>0</v>
      </c>
      <c r="AP732" s="155">
        <f t="shared" si="431"/>
        <v>0</v>
      </c>
    </row>
    <row r="733" spans="1:42" x14ac:dyDescent="0.2">
      <c r="A733" s="4">
        <f t="shared" si="424"/>
        <v>10</v>
      </c>
      <c r="B733" s="174">
        <f t="shared" si="421"/>
        <v>0</v>
      </c>
      <c r="C733" s="155">
        <f t="shared" ref="C733:AP733" si="432">IF(C$2&gt;analysis_period,0,IF(C$2=equip3_reserve_freq*$A733,equip3_reserve_cost*system_capacity*1000*(1+inflation_rate/100)^B$2,0))</f>
        <v>0</v>
      </c>
      <c r="D733" s="155">
        <f t="shared" si="432"/>
        <v>0</v>
      </c>
      <c r="E733" s="155">
        <f t="shared" si="432"/>
        <v>0</v>
      </c>
      <c r="F733" s="155">
        <f t="shared" si="432"/>
        <v>0</v>
      </c>
      <c r="G733" s="155">
        <f t="shared" si="432"/>
        <v>0</v>
      </c>
      <c r="H733" s="155">
        <f t="shared" si="432"/>
        <v>0</v>
      </c>
      <c r="I733" s="155">
        <f t="shared" si="432"/>
        <v>0</v>
      </c>
      <c r="J733" s="155">
        <f t="shared" si="432"/>
        <v>0</v>
      </c>
      <c r="K733" s="155">
        <f t="shared" si="432"/>
        <v>0</v>
      </c>
      <c r="L733" s="155">
        <f t="shared" si="432"/>
        <v>0</v>
      </c>
      <c r="M733" s="155">
        <f t="shared" si="432"/>
        <v>0</v>
      </c>
      <c r="N733" s="155">
        <f t="shared" si="432"/>
        <v>0</v>
      </c>
      <c r="O733" s="155">
        <f t="shared" si="432"/>
        <v>0</v>
      </c>
      <c r="P733" s="155">
        <f t="shared" si="432"/>
        <v>0</v>
      </c>
      <c r="Q733" s="155">
        <f t="shared" si="432"/>
        <v>0</v>
      </c>
      <c r="R733" s="155">
        <f t="shared" si="432"/>
        <v>0</v>
      </c>
      <c r="S733" s="155">
        <f t="shared" si="432"/>
        <v>0</v>
      </c>
      <c r="T733" s="155">
        <f t="shared" si="432"/>
        <v>0</v>
      </c>
      <c r="U733" s="155">
        <f t="shared" si="432"/>
        <v>0</v>
      </c>
      <c r="V733" s="155">
        <f t="shared" si="432"/>
        <v>0</v>
      </c>
      <c r="W733" s="155">
        <f t="shared" si="432"/>
        <v>0</v>
      </c>
      <c r="X733" s="155">
        <f t="shared" si="432"/>
        <v>0</v>
      </c>
      <c r="Y733" s="155">
        <f t="shared" si="432"/>
        <v>0</v>
      </c>
      <c r="Z733" s="155">
        <f t="shared" si="432"/>
        <v>0</v>
      </c>
      <c r="AA733" s="155">
        <f t="shared" si="432"/>
        <v>0</v>
      </c>
      <c r="AB733" s="155">
        <f t="shared" si="432"/>
        <v>0</v>
      </c>
      <c r="AC733" s="155">
        <f t="shared" si="432"/>
        <v>0</v>
      </c>
      <c r="AD733" s="155">
        <f t="shared" si="432"/>
        <v>0</v>
      </c>
      <c r="AE733" s="155">
        <f t="shared" si="432"/>
        <v>0</v>
      </c>
      <c r="AF733" s="155">
        <f t="shared" si="432"/>
        <v>0</v>
      </c>
      <c r="AG733" s="155">
        <f t="shared" si="432"/>
        <v>0</v>
      </c>
      <c r="AH733" s="155">
        <f t="shared" si="432"/>
        <v>0</v>
      </c>
      <c r="AI733" s="155">
        <f t="shared" si="432"/>
        <v>0</v>
      </c>
      <c r="AJ733" s="155">
        <f t="shared" si="432"/>
        <v>0</v>
      </c>
      <c r="AK733" s="155">
        <f t="shared" si="432"/>
        <v>0</v>
      </c>
      <c r="AL733" s="155">
        <f t="shared" si="432"/>
        <v>0</v>
      </c>
      <c r="AM733" s="155">
        <f t="shared" si="432"/>
        <v>0</v>
      </c>
      <c r="AN733" s="155">
        <f t="shared" si="432"/>
        <v>0</v>
      </c>
      <c r="AO733" s="155">
        <f t="shared" si="432"/>
        <v>0</v>
      </c>
      <c r="AP733" s="155">
        <f t="shared" si="432"/>
        <v>0</v>
      </c>
    </row>
    <row r="734" spans="1:42" x14ac:dyDescent="0.2">
      <c r="A734" s="24" t="s">
        <v>13</v>
      </c>
      <c r="B734" s="14"/>
      <c r="C734" s="155">
        <f>SUM(C724:C733)</f>
        <v>0</v>
      </c>
      <c r="D734" s="155">
        <f t="shared" ref="D734:AP734" si="433">SUM(D724:D733)</f>
        <v>0</v>
      </c>
      <c r="E734" s="155">
        <f t="shared" si="433"/>
        <v>0</v>
      </c>
      <c r="F734" s="155">
        <f t="shared" si="433"/>
        <v>0</v>
      </c>
      <c r="G734" s="155">
        <f t="shared" si="433"/>
        <v>0</v>
      </c>
      <c r="H734" s="155">
        <f t="shared" si="433"/>
        <v>0</v>
      </c>
      <c r="I734" s="155">
        <f t="shared" si="433"/>
        <v>0</v>
      </c>
      <c r="J734" s="155">
        <f t="shared" si="433"/>
        <v>0</v>
      </c>
      <c r="K734" s="155">
        <f t="shared" si="433"/>
        <v>0</v>
      </c>
      <c r="L734" s="155">
        <f t="shared" si="433"/>
        <v>0</v>
      </c>
      <c r="M734" s="155">
        <f t="shared" si="433"/>
        <v>0</v>
      </c>
      <c r="N734" s="155">
        <f t="shared" si="433"/>
        <v>0</v>
      </c>
      <c r="O734" s="155">
        <f t="shared" si="433"/>
        <v>0</v>
      </c>
      <c r="P734" s="155">
        <f t="shared" si="433"/>
        <v>0</v>
      </c>
      <c r="Q734" s="155">
        <f t="shared" si="433"/>
        <v>0</v>
      </c>
      <c r="R734" s="155">
        <f t="shared" si="433"/>
        <v>0</v>
      </c>
      <c r="S734" s="155">
        <f t="shared" si="433"/>
        <v>0</v>
      </c>
      <c r="T734" s="155">
        <f t="shared" si="433"/>
        <v>0</v>
      </c>
      <c r="U734" s="155">
        <f t="shared" si="433"/>
        <v>0</v>
      </c>
      <c r="V734" s="155">
        <f t="shared" si="433"/>
        <v>0</v>
      </c>
      <c r="W734" s="155">
        <f t="shared" si="433"/>
        <v>0</v>
      </c>
      <c r="X734" s="155">
        <f t="shared" si="433"/>
        <v>0</v>
      </c>
      <c r="Y734" s="155">
        <f t="shared" si="433"/>
        <v>0</v>
      </c>
      <c r="Z734" s="155">
        <f t="shared" si="433"/>
        <v>0</v>
      </c>
      <c r="AA734" s="155">
        <f t="shared" si="433"/>
        <v>0</v>
      </c>
      <c r="AB734" s="155">
        <f t="shared" si="433"/>
        <v>0</v>
      </c>
      <c r="AC734" s="155">
        <f t="shared" si="433"/>
        <v>0</v>
      </c>
      <c r="AD734" s="155">
        <f t="shared" si="433"/>
        <v>0</v>
      </c>
      <c r="AE734" s="155">
        <f t="shared" si="433"/>
        <v>0</v>
      </c>
      <c r="AF734" s="155">
        <f t="shared" si="433"/>
        <v>0</v>
      </c>
      <c r="AG734" s="155">
        <f t="shared" si="433"/>
        <v>0</v>
      </c>
      <c r="AH734" s="155">
        <f t="shared" si="433"/>
        <v>0</v>
      </c>
      <c r="AI734" s="155">
        <f t="shared" si="433"/>
        <v>0</v>
      </c>
      <c r="AJ734" s="155">
        <f t="shared" si="433"/>
        <v>0</v>
      </c>
      <c r="AK734" s="155">
        <f t="shared" si="433"/>
        <v>0</v>
      </c>
      <c r="AL734" s="155">
        <f t="shared" si="433"/>
        <v>0</v>
      </c>
      <c r="AM734" s="155">
        <f t="shared" si="433"/>
        <v>0</v>
      </c>
      <c r="AN734" s="155">
        <f t="shared" si="433"/>
        <v>0</v>
      </c>
      <c r="AO734" s="155">
        <f t="shared" si="433"/>
        <v>0</v>
      </c>
      <c r="AP734" s="155">
        <f t="shared" si="433"/>
        <v>0</v>
      </c>
    </row>
    <row r="735" spans="1:42" x14ac:dyDescent="0.2">
      <c r="A735" s="4" t="s">
        <v>281</v>
      </c>
    </row>
    <row r="736" spans="1:42" x14ac:dyDescent="0.2">
      <c r="A736" s="4">
        <v>1</v>
      </c>
      <c r="B736" s="174">
        <f t="shared" ref="B736:B745" si="434">SUM(C736:AP736)</f>
        <v>0</v>
      </c>
      <c r="C736" s="155">
        <f t="shared" ref="C736:AP736" si="435">IF(C$2&lt;=equip3_reserve_freq*$A$724,$B$724/(equip3_reserve_freq),0)</f>
        <v>0</v>
      </c>
      <c r="D736" s="155">
        <f t="shared" si="435"/>
        <v>0</v>
      </c>
      <c r="E736" s="155">
        <f t="shared" si="435"/>
        <v>0</v>
      </c>
      <c r="F736" s="155">
        <f t="shared" si="435"/>
        <v>0</v>
      </c>
      <c r="G736" s="155">
        <f t="shared" si="435"/>
        <v>0</v>
      </c>
      <c r="H736" s="155">
        <f t="shared" si="435"/>
        <v>0</v>
      </c>
      <c r="I736" s="155">
        <f t="shared" si="435"/>
        <v>0</v>
      </c>
      <c r="J736" s="155">
        <f t="shared" si="435"/>
        <v>0</v>
      </c>
      <c r="K736" s="155">
        <f t="shared" si="435"/>
        <v>0</v>
      </c>
      <c r="L736" s="155">
        <f t="shared" si="435"/>
        <v>0</v>
      </c>
      <c r="M736" s="155">
        <f t="shared" si="435"/>
        <v>0</v>
      </c>
      <c r="N736" s="155">
        <f t="shared" si="435"/>
        <v>0</v>
      </c>
      <c r="O736" s="155">
        <f t="shared" si="435"/>
        <v>0</v>
      </c>
      <c r="P736" s="155">
        <f t="shared" si="435"/>
        <v>0</v>
      </c>
      <c r="Q736" s="155">
        <f t="shared" si="435"/>
        <v>0</v>
      </c>
      <c r="R736" s="155">
        <f t="shared" si="435"/>
        <v>0</v>
      </c>
      <c r="S736" s="155">
        <f t="shared" si="435"/>
        <v>0</v>
      </c>
      <c r="T736" s="155">
        <f t="shared" si="435"/>
        <v>0</v>
      </c>
      <c r="U736" s="155">
        <f t="shared" si="435"/>
        <v>0</v>
      </c>
      <c r="V736" s="155">
        <f t="shared" si="435"/>
        <v>0</v>
      </c>
      <c r="W736" s="155">
        <f t="shared" si="435"/>
        <v>0</v>
      </c>
      <c r="X736" s="155">
        <f t="shared" si="435"/>
        <v>0</v>
      </c>
      <c r="Y736" s="155">
        <f t="shared" si="435"/>
        <v>0</v>
      </c>
      <c r="Z736" s="155">
        <f t="shared" si="435"/>
        <v>0</v>
      </c>
      <c r="AA736" s="155">
        <f t="shared" si="435"/>
        <v>0</v>
      </c>
      <c r="AB736" s="155">
        <f t="shared" si="435"/>
        <v>0</v>
      </c>
      <c r="AC736" s="155">
        <f t="shared" si="435"/>
        <v>0</v>
      </c>
      <c r="AD736" s="155">
        <f t="shared" si="435"/>
        <v>0</v>
      </c>
      <c r="AE736" s="155">
        <f t="shared" si="435"/>
        <v>0</v>
      </c>
      <c r="AF736" s="155">
        <f t="shared" si="435"/>
        <v>0</v>
      </c>
      <c r="AG736" s="155">
        <f t="shared" si="435"/>
        <v>0</v>
      </c>
      <c r="AH736" s="155">
        <f t="shared" si="435"/>
        <v>0</v>
      </c>
      <c r="AI736" s="155">
        <f t="shared" si="435"/>
        <v>0</v>
      </c>
      <c r="AJ736" s="155">
        <f t="shared" si="435"/>
        <v>0</v>
      </c>
      <c r="AK736" s="155">
        <f t="shared" si="435"/>
        <v>0</v>
      </c>
      <c r="AL736" s="155">
        <f t="shared" si="435"/>
        <v>0</v>
      </c>
      <c r="AM736" s="155">
        <f t="shared" si="435"/>
        <v>0</v>
      </c>
      <c r="AN736" s="155">
        <f t="shared" si="435"/>
        <v>0</v>
      </c>
      <c r="AO736" s="155">
        <f t="shared" si="435"/>
        <v>0</v>
      </c>
      <c r="AP736" s="155">
        <f t="shared" si="435"/>
        <v>0</v>
      </c>
    </row>
    <row r="737" spans="1:42" x14ac:dyDescent="0.2">
      <c r="A737" s="4">
        <f>A736+1</f>
        <v>2</v>
      </c>
      <c r="B737" s="174">
        <f t="shared" si="434"/>
        <v>0</v>
      </c>
      <c r="C737" s="155">
        <f t="shared" ref="C737:AP737" si="436">IF(AND(C$2&gt;equip3_reserve_freq*$A724,C$2&lt;=equip3_reserve_freq*$A725),$B725/(equip3_reserve_freq),0)</f>
        <v>0</v>
      </c>
      <c r="D737" s="155">
        <f t="shared" si="436"/>
        <v>0</v>
      </c>
      <c r="E737" s="155">
        <f t="shared" si="436"/>
        <v>0</v>
      </c>
      <c r="F737" s="155">
        <f t="shared" si="436"/>
        <v>0</v>
      </c>
      <c r="G737" s="155">
        <f t="shared" si="436"/>
        <v>0</v>
      </c>
      <c r="H737" s="155">
        <f t="shared" si="436"/>
        <v>0</v>
      </c>
      <c r="I737" s="155">
        <f t="shared" si="436"/>
        <v>0</v>
      </c>
      <c r="J737" s="155">
        <f t="shared" si="436"/>
        <v>0</v>
      </c>
      <c r="K737" s="155">
        <f t="shared" si="436"/>
        <v>0</v>
      </c>
      <c r="L737" s="155">
        <f t="shared" si="436"/>
        <v>0</v>
      </c>
      <c r="M737" s="155">
        <f t="shared" si="436"/>
        <v>0</v>
      </c>
      <c r="N737" s="155">
        <f t="shared" si="436"/>
        <v>0</v>
      </c>
      <c r="O737" s="155">
        <f t="shared" si="436"/>
        <v>0</v>
      </c>
      <c r="P737" s="155">
        <f t="shared" si="436"/>
        <v>0</v>
      </c>
      <c r="Q737" s="155">
        <f t="shared" si="436"/>
        <v>0</v>
      </c>
      <c r="R737" s="155">
        <f t="shared" si="436"/>
        <v>0</v>
      </c>
      <c r="S737" s="155">
        <f t="shared" si="436"/>
        <v>0</v>
      </c>
      <c r="T737" s="155">
        <f t="shared" si="436"/>
        <v>0</v>
      </c>
      <c r="U737" s="155">
        <f t="shared" si="436"/>
        <v>0</v>
      </c>
      <c r="V737" s="155">
        <f t="shared" si="436"/>
        <v>0</v>
      </c>
      <c r="W737" s="155">
        <f t="shared" si="436"/>
        <v>0</v>
      </c>
      <c r="X737" s="155">
        <f t="shared" si="436"/>
        <v>0</v>
      </c>
      <c r="Y737" s="155">
        <f t="shared" si="436"/>
        <v>0</v>
      </c>
      <c r="Z737" s="155">
        <f t="shared" si="436"/>
        <v>0</v>
      </c>
      <c r="AA737" s="155">
        <f t="shared" si="436"/>
        <v>0</v>
      </c>
      <c r="AB737" s="155">
        <f t="shared" si="436"/>
        <v>0</v>
      </c>
      <c r="AC737" s="155">
        <f t="shared" si="436"/>
        <v>0</v>
      </c>
      <c r="AD737" s="155">
        <f t="shared" si="436"/>
        <v>0</v>
      </c>
      <c r="AE737" s="155">
        <f t="shared" si="436"/>
        <v>0</v>
      </c>
      <c r="AF737" s="155">
        <f t="shared" si="436"/>
        <v>0</v>
      </c>
      <c r="AG737" s="155">
        <f t="shared" si="436"/>
        <v>0</v>
      </c>
      <c r="AH737" s="155">
        <f t="shared" si="436"/>
        <v>0</v>
      </c>
      <c r="AI737" s="155">
        <f t="shared" si="436"/>
        <v>0</v>
      </c>
      <c r="AJ737" s="155">
        <f t="shared" si="436"/>
        <v>0</v>
      </c>
      <c r="AK737" s="155">
        <f t="shared" si="436"/>
        <v>0</v>
      </c>
      <c r="AL737" s="155">
        <f t="shared" si="436"/>
        <v>0</v>
      </c>
      <c r="AM737" s="155">
        <f t="shared" si="436"/>
        <v>0</v>
      </c>
      <c r="AN737" s="155">
        <f t="shared" si="436"/>
        <v>0</v>
      </c>
      <c r="AO737" s="155">
        <f t="shared" si="436"/>
        <v>0</v>
      </c>
      <c r="AP737" s="155">
        <f t="shared" si="436"/>
        <v>0</v>
      </c>
    </row>
    <row r="738" spans="1:42" x14ac:dyDescent="0.2">
      <c r="A738" s="4">
        <f t="shared" ref="A738:A743" si="437">A737+1</f>
        <v>3</v>
      </c>
      <c r="B738" s="174">
        <f t="shared" si="434"/>
        <v>0</v>
      </c>
      <c r="C738" s="155">
        <f t="shared" ref="C738:AP738" si="438">IF(AND(C$2&gt;equip3_reserve_freq*$A725,C$2&lt;=equip3_reserve_freq*$A726),$B726/(equip3_reserve_freq),0)</f>
        <v>0</v>
      </c>
      <c r="D738" s="155">
        <f t="shared" si="438"/>
        <v>0</v>
      </c>
      <c r="E738" s="155">
        <f t="shared" si="438"/>
        <v>0</v>
      </c>
      <c r="F738" s="155">
        <f t="shared" si="438"/>
        <v>0</v>
      </c>
      <c r="G738" s="155">
        <f t="shared" si="438"/>
        <v>0</v>
      </c>
      <c r="H738" s="155">
        <f t="shared" si="438"/>
        <v>0</v>
      </c>
      <c r="I738" s="155">
        <f t="shared" si="438"/>
        <v>0</v>
      </c>
      <c r="J738" s="155">
        <f t="shared" si="438"/>
        <v>0</v>
      </c>
      <c r="K738" s="155">
        <f t="shared" si="438"/>
        <v>0</v>
      </c>
      <c r="L738" s="155">
        <f t="shared" si="438"/>
        <v>0</v>
      </c>
      <c r="M738" s="155">
        <f t="shared" si="438"/>
        <v>0</v>
      </c>
      <c r="N738" s="155">
        <f t="shared" si="438"/>
        <v>0</v>
      </c>
      <c r="O738" s="155">
        <f t="shared" si="438"/>
        <v>0</v>
      </c>
      <c r="P738" s="155">
        <f t="shared" si="438"/>
        <v>0</v>
      </c>
      <c r="Q738" s="155">
        <f t="shared" si="438"/>
        <v>0</v>
      </c>
      <c r="R738" s="155">
        <f t="shared" si="438"/>
        <v>0</v>
      </c>
      <c r="S738" s="155">
        <f t="shared" si="438"/>
        <v>0</v>
      </c>
      <c r="T738" s="155">
        <f t="shared" si="438"/>
        <v>0</v>
      </c>
      <c r="U738" s="155">
        <f t="shared" si="438"/>
        <v>0</v>
      </c>
      <c r="V738" s="155">
        <f t="shared" si="438"/>
        <v>0</v>
      </c>
      <c r="W738" s="155">
        <f t="shared" si="438"/>
        <v>0</v>
      </c>
      <c r="X738" s="155">
        <f t="shared" si="438"/>
        <v>0</v>
      </c>
      <c r="Y738" s="155">
        <f t="shared" si="438"/>
        <v>0</v>
      </c>
      <c r="Z738" s="155">
        <f t="shared" si="438"/>
        <v>0</v>
      </c>
      <c r="AA738" s="155">
        <f t="shared" si="438"/>
        <v>0</v>
      </c>
      <c r="AB738" s="155">
        <f t="shared" si="438"/>
        <v>0</v>
      </c>
      <c r="AC738" s="155">
        <f t="shared" si="438"/>
        <v>0</v>
      </c>
      <c r="AD738" s="155">
        <f t="shared" si="438"/>
        <v>0</v>
      </c>
      <c r="AE738" s="155">
        <f t="shared" si="438"/>
        <v>0</v>
      </c>
      <c r="AF738" s="155">
        <f t="shared" si="438"/>
        <v>0</v>
      </c>
      <c r="AG738" s="155">
        <f t="shared" si="438"/>
        <v>0</v>
      </c>
      <c r="AH738" s="155">
        <f t="shared" si="438"/>
        <v>0</v>
      </c>
      <c r="AI738" s="155">
        <f t="shared" si="438"/>
        <v>0</v>
      </c>
      <c r="AJ738" s="155">
        <f t="shared" si="438"/>
        <v>0</v>
      </c>
      <c r="AK738" s="155">
        <f t="shared" si="438"/>
        <v>0</v>
      </c>
      <c r="AL738" s="155">
        <f t="shared" si="438"/>
        <v>0</v>
      </c>
      <c r="AM738" s="155">
        <f t="shared" si="438"/>
        <v>0</v>
      </c>
      <c r="AN738" s="155">
        <f t="shared" si="438"/>
        <v>0</v>
      </c>
      <c r="AO738" s="155">
        <f t="shared" si="438"/>
        <v>0</v>
      </c>
      <c r="AP738" s="155">
        <f t="shared" si="438"/>
        <v>0</v>
      </c>
    </row>
    <row r="739" spans="1:42" x14ac:dyDescent="0.2">
      <c r="A739" s="4">
        <f t="shared" si="437"/>
        <v>4</v>
      </c>
      <c r="B739" s="174">
        <f t="shared" si="434"/>
        <v>0</v>
      </c>
      <c r="C739" s="155">
        <f t="shared" ref="C739:AP739" si="439">IF(AND(C$2&gt;equip3_reserve_freq*$A726,C$2&lt;=equip3_reserve_freq*$A727),$B727/(equip3_reserve_freq),0)</f>
        <v>0</v>
      </c>
      <c r="D739" s="155">
        <f t="shared" si="439"/>
        <v>0</v>
      </c>
      <c r="E739" s="155">
        <f t="shared" si="439"/>
        <v>0</v>
      </c>
      <c r="F739" s="155">
        <f t="shared" si="439"/>
        <v>0</v>
      </c>
      <c r="G739" s="155">
        <f t="shared" si="439"/>
        <v>0</v>
      </c>
      <c r="H739" s="155">
        <f t="shared" si="439"/>
        <v>0</v>
      </c>
      <c r="I739" s="155">
        <f t="shared" si="439"/>
        <v>0</v>
      </c>
      <c r="J739" s="155">
        <f t="shared" si="439"/>
        <v>0</v>
      </c>
      <c r="K739" s="155">
        <f t="shared" si="439"/>
        <v>0</v>
      </c>
      <c r="L739" s="155">
        <f t="shared" si="439"/>
        <v>0</v>
      </c>
      <c r="M739" s="155">
        <f t="shared" si="439"/>
        <v>0</v>
      </c>
      <c r="N739" s="155">
        <f t="shared" si="439"/>
        <v>0</v>
      </c>
      <c r="O739" s="155">
        <f t="shared" si="439"/>
        <v>0</v>
      </c>
      <c r="P739" s="155">
        <f t="shared" si="439"/>
        <v>0</v>
      </c>
      <c r="Q739" s="155">
        <f t="shared" si="439"/>
        <v>0</v>
      </c>
      <c r="R739" s="155">
        <f t="shared" si="439"/>
        <v>0</v>
      </c>
      <c r="S739" s="155">
        <f t="shared" si="439"/>
        <v>0</v>
      </c>
      <c r="T739" s="155">
        <f t="shared" si="439"/>
        <v>0</v>
      </c>
      <c r="U739" s="155">
        <f t="shared" si="439"/>
        <v>0</v>
      </c>
      <c r="V739" s="155">
        <f t="shared" si="439"/>
        <v>0</v>
      </c>
      <c r="W739" s="155">
        <f t="shared" si="439"/>
        <v>0</v>
      </c>
      <c r="X739" s="155">
        <f t="shared" si="439"/>
        <v>0</v>
      </c>
      <c r="Y739" s="155">
        <f t="shared" si="439"/>
        <v>0</v>
      </c>
      <c r="Z739" s="155">
        <f t="shared" si="439"/>
        <v>0</v>
      </c>
      <c r="AA739" s="155">
        <f t="shared" si="439"/>
        <v>0</v>
      </c>
      <c r="AB739" s="155">
        <f t="shared" si="439"/>
        <v>0</v>
      </c>
      <c r="AC739" s="155">
        <f t="shared" si="439"/>
        <v>0</v>
      </c>
      <c r="AD739" s="155">
        <f t="shared" si="439"/>
        <v>0</v>
      </c>
      <c r="AE739" s="155">
        <f t="shared" si="439"/>
        <v>0</v>
      </c>
      <c r="AF739" s="155">
        <f t="shared" si="439"/>
        <v>0</v>
      </c>
      <c r="AG739" s="155">
        <f t="shared" si="439"/>
        <v>0</v>
      </c>
      <c r="AH739" s="155">
        <f t="shared" si="439"/>
        <v>0</v>
      </c>
      <c r="AI739" s="155">
        <f t="shared" si="439"/>
        <v>0</v>
      </c>
      <c r="AJ739" s="155">
        <f t="shared" si="439"/>
        <v>0</v>
      </c>
      <c r="AK739" s="155">
        <f t="shared" si="439"/>
        <v>0</v>
      </c>
      <c r="AL739" s="155">
        <f t="shared" si="439"/>
        <v>0</v>
      </c>
      <c r="AM739" s="155">
        <f t="shared" si="439"/>
        <v>0</v>
      </c>
      <c r="AN739" s="155">
        <f t="shared" si="439"/>
        <v>0</v>
      </c>
      <c r="AO739" s="155">
        <f t="shared" si="439"/>
        <v>0</v>
      </c>
      <c r="AP739" s="155">
        <f t="shared" si="439"/>
        <v>0</v>
      </c>
    </row>
    <row r="740" spans="1:42" x14ac:dyDescent="0.2">
      <c r="A740" s="4">
        <f t="shared" si="437"/>
        <v>5</v>
      </c>
      <c r="B740" s="174">
        <f t="shared" si="434"/>
        <v>0</v>
      </c>
      <c r="C740" s="155">
        <f t="shared" ref="C740:AP740" si="440">IF(AND(C$2&gt;equip3_reserve_freq*$A727,C$2&lt;=equip3_reserve_freq*$A728),$B728/(equip3_reserve_freq),0)</f>
        <v>0</v>
      </c>
      <c r="D740" s="155">
        <f t="shared" si="440"/>
        <v>0</v>
      </c>
      <c r="E740" s="155">
        <f t="shared" si="440"/>
        <v>0</v>
      </c>
      <c r="F740" s="155">
        <f t="shared" si="440"/>
        <v>0</v>
      </c>
      <c r="G740" s="155">
        <f t="shared" si="440"/>
        <v>0</v>
      </c>
      <c r="H740" s="155">
        <f t="shared" si="440"/>
        <v>0</v>
      </c>
      <c r="I740" s="155">
        <f t="shared" si="440"/>
        <v>0</v>
      </c>
      <c r="J740" s="155">
        <f t="shared" si="440"/>
        <v>0</v>
      </c>
      <c r="K740" s="155">
        <f t="shared" si="440"/>
        <v>0</v>
      </c>
      <c r="L740" s="155">
        <f t="shared" si="440"/>
        <v>0</v>
      </c>
      <c r="M740" s="155">
        <f t="shared" si="440"/>
        <v>0</v>
      </c>
      <c r="N740" s="155">
        <f t="shared" si="440"/>
        <v>0</v>
      </c>
      <c r="O740" s="155">
        <f t="shared" si="440"/>
        <v>0</v>
      </c>
      <c r="P740" s="155">
        <f t="shared" si="440"/>
        <v>0</v>
      </c>
      <c r="Q740" s="155">
        <f t="shared" si="440"/>
        <v>0</v>
      </c>
      <c r="R740" s="155">
        <f t="shared" si="440"/>
        <v>0</v>
      </c>
      <c r="S740" s="155">
        <f t="shared" si="440"/>
        <v>0</v>
      </c>
      <c r="T740" s="155">
        <f t="shared" si="440"/>
        <v>0</v>
      </c>
      <c r="U740" s="155">
        <f t="shared" si="440"/>
        <v>0</v>
      </c>
      <c r="V740" s="155">
        <f t="shared" si="440"/>
        <v>0</v>
      </c>
      <c r="W740" s="155">
        <f t="shared" si="440"/>
        <v>0</v>
      </c>
      <c r="X740" s="155">
        <f t="shared" si="440"/>
        <v>0</v>
      </c>
      <c r="Y740" s="155">
        <f t="shared" si="440"/>
        <v>0</v>
      </c>
      <c r="Z740" s="155">
        <f t="shared" si="440"/>
        <v>0</v>
      </c>
      <c r="AA740" s="155">
        <f t="shared" si="440"/>
        <v>0</v>
      </c>
      <c r="AB740" s="155">
        <f t="shared" si="440"/>
        <v>0</v>
      </c>
      <c r="AC740" s="155">
        <f t="shared" si="440"/>
        <v>0</v>
      </c>
      <c r="AD740" s="155">
        <f t="shared" si="440"/>
        <v>0</v>
      </c>
      <c r="AE740" s="155">
        <f t="shared" si="440"/>
        <v>0</v>
      </c>
      <c r="AF740" s="155">
        <f t="shared" si="440"/>
        <v>0</v>
      </c>
      <c r="AG740" s="155">
        <f t="shared" si="440"/>
        <v>0</v>
      </c>
      <c r="AH740" s="155">
        <f t="shared" si="440"/>
        <v>0</v>
      </c>
      <c r="AI740" s="155">
        <f t="shared" si="440"/>
        <v>0</v>
      </c>
      <c r="AJ740" s="155">
        <f t="shared" si="440"/>
        <v>0</v>
      </c>
      <c r="AK740" s="155">
        <f t="shared" si="440"/>
        <v>0</v>
      </c>
      <c r="AL740" s="155">
        <f t="shared" si="440"/>
        <v>0</v>
      </c>
      <c r="AM740" s="155">
        <f t="shared" si="440"/>
        <v>0</v>
      </c>
      <c r="AN740" s="155">
        <f t="shared" si="440"/>
        <v>0</v>
      </c>
      <c r="AO740" s="155">
        <f t="shared" si="440"/>
        <v>0</v>
      </c>
      <c r="AP740" s="155">
        <f t="shared" si="440"/>
        <v>0</v>
      </c>
    </row>
    <row r="741" spans="1:42" x14ac:dyDescent="0.2">
      <c r="A741" s="4">
        <f t="shared" si="437"/>
        <v>6</v>
      </c>
      <c r="B741" s="174">
        <f t="shared" si="434"/>
        <v>0</v>
      </c>
      <c r="C741" s="155">
        <f t="shared" ref="C741:AP741" si="441">IF(AND(C$2&gt;equip3_reserve_freq*$A728,C$2&lt;=equip3_reserve_freq*$A729),$B729/(equip3_reserve_freq),0)</f>
        <v>0</v>
      </c>
      <c r="D741" s="155">
        <f t="shared" si="441"/>
        <v>0</v>
      </c>
      <c r="E741" s="155">
        <f t="shared" si="441"/>
        <v>0</v>
      </c>
      <c r="F741" s="155">
        <f t="shared" si="441"/>
        <v>0</v>
      </c>
      <c r="G741" s="155">
        <f t="shared" si="441"/>
        <v>0</v>
      </c>
      <c r="H741" s="155">
        <f t="shared" si="441"/>
        <v>0</v>
      </c>
      <c r="I741" s="155">
        <f t="shared" si="441"/>
        <v>0</v>
      </c>
      <c r="J741" s="155">
        <f t="shared" si="441"/>
        <v>0</v>
      </c>
      <c r="K741" s="155">
        <f t="shared" si="441"/>
        <v>0</v>
      </c>
      <c r="L741" s="155">
        <f t="shared" si="441"/>
        <v>0</v>
      </c>
      <c r="M741" s="155">
        <f t="shared" si="441"/>
        <v>0</v>
      </c>
      <c r="N741" s="155">
        <f t="shared" si="441"/>
        <v>0</v>
      </c>
      <c r="O741" s="155">
        <f t="shared" si="441"/>
        <v>0</v>
      </c>
      <c r="P741" s="155">
        <f t="shared" si="441"/>
        <v>0</v>
      </c>
      <c r="Q741" s="155">
        <f t="shared" si="441"/>
        <v>0</v>
      </c>
      <c r="R741" s="155">
        <f t="shared" si="441"/>
        <v>0</v>
      </c>
      <c r="S741" s="155">
        <f t="shared" si="441"/>
        <v>0</v>
      </c>
      <c r="T741" s="155">
        <f t="shared" si="441"/>
        <v>0</v>
      </c>
      <c r="U741" s="155">
        <f t="shared" si="441"/>
        <v>0</v>
      </c>
      <c r="V741" s="155">
        <f t="shared" si="441"/>
        <v>0</v>
      </c>
      <c r="W741" s="155">
        <f t="shared" si="441"/>
        <v>0</v>
      </c>
      <c r="X741" s="155">
        <f t="shared" si="441"/>
        <v>0</v>
      </c>
      <c r="Y741" s="155">
        <f t="shared" si="441"/>
        <v>0</v>
      </c>
      <c r="Z741" s="155">
        <f t="shared" si="441"/>
        <v>0</v>
      </c>
      <c r="AA741" s="155">
        <f t="shared" si="441"/>
        <v>0</v>
      </c>
      <c r="AB741" s="155">
        <f t="shared" si="441"/>
        <v>0</v>
      </c>
      <c r="AC741" s="155">
        <f t="shared" si="441"/>
        <v>0</v>
      </c>
      <c r="AD741" s="155">
        <f t="shared" si="441"/>
        <v>0</v>
      </c>
      <c r="AE741" s="155">
        <f t="shared" si="441"/>
        <v>0</v>
      </c>
      <c r="AF741" s="155">
        <f t="shared" si="441"/>
        <v>0</v>
      </c>
      <c r="AG741" s="155">
        <f t="shared" si="441"/>
        <v>0</v>
      </c>
      <c r="AH741" s="155">
        <f t="shared" si="441"/>
        <v>0</v>
      </c>
      <c r="AI741" s="155">
        <f t="shared" si="441"/>
        <v>0</v>
      </c>
      <c r="AJ741" s="155">
        <f t="shared" si="441"/>
        <v>0</v>
      </c>
      <c r="AK741" s="155">
        <f t="shared" si="441"/>
        <v>0</v>
      </c>
      <c r="AL741" s="155">
        <f t="shared" si="441"/>
        <v>0</v>
      </c>
      <c r="AM741" s="155">
        <f t="shared" si="441"/>
        <v>0</v>
      </c>
      <c r="AN741" s="155">
        <f t="shared" si="441"/>
        <v>0</v>
      </c>
      <c r="AO741" s="155">
        <f t="shared" si="441"/>
        <v>0</v>
      </c>
      <c r="AP741" s="155">
        <f t="shared" si="441"/>
        <v>0</v>
      </c>
    </row>
    <row r="742" spans="1:42" x14ac:dyDescent="0.2">
      <c r="A742" s="4">
        <f t="shared" si="437"/>
        <v>7</v>
      </c>
      <c r="B742" s="174">
        <f t="shared" si="434"/>
        <v>0</v>
      </c>
      <c r="C742" s="155">
        <f t="shared" ref="C742:AP742" si="442">IF(AND(C$2&gt;equip3_reserve_freq*$A729,C$2&lt;=equip3_reserve_freq*$A730),$B730/(equip3_reserve_freq),0)</f>
        <v>0</v>
      </c>
      <c r="D742" s="155">
        <f t="shared" si="442"/>
        <v>0</v>
      </c>
      <c r="E742" s="155">
        <f t="shared" si="442"/>
        <v>0</v>
      </c>
      <c r="F742" s="155">
        <f t="shared" si="442"/>
        <v>0</v>
      </c>
      <c r="G742" s="155">
        <f t="shared" si="442"/>
        <v>0</v>
      </c>
      <c r="H742" s="155">
        <f t="shared" si="442"/>
        <v>0</v>
      </c>
      <c r="I742" s="155">
        <f t="shared" si="442"/>
        <v>0</v>
      </c>
      <c r="J742" s="155">
        <f t="shared" si="442"/>
        <v>0</v>
      </c>
      <c r="K742" s="155">
        <f t="shared" si="442"/>
        <v>0</v>
      </c>
      <c r="L742" s="155">
        <f t="shared" si="442"/>
        <v>0</v>
      </c>
      <c r="M742" s="155">
        <f t="shared" si="442"/>
        <v>0</v>
      </c>
      <c r="N742" s="155">
        <f t="shared" si="442"/>
        <v>0</v>
      </c>
      <c r="O742" s="155">
        <f t="shared" si="442"/>
        <v>0</v>
      </c>
      <c r="P742" s="155">
        <f t="shared" si="442"/>
        <v>0</v>
      </c>
      <c r="Q742" s="155">
        <f t="shared" si="442"/>
        <v>0</v>
      </c>
      <c r="R742" s="155">
        <f t="shared" si="442"/>
        <v>0</v>
      </c>
      <c r="S742" s="155">
        <f t="shared" si="442"/>
        <v>0</v>
      </c>
      <c r="T742" s="155">
        <f t="shared" si="442"/>
        <v>0</v>
      </c>
      <c r="U742" s="155">
        <f t="shared" si="442"/>
        <v>0</v>
      </c>
      <c r="V742" s="155">
        <f t="shared" si="442"/>
        <v>0</v>
      </c>
      <c r="W742" s="155">
        <f t="shared" si="442"/>
        <v>0</v>
      </c>
      <c r="X742" s="155">
        <f t="shared" si="442"/>
        <v>0</v>
      </c>
      <c r="Y742" s="155">
        <f t="shared" si="442"/>
        <v>0</v>
      </c>
      <c r="Z742" s="155">
        <f t="shared" si="442"/>
        <v>0</v>
      </c>
      <c r="AA742" s="155">
        <f t="shared" si="442"/>
        <v>0</v>
      </c>
      <c r="AB742" s="155">
        <f t="shared" si="442"/>
        <v>0</v>
      </c>
      <c r="AC742" s="155">
        <f t="shared" si="442"/>
        <v>0</v>
      </c>
      <c r="AD742" s="155">
        <f t="shared" si="442"/>
        <v>0</v>
      </c>
      <c r="AE742" s="155">
        <f t="shared" si="442"/>
        <v>0</v>
      </c>
      <c r="AF742" s="155">
        <f t="shared" si="442"/>
        <v>0</v>
      </c>
      <c r="AG742" s="155">
        <f t="shared" si="442"/>
        <v>0</v>
      </c>
      <c r="AH742" s="155">
        <f t="shared" si="442"/>
        <v>0</v>
      </c>
      <c r="AI742" s="155">
        <f t="shared" si="442"/>
        <v>0</v>
      </c>
      <c r="AJ742" s="155">
        <f t="shared" si="442"/>
        <v>0</v>
      </c>
      <c r="AK742" s="155">
        <f t="shared" si="442"/>
        <v>0</v>
      </c>
      <c r="AL742" s="155">
        <f t="shared" si="442"/>
        <v>0</v>
      </c>
      <c r="AM742" s="155">
        <f t="shared" si="442"/>
        <v>0</v>
      </c>
      <c r="AN742" s="155">
        <f t="shared" si="442"/>
        <v>0</v>
      </c>
      <c r="AO742" s="155">
        <f t="shared" si="442"/>
        <v>0</v>
      </c>
      <c r="AP742" s="155">
        <f t="shared" si="442"/>
        <v>0</v>
      </c>
    </row>
    <row r="743" spans="1:42" x14ac:dyDescent="0.2">
      <c r="A743" s="4">
        <f t="shared" si="437"/>
        <v>8</v>
      </c>
      <c r="B743" s="174">
        <f t="shared" si="434"/>
        <v>0</v>
      </c>
      <c r="C743" s="155">
        <f t="shared" ref="C743:AP743" si="443">IF(AND(C$2&gt;equip3_reserve_freq*$A730,C$2&lt;=equip3_reserve_freq*$A731),$B731/(equip3_reserve_freq),0)</f>
        <v>0</v>
      </c>
      <c r="D743" s="155">
        <f t="shared" si="443"/>
        <v>0</v>
      </c>
      <c r="E743" s="155">
        <f t="shared" si="443"/>
        <v>0</v>
      </c>
      <c r="F743" s="155">
        <f t="shared" si="443"/>
        <v>0</v>
      </c>
      <c r="G743" s="155">
        <f t="shared" si="443"/>
        <v>0</v>
      </c>
      <c r="H743" s="155">
        <f t="shared" si="443"/>
        <v>0</v>
      </c>
      <c r="I743" s="155">
        <f t="shared" si="443"/>
        <v>0</v>
      </c>
      <c r="J743" s="155">
        <f t="shared" si="443"/>
        <v>0</v>
      </c>
      <c r="K743" s="155">
        <f t="shared" si="443"/>
        <v>0</v>
      </c>
      <c r="L743" s="155">
        <f t="shared" si="443"/>
        <v>0</v>
      </c>
      <c r="M743" s="155">
        <f t="shared" si="443"/>
        <v>0</v>
      </c>
      <c r="N743" s="155">
        <f t="shared" si="443"/>
        <v>0</v>
      </c>
      <c r="O743" s="155">
        <f t="shared" si="443"/>
        <v>0</v>
      </c>
      <c r="P743" s="155">
        <f t="shared" si="443"/>
        <v>0</v>
      </c>
      <c r="Q743" s="155">
        <f t="shared" si="443"/>
        <v>0</v>
      </c>
      <c r="R743" s="155">
        <f t="shared" si="443"/>
        <v>0</v>
      </c>
      <c r="S743" s="155">
        <f t="shared" si="443"/>
        <v>0</v>
      </c>
      <c r="T743" s="155">
        <f t="shared" si="443"/>
        <v>0</v>
      </c>
      <c r="U743" s="155">
        <f t="shared" si="443"/>
        <v>0</v>
      </c>
      <c r="V743" s="155">
        <f t="shared" si="443"/>
        <v>0</v>
      </c>
      <c r="W743" s="155">
        <f t="shared" si="443"/>
        <v>0</v>
      </c>
      <c r="X743" s="155">
        <f t="shared" si="443"/>
        <v>0</v>
      </c>
      <c r="Y743" s="155">
        <f t="shared" si="443"/>
        <v>0</v>
      </c>
      <c r="Z743" s="155">
        <f t="shared" si="443"/>
        <v>0</v>
      </c>
      <c r="AA743" s="155">
        <f t="shared" si="443"/>
        <v>0</v>
      </c>
      <c r="AB743" s="155">
        <f t="shared" si="443"/>
        <v>0</v>
      </c>
      <c r="AC743" s="155">
        <f t="shared" si="443"/>
        <v>0</v>
      </c>
      <c r="AD743" s="155">
        <f t="shared" si="443"/>
        <v>0</v>
      </c>
      <c r="AE743" s="155">
        <f t="shared" si="443"/>
        <v>0</v>
      </c>
      <c r="AF743" s="155">
        <f t="shared" si="443"/>
        <v>0</v>
      </c>
      <c r="AG743" s="155">
        <f t="shared" si="443"/>
        <v>0</v>
      </c>
      <c r="AH743" s="155">
        <f t="shared" si="443"/>
        <v>0</v>
      </c>
      <c r="AI743" s="155">
        <f t="shared" si="443"/>
        <v>0</v>
      </c>
      <c r="AJ743" s="155">
        <f t="shared" si="443"/>
        <v>0</v>
      </c>
      <c r="AK743" s="155">
        <f t="shared" si="443"/>
        <v>0</v>
      </c>
      <c r="AL743" s="155">
        <f t="shared" si="443"/>
        <v>0</v>
      </c>
      <c r="AM743" s="155">
        <f t="shared" si="443"/>
        <v>0</v>
      </c>
      <c r="AN743" s="155">
        <f t="shared" si="443"/>
        <v>0</v>
      </c>
      <c r="AO743" s="155">
        <f t="shared" si="443"/>
        <v>0</v>
      </c>
      <c r="AP743" s="155">
        <f t="shared" si="443"/>
        <v>0</v>
      </c>
    </row>
    <row r="744" spans="1:42" x14ac:dyDescent="0.2">
      <c r="A744" s="4">
        <f>A743+1</f>
        <v>9</v>
      </c>
      <c r="B744" s="174">
        <f t="shared" si="434"/>
        <v>0</v>
      </c>
      <c r="C744" s="155">
        <f t="shared" ref="C744:AP744" si="444">IF(AND(C$2&gt;equip3_reserve_freq*$A731,C$2&lt;=equip3_reserve_freq*$A732),$B732/(equip3_reserve_freq),0)</f>
        <v>0</v>
      </c>
      <c r="D744" s="155">
        <f t="shared" si="444"/>
        <v>0</v>
      </c>
      <c r="E744" s="155">
        <f t="shared" si="444"/>
        <v>0</v>
      </c>
      <c r="F744" s="155">
        <f t="shared" si="444"/>
        <v>0</v>
      </c>
      <c r="G744" s="155">
        <f t="shared" si="444"/>
        <v>0</v>
      </c>
      <c r="H744" s="155">
        <f t="shared" si="444"/>
        <v>0</v>
      </c>
      <c r="I744" s="155">
        <f t="shared" si="444"/>
        <v>0</v>
      </c>
      <c r="J744" s="155">
        <f t="shared" si="444"/>
        <v>0</v>
      </c>
      <c r="K744" s="155">
        <f t="shared" si="444"/>
        <v>0</v>
      </c>
      <c r="L744" s="155">
        <f t="shared" si="444"/>
        <v>0</v>
      </c>
      <c r="M744" s="155">
        <f t="shared" si="444"/>
        <v>0</v>
      </c>
      <c r="N744" s="155">
        <f t="shared" si="444"/>
        <v>0</v>
      </c>
      <c r="O744" s="155">
        <f t="shared" si="444"/>
        <v>0</v>
      </c>
      <c r="P744" s="155">
        <f t="shared" si="444"/>
        <v>0</v>
      </c>
      <c r="Q744" s="155">
        <f t="shared" si="444"/>
        <v>0</v>
      </c>
      <c r="R744" s="155">
        <f t="shared" si="444"/>
        <v>0</v>
      </c>
      <c r="S744" s="155">
        <f t="shared" si="444"/>
        <v>0</v>
      </c>
      <c r="T744" s="155">
        <f t="shared" si="444"/>
        <v>0</v>
      </c>
      <c r="U744" s="155">
        <f t="shared" si="444"/>
        <v>0</v>
      </c>
      <c r="V744" s="155">
        <f t="shared" si="444"/>
        <v>0</v>
      </c>
      <c r="W744" s="155">
        <f t="shared" si="444"/>
        <v>0</v>
      </c>
      <c r="X744" s="155">
        <f t="shared" si="444"/>
        <v>0</v>
      </c>
      <c r="Y744" s="155">
        <f t="shared" si="444"/>
        <v>0</v>
      </c>
      <c r="Z744" s="155">
        <f t="shared" si="444"/>
        <v>0</v>
      </c>
      <c r="AA744" s="155">
        <f t="shared" si="444"/>
        <v>0</v>
      </c>
      <c r="AB744" s="155">
        <f t="shared" si="444"/>
        <v>0</v>
      </c>
      <c r="AC744" s="155">
        <f t="shared" si="444"/>
        <v>0</v>
      </c>
      <c r="AD744" s="155">
        <f t="shared" si="444"/>
        <v>0</v>
      </c>
      <c r="AE744" s="155">
        <f t="shared" si="444"/>
        <v>0</v>
      </c>
      <c r="AF744" s="155">
        <f t="shared" si="444"/>
        <v>0</v>
      </c>
      <c r="AG744" s="155">
        <f t="shared" si="444"/>
        <v>0</v>
      </c>
      <c r="AH744" s="155">
        <f t="shared" si="444"/>
        <v>0</v>
      </c>
      <c r="AI744" s="155">
        <f t="shared" si="444"/>
        <v>0</v>
      </c>
      <c r="AJ744" s="155">
        <f t="shared" si="444"/>
        <v>0</v>
      </c>
      <c r="AK744" s="155">
        <f t="shared" si="444"/>
        <v>0</v>
      </c>
      <c r="AL744" s="155">
        <f t="shared" si="444"/>
        <v>0</v>
      </c>
      <c r="AM744" s="155">
        <f t="shared" si="444"/>
        <v>0</v>
      </c>
      <c r="AN744" s="155">
        <f t="shared" si="444"/>
        <v>0</v>
      </c>
      <c r="AO744" s="155">
        <f t="shared" si="444"/>
        <v>0</v>
      </c>
      <c r="AP744" s="155">
        <f t="shared" si="444"/>
        <v>0</v>
      </c>
    </row>
    <row r="745" spans="1:42" x14ac:dyDescent="0.2">
      <c r="A745" s="4">
        <f t="shared" ref="A745" si="445">A744+1</f>
        <v>10</v>
      </c>
      <c r="B745" s="174">
        <f t="shared" si="434"/>
        <v>0</v>
      </c>
      <c r="C745" s="156">
        <f t="shared" ref="C745:AP745" si="446">IF(AND(C$2&gt;equip3_reserve_freq*$A732,C$2&lt;=equip3_reserve_freq*$A733),$B733/(equip3_reserve_freq),0)</f>
        <v>0</v>
      </c>
      <c r="D745" s="156">
        <f t="shared" si="446"/>
        <v>0</v>
      </c>
      <c r="E745" s="156">
        <f t="shared" si="446"/>
        <v>0</v>
      </c>
      <c r="F745" s="156">
        <f t="shared" si="446"/>
        <v>0</v>
      </c>
      <c r="G745" s="156">
        <f t="shared" si="446"/>
        <v>0</v>
      </c>
      <c r="H745" s="156">
        <f t="shared" si="446"/>
        <v>0</v>
      </c>
      <c r="I745" s="156">
        <f t="shared" si="446"/>
        <v>0</v>
      </c>
      <c r="J745" s="156">
        <f t="shared" si="446"/>
        <v>0</v>
      </c>
      <c r="K745" s="156">
        <f t="shared" si="446"/>
        <v>0</v>
      </c>
      <c r="L745" s="156">
        <f t="shared" si="446"/>
        <v>0</v>
      </c>
      <c r="M745" s="156">
        <f t="shared" si="446"/>
        <v>0</v>
      </c>
      <c r="N745" s="156">
        <f t="shared" si="446"/>
        <v>0</v>
      </c>
      <c r="O745" s="156">
        <f t="shared" si="446"/>
        <v>0</v>
      </c>
      <c r="P745" s="156">
        <f t="shared" si="446"/>
        <v>0</v>
      </c>
      <c r="Q745" s="156">
        <f t="shared" si="446"/>
        <v>0</v>
      </c>
      <c r="R745" s="156">
        <f t="shared" si="446"/>
        <v>0</v>
      </c>
      <c r="S745" s="156">
        <f t="shared" si="446"/>
        <v>0</v>
      </c>
      <c r="T745" s="156">
        <f t="shared" si="446"/>
        <v>0</v>
      </c>
      <c r="U745" s="156">
        <f t="shared" si="446"/>
        <v>0</v>
      </c>
      <c r="V745" s="156">
        <f t="shared" si="446"/>
        <v>0</v>
      </c>
      <c r="W745" s="156">
        <f t="shared" si="446"/>
        <v>0</v>
      </c>
      <c r="X745" s="156">
        <f t="shared" si="446"/>
        <v>0</v>
      </c>
      <c r="Y745" s="156">
        <f t="shared" si="446"/>
        <v>0</v>
      </c>
      <c r="Z745" s="156">
        <f t="shared" si="446"/>
        <v>0</v>
      </c>
      <c r="AA745" s="156">
        <f t="shared" si="446"/>
        <v>0</v>
      </c>
      <c r="AB745" s="156">
        <f t="shared" si="446"/>
        <v>0</v>
      </c>
      <c r="AC745" s="156">
        <f t="shared" si="446"/>
        <v>0</v>
      </c>
      <c r="AD745" s="156">
        <f t="shared" si="446"/>
        <v>0</v>
      </c>
      <c r="AE745" s="156">
        <f t="shared" si="446"/>
        <v>0</v>
      </c>
      <c r="AF745" s="156">
        <f t="shared" si="446"/>
        <v>0</v>
      </c>
      <c r="AG745" s="156">
        <f t="shared" si="446"/>
        <v>0</v>
      </c>
      <c r="AH745" s="156">
        <f t="shared" si="446"/>
        <v>0</v>
      </c>
      <c r="AI745" s="156">
        <f t="shared" si="446"/>
        <v>0</v>
      </c>
      <c r="AJ745" s="156">
        <f t="shared" si="446"/>
        <v>0</v>
      </c>
      <c r="AK745" s="156">
        <f t="shared" si="446"/>
        <v>0</v>
      </c>
      <c r="AL745" s="156">
        <f t="shared" si="446"/>
        <v>0</v>
      </c>
      <c r="AM745" s="156">
        <f t="shared" si="446"/>
        <v>0</v>
      </c>
      <c r="AN745" s="156">
        <f t="shared" si="446"/>
        <v>0</v>
      </c>
      <c r="AO745" s="156">
        <f t="shared" si="446"/>
        <v>0</v>
      </c>
      <c r="AP745" s="156">
        <f t="shared" si="446"/>
        <v>0</v>
      </c>
    </row>
    <row r="746" spans="1:42" x14ac:dyDescent="0.2">
      <c r="A746" s="24" t="s">
        <v>13</v>
      </c>
      <c r="B746" s="14"/>
      <c r="C746" s="155">
        <f>SUM(C736:C745)</f>
        <v>0</v>
      </c>
      <c r="D746" s="155">
        <f t="shared" ref="D746:AP746" si="447">SUM(D736:D745)</f>
        <v>0</v>
      </c>
      <c r="E746" s="155">
        <f t="shared" si="447"/>
        <v>0</v>
      </c>
      <c r="F746" s="155">
        <f t="shared" si="447"/>
        <v>0</v>
      </c>
      <c r="G746" s="155">
        <f t="shared" si="447"/>
        <v>0</v>
      </c>
      <c r="H746" s="155">
        <f t="shared" si="447"/>
        <v>0</v>
      </c>
      <c r="I746" s="155">
        <f t="shared" si="447"/>
        <v>0</v>
      </c>
      <c r="J746" s="155">
        <f t="shared" si="447"/>
        <v>0</v>
      </c>
      <c r="K746" s="155">
        <f t="shared" si="447"/>
        <v>0</v>
      </c>
      <c r="L746" s="155">
        <f t="shared" si="447"/>
        <v>0</v>
      </c>
      <c r="M746" s="155">
        <f t="shared" si="447"/>
        <v>0</v>
      </c>
      <c r="N746" s="155">
        <f t="shared" si="447"/>
        <v>0</v>
      </c>
      <c r="O746" s="155">
        <f t="shared" si="447"/>
        <v>0</v>
      </c>
      <c r="P746" s="155">
        <f t="shared" si="447"/>
        <v>0</v>
      </c>
      <c r="Q746" s="155">
        <f t="shared" si="447"/>
        <v>0</v>
      </c>
      <c r="R746" s="155">
        <f t="shared" si="447"/>
        <v>0</v>
      </c>
      <c r="S746" s="155">
        <f t="shared" si="447"/>
        <v>0</v>
      </c>
      <c r="T746" s="155">
        <f t="shared" si="447"/>
        <v>0</v>
      </c>
      <c r="U746" s="155">
        <f t="shared" si="447"/>
        <v>0</v>
      </c>
      <c r="V746" s="155">
        <f t="shared" si="447"/>
        <v>0</v>
      </c>
      <c r="W746" s="155">
        <f t="shared" si="447"/>
        <v>0</v>
      </c>
      <c r="X746" s="155">
        <f t="shared" si="447"/>
        <v>0</v>
      </c>
      <c r="Y746" s="155">
        <f t="shared" si="447"/>
        <v>0</v>
      </c>
      <c r="Z746" s="155">
        <f t="shared" si="447"/>
        <v>0</v>
      </c>
      <c r="AA746" s="155">
        <f t="shared" si="447"/>
        <v>0</v>
      </c>
      <c r="AB746" s="155">
        <f t="shared" si="447"/>
        <v>0</v>
      </c>
      <c r="AC746" s="155">
        <f t="shared" si="447"/>
        <v>0</v>
      </c>
      <c r="AD746" s="155">
        <f t="shared" si="447"/>
        <v>0</v>
      </c>
      <c r="AE746" s="155">
        <f t="shared" si="447"/>
        <v>0</v>
      </c>
      <c r="AF746" s="155">
        <f t="shared" si="447"/>
        <v>0</v>
      </c>
      <c r="AG746" s="155">
        <f t="shared" si="447"/>
        <v>0</v>
      </c>
      <c r="AH746" s="155">
        <f t="shared" si="447"/>
        <v>0</v>
      </c>
      <c r="AI746" s="155">
        <f t="shared" si="447"/>
        <v>0</v>
      </c>
      <c r="AJ746" s="155">
        <f t="shared" si="447"/>
        <v>0</v>
      </c>
      <c r="AK746" s="155">
        <f t="shared" si="447"/>
        <v>0</v>
      </c>
      <c r="AL746" s="155">
        <f t="shared" si="447"/>
        <v>0</v>
      </c>
      <c r="AM746" s="155">
        <f t="shared" si="447"/>
        <v>0</v>
      </c>
      <c r="AN746" s="155">
        <f t="shared" si="447"/>
        <v>0</v>
      </c>
      <c r="AO746" s="155">
        <f t="shared" si="447"/>
        <v>0</v>
      </c>
      <c r="AP746" s="155">
        <f t="shared" si="447"/>
        <v>0</v>
      </c>
    </row>
    <row r="748" spans="1:42" x14ac:dyDescent="0.2">
      <c r="A748" s="4" t="s">
        <v>282</v>
      </c>
    </row>
    <row r="749" spans="1:42" x14ac:dyDescent="0.2">
      <c r="A749" s="21" t="s">
        <v>283</v>
      </c>
      <c r="B749" s="155">
        <f>B638+B644+B650+B656+B688+B720</f>
        <v>0</v>
      </c>
      <c r="C749" s="155">
        <f t="shared" ref="C749:AP749" si="448">C638+C644+C650+C656+C688+C720</f>
        <v>0</v>
      </c>
      <c r="D749" s="155">
        <f t="shared" si="448"/>
        <v>0</v>
      </c>
      <c r="E749" s="155">
        <f t="shared" si="448"/>
        <v>0</v>
      </c>
      <c r="F749" s="155">
        <f t="shared" si="448"/>
        <v>0</v>
      </c>
      <c r="G749" s="155">
        <f t="shared" si="448"/>
        <v>0</v>
      </c>
      <c r="H749" s="155">
        <f t="shared" si="448"/>
        <v>0</v>
      </c>
      <c r="I749" s="155">
        <f t="shared" si="448"/>
        <v>0</v>
      </c>
      <c r="J749" s="155">
        <f t="shared" si="448"/>
        <v>0</v>
      </c>
      <c r="K749" s="155">
        <f t="shared" si="448"/>
        <v>0</v>
      </c>
      <c r="L749" s="155">
        <f t="shared" si="448"/>
        <v>0</v>
      </c>
      <c r="M749" s="155">
        <f t="shared" si="448"/>
        <v>0</v>
      </c>
      <c r="N749" s="155">
        <f t="shared" si="448"/>
        <v>0</v>
      </c>
      <c r="O749" s="155">
        <f t="shared" si="448"/>
        <v>0</v>
      </c>
      <c r="P749" s="155">
        <f t="shared" si="448"/>
        <v>0</v>
      </c>
      <c r="Q749" s="155">
        <f t="shared" si="448"/>
        <v>0</v>
      </c>
      <c r="R749" s="155">
        <f t="shared" si="448"/>
        <v>0</v>
      </c>
      <c r="S749" s="155">
        <f t="shared" si="448"/>
        <v>0</v>
      </c>
      <c r="T749" s="155">
        <f t="shared" si="448"/>
        <v>0</v>
      </c>
      <c r="U749" s="155">
        <f t="shared" si="448"/>
        <v>0</v>
      </c>
      <c r="V749" s="155">
        <f t="shared" si="448"/>
        <v>0</v>
      </c>
      <c r="W749" s="155">
        <f t="shared" si="448"/>
        <v>0</v>
      </c>
      <c r="X749" s="155">
        <f t="shared" si="448"/>
        <v>0</v>
      </c>
      <c r="Y749" s="155">
        <f t="shared" si="448"/>
        <v>0</v>
      </c>
      <c r="Z749" s="155">
        <f t="shared" si="448"/>
        <v>0</v>
      </c>
      <c r="AA749" s="155">
        <f t="shared" si="448"/>
        <v>0</v>
      </c>
      <c r="AB749" s="155">
        <f t="shared" si="448"/>
        <v>0</v>
      </c>
      <c r="AC749" s="155">
        <f t="shared" si="448"/>
        <v>0</v>
      </c>
      <c r="AD749" s="155">
        <f t="shared" si="448"/>
        <v>0</v>
      </c>
      <c r="AE749" s="155">
        <f t="shared" si="448"/>
        <v>0</v>
      </c>
      <c r="AF749" s="155">
        <f t="shared" si="448"/>
        <v>0</v>
      </c>
      <c r="AG749" s="155">
        <f t="shared" si="448"/>
        <v>0</v>
      </c>
      <c r="AH749" s="155">
        <f t="shared" si="448"/>
        <v>0</v>
      </c>
      <c r="AI749" s="155">
        <f t="shared" si="448"/>
        <v>0</v>
      </c>
      <c r="AJ749" s="155">
        <f t="shared" si="448"/>
        <v>0</v>
      </c>
      <c r="AK749" s="155">
        <f t="shared" si="448"/>
        <v>0</v>
      </c>
      <c r="AL749" s="155">
        <f t="shared" si="448"/>
        <v>0</v>
      </c>
      <c r="AM749" s="155">
        <f t="shared" si="448"/>
        <v>0</v>
      </c>
      <c r="AN749" s="155">
        <f t="shared" si="448"/>
        <v>0</v>
      </c>
      <c r="AO749" s="155">
        <f t="shared" si="448"/>
        <v>0</v>
      </c>
      <c r="AP749" s="155">
        <f t="shared" si="448"/>
        <v>0</v>
      </c>
    </row>
    <row r="750" spans="1:42" x14ac:dyDescent="0.2">
      <c r="A750" s="21" t="s">
        <v>282</v>
      </c>
      <c r="B750" s="155"/>
      <c r="C750" s="155">
        <f t="shared" ref="C750:AP750" si="449">IF(C$2&lt;=analysis_period,B749*reserves_interest/100,0)</f>
        <v>0</v>
      </c>
      <c r="D750" s="155">
        <f t="shared" si="449"/>
        <v>0</v>
      </c>
      <c r="E750" s="155">
        <f t="shared" si="449"/>
        <v>0</v>
      </c>
      <c r="F750" s="155">
        <f t="shared" si="449"/>
        <v>0</v>
      </c>
      <c r="G750" s="155">
        <f t="shared" si="449"/>
        <v>0</v>
      </c>
      <c r="H750" s="155">
        <f t="shared" si="449"/>
        <v>0</v>
      </c>
      <c r="I750" s="155">
        <f t="shared" si="449"/>
        <v>0</v>
      </c>
      <c r="J750" s="155">
        <f t="shared" si="449"/>
        <v>0</v>
      </c>
      <c r="K750" s="155">
        <f t="shared" si="449"/>
        <v>0</v>
      </c>
      <c r="L750" s="155">
        <f t="shared" si="449"/>
        <v>0</v>
      </c>
      <c r="M750" s="155">
        <f t="shared" si="449"/>
        <v>0</v>
      </c>
      <c r="N750" s="155">
        <f t="shared" si="449"/>
        <v>0</v>
      </c>
      <c r="O750" s="155">
        <f t="shared" si="449"/>
        <v>0</v>
      </c>
      <c r="P750" s="155">
        <f t="shared" si="449"/>
        <v>0</v>
      </c>
      <c r="Q750" s="155">
        <f t="shared" si="449"/>
        <v>0</v>
      </c>
      <c r="R750" s="155">
        <f t="shared" si="449"/>
        <v>0</v>
      </c>
      <c r="S750" s="155">
        <f t="shared" si="449"/>
        <v>0</v>
      </c>
      <c r="T750" s="155">
        <f t="shared" si="449"/>
        <v>0</v>
      </c>
      <c r="U750" s="155">
        <f t="shared" si="449"/>
        <v>0</v>
      </c>
      <c r="V750" s="155">
        <f t="shared" si="449"/>
        <v>0</v>
      </c>
      <c r="W750" s="155">
        <f t="shared" si="449"/>
        <v>0</v>
      </c>
      <c r="X750" s="155">
        <f t="shared" si="449"/>
        <v>0</v>
      </c>
      <c r="Y750" s="155">
        <f t="shared" si="449"/>
        <v>0</v>
      </c>
      <c r="Z750" s="155">
        <f t="shared" si="449"/>
        <v>0</v>
      </c>
      <c r="AA750" s="155">
        <f t="shared" si="449"/>
        <v>0</v>
      </c>
      <c r="AB750" s="155">
        <f t="shared" si="449"/>
        <v>0</v>
      </c>
      <c r="AC750" s="155">
        <f t="shared" si="449"/>
        <v>0</v>
      </c>
      <c r="AD750" s="155">
        <f t="shared" si="449"/>
        <v>0</v>
      </c>
      <c r="AE750" s="155">
        <f t="shared" si="449"/>
        <v>0</v>
      </c>
      <c r="AF750" s="155">
        <f t="shared" si="449"/>
        <v>0</v>
      </c>
      <c r="AG750" s="155">
        <f t="shared" si="449"/>
        <v>0</v>
      </c>
      <c r="AH750" s="155">
        <f t="shared" si="449"/>
        <v>0</v>
      </c>
      <c r="AI750" s="155">
        <f t="shared" si="449"/>
        <v>0</v>
      </c>
      <c r="AJ750" s="155">
        <f t="shared" si="449"/>
        <v>0</v>
      </c>
      <c r="AK750" s="155">
        <f t="shared" si="449"/>
        <v>0</v>
      </c>
      <c r="AL750" s="155">
        <f t="shared" si="449"/>
        <v>0</v>
      </c>
      <c r="AM750" s="155">
        <f t="shared" si="449"/>
        <v>0</v>
      </c>
      <c r="AN750" s="155">
        <f t="shared" si="449"/>
        <v>0</v>
      </c>
      <c r="AO750" s="155">
        <f t="shared" si="449"/>
        <v>0</v>
      </c>
      <c r="AP750" s="155">
        <f t="shared" si="449"/>
        <v>0</v>
      </c>
    </row>
  </sheetData>
  <mergeCells count="12">
    <mergeCell ref="M261:O261"/>
    <mergeCell ref="Q261:Q262"/>
    <mergeCell ref="B399:C399"/>
    <mergeCell ref="D399:F399"/>
    <mergeCell ref="M399:O399"/>
    <mergeCell ref="Q399:Q400"/>
    <mergeCell ref="G261:J261"/>
    <mergeCell ref="K261:L261"/>
    <mergeCell ref="G399:J399"/>
    <mergeCell ref="K399:L399"/>
    <mergeCell ref="B261:C261"/>
    <mergeCell ref="D261:F261"/>
  </mergeCells>
  <pageMargins left="0.5" right="0.5" top="0.5" bottom="0.75" header="0.3" footer="0.3"/>
  <pageSetup scale="75" pageOrder="overThenDown" orientation="landscape"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G44"/>
  <sheetViews>
    <sheetView zoomScale="90" zoomScaleNormal="90" workbookViewId="0"/>
  </sheetViews>
  <sheetFormatPr defaultRowHeight="15" x14ac:dyDescent="0.25"/>
  <cols>
    <col min="2" max="7" width="15.42578125" customWidth="1"/>
  </cols>
  <sheetData>
    <row r="1" spans="1:7" s="1" customFormat="1" ht="21" thickBot="1" x14ac:dyDescent="0.4">
      <c r="A1" s="218" t="s">
        <v>212</v>
      </c>
      <c r="B1" s="219"/>
      <c r="C1" s="220"/>
      <c r="D1" s="219"/>
      <c r="E1" s="246"/>
      <c r="F1" s="246"/>
      <c r="G1" s="247"/>
    </row>
    <row r="2" spans="1:7" s="1" customFormat="1" ht="12.75" x14ac:dyDescent="0.2">
      <c r="A2" s="2" t="s">
        <v>69</v>
      </c>
      <c r="B2" s="3" t="s">
        <v>41</v>
      </c>
      <c r="C2" s="3" t="s">
        <v>42</v>
      </c>
      <c r="D2" s="3" t="s">
        <v>43</v>
      </c>
      <c r="E2" s="3" t="s">
        <v>44</v>
      </c>
      <c r="F2" s="3" t="s">
        <v>45</v>
      </c>
      <c r="G2" s="248" t="s">
        <v>46</v>
      </c>
    </row>
    <row r="3" spans="1:7" s="1" customFormat="1" ht="12.75" x14ac:dyDescent="0.2">
      <c r="A3" s="92">
        <v>1</v>
      </c>
      <c r="B3" s="159">
        <v>20</v>
      </c>
      <c r="C3" s="165">
        <v>5</v>
      </c>
      <c r="D3" s="159">
        <v>10</v>
      </c>
      <c r="E3" s="159">
        <v>3.33</v>
      </c>
      <c r="F3" s="159">
        <v>2.5</v>
      </c>
      <c r="G3" s="159">
        <f>2.56410256410256*0.5</f>
        <v>1.2820512820512799</v>
      </c>
    </row>
    <row r="4" spans="1:7" s="1" customFormat="1" ht="12.75" x14ac:dyDescent="0.2">
      <c r="A4" s="93">
        <v>2</v>
      </c>
      <c r="B4" s="159">
        <v>32</v>
      </c>
      <c r="C4" s="166">
        <v>9.5</v>
      </c>
      <c r="D4" s="161">
        <v>20</v>
      </c>
      <c r="E4" s="161">
        <v>6.67</v>
      </c>
      <c r="F4" s="161">
        <v>5</v>
      </c>
      <c r="G4" s="161">
        <v>2.5641025641025599</v>
      </c>
    </row>
    <row r="5" spans="1:7" s="1" customFormat="1" ht="12.75" x14ac:dyDescent="0.2">
      <c r="A5" s="93">
        <v>3</v>
      </c>
      <c r="B5" s="159">
        <v>19.2</v>
      </c>
      <c r="C5" s="161">
        <v>8.5500000000000007</v>
      </c>
      <c r="D5" s="161">
        <v>20</v>
      </c>
      <c r="E5" s="161">
        <v>6.67</v>
      </c>
      <c r="F5" s="161">
        <v>5</v>
      </c>
      <c r="G5" s="161">
        <v>2.5641025641025599</v>
      </c>
    </row>
    <row r="6" spans="1:7" s="1" customFormat="1" ht="12.75" x14ac:dyDescent="0.2">
      <c r="A6" s="93">
        <v>4</v>
      </c>
      <c r="B6" s="159">
        <v>11.52</v>
      </c>
      <c r="C6" s="161">
        <v>7.7</v>
      </c>
      <c r="D6" s="161">
        <v>20</v>
      </c>
      <c r="E6" s="161">
        <v>6.67</v>
      </c>
      <c r="F6" s="161">
        <v>5</v>
      </c>
      <c r="G6" s="161">
        <v>2.5641025641025599</v>
      </c>
    </row>
    <row r="7" spans="1:7" s="1" customFormat="1" ht="12.75" x14ac:dyDescent="0.2">
      <c r="A7" s="93">
        <v>5</v>
      </c>
      <c r="B7" s="159">
        <v>11.52</v>
      </c>
      <c r="C7" s="161">
        <v>6.93</v>
      </c>
      <c r="D7" s="161">
        <v>20</v>
      </c>
      <c r="E7" s="161">
        <v>6.67</v>
      </c>
      <c r="F7" s="161">
        <v>5</v>
      </c>
      <c r="G7" s="161">
        <v>2.5641025641025599</v>
      </c>
    </row>
    <row r="8" spans="1:7" s="1" customFormat="1" ht="12.75" x14ac:dyDescent="0.2">
      <c r="A8" s="93">
        <v>6</v>
      </c>
      <c r="B8" s="159">
        <v>5.76</v>
      </c>
      <c r="C8" s="161">
        <v>6.23</v>
      </c>
      <c r="D8" s="161">
        <v>10</v>
      </c>
      <c r="E8" s="161">
        <v>6.67</v>
      </c>
      <c r="F8" s="161">
        <v>5</v>
      </c>
      <c r="G8" s="161">
        <v>2.5641025641025599</v>
      </c>
    </row>
    <row r="9" spans="1:7" s="1" customFormat="1" ht="12.75" x14ac:dyDescent="0.2">
      <c r="A9" s="93">
        <v>7</v>
      </c>
      <c r="B9" s="160">
        <v>0</v>
      </c>
      <c r="C9" s="161">
        <v>5.9</v>
      </c>
      <c r="D9" s="161">
        <v>0</v>
      </c>
      <c r="E9" s="161">
        <v>6.67</v>
      </c>
      <c r="F9" s="161">
        <v>5</v>
      </c>
      <c r="G9" s="161">
        <v>2.5641025641025599</v>
      </c>
    </row>
    <row r="10" spans="1:7" s="1" customFormat="1" ht="12.75" x14ac:dyDescent="0.2">
      <c r="A10" s="93">
        <v>8</v>
      </c>
      <c r="B10" s="161">
        <v>0</v>
      </c>
      <c r="C10" s="161">
        <v>5.9</v>
      </c>
      <c r="D10" s="161">
        <v>0</v>
      </c>
      <c r="E10" s="161">
        <v>6.67</v>
      </c>
      <c r="F10" s="161">
        <v>5</v>
      </c>
      <c r="G10" s="161">
        <v>2.5641025641025599</v>
      </c>
    </row>
    <row r="11" spans="1:7" s="1" customFormat="1" ht="12.75" x14ac:dyDescent="0.2">
      <c r="A11" s="93">
        <v>9</v>
      </c>
      <c r="B11" s="161">
        <v>0</v>
      </c>
      <c r="C11" s="161">
        <v>5.91</v>
      </c>
      <c r="D11" s="161">
        <v>0</v>
      </c>
      <c r="E11" s="161">
        <v>6.67</v>
      </c>
      <c r="F11" s="161">
        <v>5</v>
      </c>
      <c r="G11" s="161">
        <v>2.5641025641025599</v>
      </c>
    </row>
    <row r="12" spans="1:7" s="1" customFormat="1" ht="12.75" x14ac:dyDescent="0.2">
      <c r="A12" s="93">
        <v>10</v>
      </c>
      <c r="B12" s="161">
        <v>0</v>
      </c>
      <c r="C12" s="161">
        <v>5.9</v>
      </c>
      <c r="D12" s="161">
        <v>0</v>
      </c>
      <c r="E12" s="161">
        <v>6.67</v>
      </c>
      <c r="F12" s="161">
        <v>5</v>
      </c>
      <c r="G12" s="161">
        <v>2.5641025641025599</v>
      </c>
    </row>
    <row r="13" spans="1:7" s="1" customFormat="1" ht="12.75" x14ac:dyDescent="0.2">
      <c r="A13" s="93">
        <v>11</v>
      </c>
      <c r="B13" s="161">
        <v>0</v>
      </c>
      <c r="C13" s="161">
        <v>5.91</v>
      </c>
      <c r="D13" s="161">
        <v>0</v>
      </c>
      <c r="E13" s="161">
        <v>6.67</v>
      </c>
      <c r="F13" s="161">
        <v>5</v>
      </c>
      <c r="G13" s="161">
        <v>2.5641025641025599</v>
      </c>
    </row>
    <row r="14" spans="1:7" s="1" customFormat="1" ht="12.75" x14ac:dyDescent="0.2">
      <c r="A14" s="93">
        <v>12</v>
      </c>
      <c r="B14" s="161">
        <v>0</v>
      </c>
      <c r="C14" s="161">
        <v>5.9</v>
      </c>
      <c r="D14" s="161">
        <v>0</v>
      </c>
      <c r="E14" s="161">
        <v>6.66</v>
      </c>
      <c r="F14" s="161">
        <v>5</v>
      </c>
      <c r="G14" s="161">
        <v>2.5641025641025599</v>
      </c>
    </row>
    <row r="15" spans="1:7" s="1" customFormat="1" ht="12.75" x14ac:dyDescent="0.2">
      <c r="A15" s="93">
        <v>13</v>
      </c>
      <c r="B15" s="161">
        <v>0</v>
      </c>
      <c r="C15" s="161">
        <v>5.91</v>
      </c>
      <c r="D15" s="161">
        <v>0</v>
      </c>
      <c r="E15" s="161">
        <v>6.67</v>
      </c>
      <c r="F15" s="161">
        <v>5</v>
      </c>
      <c r="G15" s="161">
        <v>2.5641025641025599</v>
      </c>
    </row>
    <row r="16" spans="1:7" s="1" customFormat="1" ht="12.75" x14ac:dyDescent="0.2">
      <c r="A16" s="93">
        <v>14</v>
      </c>
      <c r="B16" s="161">
        <v>0</v>
      </c>
      <c r="C16" s="161">
        <v>5.9</v>
      </c>
      <c r="D16" s="161">
        <v>0</v>
      </c>
      <c r="E16" s="161">
        <v>6.66</v>
      </c>
      <c r="F16" s="161">
        <v>5</v>
      </c>
      <c r="G16" s="161">
        <v>2.5641025641025599</v>
      </c>
    </row>
    <row r="17" spans="1:7" s="1" customFormat="1" ht="12.75" x14ac:dyDescent="0.2">
      <c r="A17" s="93">
        <v>15</v>
      </c>
      <c r="B17" s="161">
        <v>0</v>
      </c>
      <c r="C17" s="161">
        <v>5.9</v>
      </c>
      <c r="D17" s="161">
        <v>0</v>
      </c>
      <c r="E17" s="161">
        <v>6.67</v>
      </c>
      <c r="F17" s="161">
        <v>5</v>
      </c>
      <c r="G17" s="161">
        <v>2.5641025641025599</v>
      </c>
    </row>
    <row r="18" spans="1:7" s="1" customFormat="1" ht="12.75" x14ac:dyDescent="0.2">
      <c r="A18" s="93">
        <v>16</v>
      </c>
      <c r="B18" s="161">
        <v>0</v>
      </c>
      <c r="C18" s="161">
        <v>2.95</v>
      </c>
      <c r="D18" s="161">
        <v>0</v>
      </c>
      <c r="E18" s="161">
        <v>3.33</v>
      </c>
      <c r="F18" s="161">
        <v>5</v>
      </c>
      <c r="G18" s="161">
        <v>2.5641025641025599</v>
      </c>
    </row>
    <row r="19" spans="1:7" s="1" customFormat="1" ht="12.75" x14ac:dyDescent="0.2">
      <c r="A19" s="93">
        <v>17</v>
      </c>
      <c r="B19" s="161">
        <v>0</v>
      </c>
      <c r="C19" s="161">
        <v>0</v>
      </c>
      <c r="D19" s="161">
        <v>0</v>
      </c>
      <c r="E19" s="161">
        <v>0</v>
      </c>
      <c r="F19" s="161">
        <v>5</v>
      </c>
      <c r="G19" s="161">
        <v>2.5641025641025599</v>
      </c>
    </row>
    <row r="20" spans="1:7" s="1" customFormat="1" ht="12.75" x14ac:dyDescent="0.2">
      <c r="A20" s="93">
        <v>18</v>
      </c>
      <c r="B20" s="161">
        <v>0</v>
      </c>
      <c r="C20" s="161">
        <v>0</v>
      </c>
      <c r="D20" s="161">
        <v>0</v>
      </c>
      <c r="E20" s="161">
        <v>0</v>
      </c>
      <c r="F20" s="161">
        <v>5</v>
      </c>
      <c r="G20" s="161">
        <v>2.5641025641025599</v>
      </c>
    </row>
    <row r="21" spans="1:7" s="1" customFormat="1" ht="12.75" x14ac:dyDescent="0.2">
      <c r="A21" s="93">
        <v>19</v>
      </c>
      <c r="B21" s="161">
        <v>0</v>
      </c>
      <c r="C21" s="161">
        <v>0</v>
      </c>
      <c r="D21" s="161">
        <v>0</v>
      </c>
      <c r="E21" s="161">
        <v>0</v>
      </c>
      <c r="F21" s="161">
        <v>5</v>
      </c>
      <c r="G21" s="161">
        <v>2.5641025641025599</v>
      </c>
    </row>
    <row r="22" spans="1:7" s="1" customFormat="1" ht="12.75" x14ac:dyDescent="0.2">
      <c r="A22" s="93">
        <v>20</v>
      </c>
      <c r="B22" s="161">
        <v>0</v>
      </c>
      <c r="C22" s="161">
        <v>0</v>
      </c>
      <c r="D22" s="161">
        <v>0</v>
      </c>
      <c r="E22" s="161">
        <v>0</v>
      </c>
      <c r="F22" s="161">
        <v>5</v>
      </c>
      <c r="G22" s="161">
        <v>2.5641025641025599</v>
      </c>
    </row>
    <row r="23" spans="1:7" s="1" customFormat="1" ht="12.75" x14ac:dyDescent="0.2">
      <c r="A23" s="93">
        <v>21</v>
      </c>
      <c r="B23" s="161">
        <v>0</v>
      </c>
      <c r="C23" s="161">
        <v>0</v>
      </c>
      <c r="D23" s="161">
        <v>0</v>
      </c>
      <c r="E23" s="161">
        <v>0</v>
      </c>
      <c r="F23" s="161">
        <v>2.5</v>
      </c>
      <c r="G23" s="161">
        <v>2.5641025641025599</v>
      </c>
    </row>
    <row r="24" spans="1:7" s="1" customFormat="1" ht="12.75" customHeight="1" x14ac:dyDescent="0.2">
      <c r="A24" s="93">
        <v>22</v>
      </c>
      <c r="B24" s="161">
        <v>0</v>
      </c>
      <c r="C24" s="161">
        <v>0</v>
      </c>
      <c r="D24" s="161">
        <v>0</v>
      </c>
      <c r="E24" s="161">
        <v>0</v>
      </c>
      <c r="F24" s="161">
        <v>0</v>
      </c>
      <c r="G24" s="161">
        <v>2.5641025641025599</v>
      </c>
    </row>
    <row r="25" spans="1:7" s="1" customFormat="1" ht="12.75" customHeight="1" x14ac:dyDescent="0.2">
      <c r="A25" s="93">
        <v>23</v>
      </c>
      <c r="B25" s="161">
        <v>0</v>
      </c>
      <c r="C25" s="161">
        <v>0</v>
      </c>
      <c r="D25" s="161">
        <v>0</v>
      </c>
      <c r="E25" s="161">
        <v>0</v>
      </c>
      <c r="F25" s="161">
        <v>0</v>
      </c>
      <c r="G25" s="161">
        <v>2.5641025641025599</v>
      </c>
    </row>
    <row r="26" spans="1:7" s="1" customFormat="1" ht="12.75" customHeight="1" x14ac:dyDescent="0.2">
      <c r="A26" s="93">
        <v>24</v>
      </c>
      <c r="B26" s="161">
        <v>0</v>
      </c>
      <c r="C26" s="161">
        <v>0</v>
      </c>
      <c r="D26" s="161">
        <v>0</v>
      </c>
      <c r="E26" s="161">
        <v>0</v>
      </c>
      <c r="F26" s="161">
        <v>0</v>
      </c>
      <c r="G26" s="161">
        <v>2.5641025641025599</v>
      </c>
    </row>
    <row r="27" spans="1:7" s="1" customFormat="1" ht="12.75" customHeight="1" x14ac:dyDescent="0.2">
      <c r="A27" s="93">
        <v>25</v>
      </c>
      <c r="B27" s="161">
        <v>0</v>
      </c>
      <c r="C27" s="161">
        <v>0</v>
      </c>
      <c r="D27" s="161">
        <v>0</v>
      </c>
      <c r="E27" s="161">
        <v>0</v>
      </c>
      <c r="F27" s="161">
        <v>0</v>
      </c>
      <c r="G27" s="161">
        <v>2.5641025641025599</v>
      </c>
    </row>
    <row r="28" spans="1:7" s="1" customFormat="1" ht="12.75" customHeight="1" x14ac:dyDescent="0.2">
      <c r="A28" s="93">
        <v>26</v>
      </c>
      <c r="B28" s="161">
        <v>0</v>
      </c>
      <c r="C28" s="161">
        <v>0</v>
      </c>
      <c r="D28" s="161">
        <v>0</v>
      </c>
      <c r="E28" s="161">
        <v>0</v>
      </c>
      <c r="F28" s="161">
        <v>0</v>
      </c>
      <c r="G28" s="161">
        <v>2.5641025641025599</v>
      </c>
    </row>
    <row r="29" spans="1:7" s="1" customFormat="1" ht="12.75" customHeight="1" x14ac:dyDescent="0.2">
      <c r="A29" s="93">
        <v>27</v>
      </c>
      <c r="B29" s="161">
        <v>0</v>
      </c>
      <c r="C29" s="161">
        <v>0</v>
      </c>
      <c r="D29" s="161">
        <v>0</v>
      </c>
      <c r="E29" s="161">
        <v>0</v>
      </c>
      <c r="F29" s="161">
        <v>0</v>
      </c>
      <c r="G29" s="161">
        <v>2.5641025641025599</v>
      </c>
    </row>
    <row r="30" spans="1:7" ht="12.75" customHeight="1" x14ac:dyDescent="0.25">
      <c r="A30" s="93">
        <v>28</v>
      </c>
      <c r="B30" s="161">
        <v>0</v>
      </c>
      <c r="C30" s="161">
        <v>0</v>
      </c>
      <c r="D30" s="161">
        <v>0</v>
      </c>
      <c r="E30" s="161">
        <v>0</v>
      </c>
      <c r="F30" s="161">
        <v>0</v>
      </c>
      <c r="G30" s="161">
        <v>2.5641025641025599</v>
      </c>
    </row>
    <row r="31" spans="1:7" ht="12.75" customHeight="1" x14ac:dyDescent="0.25">
      <c r="A31" s="93">
        <v>29</v>
      </c>
      <c r="B31" s="161">
        <v>0</v>
      </c>
      <c r="C31" s="161">
        <v>0</v>
      </c>
      <c r="D31" s="161">
        <v>0</v>
      </c>
      <c r="E31" s="161">
        <v>0</v>
      </c>
      <c r="F31" s="161">
        <v>0</v>
      </c>
      <c r="G31" s="161">
        <v>2.5641025641025599</v>
      </c>
    </row>
    <row r="32" spans="1:7" ht="12.75" customHeight="1" x14ac:dyDescent="0.25">
      <c r="A32" s="93">
        <v>30</v>
      </c>
      <c r="B32" s="161">
        <v>0</v>
      </c>
      <c r="C32" s="161">
        <v>0</v>
      </c>
      <c r="D32" s="161">
        <v>0</v>
      </c>
      <c r="E32" s="161">
        <v>0</v>
      </c>
      <c r="F32" s="161">
        <v>0</v>
      </c>
      <c r="G32" s="161">
        <v>2.5641025641025599</v>
      </c>
    </row>
    <row r="33" spans="1:7" ht="12.75" customHeight="1" x14ac:dyDescent="0.25">
      <c r="A33" s="93">
        <v>31</v>
      </c>
      <c r="B33" s="161">
        <v>0</v>
      </c>
      <c r="C33" s="161">
        <v>0</v>
      </c>
      <c r="D33" s="161">
        <v>0</v>
      </c>
      <c r="E33" s="161">
        <v>0</v>
      </c>
      <c r="F33" s="161">
        <v>0</v>
      </c>
      <c r="G33" s="161">
        <v>2.5641025641025599</v>
      </c>
    </row>
    <row r="34" spans="1:7" ht="12.75" customHeight="1" x14ac:dyDescent="0.25">
      <c r="A34" s="93">
        <v>32</v>
      </c>
      <c r="B34" s="161">
        <v>0</v>
      </c>
      <c r="C34" s="161">
        <v>0</v>
      </c>
      <c r="D34" s="161">
        <v>0</v>
      </c>
      <c r="E34" s="161">
        <v>0</v>
      </c>
      <c r="F34" s="161">
        <v>0</v>
      </c>
      <c r="G34" s="161">
        <v>2.5641025641025599</v>
      </c>
    </row>
    <row r="35" spans="1:7" ht="12.75" customHeight="1" x14ac:dyDescent="0.25">
      <c r="A35" s="93">
        <v>33</v>
      </c>
      <c r="B35" s="161">
        <v>0</v>
      </c>
      <c r="C35" s="161">
        <v>0</v>
      </c>
      <c r="D35" s="161">
        <v>0</v>
      </c>
      <c r="E35" s="161">
        <v>0</v>
      </c>
      <c r="F35" s="161">
        <v>0</v>
      </c>
      <c r="G35" s="161">
        <v>2.5641025641025599</v>
      </c>
    </row>
    <row r="36" spans="1:7" ht="12.75" customHeight="1" x14ac:dyDescent="0.25">
      <c r="A36" s="93">
        <v>34</v>
      </c>
      <c r="B36" s="161">
        <v>0</v>
      </c>
      <c r="C36" s="161">
        <v>0</v>
      </c>
      <c r="D36" s="161">
        <v>0</v>
      </c>
      <c r="E36" s="161">
        <v>0</v>
      </c>
      <c r="F36" s="161">
        <v>0</v>
      </c>
      <c r="G36" s="161">
        <v>2.5641025641025599</v>
      </c>
    </row>
    <row r="37" spans="1:7" ht="12.75" customHeight="1" x14ac:dyDescent="0.25">
      <c r="A37" s="93">
        <v>35</v>
      </c>
      <c r="B37" s="161">
        <v>0</v>
      </c>
      <c r="C37" s="161">
        <v>0</v>
      </c>
      <c r="D37" s="161">
        <v>0</v>
      </c>
      <c r="E37" s="161">
        <v>0</v>
      </c>
      <c r="F37" s="161">
        <v>0</v>
      </c>
      <c r="G37" s="161">
        <v>2.5641025641025599</v>
      </c>
    </row>
    <row r="38" spans="1:7" ht="12.75" customHeight="1" x14ac:dyDescent="0.25">
      <c r="A38" s="93">
        <v>36</v>
      </c>
      <c r="B38" s="161">
        <v>0</v>
      </c>
      <c r="C38" s="161">
        <v>0</v>
      </c>
      <c r="D38" s="161">
        <v>0</v>
      </c>
      <c r="E38" s="161">
        <v>0</v>
      </c>
      <c r="F38" s="161">
        <v>0</v>
      </c>
      <c r="G38" s="161">
        <v>2.5641025641025599</v>
      </c>
    </row>
    <row r="39" spans="1:7" ht="12.75" customHeight="1" x14ac:dyDescent="0.25">
      <c r="A39" s="93">
        <v>37</v>
      </c>
      <c r="B39" s="161">
        <v>0</v>
      </c>
      <c r="C39" s="161">
        <v>0</v>
      </c>
      <c r="D39" s="161">
        <v>0</v>
      </c>
      <c r="E39" s="161">
        <v>0</v>
      </c>
      <c r="F39" s="161">
        <v>0</v>
      </c>
      <c r="G39" s="161">
        <v>2.5641025641025599</v>
      </c>
    </row>
    <row r="40" spans="1:7" ht="12.75" customHeight="1" x14ac:dyDescent="0.25">
      <c r="A40" s="93">
        <v>38</v>
      </c>
      <c r="B40" s="161">
        <v>0</v>
      </c>
      <c r="C40" s="161">
        <v>0</v>
      </c>
      <c r="D40" s="161">
        <v>0</v>
      </c>
      <c r="E40" s="161">
        <v>0</v>
      </c>
      <c r="F40" s="161">
        <v>0</v>
      </c>
      <c r="G40" s="161">
        <v>2.5641025641025599</v>
      </c>
    </row>
    <row r="41" spans="1:7" ht="12.75" customHeight="1" x14ac:dyDescent="0.25">
      <c r="A41" s="93">
        <v>39</v>
      </c>
      <c r="B41" s="161">
        <v>0</v>
      </c>
      <c r="C41" s="161">
        <v>0</v>
      </c>
      <c r="D41" s="161">
        <v>0</v>
      </c>
      <c r="E41" s="161">
        <v>0</v>
      </c>
      <c r="F41" s="161">
        <v>0</v>
      </c>
      <c r="G41" s="161">
        <v>2.5641025641025599</v>
      </c>
    </row>
    <row r="42" spans="1:7" ht="12.75" customHeight="1" x14ac:dyDescent="0.25">
      <c r="A42" s="94">
        <v>40</v>
      </c>
      <c r="B42" s="162">
        <v>0</v>
      </c>
      <c r="C42" s="162">
        <v>0</v>
      </c>
      <c r="D42" s="162">
        <v>0</v>
      </c>
      <c r="E42" s="162">
        <v>0</v>
      </c>
      <c r="F42" s="162">
        <v>0</v>
      </c>
      <c r="G42" s="162">
        <f>2.56410256410256*0.5</f>
        <v>1.2820512820512799</v>
      </c>
    </row>
    <row r="43" spans="1:7" x14ac:dyDescent="0.25">
      <c r="A43" s="91" t="s">
        <v>174</v>
      </c>
      <c r="B43" s="91"/>
      <c r="C43" s="91"/>
      <c r="D43" s="91"/>
      <c r="E43" s="91"/>
      <c r="F43" s="91"/>
      <c r="G43" s="91"/>
    </row>
    <row r="44" spans="1:7" x14ac:dyDescent="0.25">
      <c r="A44" s="91" t="s">
        <v>83</v>
      </c>
      <c r="B44" s="91"/>
      <c r="C44" s="91"/>
      <c r="D44" s="91"/>
      <c r="E44" s="91"/>
      <c r="F44" s="91"/>
      <c r="G44" s="91"/>
    </row>
  </sheetData>
  <pageMargins left="0.5" right="0.5" top="0.5" bottom="0.75" header="0.3" footer="0.3"/>
  <pageSetup scale="93"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274</vt:i4>
      </vt:variant>
    </vt:vector>
  </HeadingPairs>
  <TitlesOfParts>
    <vt:vector size="277" baseType="lpstr">
      <vt:lpstr>Inputs</vt:lpstr>
      <vt:lpstr>Cash Flow</vt:lpstr>
      <vt:lpstr>Depreciation Schedules</vt:lpstr>
      <vt:lpstr>analysis_period</vt:lpstr>
      <vt:lpstr>annual_fuel_usage</vt:lpstr>
      <vt:lpstr>AnnualLandLease</vt:lpstr>
      <vt:lpstr>AnnualOMCapacity</vt:lpstr>
      <vt:lpstr>AnnualOMFixed</vt:lpstr>
      <vt:lpstr>AnnualOMProduction</vt:lpstr>
      <vt:lpstr>AnnualPBIFederal</vt:lpstr>
      <vt:lpstr>AnnualPBIOther</vt:lpstr>
      <vt:lpstr>AnnualPBIState</vt:lpstr>
      <vt:lpstr>AnnualPBIUtility</vt:lpstr>
      <vt:lpstr>AnnualPTCFederal</vt:lpstr>
      <vt:lpstr>AnnualPTCState</vt:lpstr>
      <vt:lpstr>AnnualTaxFederal</vt:lpstr>
      <vt:lpstr>AnnualTaxState</vt:lpstr>
      <vt:lpstr>batt_annual_discharge_energy</vt:lpstr>
      <vt:lpstr>cbi_fed_amount</vt:lpstr>
      <vt:lpstr>cbi_fed_deprbas_fed</vt:lpstr>
      <vt:lpstr>cbi_fed_deprbas_sta</vt:lpstr>
      <vt:lpstr>cbi_fed_maxvalue</vt:lpstr>
      <vt:lpstr>cbi_fed_tax_fed</vt:lpstr>
      <vt:lpstr>cbi_fed_tax_sta</vt:lpstr>
      <vt:lpstr>cbi_oth_amount</vt:lpstr>
      <vt:lpstr>cbi_oth_deprbas_fed</vt:lpstr>
      <vt:lpstr>cbi_oth_deprbas_sta</vt:lpstr>
      <vt:lpstr>cbi_oth_maxvalue</vt:lpstr>
      <vt:lpstr>cbi_oth_tax_fed</vt:lpstr>
      <vt:lpstr>cbi_oth_tax_sta</vt:lpstr>
      <vt:lpstr>cbi_sta_amount</vt:lpstr>
      <vt:lpstr>cbi_sta_deprbas_fed</vt:lpstr>
      <vt:lpstr>cbi_sta_deprbas_sta</vt:lpstr>
      <vt:lpstr>cbi_sta_maxvalue</vt:lpstr>
      <vt:lpstr>cbi_sta_tax_fed</vt:lpstr>
      <vt:lpstr>cbi_sta_tax_sta</vt:lpstr>
      <vt:lpstr>cbi_uti_amount</vt:lpstr>
      <vt:lpstr>cbi_uti_deprbas_fed</vt:lpstr>
      <vt:lpstr>cbi_uti_deprbas_sta</vt:lpstr>
      <vt:lpstr>cbi_uti_maxvalue</vt:lpstr>
      <vt:lpstr>cbi_uti_tax_fed</vt:lpstr>
      <vt:lpstr>cbi_uti_tax_sta</vt:lpstr>
      <vt:lpstr>cf_annual_cost_lcos</vt:lpstr>
      <vt:lpstr>cf_annual_discharge_lcos</vt:lpstr>
      <vt:lpstr>cf_battery_replacement_cost</vt:lpstr>
      <vt:lpstr>cf_capacity_payment</vt:lpstr>
      <vt:lpstr>cf_curtailment_value</vt:lpstr>
      <vt:lpstr>cf_disbursement_debtservice</vt:lpstr>
      <vt:lpstr>cf_energy_net</vt:lpstr>
      <vt:lpstr>cf_energy_purchases</vt:lpstr>
      <vt:lpstr>cf_energy_sales</vt:lpstr>
      <vt:lpstr>cf_energy_value</vt:lpstr>
      <vt:lpstr>cf_energy_without_battery</vt:lpstr>
      <vt:lpstr>cf_fuelcell_replacement_cost</vt:lpstr>
      <vt:lpstr>cf_funding_debtservice</vt:lpstr>
      <vt:lpstr>cf_om_capacity1_expense</vt:lpstr>
      <vt:lpstr>cf_om_capacity2_expense</vt:lpstr>
      <vt:lpstr>cf_om_fixed1_expense</vt:lpstr>
      <vt:lpstr>cf_om_fixed2_expense</vt:lpstr>
      <vt:lpstr>cf_om_fuel_expense</vt:lpstr>
      <vt:lpstr>cf_om_opt_fuel_1_expense</vt:lpstr>
      <vt:lpstr>cf_om_opt_fuel_2_expense</vt:lpstr>
      <vt:lpstr>cf_om_production1_expense</vt:lpstr>
      <vt:lpstr>cf_om_production2_expense</vt:lpstr>
      <vt:lpstr>cf_ppa_price</vt:lpstr>
      <vt:lpstr>cf_recapitalization</vt:lpstr>
      <vt:lpstr>cf_reserve_debtservice</vt:lpstr>
      <vt:lpstr>cf_thermal_value</vt:lpstr>
      <vt:lpstr>const_per_interest_rate1</vt:lpstr>
      <vt:lpstr>const_per_interest_rate2</vt:lpstr>
      <vt:lpstr>const_per_interest_rate3</vt:lpstr>
      <vt:lpstr>const_per_interest_rate4</vt:lpstr>
      <vt:lpstr>const_per_interest_rate5</vt:lpstr>
      <vt:lpstr>const_per_months1</vt:lpstr>
      <vt:lpstr>const_per_months2</vt:lpstr>
      <vt:lpstr>const_per_months3</vt:lpstr>
      <vt:lpstr>const_per_months4</vt:lpstr>
      <vt:lpstr>const_per_months5</vt:lpstr>
      <vt:lpstr>const_per_percent1</vt:lpstr>
      <vt:lpstr>const_per_percent2</vt:lpstr>
      <vt:lpstr>const_per_percent3</vt:lpstr>
      <vt:lpstr>const_per_percent4</vt:lpstr>
      <vt:lpstr>const_per_percent5</vt:lpstr>
      <vt:lpstr>const_per_upfront_rate1</vt:lpstr>
      <vt:lpstr>const_per_upfront_rate2</vt:lpstr>
      <vt:lpstr>const_per_upfront_rate3</vt:lpstr>
      <vt:lpstr>const_per_upfront_rate4</vt:lpstr>
      <vt:lpstr>const_per_upfront_rate5</vt:lpstr>
      <vt:lpstr>construction_financing_cost</vt:lpstr>
      <vt:lpstr>cost_debt_closing</vt:lpstr>
      <vt:lpstr>cost_debt_fee</vt:lpstr>
      <vt:lpstr>cost_other_financing</vt:lpstr>
      <vt:lpstr>CostDebtUpfront</vt:lpstr>
      <vt:lpstr>DebtPayment</vt:lpstr>
      <vt:lpstr>DebtPercent</vt:lpstr>
      <vt:lpstr>DebtServiceCoverageRatio</vt:lpstr>
      <vt:lpstr>depr_alloc_custom_percent</vt:lpstr>
      <vt:lpstr>depr_alloc_macrs_15_percent</vt:lpstr>
      <vt:lpstr>depr_alloc_macrs_5_percent</vt:lpstr>
      <vt:lpstr>depr_alloc_sl_15_percent</vt:lpstr>
      <vt:lpstr>depr_alloc_sl_20_percent</vt:lpstr>
      <vt:lpstr>depr_alloc_sl_39_percent</vt:lpstr>
      <vt:lpstr>depr_alloc_sl_5_percent</vt:lpstr>
      <vt:lpstr>depr_bonus_fed</vt:lpstr>
      <vt:lpstr>depr_bonus_fed_custom</vt:lpstr>
      <vt:lpstr>depr_bonus_fed_macrs_15</vt:lpstr>
      <vt:lpstr>depr_bonus_fed_macrs_5</vt:lpstr>
      <vt:lpstr>depr_bonus_fed_sl_15</vt:lpstr>
      <vt:lpstr>depr_bonus_fed_sl_20</vt:lpstr>
      <vt:lpstr>depr_bonus_fed_sl_39</vt:lpstr>
      <vt:lpstr>depr_bonus_fed_sl_5</vt:lpstr>
      <vt:lpstr>depr_bonus_sta</vt:lpstr>
      <vt:lpstr>depr_bonus_sta_custom</vt:lpstr>
      <vt:lpstr>depr_bonus_sta_macrs_15</vt:lpstr>
      <vt:lpstr>depr_bonus_sta_macrs_5</vt:lpstr>
      <vt:lpstr>depr_bonus_sta_sl_15</vt:lpstr>
      <vt:lpstr>depr_bonus_sta_sl_20</vt:lpstr>
      <vt:lpstr>depr_bonus_sta_sl_39</vt:lpstr>
      <vt:lpstr>depr_bonus_sta_sl_5</vt:lpstr>
      <vt:lpstr>depr_custom_schedule</vt:lpstr>
      <vt:lpstr>depr_itc_fed_custom</vt:lpstr>
      <vt:lpstr>depr_itc_fed_macrs_15</vt:lpstr>
      <vt:lpstr>depr_itc_fed_macrs_5</vt:lpstr>
      <vt:lpstr>depr_itc_fed_sl_15</vt:lpstr>
      <vt:lpstr>depr_itc_fed_sl_20</vt:lpstr>
      <vt:lpstr>depr_itc_fed_sl_39</vt:lpstr>
      <vt:lpstr>depr_itc_fed_sl_5</vt:lpstr>
      <vt:lpstr>depr_itc_sta_custom</vt:lpstr>
      <vt:lpstr>depr_itc_sta_macrs_15</vt:lpstr>
      <vt:lpstr>depr_itc_sta_macrs_5</vt:lpstr>
      <vt:lpstr>depr_itc_sta_sl_15</vt:lpstr>
      <vt:lpstr>depr_itc_sta_sl_20</vt:lpstr>
      <vt:lpstr>depr_itc_sta_sl_39</vt:lpstr>
      <vt:lpstr>depr_itc_sta_sl_5</vt:lpstr>
      <vt:lpstr>dscr_limit_debt_fraction</vt:lpstr>
      <vt:lpstr>dscr_maximum_debt_fraction</vt:lpstr>
      <vt:lpstr>dscr_reserve_months</vt:lpstr>
      <vt:lpstr>elec_cost_with_system</vt:lpstr>
      <vt:lpstr>elec_cost_without_system</vt:lpstr>
      <vt:lpstr>equip_reserve_depr_fed</vt:lpstr>
      <vt:lpstr>equip_reserve_depr_sta</vt:lpstr>
      <vt:lpstr>equip1_reserve_cost</vt:lpstr>
      <vt:lpstr>equip1_reserve_freq</vt:lpstr>
      <vt:lpstr>equip2_reserve_cost</vt:lpstr>
      <vt:lpstr>equip2_reserve_freq</vt:lpstr>
      <vt:lpstr>equip3_reserve_cost</vt:lpstr>
      <vt:lpstr>equip3_reserve_freq</vt:lpstr>
      <vt:lpstr>federal_tax_rate</vt:lpstr>
      <vt:lpstr>flip_target_year</vt:lpstr>
      <vt:lpstr>fuelcell_annual_energy_discharged</vt:lpstr>
      <vt:lpstr>FuelCellFuel</vt:lpstr>
      <vt:lpstr>host_nominal_discount_rate</vt:lpstr>
      <vt:lpstr>host_real_discount_rate</vt:lpstr>
      <vt:lpstr>ibi_fed_amount</vt:lpstr>
      <vt:lpstr>ibi_fed_amount_deprbas_fed</vt:lpstr>
      <vt:lpstr>ibi_fed_amount_deprbas_sta</vt:lpstr>
      <vt:lpstr>ibi_fed_amount_tax_fed</vt:lpstr>
      <vt:lpstr>ibi_fed_amount_tax_sta</vt:lpstr>
      <vt:lpstr>ibi_fed_percent</vt:lpstr>
      <vt:lpstr>ibi_fed_percent_deprbas_fed</vt:lpstr>
      <vt:lpstr>ibi_fed_percent_deprbas_sta</vt:lpstr>
      <vt:lpstr>ibi_fed_percent_maxvalue</vt:lpstr>
      <vt:lpstr>ibi_fed_percent_tax_fed</vt:lpstr>
      <vt:lpstr>ibi_fed_percent_tax_sta</vt:lpstr>
      <vt:lpstr>ibi_oth_amount</vt:lpstr>
      <vt:lpstr>ibi_oth_amount_deprbas_fed</vt:lpstr>
      <vt:lpstr>ibi_oth_amount_deprbas_sta</vt:lpstr>
      <vt:lpstr>ibi_oth_amount_tax_fed</vt:lpstr>
      <vt:lpstr>ibi_oth_amount_tax_sta</vt:lpstr>
      <vt:lpstr>ibi_oth_percent</vt:lpstr>
      <vt:lpstr>ibi_oth_percent_deprbas_fed</vt:lpstr>
      <vt:lpstr>ibi_oth_percent_deprbas_sta</vt:lpstr>
      <vt:lpstr>ibi_oth_percent_maxvalue</vt:lpstr>
      <vt:lpstr>ibi_oth_percent_tax_fed</vt:lpstr>
      <vt:lpstr>ibi_oth_percent_tax_sta</vt:lpstr>
      <vt:lpstr>ibi_sta_amount</vt:lpstr>
      <vt:lpstr>ibi_sta_amount_deprbas_fed</vt:lpstr>
      <vt:lpstr>ibi_sta_amount_deprbas_sta</vt:lpstr>
      <vt:lpstr>ibi_sta_amount_tax_fed</vt:lpstr>
      <vt:lpstr>ibi_sta_amount_tax_sta</vt:lpstr>
      <vt:lpstr>ibi_sta_percent</vt:lpstr>
      <vt:lpstr>ibi_sta_percent_deprbas_fed</vt:lpstr>
      <vt:lpstr>ibi_sta_percent_deprbas_sta</vt:lpstr>
      <vt:lpstr>ibi_sta_percent_maxvalue</vt:lpstr>
      <vt:lpstr>ibi_sta_percent_tax_fed</vt:lpstr>
      <vt:lpstr>ibi_sta_percent_tax_sta</vt:lpstr>
      <vt:lpstr>ibi_uti_amount</vt:lpstr>
      <vt:lpstr>ibi_uti_amount_deprbas_fed</vt:lpstr>
      <vt:lpstr>ibi_uti_amount_deprbas_sta</vt:lpstr>
      <vt:lpstr>ibi_uti_amount_tax_fed</vt:lpstr>
      <vt:lpstr>ibi_uti_amount_tax_sta</vt:lpstr>
      <vt:lpstr>ibi_uti_percent</vt:lpstr>
      <vt:lpstr>ibi_uti_percent_deprbas_fed</vt:lpstr>
      <vt:lpstr>ibi_uti_percent_deprbas_sta</vt:lpstr>
      <vt:lpstr>ibi_uti_percent_maxvalue</vt:lpstr>
      <vt:lpstr>ibi_uti_percent_tax_fed</vt:lpstr>
      <vt:lpstr>ibi_uti_percent_tax_sta</vt:lpstr>
      <vt:lpstr>inflation_rate</vt:lpstr>
      <vt:lpstr>insurance_rate</vt:lpstr>
      <vt:lpstr>IRRTarget</vt:lpstr>
      <vt:lpstr>itc_fed_amount</vt:lpstr>
      <vt:lpstr>itc_fed_amount_deprbas_fed</vt:lpstr>
      <vt:lpstr>itc_fed_amount_deprbas_sta</vt:lpstr>
      <vt:lpstr>itc_fed_percent</vt:lpstr>
      <vt:lpstr>itc_fed_percent_deprbas_fed</vt:lpstr>
      <vt:lpstr>itc_fed_percent_deprbas_sta</vt:lpstr>
      <vt:lpstr>itc_fed_percent_maxvalue</vt:lpstr>
      <vt:lpstr>itc_sta_amount</vt:lpstr>
      <vt:lpstr>itc_sta_amount_deprbas_fed</vt:lpstr>
      <vt:lpstr>itc_sta_amount_deprbas_sta</vt:lpstr>
      <vt:lpstr>itc_sta_percent</vt:lpstr>
      <vt:lpstr>itc_sta_percent_deprbas_fed</vt:lpstr>
      <vt:lpstr>itc_sta_percent_deprbas_sta</vt:lpstr>
      <vt:lpstr>itc_sta_percent_maxvalue</vt:lpstr>
      <vt:lpstr>loan_moratorium</vt:lpstr>
      <vt:lpstr>months_receivables_reserve</vt:lpstr>
      <vt:lpstr>months_working_reserve</vt:lpstr>
      <vt:lpstr>MortgageSizeOfDebt</vt:lpstr>
      <vt:lpstr>NominalDiscountRate</vt:lpstr>
      <vt:lpstr>om_capacity</vt:lpstr>
      <vt:lpstr>om_capacity_escal</vt:lpstr>
      <vt:lpstr>om_fixed</vt:lpstr>
      <vt:lpstr>om_fixed_escal</vt:lpstr>
      <vt:lpstr>om_fuel_cost</vt:lpstr>
      <vt:lpstr>om_fuel_cost_escal</vt:lpstr>
      <vt:lpstr>om_land_lease</vt:lpstr>
      <vt:lpstr>om_land_lease_escal</vt:lpstr>
      <vt:lpstr>om_production</vt:lpstr>
      <vt:lpstr>om_production_escal</vt:lpstr>
      <vt:lpstr>pbi_fed_amount</vt:lpstr>
      <vt:lpstr>pbi_fed_escal</vt:lpstr>
      <vt:lpstr>pbi_fed_for_ds</vt:lpstr>
      <vt:lpstr>pbi_fed_tax_fed</vt:lpstr>
      <vt:lpstr>pbi_fed_tax_sta</vt:lpstr>
      <vt:lpstr>pbi_fed_term</vt:lpstr>
      <vt:lpstr>pbi_oth_amount</vt:lpstr>
      <vt:lpstr>pbi_oth_escal</vt:lpstr>
      <vt:lpstr>pbi_oth_for_ds</vt:lpstr>
      <vt:lpstr>pbi_oth_tax_fed</vt:lpstr>
      <vt:lpstr>pbi_oth_tax_sta</vt:lpstr>
      <vt:lpstr>pbi_oth_term</vt:lpstr>
      <vt:lpstr>pbi_sta_amount</vt:lpstr>
      <vt:lpstr>pbi_sta_escal</vt:lpstr>
      <vt:lpstr>pbi_sta_for_ds</vt:lpstr>
      <vt:lpstr>pbi_sta_tax_fed</vt:lpstr>
      <vt:lpstr>pbi_sta_tax_sta</vt:lpstr>
      <vt:lpstr>pbi_sta_term</vt:lpstr>
      <vt:lpstr>pbi_uti_amount</vt:lpstr>
      <vt:lpstr>pbi_uti_escal</vt:lpstr>
      <vt:lpstr>pbi_uti_for_ds</vt:lpstr>
      <vt:lpstr>pbi_uti_tax_fed</vt:lpstr>
      <vt:lpstr>pbi_uti_tax_sta</vt:lpstr>
      <vt:lpstr>pbi_uti_term</vt:lpstr>
      <vt:lpstr>ppa_escalation</vt:lpstr>
      <vt:lpstr>PPAPriceInput</vt:lpstr>
      <vt:lpstr>prop_tax_assessed_decline</vt:lpstr>
      <vt:lpstr>prop_tax_cost_assessed_percent</vt:lpstr>
      <vt:lpstr>property_tax_rate</vt:lpstr>
      <vt:lpstr>PropertyTaxAssessedValue</vt:lpstr>
      <vt:lpstr>ptc_fed_amount</vt:lpstr>
      <vt:lpstr>ptc_fed_escal</vt:lpstr>
      <vt:lpstr>ptc_fed_term</vt:lpstr>
      <vt:lpstr>ptc_sta_amount</vt:lpstr>
      <vt:lpstr>ptc_sta_escal</vt:lpstr>
      <vt:lpstr>ptc_sta_term</vt:lpstr>
      <vt:lpstr>real_discount_rate</vt:lpstr>
      <vt:lpstr>reserves_interest</vt:lpstr>
      <vt:lpstr>sales_tax_rate</vt:lpstr>
      <vt:lpstr>salvage_percentage</vt:lpstr>
      <vt:lpstr>state_tax_rate</vt:lpstr>
      <vt:lpstr>system_capacity</vt:lpstr>
      <vt:lpstr>system_heat_rate</vt:lpstr>
      <vt:lpstr>term_int_rate</vt:lpstr>
      <vt:lpstr>term_tenor</vt:lpstr>
      <vt:lpstr>TODMultipliersApply</vt:lpstr>
      <vt:lpstr>total_installed_cost</vt:lpstr>
      <vt:lpstr>total_land_area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2014-09-26T22:58:18Z</dcterms:created>
  <dcterms:modified xsi:type="dcterms:W3CDTF">2026-04-09T23:14:03Z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_assessed_decline" linkTarget="prop_tax_assessed_decline">
    <vt:r8>0</vt:r8>
  </property>
  <property fmtid="{D5CDD505-2E9C-101B-9397-08002B2CF9AE}" pid="3" name="tax_cost_assessed_percent" linkTarget="prop_tax_cost_assessed_percent">
    <vt:r8>0</vt:r8>
  </property>
</Properties>
</file>