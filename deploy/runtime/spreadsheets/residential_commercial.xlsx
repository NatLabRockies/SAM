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codeName="ThisWorkbook" defaultThemeVersion="124226"/>
  <mc:AlternateContent xmlns:mc="http://schemas.openxmlformats.org/markup-compatibility/2006">
    <mc:Choice Requires="x15">
      <x15ac:absPath xmlns:x15ac="http://schemas.microsoft.com/office/spreadsheetml/2010/11/ac" url="C:\Users\bmirletz\source\repos\sam_dev\SAM\deploy\runtime\spreadsheets\"/>
    </mc:Choice>
  </mc:AlternateContent>
  <xr:revisionPtr revIDLastSave="0" documentId="13_ncr:1_{5BBCC900-3523-4437-B649-1ADEF7441DC3}" xr6:coauthVersionLast="47" xr6:coauthVersionMax="47" xr10:uidLastSave="{00000000-0000-0000-0000-000000000000}"/>
  <bookViews>
    <workbookView xWindow="28680" yWindow="-120" windowWidth="29040" windowHeight="15720" xr2:uid="{00000000-000D-0000-FFFF-FFFF00000000}"/>
  </bookViews>
  <sheets>
    <sheet name="Inputs and Outputs" sheetId="7" r:id="rId1"/>
    <sheet name="Cash Flow" sheetId="8" r:id="rId2"/>
    <sheet name="Depreciation Schedules" sheetId="9" r:id="rId3"/>
  </sheets>
  <definedNames>
    <definedName name="analysis_period" localSheetId="2">#REF!</definedName>
    <definedName name="analysis_period">'Inputs and Outputs'!$B$36</definedName>
    <definedName name="annual_fuel_usage" localSheetId="2">#REF!</definedName>
    <definedName name="annual_fuel_usage">'Inputs and Outputs'!$B$18</definedName>
    <definedName name="AnnualOMCapacity">'Inputs and Outputs'!$C$114</definedName>
    <definedName name="AnnualOMFixed">'Inputs and Outputs'!$C$113</definedName>
    <definedName name="AnnualOMProduction">'Inputs and Outputs'!$C$116</definedName>
    <definedName name="AnnualPBIFederal">'Inputs and Outputs'!$C$146</definedName>
    <definedName name="AnnualPBIOther">'Inputs and Outputs'!$C$149</definedName>
    <definedName name="AnnualPBIState">'Inputs and Outputs'!$C$147</definedName>
    <definedName name="AnnualPBIUtility">'Inputs and Outputs'!$C$148</definedName>
    <definedName name="AnnualPTCFederal">'Inputs and Outputs'!$C$151</definedName>
    <definedName name="AnnualPTCState">'Inputs and Outputs'!$C$152</definedName>
    <definedName name="AnnualTaxFederal" localSheetId="2">#REF!</definedName>
    <definedName name="AnnualTaxFederal">'Inputs and Outputs'!$B$111</definedName>
    <definedName name="AnnualTaxState" localSheetId="2">#REF!</definedName>
    <definedName name="AnnualTaxState">'Inputs and Outputs'!$B$110</definedName>
    <definedName name="batt_annual_discharge_energy">'Inputs and Outputs'!$B$155</definedName>
    <definedName name="batt_computed_bank_capacity">'Inputs and Outputs'!$B$119</definedName>
    <definedName name="batt_replacement_cost">'Inputs and Outputs'!$B$121</definedName>
    <definedName name="batt_replacement_cost_escal">'Inputs and Outputs'!$B$122</definedName>
    <definedName name="batt_replacement_option">'Inputs and Outputs'!$B$120</definedName>
    <definedName name="BatteryReplSched">'Inputs and Outputs'!$B$124</definedName>
    <definedName name="CashFlow">'Cash Flow'!$C$134:$CX$134</definedName>
    <definedName name="cbi_fed_amount" localSheetId="2">#REF!</definedName>
    <definedName name="cbi_fed_amount">'Inputs and Outputs'!$B$80</definedName>
    <definedName name="cbi_fed_deprbas_fed" localSheetId="2">#REF!</definedName>
    <definedName name="cbi_fed_deprbas_fed">'Inputs and Outputs'!$F$80</definedName>
    <definedName name="cbi_fed_deprbas_sta" localSheetId="2">#REF!</definedName>
    <definedName name="cbi_fed_deprbas_sta">'Inputs and Outputs'!$G$80</definedName>
    <definedName name="cbi_fed_maxvalue" localSheetId="2">#REF!</definedName>
    <definedName name="cbi_fed_maxvalue">'Inputs and Outputs'!$C$80</definedName>
    <definedName name="cbi_fed_tax_fed" localSheetId="2">#REF!</definedName>
    <definedName name="cbi_fed_tax_fed">'Inputs and Outputs'!$D$80</definedName>
    <definedName name="cbi_fed_tax_sta" localSheetId="2">#REF!</definedName>
    <definedName name="cbi_fed_tax_sta">'Inputs and Outputs'!$E$80</definedName>
    <definedName name="cbi_oth_amount" localSheetId="2">#REF!</definedName>
    <definedName name="cbi_oth_amount">'Inputs and Outputs'!$B$83</definedName>
    <definedName name="cbi_oth_deprbas_fed" localSheetId="2">#REF!</definedName>
    <definedName name="cbi_oth_deprbas_fed">'Inputs and Outputs'!$F$83</definedName>
    <definedName name="cbi_oth_deprbas_sta" localSheetId="2">#REF!</definedName>
    <definedName name="cbi_oth_deprbas_sta">'Inputs and Outputs'!$G$83</definedName>
    <definedName name="cbi_oth_maxvalue" localSheetId="2">#REF!</definedName>
    <definedName name="cbi_oth_maxvalue">'Inputs and Outputs'!$C$83</definedName>
    <definedName name="cbi_oth_tax_fed" localSheetId="2">#REF!</definedName>
    <definedName name="cbi_oth_tax_fed">'Inputs and Outputs'!$D$83</definedName>
    <definedName name="cbi_oth_tax_sta" localSheetId="2">#REF!</definedName>
    <definedName name="cbi_oth_tax_sta">'Inputs and Outputs'!$E$83</definedName>
    <definedName name="cbi_sta_amount" localSheetId="2">#REF!</definedName>
    <definedName name="cbi_sta_amount">'Inputs and Outputs'!$B$81</definedName>
    <definedName name="cbi_sta_deprbas_fed" localSheetId="2">#REF!</definedName>
    <definedName name="cbi_sta_deprbas_fed">'Inputs and Outputs'!$F$81</definedName>
    <definedName name="cbi_sta_deprbas_sta" localSheetId="2">#REF!</definedName>
    <definedName name="cbi_sta_deprbas_sta">'Inputs and Outputs'!$G$81</definedName>
    <definedName name="cbi_sta_maxvalue" localSheetId="2">#REF!</definedName>
    <definedName name="cbi_sta_maxvalue">'Inputs and Outputs'!$C$81</definedName>
    <definedName name="cbi_sta_tax_fed" localSheetId="2">#REF!</definedName>
    <definedName name="cbi_sta_tax_fed">'Inputs and Outputs'!$D$81</definedName>
    <definedName name="cbi_sta_tax_sta" localSheetId="2">#REF!</definedName>
    <definedName name="cbi_sta_tax_sta">'Inputs and Outputs'!$E$81</definedName>
    <definedName name="cbi_uti_amount" localSheetId="2">#REF!</definedName>
    <definedName name="cbi_uti_amount">'Inputs and Outputs'!$B$82</definedName>
    <definedName name="cbi_uti_deprbas_fed" localSheetId="2">#REF!</definedName>
    <definedName name="cbi_uti_deprbas_fed">'Inputs and Outputs'!$F$82</definedName>
    <definedName name="cbi_uti_deprbas_sta" localSheetId="2">#REF!</definedName>
    <definedName name="cbi_uti_deprbas_sta">'Inputs and Outputs'!$G$82</definedName>
    <definedName name="cbi_uti_maxvalue" localSheetId="2">#REF!</definedName>
    <definedName name="cbi_uti_maxvalue">'Inputs and Outputs'!$C$82</definedName>
    <definedName name="cbi_uti_tax_fed" localSheetId="2">#REF!</definedName>
    <definedName name="cbi_uti_tax_fed">'Inputs and Outputs'!$D$82</definedName>
    <definedName name="cbi_uti_tax_sta" localSheetId="2">#REF!</definedName>
    <definedName name="cbi_uti_tax_sta">'Inputs and Outputs'!$E$82</definedName>
    <definedName name="cf_battery_replacement_cost">'Inputs and Outputs'!$B$127</definedName>
    <definedName name="cf_energy_net">'Inputs and Outputs'!$B$105</definedName>
    <definedName name="cf_energy_value">'Inputs and Outputs'!$B$107</definedName>
    <definedName name="cf_energy_without_battery">'Inputs and Outputs'!$B$154</definedName>
    <definedName name="cf_fuelcell_replacement_cost">'Inputs and Outputs'!$B$136</definedName>
    <definedName name="cf_om_capacity1_expense">'Inputs and Outputs'!$B$130</definedName>
    <definedName name="cf_om_capacity2_expense">'Inputs and Outputs'!$B$134</definedName>
    <definedName name="cf_om_fixed1_expense">'Inputs and Outputs'!$B$129</definedName>
    <definedName name="cf_om_fixed2_expense">'Inputs and Outputs'!$B$133</definedName>
    <definedName name="cf_om_production1_expense">'Inputs and Outputs'!$B$131</definedName>
    <definedName name="cf_om_production2_expense">'Inputs and Outputs'!$B$135</definedName>
    <definedName name="cf_thermal_value">'Inputs and Outputs'!$B$108</definedName>
    <definedName name="construction_financing_cost">#REF!</definedName>
    <definedName name="cost_debt_closing">#REF!</definedName>
    <definedName name="cost_other_financing">#REF!</definedName>
    <definedName name="CostDebtUpfront">#REF!</definedName>
    <definedName name="CostFlow">'Cash Flow'!$C$132:$CX$132</definedName>
    <definedName name="CumulativePaybackCashFlowWithExpenses">'Cash Flow'!$B$140:$CX$140</definedName>
    <definedName name="CumulativePaybackNoIncentives">'Cash Flow'!#REF!</definedName>
    <definedName name="debt_fraction">'Inputs and Outputs'!$B$31</definedName>
    <definedName name="DebtPayment">#REF!</definedName>
    <definedName name="DebtPercent">#REF!</definedName>
    <definedName name="DebtServiceCoverageRatio">#REF!</definedName>
    <definedName name="depr_alloc_custom_percent">'Inputs and Outputs'!$B$98</definedName>
    <definedName name="depr_alloc_macrs_15_percent">'Inputs and Outputs'!$B$93</definedName>
    <definedName name="depr_alloc_macrs_5_percent">'Inputs and Outputs'!$B$92</definedName>
    <definedName name="depr_alloc_sl_15_percent">'Inputs and Outputs'!$B$95</definedName>
    <definedName name="depr_alloc_sl_20_percent">'Inputs and Outputs'!$B$96</definedName>
    <definedName name="depr_alloc_sl_39_percent">'Inputs and Outputs'!$B$97</definedName>
    <definedName name="depr_alloc_sl_5_percent">'Inputs and Outputs'!$B$94</definedName>
    <definedName name="depr_bonus_fed">'Inputs and Outputs'!$C$99</definedName>
    <definedName name="depr_bonus_fed_custom">'Inputs and Outputs'!$C$98</definedName>
    <definedName name="depr_bonus_fed_macrs_15">'Inputs and Outputs'!$C$93</definedName>
    <definedName name="depr_bonus_fed_macrs_5">'Inputs and Outputs'!$C$92</definedName>
    <definedName name="depr_bonus_fed_sl_15">'Inputs and Outputs'!$C$95</definedName>
    <definedName name="depr_bonus_fed_sl_20">'Inputs and Outputs'!$C$96</definedName>
    <definedName name="depr_bonus_fed_sl_39">'Inputs and Outputs'!$C$97</definedName>
    <definedName name="depr_bonus_fed_sl_5">'Inputs and Outputs'!$C$94</definedName>
    <definedName name="depr_bonus_fed_sl_custom">'Inputs and Outputs'!$C$98</definedName>
    <definedName name="depr_bonus_sta">'Inputs and Outputs'!$D$99</definedName>
    <definedName name="depr_bonus_sta_custom">'Inputs and Outputs'!$D$98</definedName>
    <definedName name="depr_bonus_sta_macrs_15">'Inputs and Outputs'!$D$93</definedName>
    <definedName name="depr_bonus_sta_macrs_5">'Inputs and Outputs'!$D$92</definedName>
    <definedName name="depr_bonus_sta_sl_15">'Inputs and Outputs'!$D$95</definedName>
    <definedName name="depr_bonus_sta_sl_20">'Inputs and Outputs'!$D$96</definedName>
    <definedName name="depr_bonus_sta_sl_39">'Inputs and Outputs'!$D$97</definedName>
    <definedName name="depr_bonus_sta_sl_399">'Inputs and Outputs'!$D$97</definedName>
    <definedName name="depr_bonus_sta_sl_5">'Inputs and Outputs'!$D$94</definedName>
    <definedName name="depr_custom_schedule">'Inputs and Outputs'!$B$159</definedName>
    <definedName name="depr_itc_fed_custom">'Inputs and Outputs'!$E$98</definedName>
    <definedName name="depr_itc_fed_macrs_15">'Inputs and Outputs'!$E$93</definedName>
    <definedName name="depr_itc_fed_macrs_5">'Inputs and Outputs'!$E$92</definedName>
    <definedName name="depr_itc_fed_sl_15">'Inputs and Outputs'!$E$95</definedName>
    <definedName name="depr_itc_fed_sl_20">'Inputs and Outputs'!$E$96</definedName>
    <definedName name="depr_itc_fed_sl_39">'Inputs and Outputs'!$E$97</definedName>
    <definedName name="depr_itc_fed_sl_5">'Inputs and Outputs'!$E$94</definedName>
    <definedName name="depr_itc_sta_custom">'Inputs and Outputs'!$F$98</definedName>
    <definedName name="depr_itc_sta_macrs_15">'Inputs and Outputs'!$F$93</definedName>
    <definedName name="depr_itc_sta_macrs_5">'Inputs and Outputs'!$F$92</definedName>
    <definedName name="depr_itc_sta_sl_15">'Inputs and Outputs'!$F$95</definedName>
    <definedName name="depr_itc_sta_sl_20">'Inputs and Outputs'!$F$96</definedName>
    <definedName name="depr_itc_sta_sl_39">'Inputs and Outputs'!$F$97</definedName>
    <definedName name="depr_itc_sta_sl_5">'Inputs and Outputs'!$F$94</definedName>
    <definedName name="dscr_limit_debt_fraction">#REF!</definedName>
    <definedName name="dscr_maximum_debt_fraction">#REF!</definedName>
    <definedName name="equip_reserve_depr_fed">#REF!</definedName>
    <definedName name="equip_reserve_depr_sta">#REF!</definedName>
    <definedName name="equip1_reserve_cost">#REF!</definedName>
    <definedName name="equip1_reserve_freq">#REF!</definedName>
    <definedName name="equip2_reserve_cost">#REF!</definedName>
    <definedName name="equip2_reserve_freq">#REF!</definedName>
    <definedName name="equip3_reserve_cost">#REF!</definedName>
    <definedName name="equip3_reserve_freq">#REF!</definedName>
    <definedName name="federal_tax_rate">'Inputs and Outputs'!$B$42</definedName>
    <definedName name="FederalDepreciation">'Inputs and Outputs'!#REF!</definedName>
    <definedName name="FederalDepreciationAmount">'Inputs and Outputs'!#REF!</definedName>
    <definedName name="FederalDepreciationSchedule">'Inputs and Outputs'!#REF!</definedName>
    <definedName name="flip_target_year">#REF!</definedName>
    <definedName name="fuelcell_annual_energy_discharged">'Inputs and Outputs'!$B$157</definedName>
    <definedName name="FuelCellFuel">'Inputs and Outputs'!$B$137</definedName>
    <definedName name="ibi_fed_amount" localSheetId="2">#REF!</definedName>
    <definedName name="ibi_fed_amount">'Inputs and Outputs'!$B$70</definedName>
    <definedName name="ibi_fed_amount_deprbas_fed" localSheetId="2">#REF!</definedName>
    <definedName name="ibi_fed_amount_deprbas_fed">'Inputs and Outputs'!$F$70</definedName>
    <definedName name="ibi_fed_amount_deprbas_sta" localSheetId="2">#REF!</definedName>
    <definedName name="ibi_fed_amount_deprbas_sta">'Inputs and Outputs'!$G$70</definedName>
    <definedName name="ibi_fed_amount_tax_fed" localSheetId="2">#REF!</definedName>
    <definedName name="ibi_fed_amount_tax_fed">'Inputs and Outputs'!$D$70</definedName>
    <definedName name="ibi_fed_amount_tax_sta" localSheetId="2">#REF!</definedName>
    <definedName name="ibi_fed_amount_tax_sta">'Inputs and Outputs'!$E$70</definedName>
    <definedName name="ibi_fed_percent" localSheetId="2">#REF!</definedName>
    <definedName name="ibi_fed_percent">'Inputs and Outputs'!$B$75</definedName>
    <definedName name="ibi_fed_percent_deprbas_fed" localSheetId="2">#REF!</definedName>
    <definedName name="ibi_fed_percent_deprbas_fed">'Inputs and Outputs'!$F$75</definedName>
    <definedName name="ibi_fed_percent_deprbas_sta" localSheetId="2">#REF!</definedName>
    <definedName name="ibi_fed_percent_deprbas_sta">'Inputs and Outputs'!$G$75</definedName>
    <definedName name="ibi_fed_percent_maxvalue">'Inputs and Outputs'!$C$75</definedName>
    <definedName name="ibi_fed_percent_tax_fed" localSheetId="2">#REF!</definedName>
    <definedName name="ibi_fed_percent_tax_fed">'Inputs and Outputs'!$D$75</definedName>
    <definedName name="ibi_fed_percent_tax_sta" localSheetId="2">#REF!</definedName>
    <definedName name="ibi_fed_percent_tax_sta">'Inputs and Outputs'!$E$75</definedName>
    <definedName name="ibi_oth_amount" localSheetId="2">#REF!</definedName>
    <definedName name="ibi_oth_amount">'Inputs and Outputs'!$B$73</definedName>
    <definedName name="ibi_oth_amount_deprbas_fed" localSheetId="2">#REF!</definedName>
    <definedName name="ibi_oth_amount_deprbas_fed">'Inputs and Outputs'!$F$73</definedName>
    <definedName name="ibi_oth_amount_deprbas_sta" localSheetId="2">#REF!</definedName>
    <definedName name="ibi_oth_amount_deprbas_sta">'Inputs and Outputs'!$G$73</definedName>
    <definedName name="ibi_oth_amount_tax_fed" localSheetId="2">#REF!</definedName>
    <definedName name="ibi_oth_amount_tax_fed">'Inputs and Outputs'!$D$73</definedName>
    <definedName name="ibi_oth_amount_tax_sta" localSheetId="2">#REF!</definedName>
    <definedName name="ibi_oth_amount_tax_sta">'Inputs and Outputs'!$E$73</definedName>
    <definedName name="ibi_oth_percent" localSheetId="2">#REF!</definedName>
    <definedName name="ibi_oth_percent">'Inputs and Outputs'!$B$78</definedName>
    <definedName name="ibi_oth_percent_deprbas_fed" localSheetId="2">#REF!</definedName>
    <definedName name="ibi_oth_percent_deprbas_fed">'Inputs and Outputs'!$F$78</definedName>
    <definedName name="ibi_oth_percent_deprbas_sta" localSheetId="2">#REF!</definedName>
    <definedName name="ibi_oth_percent_deprbas_sta">'Inputs and Outputs'!$G$78</definedName>
    <definedName name="ibi_oth_percent_maxvalue">'Inputs and Outputs'!$C$78</definedName>
    <definedName name="ibi_oth_percent_tax_fed" localSheetId="2">#REF!</definedName>
    <definedName name="ibi_oth_percent_tax_fed">'Inputs and Outputs'!$D$78</definedName>
    <definedName name="ibi_oth_percent_tax_sta" localSheetId="2">#REF!</definedName>
    <definedName name="ibi_oth_percent_tax_sta">'Inputs and Outputs'!$E$78</definedName>
    <definedName name="ibi_sta_amount" localSheetId="2">#REF!</definedName>
    <definedName name="ibi_sta_amount">'Inputs and Outputs'!$B$71</definedName>
    <definedName name="ibi_sta_amount_deprbas_fed" localSheetId="2">#REF!</definedName>
    <definedName name="ibi_sta_amount_deprbas_fed">'Inputs and Outputs'!$F$71</definedName>
    <definedName name="ibi_sta_amount_deprbas_sta" localSheetId="2">#REF!</definedName>
    <definedName name="ibi_sta_amount_deprbas_sta">'Inputs and Outputs'!$G$71</definedName>
    <definedName name="ibi_sta_amount_tax_fed" localSheetId="2">#REF!</definedName>
    <definedName name="ibi_sta_amount_tax_fed">'Inputs and Outputs'!$D$71</definedName>
    <definedName name="ibi_sta_amount_tax_sta" localSheetId="2">#REF!</definedName>
    <definedName name="ibi_sta_amount_tax_sta">'Inputs and Outputs'!$E$71</definedName>
    <definedName name="ibi_sta_percent" localSheetId="2">#REF!</definedName>
    <definedName name="ibi_sta_percent">'Inputs and Outputs'!$B$76</definedName>
    <definedName name="ibi_sta_percent_deprbas_fed" localSheetId="2">#REF!</definedName>
    <definedName name="ibi_sta_percent_deprbas_fed">'Inputs and Outputs'!$F$76</definedName>
    <definedName name="ibi_sta_percent_deprbas_sta" localSheetId="2">#REF!</definedName>
    <definedName name="ibi_sta_percent_deprbas_sta">'Inputs and Outputs'!$G$76</definedName>
    <definedName name="ibi_sta_percent_maxvalue">'Inputs and Outputs'!$C$76</definedName>
    <definedName name="ibi_sta_percent_tax_fed" localSheetId="2">#REF!</definedName>
    <definedName name="ibi_sta_percent_tax_fed">'Inputs and Outputs'!$D$76</definedName>
    <definedName name="ibi_sta_percent_tax_sta" localSheetId="2">#REF!</definedName>
    <definedName name="ibi_sta_percent_tax_sta">'Inputs and Outputs'!$E$76</definedName>
    <definedName name="ibi_uti_amount" localSheetId="2">#REF!</definedName>
    <definedName name="ibi_uti_amount">'Inputs and Outputs'!$B$72</definedName>
    <definedName name="ibi_uti_amount_deprbas_fed" localSheetId="2">#REF!</definedName>
    <definedName name="ibi_uti_amount_deprbas_fed">'Inputs and Outputs'!$F$72</definedName>
    <definedName name="ibi_uti_amount_deprbas_sta" localSheetId="2">#REF!</definedName>
    <definedName name="ibi_uti_amount_deprbas_sta">'Inputs and Outputs'!$G$72</definedName>
    <definedName name="ibi_uti_amount_tax_fed" localSheetId="2">#REF!</definedName>
    <definedName name="ibi_uti_amount_tax_fed">'Inputs and Outputs'!$D$72</definedName>
    <definedName name="ibi_uti_amount_tax_sta" localSheetId="2">#REF!</definedName>
    <definedName name="ibi_uti_amount_tax_sta">'Inputs and Outputs'!$E$72</definedName>
    <definedName name="ibi_uti_percent" localSheetId="2">#REF!</definedName>
    <definedName name="ibi_uti_percent">'Inputs and Outputs'!$B$77</definedName>
    <definedName name="ibi_uti_percent_deprbas_fed" localSheetId="2">#REF!</definedName>
    <definedName name="ibi_uti_percent_deprbas_fed">'Inputs and Outputs'!$F$77</definedName>
    <definedName name="ibi_uti_percent_deprbas_sta" localSheetId="2">#REF!</definedName>
    <definedName name="ibi_uti_percent_deprbas_sta">'Inputs and Outputs'!$G$77</definedName>
    <definedName name="ibi_uti_percent_maxvalue">'Inputs and Outputs'!$C$77</definedName>
    <definedName name="ibi_uti_percent_tax_fed" localSheetId="2">#REF!</definedName>
    <definedName name="ibi_uti_percent_tax_fed">'Inputs and Outputs'!$D$77</definedName>
    <definedName name="ibi_uti_percent_tax_sta" localSheetId="2">#REF!</definedName>
    <definedName name="ibi_uti_percent_tax_sta">'Inputs and Outputs'!$E$77</definedName>
    <definedName name="inflation_rate" localSheetId="2">#REF!</definedName>
    <definedName name="inflation_rate">'Inputs and Outputs'!$B$37</definedName>
    <definedName name="insurance_rate" localSheetId="2">#REF!</definedName>
    <definedName name="insurance_rate">'Inputs and Outputs'!$B$45</definedName>
    <definedName name="IRRTarget">#REF!</definedName>
    <definedName name="itc_fed_amount">'Inputs and Outputs'!$C$139</definedName>
    <definedName name="itc_fed_amount_deprbas_fed" localSheetId="2">#REF!</definedName>
    <definedName name="itc_fed_amount_deprbas_fed">'Inputs and Outputs'!$D$58</definedName>
    <definedName name="itc_fed_amount_deprbas_sta" localSheetId="2">#REF!</definedName>
    <definedName name="itc_fed_amount_deprbas_sta">'Inputs and Outputs'!$E$58</definedName>
    <definedName name="itc_fed_percent">'Inputs and Outputs'!$C$141</definedName>
    <definedName name="itc_fed_percent_deprbas_fed" localSheetId="2">#REF!</definedName>
    <definedName name="itc_fed_percent_deprbas_fed">'Inputs and Outputs'!$D$61</definedName>
    <definedName name="itc_fed_percent_deprbas_sta" localSheetId="2">#REF!</definedName>
    <definedName name="itc_fed_percent_deprbas_sta">'Inputs and Outputs'!$E$61</definedName>
    <definedName name="itc_fed_percent_maxvalue">'Inputs and Outputs'!$C$142</definedName>
    <definedName name="itc_sta_amount">'Inputs and Outputs'!$C$140</definedName>
    <definedName name="itc_sta_amount_deprbas_fed" localSheetId="2">#REF!</definedName>
    <definedName name="itc_sta_amount_deprbas_fed">'Inputs and Outputs'!$D$59</definedName>
    <definedName name="itc_sta_amount_deprbas_sta" localSheetId="2">#REF!</definedName>
    <definedName name="itc_sta_amount_deprbas_sta">'Inputs and Outputs'!$E$59</definedName>
    <definedName name="itc_sta_percent">'Inputs and Outputs'!$C$143</definedName>
    <definedName name="itc_sta_percent_deprbas_fed" localSheetId="2">#REF!</definedName>
    <definedName name="itc_sta_percent_deprbas_fed">'Inputs and Outputs'!$D$62</definedName>
    <definedName name="itc_sta_percent_deprbas_sta" localSheetId="2">#REF!</definedName>
    <definedName name="itc_sta_percent_deprbas_sta">'Inputs and Outputs'!$E$62</definedName>
    <definedName name="itc_sta_percent_maxvalue">'Inputs and Outputs'!$C$144</definedName>
    <definedName name="loan_moratorium">#REF!</definedName>
    <definedName name="loan_rate">'Inputs and Outputs'!$B$33</definedName>
    <definedName name="loan_term">'Inputs and Outputs'!$B$32</definedName>
    <definedName name="months_receivables_reserve">#REF!</definedName>
    <definedName name="months_working_reserve">#REF!</definedName>
    <definedName name="MortgageSizeOfDebt">#REF!</definedName>
    <definedName name="NominalDiscountRate" localSheetId="2">#REF!</definedName>
    <definedName name="NominalDiscountRate">'Inputs and Outputs'!$B$39</definedName>
    <definedName name="om_capacity" localSheetId="2">#REF!</definedName>
    <definedName name="om_capacity">'Inputs and Outputs'!$B$11</definedName>
    <definedName name="om_capacity_escal" localSheetId="2">#REF!</definedName>
    <definedName name="om_capacity_escal">'Inputs and Outputs'!$B$12</definedName>
    <definedName name="om_fixed" localSheetId="2">#REF!</definedName>
    <definedName name="om_fixed">'Inputs and Outputs'!$B$9</definedName>
    <definedName name="om_fixed_escal" localSheetId="2">#REF!</definedName>
    <definedName name="om_fixed_escal">'Inputs and Outputs'!$B$10</definedName>
    <definedName name="om_fuel_cost" localSheetId="2">#REF!</definedName>
    <definedName name="om_fuel_cost">'Inputs and Outputs'!$B$20</definedName>
    <definedName name="om_fuel_cost_escal" localSheetId="2">#REF!</definedName>
    <definedName name="om_fuel_cost_escal">'Inputs and Outputs'!$B$21</definedName>
    <definedName name="om_land_lease">#REF!</definedName>
    <definedName name="om_land_lease_escal">#REF!</definedName>
    <definedName name="om_opt_fuel_1_cost">'Inputs and Outputs'!$B$24</definedName>
    <definedName name="om_opt_fuel_1_cost_escal">'Inputs and Outputs'!$B$25</definedName>
    <definedName name="om_opt_fuel_1_usage">'Inputs and Outputs'!$B$23</definedName>
    <definedName name="om_opt_fuel_2_cost">'Inputs and Outputs'!$B$27</definedName>
    <definedName name="om_opt_fuel_2_cost_escal">'Inputs and Outputs'!$B$28</definedName>
    <definedName name="om_opt_fuel_2_usage">'Inputs and Outputs'!$B$26</definedName>
    <definedName name="om_production" localSheetId="2">#REF!</definedName>
    <definedName name="om_production">'Inputs and Outputs'!$B$13</definedName>
    <definedName name="om_production_escal" localSheetId="2">#REF!</definedName>
    <definedName name="om_production_escal">'Inputs and Outputs'!$B$14</definedName>
    <definedName name="outCummulative_payback_cashflow_excluding_expenses">'Cash Flow'!#REF!</definedName>
    <definedName name="outFedITCAmount">'Inputs and Outputs'!#REF!</definedName>
    <definedName name="outFedPBILineItem">'Cash Flow'!$C$77:$CX$77</definedName>
    <definedName name="outFirstCost">'Inputs and Outputs'!$H$11</definedName>
    <definedName name="outOtherPBILineItem">'Cash Flow'!$C$80:$CX$80</definedName>
    <definedName name="outPayback_cash_flow_including_expenses">'Cash Flow'!$B$137:$CX$137</definedName>
    <definedName name="outPayback_cashflow_excluding_expenses">'Cash Flow'!#REF!</definedName>
    <definedName name="outPayback_wo_incentives">'Cash Flow'!#REF!</definedName>
    <definedName name="outStatePBILineItem">'Cash Flow'!$C$78:$CX$78</definedName>
    <definedName name="outTotalAdjustedInstalledCosts">'Inputs and Outputs'!$H$10</definedName>
    <definedName name="outUtilityPBILineItem">'Cash Flow'!$C$79:$CX$79</definedName>
    <definedName name="outYear">'Cash Flow'!$B$2:$CX$2</definedName>
    <definedName name="outYearZeroCashFlow">'Cash Flow'!$B$134</definedName>
    <definedName name="outYearZeroCostFlow">'Cash Flow'!$B$132</definedName>
    <definedName name="pbi_fed_amount" localSheetId="2">#REF!</definedName>
    <definedName name="pbi_fed_amount">'Inputs and Outputs'!$B$85</definedName>
    <definedName name="pbi_fed_escal" localSheetId="2">#REF!</definedName>
    <definedName name="pbi_fed_escal">'Inputs and Outputs'!$D$85</definedName>
    <definedName name="pbi_fed_for_ds">#REF!</definedName>
    <definedName name="pbi_fed_tax_fed" localSheetId="2">#REF!</definedName>
    <definedName name="pbi_fed_tax_fed">'Inputs and Outputs'!$E$85</definedName>
    <definedName name="pbi_fed_tax_sta" localSheetId="2">#REF!</definedName>
    <definedName name="pbi_fed_tax_sta">'Inputs and Outputs'!$F$85</definedName>
    <definedName name="pbi_fed_term" localSheetId="2">#REF!</definedName>
    <definedName name="pbi_fed_term">'Inputs and Outputs'!$C$85</definedName>
    <definedName name="pbi_oth_amount" localSheetId="2">#REF!</definedName>
    <definedName name="pbi_oth_amount">'Inputs and Outputs'!$B$88</definedName>
    <definedName name="pbi_oth_escal" localSheetId="2">#REF!</definedName>
    <definedName name="pbi_oth_escal">'Inputs and Outputs'!$D$88</definedName>
    <definedName name="pbi_oth_for_ds">#REF!</definedName>
    <definedName name="pbi_oth_tax_fed" localSheetId="2">#REF!</definedName>
    <definedName name="pbi_oth_tax_fed">'Inputs and Outputs'!$E$88</definedName>
    <definedName name="pbi_oth_tax_sta" localSheetId="2">#REF!</definedName>
    <definedName name="pbi_oth_tax_sta">'Inputs and Outputs'!$F$88</definedName>
    <definedName name="pbi_oth_term" localSheetId="2">#REF!</definedName>
    <definedName name="pbi_oth_term">'Inputs and Outputs'!$C$88</definedName>
    <definedName name="pbi_sta_amount" localSheetId="2">#REF!</definedName>
    <definedName name="pbi_sta_amount">'Inputs and Outputs'!$B$86</definedName>
    <definedName name="pbi_sta_escal" localSheetId="2">#REF!</definedName>
    <definedName name="pbi_sta_escal">'Inputs and Outputs'!$D$86</definedName>
    <definedName name="pbi_sta_for_ds">#REF!</definedName>
    <definedName name="pbi_sta_tax_fed" localSheetId="2">#REF!</definedName>
    <definedName name="pbi_sta_tax_fed">'Inputs and Outputs'!$E$86</definedName>
    <definedName name="pbi_sta_tax_sta" localSheetId="2">#REF!</definedName>
    <definedName name="pbi_sta_tax_sta">'Inputs and Outputs'!$F$86</definedName>
    <definedName name="pbi_sta_term" localSheetId="2">#REF!</definedName>
    <definedName name="pbi_sta_term">'Inputs and Outputs'!$C$86</definedName>
    <definedName name="pbi_uti_amount" localSheetId="2">#REF!</definedName>
    <definedName name="pbi_uti_amount">'Inputs and Outputs'!$B$87</definedName>
    <definedName name="pbi_uti_escal" localSheetId="2">#REF!</definedName>
    <definedName name="pbi_uti_escal">'Inputs and Outputs'!$D$87</definedName>
    <definedName name="pbi_uti_for_ds">#REF!</definedName>
    <definedName name="pbi_uti_tax_fed" localSheetId="2">#REF!</definedName>
    <definedName name="pbi_uti_tax_fed">'Inputs and Outputs'!$E$87</definedName>
    <definedName name="pbi_uti_tax_sta" localSheetId="2">#REF!</definedName>
    <definedName name="pbi_uti_tax_sta">'Inputs and Outputs'!$F$87</definedName>
    <definedName name="pbi_uti_term" localSheetId="2">#REF!</definedName>
    <definedName name="pbi_uti_term">'Inputs and Outputs'!$C$87</definedName>
    <definedName name="ppa_escalation">#REF!</definedName>
    <definedName name="PPAPriceInput">#REF!</definedName>
    <definedName name="prop_tax_assessed_decline" localSheetId="2">#REF!</definedName>
    <definedName name="prop_tax_assessed_decline">'Inputs and Outputs'!$B$49</definedName>
    <definedName name="prop_tax_cost_assessed_percent" localSheetId="2">#REF!</definedName>
    <definedName name="prop_tax_cost_assessed_percent">'Inputs and Outputs'!$B$47</definedName>
    <definedName name="property_tax_rate" localSheetId="2">#REF!</definedName>
    <definedName name="property_tax_rate">'Inputs and Outputs'!$B$50</definedName>
    <definedName name="PropertyTaxAssessedValue">#REF!</definedName>
    <definedName name="ptc_fed_amount" localSheetId="2">#REF!</definedName>
    <definedName name="ptc_fed_amount">'Inputs and Outputs'!$B$64</definedName>
    <definedName name="ptc_fed_escal" localSheetId="2">#REF!</definedName>
    <definedName name="ptc_fed_escal">'Inputs and Outputs'!$D$64</definedName>
    <definedName name="ptc_fed_term" localSheetId="2">#REF!</definedName>
    <definedName name="ptc_fed_term">'Inputs and Outputs'!$C$64</definedName>
    <definedName name="ptc_sta_amount" localSheetId="2">#REF!</definedName>
    <definedName name="ptc_sta_amount">'Inputs and Outputs'!$B$65</definedName>
    <definedName name="ptc_sta_escal" localSheetId="2">#REF!</definedName>
    <definedName name="ptc_sta_escal">'Inputs and Outputs'!$D$65</definedName>
    <definedName name="ptc_sta_term" localSheetId="2">#REF!</definedName>
    <definedName name="ptc_sta_term">'Inputs and Outputs'!$C$65</definedName>
    <definedName name="real_discount_rate" localSheetId="2">#REF!</definedName>
    <definedName name="real_discount_rate">'Inputs and Outputs'!$B$38</definedName>
    <definedName name="reserves_interest">#REF!</definedName>
    <definedName name="sales_tax_rate">'Inputs and Outputs'!$B$44</definedName>
    <definedName name="salvage_percentage" localSheetId="2">#REF!</definedName>
    <definedName name="salvage_percentage">'Inputs and Outputs'!$B$53</definedName>
    <definedName name="state_tax_rate">'Inputs and Outputs'!$B$43</definedName>
    <definedName name="StateDepreciation">'Inputs and Outputs'!#REF!</definedName>
    <definedName name="StateDepreciationAmount">'Inputs and Outputs'!#REF!</definedName>
    <definedName name="StateDepreciationSchedule">'Inputs and Outputs'!#REF!</definedName>
    <definedName name="system_capacity" localSheetId="2">#REF!</definedName>
    <definedName name="system_capacity">'Inputs and Outputs'!$B$3</definedName>
    <definedName name="system_heat_rate" localSheetId="2">#REF!</definedName>
    <definedName name="system_heat_rate">'Inputs and Outputs'!$B$19</definedName>
    <definedName name="TaxDeductibleInterest">'Inputs and Outputs'!#REF!</definedName>
    <definedName name="term_int_rate">#REF!</definedName>
    <definedName name="term_tenor">#REF!</definedName>
    <definedName name="total_installed_cost" localSheetId="2">#REF!</definedName>
    <definedName name="total_installed_cost">'Inputs and Outputs'!$B$7</definedName>
    <definedName name="total_land_area">#REF!</definedName>
    <definedName name="UseDepreciation">'Inputs and Outputs'!#REF!</definedName>
    <definedName name="UseTaxDeductableOpEx">'Inputs and Outputs'!$B$102</definedName>
    <definedName name="UseTaxDeductibleInterest">'Inputs and Outputs'!$B$101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43" i="8" l="1"/>
  <c r="E143"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AI143" i="8"/>
  <c r="AJ143" i="8"/>
  <c r="AK143" i="8"/>
  <c r="AL143" i="8"/>
  <c r="AM143" i="8"/>
  <c r="AN143" i="8"/>
  <c r="AO143" i="8"/>
  <c r="AP143" i="8"/>
  <c r="AQ143" i="8"/>
  <c r="AR143" i="8"/>
  <c r="AS143" i="8"/>
  <c r="AT143" i="8"/>
  <c r="AU143" i="8"/>
  <c r="AV143" i="8"/>
  <c r="AW143" i="8"/>
  <c r="AX143" i="8"/>
  <c r="AY143" i="8"/>
  <c r="AZ143" i="8"/>
  <c r="BA143" i="8"/>
  <c r="BB143" i="8"/>
  <c r="BC143" i="8"/>
  <c r="BD143" i="8"/>
  <c r="BE143" i="8"/>
  <c r="BF143" i="8"/>
  <c r="BG143" i="8"/>
  <c r="BH143" i="8"/>
  <c r="BI143" i="8"/>
  <c r="BJ143" i="8"/>
  <c r="BK143" i="8"/>
  <c r="BL143" i="8"/>
  <c r="BM143" i="8"/>
  <c r="BN143" i="8"/>
  <c r="BO143" i="8"/>
  <c r="BP143" i="8"/>
  <c r="BQ143" i="8"/>
  <c r="BR143" i="8"/>
  <c r="BS143" i="8"/>
  <c r="BT143" i="8"/>
  <c r="BU143" i="8"/>
  <c r="BV143" i="8"/>
  <c r="BW143" i="8"/>
  <c r="BX143" i="8"/>
  <c r="BY143" i="8"/>
  <c r="BZ143" i="8"/>
  <c r="CA143" i="8"/>
  <c r="CB143" i="8"/>
  <c r="CC143" i="8"/>
  <c r="CD143" i="8"/>
  <c r="CE143" i="8"/>
  <c r="CF143" i="8"/>
  <c r="CG143" i="8"/>
  <c r="CH143" i="8"/>
  <c r="CI143" i="8"/>
  <c r="CJ143" i="8"/>
  <c r="CK143" i="8"/>
  <c r="CL143" i="8"/>
  <c r="CM143" i="8"/>
  <c r="CN143" i="8"/>
  <c r="CO143" i="8"/>
  <c r="CP143" i="8"/>
  <c r="CQ143" i="8"/>
  <c r="CR143" i="8"/>
  <c r="CS143" i="8"/>
  <c r="CT143" i="8"/>
  <c r="CU143" i="8"/>
  <c r="CV143" i="8"/>
  <c r="CW143" i="8"/>
  <c r="CX143" i="8"/>
  <c r="C143" i="8"/>
  <c r="D133" i="8"/>
  <c r="E133"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AI133" i="8"/>
  <c r="AJ133" i="8"/>
  <c r="AK133" i="8"/>
  <c r="AL133" i="8"/>
  <c r="AM133" i="8"/>
  <c r="AN133" i="8"/>
  <c r="AO133" i="8"/>
  <c r="AP133" i="8"/>
  <c r="AQ133" i="8"/>
  <c r="AR133" i="8"/>
  <c r="AS133" i="8"/>
  <c r="AT133" i="8"/>
  <c r="AU133" i="8"/>
  <c r="AV133" i="8"/>
  <c r="AW133" i="8"/>
  <c r="AX133" i="8"/>
  <c r="AY133" i="8"/>
  <c r="AZ133" i="8"/>
  <c r="BA133" i="8"/>
  <c r="BB133" i="8"/>
  <c r="BC133" i="8"/>
  <c r="BD133" i="8"/>
  <c r="BE133" i="8"/>
  <c r="BF133" i="8"/>
  <c r="BG133" i="8"/>
  <c r="BH133" i="8"/>
  <c r="BI133" i="8"/>
  <c r="BJ133" i="8"/>
  <c r="BK133" i="8"/>
  <c r="BL133" i="8"/>
  <c r="BM133" i="8"/>
  <c r="BN133" i="8"/>
  <c r="BO133" i="8"/>
  <c r="BP133" i="8"/>
  <c r="BQ133" i="8"/>
  <c r="BR133" i="8"/>
  <c r="BS133" i="8"/>
  <c r="BT133" i="8"/>
  <c r="BU133" i="8"/>
  <c r="BV133" i="8"/>
  <c r="BW133" i="8"/>
  <c r="BX133" i="8"/>
  <c r="BY133" i="8"/>
  <c r="BZ133" i="8"/>
  <c r="CA133" i="8"/>
  <c r="CB133" i="8"/>
  <c r="CC133" i="8"/>
  <c r="CD133" i="8"/>
  <c r="CE133" i="8"/>
  <c r="CF133" i="8"/>
  <c r="CG133" i="8"/>
  <c r="CH133" i="8"/>
  <c r="CI133" i="8"/>
  <c r="CJ133" i="8"/>
  <c r="CK133" i="8"/>
  <c r="CL133" i="8"/>
  <c r="CM133" i="8"/>
  <c r="CN133" i="8"/>
  <c r="CO133" i="8"/>
  <c r="CP133" i="8"/>
  <c r="CQ133" i="8"/>
  <c r="CR133" i="8"/>
  <c r="CS133" i="8"/>
  <c r="CT133" i="8"/>
  <c r="CU133" i="8"/>
  <c r="CV133" i="8"/>
  <c r="CW133" i="8"/>
  <c r="CX133" i="8"/>
  <c r="C133" i="8"/>
  <c r="D47" i="8"/>
  <c r="E47"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AI47" i="8"/>
  <c r="AJ47" i="8"/>
  <c r="AK47" i="8"/>
  <c r="AL47" i="8"/>
  <c r="AM47" i="8"/>
  <c r="AN47" i="8"/>
  <c r="AO47" i="8"/>
  <c r="AP47" i="8"/>
  <c r="AQ47" i="8"/>
  <c r="AR47" i="8"/>
  <c r="AS47" i="8"/>
  <c r="AT47" i="8"/>
  <c r="AU47" i="8"/>
  <c r="AV47" i="8"/>
  <c r="AW47" i="8"/>
  <c r="AX47" i="8"/>
  <c r="AY47" i="8"/>
  <c r="AZ47" i="8"/>
  <c r="BA47" i="8"/>
  <c r="BB47" i="8"/>
  <c r="BC47" i="8"/>
  <c r="BD47" i="8"/>
  <c r="BE47" i="8"/>
  <c r="BF47" i="8"/>
  <c r="BG47" i="8"/>
  <c r="BH47" i="8"/>
  <c r="BI47" i="8"/>
  <c r="BJ47" i="8"/>
  <c r="BK47" i="8"/>
  <c r="BL47" i="8"/>
  <c r="BM47" i="8"/>
  <c r="BN47" i="8"/>
  <c r="BO47" i="8"/>
  <c r="BP47" i="8"/>
  <c r="BQ47" i="8"/>
  <c r="BR47" i="8"/>
  <c r="BS47" i="8"/>
  <c r="BT47" i="8"/>
  <c r="BU47" i="8"/>
  <c r="BV47" i="8"/>
  <c r="BW47" i="8"/>
  <c r="BX47" i="8"/>
  <c r="BY47" i="8"/>
  <c r="BZ47" i="8"/>
  <c r="CA47" i="8"/>
  <c r="CB47" i="8"/>
  <c r="CC47" i="8"/>
  <c r="CD47" i="8"/>
  <c r="CE47" i="8"/>
  <c r="CF47" i="8"/>
  <c r="CG47" i="8"/>
  <c r="CH47" i="8"/>
  <c r="CI47" i="8"/>
  <c r="CJ47" i="8"/>
  <c r="CK47" i="8"/>
  <c r="CL47" i="8"/>
  <c r="CM47" i="8"/>
  <c r="CN47" i="8"/>
  <c r="CO47" i="8"/>
  <c r="CP47" i="8"/>
  <c r="CQ47" i="8"/>
  <c r="CR47" i="8"/>
  <c r="CS47" i="8"/>
  <c r="CT47" i="8"/>
  <c r="CU47" i="8"/>
  <c r="CV47" i="8"/>
  <c r="CW47" i="8"/>
  <c r="CX47" i="8"/>
  <c r="C47" i="8"/>
  <c r="D46" i="8"/>
  <c r="E46"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AI46" i="8"/>
  <c r="AJ46" i="8"/>
  <c r="AK46" i="8"/>
  <c r="AL46" i="8"/>
  <c r="AM46" i="8"/>
  <c r="AN46" i="8"/>
  <c r="AO46" i="8"/>
  <c r="AP46" i="8"/>
  <c r="AQ46" i="8"/>
  <c r="AR46" i="8"/>
  <c r="AS46" i="8"/>
  <c r="AT46" i="8"/>
  <c r="AU46" i="8"/>
  <c r="AV46" i="8"/>
  <c r="AW46" i="8"/>
  <c r="AX46" i="8"/>
  <c r="AY46" i="8"/>
  <c r="AZ46" i="8"/>
  <c r="BA46" i="8"/>
  <c r="BB46" i="8"/>
  <c r="BC46" i="8"/>
  <c r="BD46" i="8"/>
  <c r="BE46" i="8"/>
  <c r="BF46" i="8"/>
  <c r="BG46" i="8"/>
  <c r="BH46" i="8"/>
  <c r="BI46" i="8"/>
  <c r="BJ46" i="8"/>
  <c r="BK46" i="8"/>
  <c r="BL46" i="8"/>
  <c r="BM46" i="8"/>
  <c r="BN46" i="8"/>
  <c r="BO46" i="8"/>
  <c r="BP46" i="8"/>
  <c r="BQ46" i="8"/>
  <c r="BR46" i="8"/>
  <c r="BS46" i="8"/>
  <c r="BT46" i="8"/>
  <c r="BU46" i="8"/>
  <c r="BV46" i="8"/>
  <c r="BW46" i="8"/>
  <c r="BX46" i="8"/>
  <c r="BY46" i="8"/>
  <c r="BZ46" i="8"/>
  <c r="CA46" i="8"/>
  <c r="CB46" i="8"/>
  <c r="CC46" i="8"/>
  <c r="CD46" i="8"/>
  <c r="CE46" i="8"/>
  <c r="CF46" i="8"/>
  <c r="CG46" i="8"/>
  <c r="CH46" i="8"/>
  <c r="CI46" i="8"/>
  <c r="CJ46" i="8"/>
  <c r="CK46" i="8"/>
  <c r="CL46" i="8"/>
  <c r="CM46" i="8"/>
  <c r="CN46" i="8"/>
  <c r="CO46" i="8"/>
  <c r="CP46" i="8"/>
  <c r="CQ46" i="8"/>
  <c r="CR46" i="8"/>
  <c r="CS46" i="8"/>
  <c r="CT46" i="8"/>
  <c r="CU46" i="8"/>
  <c r="CV46" i="8"/>
  <c r="CW46" i="8"/>
  <c r="CX46" i="8"/>
  <c r="C46" i="8"/>
  <c r="D259" i="8"/>
  <c r="E259"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AI259" i="8"/>
  <c r="AJ259" i="8"/>
  <c r="AK259" i="8"/>
  <c r="AL259" i="8"/>
  <c r="AM259" i="8"/>
  <c r="AN259" i="8"/>
  <c r="AO259" i="8"/>
  <c r="AP259" i="8"/>
  <c r="C259" i="8"/>
  <c r="D202" i="8"/>
  <c r="E202"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AI202" i="8"/>
  <c r="AJ202" i="8"/>
  <c r="AK202" i="8"/>
  <c r="AL202" i="8"/>
  <c r="AM202" i="8"/>
  <c r="AN202" i="8"/>
  <c r="AO202" i="8"/>
  <c r="AP202" i="8"/>
  <c r="C202" i="8"/>
  <c r="A162" i="8" l="1"/>
  <c r="A163" i="8"/>
  <c r="A220" i="8" s="1"/>
  <c r="A255" i="8" s="1"/>
  <c r="A263" i="8" s="1"/>
  <c r="A164" i="8"/>
  <c r="A165" i="8"/>
  <c r="A222" i="8" s="1"/>
  <c r="A257" i="8" s="1"/>
  <c r="A265" i="8" s="1"/>
  <c r="A166" i="8"/>
  <c r="A167" i="8"/>
  <c r="A161" i="8"/>
  <c r="B267" i="8"/>
  <c r="B266" i="8"/>
  <c r="A248" i="8"/>
  <c r="B247" i="8"/>
  <c r="B246" i="8"/>
  <c r="B245" i="8"/>
  <c r="B244" i="8"/>
  <c r="A242" i="8"/>
  <c r="B241" i="8"/>
  <c r="B240" i="8"/>
  <c r="B239" i="8"/>
  <c r="B238" i="8"/>
  <c r="A236" i="8"/>
  <c r="B235" i="8"/>
  <c r="B234" i="8"/>
  <c r="B233" i="8"/>
  <c r="B232" i="8"/>
  <c r="K225" i="8"/>
  <c r="M224" i="8"/>
  <c r="G224" i="8"/>
  <c r="M223" i="8"/>
  <c r="G223" i="8"/>
  <c r="M222" i="8"/>
  <c r="G222" i="8"/>
  <c r="M221" i="8"/>
  <c r="G221" i="8"/>
  <c r="M220" i="8"/>
  <c r="G220" i="8"/>
  <c r="M219" i="8"/>
  <c r="G219" i="8"/>
  <c r="M218" i="8"/>
  <c r="G218" i="8"/>
  <c r="B190" i="8"/>
  <c r="A190" i="8"/>
  <c r="B189" i="8"/>
  <c r="A189" i="8"/>
  <c r="B188" i="8"/>
  <c r="A188" i="8"/>
  <c r="B187" i="8"/>
  <c r="A187" i="8"/>
  <c r="A186" i="8"/>
  <c r="A243" i="8" s="1"/>
  <c r="B184" i="8"/>
  <c r="A184" i="8"/>
  <c r="B183" i="8"/>
  <c r="A183" i="8"/>
  <c r="B182" i="8"/>
  <c r="A182" i="8"/>
  <c r="B181" i="8"/>
  <c r="A181" i="8"/>
  <c r="A180" i="8"/>
  <c r="A237" i="8" s="1"/>
  <c r="B178" i="8"/>
  <c r="A178" i="8"/>
  <c r="B177" i="8"/>
  <c r="A177" i="8"/>
  <c r="B176" i="8"/>
  <c r="A176" i="8"/>
  <c r="B175" i="8"/>
  <c r="A175" i="8"/>
  <c r="A174" i="8"/>
  <c r="A231" i="8" s="1"/>
  <c r="A173" i="8"/>
  <c r="A230" i="8" s="1"/>
  <c r="K168" i="8"/>
  <c r="M167" i="8"/>
  <c r="G167" i="8"/>
  <c r="M166" i="8"/>
  <c r="G166" i="8"/>
  <c r="M165" i="8"/>
  <c r="G165" i="8"/>
  <c r="M164" i="8"/>
  <c r="G164" i="8"/>
  <c r="M163" i="8"/>
  <c r="G163" i="8"/>
  <c r="M162" i="8"/>
  <c r="G162" i="8"/>
  <c r="M161" i="8"/>
  <c r="G161" i="8"/>
  <c r="B152" i="8"/>
  <c r="A200" i="8" l="1"/>
  <c r="A208" i="8" s="1"/>
  <c r="B248" i="8"/>
  <c r="B185" i="8"/>
  <c r="B155" i="8"/>
  <c r="C224" i="8" s="1"/>
  <c r="A219" i="8"/>
  <c r="A254" i="8" s="1"/>
  <c r="A262" i="8" s="1"/>
  <c r="A197" i="8"/>
  <c r="A205" i="8" s="1"/>
  <c r="A198" i="8"/>
  <c r="A206" i="8" s="1"/>
  <c r="A218" i="8"/>
  <c r="A253" i="8" s="1"/>
  <c r="A196" i="8"/>
  <c r="M225" i="8"/>
  <c r="G225" i="8"/>
  <c r="B191" i="8"/>
  <c r="B179" i="8"/>
  <c r="M168" i="8"/>
  <c r="G168" i="8"/>
  <c r="P168" i="8"/>
  <c r="C211" i="8" s="1"/>
  <c r="B211" i="8" s="1" a="1"/>
  <c r="B211" i="8" s="1"/>
  <c r="A221" i="8"/>
  <c r="A256" i="8" s="1"/>
  <c r="A199" i="8"/>
  <c r="B242" i="8"/>
  <c r="A223" i="8"/>
  <c r="A258" i="8" s="1"/>
  <c r="A266" i="8" s="1"/>
  <c r="A201" i="8"/>
  <c r="A209" i="8" s="1"/>
  <c r="P225" i="8"/>
  <c r="C268" i="8" s="1"/>
  <c r="B268" i="8" s="1" a="1"/>
  <c r="B268" i="8" s="1"/>
  <c r="B236" i="8"/>
  <c r="C218" i="8" l="1"/>
  <c r="C220" i="8"/>
  <c r="C221" i="8"/>
  <c r="C219" i="8"/>
  <c r="C222" i="8"/>
  <c r="C223" i="8"/>
  <c r="C225" i="8" s="1"/>
  <c r="B227" i="8"/>
  <c r="H223" i="8"/>
  <c r="H224" i="8"/>
  <c r="H218" i="8"/>
  <c r="H219" i="8"/>
  <c r="H220" i="8"/>
  <c r="H221" i="8"/>
  <c r="H222" i="8"/>
  <c r="B170" i="8"/>
  <c r="H167" i="8"/>
  <c r="K167" i="8" s="1"/>
  <c r="H164" i="8"/>
  <c r="K164" i="8" s="1"/>
  <c r="H162" i="8"/>
  <c r="K162" i="8" s="1"/>
  <c r="H161" i="8"/>
  <c r="K161" i="8" s="1"/>
  <c r="H166" i="8"/>
  <c r="K166" i="8" s="1"/>
  <c r="H165" i="8"/>
  <c r="K165" i="8" s="1"/>
  <c r="H163" i="8"/>
  <c r="K163" i="8" s="1"/>
  <c r="B156" i="8"/>
  <c r="C166" i="8"/>
  <c r="C162" i="8"/>
  <c r="C163" i="8"/>
  <c r="C167" i="8"/>
  <c r="C165" i="8"/>
  <c r="C164" i="8"/>
  <c r="C161" i="8"/>
  <c r="A204" i="8"/>
  <c r="B259" i="8" a="1"/>
  <c r="B259" i="8" s="1"/>
  <c r="A264" i="8"/>
  <c r="A261" i="8"/>
  <c r="B202" i="8" a="1"/>
  <c r="B202" i="8" s="1"/>
  <c r="A207" i="8"/>
  <c r="K220" i="8" l="1"/>
  <c r="K221" i="8"/>
  <c r="K218" i="8"/>
  <c r="K223" i="8"/>
  <c r="K222" i="8"/>
  <c r="K219" i="8"/>
  <c r="K224" i="8"/>
  <c r="C168" i="8"/>
  <c r="G42" i="9"/>
  <c r="G3" i="9"/>
  <c r="B100" i="7"/>
  <c r="B99" i="7" l="1"/>
  <c r="B224" i="8"/>
  <c r="B223" i="8"/>
  <c r="B222" i="8"/>
  <c r="B221" i="8"/>
  <c r="B220" i="8"/>
  <c r="B219" i="8"/>
  <c r="B218" i="8"/>
  <c r="B167" i="8"/>
  <c r="B162" i="8"/>
  <c r="B166" i="8"/>
  <c r="B164" i="8"/>
  <c r="B163" i="8"/>
  <c r="B165" i="8"/>
  <c r="B161" i="8"/>
  <c r="B8" i="8" a="1"/>
  <c r="T8" i="8" s="1"/>
  <c r="B7" i="8" a="1"/>
  <c r="AM7" i="8" s="1"/>
  <c r="B6" i="8" a="1"/>
  <c r="CQ6" i="8" s="1"/>
  <c r="B12" i="8" a="1"/>
  <c r="D12" i="8" s="1"/>
  <c r="D161" i="8" l="1"/>
  <c r="E161" i="8"/>
  <c r="B168" i="8"/>
  <c r="E165" i="8"/>
  <c r="D165" i="8"/>
  <c r="D163" i="8"/>
  <c r="E163" i="8"/>
  <c r="E164" i="8"/>
  <c r="D164" i="8"/>
  <c r="D166" i="8"/>
  <c r="E166" i="8"/>
  <c r="D162" i="8"/>
  <c r="E162" i="8"/>
  <c r="E167" i="8"/>
  <c r="D167" i="8"/>
  <c r="D218" i="8"/>
  <c r="E218" i="8"/>
  <c r="B225" i="8"/>
  <c r="D219" i="8"/>
  <c r="E219" i="8"/>
  <c r="E220" i="8"/>
  <c r="D220" i="8"/>
  <c r="E221" i="8"/>
  <c r="D221" i="8"/>
  <c r="E222" i="8"/>
  <c r="D222" i="8"/>
  <c r="E223" i="8"/>
  <c r="D223" i="8"/>
  <c r="D224" i="8"/>
  <c r="E224" i="8"/>
  <c r="BP8" i="8"/>
  <c r="CG8" i="8"/>
  <c r="BM8" i="8"/>
  <c r="AS8" i="8"/>
  <c r="Y8" i="8"/>
  <c r="E8" i="8"/>
  <c r="CF8" i="8"/>
  <c r="BL8" i="8"/>
  <c r="AR8" i="8"/>
  <c r="X8" i="8"/>
  <c r="D8" i="8"/>
  <c r="CA8" i="8"/>
  <c r="AM8" i="8"/>
  <c r="CT8" i="8"/>
  <c r="BF8" i="8"/>
  <c r="R8" i="8"/>
  <c r="BY8" i="8"/>
  <c r="AK8" i="8"/>
  <c r="BX8" i="8"/>
  <c r="AJ8" i="8"/>
  <c r="BW8" i="8"/>
  <c r="O8" i="8"/>
  <c r="BV8" i="8"/>
  <c r="N8" i="8"/>
  <c r="BU8" i="8"/>
  <c r="AG8" i="8"/>
  <c r="AF8" i="8"/>
  <c r="CM8" i="8"/>
  <c r="AE8" i="8"/>
  <c r="BR8" i="8"/>
  <c r="AD8" i="8"/>
  <c r="CK8" i="8"/>
  <c r="I8" i="8"/>
  <c r="AB8" i="8"/>
  <c r="C8" i="8"/>
  <c r="CE8" i="8"/>
  <c r="BK8" i="8"/>
  <c r="AQ8" i="8"/>
  <c r="W8" i="8"/>
  <c r="CX8" i="8"/>
  <c r="CD8" i="8"/>
  <c r="BJ8" i="8"/>
  <c r="AP8" i="8"/>
  <c r="V8" i="8"/>
  <c r="B8" i="8"/>
  <c r="CU8" i="8"/>
  <c r="BG8" i="8"/>
  <c r="S8" i="8"/>
  <c r="BZ8" i="8"/>
  <c r="AL8" i="8"/>
  <c r="CS8" i="8"/>
  <c r="BE8" i="8"/>
  <c r="Q8" i="8"/>
  <c r="CR8" i="8"/>
  <c r="BD8" i="8"/>
  <c r="P8" i="8"/>
  <c r="CQ8" i="8"/>
  <c r="BC8" i="8"/>
  <c r="AI8" i="8"/>
  <c r="CP8" i="8"/>
  <c r="BB8" i="8"/>
  <c r="AH8" i="8"/>
  <c r="CO8" i="8"/>
  <c r="BA8" i="8"/>
  <c r="M8" i="8"/>
  <c r="CN8" i="8"/>
  <c r="BT8" i="8"/>
  <c r="AZ8" i="8"/>
  <c r="L8" i="8"/>
  <c r="BS8" i="8"/>
  <c r="AY8" i="8"/>
  <c r="K8" i="8"/>
  <c r="CL8" i="8"/>
  <c r="AX8" i="8"/>
  <c r="J8" i="8"/>
  <c r="BQ8" i="8"/>
  <c r="AW8" i="8"/>
  <c r="AC8" i="8"/>
  <c r="CJ8" i="8"/>
  <c r="AV8" i="8"/>
  <c r="H8" i="8"/>
  <c r="CI8" i="8"/>
  <c r="BO8" i="8"/>
  <c r="AU8" i="8"/>
  <c r="AA8" i="8"/>
  <c r="G8" i="8"/>
  <c r="CH8" i="8"/>
  <c r="BN8" i="8"/>
  <c r="AT8" i="8"/>
  <c r="Z8" i="8"/>
  <c r="F8" i="8"/>
  <c r="CW8" i="8"/>
  <c r="CC8" i="8"/>
  <c r="BI8" i="8"/>
  <c r="AO8" i="8"/>
  <c r="U8" i="8"/>
  <c r="CV8" i="8"/>
  <c r="CB8" i="8"/>
  <c r="BH8" i="8"/>
  <c r="AN8" i="8"/>
  <c r="BI6" i="8"/>
  <c r="BJ6" i="8"/>
  <c r="BK6" i="8"/>
  <c r="CO6" i="8"/>
  <c r="CP6" i="8"/>
  <c r="CX7" i="8"/>
  <c r="CR7" i="8"/>
  <c r="BL7" i="8"/>
  <c r="AG7" i="8"/>
  <c r="CQ7" i="8"/>
  <c r="BK7" i="8"/>
  <c r="AF7" i="8"/>
  <c r="CO7" i="8"/>
  <c r="BJ7" i="8"/>
  <c r="AE7" i="8"/>
  <c r="CN7" i="8"/>
  <c r="BI7" i="8"/>
  <c r="X7" i="8"/>
  <c r="CM7" i="8"/>
  <c r="BH7" i="8"/>
  <c r="W7" i="8"/>
  <c r="CL7" i="8"/>
  <c r="BG7" i="8"/>
  <c r="U7" i="8"/>
  <c r="CK7" i="8"/>
  <c r="BF7" i="8"/>
  <c r="T7" i="8"/>
  <c r="CJ7" i="8"/>
  <c r="BE7" i="8"/>
  <c r="S7" i="8"/>
  <c r="CI7" i="8"/>
  <c r="BD7" i="8"/>
  <c r="R7" i="8"/>
  <c r="CH7" i="8"/>
  <c r="BC7" i="8"/>
  <c r="Q7" i="8"/>
  <c r="CG7" i="8"/>
  <c r="AV7" i="8"/>
  <c r="P7" i="8"/>
  <c r="CF7" i="8"/>
  <c r="AU7" i="8"/>
  <c r="O7" i="8"/>
  <c r="CE7" i="8"/>
  <c r="AS7" i="8"/>
  <c r="N7" i="8"/>
  <c r="CD7" i="8"/>
  <c r="AR7" i="8"/>
  <c r="M7" i="8"/>
  <c r="CC7" i="8"/>
  <c r="AQ7" i="8"/>
  <c r="L7" i="8"/>
  <c r="CB7" i="8"/>
  <c r="AP7" i="8"/>
  <c r="K7" i="8"/>
  <c r="CA7" i="8"/>
  <c r="AO7" i="8"/>
  <c r="J7" i="8"/>
  <c r="G7" i="8"/>
  <c r="H7" i="8"/>
  <c r="I7" i="8"/>
  <c r="AH7" i="8"/>
  <c r="AI7" i="8"/>
  <c r="AJ7" i="8"/>
  <c r="AK7" i="8"/>
  <c r="AL7" i="8"/>
  <c r="CF6" i="8"/>
  <c r="CN6" i="8"/>
  <c r="AR6" i="8"/>
  <c r="CM6" i="8"/>
  <c r="AQ6" i="8"/>
  <c r="CL6" i="8"/>
  <c r="AP6" i="8"/>
  <c r="CK6" i="8"/>
  <c r="AO6" i="8"/>
  <c r="CJ6" i="8"/>
  <c r="AN6" i="8"/>
  <c r="CI6" i="8"/>
  <c r="AM6" i="8"/>
  <c r="CH6" i="8"/>
  <c r="AL6" i="8"/>
  <c r="CG6" i="8"/>
  <c r="AK6" i="8"/>
  <c r="BT6" i="8"/>
  <c r="X6" i="8"/>
  <c r="BS6" i="8"/>
  <c r="W6" i="8"/>
  <c r="BR6" i="8"/>
  <c r="V6" i="8"/>
  <c r="BQ6" i="8"/>
  <c r="U6" i="8"/>
  <c r="BP6" i="8"/>
  <c r="T6" i="8"/>
  <c r="BO6" i="8"/>
  <c r="S6" i="8"/>
  <c r="BN6" i="8"/>
  <c r="R6" i="8"/>
  <c r="BM6" i="8"/>
  <c r="Q6" i="8"/>
  <c r="BL6" i="8"/>
  <c r="P6" i="8"/>
  <c r="AN7" i="8"/>
  <c r="M6" i="8"/>
  <c r="BM7" i="8"/>
  <c r="N6" i="8"/>
  <c r="BN7" i="8"/>
  <c r="O6" i="8"/>
  <c r="BO7" i="8"/>
  <c r="AS6" i="8"/>
  <c r="BP7" i="8"/>
  <c r="AT6" i="8"/>
  <c r="BQ7" i="8"/>
  <c r="AU6" i="8"/>
  <c r="BS7" i="8"/>
  <c r="AV6" i="8"/>
  <c r="BT7" i="8"/>
  <c r="D6" i="8"/>
  <c r="AB6" i="8"/>
  <c r="AZ6" i="8"/>
  <c r="BX6" i="8"/>
  <c r="CV6" i="8"/>
  <c r="V7" i="8"/>
  <c r="AT7" i="8"/>
  <c r="BR7" i="8"/>
  <c r="CP7" i="8"/>
  <c r="CR6" i="8"/>
  <c r="Y6" i="8"/>
  <c r="AW6" i="8"/>
  <c r="BU6" i="8"/>
  <c r="CS6" i="8"/>
  <c r="B6" i="8"/>
  <c r="Z6" i="8"/>
  <c r="AX6" i="8"/>
  <c r="BV6" i="8"/>
  <c r="CT6" i="8"/>
  <c r="C6" i="8"/>
  <c r="AA6" i="8"/>
  <c r="AY6" i="8"/>
  <c r="BW6" i="8"/>
  <c r="CU6" i="8"/>
  <c r="E6" i="8"/>
  <c r="AC6" i="8"/>
  <c r="BA6" i="8"/>
  <c r="BY6" i="8"/>
  <c r="CW6" i="8"/>
  <c r="F6" i="8"/>
  <c r="AD6" i="8"/>
  <c r="BB6" i="8"/>
  <c r="BZ6" i="8"/>
  <c r="CX6" i="8"/>
  <c r="G6" i="8"/>
  <c r="AE6" i="8"/>
  <c r="BC6" i="8"/>
  <c r="CA6" i="8"/>
  <c r="Y7" i="8"/>
  <c r="AW7" i="8"/>
  <c r="BU7" i="8"/>
  <c r="CS7" i="8"/>
  <c r="H6" i="8"/>
  <c r="AF6" i="8"/>
  <c r="BD6" i="8"/>
  <c r="CB6" i="8"/>
  <c r="B7" i="8"/>
  <c r="Z7" i="8"/>
  <c r="AX7" i="8"/>
  <c r="BV7" i="8"/>
  <c r="CT7" i="8"/>
  <c r="I6" i="8"/>
  <c r="AG6" i="8"/>
  <c r="BE6" i="8"/>
  <c r="CC6" i="8"/>
  <c r="C7" i="8"/>
  <c r="AA7" i="8"/>
  <c r="AY7" i="8"/>
  <c r="BW7" i="8"/>
  <c r="CU7" i="8"/>
  <c r="J6" i="8"/>
  <c r="AH6" i="8"/>
  <c r="BF6" i="8"/>
  <c r="CD6" i="8"/>
  <c r="D7" i="8"/>
  <c r="AB7" i="8"/>
  <c r="AZ7" i="8"/>
  <c r="BX7" i="8"/>
  <c r="CV7" i="8"/>
  <c r="K6" i="8"/>
  <c r="AI6" i="8"/>
  <c r="BG6" i="8"/>
  <c r="CE6" i="8"/>
  <c r="E7" i="8"/>
  <c r="AC7" i="8"/>
  <c r="BA7" i="8"/>
  <c r="BY7" i="8"/>
  <c r="CW7" i="8"/>
  <c r="L6" i="8"/>
  <c r="AJ6" i="8"/>
  <c r="BH6" i="8"/>
  <c r="F7" i="8"/>
  <c r="AD7" i="8"/>
  <c r="BB7" i="8"/>
  <c r="BZ7" i="8"/>
  <c r="AP12" i="8"/>
  <c r="AM12" i="8"/>
  <c r="BO12" i="8"/>
  <c r="BK12" i="8"/>
  <c r="BG12" i="8"/>
  <c r="BC12" i="8"/>
  <c r="AY12" i="8"/>
  <c r="AU12" i="8"/>
  <c r="AQ12" i="8"/>
  <c r="AE12" i="8"/>
  <c r="W12" i="8"/>
  <c r="CP12" i="8"/>
  <c r="AA12" i="8"/>
  <c r="CQ12" i="8"/>
  <c r="S12" i="8"/>
  <c r="CM12" i="8"/>
  <c r="O12" i="8"/>
  <c r="CL12" i="8"/>
  <c r="K12" i="8"/>
  <c r="CI12" i="8"/>
  <c r="G12" i="8"/>
  <c r="CH12" i="8"/>
  <c r="C12" i="8"/>
  <c r="CX12" i="8"/>
  <c r="CU12" i="8"/>
  <c r="CT12" i="8"/>
  <c r="CE12" i="8"/>
  <c r="BZ12" i="8"/>
  <c r="BW12" i="8"/>
  <c r="AI12" i="8"/>
  <c r="CD12" i="8"/>
  <c r="CA12" i="8"/>
  <c r="BS12" i="8"/>
  <c r="BV12" i="8"/>
  <c r="BR12" i="8"/>
  <c r="BN12" i="8"/>
  <c r="BJ12" i="8"/>
  <c r="BF12" i="8"/>
  <c r="BB12" i="8"/>
  <c r="AX12" i="8"/>
  <c r="AT12" i="8"/>
  <c r="AL12" i="8"/>
  <c r="AH12" i="8"/>
  <c r="AD12" i="8"/>
  <c r="Z12" i="8"/>
  <c r="V12" i="8"/>
  <c r="R12" i="8"/>
  <c r="N12" i="8"/>
  <c r="J12" i="8"/>
  <c r="F12" i="8"/>
  <c r="B12" i="8"/>
  <c r="CW12" i="8"/>
  <c r="CS12" i="8"/>
  <c r="CO12" i="8"/>
  <c r="CK12" i="8"/>
  <c r="CG12" i="8"/>
  <c r="CC12" i="8"/>
  <c r="BY12" i="8"/>
  <c r="BU12" i="8"/>
  <c r="BQ12" i="8"/>
  <c r="BM12" i="8"/>
  <c r="BI12" i="8"/>
  <c r="BE12" i="8"/>
  <c r="BA12" i="8"/>
  <c r="AW12" i="8"/>
  <c r="AS12" i="8"/>
  <c r="AO12" i="8"/>
  <c r="AK12" i="8"/>
  <c r="AG12" i="8"/>
  <c r="AC12" i="8"/>
  <c r="Y12" i="8"/>
  <c r="U12" i="8"/>
  <c r="Q12" i="8"/>
  <c r="M12" i="8"/>
  <c r="I12" i="8"/>
  <c r="E12" i="8"/>
  <c r="CV12" i="8"/>
  <c r="CR12" i="8"/>
  <c r="CN12" i="8"/>
  <c r="CJ12" i="8"/>
  <c r="CF12" i="8"/>
  <c r="CB12" i="8"/>
  <c r="BX12" i="8"/>
  <c r="BT12" i="8"/>
  <c r="BP12" i="8"/>
  <c r="BL12" i="8"/>
  <c r="BH12" i="8"/>
  <c r="BD12" i="8"/>
  <c r="AZ12" i="8"/>
  <c r="AV12" i="8"/>
  <c r="AR12" i="8"/>
  <c r="AN12" i="8"/>
  <c r="AJ12" i="8"/>
  <c r="AF12" i="8"/>
  <c r="AB12" i="8"/>
  <c r="X12" i="8"/>
  <c r="T12" i="8"/>
  <c r="P12" i="8"/>
  <c r="L12" i="8"/>
  <c r="H12" i="8"/>
  <c r="D225" i="8" l="1"/>
  <c r="D168" i="8"/>
  <c r="B29" i="8" a="1"/>
  <c r="D29" i="8" s="1"/>
  <c r="B32" i="8" a="1"/>
  <c r="E32" i="8" s="1"/>
  <c r="B31" i="8" a="1"/>
  <c r="E31" i="8" s="1"/>
  <c r="B30" i="8" a="1"/>
  <c r="C30" i="8" s="1"/>
  <c r="B28" i="8" a="1"/>
  <c r="B28" i="8" s="1"/>
  <c r="B26" i="8" a="1"/>
  <c r="E26" i="8" s="1"/>
  <c r="B25" i="8" a="1"/>
  <c r="E25" i="8" s="1"/>
  <c r="B24" i="8" a="1"/>
  <c r="B24" i="8" s="1"/>
  <c r="C96" i="8" a="1"/>
  <c r="E96" i="8" s="1"/>
  <c r="C95" i="8" a="1"/>
  <c r="F95" i="8" s="1"/>
  <c r="C93" i="8" a="1"/>
  <c r="F93" i="8" s="1"/>
  <c r="B94" i="8"/>
  <c r="B87" i="8"/>
  <c r="C89" i="8" a="1"/>
  <c r="D89" i="8" s="1"/>
  <c r="C88" i="8" a="1"/>
  <c r="F88" i="8" s="1"/>
  <c r="C86" i="8" a="1"/>
  <c r="F86" i="8" s="1"/>
  <c r="C62" i="7"/>
  <c r="C61" i="7"/>
  <c r="B62" i="7"/>
  <c r="B61" i="7"/>
  <c r="B59" i="7"/>
  <c r="B58" i="7"/>
  <c r="CX29" i="8" l="1"/>
  <c r="CS29" i="8"/>
  <c r="CP29" i="8"/>
  <c r="CM29" i="8"/>
  <c r="V29" i="8"/>
  <c r="S29" i="8"/>
  <c r="Q29" i="8"/>
  <c r="K29" i="8"/>
  <c r="I29" i="8"/>
  <c r="F29" i="8"/>
  <c r="CH29" i="8"/>
  <c r="BJ29" i="8"/>
  <c r="CX28" i="8"/>
  <c r="BG29" i="8"/>
  <c r="CH28" i="8"/>
  <c r="BB29" i="8"/>
  <c r="BR28" i="8"/>
  <c r="AY29" i="8"/>
  <c r="BB28" i="8"/>
  <c r="AW29" i="8"/>
  <c r="CC29" i="8"/>
  <c r="BW29" i="8"/>
  <c r="BU29" i="8"/>
  <c r="BR29" i="8"/>
  <c r="AQ29" i="8"/>
  <c r="CE29" i="8"/>
  <c r="BM29" i="8"/>
  <c r="CX30" i="8"/>
  <c r="AO29" i="8"/>
  <c r="CH30" i="8"/>
  <c r="AL29" i="8"/>
  <c r="BR30" i="8"/>
  <c r="AG29" i="8"/>
  <c r="BB30" i="8"/>
  <c r="AD29" i="8"/>
  <c r="AA29" i="8"/>
  <c r="CP28" i="8"/>
  <c r="BZ28" i="8"/>
  <c r="BJ28" i="8"/>
  <c r="CU29" i="8"/>
  <c r="CK29" i="8"/>
  <c r="BZ29" i="8"/>
  <c r="BO29" i="8"/>
  <c r="BE29" i="8"/>
  <c r="AT29" i="8"/>
  <c r="AI29" i="8"/>
  <c r="Y29" i="8"/>
  <c r="N29" i="8"/>
  <c r="C29" i="8"/>
  <c r="CT28" i="8"/>
  <c r="CD28" i="8"/>
  <c r="BN28" i="8"/>
  <c r="CL28" i="8"/>
  <c r="BV28" i="8"/>
  <c r="BF28" i="8"/>
  <c r="CP25" i="8"/>
  <c r="BZ25" i="8"/>
  <c r="BJ25" i="8"/>
  <c r="AT25" i="8"/>
  <c r="CT30" i="8"/>
  <c r="CD30" i="8"/>
  <c r="BN30" i="8"/>
  <c r="AX30" i="8"/>
  <c r="CX31" i="8"/>
  <c r="CP31" i="8"/>
  <c r="CH31" i="8"/>
  <c r="BZ31" i="8"/>
  <c r="BR31" i="8"/>
  <c r="BJ31" i="8"/>
  <c r="BB31" i="8"/>
  <c r="AT31" i="8"/>
  <c r="AL31" i="8"/>
  <c r="AD31" i="8"/>
  <c r="V31" i="8"/>
  <c r="G31" i="8"/>
  <c r="CT29" i="8"/>
  <c r="CO29" i="8"/>
  <c r="CI29" i="8"/>
  <c r="CD29" i="8"/>
  <c r="BY29" i="8"/>
  <c r="BS29" i="8"/>
  <c r="BN29" i="8"/>
  <c r="BI29" i="8"/>
  <c r="BC29" i="8"/>
  <c r="AX29" i="8"/>
  <c r="AS29" i="8"/>
  <c r="AM29" i="8"/>
  <c r="AH29" i="8"/>
  <c r="AC29" i="8"/>
  <c r="W29" i="8"/>
  <c r="R29" i="8"/>
  <c r="M29" i="8"/>
  <c r="G29" i="8"/>
  <c r="B29" i="8"/>
  <c r="CL25" i="8"/>
  <c r="BV25" i="8"/>
  <c r="BF25" i="8"/>
  <c r="AP25" i="8"/>
  <c r="CP30" i="8"/>
  <c r="BZ30" i="8"/>
  <c r="BJ30" i="8"/>
  <c r="AT30" i="8"/>
  <c r="CU31" i="8"/>
  <c r="CM31" i="8"/>
  <c r="CE31" i="8"/>
  <c r="BW31" i="8"/>
  <c r="BO31" i="8"/>
  <c r="BG31" i="8"/>
  <c r="AY31" i="8"/>
  <c r="AQ31" i="8"/>
  <c r="AI31" i="8"/>
  <c r="AA31" i="8"/>
  <c r="S31" i="8"/>
  <c r="C31" i="8"/>
  <c r="CT25" i="8"/>
  <c r="CD25" i="8"/>
  <c r="BN25" i="8"/>
  <c r="AX25" i="8"/>
  <c r="CQ31" i="8"/>
  <c r="CI31" i="8"/>
  <c r="CA31" i="8"/>
  <c r="BS31" i="8"/>
  <c r="BK31" i="8"/>
  <c r="BC31" i="8"/>
  <c r="AU31" i="8"/>
  <c r="AM31" i="8"/>
  <c r="AE31" i="8"/>
  <c r="W31" i="8"/>
  <c r="K31" i="8"/>
  <c r="CX25" i="8"/>
  <c r="CH25" i="8"/>
  <c r="BR25" i="8"/>
  <c r="BB25" i="8"/>
  <c r="AH25" i="8"/>
  <c r="CL30" i="8"/>
  <c r="BV30" i="8"/>
  <c r="BF30" i="8"/>
  <c r="AP30" i="8"/>
  <c r="CT31" i="8"/>
  <c r="CL31" i="8"/>
  <c r="CD31" i="8"/>
  <c r="BV31" i="8"/>
  <c r="BN31" i="8"/>
  <c r="BF31" i="8"/>
  <c r="AX31" i="8"/>
  <c r="AP31" i="8"/>
  <c r="AH31" i="8"/>
  <c r="Z31" i="8"/>
  <c r="O31" i="8"/>
  <c r="B31" i="8"/>
  <c r="CW29" i="8"/>
  <c r="CQ29" i="8"/>
  <c r="CL29" i="8"/>
  <c r="CG29" i="8"/>
  <c r="CA29" i="8"/>
  <c r="BV29" i="8"/>
  <c r="BQ29" i="8"/>
  <c r="BK29" i="8"/>
  <c r="BF29" i="8"/>
  <c r="BA29" i="8"/>
  <c r="AU29" i="8"/>
  <c r="AP29" i="8"/>
  <c r="AK29" i="8"/>
  <c r="AE29" i="8"/>
  <c r="Z29" i="8"/>
  <c r="U29" i="8"/>
  <c r="O29" i="8"/>
  <c r="J29" i="8"/>
  <c r="E29" i="8"/>
  <c r="CV29" i="8"/>
  <c r="CR29" i="8"/>
  <c r="CN29" i="8"/>
  <c r="CJ29" i="8"/>
  <c r="CF29" i="8"/>
  <c r="CB29" i="8"/>
  <c r="BX29" i="8"/>
  <c r="BT29" i="8"/>
  <c r="BP29" i="8"/>
  <c r="BL29" i="8"/>
  <c r="BH29" i="8"/>
  <c r="BD29" i="8"/>
  <c r="AZ29" i="8"/>
  <c r="AV29" i="8"/>
  <c r="AR29" i="8"/>
  <c r="AN29" i="8"/>
  <c r="AJ29" i="8"/>
  <c r="AF29" i="8"/>
  <c r="AB29" i="8"/>
  <c r="X29" i="8"/>
  <c r="T29" i="8"/>
  <c r="P29" i="8"/>
  <c r="L29" i="8"/>
  <c r="H29" i="8"/>
  <c r="CV32" i="8"/>
  <c r="CR32" i="8"/>
  <c r="CN32" i="8"/>
  <c r="CJ32" i="8"/>
  <c r="CF32" i="8"/>
  <c r="CB32" i="8"/>
  <c r="BX32" i="8"/>
  <c r="BT32" i="8"/>
  <c r="BP32" i="8"/>
  <c r="BL32" i="8"/>
  <c r="BH32" i="8"/>
  <c r="BD32" i="8"/>
  <c r="AZ32" i="8"/>
  <c r="AV32" i="8"/>
  <c r="AR32" i="8"/>
  <c r="AN32" i="8"/>
  <c r="AJ32" i="8"/>
  <c r="AF32" i="8"/>
  <c r="AB32" i="8"/>
  <c r="X32" i="8"/>
  <c r="T32" i="8"/>
  <c r="P32" i="8"/>
  <c r="L32" i="8"/>
  <c r="H32" i="8"/>
  <c r="D32" i="8"/>
  <c r="CU32" i="8"/>
  <c r="CQ32" i="8"/>
  <c r="CM32" i="8"/>
  <c r="CI32" i="8"/>
  <c r="CE32" i="8"/>
  <c r="CA32" i="8"/>
  <c r="BW32" i="8"/>
  <c r="BS32" i="8"/>
  <c r="BO32" i="8"/>
  <c r="BK32" i="8"/>
  <c r="BG32" i="8"/>
  <c r="BC32" i="8"/>
  <c r="AY32" i="8"/>
  <c r="AU32" i="8"/>
  <c r="AQ32" i="8"/>
  <c r="AM32" i="8"/>
  <c r="AI32" i="8"/>
  <c r="AE32" i="8"/>
  <c r="AA32" i="8"/>
  <c r="W32" i="8"/>
  <c r="S32" i="8"/>
  <c r="O32" i="8"/>
  <c r="K32" i="8"/>
  <c r="G32" i="8"/>
  <c r="C32" i="8"/>
  <c r="CT32" i="8"/>
  <c r="CP32" i="8"/>
  <c r="CH32" i="8"/>
  <c r="CD32" i="8"/>
  <c r="BZ32" i="8"/>
  <c r="BJ32" i="8"/>
  <c r="B32" i="8"/>
  <c r="CX32" i="8"/>
  <c r="CL32" i="8"/>
  <c r="BV32" i="8"/>
  <c r="BR32" i="8"/>
  <c r="BN32" i="8"/>
  <c r="BF32" i="8"/>
  <c r="BB32" i="8"/>
  <c r="AX32" i="8"/>
  <c r="AT32" i="8"/>
  <c r="AP32" i="8"/>
  <c r="AL32" i="8"/>
  <c r="AH32" i="8"/>
  <c r="AD32" i="8"/>
  <c r="Z32" i="8"/>
  <c r="V32" i="8"/>
  <c r="R32" i="8"/>
  <c r="N32" i="8"/>
  <c r="J32" i="8"/>
  <c r="F32" i="8"/>
  <c r="CW32" i="8"/>
  <c r="CS32" i="8"/>
  <c r="CO32" i="8"/>
  <c r="CK32" i="8"/>
  <c r="CG32" i="8"/>
  <c r="CC32" i="8"/>
  <c r="BY32" i="8"/>
  <c r="BU32" i="8"/>
  <c r="BQ32" i="8"/>
  <c r="BM32" i="8"/>
  <c r="BI32" i="8"/>
  <c r="BE32" i="8"/>
  <c r="BA32" i="8"/>
  <c r="AW32" i="8"/>
  <c r="AS32" i="8"/>
  <c r="AO32" i="8"/>
  <c r="AK32" i="8"/>
  <c r="AG32" i="8"/>
  <c r="AC32" i="8"/>
  <c r="Y32" i="8"/>
  <c r="U32" i="8"/>
  <c r="Q32" i="8"/>
  <c r="M32" i="8"/>
  <c r="I32" i="8"/>
  <c r="CV31" i="8"/>
  <c r="CR31" i="8"/>
  <c r="CN31" i="8"/>
  <c r="CJ31" i="8"/>
  <c r="CF31" i="8"/>
  <c r="CB31" i="8"/>
  <c r="BX31" i="8"/>
  <c r="BT31" i="8"/>
  <c r="BP31" i="8"/>
  <c r="BL31" i="8"/>
  <c r="BH31" i="8"/>
  <c r="BD31" i="8"/>
  <c r="AZ31" i="8"/>
  <c r="AV31" i="8"/>
  <c r="AR31" i="8"/>
  <c r="AN31" i="8"/>
  <c r="AJ31" i="8"/>
  <c r="AF31" i="8"/>
  <c r="AB31" i="8"/>
  <c r="X31" i="8"/>
  <c r="T31" i="8"/>
  <c r="P31" i="8"/>
  <c r="L31" i="8"/>
  <c r="H31" i="8"/>
  <c r="D31" i="8"/>
  <c r="R31" i="8"/>
  <c r="N31" i="8"/>
  <c r="J31" i="8"/>
  <c r="F31" i="8"/>
  <c r="CW31" i="8"/>
  <c r="CS31" i="8"/>
  <c r="CO31" i="8"/>
  <c r="CK31" i="8"/>
  <c r="CG31" i="8"/>
  <c r="CC31" i="8"/>
  <c r="BY31" i="8"/>
  <c r="BU31" i="8"/>
  <c r="BQ31" i="8"/>
  <c r="BM31" i="8"/>
  <c r="BI31" i="8"/>
  <c r="BE31" i="8"/>
  <c r="BA31" i="8"/>
  <c r="AW31" i="8"/>
  <c r="AS31" i="8"/>
  <c r="AO31" i="8"/>
  <c r="AK31" i="8"/>
  <c r="AG31" i="8"/>
  <c r="AC31" i="8"/>
  <c r="Y31" i="8"/>
  <c r="U31" i="8"/>
  <c r="Q31" i="8"/>
  <c r="M31" i="8"/>
  <c r="I31" i="8"/>
  <c r="AL30" i="8"/>
  <c r="AH30" i="8"/>
  <c r="AD30" i="8"/>
  <c r="Z30" i="8"/>
  <c r="V30" i="8"/>
  <c r="R30" i="8"/>
  <c r="N30" i="8"/>
  <c r="J30" i="8"/>
  <c r="F30" i="8"/>
  <c r="B30" i="8"/>
  <c r="CW30" i="8"/>
  <c r="CS30" i="8"/>
  <c r="CO30" i="8"/>
  <c r="CK30" i="8"/>
  <c r="CG30" i="8"/>
  <c r="CC30" i="8"/>
  <c r="BY30" i="8"/>
  <c r="BU30" i="8"/>
  <c r="BQ30" i="8"/>
  <c r="BM30" i="8"/>
  <c r="BI30" i="8"/>
  <c r="BE30" i="8"/>
  <c r="BA30" i="8"/>
  <c r="AW30" i="8"/>
  <c r="AS30" i="8"/>
  <c r="AO30" i="8"/>
  <c r="AK30" i="8"/>
  <c r="AG30" i="8"/>
  <c r="AC30" i="8"/>
  <c r="Y30" i="8"/>
  <c r="U30" i="8"/>
  <c r="Q30" i="8"/>
  <c r="M30" i="8"/>
  <c r="I30" i="8"/>
  <c r="E30" i="8"/>
  <c r="CV30" i="8"/>
  <c r="CR30" i="8"/>
  <c r="CN30" i="8"/>
  <c r="CJ30" i="8"/>
  <c r="CF30" i="8"/>
  <c r="CB30" i="8"/>
  <c r="BX30" i="8"/>
  <c r="BT30" i="8"/>
  <c r="BP30" i="8"/>
  <c r="BL30" i="8"/>
  <c r="BH30" i="8"/>
  <c r="BD30" i="8"/>
  <c r="AZ30" i="8"/>
  <c r="AV30" i="8"/>
  <c r="AR30" i="8"/>
  <c r="AN30" i="8"/>
  <c r="AJ30" i="8"/>
  <c r="AF30" i="8"/>
  <c r="AB30" i="8"/>
  <c r="X30" i="8"/>
  <c r="T30" i="8"/>
  <c r="P30" i="8"/>
  <c r="L30" i="8"/>
  <c r="H30" i="8"/>
  <c r="D30" i="8"/>
  <c r="CU30" i="8"/>
  <c r="CQ30" i="8"/>
  <c r="CM30" i="8"/>
  <c r="CI30" i="8"/>
  <c r="CE30" i="8"/>
  <c r="CA30" i="8"/>
  <c r="BW30" i="8"/>
  <c r="BS30" i="8"/>
  <c r="BO30" i="8"/>
  <c r="BK30" i="8"/>
  <c r="BG30" i="8"/>
  <c r="BC30" i="8"/>
  <c r="AY30" i="8"/>
  <c r="AU30" i="8"/>
  <c r="AQ30" i="8"/>
  <c r="AM30" i="8"/>
  <c r="AI30" i="8"/>
  <c r="AE30" i="8"/>
  <c r="AA30" i="8"/>
  <c r="W30" i="8"/>
  <c r="S30" i="8"/>
  <c r="O30" i="8"/>
  <c r="K30" i="8"/>
  <c r="G30" i="8"/>
  <c r="AT28" i="8"/>
  <c r="AP28" i="8"/>
  <c r="AH28" i="8"/>
  <c r="AD28" i="8"/>
  <c r="Z28" i="8"/>
  <c r="V28" i="8"/>
  <c r="R28" i="8"/>
  <c r="N28" i="8"/>
  <c r="J28" i="8"/>
  <c r="F28" i="8"/>
  <c r="CW28" i="8"/>
  <c r="CS28" i="8"/>
  <c r="CO28" i="8"/>
  <c r="CK28" i="8"/>
  <c r="CG28" i="8"/>
  <c r="CC28" i="8"/>
  <c r="BY28" i="8"/>
  <c r="BU28" i="8"/>
  <c r="BQ28" i="8"/>
  <c r="BM28" i="8"/>
  <c r="BI28" i="8"/>
  <c r="BE28" i="8"/>
  <c r="BA28" i="8"/>
  <c r="AW28" i="8"/>
  <c r="AS28" i="8"/>
  <c r="AO28" i="8"/>
  <c r="AK28" i="8"/>
  <c r="AG28" i="8"/>
  <c r="AC28" i="8"/>
  <c r="Y28" i="8"/>
  <c r="U28" i="8"/>
  <c r="Q28" i="8"/>
  <c r="M28" i="8"/>
  <c r="I28" i="8"/>
  <c r="E28" i="8"/>
  <c r="CV28" i="8"/>
  <c r="CR28" i="8"/>
  <c r="CN28" i="8"/>
  <c r="CJ28" i="8"/>
  <c r="CF28" i="8"/>
  <c r="CB28" i="8"/>
  <c r="BX28" i="8"/>
  <c r="BT28" i="8"/>
  <c r="BP28" i="8"/>
  <c r="BL28" i="8"/>
  <c r="BH28" i="8"/>
  <c r="BD28" i="8"/>
  <c r="AZ28" i="8"/>
  <c r="AV28" i="8"/>
  <c r="AR28" i="8"/>
  <c r="AN28" i="8"/>
  <c r="AJ28" i="8"/>
  <c r="AF28" i="8"/>
  <c r="AB28" i="8"/>
  <c r="X28" i="8"/>
  <c r="T28" i="8"/>
  <c r="P28" i="8"/>
  <c r="L28" i="8"/>
  <c r="H28" i="8"/>
  <c r="D28" i="8"/>
  <c r="CU28" i="8"/>
  <c r="CQ28" i="8"/>
  <c r="CM28" i="8"/>
  <c r="CI28" i="8"/>
  <c r="CE28" i="8"/>
  <c r="CA28" i="8"/>
  <c r="BW28" i="8"/>
  <c r="BS28" i="8"/>
  <c r="BO28" i="8"/>
  <c r="BK28" i="8"/>
  <c r="BG28" i="8"/>
  <c r="BC28" i="8"/>
  <c r="AY28" i="8"/>
  <c r="AU28" i="8"/>
  <c r="AQ28" i="8"/>
  <c r="AM28" i="8"/>
  <c r="AI28" i="8"/>
  <c r="AE28" i="8"/>
  <c r="AA28" i="8"/>
  <c r="W28" i="8"/>
  <c r="S28" i="8"/>
  <c r="O28" i="8"/>
  <c r="K28" i="8"/>
  <c r="G28" i="8"/>
  <c r="C28" i="8"/>
  <c r="AX28" i="8"/>
  <c r="AL28" i="8"/>
  <c r="CV26" i="8"/>
  <c r="CR26" i="8"/>
  <c r="CN26" i="8"/>
  <c r="CJ26" i="8"/>
  <c r="CF26" i="8"/>
  <c r="CB26" i="8"/>
  <c r="BX26" i="8"/>
  <c r="BT26" i="8"/>
  <c r="BP26" i="8"/>
  <c r="BL26" i="8"/>
  <c r="BH26" i="8"/>
  <c r="BD26" i="8"/>
  <c r="AZ26" i="8"/>
  <c r="AV26" i="8"/>
  <c r="AR26" i="8"/>
  <c r="AN26" i="8"/>
  <c r="AJ26" i="8"/>
  <c r="AF26" i="8"/>
  <c r="AB26" i="8"/>
  <c r="X26" i="8"/>
  <c r="T26" i="8"/>
  <c r="P26" i="8"/>
  <c r="L26" i="8"/>
  <c r="H26" i="8"/>
  <c r="D26" i="8"/>
  <c r="W26" i="8"/>
  <c r="BG26" i="8"/>
  <c r="CU26" i="8"/>
  <c r="CQ26" i="8"/>
  <c r="CM26" i="8"/>
  <c r="CI26" i="8"/>
  <c r="CE26" i="8"/>
  <c r="CA26" i="8"/>
  <c r="BW26" i="8"/>
  <c r="BS26" i="8"/>
  <c r="BO26" i="8"/>
  <c r="BK26" i="8"/>
  <c r="BC26" i="8"/>
  <c r="AY26" i="8"/>
  <c r="AU26" i="8"/>
  <c r="AQ26" i="8"/>
  <c r="AM26" i="8"/>
  <c r="AI26" i="8"/>
  <c r="AE26" i="8"/>
  <c r="AA26" i="8"/>
  <c r="S26" i="8"/>
  <c r="O26" i="8"/>
  <c r="K26" i="8"/>
  <c r="G26" i="8"/>
  <c r="C26" i="8"/>
  <c r="CX26" i="8"/>
  <c r="CT26" i="8"/>
  <c r="CP26" i="8"/>
  <c r="CL26" i="8"/>
  <c r="CH26" i="8"/>
  <c r="CD26" i="8"/>
  <c r="BZ26" i="8"/>
  <c r="BV26" i="8"/>
  <c r="BR26" i="8"/>
  <c r="BN26" i="8"/>
  <c r="BJ26" i="8"/>
  <c r="BF26" i="8"/>
  <c r="BB26" i="8"/>
  <c r="AX26" i="8"/>
  <c r="AT26" i="8"/>
  <c r="AP26" i="8"/>
  <c r="AL26" i="8"/>
  <c r="AH26" i="8"/>
  <c r="AD26" i="8"/>
  <c r="Z26" i="8"/>
  <c r="V26" i="8"/>
  <c r="R26" i="8"/>
  <c r="N26" i="8"/>
  <c r="J26" i="8"/>
  <c r="F26" i="8"/>
  <c r="B26" i="8"/>
  <c r="CW26" i="8"/>
  <c r="CS26" i="8"/>
  <c r="CO26" i="8"/>
  <c r="CK26" i="8"/>
  <c r="CG26" i="8"/>
  <c r="CC26" i="8"/>
  <c r="BY26" i="8"/>
  <c r="BU26" i="8"/>
  <c r="BQ26" i="8"/>
  <c r="BM26" i="8"/>
  <c r="BI26" i="8"/>
  <c r="BE26" i="8"/>
  <c r="BA26" i="8"/>
  <c r="AW26" i="8"/>
  <c r="AS26" i="8"/>
  <c r="AO26" i="8"/>
  <c r="AK26" i="8"/>
  <c r="AG26" i="8"/>
  <c r="AC26" i="8"/>
  <c r="Y26" i="8"/>
  <c r="U26" i="8"/>
  <c r="Q26" i="8"/>
  <c r="M26" i="8"/>
  <c r="I26" i="8"/>
  <c r="CV25" i="8"/>
  <c r="CR25" i="8"/>
  <c r="CN25" i="8"/>
  <c r="CJ25" i="8"/>
  <c r="CF25" i="8"/>
  <c r="CB25" i="8"/>
  <c r="BX25" i="8"/>
  <c r="BT25" i="8"/>
  <c r="BP25" i="8"/>
  <c r="BL25" i="8"/>
  <c r="BH25" i="8"/>
  <c r="BD25" i="8"/>
  <c r="AZ25" i="8"/>
  <c r="AV25" i="8"/>
  <c r="AR25" i="8"/>
  <c r="AN25" i="8"/>
  <c r="AJ25" i="8"/>
  <c r="AF25" i="8"/>
  <c r="AB25" i="8"/>
  <c r="X25" i="8"/>
  <c r="T25" i="8"/>
  <c r="P25" i="8"/>
  <c r="L25" i="8"/>
  <c r="H25" i="8"/>
  <c r="D25" i="8"/>
  <c r="CU25" i="8"/>
  <c r="CQ25" i="8"/>
  <c r="CM25" i="8"/>
  <c r="CI25" i="8"/>
  <c r="CE25" i="8"/>
  <c r="CA25" i="8"/>
  <c r="BW25" i="8"/>
  <c r="BS25" i="8"/>
  <c r="BO25" i="8"/>
  <c r="BK25" i="8"/>
  <c r="BG25" i="8"/>
  <c r="BC25" i="8"/>
  <c r="AY25" i="8"/>
  <c r="AU25" i="8"/>
  <c r="AQ25" i="8"/>
  <c r="AM25" i="8"/>
  <c r="AI25" i="8"/>
  <c r="AE25" i="8"/>
  <c r="AA25" i="8"/>
  <c r="W25" i="8"/>
  <c r="S25" i="8"/>
  <c r="O25" i="8"/>
  <c r="K25" i="8"/>
  <c r="G25" i="8"/>
  <c r="C25" i="8"/>
  <c r="AL25" i="8"/>
  <c r="AD25" i="8"/>
  <c r="Z25" i="8"/>
  <c r="V25" i="8"/>
  <c r="R25" i="8"/>
  <c r="N25" i="8"/>
  <c r="J25" i="8"/>
  <c r="F25" i="8"/>
  <c r="B25" i="8"/>
  <c r="CW25" i="8"/>
  <c r="CS25" i="8"/>
  <c r="CO25" i="8"/>
  <c r="CK25" i="8"/>
  <c r="CG25" i="8"/>
  <c r="CC25" i="8"/>
  <c r="BY25" i="8"/>
  <c r="BU25" i="8"/>
  <c r="BQ25" i="8"/>
  <c r="BM25" i="8"/>
  <c r="BI25" i="8"/>
  <c r="BE25" i="8"/>
  <c r="BA25" i="8"/>
  <c r="AW25" i="8"/>
  <c r="AS25" i="8"/>
  <c r="AO25" i="8"/>
  <c r="AK25" i="8"/>
  <c r="AG25" i="8"/>
  <c r="AC25" i="8"/>
  <c r="Y25" i="8"/>
  <c r="U25" i="8"/>
  <c r="Q25" i="8"/>
  <c r="M25" i="8"/>
  <c r="I25" i="8"/>
  <c r="CO24" i="8"/>
  <c r="CC24" i="8"/>
  <c r="BU24" i="8"/>
  <c r="BI24" i="8"/>
  <c r="AW24" i="8"/>
  <c r="AO24" i="8"/>
  <c r="AC24" i="8"/>
  <c r="Q24" i="8"/>
  <c r="E24" i="8"/>
  <c r="CV24" i="8"/>
  <c r="CR24" i="8"/>
  <c r="CN24" i="8"/>
  <c r="CJ24" i="8"/>
  <c r="CF24" i="8"/>
  <c r="CB24" i="8"/>
  <c r="BX24" i="8"/>
  <c r="BT24" i="8"/>
  <c r="BP24" i="8"/>
  <c r="BL24" i="8"/>
  <c r="BH24" i="8"/>
  <c r="BD24" i="8"/>
  <c r="AZ24" i="8"/>
  <c r="AV24" i="8"/>
  <c r="AR24" i="8"/>
  <c r="AN24" i="8"/>
  <c r="AJ24" i="8"/>
  <c r="AF24" i="8"/>
  <c r="AB24" i="8"/>
  <c r="X24" i="8"/>
  <c r="T24" i="8"/>
  <c r="P24" i="8"/>
  <c r="L24" i="8"/>
  <c r="H24" i="8"/>
  <c r="D24" i="8"/>
  <c r="CS24" i="8"/>
  <c r="CG24" i="8"/>
  <c r="BQ24" i="8"/>
  <c r="BE24" i="8"/>
  <c r="AS24" i="8"/>
  <c r="AG24" i="8"/>
  <c r="U24" i="8"/>
  <c r="I24" i="8"/>
  <c r="CU24" i="8"/>
  <c r="CQ24" i="8"/>
  <c r="CM24" i="8"/>
  <c r="CI24" i="8"/>
  <c r="CE24" i="8"/>
  <c r="CA24" i="8"/>
  <c r="BW24" i="8"/>
  <c r="BS24" i="8"/>
  <c r="BO24" i="8"/>
  <c r="BK24" i="8"/>
  <c r="BG24" i="8"/>
  <c r="BC24" i="8"/>
  <c r="AY24" i="8"/>
  <c r="AU24" i="8"/>
  <c r="AQ24" i="8"/>
  <c r="AM24" i="8"/>
  <c r="AI24" i="8"/>
  <c r="AE24" i="8"/>
  <c r="AA24" i="8"/>
  <c r="W24" i="8"/>
  <c r="S24" i="8"/>
  <c r="O24" i="8"/>
  <c r="K24" i="8"/>
  <c r="G24" i="8"/>
  <c r="C24" i="8"/>
  <c r="CW24" i="8"/>
  <c r="CK24" i="8"/>
  <c r="BY24" i="8"/>
  <c r="BM24" i="8"/>
  <c r="BA24" i="8"/>
  <c r="AK24" i="8"/>
  <c r="Y24" i="8"/>
  <c r="M24" i="8"/>
  <c r="CX24" i="8"/>
  <c r="CT24" i="8"/>
  <c r="CP24" i="8"/>
  <c r="CL24" i="8"/>
  <c r="CH24" i="8"/>
  <c r="CD24" i="8"/>
  <c r="BZ24" i="8"/>
  <c r="BV24" i="8"/>
  <c r="BR24" i="8"/>
  <c r="BN24" i="8"/>
  <c r="BJ24" i="8"/>
  <c r="BF24" i="8"/>
  <c r="BB24" i="8"/>
  <c r="AX24" i="8"/>
  <c r="AT24" i="8"/>
  <c r="AP24" i="8"/>
  <c r="AL24" i="8"/>
  <c r="AH24" i="8"/>
  <c r="AD24" i="8"/>
  <c r="Z24" i="8"/>
  <c r="V24" i="8"/>
  <c r="R24" i="8"/>
  <c r="N24" i="8"/>
  <c r="J24" i="8"/>
  <c r="F24" i="8"/>
  <c r="CA95" i="8"/>
  <c r="BK95" i="8"/>
  <c r="CH86" i="8"/>
  <c r="BS89" i="8"/>
  <c r="BC86" i="8"/>
  <c r="AM89" i="8"/>
  <c r="O95" i="8"/>
  <c r="AR86" i="8"/>
  <c r="CN86" i="8"/>
  <c r="AH86" i="8"/>
  <c r="BN96" i="8"/>
  <c r="AR96" i="8"/>
  <c r="BX86" i="8"/>
  <c r="L86" i="8"/>
  <c r="CD96" i="8"/>
  <c r="BH96" i="8"/>
  <c r="AM96" i="8"/>
  <c r="R96" i="8"/>
  <c r="G89" i="8"/>
  <c r="AU95" i="8"/>
  <c r="CT96" i="8"/>
  <c r="BX96" i="8"/>
  <c r="BC96" i="8"/>
  <c r="AH96" i="8"/>
  <c r="L96" i="8"/>
  <c r="CI96" i="8"/>
  <c r="W96" i="8"/>
  <c r="CQ95" i="8"/>
  <c r="AE95" i="8"/>
  <c r="CN96" i="8"/>
  <c r="BS96" i="8"/>
  <c r="AX96" i="8"/>
  <c r="AB96" i="8"/>
  <c r="G96" i="8"/>
  <c r="CV86" i="8"/>
  <c r="BN86" i="8"/>
  <c r="W86" i="8"/>
  <c r="CU89" i="8"/>
  <c r="BO89" i="8"/>
  <c r="AI89" i="8"/>
  <c r="C89" i="8"/>
  <c r="CM95" i="8"/>
  <c r="BW95" i="8"/>
  <c r="BG95" i="8"/>
  <c r="AQ95" i="8"/>
  <c r="AA95" i="8"/>
  <c r="K95" i="8"/>
  <c r="CX96" i="8"/>
  <c r="CR96" i="8"/>
  <c r="CM96" i="8"/>
  <c r="CH96" i="8"/>
  <c r="CB96" i="8"/>
  <c r="BW96" i="8"/>
  <c r="BR96" i="8"/>
  <c r="BL96" i="8"/>
  <c r="BG96" i="8"/>
  <c r="BB96" i="8"/>
  <c r="AV96" i="8"/>
  <c r="AQ96" i="8"/>
  <c r="AL96" i="8"/>
  <c r="AF96" i="8"/>
  <c r="AA96" i="8"/>
  <c r="V96" i="8"/>
  <c r="P96" i="8"/>
  <c r="K96" i="8"/>
  <c r="F96" i="8"/>
  <c r="F97" i="8" s="1"/>
  <c r="F98" i="8" s="1"/>
  <c r="F128" i="8" s="1"/>
  <c r="CI95" i="8"/>
  <c r="BS95" i="8"/>
  <c r="BC95" i="8"/>
  <c r="AM95" i="8"/>
  <c r="W95" i="8"/>
  <c r="G95" i="8"/>
  <c r="CV96" i="8"/>
  <c r="CQ96" i="8"/>
  <c r="CL96" i="8"/>
  <c r="CF96" i="8"/>
  <c r="CA96" i="8"/>
  <c r="BV96" i="8"/>
  <c r="BP96" i="8"/>
  <c r="BK96" i="8"/>
  <c r="BF96" i="8"/>
  <c r="AZ96" i="8"/>
  <c r="AU96" i="8"/>
  <c r="AP96" i="8"/>
  <c r="AJ96" i="8"/>
  <c r="AE96" i="8"/>
  <c r="Z96" i="8"/>
  <c r="T96" i="8"/>
  <c r="O96" i="8"/>
  <c r="J96" i="8"/>
  <c r="D96" i="8"/>
  <c r="CI89" i="8"/>
  <c r="BC89" i="8"/>
  <c r="W89" i="8"/>
  <c r="CE89" i="8"/>
  <c r="AY89" i="8"/>
  <c r="S89" i="8"/>
  <c r="CU95" i="8"/>
  <c r="CE95" i="8"/>
  <c r="BO95" i="8"/>
  <c r="AY95" i="8"/>
  <c r="AI95" i="8"/>
  <c r="S95" i="8"/>
  <c r="C95" i="8"/>
  <c r="CU96" i="8"/>
  <c r="CP96" i="8"/>
  <c r="CJ96" i="8"/>
  <c r="CE96" i="8"/>
  <c r="BZ96" i="8"/>
  <c r="BT96" i="8"/>
  <c r="BO96" i="8"/>
  <c r="BJ96" i="8"/>
  <c r="BD96" i="8"/>
  <c r="AY96" i="8"/>
  <c r="AT96" i="8"/>
  <c r="AN96" i="8"/>
  <c r="AI96" i="8"/>
  <c r="AD96" i="8"/>
  <c r="X96" i="8"/>
  <c r="S96" i="8"/>
  <c r="N96" i="8"/>
  <c r="H96" i="8"/>
  <c r="C96" i="8"/>
  <c r="CW96" i="8"/>
  <c r="CS96" i="8"/>
  <c r="CO96" i="8"/>
  <c r="CK96" i="8"/>
  <c r="CG96" i="8"/>
  <c r="CC96" i="8"/>
  <c r="BY96" i="8"/>
  <c r="BU96" i="8"/>
  <c r="BQ96" i="8"/>
  <c r="BM96" i="8"/>
  <c r="BI96" i="8"/>
  <c r="BE96" i="8"/>
  <c r="BA96" i="8"/>
  <c r="AW96" i="8"/>
  <c r="AS96" i="8"/>
  <c r="AO96" i="8"/>
  <c r="AK96" i="8"/>
  <c r="AG96" i="8"/>
  <c r="AC96" i="8"/>
  <c r="Y96" i="8"/>
  <c r="U96" i="8"/>
  <c r="Q96" i="8"/>
  <c r="M96" i="8"/>
  <c r="I96" i="8"/>
  <c r="CW95" i="8"/>
  <c r="CS95" i="8"/>
  <c r="CO95" i="8"/>
  <c r="CO97" i="8" s="1"/>
  <c r="CK95" i="8"/>
  <c r="CK97" i="8" s="1"/>
  <c r="CG95" i="8"/>
  <c r="CC95" i="8"/>
  <c r="CC97" i="8" s="1"/>
  <c r="BY95" i="8"/>
  <c r="BU95" i="8"/>
  <c r="BQ95" i="8"/>
  <c r="BM95" i="8"/>
  <c r="BI95" i="8"/>
  <c r="BE95" i="8"/>
  <c r="BA95" i="8"/>
  <c r="AW95" i="8"/>
  <c r="AS95" i="8"/>
  <c r="AO95" i="8"/>
  <c r="AK95" i="8"/>
  <c r="AG95" i="8"/>
  <c r="AC95" i="8"/>
  <c r="AC97" i="8" s="1"/>
  <c r="Y95" i="8"/>
  <c r="U95" i="8"/>
  <c r="Q95" i="8"/>
  <c r="M95" i="8"/>
  <c r="M97" i="8" s="1"/>
  <c r="I95" i="8"/>
  <c r="I97" i="8" s="1"/>
  <c r="E95" i="8"/>
  <c r="E97" i="8" s="1"/>
  <c r="CV95" i="8"/>
  <c r="CR95" i="8"/>
  <c r="CN95" i="8"/>
  <c r="CJ95" i="8"/>
  <c r="CF95" i="8"/>
  <c r="CB95" i="8"/>
  <c r="BX95" i="8"/>
  <c r="BT95" i="8"/>
  <c r="BP95" i="8"/>
  <c r="BL95" i="8"/>
  <c r="BH95" i="8"/>
  <c r="BD95" i="8"/>
  <c r="AZ95" i="8"/>
  <c r="AV95" i="8"/>
  <c r="AR95" i="8"/>
  <c r="AN95" i="8"/>
  <c r="AJ95" i="8"/>
  <c r="AF95" i="8"/>
  <c r="AB95" i="8"/>
  <c r="X95" i="8"/>
  <c r="T95" i="8"/>
  <c r="P95" i="8"/>
  <c r="L95" i="8"/>
  <c r="H95" i="8"/>
  <c r="D95" i="8"/>
  <c r="CX95" i="8"/>
  <c r="CT95" i="8"/>
  <c r="CP95" i="8"/>
  <c r="CL95" i="8"/>
  <c r="CH95" i="8"/>
  <c r="CD95" i="8"/>
  <c r="BZ95" i="8"/>
  <c r="BV95" i="8"/>
  <c r="BR95" i="8"/>
  <c r="BN95" i="8"/>
  <c r="BJ95" i="8"/>
  <c r="BF95" i="8"/>
  <c r="BB95" i="8"/>
  <c r="AX95" i="8"/>
  <c r="AT95" i="8"/>
  <c r="AP95" i="8"/>
  <c r="AL95" i="8"/>
  <c r="AH95" i="8"/>
  <c r="AD95" i="8"/>
  <c r="Z95" i="8"/>
  <c r="V95" i="8"/>
  <c r="R95" i="8"/>
  <c r="N95" i="8"/>
  <c r="J95" i="8"/>
  <c r="CW93" i="8"/>
  <c r="CS93" i="8"/>
  <c r="CO93" i="8"/>
  <c r="CK93" i="8"/>
  <c r="CG93" i="8"/>
  <c r="CC93" i="8"/>
  <c r="BY93" i="8"/>
  <c r="BU93" i="8"/>
  <c r="BQ93" i="8"/>
  <c r="BM93" i="8"/>
  <c r="BI93" i="8"/>
  <c r="BE93" i="8"/>
  <c r="BA93" i="8"/>
  <c r="AW93" i="8"/>
  <c r="AS93" i="8"/>
  <c r="AO93" i="8"/>
  <c r="AK93" i="8"/>
  <c r="AG93" i="8"/>
  <c r="AC93" i="8"/>
  <c r="Y93" i="8"/>
  <c r="U93" i="8"/>
  <c r="Q93" i="8"/>
  <c r="M93" i="8"/>
  <c r="I93" i="8"/>
  <c r="E93" i="8"/>
  <c r="CV93" i="8"/>
  <c r="CR93" i="8"/>
  <c r="CN93" i="8"/>
  <c r="CJ93" i="8"/>
  <c r="CF93" i="8"/>
  <c r="CB93" i="8"/>
  <c r="BX93" i="8"/>
  <c r="BT93" i="8"/>
  <c r="BP93" i="8"/>
  <c r="BL93" i="8"/>
  <c r="BH93" i="8"/>
  <c r="BD93" i="8"/>
  <c r="AZ93" i="8"/>
  <c r="AV93" i="8"/>
  <c r="AR93" i="8"/>
  <c r="AN93" i="8"/>
  <c r="AJ93" i="8"/>
  <c r="AF93" i="8"/>
  <c r="AB93" i="8"/>
  <c r="X93" i="8"/>
  <c r="T93" i="8"/>
  <c r="P93" i="8"/>
  <c r="L93" i="8"/>
  <c r="H93" i="8"/>
  <c r="D93" i="8"/>
  <c r="CU93" i="8"/>
  <c r="CQ93" i="8"/>
  <c r="CM93" i="8"/>
  <c r="CI93" i="8"/>
  <c r="CE93" i="8"/>
  <c r="CA93" i="8"/>
  <c r="BW93" i="8"/>
  <c r="BS93" i="8"/>
  <c r="BO93" i="8"/>
  <c r="BK93" i="8"/>
  <c r="BG93" i="8"/>
  <c r="BC93" i="8"/>
  <c r="AY93" i="8"/>
  <c r="AU93" i="8"/>
  <c r="AQ93" i="8"/>
  <c r="AM93" i="8"/>
  <c r="AI93" i="8"/>
  <c r="AE93" i="8"/>
  <c r="AA93" i="8"/>
  <c r="W93" i="8"/>
  <c r="S93" i="8"/>
  <c r="O93" i="8"/>
  <c r="K93" i="8"/>
  <c r="G93" i="8"/>
  <c r="C93" i="8"/>
  <c r="CX93" i="8"/>
  <c r="CT93" i="8"/>
  <c r="CP93" i="8"/>
  <c r="CL93" i="8"/>
  <c r="CH93" i="8"/>
  <c r="CD93" i="8"/>
  <c r="BZ93" i="8"/>
  <c r="BV93" i="8"/>
  <c r="BR93" i="8"/>
  <c r="BN93" i="8"/>
  <c r="BJ93" i="8"/>
  <c r="BF93" i="8"/>
  <c r="BB93" i="8"/>
  <c r="AX93" i="8"/>
  <c r="AT93" i="8"/>
  <c r="AP93" i="8"/>
  <c r="AL93" i="8"/>
  <c r="AH93" i="8"/>
  <c r="AD93" i="8"/>
  <c r="Z93" i="8"/>
  <c r="V93" i="8"/>
  <c r="R93" i="8"/>
  <c r="N93" i="8"/>
  <c r="J93" i="8"/>
  <c r="CJ88" i="8"/>
  <c r="BN88" i="8"/>
  <c r="AS88" i="8"/>
  <c r="X88" i="8"/>
  <c r="CT86" i="8"/>
  <c r="CM86" i="8"/>
  <c r="CF86" i="8"/>
  <c r="BW86" i="8"/>
  <c r="BL86" i="8"/>
  <c r="BB86" i="8"/>
  <c r="AQ86" i="8"/>
  <c r="AF86" i="8"/>
  <c r="V86" i="8"/>
  <c r="K86" i="8"/>
  <c r="CX88" i="8"/>
  <c r="CC88" i="8"/>
  <c r="BH88" i="8"/>
  <c r="AL88" i="8"/>
  <c r="Q88" i="8"/>
  <c r="CR86" i="8"/>
  <c r="CL86" i="8"/>
  <c r="CD86" i="8"/>
  <c r="BS86" i="8"/>
  <c r="BH86" i="8"/>
  <c r="AX86" i="8"/>
  <c r="AM86" i="8"/>
  <c r="AB86" i="8"/>
  <c r="R86" i="8"/>
  <c r="G86" i="8"/>
  <c r="CT88" i="8"/>
  <c r="BY88" i="8"/>
  <c r="BD88" i="8"/>
  <c r="AH88" i="8"/>
  <c r="M88" i="8"/>
  <c r="CX86" i="8"/>
  <c r="CQ86" i="8"/>
  <c r="CI86" i="8"/>
  <c r="CB86" i="8"/>
  <c r="BR86" i="8"/>
  <c r="BG86" i="8"/>
  <c r="AV86" i="8"/>
  <c r="AL86" i="8"/>
  <c r="AA86" i="8"/>
  <c r="P86" i="8"/>
  <c r="CN88" i="8"/>
  <c r="BR88" i="8"/>
  <c r="AW88" i="8"/>
  <c r="AB88" i="8"/>
  <c r="C88" i="8"/>
  <c r="D88" i="8"/>
  <c r="D90" i="8" s="1"/>
  <c r="I88" i="8"/>
  <c r="N88" i="8"/>
  <c r="T88" i="8"/>
  <c r="Y88" i="8"/>
  <c r="AD88" i="8"/>
  <c r="AJ88" i="8"/>
  <c r="AO88" i="8"/>
  <c r="AT88" i="8"/>
  <c r="AZ88" i="8"/>
  <c r="BE88" i="8"/>
  <c r="BJ88" i="8"/>
  <c r="BP88" i="8"/>
  <c r="BU88" i="8"/>
  <c r="BZ88" i="8"/>
  <c r="CF88" i="8"/>
  <c r="CK88" i="8"/>
  <c r="CP88" i="8"/>
  <c r="CV88" i="8"/>
  <c r="E88" i="8"/>
  <c r="J88" i="8"/>
  <c r="P88" i="8"/>
  <c r="U88" i="8"/>
  <c r="Z88" i="8"/>
  <c r="AF88" i="8"/>
  <c r="AK88" i="8"/>
  <c r="AP88" i="8"/>
  <c r="AV88" i="8"/>
  <c r="BA88" i="8"/>
  <c r="BF88" i="8"/>
  <c r="BL88" i="8"/>
  <c r="BQ88" i="8"/>
  <c r="BV88" i="8"/>
  <c r="CB88" i="8"/>
  <c r="CG88" i="8"/>
  <c r="CL88" i="8"/>
  <c r="CR88" i="8"/>
  <c r="CW88" i="8"/>
  <c r="CS88" i="8"/>
  <c r="CH88" i="8"/>
  <c r="BX88" i="8"/>
  <c r="BM88" i="8"/>
  <c r="BB88" i="8"/>
  <c r="AR88" i="8"/>
  <c r="AG88" i="8"/>
  <c r="V88" i="8"/>
  <c r="L88" i="8"/>
  <c r="E86" i="8"/>
  <c r="C86" i="8"/>
  <c r="H86" i="8"/>
  <c r="N86" i="8"/>
  <c r="S86" i="8"/>
  <c r="X86" i="8"/>
  <c r="AD86" i="8"/>
  <c r="AI86" i="8"/>
  <c r="AN86" i="8"/>
  <c r="AT86" i="8"/>
  <c r="AY86" i="8"/>
  <c r="BD86" i="8"/>
  <c r="BJ86" i="8"/>
  <c r="BO86" i="8"/>
  <c r="BT86" i="8"/>
  <c r="BZ86" i="8"/>
  <c r="CE86" i="8"/>
  <c r="CJ86" i="8"/>
  <c r="CP86" i="8"/>
  <c r="CU86" i="8"/>
  <c r="D86" i="8"/>
  <c r="J86" i="8"/>
  <c r="O86" i="8"/>
  <c r="T86" i="8"/>
  <c r="Z86" i="8"/>
  <c r="AE86" i="8"/>
  <c r="AJ86" i="8"/>
  <c r="AP86" i="8"/>
  <c r="AU86" i="8"/>
  <c r="AZ86" i="8"/>
  <c r="BF86" i="8"/>
  <c r="BK86" i="8"/>
  <c r="BP86" i="8"/>
  <c r="BV86" i="8"/>
  <c r="CA86" i="8"/>
  <c r="CO88" i="8"/>
  <c r="CD88" i="8"/>
  <c r="BT88" i="8"/>
  <c r="BI88" i="8"/>
  <c r="AX88" i="8"/>
  <c r="AN88" i="8"/>
  <c r="AC88" i="8"/>
  <c r="R88" i="8"/>
  <c r="H88" i="8"/>
  <c r="CQ89" i="8"/>
  <c r="CA89" i="8"/>
  <c r="BK89" i="8"/>
  <c r="AU89" i="8"/>
  <c r="AE89" i="8"/>
  <c r="O89" i="8"/>
  <c r="CM89" i="8"/>
  <c r="BW89" i="8"/>
  <c r="BG89" i="8"/>
  <c r="AQ89" i="8"/>
  <c r="AA89" i="8"/>
  <c r="K89" i="8"/>
  <c r="CT89" i="8"/>
  <c r="CL89" i="8"/>
  <c r="CD89" i="8"/>
  <c r="BV89" i="8"/>
  <c r="BN89" i="8"/>
  <c r="BF89" i="8"/>
  <c r="AX89" i="8"/>
  <c r="AP89" i="8"/>
  <c r="AH89" i="8"/>
  <c r="Z89" i="8"/>
  <c r="R89" i="8"/>
  <c r="F89" i="8"/>
  <c r="F90" i="8" s="1"/>
  <c r="F91" i="8" s="1"/>
  <c r="F112" i="8" s="1"/>
  <c r="CW89" i="8"/>
  <c r="CS89" i="8"/>
  <c r="CO89" i="8"/>
  <c r="CK89" i="8"/>
  <c r="CG89" i="8"/>
  <c r="CC89" i="8"/>
  <c r="BY89" i="8"/>
  <c r="BU89" i="8"/>
  <c r="BQ89" i="8"/>
  <c r="BM89" i="8"/>
  <c r="BI89" i="8"/>
  <c r="BE89" i="8"/>
  <c r="BA89" i="8"/>
  <c r="AW89" i="8"/>
  <c r="AS89" i="8"/>
  <c r="AO89" i="8"/>
  <c r="AK89" i="8"/>
  <c r="AG89" i="8"/>
  <c r="AC89" i="8"/>
  <c r="Y89" i="8"/>
  <c r="U89" i="8"/>
  <c r="Q89" i="8"/>
  <c r="M89" i="8"/>
  <c r="I89" i="8"/>
  <c r="E89" i="8"/>
  <c r="CX89" i="8"/>
  <c r="CP89" i="8"/>
  <c r="CH89" i="8"/>
  <c r="BZ89" i="8"/>
  <c r="BR89" i="8"/>
  <c r="BJ89" i="8"/>
  <c r="BB89" i="8"/>
  <c r="AT89" i="8"/>
  <c r="AL89" i="8"/>
  <c r="AD89" i="8"/>
  <c r="V89" i="8"/>
  <c r="N89" i="8"/>
  <c r="J89" i="8"/>
  <c r="CV89" i="8"/>
  <c r="CR89" i="8"/>
  <c r="CN89" i="8"/>
  <c r="CJ89" i="8"/>
  <c r="CF89" i="8"/>
  <c r="CB89" i="8"/>
  <c r="BX89" i="8"/>
  <c r="BT89" i="8"/>
  <c r="BP89" i="8"/>
  <c r="BL89" i="8"/>
  <c r="BH89" i="8"/>
  <c r="BD89" i="8"/>
  <c r="AZ89" i="8"/>
  <c r="AV89" i="8"/>
  <c r="AR89" i="8"/>
  <c r="AN89" i="8"/>
  <c r="AJ89" i="8"/>
  <c r="AF89" i="8"/>
  <c r="AB89" i="8"/>
  <c r="X89" i="8"/>
  <c r="T89" i="8"/>
  <c r="P89" i="8"/>
  <c r="L89" i="8"/>
  <c r="H89" i="8"/>
  <c r="CU88" i="8"/>
  <c r="CQ88" i="8"/>
  <c r="CM88" i="8"/>
  <c r="CI88" i="8"/>
  <c r="CE88" i="8"/>
  <c r="CA88" i="8"/>
  <c r="BW88" i="8"/>
  <c r="BS88" i="8"/>
  <c r="BO88" i="8"/>
  <c r="BK88" i="8"/>
  <c r="BG88" i="8"/>
  <c r="BC88" i="8"/>
  <c r="AY88" i="8"/>
  <c r="AU88" i="8"/>
  <c r="AQ88" i="8"/>
  <c r="AM88" i="8"/>
  <c r="AI88" i="8"/>
  <c r="AE88" i="8"/>
  <c r="AA88" i="8"/>
  <c r="W88" i="8"/>
  <c r="S88" i="8"/>
  <c r="O88" i="8"/>
  <c r="K88" i="8"/>
  <c r="G88" i="8"/>
  <c r="CW86" i="8"/>
  <c r="CS86" i="8"/>
  <c r="CO86" i="8"/>
  <c r="CK86" i="8"/>
  <c r="CG86" i="8"/>
  <c r="CC86" i="8"/>
  <c r="BY86" i="8"/>
  <c r="BU86" i="8"/>
  <c r="BQ86" i="8"/>
  <c r="BM86" i="8"/>
  <c r="BI86" i="8"/>
  <c r="BE86" i="8"/>
  <c r="BA86" i="8"/>
  <c r="AW86" i="8"/>
  <c r="AS86" i="8"/>
  <c r="AO86" i="8"/>
  <c r="AK86" i="8"/>
  <c r="AG86" i="8"/>
  <c r="AC86" i="8"/>
  <c r="Y86" i="8"/>
  <c r="U86" i="8"/>
  <c r="Q86" i="8"/>
  <c r="M86" i="8"/>
  <c r="I86" i="8"/>
  <c r="AG97" i="8" l="1"/>
  <c r="Q97" i="8"/>
  <c r="CS97" i="8"/>
  <c r="CW97" i="8"/>
  <c r="CW98" i="8" s="1"/>
  <c r="CW128" i="8" s="1"/>
  <c r="AK97" i="8"/>
  <c r="AK98" i="8" s="1"/>
  <c r="AK128" i="8" s="1"/>
  <c r="BU97" i="8"/>
  <c r="BY97" i="8"/>
  <c r="AO97" i="8"/>
  <c r="AS97" i="8"/>
  <c r="CE90" i="8"/>
  <c r="BJ97" i="8"/>
  <c r="BJ98" i="8" s="1"/>
  <c r="BJ128" i="8" s="1"/>
  <c r="AW97" i="8"/>
  <c r="AU90" i="8"/>
  <c r="AU91" i="8" s="1"/>
  <c r="AU112" i="8" s="1"/>
  <c r="BA97" i="8"/>
  <c r="BA98" i="8" s="1"/>
  <c r="BA128" i="8" s="1"/>
  <c r="BI97" i="8"/>
  <c r="BI98" i="8" s="1"/>
  <c r="BI128" i="8" s="1"/>
  <c r="AN97" i="8"/>
  <c r="AN98" i="8" s="1"/>
  <c r="AN128" i="8" s="1"/>
  <c r="BM97" i="8"/>
  <c r="BM98" i="8" s="1"/>
  <c r="BM128" i="8" s="1"/>
  <c r="CG97" i="8"/>
  <c r="CG98" i="8" s="1"/>
  <c r="CG128" i="8" s="1"/>
  <c r="BE97" i="8"/>
  <c r="BE98" i="8" s="1"/>
  <c r="BE128" i="8" s="1"/>
  <c r="BQ97" i="8"/>
  <c r="BQ98" i="8" s="1"/>
  <c r="BQ128" i="8" s="1"/>
  <c r="AJ97" i="8"/>
  <c r="AJ98" i="8" s="1"/>
  <c r="AJ128" i="8" s="1"/>
  <c r="CD97" i="8"/>
  <c r="CD98" i="8" s="1"/>
  <c r="CD128" i="8" s="1"/>
  <c r="BO90" i="8"/>
  <c r="BO91" i="8" s="1"/>
  <c r="BO112" i="8" s="1"/>
  <c r="BF97" i="8"/>
  <c r="BF98" i="8" s="1"/>
  <c r="BF128" i="8" s="1"/>
  <c r="Y97" i="8"/>
  <c r="Y98" i="8" s="1"/>
  <c r="Y128" i="8" s="1"/>
  <c r="BN97" i="8"/>
  <c r="BN98" i="8" s="1"/>
  <c r="BN128" i="8" s="1"/>
  <c r="W90" i="8"/>
  <c r="W91" i="8" s="1"/>
  <c r="W112" i="8" s="1"/>
  <c r="AM90" i="8"/>
  <c r="AM91" i="8" s="1"/>
  <c r="AM112" i="8" s="1"/>
  <c r="C90" i="8"/>
  <c r="U97" i="8"/>
  <c r="U98" i="8" s="1"/>
  <c r="U128" i="8" s="1"/>
  <c r="CV97" i="8"/>
  <c r="CV98" i="8" s="1"/>
  <c r="CV128" i="8" s="1"/>
  <c r="BG90" i="8"/>
  <c r="BG91" i="8" s="1"/>
  <c r="BG112" i="8" s="1"/>
  <c r="BS90" i="8"/>
  <c r="BS91" i="8" s="1"/>
  <c r="BS112" i="8" s="1"/>
  <c r="CA97" i="8"/>
  <c r="CA98" i="8" s="1"/>
  <c r="CA128" i="8" s="1"/>
  <c r="W97" i="8"/>
  <c r="W98" i="8" s="1"/>
  <c r="W128" i="8" s="1"/>
  <c r="CI90" i="8"/>
  <c r="CI91" i="8" s="1"/>
  <c r="CI112" i="8" s="1"/>
  <c r="BC90" i="8"/>
  <c r="BC91" i="8" s="1"/>
  <c r="BC112" i="8" s="1"/>
  <c r="CR90" i="8"/>
  <c r="CR91" i="8" s="1"/>
  <c r="CR112" i="8" s="1"/>
  <c r="BV90" i="8"/>
  <c r="BV91" i="8" s="1"/>
  <c r="BV112" i="8" s="1"/>
  <c r="AF90" i="8"/>
  <c r="AF91" i="8" s="1"/>
  <c r="AF112" i="8" s="1"/>
  <c r="CK90" i="8"/>
  <c r="CK91" i="8" s="1"/>
  <c r="CK112" i="8" s="1"/>
  <c r="E98" i="8"/>
  <c r="E128" i="8" s="1"/>
  <c r="BB97" i="8"/>
  <c r="BB98" i="8" s="1"/>
  <c r="BB128" i="8" s="1"/>
  <c r="AF97" i="8"/>
  <c r="AF98" i="8" s="1"/>
  <c r="AF128" i="8" s="1"/>
  <c r="CR97" i="8"/>
  <c r="CR98" i="8" s="1"/>
  <c r="CR128" i="8" s="1"/>
  <c r="AE97" i="8"/>
  <c r="AE98" i="8" s="1"/>
  <c r="AE128" i="8" s="1"/>
  <c r="AM97" i="8"/>
  <c r="AM98" i="8" s="1"/>
  <c r="AM128" i="8" s="1"/>
  <c r="G90" i="8"/>
  <c r="G91" i="8" s="1"/>
  <c r="G112" i="8" s="1"/>
  <c r="O97" i="8"/>
  <c r="O98" i="8" s="1"/>
  <c r="O128" i="8" s="1"/>
  <c r="BC97" i="8"/>
  <c r="BC98" i="8" s="1"/>
  <c r="BC128" i="8" s="1"/>
  <c r="BK97" i="8"/>
  <c r="BK98" i="8" s="1"/>
  <c r="BK128" i="8" s="1"/>
  <c r="BS97" i="8"/>
  <c r="BS98" i="8" s="1"/>
  <c r="BS128" i="8" s="1"/>
  <c r="S90" i="8"/>
  <c r="S91" i="8" s="1"/>
  <c r="S112" i="8" s="1"/>
  <c r="AI90" i="8"/>
  <c r="AI91" i="8" s="1"/>
  <c r="AI112" i="8" s="1"/>
  <c r="AY90" i="8"/>
  <c r="AY91" i="8" s="1"/>
  <c r="AY112" i="8" s="1"/>
  <c r="V90" i="8"/>
  <c r="V91" i="8" s="1"/>
  <c r="V112" i="8" s="1"/>
  <c r="CB90" i="8"/>
  <c r="CB91" i="8" s="1"/>
  <c r="CB112" i="8" s="1"/>
  <c r="P90" i="8"/>
  <c r="P91" i="8" s="1"/>
  <c r="P112" i="8" s="1"/>
  <c r="BU90" i="8"/>
  <c r="BU91" i="8" s="1"/>
  <c r="BU112" i="8" s="1"/>
  <c r="I90" i="8"/>
  <c r="I91" i="8" s="1"/>
  <c r="I112" i="8" s="1"/>
  <c r="AH97" i="8"/>
  <c r="AH98" i="8" s="1"/>
  <c r="AH128" i="8" s="1"/>
  <c r="AX97" i="8"/>
  <c r="AX98" i="8" s="1"/>
  <c r="AX128" i="8" s="1"/>
  <c r="AR97" i="8"/>
  <c r="AR98" i="8" s="1"/>
  <c r="AR128" i="8" s="1"/>
  <c r="BH97" i="8"/>
  <c r="BH98" i="8" s="1"/>
  <c r="BH128" i="8" s="1"/>
  <c r="S97" i="8"/>
  <c r="S98" i="8" s="1"/>
  <c r="S128" i="8" s="1"/>
  <c r="CE97" i="8"/>
  <c r="CE98" i="8" s="1"/>
  <c r="CE128" i="8" s="1"/>
  <c r="AU97" i="8"/>
  <c r="AU98" i="8" s="1"/>
  <c r="AU128" i="8" s="1"/>
  <c r="Y90" i="8"/>
  <c r="Y91" i="8" s="1"/>
  <c r="Y112" i="8" s="1"/>
  <c r="CQ97" i="8"/>
  <c r="CQ98" i="8" s="1"/>
  <c r="CQ128" i="8" s="1"/>
  <c r="K90" i="8"/>
  <c r="K91" i="8" s="1"/>
  <c r="K112" i="8" s="1"/>
  <c r="BW90" i="8"/>
  <c r="BW91" i="8" s="1"/>
  <c r="BW112" i="8" s="1"/>
  <c r="AP97" i="8"/>
  <c r="AP98" i="8" s="1"/>
  <c r="AP128" i="8" s="1"/>
  <c r="T97" i="8"/>
  <c r="T98" i="8" s="1"/>
  <c r="T128" i="8" s="1"/>
  <c r="CF97" i="8"/>
  <c r="CF98" i="8" s="1"/>
  <c r="CF128" i="8" s="1"/>
  <c r="CU90" i="8"/>
  <c r="CU91" i="8" s="1"/>
  <c r="CU112" i="8" s="1"/>
  <c r="BM90" i="8"/>
  <c r="BM91" i="8" s="1"/>
  <c r="BM112" i="8" s="1"/>
  <c r="BF90" i="8"/>
  <c r="BF91" i="8" s="1"/>
  <c r="BF112" i="8" s="1"/>
  <c r="AW90" i="8"/>
  <c r="AW91" i="8" s="1"/>
  <c r="AW112" i="8" s="1"/>
  <c r="Q90" i="8"/>
  <c r="Q91" i="8" s="1"/>
  <c r="Q112" i="8" s="1"/>
  <c r="CX90" i="8"/>
  <c r="CX91" i="8" s="1"/>
  <c r="CX112" i="8" s="1"/>
  <c r="R97" i="8"/>
  <c r="R98" i="8" s="1"/>
  <c r="R128" i="8" s="1"/>
  <c r="CT97" i="8"/>
  <c r="CT98" i="8" s="1"/>
  <c r="CT128" i="8" s="1"/>
  <c r="L97" i="8"/>
  <c r="L98" i="8" s="1"/>
  <c r="L128" i="8" s="1"/>
  <c r="AB97" i="8"/>
  <c r="AB98" i="8" s="1"/>
  <c r="AB128" i="8" s="1"/>
  <c r="BX97" i="8"/>
  <c r="BX98" i="8" s="1"/>
  <c r="BX128" i="8" s="1"/>
  <c r="CN97" i="8"/>
  <c r="CN98" i="8" s="1"/>
  <c r="CN128" i="8" s="1"/>
  <c r="CI97" i="8"/>
  <c r="CI98" i="8" s="1"/>
  <c r="CI128" i="8" s="1"/>
  <c r="V97" i="8"/>
  <c r="V98" i="8" s="1"/>
  <c r="V128" i="8" s="1"/>
  <c r="BL97" i="8"/>
  <c r="BL98" i="8" s="1"/>
  <c r="BL128" i="8" s="1"/>
  <c r="D91" i="8"/>
  <c r="D112" i="8" s="1"/>
  <c r="CE91" i="8"/>
  <c r="CE112" i="8" s="1"/>
  <c r="I98" i="8"/>
  <c r="I128" i="8" s="1"/>
  <c r="AO98" i="8"/>
  <c r="AO128" i="8" s="1"/>
  <c r="BU98" i="8"/>
  <c r="BU128" i="8" s="1"/>
  <c r="CK98" i="8"/>
  <c r="CK128" i="8" s="1"/>
  <c r="J97" i="8"/>
  <c r="J98" i="8" s="1"/>
  <c r="J128" i="8" s="1"/>
  <c r="Z97" i="8"/>
  <c r="Z98" i="8" s="1"/>
  <c r="Z128" i="8" s="1"/>
  <c r="BV97" i="8"/>
  <c r="BV98" i="8" s="1"/>
  <c r="BV128" i="8" s="1"/>
  <c r="CL97" i="8"/>
  <c r="CL98" i="8" s="1"/>
  <c r="CL128" i="8" s="1"/>
  <c r="D97" i="8"/>
  <c r="D98" i="8" s="1"/>
  <c r="D128" i="8" s="1"/>
  <c r="AZ97" i="8"/>
  <c r="AZ98" i="8" s="1"/>
  <c r="AZ128" i="8" s="1"/>
  <c r="BP97" i="8"/>
  <c r="BP98" i="8" s="1"/>
  <c r="BP128" i="8" s="1"/>
  <c r="AY97" i="8"/>
  <c r="AY98" i="8" s="1"/>
  <c r="AY128" i="8" s="1"/>
  <c r="AQ97" i="8"/>
  <c r="AQ98" i="8" s="1"/>
  <c r="AQ128" i="8" s="1"/>
  <c r="CH97" i="8"/>
  <c r="CH98" i="8" s="1"/>
  <c r="CH128" i="8" s="1"/>
  <c r="G97" i="8"/>
  <c r="G98" i="8" s="1"/>
  <c r="G128" i="8" s="1"/>
  <c r="BG97" i="8"/>
  <c r="BG98" i="8" s="1"/>
  <c r="BG128" i="8" s="1"/>
  <c r="AE90" i="8"/>
  <c r="AE91" i="8" s="1"/>
  <c r="AE112" i="8" s="1"/>
  <c r="CQ90" i="8"/>
  <c r="CQ91" i="8" s="1"/>
  <c r="CQ112" i="8" s="1"/>
  <c r="M98" i="8"/>
  <c r="M128" i="8" s="1"/>
  <c r="AC98" i="8"/>
  <c r="AC128" i="8" s="1"/>
  <c r="AS98" i="8"/>
  <c r="AS128" i="8" s="1"/>
  <c r="BY98" i="8"/>
  <c r="BY128" i="8" s="1"/>
  <c r="CO98" i="8"/>
  <c r="CO128" i="8" s="1"/>
  <c r="N97" i="8"/>
  <c r="N98" i="8" s="1"/>
  <c r="N128" i="8" s="1"/>
  <c r="AD97" i="8"/>
  <c r="AD98" i="8" s="1"/>
  <c r="AD128" i="8" s="1"/>
  <c r="AT97" i="8"/>
  <c r="AT98" i="8" s="1"/>
  <c r="AT128" i="8" s="1"/>
  <c r="BZ97" i="8"/>
  <c r="BZ98" i="8" s="1"/>
  <c r="BZ128" i="8" s="1"/>
  <c r="CP97" i="8"/>
  <c r="CP98" i="8" s="1"/>
  <c r="CP128" i="8" s="1"/>
  <c r="H97" i="8"/>
  <c r="H98" i="8" s="1"/>
  <c r="H128" i="8" s="1"/>
  <c r="X97" i="8"/>
  <c r="X98" i="8" s="1"/>
  <c r="X128" i="8" s="1"/>
  <c r="BD97" i="8"/>
  <c r="BD98" i="8" s="1"/>
  <c r="BD128" i="8" s="1"/>
  <c r="BT97" i="8"/>
  <c r="BT98" i="8" s="1"/>
  <c r="BT128" i="8" s="1"/>
  <c r="CJ97" i="8"/>
  <c r="CJ98" i="8" s="1"/>
  <c r="CJ128" i="8" s="1"/>
  <c r="C97" i="8"/>
  <c r="BO97" i="8"/>
  <c r="BO98" i="8" s="1"/>
  <c r="BO128" i="8" s="1"/>
  <c r="K97" i="8"/>
  <c r="K98" i="8" s="1"/>
  <c r="K128" i="8" s="1"/>
  <c r="BW97" i="8"/>
  <c r="BW98" i="8" s="1"/>
  <c r="BW128" i="8" s="1"/>
  <c r="CW90" i="8"/>
  <c r="CW91" i="8" s="1"/>
  <c r="CW112" i="8" s="1"/>
  <c r="AK90" i="8"/>
  <c r="AK91" i="8" s="1"/>
  <c r="AK112" i="8" s="1"/>
  <c r="Q98" i="8"/>
  <c r="Q128" i="8" s="1"/>
  <c r="AG98" i="8"/>
  <c r="AG128" i="8" s="1"/>
  <c r="AW98" i="8"/>
  <c r="AW128" i="8" s="1"/>
  <c r="CC98" i="8"/>
  <c r="CC128" i="8" s="1"/>
  <c r="CS98" i="8"/>
  <c r="CS128" i="8" s="1"/>
  <c r="AA97" i="8"/>
  <c r="AA98" i="8" s="1"/>
  <c r="AA128" i="8" s="1"/>
  <c r="CM97" i="8"/>
  <c r="CM98" i="8" s="1"/>
  <c r="CM128" i="8" s="1"/>
  <c r="BX90" i="8"/>
  <c r="BX91" i="8" s="1"/>
  <c r="BX112" i="8" s="1"/>
  <c r="BA90" i="8"/>
  <c r="BA91" i="8" s="1"/>
  <c r="BA112" i="8" s="1"/>
  <c r="AT90" i="8"/>
  <c r="AT91" i="8" s="1"/>
  <c r="AT112" i="8" s="1"/>
  <c r="CT90" i="8"/>
  <c r="CT91" i="8" s="1"/>
  <c r="CT112" i="8" s="1"/>
  <c r="BN90" i="8"/>
  <c r="BN91" i="8" s="1"/>
  <c r="BN112" i="8" s="1"/>
  <c r="AL97" i="8"/>
  <c r="AL98" i="8" s="1"/>
  <c r="AL128" i="8" s="1"/>
  <c r="BR97" i="8"/>
  <c r="BR98" i="8" s="1"/>
  <c r="BR128" i="8" s="1"/>
  <c r="CX97" i="8"/>
  <c r="CX98" i="8" s="1"/>
  <c r="CX128" i="8" s="1"/>
  <c r="P97" i="8"/>
  <c r="P98" i="8" s="1"/>
  <c r="P128" i="8" s="1"/>
  <c r="AV97" i="8"/>
  <c r="AV98" i="8" s="1"/>
  <c r="AV128" i="8" s="1"/>
  <c r="CB97" i="8"/>
  <c r="CB98" i="8" s="1"/>
  <c r="CB128" i="8" s="1"/>
  <c r="AI97" i="8"/>
  <c r="AI98" i="8" s="1"/>
  <c r="AI128" i="8" s="1"/>
  <c r="CU97" i="8"/>
  <c r="CU98" i="8" s="1"/>
  <c r="CU128" i="8" s="1"/>
  <c r="BI90" i="8"/>
  <c r="BI91" i="8" s="1"/>
  <c r="BI112" i="8" s="1"/>
  <c r="CP90" i="8"/>
  <c r="CP91" i="8" s="1"/>
  <c r="CP112" i="8" s="1"/>
  <c r="AZ90" i="8"/>
  <c r="AZ91" i="8" s="1"/>
  <c r="AZ112" i="8" s="1"/>
  <c r="BY90" i="8"/>
  <c r="BY91" i="8" s="1"/>
  <c r="BY112" i="8" s="1"/>
  <c r="AC90" i="8"/>
  <c r="AC91" i="8" s="1"/>
  <c r="AC112" i="8" s="1"/>
  <c r="AG90" i="8"/>
  <c r="AG91" i="8" s="1"/>
  <c r="AG112" i="8" s="1"/>
  <c r="M90" i="8"/>
  <c r="M91" i="8" s="1"/>
  <c r="M112" i="8" s="1"/>
  <c r="AA90" i="8"/>
  <c r="AA91" i="8" s="1"/>
  <c r="AA112" i="8" s="1"/>
  <c r="AQ90" i="8"/>
  <c r="AQ91" i="8" s="1"/>
  <c r="AQ112" i="8" s="1"/>
  <c r="CM90" i="8"/>
  <c r="CM91" i="8" s="1"/>
  <c r="CM112" i="8" s="1"/>
  <c r="AN90" i="8"/>
  <c r="AN91" i="8" s="1"/>
  <c r="AN112" i="8" s="1"/>
  <c r="CD90" i="8"/>
  <c r="CD91" i="8" s="1"/>
  <c r="CD112" i="8" s="1"/>
  <c r="AR90" i="8"/>
  <c r="AR91" i="8" s="1"/>
  <c r="AR112" i="8" s="1"/>
  <c r="CH90" i="8"/>
  <c r="CH91" i="8" s="1"/>
  <c r="CH112" i="8" s="1"/>
  <c r="CL90" i="8"/>
  <c r="CL91" i="8" s="1"/>
  <c r="CL112" i="8" s="1"/>
  <c r="BQ90" i="8"/>
  <c r="BQ91" i="8" s="1"/>
  <c r="BQ112" i="8" s="1"/>
  <c r="AV90" i="8"/>
  <c r="AV91" i="8" s="1"/>
  <c r="AV112" i="8" s="1"/>
  <c r="Z90" i="8"/>
  <c r="Z91" i="8" s="1"/>
  <c r="Z112" i="8" s="1"/>
  <c r="E90" i="8"/>
  <c r="E91" i="8" s="1"/>
  <c r="E112" i="8" s="1"/>
  <c r="CF90" i="8"/>
  <c r="CF91" i="8" s="1"/>
  <c r="CF112" i="8" s="1"/>
  <c r="BJ90" i="8"/>
  <c r="BJ91" i="8" s="1"/>
  <c r="BJ112" i="8" s="1"/>
  <c r="AO90" i="8"/>
  <c r="AO91" i="8" s="1"/>
  <c r="AO112" i="8" s="1"/>
  <c r="T90" i="8"/>
  <c r="T91" i="8" s="1"/>
  <c r="T112" i="8" s="1"/>
  <c r="CN90" i="8"/>
  <c r="CN91" i="8" s="1"/>
  <c r="CN112" i="8" s="1"/>
  <c r="AH90" i="8"/>
  <c r="AH91" i="8" s="1"/>
  <c r="AH112" i="8" s="1"/>
  <c r="BH90" i="8"/>
  <c r="BH91" i="8" s="1"/>
  <c r="BH112" i="8" s="1"/>
  <c r="CJ90" i="8"/>
  <c r="CJ91" i="8" s="1"/>
  <c r="CJ112" i="8" s="1"/>
  <c r="R90" i="8"/>
  <c r="R91" i="8" s="1"/>
  <c r="R112" i="8" s="1"/>
  <c r="AD90" i="8"/>
  <c r="AD91" i="8" s="1"/>
  <c r="AD112" i="8" s="1"/>
  <c r="AS90" i="8"/>
  <c r="AS91" i="8" s="1"/>
  <c r="AS112" i="8" s="1"/>
  <c r="BT90" i="8"/>
  <c r="BT91" i="8" s="1"/>
  <c r="BT112" i="8" s="1"/>
  <c r="J90" i="8"/>
  <c r="J91" i="8" s="1"/>
  <c r="J112" i="8" s="1"/>
  <c r="BP90" i="8"/>
  <c r="BP91" i="8" s="1"/>
  <c r="BP112" i="8" s="1"/>
  <c r="BR90" i="8"/>
  <c r="BR91" i="8" s="1"/>
  <c r="BR112" i="8" s="1"/>
  <c r="AL90" i="8"/>
  <c r="AL91" i="8" s="1"/>
  <c r="AL112" i="8" s="1"/>
  <c r="O90" i="8"/>
  <c r="O91" i="8" s="1"/>
  <c r="O112" i="8" s="1"/>
  <c r="BK90" i="8"/>
  <c r="BK91" i="8" s="1"/>
  <c r="BK112" i="8" s="1"/>
  <c r="CA90" i="8"/>
  <c r="CA91" i="8" s="1"/>
  <c r="CA112" i="8" s="1"/>
  <c r="H90" i="8"/>
  <c r="H91" i="8" s="1"/>
  <c r="H112" i="8" s="1"/>
  <c r="AX90" i="8"/>
  <c r="AX91" i="8" s="1"/>
  <c r="AX112" i="8" s="1"/>
  <c r="CO90" i="8"/>
  <c r="CO91" i="8" s="1"/>
  <c r="CO112" i="8" s="1"/>
  <c r="L90" i="8"/>
  <c r="L91" i="8" s="1"/>
  <c r="L112" i="8" s="1"/>
  <c r="BB90" i="8"/>
  <c r="BB91" i="8" s="1"/>
  <c r="BB112" i="8" s="1"/>
  <c r="CS90" i="8"/>
  <c r="CS91" i="8" s="1"/>
  <c r="CS112" i="8" s="1"/>
  <c r="CG90" i="8"/>
  <c r="CG91" i="8" s="1"/>
  <c r="CG112" i="8" s="1"/>
  <c r="BL90" i="8"/>
  <c r="BL91" i="8" s="1"/>
  <c r="BL112" i="8" s="1"/>
  <c r="AP90" i="8"/>
  <c r="AP91" i="8" s="1"/>
  <c r="AP112" i="8" s="1"/>
  <c r="U90" i="8"/>
  <c r="U91" i="8" s="1"/>
  <c r="U112" i="8" s="1"/>
  <c r="CV90" i="8"/>
  <c r="CV91" i="8" s="1"/>
  <c r="CV112" i="8" s="1"/>
  <c r="BZ90" i="8"/>
  <c r="BZ91" i="8" s="1"/>
  <c r="BZ112" i="8" s="1"/>
  <c r="BE90" i="8"/>
  <c r="BE91" i="8" s="1"/>
  <c r="BE112" i="8" s="1"/>
  <c r="AJ90" i="8"/>
  <c r="AJ91" i="8" s="1"/>
  <c r="AJ112" i="8" s="1"/>
  <c r="N90" i="8"/>
  <c r="N91" i="8" s="1"/>
  <c r="N112" i="8" s="1"/>
  <c r="AB90" i="8"/>
  <c r="AB91" i="8" s="1"/>
  <c r="AB112" i="8" s="1"/>
  <c r="BD90" i="8"/>
  <c r="BD91" i="8" s="1"/>
  <c r="BD112" i="8" s="1"/>
  <c r="CC90" i="8"/>
  <c r="CC91" i="8" s="1"/>
  <c r="CC112" i="8" s="1"/>
  <c r="X90" i="8"/>
  <c r="X91" i="8" s="1"/>
  <c r="X112" i="8" s="1"/>
  <c r="C98" i="8" l="1"/>
  <c r="C128" i="8" s="1"/>
  <c r="I225" i="8"/>
  <c r="C91" i="8"/>
  <c r="C112" i="8" s="1"/>
  <c r="I168" i="8"/>
  <c r="B22" i="8" a="1"/>
  <c r="B22" i="8" s="1"/>
  <c r="I220" i="8" l="1"/>
  <c r="I221" i="8"/>
  <c r="I218" i="8"/>
  <c r="I223" i="8"/>
  <c r="I222" i="8"/>
  <c r="I219" i="8"/>
  <c r="I224" i="8"/>
  <c r="CW22" i="8"/>
  <c r="CO22" i="8"/>
  <c r="CG22" i="8"/>
  <c r="BY22" i="8"/>
  <c r="BQ22" i="8"/>
  <c r="BI22" i="8"/>
  <c r="BA22" i="8"/>
  <c r="AS22" i="8"/>
  <c r="AK22" i="8"/>
  <c r="AC22" i="8"/>
  <c r="U22" i="8"/>
  <c r="M22" i="8"/>
  <c r="E22" i="8"/>
  <c r="CR22" i="8"/>
  <c r="CJ22" i="8"/>
  <c r="CB22" i="8"/>
  <c r="BT22" i="8"/>
  <c r="BL22" i="8"/>
  <c r="BD22" i="8"/>
  <c r="AV22" i="8"/>
  <c r="AN22" i="8"/>
  <c r="AF22" i="8"/>
  <c r="X22" i="8"/>
  <c r="T22" i="8"/>
  <c r="P22" i="8"/>
  <c r="H22" i="8"/>
  <c r="D22" i="8"/>
  <c r="CU22" i="8"/>
  <c r="CQ22" i="8"/>
  <c r="CM22" i="8"/>
  <c r="CI22" i="8"/>
  <c r="CE22" i="8"/>
  <c r="CA22" i="8"/>
  <c r="BW22" i="8"/>
  <c r="BS22" i="8"/>
  <c r="BO22" i="8"/>
  <c r="BK22" i="8"/>
  <c r="BG22" i="8"/>
  <c r="BC22" i="8"/>
  <c r="AY22" i="8"/>
  <c r="AU22" i="8"/>
  <c r="AQ22" i="8"/>
  <c r="AM22" i="8"/>
  <c r="AI22" i="8"/>
  <c r="AE22" i="8"/>
  <c r="AA22" i="8"/>
  <c r="W22" i="8"/>
  <c r="S22" i="8"/>
  <c r="O22" i="8"/>
  <c r="K22" i="8"/>
  <c r="G22" i="8"/>
  <c r="C22" i="8"/>
  <c r="CS22" i="8"/>
  <c r="CK22" i="8"/>
  <c r="CC22" i="8"/>
  <c r="BU22" i="8"/>
  <c r="BM22" i="8"/>
  <c r="BE22" i="8"/>
  <c r="AW22" i="8"/>
  <c r="AO22" i="8"/>
  <c r="AG22" i="8"/>
  <c r="Y22" i="8"/>
  <c r="Q22" i="8"/>
  <c r="I22" i="8"/>
  <c r="CV22" i="8"/>
  <c r="CN22" i="8"/>
  <c r="CF22" i="8"/>
  <c r="BX22" i="8"/>
  <c r="BP22" i="8"/>
  <c r="BH22" i="8"/>
  <c r="AZ22" i="8"/>
  <c r="AR22" i="8"/>
  <c r="AJ22" i="8"/>
  <c r="AB22" i="8"/>
  <c r="L22" i="8"/>
  <c r="CX22" i="8"/>
  <c r="CT22" i="8"/>
  <c r="CP22" i="8"/>
  <c r="CL22" i="8"/>
  <c r="CH22" i="8"/>
  <c r="CD22" i="8"/>
  <c r="BZ22" i="8"/>
  <c r="BV22" i="8"/>
  <c r="BR22" i="8"/>
  <c r="BN22" i="8"/>
  <c r="BJ22" i="8"/>
  <c r="BF22" i="8"/>
  <c r="BB22" i="8"/>
  <c r="AX22" i="8"/>
  <c r="AT22" i="8"/>
  <c r="AP22" i="8"/>
  <c r="AL22" i="8"/>
  <c r="AH22" i="8"/>
  <c r="AD22" i="8"/>
  <c r="Z22" i="8"/>
  <c r="V22" i="8"/>
  <c r="R22" i="8"/>
  <c r="N22" i="8"/>
  <c r="J22" i="8"/>
  <c r="F22" i="8"/>
  <c r="B15" i="7" l="1"/>
  <c r="B43" i="7" l="1"/>
  <c r="B42" i="7"/>
  <c r="STA116" i="8" l="1"/>
  <c r="B72" i="8"/>
  <c r="B68" i="8"/>
  <c r="B67" i="8"/>
  <c r="B66" i="8"/>
  <c r="B65" i="8"/>
  <c r="C109" i="8" l="1" a="1"/>
  <c r="C125" i="8" a="1"/>
  <c r="F125" i="8" s="1"/>
  <c r="CW125" i="8" l="1"/>
  <c r="CS125" i="8"/>
  <c r="CO125" i="8"/>
  <c r="CK125" i="8"/>
  <c r="CG125" i="8"/>
  <c r="CC125" i="8"/>
  <c r="BY125" i="8"/>
  <c r="BU125" i="8"/>
  <c r="BQ125" i="8"/>
  <c r="BM125" i="8"/>
  <c r="BI125" i="8"/>
  <c r="BE125" i="8"/>
  <c r="BA125" i="8"/>
  <c r="AW125" i="8"/>
  <c r="AS125" i="8"/>
  <c r="AO125" i="8"/>
  <c r="AK125" i="8"/>
  <c r="AG125" i="8"/>
  <c r="AC125" i="8"/>
  <c r="Y125" i="8"/>
  <c r="U125" i="8"/>
  <c r="Q125" i="8"/>
  <c r="M125" i="8"/>
  <c r="I125" i="8"/>
  <c r="E125" i="8"/>
  <c r="CV125" i="8"/>
  <c r="CR125" i="8"/>
  <c r="CN125" i="8"/>
  <c r="CJ125" i="8"/>
  <c r="CF125" i="8"/>
  <c r="CB125" i="8"/>
  <c r="BX125" i="8"/>
  <c r="BT125" i="8"/>
  <c r="BP125" i="8"/>
  <c r="BL125" i="8"/>
  <c r="BH125" i="8"/>
  <c r="BD125" i="8"/>
  <c r="AZ125" i="8"/>
  <c r="AV125" i="8"/>
  <c r="AR125" i="8"/>
  <c r="AN125" i="8"/>
  <c r="AJ125" i="8"/>
  <c r="AF125" i="8"/>
  <c r="AB125" i="8"/>
  <c r="X125" i="8"/>
  <c r="T125" i="8"/>
  <c r="P125" i="8"/>
  <c r="L125" i="8"/>
  <c r="H125" i="8"/>
  <c r="D125" i="8"/>
  <c r="CU125" i="8"/>
  <c r="CQ125" i="8"/>
  <c r="CM125" i="8"/>
  <c r="CI125" i="8"/>
  <c r="CE125" i="8"/>
  <c r="CA125" i="8"/>
  <c r="BW125" i="8"/>
  <c r="BS125" i="8"/>
  <c r="BO125" i="8"/>
  <c r="BK125" i="8"/>
  <c r="BG125" i="8"/>
  <c r="BC125" i="8"/>
  <c r="AY125" i="8"/>
  <c r="AU125" i="8"/>
  <c r="AQ125" i="8"/>
  <c r="AM125" i="8"/>
  <c r="AI125" i="8"/>
  <c r="AE125" i="8"/>
  <c r="AA125" i="8"/>
  <c r="W125" i="8"/>
  <c r="S125" i="8"/>
  <c r="O125" i="8"/>
  <c r="K125" i="8"/>
  <c r="G125" i="8"/>
  <c r="C125" i="8"/>
  <c r="CX125" i="8"/>
  <c r="CT125" i="8"/>
  <c r="CP125" i="8"/>
  <c r="CL125" i="8"/>
  <c r="CH125" i="8"/>
  <c r="CD125" i="8"/>
  <c r="BZ125" i="8"/>
  <c r="BV125" i="8"/>
  <c r="BR125" i="8"/>
  <c r="BN125" i="8"/>
  <c r="BJ125" i="8"/>
  <c r="BF125" i="8"/>
  <c r="BB125" i="8"/>
  <c r="AX125" i="8"/>
  <c r="AT125" i="8"/>
  <c r="AP125" i="8"/>
  <c r="AL125" i="8"/>
  <c r="AH125" i="8"/>
  <c r="AD125" i="8"/>
  <c r="Z125" i="8"/>
  <c r="V125" i="8"/>
  <c r="R125" i="8"/>
  <c r="N125" i="8"/>
  <c r="J125" i="8"/>
  <c r="C17" i="8" l="1" a="1"/>
  <c r="C17" i="8" s="1"/>
  <c r="CX17" i="8" l="1"/>
  <c r="CP17" i="8"/>
  <c r="CH17" i="8"/>
  <c r="BZ17" i="8"/>
  <c r="BR17" i="8"/>
  <c r="BJ17" i="8"/>
  <c r="BB17" i="8"/>
  <c r="AT17" i="8"/>
  <c r="AL17" i="8"/>
  <c r="Z17" i="8"/>
  <c r="R17" i="8"/>
  <c r="F17" i="8"/>
  <c r="CG17" i="8"/>
  <c r="BQ17" i="8"/>
  <c r="BE17" i="8"/>
  <c r="BA17" i="8"/>
  <c r="AW17" i="8"/>
  <c r="AS17" i="8"/>
  <c r="AO17" i="8"/>
  <c r="AK17" i="8"/>
  <c r="AG17" i="8"/>
  <c r="AC17" i="8"/>
  <c r="Y17" i="8"/>
  <c r="U17" i="8"/>
  <c r="Q17" i="8"/>
  <c r="M17" i="8"/>
  <c r="I17" i="8"/>
  <c r="E17" i="8"/>
  <c r="CS17" i="8"/>
  <c r="CK17" i="8"/>
  <c r="BY17" i="8"/>
  <c r="BM17" i="8"/>
  <c r="CV17" i="8"/>
  <c r="CN17" i="8"/>
  <c r="CJ17" i="8"/>
  <c r="CF17" i="8"/>
  <c r="CB17" i="8"/>
  <c r="BX17" i="8"/>
  <c r="BT17" i="8"/>
  <c r="BP17" i="8"/>
  <c r="BL17" i="8"/>
  <c r="BH17" i="8"/>
  <c r="BD17" i="8"/>
  <c r="AZ17" i="8"/>
  <c r="AV17" i="8"/>
  <c r="AR17" i="8"/>
  <c r="AN17" i="8"/>
  <c r="AJ17" i="8"/>
  <c r="AF17" i="8"/>
  <c r="AB17" i="8"/>
  <c r="X17" i="8"/>
  <c r="T17" i="8"/>
  <c r="P17" i="8"/>
  <c r="L17" i="8"/>
  <c r="H17" i="8"/>
  <c r="D17" i="8"/>
  <c r="CT17" i="8"/>
  <c r="CL17" i="8"/>
  <c r="CD17" i="8"/>
  <c r="BV17" i="8"/>
  <c r="BN17" i="8"/>
  <c r="BF17" i="8"/>
  <c r="AX17" i="8"/>
  <c r="AP17" i="8"/>
  <c r="AH17" i="8"/>
  <c r="AD17" i="8"/>
  <c r="V17" i="8"/>
  <c r="N17" i="8"/>
  <c r="J17" i="8"/>
  <c r="CW17" i="8"/>
  <c r="CO17" i="8"/>
  <c r="CC17" i="8"/>
  <c r="BU17" i="8"/>
  <c r="BI17" i="8"/>
  <c r="CR17" i="8"/>
  <c r="CU17" i="8"/>
  <c r="CQ17" i="8"/>
  <c r="CM17" i="8"/>
  <c r="CI17" i="8"/>
  <c r="CE17" i="8"/>
  <c r="CA17" i="8"/>
  <c r="BW17" i="8"/>
  <c r="BS17" i="8"/>
  <c r="BO17" i="8"/>
  <c r="BK17" i="8"/>
  <c r="BG17" i="8"/>
  <c r="BC17" i="8"/>
  <c r="AY17" i="8"/>
  <c r="AU17" i="8"/>
  <c r="AQ17" i="8"/>
  <c r="AM17" i="8"/>
  <c r="AI17" i="8"/>
  <c r="AE17" i="8"/>
  <c r="AA17" i="8"/>
  <c r="W17" i="8"/>
  <c r="S17" i="8"/>
  <c r="O17" i="8"/>
  <c r="K17" i="8"/>
  <c r="G17" i="8"/>
  <c r="B39" i="7"/>
  <c r="CX117" i="7"/>
  <c r="CW117" i="7"/>
  <c r="CV117" i="7"/>
  <c r="CU117" i="7"/>
  <c r="CT117" i="7"/>
  <c r="CS117" i="7"/>
  <c r="CR117" i="7"/>
  <c r="CQ117" i="7"/>
  <c r="CP117" i="7"/>
  <c r="CO117" i="7"/>
  <c r="CN117" i="7"/>
  <c r="CM117" i="7"/>
  <c r="CL117" i="7"/>
  <c r="CK117" i="7"/>
  <c r="CJ117" i="7"/>
  <c r="CI117" i="7"/>
  <c r="CH117" i="7"/>
  <c r="CG117" i="7"/>
  <c r="CF117" i="7"/>
  <c r="CE117" i="7"/>
  <c r="CD117" i="7"/>
  <c r="CC117" i="7"/>
  <c r="CB117" i="7"/>
  <c r="CA117" i="7"/>
  <c r="BZ117" i="7"/>
  <c r="BY117" i="7"/>
  <c r="BX117" i="7"/>
  <c r="BW117" i="7"/>
  <c r="BV117" i="7"/>
  <c r="BU117" i="7"/>
  <c r="BT117" i="7"/>
  <c r="BS117" i="7"/>
  <c r="BR117" i="7"/>
  <c r="BQ117" i="7"/>
  <c r="BP117" i="7"/>
  <c r="BO117" i="7"/>
  <c r="BN117" i="7"/>
  <c r="BM117" i="7"/>
  <c r="BL117" i="7"/>
  <c r="BK117" i="7"/>
  <c r="BJ117" i="7"/>
  <c r="BI117" i="7"/>
  <c r="BH117" i="7"/>
  <c r="BG117" i="7"/>
  <c r="BF117" i="7"/>
  <c r="BE117" i="7"/>
  <c r="BD117" i="7"/>
  <c r="BC117" i="7"/>
  <c r="BB117" i="7"/>
  <c r="BA117" i="7"/>
  <c r="AZ117" i="7"/>
  <c r="AY117" i="7"/>
  <c r="AX117" i="7"/>
  <c r="AW117" i="7"/>
  <c r="AV117" i="7"/>
  <c r="AU117" i="7"/>
  <c r="AT117" i="7"/>
  <c r="AS117" i="7"/>
  <c r="AR117" i="7"/>
  <c r="AQ117" i="7"/>
  <c r="AP117" i="7"/>
  <c r="AO117" i="7"/>
  <c r="AN117" i="7"/>
  <c r="AM117" i="7"/>
  <c r="AL117" i="7"/>
  <c r="AK117" i="7"/>
  <c r="AJ117" i="7"/>
  <c r="AI117" i="7"/>
  <c r="AH117" i="7"/>
  <c r="AG117" i="7"/>
  <c r="AF117" i="7"/>
  <c r="AE117" i="7"/>
  <c r="AD117" i="7"/>
  <c r="AC117" i="7"/>
  <c r="AB117" i="7"/>
  <c r="AA117" i="7"/>
  <c r="Z117" i="7"/>
  <c r="Y117" i="7"/>
  <c r="X117" i="7"/>
  <c r="W117" i="7"/>
  <c r="V117" i="7"/>
  <c r="U117" i="7"/>
  <c r="T117" i="7"/>
  <c r="S117" i="7"/>
  <c r="R117" i="7"/>
  <c r="Q117" i="7"/>
  <c r="P117" i="7"/>
  <c r="O117" i="7"/>
  <c r="N117" i="7"/>
  <c r="M117" i="7"/>
  <c r="L117" i="7"/>
  <c r="K117" i="7"/>
  <c r="J117" i="7"/>
  <c r="I117" i="7"/>
  <c r="H117" i="7"/>
  <c r="G117" i="7"/>
  <c r="F117" i="7"/>
  <c r="E117" i="7"/>
  <c r="D117" i="7"/>
  <c r="C117" i="7"/>
  <c r="CX115" i="7"/>
  <c r="CW115" i="7"/>
  <c r="CV115" i="7"/>
  <c r="CU115" i="7"/>
  <c r="CT115" i="7"/>
  <c r="CS115" i="7"/>
  <c r="CR115" i="7"/>
  <c r="CQ115" i="7"/>
  <c r="CP115" i="7"/>
  <c r="CO115" i="7"/>
  <c r="CN115" i="7"/>
  <c r="CM115" i="7"/>
  <c r="CL115" i="7"/>
  <c r="CK115" i="7"/>
  <c r="CJ115" i="7"/>
  <c r="CI115" i="7"/>
  <c r="CH115" i="7"/>
  <c r="CG115" i="7"/>
  <c r="CF115" i="7"/>
  <c r="CE115" i="7"/>
  <c r="CD115" i="7"/>
  <c r="CC115" i="7"/>
  <c r="CB115" i="7"/>
  <c r="CA115" i="7"/>
  <c r="BZ115" i="7"/>
  <c r="BY115" i="7"/>
  <c r="BX115" i="7"/>
  <c r="BW115" i="7"/>
  <c r="BV115" i="7"/>
  <c r="BU115" i="7"/>
  <c r="BT115" i="7"/>
  <c r="BS115" i="7"/>
  <c r="BR115" i="7"/>
  <c r="BQ115" i="7"/>
  <c r="BP115" i="7"/>
  <c r="BO115" i="7"/>
  <c r="BN115" i="7"/>
  <c r="BM115" i="7"/>
  <c r="BL115" i="7"/>
  <c r="BK115" i="7"/>
  <c r="BJ115" i="7"/>
  <c r="BI115" i="7"/>
  <c r="BH115" i="7"/>
  <c r="BG115" i="7"/>
  <c r="BF115" i="7"/>
  <c r="BE115" i="7"/>
  <c r="BD115" i="7"/>
  <c r="BC115" i="7"/>
  <c r="BB115" i="7"/>
  <c r="BA115" i="7"/>
  <c r="AZ115" i="7"/>
  <c r="AY115" i="7"/>
  <c r="AX115" i="7"/>
  <c r="AW115" i="7"/>
  <c r="AV115" i="7"/>
  <c r="AU115" i="7"/>
  <c r="AT115" i="7"/>
  <c r="AS115" i="7"/>
  <c r="AR115" i="7"/>
  <c r="AQ115" i="7"/>
  <c r="AP115" i="7"/>
  <c r="AO115" i="7"/>
  <c r="AN115" i="7"/>
  <c r="AM115" i="7"/>
  <c r="AL115" i="7"/>
  <c r="AK115" i="7"/>
  <c r="AJ115" i="7"/>
  <c r="AI115" i="7"/>
  <c r="AH115" i="7"/>
  <c r="AG115" i="7"/>
  <c r="AF115" i="7"/>
  <c r="AE115" i="7"/>
  <c r="AD115" i="7"/>
  <c r="AC115" i="7"/>
  <c r="AB115" i="7"/>
  <c r="AA115" i="7"/>
  <c r="Z115" i="7"/>
  <c r="Y115" i="7"/>
  <c r="X115" i="7"/>
  <c r="W115" i="7"/>
  <c r="V115" i="7"/>
  <c r="U115" i="7"/>
  <c r="T115" i="7"/>
  <c r="S115" i="7"/>
  <c r="R115" i="7"/>
  <c r="Q115" i="7"/>
  <c r="P115" i="7"/>
  <c r="O115" i="7"/>
  <c r="N115" i="7"/>
  <c r="M115" i="7"/>
  <c r="L115" i="7"/>
  <c r="K115" i="7"/>
  <c r="J115" i="7"/>
  <c r="I115" i="7"/>
  <c r="H115" i="7"/>
  <c r="G115" i="7"/>
  <c r="F115" i="7"/>
  <c r="E115" i="7"/>
  <c r="D115" i="7"/>
  <c r="C115" i="7"/>
  <c r="C104" i="7"/>
  <c r="D104" i="7" l="1"/>
  <c r="C123" i="7"/>
  <c r="C125" i="7" s="1"/>
  <c r="C21" i="8" a="1"/>
  <c r="CW21" i="8" s="1"/>
  <c r="C19" i="8" a="1"/>
  <c r="C19" i="8" s="1"/>
  <c r="B48" i="7"/>
  <c r="BC21" i="8" l="1"/>
  <c r="BB21" i="8"/>
  <c r="BW21" i="8"/>
  <c r="CH21" i="8"/>
  <c r="BL21" i="8"/>
  <c r="AN21" i="8"/>
  <c r="BY21" i="8"/>
  <c r="K21" i="8"/>
  <c r="CU21" i="8"/>
  <c r="CF21" i="8"/>
  <c r="M21" i="8"/>
  <c r="AI21" i="8"/>
  <c r="T21" i="8"/>
  <c r="R21" i="8"/>
  <c r="AS21" i="8"/>
  <c r="S21" i="8"/>
  <c r="AM21" i="8"/>
  <c r="BG21" i="8"/>
  <c r="CE21" i="8"/>
  <c r="D21" i="8"/>
  <c r="X21" i="8"/>
  <c r="AV21" i="8"/>
  <c r="BP21" i="8"/>
  <c r="CR21" i="8"/>
  <c r="AD21" i="8"/>
  <c r="BN21" i="8"/>
  <c r="CT21" i="8"/>
  <c r="Y21" i="8"/>
  <c r="BE21" i="8"/>
  <c r="CK21" i="8"/>
  <c r="W21" i="8"/>
  <c r="AQ21" i="8"/>
  <c r="BO21" i="8"/>
  <c r="CI21" i="8"/>
  <c r="H21" i="8"/>
  <c r="AF21" i="8"/>
  <c r="AZ21" i="8"/>
  <c r="BT21" i="8"/>
  <c r="CV21" i="8"/>
  <c r="AH21" i="8"/>
  <c r="BR21" i="8"/>
  <c r="CX21" i="8"/>
  <c r="AC21" i="8"/>
  <c r="BI21" i="8"/>
  <c r="CO21" i="8"/>
  <c r="G21" i="8"/>
  <c r="AA21" i="8"/>
  <c r="AY21" i="8"/>
  <c r="BS21" i="8"/>
  <c r="CM21" i="8"/>
  <c r="P21" i="8"/>
  <c r="AJ21" i="8"/>
  <c r="BD21" i="8"/>
  <c r="CB21" i="8"/>
  <c r="N21" i="8"/>
  <c r="AX21" i="8"/>
  <c r="CD21" i="8"/>
  <c r="I21" i="8"/>
  <c r="AO21" i="8"/>
  <c r="BU21" i="8"/>
  <c r="C21" i="8"/>
  <c r="CJ21" i="8"/>
  <c r="F21" i="8"/>
  <c r="V21" i="8"/>
  <c r="AL21" i="8"/>
  <c r="BF21" i="8"/>
  <c r="BV21" i="8"/>
  <c r="CL21" i="8"/>
  <c r="AP21" i="8"/>
  <c r="Q21" i="8"/>
  <c r="AG21" i="8"/>
  <c r="AW21" i="8"/>
  <c r="BM21" i="8"/>
  <c r="CC21" i="8"/>
  <c r="CS21" i="8"/>
  <c r="O21" i="8"/>
  <c r="AE21" i="8"/>
  <c r="AU21" i="8"/>
  <c r="BK21" i="8"/>
  <c r="CA21" i="8"/>
  <c r="CQ21" i="8"/>
  <c r="L21" i="8"/>
  <c r="AB21" i="8"/>
  <c r="AR21" i="8"/>
  <c r="BH21" i="8"/>
  <c r="BX21" i="8"/>
  <c r="CN21" i="8"/>
  <c r="J21" i="8"/>
  <c r="Z21" i="8"/>
  <c r="AT21" i="8"/>
  <c r="BJ21" i="8"/>
  <c r="BZ21" i="8"/>
  <c r="CP21" i="8"/>
  <c r="E21" i="8"/>
  <c r="U21" i="8"/>
  <c r="AK21" i="8"/>
  <c r="BA21" i="8"/>
  <c r="BQ21" i="8"/>
  <c r="CG21" i="8"/>
  <c r="E104" i="7"/>
  <c r="D123" i="7"/>
  <c r="D125" i="7" s="1"/>
  <c r="AP19" i="8"/>
  <c r="J19" i="8"/>
  <c r="BM19" i="8"/>
  <c r="AG19" i="8"/>
  <c r="AY19" i="8"/>
  <c r="AV19" i="8"/>
  <c r="P19" i="8"/>
  <c r="BN19" i="8"/>
  <c r="AH19" i="8"/>
  <c r="BO19" i="8"/>
  <c r="BE19" i="8"/>
  <c r="Y19" i="8"/>
  <c r="AE19" i="8"/>
  <c r="AN19" i="8"/>
  <c r="H19" i="8"/>
  <c r="BF19" i="8"/>
  <c r="Z19" i="8"/>
  <c r="AM19" i="8"/>
  <c r="AW19" i="8"/>
  <c r="Q19" i="8"/>
  <c r="G19" i="8"/>
  <c r="AF19" i="8"/>
  <c r="AU19" i="8"/>
  <c r="AX19" i="8"/>
  <c r="R19" i="8"/>
  <c r="O19" i="8"/>
  <c r="AO19" i="8"/>
  <c r="I19" i="8"/>
  <c r="BD19" i="8"/>
  <c r="X19" i="8"/>
  <c r="W19" i="8"/>
  <c r="CT19" i="8"/>
  <c r="CD19" i="8"/>
  <c r="CM19" i="8"/>
  <c r="CS19" i="8"/>
  <c r="CC19" i="8"/>
  <c r="CQ19" i="8"/>
  <c r="CJ19" i="8"/>
  <c r="BT19" i="8"/>
  <c r="BS19" i="8"/>
  <c r="CP19" i="8"/>
  <c r="BZ19" i="8"/>
  <c r="BJ19" i="8"/>
  <c r="AT19" i="8"/>
  <c r="AD19" i="8"/>
  <c r="N19" i="8"/>
  <c r="CA19" i="8"/>
  <c r="AA19" i="8"/>
  <c r="CO19" i="8"/>
  <c r="BY19" i="8"/>
  <c r="BI19" i="8"/>
  <c r="AS19" i="8"/>
  <c r="AC19" i="8"/>
  <c r="M19" i="8"/>
  <c r="CI19" i="8"/>
  <c r="AQ19" i="8"/>
  <c r="CV19" i="8"/>
  <c r="CF19" i="8"/>
  <c r="BP19" i="8"/>
  <c r="AZ19" i="8"/>
  <c r="AJ19" i="8"/>
  <c r="T19" i="8"/>
  <c r="D19" i="8"/>
  <c r="BG19" i="8"/>
  <c r="K19" i="8"/>
  <c r="CL19" i="8"/>
  <c r="BV19" i="8"/>
  <c r="CK19" i="8"/>
  <c r="BU19" i="8"/>
  <c r="BW19" i="8"/>
  <c r="CR19" i="8"/>
  <c r="CB19" i="8"/>
  <c r="BL19" i="8"/>
  <c r="CU19" i="8"/>
  <c r="CX19" i="8"/>
  <c r="CH19" i="8"/>
  <c r="BR19" i="8"/>
  <c r="BB19" i="8"/>
  <c r="AL19" i="8"/>
  <c r="V19" i="8"/>
  <c r="F19" i="8"/>
  <c r="BC19" i="8"/>
  <c r="CW19" i="8"/>
  <c r="CG19" i="8"/>
  <c r="BQ19" i="8"/>
  <c r="BA19" i="8"/>
  <c r="AK19" i="8"/>
  <c r="U19" i="8"/>
  <c r="E19" i="8"/>
  <c r="BK19" i="8"/>
  <c r="S19" i="8"/>
  <c r="CN19" i="8"/>
  <c r="BX19" i="8"/>
  <c r="BH19" i="8"/>
  <c r="AR19" i="8"/>
  <c r="AB19" i="8"/>
  <c r="L19" i="8"/>
  <c r="CE19" i="8"/>
  <c r="AI19" i="8"/>
  <c r="F104" i="7" l="1"/>
  <c r="E123" i="7"/>
  <c r="E125" i="7" s="1"/>
  <c r="G104" i="7" l="1"/>
  <c r="F123" i="7"/>
  <c r="F125" i="7" s="1"/>
  <c r="H104" i="7" l="1"/>
  <c r="G123" i="7"/>
  <c r="G125" i="7" s="1"/>
  <c r="I104" i="7" l="1"/>
  <c r="H123" i="7"/>
  <c r="H125" i="7" s="1"/>
  <c r="B11" i="8" a="1"/>
  <c r="D11" i="8" s="1"/>
  <c r="B5" i="8" a="1"/>
  <c r="BC5" i="8" s="1"/>
  <c r="J104" i="7" l="1"/>
  <c r="I123" i="7"/>
  <c r="I125" i="7" s="1"/>
  <c r="BS11" i="8"/>
  <c r="AM11" i="8"/>
  <c r="G11" i="8"/>
  <c r="CW5" i="8"/>
  <c r="CO5" i="8"/>
  <c r="CH5" i="8"/>
  <c r="CC5" i="8"/>
  <c r="BW5" i="8"/>
  <c r="BR5" i="8"/>
  <c r="BM5" i="8"/>
  <c r="BG5" i="8"/>
  <c r="BA5" i="8"/>
  <c r="AU5" i="8"/>
  <c r="AP5" i="8"/>
  <c r="AK5" i="8"/>
  <c r="AE5" i="8"/>
  <c r="Z5" i="8"/>
  <c r="U5" i="8"/>
  <c r="O5" i="8"/>
  <c r="J5" i="8"/>
  <c r="E5" i="8"/>
  <c r="CU11" i="8"/>
  <c r="CE11" i="8"/>
  <c r="BO11" i="8"/>
  <c r="AY11" i="8"/>
  <c r="AI11" i="8"/>
  <c r="S11" i="8"/>
  <c r="F11" i="8"/>
  <c r="CP5" i="8"/>
  <c r="CD5" i="8"/>
  <c r="BS5" i="8"/>
  <c r="BI5" i="8"/>
  <c r="AW5" i="8"/>
  <c r="AL5" i="8"/>
  <c r="AG5" i="8"/>
  <c r="V5" i="8"/>
  <c r="K5" i="8"/>
  <c r="CI11" i="8"/>
  <c r="W11" i="8"/>
  <c r="CT5" i="8"/>
  <c r="CL5" i="8"/>
  <c r="CG5" i="8"/>
  <c r="CA5" i="8"/>
  <c r="BV5" i="8"/>
  <c r="BQ5" i="8"/>
  <c r="BK5" i="8"/>
  <c r="BF5" i="8"/>
  <c r="AY5" i="8"/>
  <c r="AT5" i="8"/>
  <c r="AO5" i="8"/>
  <c r="AI5" i="8"/>
  <c r="AD5" i="8"/>
  <c r="Y5" i="8"/>
  <c r="S5" i="8"/>
  <c r="N5" i="8"/>
  <c r="I5" i="8"/>
  <c r="C5" i="8"/>
  <c r="CQ11" i="8"/>
  <c r="CA11" i="8"/>
  <c r="BK11" i="8"/>
  <c r="AU11" i="8"/>
  <c r="AE11" i="8"/>
  <c r="O11" i="8"/>
  <c r="C11" i="8"/>
  <c r="CX5" i="8"/>
  <c r="CI5" i="8"/>
  <c r="BY5" i="8"/>
  <c r="BN5" i="8"/>
  <c r="BB5" i="8"/>
  <c r="AQ5" i="8"/>
  <c r="AA5" i="8"/>
  <c r="Q5" i="8"/>
  <c r="F5" i="8"/>
  <c r="BC11" i="8"/>
  <c r="CS5" i="8"/>
  <c r="CK5" i="8"/>
  <c r="CE5" i="8"/>
  <c r="BZ5" i="8"/>
  <c r="BU5" i="8"/>
  <c r="BO5" i="8"/>
  <c r="BJ5" i="8"/>
  <c r="BE5" i="8"/>
  <c r="AX5" i="8"/>
  <c r="AS5" i="8"/>
  <c r="AM5" i="8"/>
  <c r="AH5" i="8"/>
  <c r="AC5" i="8"/>
  <c r="W5" i="8"/>
  <c r="R5" i="8"/>
  <c r="M5" i="8"/>
  <c r="G5" i="8"/>
  <c r="B5" i="8"/>
  <c r="CM11" i="8"/>
  <c r="BW11" i="8"/>
  <c r="BG11" i="8"/>
  <c r="AQ11" i="8"/>
  <c r="AA11" i="8"/>
  <c r="K11" i="8"/>
  <c r="B11" i="8"/>
  <c r="CX11" i="8"/>
  <c r="CT11" i="8"/>
  <c r="CP11" i="8"/>
  <c r="CL11" i="8"/>
  <c r="CH11" i="8"/>
  <c r="CD11" i="8"/>
  <c r="BZ11" i="8"/>
  <c r="BV11" i="8"/>
  <c r="BR11" i="8"/>
  <c r="BN11" i="8"/>
  <c r="BJ11" i="8"/>
  <c r="BF11" i="8"/>
  <c r="BB11" i="8"/>
  <c r="AX11" i="8"/>
  <c r="AT11" i="8"/>
  <c r="AP11" i="8"/>
  <c r="AL11" i="8"/>
  <c r="AH11" i="8"/>
  <c r="AD11" i="8"/>
  <c r="Z11" i="8"/>
  <c r="V11" i="8"/>
  <c r="R11" i="8"/>
  <c r="N11" i="8"/>
  <c r="J11" i="8"/>
  <c r="CW11" i="8"/>
  <c r="CS11" i="8"/>
  <c r="CO11" i="8"/>
  <c r="CK11" i="8"/>
  <c r="CG11" i="8"/>
  <c r="CC11" i="8"/>
  <c r="BY11" i="8"/>
  <c r="BU11" i="8"/>
  <c r="BQ11" i="8"/>
  <c r="BM11" i="8"/>
  <c r="BI11" i="8"/>
  <c r="BE11" i="8"/>
  <c r="BA11" i="8"/>
  <c r="AW11" i="8"/>
  <c r="AS11" i="8"/>
  <c r="AO11" i="8"/>
  <c r="AK11" i="8"/>
  <c r="AG11" i="8"/>
  <c r="AC11" i="8"/>
  <c r="Y11" i="8"/>
  <c r="U11" i="8"/>
  <c r="Q11" i="8"/>
  <c r="M11" i="8"/>
  <c r="I11" i="8"/>
  <c r="E11" i="8"/>
  <c r="CV11" i="8"/>
  <c r="CR11" i="8"/>
  <c r="CN11" i="8"/>
  <c r="CJ11" i="8"/>
  <c r="CF11" i="8"/>
  <c r="CB11" i="8"/>
  <c r="BX11" i="8"/>
  <c r="BT11" i="8"/>
  <c r="BP11" i="8"/>
  <c r="BL11" i="8"/>
  <c r="BH11" i="8"/>
  <c r="BD11" i="8"/>
  <c r="AZ11" i="8"/>
  <c r="AV11" i="8"/>
  <c r="AR11" i="8"/>
  <c r="AN11" i="8"/>
  <c r="AJ11" i="8"/>
  <c r="AF11" i="8"/>
  <c r="AB11" i="8"/>
  <c r="X11" i="8"/>
  <c r="T11" i="8"/>
  <c r="P11" i="8"/>
  <c r="L11" i="8"/>
  <c r="H11" i="8"/>
  <c r="CV5" i="8"/>
  <c r="CR5" i="8"/>
  <c r="CN5" i="8"/>
  <c r="CJ5" i="8"/>
  <c r="CF5" i="8"/>
  <c r="CB5" i="8"/>
  <c r="BX5" i="8"/>
  <c r="BT5" i="8"/>
  <c r="BP5" i="8"/>
  <c r="BL5" i="8"/>
  <c r="BH5" i="8"/>
  <c r="BD5" i="8"/>
  <c r="AZ5" i="8"/>
  <c r="AV5" i="8"/>
  <c r="AR5" i="8"/>
  <c r="AN5" i="8"/>
  <c r="AJ5" i="8"/>
  <c r="AF5" i="8"/>
  <c r="AB5" i="8"/>
  <c r="X5" i="8"/>
  <c r="T5" i="8"/>
  <c r="P5" i="8"/>
  <c r="L5" i="8"/>
  <c r="H5" i="8"/>
  <c r="D5" i="8"/>
  <c r="CU5" i="8"/>
  <c r="CQ5" i="8"/>
  <c r="CM5" i="8"/>
  <c r="XFD116" i="8"/>
  <c r="XFC116" i="8"/>
  <c r="XFB116" i="8"/>
  <c r="XFA116" i="8"/>
  <c r="XEZ116" i="8"/>
  <c r="XEY116" i="8"/>
  <c r="XEX116" i="8"/>
  <c r="XEW116" i="8"/>
  <c r="XEV116" i="8"/>
  <c r="XEU116" i="8"/>
  <c r="XET116" i="8"/>
  <c r="XES116" i="8"/>
  <c r="XER116" i="8"/>
  <c r="XEQ116" i="8"/>
  <c r="XEP116" i="8"/>
  <c r="XEO116" i="8"/>
  <c r="XEN116" i="8"/>
  <c r="XEM116" i="8"/>
  <c r="XEL116" i="8"/>
  <c r="XEK116" i="8"/>
  <c r="XEJ116" i="8"/>
  <c r="XEI116" i="8"/>
  <c r="XEH116" i="8"/>
  <c r="XEG116" i="8"/>
  <c r="XEF116" i="8"/>
  <c r="XEE116" i="8"/>
  <c r="XED116" i="8"/>
  <c r="XEC116" i="8"/>
  <c r="XEB116" i="8"/>
  <c r="XEA116" i="8"/>
  <c r="XDZ116" i="8"/>
  <c r="XDY116" i="8"/>
  <c r="XDX116" i="8"/>
  <c r="XDW116" i="8"/>
  <c r="XDV116" i="8"/>
  <c r="XDU116" i="8"/>
  <c r="XDT116" i="8"/>
  <c r="XDS116" i="8"/>
  <c r="XDR116" i="8"/>
  <c r="XDQ116" i="8"/>
  <c r="XDP116" i="8"/>
  <c r="XDO116" i="8"/>
  <c r="XDN116" i="8"/>
  <c r="XDM116" i="8"/>
  <c r="XDL116" i="8"/>
  <c r="XDK116" i="8"/>
  <c r="XDJ116" i="8"/>
  <c r="XDI116" i="8"/>
  <c r="XDH116" i="8"/>
  <c r="XDG116" i="8"/>
  <c r="XDF116" i="8"/>
  <c r="XDE116" i="8"/>
  <c r="XDD116" i="8"/>
  <c r="XDC116" i="8"/>
  <c r="XDB116" i="8"/>
  <c r="XDA116" i="8"/>
  <c r="XCZ116" i="8"/>
  <c r="XCY116" i="8"/>
  <c r="XCX116" i="8"/>
  <c r="XCW116" i="8"/>
  <c r="XCV116" i="8"/>
  <c r="XCU116" i="8"/>
  <c r="XCT116" i="8"/>
  <c r="XCS116" i="8"/>
  <c r="XCR116" i="8"/>
  <c r="XCQ116" i="8"/>
  <c r="XCP116" i="8"/>
  <c r="XCO116" i="8"/>
  <c r="XCN116" i="8"/>
  <c r="XCM116" i="8"/>
  <c r="XCL116" i="8"/>
  <c r="XCK116" i="8"/>
  <c r="XCJ116" i="8"/>
  <c r="XCI116" i="8"/>
  <c r="XCH116" i="8"/>
  <c r="XCG116" i="8"/>
  <c r="XCF116" i="8"/>
  <c r="XCE116" i="8"/>
  <c r="XCD116" i="8"/>
  <c r="XCC116" i="8"/>
  <c r="XCB116" i="8"/>
  <c r="XCA116" i="8"/>
  <c r="XBZ116" i="8"/>
  <c r="XBY116" i="8"/>
  <c r="XBX116" i="8"/>
  <c r="XBW116" i="8"/>
  <c r="XBV116" i="8"/>
  <c r="XBU116" i="8"/>
  <c r="XBT116" i="8"/>
  <c r="XBS116" i="8"/>
  <c r="XBR116" i="8"/>
  <c r="XBQ116" i="8"/>
  <c r="XBP116" i="8"/>
  <c r="XBO116" i="8"/>
  <c r="XBN116" i="8"/>
  <c r="XBM116" i="8"/>
  <c r="XBL116" i="8"/>
  <c r="XBK116" i="8"/>
  <c r="XBJ116" i="8"/>
  <c r="XBI116" i="8"/>
  <c r="XBH116" i="8"/>
  <c r="XBG116" i="8"/>
  <c r="XBF116" i="8"/>
  <c r="XBE116" i="8"/>
  <c r="XBD116" i="8"/>
  <c r="XBC116" i="8"/>
  <c r="XBB116" i="8"/>
  <c r="XBA116" i="8"/>
  <c r="XAZ116" i="8"/>
  <c r="XAY116" i="8"/>
  <c r="XAX116" i="8"/>
  <c r="XAW116" i="8"/>
  <c r="XAV116" i="8"/>
  <c r="XAU116" i="8"/>
  <c r="XAT116" i="8"/>
  <c r="XAS116" i="8"/>
  <c r="XAR116" i="8"/>
  <c r="XAQ116" i="8"/>
  <c r="XAP116" i="8"/>
  <c r="XAO116" i="8"/>
  <c r="XAN116" i="8"/>
  <c r="XAM116" i="8"/>
  <c r="XAL116" i="8"/>
  <c r="XAK116" i="8"/>
  <c r="XAJ116" i="8"/>
  <c r="XAI116" i="8"/>
  <c r="XAH116" i="8"/>
  <c r="XAG116" i="8"/>
  <c r="XAF116" i="8"/>
  <c r="XAE116" i="8"/>
  <c r="XAD116" i="8"/>
  <c r="XAC116" i="8"/>
  <c r="XAB116" i="8"/>
  <c r="XAA116" i="8"/>
  <c r="WZZ116" i="8"/>
  <c r="WZY116" i="8"/>
  <c r="WZX116" i="8"/>
  <c r="WZW116" i="8"/>
  <c r="WZV116" i="8"/>
  <c r="WZU116" i="8"/>
  <c r="WZT116" i="8"/>
  <c r="WZS116" i="8"/>
  <c r="WZR116" i="8"/>
  <c r="WZQ116" i="8"/>
  <c r="WZP116" i="8"/>
  <c r="WZO116" i="8"/>
  <c r="WZN116" i="8"/>
  <c r="WZM116" i="8"/>
  <c r="WZL116" i="8"/>
  <c r="WZK116" i="8"/>
  <c r="WZJ116" i="8"/>
  <c r="WZI116" i="8"/>
  <c r="WZH116" i="8"/>
  <c r="WZG116" i="8"/>
  <c r="WZF116" i="8"/>
  <c r="WZE116" i="8"/>
  <c r="WZD116" i="8"/>
  <c r="WZC116" i="8"/>
  <c r="WZB116" i="8"/>
  <c r="WZA116" i="8"/>
  <c r="WYZ116" i="8"/>
  <c r="WYY116" i="8"/>
  <c r="WYX116" i="8"/>
  <c r="WYW116" i="8"/>
  <c r="WYV116" i="8"/>
  <c r="WYU116" i="8"/>
  <c r="WYT116" i="8"/>
  <c r="WYS116" i="8"/>
  <c r="WYR116" i="8"/>
  <c r="WYQ116" i="8"/>
  <c r="WYP116" i="8"/>
  <c r="WYO116" i="8"/>
  <c r="WYN116" i="8"/>
  <c r="WYM116" i="8"/>
  <c r="WYL116" i="8"/>
  <c r="WYK116" i="8"/>
  <c r="WYJ116" i="8"/>
  <c r="WYI116" i="8"/>
  <c r="WYH116" i="8"/>
  <c r="WYG116" i="8"/>
  <c r="WYF116" i="8"/>
  <c r="WYE116" i="8"/>
  <c r="WYD116" i="8"/>
  <c r="WYC116" i="8"/>
  <c r="WYB116" i="8"/>
  <c r="WYA116" i="8"/>
  <c r="WXZ116" i="8"/>
  <c r="WXY116" i="8"/>
  <c r="WXX116" i="8"/>
  <c r="WXW116" i="8"/>
  <c r="WXV116" i="8"/>
  <c r="WXU116" i="8"/>
  <c r="WXT116" i="8"/>
  <c r="WXS116" i="8"/>
  <c r="WXR116" i="8"/>
  <c r="WXQ116" i="8"/>
  <c r="WXP116" i="8"/>
  <c r="WXO116" i="8"/>
  <c r="WXN116" i="8"/>
  <c r="WXM116" i="8"/>
  <c r="WXL116" i="8"/>
  <c r="WXK116" i="8"/>
  <c r="WXJ116" i="8"/>
  <c r="WXI116" i="8"/>
  <c r="WXH116" i="8"/>
  <c r="WXG116" i="8"/>
  <c r="WXF116" i="8"/>
  <c r="WXE116" i="8"/>
  <c r="WXD116" i="8"/>
  <c r="WXC116" i="8"/>
  <c r="WXB116" i="8"/>
  <c r="WXA116" i="8"/>
  <c r="WWZ116" i="8"/>
  <c r="WWY116" i="8"/>
  <c r="WWX116" i="8"/>
  <c r="WWW116" i="8"/>
  <c r="WWV116" i="8"/>
  <c r="WWU116" i="8"/>
  <c r="WWT116" i="8"/>
  <c r="WWS116" i="8"/>
  <c r="WWR116" i="8"/>
  <c r="WWQ116" i="8"/>
  <c r="WWP116" i="8"/>
  <c r="WWO116" i="8"/>
  <c r="WWN116" i="8"/>
  <c r="WWM116" i="8"/>
  <c r="WWL116" i="8"/>
  <c r="WWK116" i="8"/>
  <c r="WWJ116" i="8"/>
  <c r="WWI116" i="8"/>
  <c r="WWH116" i="8"/>
  <c r="WWG116" i="8"/>
  <c r="WWF116" i="8"/>
  <c r="WWE116" i="8"/>
  <c r="WWD116" i="8"/>
  <c r="WWC116" i="8"/>
  <c r="WWB116" i="8"/>
  <c r="WWA116" i="8"/>
  <c r="WVZ116" i="8"/>
  <c r="WVY116" i="8"/>
  <c r="WVX116" i="8"/>
  <c r="WVW116" i="8"/>
  <c r="WVV116" i="8"/>
  <c r="WVU116" i="8"/>
  <c r="WVT116" i="8"/>
  <c r="WVS116" i="8"/>
  <c r="WVR116" i="8"/>
  <c r="WVQ116" i="8"/>
  <c r="WVP116" i="8"/>
  <c r="WVO116" i="8"/>
  <c r="WVN116" i="8"/>
  <c r="WVM116" i="8"/>
  <c r="WVL116" i="8"/>
  <c r="WVK116" i="8"/>
  <c r="WVJ116" i="8"/>
  <c r="WVI116" i="8"/>
  <c r="WVH116" i="8"/>
  <c r="WVG116" i="8"/>
  <c r="WVF116" i="8"/>
  <c r="WVE116" i="8"/>
  <c r="WVD116" i="8"/>
  <c r="WVC116" i="8"/>
  <c r="WVB116" i="8"/>
  <c r="WVA116" i="8"/>
  <c r="WUZ116" i="8"/>
  <c r="WUY116" i="8"/>
  <c r="WUX116" i="8"/>
  <c r="WUW116" i="8"/>
  <c r="WUV116" i="8"/>
  <c r="WUU116" i="8"/>
  <c r="WUT116" i="8"/>
  <c r="WUS116" i="8"/>
  <c r="WUR116" i="8"/>
  <c r="WUQ116" i="8"/>
  <c r="WUP116" i="8"/>
  <c r="WUO116" i="8"/>
  <c r="WUN116" i="8"/>
  <c r="WUM116" i="8"/>
  <c r="WUL116" i="8"/>
  <c r="WUK116" i="8"/>
  <c r="WUJ116" i="8"/>
  <c r="WUI116" i="8"/>
  <c r="WUH116" i="8"/>
  <c r="WUG116" i="8"/>
  <c r="WUF116" i="8"/>
  <c r="WUE116" i="8"/>
  <c r="WUD116" i="8"/>
  <c r="WUC116" i="8"/>
  <c r="WUB116" i="8"/>
  <c r="WUA116" i="8"/>
  <c r="WTZ116" i="8"/>
  <c r="WTY116" i="8"/>
  <c r="WTX116" i="8"/>
  <c r="WTW116" i="8"/>
  <c r="WTV116" i="8"/>
  <c r="WTU116" i="8"/>
  <c r="WTT116" i="8"/>
  <c r="WTS116" i="8"/>
  <c r="WTR116" i="8"/>
  <c r="WTQ116" i="8"/>
  <c r="WTP116" i="8"/>
  <c r="WTO116" i="8"/>
  <c r="WTN116" i="8"/>
  <c r="WTM116" i="8"/>
  <c r="WTL116" i="8"/>
  <c r="WTK116" i="8"/>
  <c r="WTJ116" i="8"/>
  <c r="WTI116" i="8"/>
  <c r="WTH116" i="8"/>
  <c r="WTG116" i="8"/>
  <c r="WTF116" i="8"/>
  <c r="WTE116" i="8"/>
  <c r="WTD116" i="8"/>
  <c r="WTC116" i="8"/>
  <c r="WTB116" i="8"/>
  <c r="WTA116" i="8"/>
  <c r="WSZ116" i="8"/>
  <c r="WSY116" i="8"/>
  <c r="WSX116" i="8"/>
  <c r="WSW116" i="8"/>
  <c r="WSV116" i="8"/>
  <c r="WSU116" i="8"/>
  <c r="WST116" i="8"/>
  <c r="WSS116" i="8"/>
  <c r="WSR116" i="8"/>
  <c r="WSQ116" i="8"/>
  <c r="WSP116" i="8"/>
  <c r="WSO116" i="8"/>
  <c r="WSN116" i="8"/>
  <c r="WSM116" i="8"/>
  <c r="WSL116" i="8"/>
  <c r="WSK116" i="8"/>
  <c r="WSJ116" i="8"/>
  <c r="WSI116" i="8"/>
  <c r="WSH116" i="8"/>
  <c r="WSG116" i="8"/>
  <c r="WSF116" i="8"/>
  <c r="WSE116" i="8"/>
  <c r="WSD116" i="8"/>
  <c r="WSC116" i="8"/>
  <c r="WSB116" i="8"/>
  <c r="WSA116" i="8"/>
  <c r="WRZ116" i="8"/>
  <c r="WRY116" i="8"/>
  <c r="WRX116" i="8"/>
  <c r="WRW116" i="8"/>
  <c r="WRV116" i="8"/>
  <c r="WRU116" i="8"/>
  <c r="WRT116" i="8"/>
  <c r="WRS116" i="8"/>
  <c r="WRR116" i="8"/>
  <c r="WRQ116" i="8"/>
  <c r="WRP116" i="8"/>
  <c r="WRO116" i="8"/>
  <c r="WRN116" i="8"/>
  <c r="WRM116" i="8"/>
  <c r="WRL116" i="8"/>
  <c r="WRK116" i="8"/>
  <c r="WRJ116" i="8"/>
  <c r="WRI116" i="8"/>
  <c r="WRH116" i="8"/>
  <c r="WRG116" i="8"/>
  <c r="WRF116" i="8"/>
  <c r="WRE116" i="8"/>
  <c r="WRD116" i="8"/>
  <c r="WRC116" i="8"/>
  <c r="WRB116" i="8"/>
  <c r="WRA116" i="8"/>
  <c r="WQZ116" i="8"/>
  <c r="WQY116" i="8"/>
  <c r="WQX116" i="8"/>
  <c r="WQW116" i="8"/>
  <c r="WQV116" i="8"/>
  <c r="WQU116" i="8"/>
  <c r="WQT116" i="8"/>
  <c r="WQS116" i="8"/>
  <c r="WQR116" i="8"/>
  <c r="WQQ116" i="8"/>
  <c r="WQP116" i="8"/>
  <c r="WQO116" i="8"/>
  <c r="WQN116" i="8"/>
  <c r="WQM116" i="8"/>
  <c r="WQL116" i="8"/>
  <c r="WQK116" i="8"/>
  <c r="WQJ116" i="8"/>
  <c r="WQI116" i="8"/>
  <c r="WQH116" i="8"/>
  <c r="WQG116" i="8"/>
  <c r="WQF116" i="8"/>
  <c r="WQE116" i="8"/>
  <c r="WQD116" i="8"/>
  <c r="WQC116" i="8"/>
  <c r="WQB116" i="8"/>
  <c r="WQA116" i="8"/>
  <c r="WPZ116" i="8"/>
  <c r="WPY116" i="8"/>
  <c r="WPX116" i="8"/>
  <c r="WPW116" i="8"/>
  <c r="WPV116" i="8"/>
  <c r="WPU116" i="8"/>
  <c r="WPT116" i="8"/>
  <c r="WPS116" i="8"/>
  <c r="WPR116" i="8"/>
  <c r="WPQ116" i="8"/>
  <c r="WPP116" i="8"/>
  <c r="WPO116" i="8"/>
  <c r="WPN116" i="8"/>
  <c r="WPM116" i="8"/>
  <c r="WPL116" i="8"/>
  <c r="WPK116" i="8"/>
  <c r="WPJ116" i="8"/>
  <c r="WPI116" i="8"/>
  <c r="WPH116" i="8"/>
  <c r="WPG116" i="8"/>
  <c r="WPF116" i="8"/>
  <c r="WPE116" i="8"/>
  <c r="WPD116" i="8"/>
  <c r="WPC116" i="8"/>
  <c r="WPB116" i="8"/>
  <c r="WPA116" i="8"/>
  <c r="WOZ116" i="8"/>
  <c r="WOY116" i="8"/>
  <c r="WOX116" i="8"/>
  <c r="WOW116" i="8"/>
  <c r="WOV116" i="8"/>
  <c r="WOU116" i="8"/>
  <c r="WOT116" i="8"/>
  <c r="WOS116" i="8"/>
  <c r="WOR116" i="8"/>
  <c r="WOQ116" i="8"/>
  <c r="WOP116" i="8"/>
  <c r="WOO116" i="8"/>
  <c r="WON116" i="8"/>
  <c r="WOM116" i="8"/>
  <c r="WOL116" i="8"/>
  <c r="WOK116" i="8"/>
  <c r="WOJ116" i="8"/>
  <c r="WOI116" i="8"/>
  <c r="WOH116" i="8"/>
  <c r="WOG116" i="8"/>
  <c r="WOF116" i="8"/>
  <c r="WOE116" i="8"/>
  <c r="WOD116" i="8"/>
  <c r="WOC116" i="8"/>
  <c r="WOB116" i="8"/>
  <c r="WOA116" i="8"/>
  <c r="WNZ116" i="8"/>
  <c r="WNY116" i="8"/>
  <c r="WNX116" i="8"/>
  <c r="WNW116" i="8"/>
  <c r="WNV116" i="8"/>
  <c r="WNU116" i="8"/>
  <c r="WNT116" i="8"/>
  <c r="WNS116" i="8"/>
  <c r="WNR116" i="8"/>
  <c r="WNQ116" i="8"/>
  <c r="WNP116" i="8"/>
  <c r="WNO116" i="8"/>
  <c r="WNN116" i="8"/>
  <c r="WNM116" i="8"/>
  <c r="WNL116" i="8"/>
  <c r="WNK116" i="8"/>
  <c r="WNJ116" i="8"/>
  <c r="WNI116" i="8"/>
  <c r="WNH116" i="8"/>
  <c r="WNG116" i="8"/>
  <c r="WNF116" i="8"/>
  <c r="WNE116" i="8"/>
  <c r="WND116" i="8"/>
  <c r="WNC116" i="8"/>
  <c r="WNB116" i="8"/>
  <c r="WNA116" i="8"/>
  <c r="WMZ116" i="8"/>
  <c r="WMY116" i="8"/>
  <c r="WMX116" i="8"/>
  <c r="WMW116" i="8"/>
  <c r="WMV116" i="8"/>
  <c r="WMU116" i="8"/>
  <c r="WMT116" i="8"/>
  <c r="WMS116" i="8"/>
  <c r="WMR116" i="8"/>
  <c r="WMQ116" i="8"/>
  <c r="WMP116" i="8"/>
  <c r="WMO116" i="8"/>
  <c r="WMN116" i="8"/>
  <c r="WMM116" i="8"/>
  <c r="WML116" i="8"/>
  <c r="WMK116" i="8"/>
  <c r="WMJ116" i="8"/>
  <c r="WMI116" i="8"/>
  <c r="WMH116" i="8"/>
  <c r="WMG116" i="8"/>
  <c r="WMF116" i="8"/>
  <c r="WME116" i="8"/>
  <c r="WMD116" i="8"/>
  <c r="WMC116" i="8"/>
  <c r="WMB116" i="8"/>
  <c r="WMA116" i="8"/>
  <c r="WLZ116" i="8"/>
  <c r="WLY116" i="8"/>
  <c r="WLX116" i="8"/>
  <c r="WLW116" i="8"/>
  <c r="WLV116" i="8"/>
  <c r="WLU116" i="8"/>
  <c r="WLT116" i="8"/>
  <c r="WLS116" i="8"/>
  <c r="WLR116" i="8"/>
  <c r="WLQ116" i="8"/>
  <c r="WLP116" i="8"/>
  <c r="WLO116" i="8"/>
  <c r="WLN116" i="8"/>
  <c r="WLM116" i="8"/>
  <c r="WLL116" i="8"/>
  <c r="WLK116" i="8"/>
  <c r="WLJ116" i="8"/>
  <c r="WLI116" i="8"/>
  <c r="WLH116" i="8"/>
  <c r="WLG116" i="8"/>
  <c r="WLF116" i="8"/>
  <c r="WLE116" i="8"/>
  <c r="WLD116" i="8"/>
  <c r="WLC116" i="8"/>
  <c r="WLB116" i="8"/>
  <c r="WLA116" i="8"/>
  <c r="WKZ116" i="8"/>
  <c r="WKY116" i="8"/>
  <c r="WKX116" i="8"/>
  <c r="WKW116" i="8"/>
  <c r="WKV116" i="8"/>
  <c r="WKU116" i="8"/>
  <c r="WKT116" i="8"/>
  <c r="WKS116" i="8"/>
  <c r="WKR116" i="8"/>
  <c r="WKQ116" i="8"/>
  <c r="WKP116" i="8"/>
  <c r="WKO116" i="8"/>
  <c r="WKN116" i="8"/>
  <c r="WKM116" i="8"/>
  <c r="WKL116" i="8"/>
  <c r="WKK116" i="8"/>
  <c r="WKJ116" i="8"/>
  <c r="WKI116" i="8"/>
  <c r="WKH116" i="8"/>
  <c r="WKG116" i="8"/>
  <c r="WKF116" i="8"/>
  <c r="WKE116" i="8"/>
  <c r="WKD116" i="8"/>
  <c r="WKC116" i="8"/>
  <c r="WKB116" i="8"/>
  <c r="WKA116" i="8"/>
  <c r="WJZ116" i="8"/>
  <c r="WJY116" i="8"/>
  <c r="WJX116" i="8"/>
  <c r="WJW116" i="8"/>
  <c r="WJV116" i="8"/>
  <c r="WJU116" i="8"/>
  <c r="WJT116" i="8"/>
  <c r="WJS116" i="8"/>
  <c r="WJR116" i="8"/>
  <c r="WJQ116" i="8"/>
  <c r="WJP116" i="8"/>
  <c r="WJO116" i="8"/>
  <c r="WJN116" i="8"/>
  <c r="WJM116" i="8"/>
  <c r="WJL116" i="8"/>
  <c r="WJK116" i="8"/>
  <c r="WJJ116" i="8"/>
  <c r="WJI116" i="8"/>
  <c r="WJH116" i="8"/>
  <c r="WJG116" i="8"/>
  <c r="WJF116" i="8"/>
  <c r="WJE116" i="8"/>
  <c r="WJD116" i="8"/>
  <c r="WJC116" i="8"/>
  <c r="WJB116" i="8"/>
  <c r="WJA116" i="8"/>
  <c r="WIZ116" i="8"/>
  <c r="WIY116" i="8"/>
  <c r="WIX116" i="8"/>
  <c r="WIW116" i="8"/>
  <c r="WIV116" i="8"/>
  <c r="WIU116" i="8"/>
  <c r="WIT116" i="8"/>
  <c r="WIS116" i="8"/>
  <c r="WIR116" i="8"/>
  <c r="WIQ116" i="8"/>
  <c r="WIP116" i="8"/>
  <c r="WIO116" i="8"/>
  <c r="WIN116" i="8"/>
  <c r="WIM116" i="8"/>
  <c r="WIL116" i="8"/>
  <c r="WIK116" i="8"/>
  <c r="WIJ116" i="8"/>
  <c r="WII116" i="8"/>
  <c r="WIH116" i="8"/>
  <c r="WIG116" i="8"/>
  <c r="WIF116" i="8"/>
  <c r="WIE116" i="8"/>
  <c r="WID116" i="8"/>
  <c r="WIC116" i="8"/>
  <c r="WIB116" i="8"/>
  <c r="WIA116" i="8"/>
  <c r="WHZ116" i="8"/>
  <c r="WHY116" i="8"/>
  <c r="WHX116" i="8"/>
  <c r="WHW116" i="8"/>
  <c r="WHV116" i="8"/>
  <c r="WHU116" i="8"/>
  <c r="WHT116" i="8"/>
  <c r="WHS116" i="8"/>
  <c r="WHR116" i="8"/>
  <c r="WHQ116" i="8"/>
  <c r="WHP116" i="8"/>
  <c r="WHO116" i="8"/>
  <c r="WHN116" i="8"/>
  <c r="WHM116" i="8"/>
  <c r="WHL116" i="8"/>
  <c r="WHK116" i="8"/>
  <c r="WHJ116" i="8"/>
  <c r="WHI116" i="8"/>
  <c r="WHH116" i="8"/>
  <c r="WHG116" i="8"/>
  <c r="WHF116" i="8"/>
  <c r="WHE116" i="8"/>
  <c r="WHD116" i="8"/>
  <c r="WHC116" i="8"/>
  <c r="WHB116" i="8"/>
  <c r="WHA116" i="8"/>
  <c r="WGZ116" i="8"/>
  <c r="WGY116" i="8"/>
  <c r="WGX116" i="8"/>
  <c r="WGW116" i="8"/>
  <c r="WGV116" i="8"/>
  <c r="WGU116" i="8"/>
  <c r="WGT116" i="8"/>
  <c r="WGS116" i="8"/>
  <c r="WGR116" i="8"/>
  <c r="WGQ116" i="8"/>
  <c r="WGP116" i="8"/>
  <c r="WGO116" i="8"/>
  <c r="WGN116" i="8"/>
  <c r="WGM116" i="8"/>
  <c r="WGL116" i="8"/>
  <c r="WGK116" i="8"/>
  <c r="WGJ116" i="8"/>
  <c r="WGI116" i="8"/>
  <c r="WGH116" i="8"/>
  <c r="WGG116" i="8"/>
  <c r="WGF116" i="8"/>
  <c r="WGE116" i="8"/>
  <c r="WGD116" i="8"/>
  <c r="WGC116" i="8"/>
  <c r="WGB116" i="8"/>
  <c r="WGA116" i="8"/>
  <c r="WFZ116" i="8"/>
  <c r="WFY116" i="8"/>
  <c r="WFX116" i="8"/>
  <c r="WFW116" i="8"/>
  <c r="WFV116" i="8"/>
  <c r="WFU116" i="8"/>
  <c r="WFT116" i="8"/>
  <c r="WFS116" i="8"/>
  <c r="WFR116" i="8"/>
  <c r="WFQ116" i="8"/>
  <c r="WFP116" i="8"/>
  <c r="WFO116" i="8"/>
  <c r="WFN116" i="8"/>
  <c r="WFM116" i="8"/>
  <c r="WFL116" i="8"/>
  <c r="WFK116" i="8"/>
  <c r="WFJ116" i="8"/>
  <c r="WFI116" i="8"/>
  <c r="WFH116" i="8"/>
  <c r="WFG116" i="8"/>
  <c r="WFF116" i="8"/>
  <c r="WFE116" i="8"/>
  <c r="WFD116" i="8"/>
  <c r="WFC116" i="8"/>
  <c r="WFB116" i="8"/>
  <c r="WFA116" i="8"/>
  <c r="WEZ116" i="8"/>
  <c r="WEY116" i="8"/>
  <c r="WEX116" i="8"/>
  <c r="WEW116" i="8"/>
  <c r="WEV116" i="8"/>
  <c r="WEU116" i="8"/>
  <c r="WET116" i="8"/>
  <c r="WES116" i="8"/>
  <c r="WER116" i="8"/>
  <c r="WEQ116" i="8"/>
  <c r="WEP116" i="8"/>
  <c r="WEO116" i="8"/>
  <c r="WEN116" i="8"/>
  <c r="WEM116" i="8"/>
  <c r="WEL116" i="8"/>
  <c r="WEK116" i="8"/>
  <c r="WEJ116" i="8"/>
  <c r="WEI116" i="8"/>
  <c r="WEH116" i="8"/>
  <c r="WEG116" i="8"/>
  <c r="WEF116" i="8"/>
  <c r="WEE116" i="8"/>
  <c r="WED116" i="8"/>
  <c r="WEC116" i="8"/>
  <c r="WEB116" i="8"/>
  <c r="WEA116" i="8"/>
  <c r="WDZ116" i="8"/>
  <c r="WDY116" i="8"/>
  <c r="WDX116" i="8"/>
  <c r="WDW116" i="8"/>
  <c r="WDV116" i="8"/>
  <c r="WDU116" i="8"/>
  <c r="WDT116" i="8"/>
  <c r="WDS116" i="8"/>
  <c r="WDR116" i="8"/>
  <c r="WDQ116" i="8"/>
  <c r="WDP116" i="8"/>
  <c r="WDO116" i="8"/>
  <c r="WDN116" i="8"/>
  <c r="WDM116" i="8"/>
  <c r="WDL116" i="8"/>
  <c r="WDK116" i="8"/>
  <c r="WDJ116" i="8"/>
  <c r="WDI116" i="8"/>
  <c r="WDH116" i="8"/>
  <c r="WDG116" i="8"/>
  <c r="WDF116" i="8"/>
  <c r="WDE116" i="8"/>
  <c r="WDD116" i="8"/>
  <c r="WDC116" i="8"/>
  <c r="WDB116" i="8"/>
  <c r="WDA116" i="8"/>
  <c r="WCZ116" i="8"/>
  <c r="WCY116" i="8"/>
  <c r="WCX116" i="8"/>
  <c r="WCW116" i="8"/>
  <c r="WCV116" i="8"/>
  <c r="WCU116" i="8"/>
  <c r="WCT116" i="8"/>
  <c r="WCS116" i="8"/>
  <c r="WCR116" i="8"/>
  <c r="WCQ116" i="8"/>
  <c r="WCP116" i="8"/>
  <c r="WCO116" i="8"/>
  <c r="WCN116" i="8"/>
  <c r="WCM116" i="8"/>
  <c r="WCL116" i="8"/>
  <c r="WCK116" i="8"/>
  <c r="WCJ116" i="8"/>
  <c r="WCI116" i="8"/>
  <c r="WCH116" i="8"/>
  <c r="WCG116" i="8"/>
  <c r="WCF116" i="8"/>
  <c r="WCE116" i="8"/>
  <c r="WCD116" i="8"/>
  <c r="WCC116" i="8"/>
  <c r="WCB116" i="8"/>
  <c r="WCA116" i="8"/>
  <c r="WBZ116" i="8"/>
  <c r="WBY116" i="8"/>
  <c r="WBX116" i="8"/>
  <c r="WBW116" i="8"/>
  <c r="WBV116" i="8"/>
  <c r="WBU116" i="8"/>
  <c r="WBT116" i="8"/>
  <c r="WBS116" i="8"/>
  <c r="WBR116" i="8"/>
  <c r="WBQ116" i="8"/>
  <c r="WBP116" i="8"/>
  <c r="WBO116" i="8"/>
  <c r="WBN116" i="8"/>
  <c r="WBM116" i="8"/>
  <c r="WBL116" i="8"/>
  <c r="WBK116" i="8"/>
  <c r="WBJ116" i="8"/>
  <c r="WBI116" i="8"/>
  <c r="WBH116" i="8"/>
  <c r="WBG116" i="8"/>
  <c r="WBF116" i="8"/>
  <c r="WBE116" i="8"/>
  <c r="WBD116" i="8"/>
  <c r="WBC116" i="8"/>
  <c r="WBB116" i="8"/>
  <c r="WBA116" i="8"/>
  <c r="WAZ116" i="8"/>
  <c r="WAY116" i="8"/>
  <c r="WAX116" i="8"/>
  <c r="WAW116" i="8"/>
  <c r="WAV116" i="8"/>
  <c r="WAU116" i="8"/>
  <c r="WAT116" i="8"/>
  <c r="WAS116" i="8"/>
  <c r="WAR116" i="8"/>
  <c r="WAQ116" i="8"/>
  <c r="WAP116" i="8"/>
  <c r="WAO116" i="8"/>
  <c r="WAN116" i="8"/>
  <c r="WAM116" i="8"/>
  <c r="WAL116" i="8"/>
  <c r="WAK116" i="8"/>
  <c r="WAJ116" i="8"/>
  <c r="WAI116" i="8"/>
  <c r="WAH116" i="8"/>
  <c r="WAG116" i="8"/>
  <c r="WAF116" i="8"/>
  <c r="WAE116" i="8"/>
  <c r="WAD116" i="8"/>
  <c r="WAC116" i="8"/>
  <c r="WAB116" i="8"/>
  <c r="WAA116" i="8"/>
  <c r="VZZ116" i="8"/>
  <c r="VZY116" i="8"/>
  <c r="VZX116" i="8"/>
  <c r="VZW116" i="8"/>
  <c r="VZV116" i="8"/>
  <c r="VZU116" i="8"/>
  <c r="VZT116" i="8"/>
  <c r="VZS116" i="8"/>
  <c r="VZR116" i="8"/>
  <c r="VZQ116" i="8"/>
  <c r="VZP116" i="8"/>
  <c r="VZO116" i="8"/>
  <c r="VZN116" i="8"/>
  <c r="VZM116" i="8"/>
  <c r="VZL116" i="8"/>
  <c r="VZK116" i="8"/>
  <c r="VZJ116" i="8"/>
  <c r="VZI116" i="8"/>
  <c r="VZH116" i="8"/>
  <c r="VZG116" i="8"/>
  <c r="VZF116" i="8"/>
  <c r="VZE116" i="8"/>
  <c r="VZD116" i="8"/>
  <c r="VZC116" i="8"/>
  <c r="VZB116" i="8"/>
  <c r="VZA116" i="8"/>
  <c r="VYZ116" i="8"/>
  <c r="VYY116" i="8"/>
  <c r="VYX116" i="8"/>
  <c r="VYW116" i="8"/>
  <c r="VYV116" i="8"/>
  <c r="VYU116" i="8"/>
  <c r="VYT116" i="8"/>
  <c r="VYS116" i="8"/>
  <c r="VYR116" i="8"/>
  <c r="VYQ116" i="8"/>
  <c r="VYP116" i="8"/>
  <c r="VYO116" i="8"/>
  <c r="VYN116" i="8"/>
  <c r="VYM116" i="8"/>
  <c r="VYL116" i="8"/>
  <c r="VYK116" i="8"/>
  <c r="VYJ116" i="8"/>
  <c r="VYI116" i="8"/>
  <c r="VYH116" i="8"/>
  <c r="VYG116" i="8"/>
  <c r="VYF116" i="8"/>
  <c r="VYE116" i="8"/>
  <c r="VYD116" i="8"/>
  <c r="VYC116" i="8"/>
  <c r="VYB116" i="8"/>
  <c r="VYA116" i="8"/>
  <c r="VXZ116" i="8"/>
  <c r="VXY116" i="8"/>
  <c r="VXX116" i="8"/>
  <c r="VXW116" i="8"/>
  <c r="VXV116" i="8"/>
  <c r="VXU116" i="8"/>
  <c r="VXT116" i="8"/>
  <c r="VXS116" i="8"/>
  <c r="VXR116" i="8"/>
  <c r="VXQ116" i="8"/>
  <c r="VXP116" i="8"/>
  <c r="VXO116" i="8"/>
  <c r="VXN116" i="8"/>
  <c r="VXM116" i="8"/>
  <c r="VXL116" i="8"/>
  <c r="VXK116" i="8"/>
  <c r="VXJ116" i="8"/>
  <c r="VXI116" i="8"/>
  <c r="VXH116" i="8"/>
  <c r="VXG116" i="8"/>
  <c r="VXF116" i="8"/>
  <c r="VXE116" i="8"/>
  <c r="VXD116" i="8"/>
  <c r="VXC116" i="8"/>
  <c r="VXB116" i="8"/>
  <c r="VXA116" i="8"/>
  <c r="VWZ116" i="8"/>
  <c r="VWY116" i="8"/>
  <c r="VWX116" i="8"/>
  <c r="VWW116" i="8"/>
  <c r="VWV116" i="8"/>
  <c r="VWU116" i="8"/>
  <c r="VWT116" i="8"/>
  <c r="VWS116" i="8"/>
  <c r="VWR116" i="8"/>
  <c r="VWQ116" i="8"/>
  <c r="VWP116" i="8"/>
  <c r="VWO116" i="8"/>
  <c r="VWN116" i="8"/>
  <c r="VWM116" i="8"/>
  <c r="VWL116" i="8"/>
  <c r="VWK116" i="8"/>
  <c r="VWJ116" i="8"/>
  <c r="VWI116" i="8"/>
  <c r="VWH116" i="8"/>
  <c r="VWG116" i="8"/>
  <c r="VWF116" i="8"/>
  <c r="VWE116" i="8"/>
  <c r="VWD116" i="8"/>
  <c r="VWC116" i="8"/>
  <c r="VWB116" i="8"/>
  <c r="VWA116" i="8"/>
  <c r="VVZ116" i="8"/>
  <c r="VVY116" i="8"/>
  <c r="VVX116" i="8"/>
  <c r="VVW116" i="8"/>
  <c r="VVV116" i="8"/>
  <c r="VVU116" i="8"/>
  <c r="VVT116" i="8"/>
  <c r="VVS116" i="8"/>
  <c r="VVR116" i="8"/>
  <c r="VVQ116" i="8"/>
  <c r="VVP116" i="8"/>
  <c r="VVO116" i="8"/>
  <c r="VVN116" i="8"/>
  <c r="VVM116" i="8"/>
  <c r="VVL116" i="8"/>
  <c r="VVK116" i="8"/>
  <c r="VVJ116" i="8"/>
  <c r="VVI116" i="8"/>
  <c r="VVH116" i="8"/>
  <c r="VVG116" i="8"/>
  <c r="VVF116" i="8"/>
  <c r="VVE116" i="8"/>
  <c r="VVD116" i="8"/>
  <c r="VVC116" i="8"/>
  <c r="VVB116" i="8"/>
  <c r="VVA116" i="8"/>
  <c r="VUZ116" i="8"/>
  <c r="VUY116" i="8"/>
  <c r="VUX116" i="8"/>
  <c r="VUW116" i="8"/>
  <c r="VUV116" i="8"/>
  <c r="VUU116" i="8"/>
  <c r="VUT116" i="8"/>
  <c r="VUS116" i="8"/>
  <c r="VUR116" i="8"/>
  <c r="VUQ116" i="8"/>
  <c r="VUP116" i="8"/>
  <c r="VUO116" i="8"/>
  <c r="VUN116" i="8"/>
  <c r="VUM116" i="8"/>
  <c r="VUL116" i="8"/>
  <c r="VUK116" i="8"/>
  <c r="VUJ116" i="8"/>
  <c r="VUI116" i="8"/>
  <c r="VUH116" i="8"/>
  <c r="VUG116" i="8"/>
  <c r="VUF116" i="8"/>
  <c r="VUE116" i="8"/>
  <c r="VUD116" i="8"/>
  <c r="VUC116" i="8"/>
  <c r="VUB116" i="8"/>
  <c r="VUA116" i="8"/>
  <c r="VTZ116" i="8"/>
  <c r="VTY116" i="8"/>
  <c r="VTX116" i="8"/>
  <c r="VTW116" i="8"/>
  <c r="VTV116" i="8"/>
  <c r="VTU116" i="8"/>
  <c r="VTT116" i="8"/>
  <c r="VTS116" i="8"/>
  <c r="VTR116" i="8"/>
  <c r="VTQ116" i="8"/>
  <c r="VTP116" i="8"/>
  <c r="VTO116" i="8"/>
  <c r="VTN116" i="8"/>
  <c r="VTM116" i="8"/>
  <c r="VTL116" i="8"/>
  <c r="VTK116" i="8"/>
  <c r="VTJ116" i="8"/>
  <c r="VTI116" i="8"/>
  <c r="VTH116" i="8"/>
  <c r="VTG116" i="8"/>
  <c r="VTF116" i="8"/>
  <c r="VTE116" i="8"/>
  <c r="VTD116" i="8"/>
  <c r="VTC116" i="8"/>
  <c r="VTB116" i="8"/>
  <c r="VTA116" i="8"/>
  <c r="VSZ116" i="8"/>
  <c r="VSY116" i="8"/>
  <c r="VSX116" i="8"/>
  <c r="VSW116" i="8"/>
  <c r="VSV116" i="8"/>
  <c r="VSU116" i="8"/>
  <c r="VST116" i="8"/>
  <c r="VSS116" i="8"/>
  <c r="VSR116" i="8"/>
  <c r="VSQ116" i="8"/>
  <c r="VSP116" i="8"/>
  <c r="VSO116" i="8"/>
  <c r="VSN116" i="8"/>
  <c r="VSM116" i="8"/>
  <c r="VSL116" i="8"/>
  <c r="VSK116" i="8"/>
  <c r="VSJ116" i="8"/>
  <c r="VSI116" i="8"/>
  <c r="VSH116" i="8"/>
  <c r="VSG116" i="8"/>
  <c r="VSF116" i="8"/>
  <c r="VSE116" i="8"/>
  <c r="VSD116" i="8"/>
  <c r="VSC116" i="8"/>
  <c r="VSB116" i="8"/>
  <c r="VSA116" i="8"/>
  <c r="VRZ116" i="8"/>
  <c r="VRY116" i="8"/>
  <c r="VRX116" i="8"/>
  <c r="VRW116" i="8"/>
  <c r="VRV116" i="8"/>
  <c r="VRU116" i="8"/>
  <c r="VRT116" i="8"/>
  <c r="VRS116" i="8"/>
  <c r="VRR116" i="8"/>
  <c r="VRQ116" i="8"/>
  <c r="VRP116" i="8"/>
  <c r="VRO116" i="8"/>
  <c r="VRN116" i="8"/>
  <c r="VRM116" i="8"/>
  <c r="VRL116" i="8"/>
  <c r="VRK116" i="8"/>
  <c r="VRJ116" i="8"/>
  <c r="VRI116" i="8"/>
  <c r="VRH116" i="8"/>
  <c r="VRG116" i="8"/>
  <c r="VRF116" i="8"/>
  <c r="VRE116" i="8"/>
  <c r="VRD116" i="8"/>
  <c r="VRC116" i="8"/>
  <c r="VRB116" i="8"/>
  <c r="VRA116" i="8"/>
  <c r="VQZ116" i="8"/>
  <c r="VQY116" i="8"/>
  <c r="VQX116" i="8"/>
  <c r="VQW116" i="8"/>
  <c r="VQV116" i="8"/>
  <c r="VQU116" i="8"/>
  <c r="VQT116" i="8"/>
  <c r="VQS116" i="8"/>
  <c r="VQR116" i="8"/>
  <c r="VQQ116" i="8"/>
  <c r="VQP116" i="8"/>
  <c r="VQO116" i="8"/>
  <c r="VQN116" i="8"/>
  <c r="VQM116" i="8"/>
  <c r="VQL116" i="8"/>
  <c r="VQK116" i="8"/>
  <c r="VQJ116" i="8"/>
  <c r="VQI116" i="8"/>
  <c r="VQH116" i="8"/>
  <c r="VQG116" i="8"/>
  <c r="VQF116" i="8"/>
  <c r="VQE116" i="8"/>
  <c r="VQD116" i="8"/>
  <c r="VQC116" i="8"/>
  <c r="VQB116" i="8"/>
  <c r="VQA116" i="8"/>
  <c r="VPZ116" i="8"/>
  <c r="VPY116" i="8"/>
  <c r="VPX116" i="8"/>
  <c r="VPW116" i="8"/>
  <c r="VPV116" i="8"/>
  <c r="VPU116" i="8"/>
  <c r="VPT116" i="8"/>
  <c r="VPS116" i="8"/>
  <c r="VPR116" i="8"/>
  <c r="VPQ116" i="8"/>
  <c r="VPP116" i="8"/>
  <c r="VPO116" i="8"/>
  <c r="VPN116" i="8"/>
  <c r="VPM116" i="8"/>
  <c r="VPL116" i="8"/>
  <c r="VPK116" i="8"/>
  <c r="VPJ116" i="8"/>
  <c r="VPI116" i="8"/>
  <c r="VPH116" i="8"/>
  <c r="VPG116" i="8"/>
  <c r="VPF116" i="8"/>
  <c r="VPE116" i="8"/>
  <c r="VPD116" i="8"/>
  <c r="VPC116" i="8"/>
  <c r="VPB116" i="8"/>
  <c r="VPA116" i="8"/>
  <c r="VOZ116" i="8"/>
  <c r="VOY116" i="8"/>
  <c r="VOX116" i="8"/>
  <c r="VOW116" i="8"/>
  <c r="VOV116" i="8"/>
  <c r="VOU116" i="8"/>
  <c r="VOT116" i="8"/>
  <c r="VOS116" i="8"/>
  <c r="VOR116" i="8"/>
  <c r="VOQ116" i="8"/>
  <c r="VOP116" i="8"/>
  <c r="VOO116" i="8"/>
  <c r="VON116" i="8"/>
  <c r="VOM116" i="8"/>
  <c r="VOL116" i="8"/>
  <c r="VOK116" i="8"/>
  <c r="VOJ116" i="8"/>
  <c r="VOI116" i="8"/>
  <c r="VOH116" i="8"/>
  <c r="VOG116" i="8"/>
  <c r="VOF116" i="8"/>
  <c r="VOE116" i="8"/>
  <c r="VOD116" i="8"/>
  <c r="VOC116" i="8"/>
  <c r="VOB116" i="8"/>
  <c r="VOA116" i="8"/>
  <c r="VNZ116" i="8"/>
  <c r="VNY116" i="8"/>
  <c r="VNX116" i="8"/>
  <c r="VNW116" i="8"/>
  <c r="VNV116" i="8"/>
  <c r="VNU116" i="8"/>
  <c r="VNT116" i="8"/>
  <c r="VNS116" i="8"/>
  <c r="VNR116" i="8"/>
  <c r="VNQ116" i="8"/>
  <c r="VNP116" i="8"/>
  <c r="VNO116" i="8"/>
  <c r="VNN116" i="8"/>
  <c r="VNM116" i="8"/>
  <c r="VNL116" i="8"/>
  <c r="VNK116" i="8"/>
  <c r="VNJ116" i="8"/>
  <c r="VNI116" i="8"/>
  <c r="VNH116" i="8"/>
  <c r="VNG116" i="8"/>
  <c r="VNF116" i="8"/>
  <c r="VNE116" i="8"/>
  <c r="VND116" i="8"/>
  <c r="VNC116" i="8"/>
  <c r="VNB116" i="8"/>
  <c r="VNA116" i="8"/>
  <c r="VMZ116" i="8"/>
  <c r="VMY116" i="8"/>
  <c r="VMX116" i="8"/>
  <c r="VMW116" i="8"/>
  <c r="VMV116" i="8"/>
  <c r="VMU116" i="8"/>
  <c r="VMT116" i="8"/>
  <c r="VMS116" i="8"/>
  <c r="VMR116" i="8"/>
  <c r="VMQ116" i="8"/>
  <c r="VMP116" i="8"/>
  <c r="VMO116" i="8"/>
  <c r="VMN116" i="8"/>
  <c r="VMM116" i="8"/>
  <c r="VML116" i="8"/>
  <c r="VMK116" i="8"/>
  <c r="VMJ116" i="8"/>
  <c r="VMI116" i="8"/>
  <c r="VMH116" i="8"/>
  <c r="VMG116" i="8"/>
  <c r="VMF116" i="8"/>
  <c r="VME116" i="8"/>
  <c r="VMD116" i="8"/>
  <c r="VMC116" i="8"/>
  <c r="VMB116" i="8"/>
  <c r="VMA116" i="8"/>
  <c r="VLZ116" i="8"/>
  <c r="VLY116" i="8"/>
  <c r="VLX116" i="8"/>
  <c r="VLW116" i="8"/>
  <c r="VLV116" i="8"/>
  <c r="VLU116" i="8"/>
  <c r="VLT116" i="8"/>
  <c r="VLS116" i="8"/>
  <c r="VLR116" i="8"/>
  <c r="VLQ116" i="8"/>
  <c r="VLP116" i="8"/>
  <c r="VLO116" i="8"/>
  <c r="VLN116" i="8"/>
  <c r="VLM116" i="8"/>
  <c r="VLL116" i="8"/>
  <c r="VLK116" i="8"/>
  <c r="VLJ116" i="8"/>
  <c r="VLI116" i="8"/>
  <c r="VLH116" i="8"/>
  <c r="VLG116" i="8"/>
  <c r="VLF116" i="8"/>
  <c r="VLE116" i="8"/>
  <c r="VLD116" i="8"/>
  <c r="VLC116" i="8"/>
  <c r="VLB116" i="8"/>
  <c r="VLA116" i="8"/>
  <c r="VKZ116" i="8"/>
  <c r="VKY116" i="8"/>
  <c r="VKX116" i="8"/>
  <c r="VKW116" i="8"/>
  <c r="VKV116" i="8"/>
  <c r="VKU116" i="8"/>
  <c r="VKT116" i="8"/>
  <c r="VKS116" i="8"/>
  <c r="VKR116" i="8"/>
  <c r="VKQ116" i="8"/>
  <c r="VKP116" i="8"/>
  <c r="VKO116" i="8"/>
  <c r="VKN116" i="8"/>
  <c r="VKM116" i="8"/>
  <c r="VKL116" i="8"/>
  <c r="VKK116" i="8"/>
  <c r="VKJ116" i="8"/>
  <c r="VKI116" i="8"/>
  <c r="VKH116" i="8"/>
  <c r="VKG116" i="8"/>
  <c r="VKF116" i="8"/>
  <c r="VKE116" i="8"/>
  <c r="VKD116" i="8"/>
  <c r="VKC116" i="8"/>
  <c r="VKB116" i="8"/>
  <c r="VKA116" i="8"/>
  <c r="VJZ116" i="8"/>
  <c r="VJY116" i="8"/>
  <c r="VJX116" i="8"/>
  <c r="VJW116" i="8"/>
  <c r="VJV116" i="8"/>
  <c r="VJU116" i="8"/>
  <c r="VJT116" i="8"/>
  <c r="VJS116" i="8"/>
  <c r="VJR116" i="8"/>
  <c r="VJQ116" i="8"/>
  <c r="VJP116" i="8"/>
  <c r="VJO116" i="8"/>
  <c r="VJN116" i="8"/>
  <c r="VJM116" i="8"/>
  <c r="VJL116" i="8"/>
  <c r="VJK116" i="8"/>
  <c r="VJJ116" i="8"/>
  <c r="VJI116" i="8"/>
  <c r="VJH116" i="8"/>
  <c r="VJG116" i="8"/>
  <c r="VJF116" i="8"/>
  <c r="VJE116" i="8"/>
  <c r="VJD116" i="8"/>
  <c r="VJC116" i="8"/>
  <c r="VJB116" i="8"/>
  <c r="VJA116" i="8"/>
  <c r="VIZ116" i="8"/>
  <c r="VIY116" i="8"/>
  <c r="VIX116" i="8"/>
  <c r="VIW116" i="8"/>
  <c r="VIV116" i="8"/>
  <c r="VIU116" i="8"/>
  <c r="VIT116" i="8"/>
  <c r="VIS116" i="8"/>
  <c r="VIR116" i="8"/>
  <c r="VIQ116" i="8"/>
  <c r="VIP116" i="8"/>
  <c r="VIO116" i="8"/>
  <c r="VIN116" i="8"/>
  <c r="VIM116" i="8"/>
  <c r="VIL116" i="8"/>
  <c r="VIK116" i="8"/>
  <c r="VIJ116" i="8"/>
  <c r="VII116" i="8"/>
  <c r="VIH116" i="8"/>
  <c r="VIG116" i="8"/>
  <c r="VIF116" i="8"/>
  <c r="VIE116" i="8"/>
  <c r="VID116" i="8"/>
  <c r="VIC116" i="8"/>
  <c r="VIB116" i="8"/>
  <c r="VIA116" i="8"/>
  <c r="VHZ116" i="8"/>
  <c r="VHY116" i="8"/>
  <c r="VHX116" i="8"/>
  <c r="VHW116" i="8"/>
  <c r="VHV116" i="8"/>
  <c r="VHU116" i="8"/>
  <c r="VHT116" i="8"/>
  <c r="VHS116" i="8"/>
  <c r="VHR116" i="8"/>
  <c r="VHQ116" i="8"/>
  <c r="VHP116" i="8"/>
  <c r="VHO116" i="8"/>
  <c r="VHN116" i="8"/>
  <c r="VHM116" i="8"/>
  <c r="VHL116" i="8"/>
  <c r="VHK116" i="8"/>
  <c r="VHJ116" i="8"/>
  <c r="VHI116" i="8"/>
  <c r="VHH116" i="8"/>
  <c r="VHG116" i="8"/>
  <c r="VHF116" i="8"/>
  <c r="VHE116" i="8"/>
  <c r="VHD116" i="8"/>
  <c r="VHC116" i="8"/>
  <c r="VHB116" i="8"/>
  <c r="VHA116" i="8"/>
  <c r="VGZ116" i="8"/>
  <c r="VGY116" i="8"/>
  <c r="VGX116" i="8"/>
  <c r="VGW116" i="8"/>
  <c r="VGV116" i="8"/>
  <c r="VGU116" i="8"/>
  <c r="VGT116" i="8"/>
  <c r="VGS116" i="8"/>
  <c r="VGR116" i="8"/>
  <c r="VGQ116" i="8"/>
  <c r="VGP116" i="8"/>
  <c r="VGO116" i="8"/>
  <c r="VGN116" i="8"/>
  <c r="VGM116" i="8"/>
  <c r="VGL116" i="8"/>
  <c r="VGK116" i="8"/>
  <c r="VGJ116" i="8"/>
  <c r="VGI116" i="8"/>
  <c r="VGH116" i="8"/>
  <c r="VGG116" i="8"/>
  <c r="VGF116" i="8"/>
  <c r="VGE116" i="8"/>
  <c r="VGD116" i="8"/>
  <c r="VGC116" i="8"/>
  <c r="VGB116" i="8"/>
  <c r="VGA116" i="8"/>
  <c r="VFZ116" i="8"/>
  <c r="VFY116" i="8"/>
  <c r="VFX116" i="8"/>
  <c r="VFW116" i="8"/>
  <c r="VFV116" i="8"/>
  <c r="VFU116" i="8"/>
  <c r="VFT116" i="8"/>
  <c r="VFS116" i="8"/>
  <c r="VFR116" i="8"/>
  <c r="VFQ116" i="8"/>
  <c r="VFP116" i="8"/>
  <c r="VFO116" i="8"/>
  <c r="VFN116" i="8"/>
  <c r="VFM116" i="8"/>
  <c r="VFL116" i="8"/>
  <c r="VFK116" i="8"/>
  <c r="VFJ116" i="8"/>
  <c r="VFI116" i="8"/>
  <c r="VFH116" i="8"/>
  <c r="VFG116" i="8"/>
  <c r="VFF116" i="8"/>
  <c r="VFE116" i="8"/>
  <c r="VFD116" i="8"/>
  <c r="VFC116" i="8"/>
  <c r="VFB116" i="8"/>
  <c r="VFA116" i="8"/>
  <c r="VEZ116" i="8"/>
  <c r="VEY116" i="8"/>
  <c r="VEX116" i="8"/>
  <c r="VEW116" i="8"/>
  <c r="VEV116" i="8"/>
  <c r="VEU116" i="8"/>
  <c r="VET116" i="8"/>
  <c r="VES116" i="8"/>
  <c r="VER116" i="8"/>
  <c r="VEQ116" i="8"/>
  <c r="VEP116" i="8"/>
  <c r="VEO116" i="8"/>
  <c r="VEN116" i="8"/>
  <c r="VEM116" i="8"/>
  <c r="VEL116" i="8"/>
  <c r="VEK116" i="8"/>
  <c r="VEJ116" i="8"/>
  <c r="VEI116" i="8"/>
  <c r="VEH116" i="8"/>
  <c r="VEG116" i="8"/>
  <c r="VEF116" i="8"/>
  <c r="VEE116" i="8"/>
  <c r="VED116" i="8"/>
  <c r="VEC116" i="8"/>
  <c r="VEB116" i="8"/>
  <c r="VEA116" i="8"/>
  <c r="VDZ116" i="8"/>
  <c r="VDY116" i="8"/>
  <c r="VDX116" i="8"/>
  <c r="VDW116" i="8"/>
  <c r="VDV116" i="8"/>
  <c r="VDU116" i="8"/>
  <c r="VDT116" i="8"/>
  <c r="VDS116" i="8"/>
  <c r="VDR116" i="8"/>
  <c r="VDQ116" i="8"/>
  <c r="VDP116" i="8"/>
  <c r="VDO116" i="8"/>
  <c r="VDN116" i="8"/>
  <c r="VDM116" i="8"/>
  <c r="VDL116" i="8"/>
  <c r="VDK116" i="8"/>
  <c r="VDJ116" i="8"/>
  <c r="VDI116" i="8"/>
  <c r="VDH116" i="8"/>
  <c r="VDG116" i="8"/>
  <c r="VDF116" i="8"/>
  <c r="VDE116" i="8"/>
  <c r="VDD116" i="8"/>
  <c r="VDC116" i="8"/>
  <c r="VDB116" i="8"/>
  <c r="VDA116" i="8"/>
  <c r="VCZ116" i="8"/>
  <c r="VCY116" i="8"/>
  <c r="VCX116" i="8"/>
  <c r="VCW116" i="8"/>
  <c r="VCV116" i="8"/>
  <c r="VCU116" i="8"/>
  <c r="VCT116" i="8"/>
  <c r="VCS116" i="8"/>
  <c r="VCR116" i="8"/>
  <c r="VCQ116" i="8"/>
  <c r="VCP116" i="8"/>
  <c r="VCO116" i="8"/>
  <c r="VCN116" i="8"/>
  <c r="VCM116" i="8"/>
  <c r="VCL116" i="8"/>
  <c r="VCK116" i="8"/>
  <c r="VCJ116" i="8"/>
  <c r="VCI116" i="8"/>
  <c r="VCH116" i="8"/>
  <c r="VCG116" i="8"/>
  <c r="VCF116" i="8"/>
  <c r="VCE116" i="8"/>
  <c r="VCD116" i="8"/>
  <c r="VCC116" i="8"/>
  <c r="VCB116" i="8"/>
  <c r="VCA116" i="8"/>
  <c r="VBZ116" i="8"/>
  <c r="VBY116" i="8"/>
  <c r="VBX116" i="8"/>
  <c r="VBW116" i="8"/>
  <c r="VBV116" i="8"/>
  <c r="VBU116" i="8"/>
  <c r="VBT116" i="8"/>
  <c r="VBS116" i="8"/>
  <c r="VBR116" i="8"/>
  <c r="VBQ116" i="8"/>
  <c r="VBP116" i="8"/>
  <c r="VBO116" i="8"/>
  <c r="VBN116" i="8"/>
  <c r="VBM116" i="8"/>
  <c r="VBL116" i="8"/>
  <c r="VBK116" i="8"/>
  <c r="VBJ116" i="8"/>
  <c r="VBI116" i="8"/>
  <c r="VBH116" i="8"/>
  <c r="VBG116" i="8"/>
  <c r="VBF116" i="8"/>
  <c r="VBE116" i="8"/>
  <c r="VBD116" i="8"/>
  <c r="VBC116" i="8"/>
  <c r="VBB116" i="8"/>
  <c r="VBA116" i="8"/>
  <c r="VAZ116" i="8"/>
  <c r="VAY116" i="8"/>
  <c r="VAX116" i="8"/>
  <c r="VAW116" i="8"/>
  <c r="VAV116" i="8"/>
  <c r="VAU116" i="8"/>
  <c r="VAT116" i="8"/>
  <c r="VAS116" i="8"/>
  <c r="VAR116" i="8"/>
  <c r="VAQ116" i="8"/>
  <c r="VAP116" i="8"/>
  <c r="VAO116" i="8"/>
  <c r="VAN116" i="8"/>
  <c r="VAM116" i="8"/>
  <c r="VAL116" i="8"/>
  <c r="VAK116" i="8"/>
  <c r="VAJ116" i="8"/>
  <c r="VAI116" i="8"/>
  <c r="VAH116" i="8"/>
  <c r="VAG116" i="8"/>
  <c r="VAF116" i="8"/>
  <c r="VAE116" i="8"/>
  <c r="VAD116" i="8"/>
  <c r="VAC116" i="8"/>
  <c r="VAB116" i="8"/>
  <c r="VAA116" i="8"/>
  <c r="UZZ116" i="8"/>
  <c r="UZY116" i="8"/>
  <c r="UZX116" i="8"/>
  <c r="UZW116" i="8"/>
  <c r="UZV116" i="8"/>
  <c r="UZU116" i="8"/>
  <c r="UZT116" i="8"/>
  <c r="UZS116" i="8"/>
  <c r="UZR116" i="8"/>
  <c r="UZQ116" i="8"/>
  <c r="UZP116" i="8"/>
  <c r="UZO116" i="8"/>
  <c r="UZN116" i="8"/>
  <c r="UZM116" i="8"/>
  <c r="UZL116" i="8"/>
  <c r="UZK116" i="8"/>
  <c r="UZJ116" i="8"/>
  <c r="UZI116" i="8"/>
  <c r="UZH116" i="8"/>
  <c r="UZG116" i="8"/>
  <c r="UZF116" i="8"/>
  <c r="UZE116" i="8"/>
  <c r="UZD116" i="8"/>
  <c r="UZC116" i="8"/>
  <c r="UZB116" i="8"/>
  <c r="UZA116" i="8"/>
  <c r="UYZ116" i="8"/>
  <c r="UYY116" i="8"/>
  <c r="UYX116" i="8"/>
  <c r="UYW116" i="8"/>
  <c r="UYV116" i="8"/>
  <c r="UYU116" i="8"/>
  <c r="UYT116" i="8"/>
  <c r="UYS116" i="8"/>
  <c r="UYR116" i="8"/>
  <c r="UYQ116" i="8"/>
  <c r="UYP116" i="8"/>
  <c r="UYO116" i="8"/>
  <c r="UYN116" i="8"/>
  <c r="UYM116" i="8"/>
  <c r="UYL116" i="8"/>
  <c r="UYK116" i="8"/>
  <c r="UYJ116" i="8"/>
  <c r="UYI116" i="8"/>
  <c r="UYH116" i="8"/>
  <c r="UYG116" i="8"/>
  <c r="UYF116" i="8"/>
  <c r="UYE116" i="8"/>
  <c r="UYD116" i="8"/>
  <c r="UYC116" i="8"/>
  <c r="UYB116" i="8"/>
  <c r="UYA116" i="8"/>
  <c r="UXZ116" i="8"/>
  <c r="UXY116" i="8"/>
  <c r="UXX116" i="8"/>
  <c r="UXW116" i="8"/>
  <c r="UXV116" i="8"/>
  <c r="UXU116" i="8"/>
  <c r="UXT116" i="8"/>
  <c r="UXS116" i="8"/>
  <c r="UXR116" i="8"/>
  <c r="UXQ116" i="8"/>
  <c r="UXP116" i="8"/>
  <c r="UXO116" i="8"/>
  <c r="UXN116" i="8"/>
  <c r="UXM116" i="8"/>
  <c r="UXL116" i="8"/>
  <c r="UXK116" i="8"/>
  <c r="UXJ116" i="8"/>
  <c r="UXI116" i="8"/>
  <c r="UXH116" i="8"/>
  <c r="UXG116" i="8"/>
  <c r="UXF116" i="8"/>
  <c r="UXE116" i="8"/>
  <c r="UXD116" i="8"/>
  <c r="UXC116" i="8"/>
  <c r="UXB116" i="8"/>
  <c r="UXA116" i="8"/>
  <c r="UWZ116" i="8"/>
  <c r="UWY116" i="8"/>
  <c r="UWX116" i="8"/>
  <c r="UWW116" i="8"/>
  <c r="UWV116" i="8"/>
  <c r="UWU116" i="8"/>
  <c r="UWT116" i="8"/>
  <c r="UWS116" i="8"/>
  <c r="UWR116" i="8"/>
  <c r="UWQ116" i="8"/>
  <c r="UWP116" i="8"/>
  <c r="UWO116" i="8"/>
  <c r="UWN116" i="8"/>
  <c r="UWM116" i="8"/>
  <c r="UWL116" i="8"/>
  <c r="UWK116" i="8"/>
  <c r="UWJ116" i="8"/>
  <c r="UWI116" i="8"/>
  <c r="UWH116" i="8"/>
  <c r="UWG116" i="8"/>
  <c r="UWF116" i="8"/>
  <c r="UWE116" i="8"/>
  <c r="UWD116" i="8"/>
  <c r="UWC116" i="8"/>
  <c r="UWB116" i="8"/>
  <c r="UWA116" i="8"/>
  <c r="UVZ116" i="8"/>
  <c r="UVY116" i="8"/>
  <c r="UVX116" i="8"/>
  <c r="UVW116" i="8"/>
  <c r="UVV116" i="8"/>
  <c r="UVU116" i="8"/>
  <c r="UVT116" i="8"/>
  <c r="UVS116" i="8"/>
  <c r="UVR116" i="8"/>
  <c r="UVQ116" i="8"/>
  <c r="UVP116" i="8"/>
  <c r="UVO116" i="8"/>
  <c r="UVN116" i="8"/>
  <c r="UVM116" i="8"/>
  <c r="UVL116" i="8"/>
  <c r="UVK116" i="8"/>
  <c r="UVJ116" i="8"/>
  <c r="UVI116" i="8"/>
  <c r="UVH116" i="8"/>
  <c r="UVG116" i="8"/>
  <c r="UVF116" i="8"/>
  <c r="UVE116" i="8"/>
  <c r="UVD116" i="8"/>
  <c r="UVC116" i="8"/>
  <c r="UVB116" i="8"/>
  <c r="UVA116" i="8"/>
  <c r="UUZ116" i="8"/>
  <c r="UUY116" i="8"/>
  <c r="UUX116" i="8"/>
  <c r="UUW116" i="8"/>
  <c r="UUV116" i="8"/>
  <c r="UUU116" i="8"/>
  <c r="UUT116" i="8"/>
  <c r="UUS116" i="8"/>
  <c r="UUR116" i="8"/>
  <c r="UUQ116" i="8"/>
  <c r="UUP116" i="8"/>
  <c r="UUO116" i="8"/>
  <c r="UUN116" i="8"/>
  <c r="UUM116" i="8"/>
  <c r="UUL116" i="8"/>
  <c r="UUK116" i="8"/>
  <c r="UUJ116" i="8"/>
  <c r="UUI116" i="8"/>
  <c r="UUH116" i="8"/>
  <c r="UUG116" i="8"/>
  <c r="UUF116" i="8"/>
  <c r="UUE116" i="8"/>
  <c r="UUD116" i="8"/>
  <c r="UUC116" i="8"/>
  <c r="UUB116" i="8"/>
  <c r="UUA116" i="8"/>
  <c r="UTZ116" i="8"/>
  <c r="UTY116" i="8"/>
  <c r="UTX116" i="8"/>
  <c r="UTW116" i="8"/>
  <c r="UTV116" i="8"/>
  <c r="UTU116" i="8"/>
  <c r="UTT116" i="8"/>
  <c r="UTS116" i="8"/>
  <c r="UTR116" i="8"/>
  <c r="UTQ116" i="8"/>
  <c r="UTP116" i="8"/>
  <c r="UTO116" i="8"/>
  <c r="UTN116" i="8"/>
  <c r="UTM116" i="8"/>
  <c r="UTL116" i="8"/>
  <c r="UTK116" i="8"/>
  <c r="UTJ116" i="8"/>
  <c r="UTI116" i="8"/>
  <c r="UTH116" i="8"/>
  <c r="UTG116" i="8"/>
  <c r="UTF116" i="8"/>
  <c r="UTE116" i="8"/>
  <c r="UTD116" i="8"/>
  <c r="UTC116" i="8"/>
  <c r="UTB116" i="8"/>
  <c r="UTA116" i="8"/>
  <c r="USZ116" i="8"/>
  <c r="USY116" i="8"/>
  <c r="USX116" i="8"/>
  <c r="USW116" i="8"/>
  <c r="USV116" i="8"/>
  <c r="USU116" i="8"/>
  <c r="UST116" i="8"/>
  <c r="USS116" i="8"/>
  <c r="USR116" i="8"/>
  <c r="USQ116" i="8"/>
  <c r="USP116" i="8"/>
  <c r="USO116" i="8"/>
  <c r="USN116" i="8"/>
  <c r="USM116" i="8"/>
  <c r="USL116" i="8"/>
  <c r="USK116" i="8"/>
  <c r="USJ116" i="8"/>
  <c r="USI116" i="8"/>
  <c r="USH116" i="8"/>
  <c r="USG116" i="8"/>
  <c r="USF116" i="8"/>
  <c r="USE116" i="8"/>
  <c r="USD116" i="8"/>
  <c r="USC116" i="8"/>
  <c r="USB116" i="8"/>
  <c r="USA116" i="8"/>
  <c r="URZ116" i="8"/>
  <c r="URY116" i="8"/>
  <c r="URX116" i="8"/>
  <c r="URW116" i="8"/>
  <c r="URV116" i="8"/>
  <c r="URU116" i="8"/>
  <c r="URT116" i="8"/>
  <c r="URS116" i="8"/>
  <c r="URR116" i="8"/>
  <c r="URQ116" i="8"/>
  <c r="URP116" i="8"/>
  <c r="URO116" i="8"/>
  <c r="URN116" i="8"/>
  <c r="URM116" i="8"/>
  <c r="URL116" i="8"/>
  <c r="URK116" i="8"/>
  <c r="URJ116" i="8"/>
  <c r="URI116" i="8"/>
  <c r="URH116" i="8"/>
  <c r="URG116" i="8"/>
  <c r="URF116" i="8"/>
  <c r="URE116" i="8"/>
  <c r="URD116" i="8"/>
  <c r="URC116" i="8"/>
  <c r="URB116" i="8"/>
  <c r="URA116" i="8"/>
  <c r="UQZ116" i="8"/>
  <c r="UQY116" i="8"/>
  <c r="UQX116" i="8"/>
  <c r="UQW116" i="8"/>
  <c r="UQV116" i="8"/>
  <c r="UQU116" i="8"/>
  <c r="UQT116" i="8"/>
  <c r="UQS116" i="8"/>
  <c r="UQR116" i="8"/>
  <c r="UQQ116" i="8"/>
  <c r="UQP116" i="8"/>
  <c r="UQO116" i="8"/>
  <c r="UQN116" i="8"/>
  <c r="UQM116" i="8"/>
  <c r="UQL116" i="8"/>
  <c r="UQK116" i="8"/>
  <c r="UQJ116" i="8"/>
  <c r="UQI116" i="8"/>
  <c r="UQH116" i="8"/>
  <c r="UQG116" i="8"/>
  <c r="UQF116" i="8"/>
  <c r="UQE116" i="8"/>
  <c r="UQD116" i="8"/>
  <c r="UQC116" i="8"/>
  <c r="UQB116" i="8"/>
  <c r="UQA116" i="8"/>
  <c r="UPZ116" i="8"/>
  <c r="UPY116" i="8"/>
  <c r="UPX116" i="8"/>
  <c r="UPW116" i="8"/>
  <c r="UPV116" i="8"/>
  <c r="UPU116" i="8"/>
  <c r="UPT116" i="8"/>
  <c r="UPS116" i="8"/>
  <c r="UPR116" i="8"/>
  <c r="UPQ116" i="8"/>
  <c r="UPP116" i="8"/>
  <c r="UPO116" i="8"/>
  <c r="UPN116" i="8"/>
  <c r="UPM116" i="8"/>
  <c r="UPL116" i="8"/>
  <c r="UPK116" i="8"/>
  <c r="UPJ116" i="8"/>
  <c r="UPI116" i="8"/>
  <c r="UPH116" i="8"/>
  <c r="UPG116" i="8"/>
  <c r="UPF116" i="8"/>
  <c r="UPE116" i="8"/>
  <c r="UPD116" i="8"/>
  <c r="UPC116" i="8"/>
  <c r="UPB116" i="8"/>
  <c r="UPA116" i="8"/>
  <c r="UOZ116" i="8"/>
  <c r="UOY116" i="8"/>
  <c r="UOX116" i="8"/>
  <c r="UOW116" i="8"/>
  <c r="UOV116" i="8"/>
  <c r="UOU116" i="8"/>
  <c r="UOT116" i="8"/>
  <c r="UOS116" i="8"/>
  <c r="UOR116" i="8"/>
  <c r="UOQ116" i="8"/>
  <c r="UOP116" i="8"/>
  <c r="UOO116" i="8"/>
  <c r="UON116" i="8"/>
  <c r="UOM116" i="8"/>
  <c r="UOL116" i="8"/>
  <c r="UOK116" i="8"/>
  <c r="UOJ116" i="8"/>
  <c r="UOI116" i="8"/>
  <c r="UOH116" i="8"/>
  <c r="UOG116" i="8"/>
  <c r="UOF116" i="8"/>
  <c r="UOE116" i="8"/>
  <c r="UOD116" i="8"/>
  <c r="UOC116" i="8"/>
  <c r="UOB116" i="8"/>
  <c r="UOA116" i="8"/>
  <c r="UNZ116" i="8"/>
  <c r="UNY116" i="8"/>
  <c r="UNX116" i="8"/>
  <c r="UNW116" i="8"/>
  <c r="UNV116" i="8"/>
  <c r="UNU116" i="8"/>
  <c r="UNT116" i="8"/>
  <c r="UNS116" i="8"/>
  <c r="UNR116" i="8"/>
  <c r="UNQ116" i="8"/>
  <c r="UNP116" i="8"/>
  <c r="UNO116" i="8"/>
  <c r="UNN116" i="8"/>
  <c r="UNM116" i="8"/>
  <c r="UNL116" i="8"/>
  <c r="UNK116" i="8"/>
  <c r="UNJ116" i="8"/>
  <c r="UNI116" i="8"/>
  <c r="UNH116" i="8"/>
  <c r="UNG116" i="8"/>
  <c r="UNF116" i="8"/>
  <c r="UNE116" i="8"/>
  <c r="UND116" i="8"/>
  <c r="UNC116" i="8"/>
  <c r="UNB116" i="8"/>
  <c r="UNA116" i="8"/>
  <c r="UMZ116" i="8"/>
  <c r="UMY116" i="8"/>
  <c r="UMX116" i="8"/>
  <c r="UMW116" i="8"/>
  <c r="UMV116" i="8"/>
  <c r="UMU116" i="8"/>
  <c r="UMT116" i="8"/>
  <c r="UMS116" i="8"/>
  <c r="UMR116" i="8"/>
  <c r="UMQ116" i="8"/>
  <c r="UMP116" i="8"/>
  <c r="UMO116" i="8"/>
  <c r="UMN116" i="8"/>
  <c r="UMM116" i="8"/>
  <c r="UML116" i="8"/>
  <c r="UMK116" i="8"/>
  <c r="UMJ116" i="8"/>
  <c r="UMI116" i="8"/>
  <c r="UMH116" i="8"/>
  <c r="UMG116" i="8"/>
  <c r="UMF116" i="8"/>
  <c r="UME116" i="8"/>
  <c r="UMD116" i="8"/>
  <c r="UMC116" i="8"/>
  <c r="UMB116" i="8"/>
  <c r="UMA116" i="8"/>
  <c r="ULZ116" i="8"/>
  <c r="ULY116" i="8"/>
  <c r="ULX116" i="8"/>
  <c r="ULW116" i="8"/>
  <c r="ULV116" i="8"/>
  <c r="ULU116" i="8"/>
  <c r="ULT116" i="8"/>
  <c r="ULS116" i="8"/>
  <c r="ULR116" i="8"/>
  <c r="ULQ116" i="8"/>
  <c r="ULP116" i="8"/>
  <c r="ULO116" i="8"/>
  <c r="ULN116" i="8"/>
  <c r="ULM116" i="8"/>
  <c r="ULL116" i="8"/>
  <c r="ULK116" i="8"/>
  <c r="ULJ116" i="8"/>
  <c r="ULI116" i="8"/>
  <c r="ULH116" i="8"/>
  <c r="ULG116" i="8"/>
  <c r="ULF116" i="8"/>
  <c r="ULE116" i="8"/>
  <c r="ULD116" i="8"/>
  <c r="ULC116" i="8"/>
  <c r="ULB116" i="8"/>
  <c r="ULA116" i="8"/>
  <c r="UKZ116" i="8"/>
  <c r="UKY116" i="8"/>
  <c r="UKX116" i="8"/>
  <c r="UKW116" i="8"/>
  <c r="UKV116" i="8"/>
  <c r="UKU116" i="8"/>
  <c r="UKT116" i="8"/>
  <c r="UKS116" i="8"/>
  <c r="UKR116" i="8"/>
  <c r="UKQ116" i="8"/>
  <c r="UKP116" i="8"/>
  <c r="UKO116" i="8"/>
  <c r="UKN116" i="8"/>
  <c r="UKM116" i="8"/>
  <c r="UKL116" i="8"/>
  <c r="UKK116" i="8"/>
  <c r="UKJ116" i="8"/>
  <c r="UKI116" i="8"/>
  <c r="UKH116" i="8"/>
  <c r="UKG116" i="8"/>
  <c r="UKF116" i="8"/>
  <c r="UKE116" i="8"/>
  <c r="UKD116" i="8"/>
  <c r="UKC116" i="8"/>
  <c r="UKB116" i="8"/>
  <c r="UKA116" i="8"/>
  <c r="UJZ116" i="8"/>
  <c r="UJY116" i="8"/>
  <c r="UJX116" i="8"/>
  <c r="UJW116" i="8"/>
  <c r="UJV116" i="8"/>
  <c r="UJU116" i="8"/>
  <c r="UJT116" i="8"/>
  <c r="UJS116" i="8"/>
  <c r="UJR116" i="8"/>
  <c r="UJQ116" i="8"/>
  <c r="UJP116" i="8"/>
  <c r="UJO116" i="8"/>
  <c r="UJN116" i="8"/>
  <c r="UJM116" i="8"/>
  <c r="UJL116" i="8"/>
  <c r="UJK116" i="8"/>
  <c r="UJJ116" i="8"/>
  <c r="UJI116" i="8"/>
  <c r="UJH116" i="8"/>
  <c r="UJG116" i="8"/>
  <c r="UJF116" i="8"/>
  <c r="UJE116" i="8"/>
  <c r="UJD116" i="8"/>
  <c r="UJC116" i="8"/>
  <c r="UJB116" i="8"/>
  <c r="UJA116" i="8"/>
  <c r="UIZ116" i="8"/>
  <c r="UIY116" i="8"/>
  <c r="UIX116" i="8"/>
  <c r="UIW116" i="8"/>
  <c r="UIV116" i="8"/>
  <c r="UIU116" i="8"/>
  <c r="UIT116" i="8"/>
  <c r="UIS116" i="8"/>
  <c r="UIR116" i="8"/>
  <c r="UIQ116" i="8"/>
  <c r="UIP116" i="8"/>
  <c r="UIO116" i="8"/>
  <c r="UIN116" i="8"/>
  <c r="UIM116" i="8"/>
  <c r="UIL116" i="8"/>
  <c r="UIK116" i="8"/>
  <c r="UIJ116" i="8"/>
  <c r="UII116" i="8"/>
  <c r="UIH116" i="8"/>
  <c r="UIG116" i="8"/>
  <c r="UIF116" i="8"/>
  <c r="UIE116" i="8"/>
  <c r="UID116" i="8"/>
  <c r="UIC116" i="8"/>
  <c r="UIB116" i="8"/>
  <c r="UIA116" i="8"/>
  <c r="UHZ116" i="8"/>
  <c r="UHY116" i="8"/>
  <c r="UHX116" i="8"/>
  <c r="UHW116" i="8"/>
  <c r="UHV116" i="8"/>
  <c r="UHU116" i="8"/>
  <c r="UHT116" i="8"/>
  <c r="UHS116" i="8"/>
  <c r="UHR116" i="8"/>
  <c r="UHQ116" i="8"/>
  <c r="UHP116" i="8"/>
  <c r="UHO116" i="8"/>
  <c r="UHN116" i="8"/>
  <c r="UHM116" i="8"/>
  <c r="UHL116" i="8"/>
  <c r="UHK116" i="8"/>
  <c r="UHJ116" i="8"/>
  <c r="UHI116" i="8"/>
  <c r="UHH116" i="8"/>
  <c r="UHG116" i="8"/>
  <c r="UHF116" i="8"/>
  <c r="UHE116" i="8"/>
  <c r="UHD116" i="8"/>
  <c r="UHC116" i="8"/>
  <c r="UHB116" i="8"/>
  <c r="UHA116" i="8"/>
  <c r="UGZ116" i="8"/>
  <c r="UGY116" i="8"/>
  <c r="UGX116" i="8"/>
  <c r="UGW116" i="8"/>
  <c r="UGV116" i="8"/>
  <c r="UGU116" i="8"/>
  <c r="UGT116" i="8"/>
  <c r="UGS116" i="8"/>
  <c r="UGR116" i="8"/>
  <c r="UGQ116" i="8"/>
  <c r="UGP116" i="8"/>
  <c r="UGO116" i="8"/>
  <c r="UGN116" i="8"/>
  <c r="UGM116" i="8"/>
  <c r="UGL116" i="8"/>
  <c r="UGK116" i="8"/>
  <c r="UGJ116" i="8"/>
  <c r="UGI116" i="8"/>
  <c r="UGH116" i="8"/>
  <c r="UGG116" i="8"/>
  <c r="UGF116" i="8"/>
  <c r="UGE116" i="8"/>
  <c r="UGD116" i="8"/>
  <c r="UGC116" i="8"/>
  <c r="UGB116" i="8"/>
  <c r="UGA116" i="8"/>
  <c r="UFZ116" i="8"/>
  <c r="UFY116" i="8"/>
  <c r="UFX116" i="8"/>
  <c r="UFW116" i="8"/>
  <c r="UFV116" i="8"/>
  <c r="UFU116" i="8"/>
  <c r="UFT116" i="8"/>
  <c r="UFS116" i="8"/>
  <c r="UFR116" i="8"/>
  <c r="UFQ116" i="8"/>
  <c r="UFP116" i="8"/>
  <c r="UFO116" i="8"/>
  <c r="UFN116" i="8"/>
  <c r="UFM116" i="8"/>
  <c r="UFL116" i="8"/>
  <c r="UFK116" i="8"/>
  <c r="UFJ116" i="8"/>
  <c r="UFI116" i="8"/>
  <c r="UFH116" i="8"/>
  <c r="UFG116" i="8"/>
  <c r="UFF116" i="8"/>
  <c r="UFE116" i="8"/>
  <c r="UFD116" i="8"/>
  <c r="UFC116" i="8"/>
  <c r="UFB116" i="8"/>
  <c r="UFA116" i="8"/>
  <c r="UEZ116" i="8"/>
  <c r="UEY116" i="8"/>
  <c r="UEX116" i="8"/>
  <c r="UEW116" i="8"/>
  <c r="UEV116" i="8"/>
  <c r="UEU116" i="8"/>
  <c r="UET116" i="8"/>
  <c r="UES116" i="8"/>
  <c r="UER116" i="8"/>
  <c r="UEQ116" i="8"/>
  <c r="UEP116" i="8"/>
  <c r="UEO116" i="8"/>
  <c r="UEN116" i="8"/>
  <c r="UEM116" i="8"/>
  <c r="UEL116" i="8"/>
  <c r="UEK116" i="8"/>
  <c r="UEJ116" i="8"/>
  <c r="UEI116" i="8"/>
  <c r="UEH116" i="8"/>
  <c r="UEG116" i="8"/>
  <c r="UEF116" i="8"/>
  <c r="UEE116" i="8"/>
  <c r="UED116" i="8"/>
  <c r="UEC116" i="8"/>
  <c r="UEB116" i="8"/>
  <c r="UEA116" i="8"/>
  <c r="UDZ116" i="8"/>
  <c r="UDY116" i="8"/>
  <c r="UDX116" i="8"/>
  <c r="UDW116" i="8"/>
  <c r="UDV116" i="8"/>
  <c r="UDU116" i="8"/>
  <c r="UDT116" i="8"/>
  <c r="UDS116" i="8"/>
  <c r="UDR116" i="8"/>
  <c r="UDQ116" i="8"/>
  <c r="UDP116" i="8"/>
  <c r="UDO116" i="8"/>
  <c r="UDN116" i="8"/>
  <c r="UDM116" i="8"/>
  <c r="UDL116" i="8"/>
  <c r="UDK116" i="8"/>
  <c r="UDJ116" i="8"/>
  <c r="UDI116" i="8"/>
  <c r="UDH116" i="8"/>
  <c r="UDG116" i="8"/>
  <c r="UDF116" i="8"/>
  <c r="UDE116" i="8"/>
  <c r="UDD116" i="8"/>
  <c r="UDC116" i="8"/>
  <c r="UDB116" i="8"/>
  <c r="UDA116" i="8"/>
  <c r="UCZ116" i="8"/>
  <c r="UCY116" i="8"/>
  <c r="UCX116" i="8"/>
  <c r="UCW116" i="8"/>
  <c r="UCV116" i="8"/>
  <c r="UCU116" i="8"/>
  <c r="UCT116" i="8"/>
  <c r="UCS116" i="8"/>
  <c r="UCR116" i="8"/>
  <c r="UCQ116" i="8"/>
  <c r="UCP116" i="8"/>
  <c r="UCO116" i="8"/>
  <c r="UCN116" i="8"/>
  <c r="UCM116" i="8"/>
  <c r="UCL116" i="8"/>
  <c r="UCK116" i="8"/>
  <c r="UCJ116" i="8"/>
  <c r="UCI116" i="8"/>
  <c r="UCH116" i="8"/>
  <c r="UCG116" i="8"/>
  <c r="UCF116" i="8"/>
  <c r="UCE116" i="8"/>
  <c r="UCD116" i="8"/>
  <c r="UCC116" i="8"/>
  <c r="UCB116" i="8"/>
  <c r="UCA116" i="8"/>
  <c r="UBZ116" i="8"/>
  <c r="UBY116" i="8"/>
  <c r="UBX116" i="8"/>
  <c r="UBW116" i="8"/>
  <c r="UBV116" i="8"/>
  <c r="UBU116" i="8"/>
  <c r="UBT116" i="8"/>
  <c r="UBS116" i="8"/>
  <c r="UBR116" i="8"/>
  <c r="UBQ116" i="8"/>
  <c r="UBP116" i="8"/>
  <c r="UBO116" i="8"/>
  <c r="UBN116" i="8"/>
  <c r="UBM116" i="8"/>
  <c r="UBL116" i="8"/>
  <c r="UBK116" i="8"/>
  <c r="UBJ116" i="8"/>
  <c r="UBI116" i="8"/>
  <c r="UBH116" i="8"/>
  <c r="UBG116" i="8"/>
  <c r="UBF116" i="8"/>
  <c r="UBE116" i="8"/>
  <c r="UBD116" i="8"/>
  <c r="UBC116" i="8"/>
  <c r="UBB116" i="8"/>
  <c r="UBA116" i="8"/>
  <c r="UAZ116" i="8"/>
  <c r="UAY116" i="8"/>
  <c r="UAX116" i="8"/>
  <c r="UAW116" i="8"/>
  <c r="UAV116" i="8"/>
  <c r="UAU116" i="8"/>
  <c r="UAT116" i="8"/>
  <c r="UAS116" i="8"/>
  <c r="UAR116" i="8"/>
  <c r="UAQ116" i="8"/>
  <c r="UAP116" i="8"/>
  <c r="UAO116" i="8"/>
  <c r="UAN116" i="8"/>
  <c r="UAM116" i="8"/>
  <c r="UAL116" i="8"/>
  <c r="UAK116" i="8"/>
  <c r="UAJ116" i="8"/>
  <c r="UAI116" i="8"/>
  <c r="UAH116" i="8"/>
  <c r="UAG116" i="8"/>
  <c r="UAF116" i="8"/>
  <c r="UAE116" i="8"/>
  <c r="UAD116" i="8"/>
  <c r="UAC116" i="8"/>
  <c r="UAB116" i="8"/>
  <c r="UAA116" i="8"/>
  <c r="TZZ116" i="8"/>
  <c r="TZY116" i="8"/>
  <c r="TZX116" i="8"/>
  <c r="TZW116" i="8"/>
  <c r="TZV116" i="8"/>
  <c r="TZU116" i="8"/>
  <c r="TZT116" i="8"/>
  <c r="TZS116" i="8"/>
  <c r="TZR116" i="8"/>
  <c r="TZQ116" i="8"/>
  <c r="TZP116" i="8"/>
  <c r="TZO116" i="8"/>
  <c r="TZN116" i="8"/>
  <c r="TZM116" i="8"/>
  <c r="TZL116" i="8"/>
  <c r="TZK116" i="8"/>
  <c r="TZJ116" i="8"/>
  <c r="TZI116" i="8"/>
  <c r="TZH116" i="8"/>
  <c r="TZG116" i="8"/>
  <c r="TZF116" i="8"/>
  <c r="TZE116" i="8"/>
  <c r="TZD116" i="8"/>
  <c r="TZC116" i="8"/>
  <c r="TZB116" i="8"/>
  <c r="TZA116" i="8"/>
  <c r="TYZ116" i="8"/>
  <c r="TYY116" i="8"/>
  <c r="TYX116" i="8"/>
  <c r="TYW116" i="8"/>
  <c r="TYV116" i="8"/>
  <c r="TYU116" i="8"/>
  <c r="TYT116" i="8"/>
  <c r="TYS116" i="8"/>
  <c r="TYR116" i="8"/>
  <c r="TYQ116" i="8"/>
  <c r="TYP116" i="8"/>
  <c r="TYO116" i="8"/>
  <c r="TYN116" i="8"/>
  <c r="TYM116" i="8"/>
  <c r="TYL116" i="8"/>
  <c r="TYK116" i="8"/>
  <c r="TYJ116" i="8"/>
  <c r="TYI116" i="8"/>
  <c r="TYH116" i="8"/>
  <c r="TYG116" i="8"/>
  <c r="TYF116" i="8"/>
  <c r="TYE116" i="8"/>
  <c r="TYD116" i="8"/>
  <c r="TYC116" i="8"/>
  <c r="TYB116" i="8"/>
  <c r="TYA116" i="8"/>
  <c r="TXZ116" i="8"/>
  <c r="TXY116" i="8"/>
  <c r="TXX116" i="8"/>
  <c r="TXW116" i="8"/>
  <c r="TXV116" i="8"/>
  <c r="TXU116" i="8"/>
  <c r="TXT116" i="8"/>
  <c r="TXS116" i="8"/>
  <c r="TXR116" i="8"/>
  <c r="TXQ116" i="8"/>
  <c r="TXP116" i="8"/>
  <c r="TXO116" i="8"/>
  <c r="TXN116" i="8"/>
  <c r="TXM116" i="8"/>
  <c r="TXL116" i="8"/>
  <c r="TXK116" i="8"/>
  <c r="TXJ116" i="8"/>
  <c r="TXI116" i="8"/>
  <c r="TXH116" i="8"/>
  <c r="TXG116" i="8"/>
  <c r="TXF116" i="8"/>
  <c r="TXE116" i="8"/>
  <c r="TXD116" i="8"/>
  <c r="TXC116" i="8"/>
  <c r="TXB116" i="8"/>
  <c r="TXA116" i="8"/>
  <c r="TWZ116" i="8"/>
  <c r="TWY116" i="8"/>
  <c r="TWX116" i="8"/>
  <c r="TWW116" i="8"/>
  <c r="TWV116" i="8"/>
  <c r="TWU116" i="8"/>
  <c r="TWT116" i="8"/>
  <c r="TWS116" i="8"/>
  <c r="TWR116" i="8"/>
  <c r="TWQ116" i="8"/>
  <c r="TWP116" i="8"/>
  <c r="TWO116" i="8"/>
  <c r="TWN116" i="8"/>
  <c r="TWM116" i="8"/>
  <c r="TWL116" i="8"/>
  <c r="TWK116" i="8"/>
  <c r="TWJ116" i="8"/>
  <c r="TWI116" i="8"/>
  <c r="TWH116" i="8"/>
  <c r="TWG116" i="8"/>
  <c r="TWF116" i="8"/>
  <c r="TWE116" i="8"/>
  <c r="TWD116" i="8"/>
  <c r="TWC116" i="8"/>
  <c r="TWB116" i="8"/>
  <c r="TWA116" i="8"/>
  <c r="TVZ116" i="8"/>
  <c r="TVY116" i="8"/>
  <c r="TVX116" i="8"/>
  <c r="TVW116" i="8"/>
  <c r="TVV116" i="8"/>
  <c r="TVU116" i="8"/>
  <c r="TVT116" i="8"/>
  <c r="TVS116" i="8"/>
  <c r="TVR116" i="8"/>
  <c r="TVQ116" i="8"/>
  <c r="TVP116" i="8"/>
  <c r="TVO116" i="8"/>
  <c r="TVN116" i="8"/>
  <c r="TVM116" i="8"/>
  <c r="TVL116" i="8"/>
  <c r="TVK116" i="8"/>
  <c r="TVJ116" i="8"/>
  <c r="TVI116" i="8"/>
  <c r="TVH116" i="8"/>
  <c r="TVG116" i="8"/>
  <c r="TVF116" i="8"/>
  <c r="TVE116" i="8"/>
  <c r="TVD116" i="8"/>
  <c r="TVC116" i="8"/>
  <c r="TVB116" i="8"/>
  <c r="TVA116" i="8"/>
  <c r="TUZ116" i="8"/>
  <c r="TUY116" i="8"/>
  <c r="TUX116" i="8"/>
  <c r="TUW116" i="8"/>
  <c r="TUV116" i="8"/>
  <c r="TUU116" i="8"/>
  <c r="TUT116" i="8"/>
  <c r="TUS116" i="8"/>
  <c r="TUR116" i="8"/>
  <c r="TUQ116" i="8"/>
  <c r="TUP116" i="8"/>
  <c r="TUO116" i="8"/>
  <c r="TUN116" i="8"/>
  <c r="TUM116" i="8"/>
  <c r="TUL116" i="8"/>
  <c r="TUK116" i="8"/>
  <c r="TUJ116" i="8"/>
  <c r="TUI116" i="8"/>
  <c r="TUH116" i="8"/>
  <c r="TUG116" i="8"/>
  <c r="TUF116" i="8"/>
  <c r="TUE116" i="8"/>
  <c r="TUD116" i="8"/>
  <c r="TUC116" i="8"/>
  <c r="TUB116" i="8"/>
  <c r="TUA116" i="8"/>
  <c r="TTZ116" i="8"/>
  <c r="TTY116" i="8"/>
  <c r="TTX116" i="8"/>
  <c r="TTW116" i="8"/>
  <c r="TTV116" i="8"/>
  <c r="TTU116" i="8"/>
  <c r="TTT116" i="8"/>
  <c r="TTS116" i="8"/>
  <c r="TTR116" i="8"/>
  <c r="TTQ116" i="8"/>
  <c r="TTP116" i="8"/>
  <c r="TTO116" i="8"/>
  <c r="TTN116" i="8"/>
  <c r="TTM116" i="8"/>
  <c r="TTL116" i="8"/>
  <c r="TTK116" i="8"/>
  <c r="TTJ116" i="8"/>
  <c r="TTI116" i="8"/>
  <c r="TTH116" i="8"/>
  <c r="TTG116" i="8"/>
  <c r="TTF116" i="8"/>
  <c r="TTE116" i="8"/>
  <c r="TTD116" i="8"/>
  <c r="TTC116" i="8"/>
  <c r="TTB116" i="8"/>
  <c r="TTA116" i="8"/>
  <c r="TSZ116" i="8"/>
  <c r="TSY116" i="8"/>
  <c r="TSX116" i="8"/>
  <c r="TSW116" i="8"/>
  <c r="TSV116" i="8"/>
  <c r="TSU116" i="8"/>
  <c r="TST116" i="8"/>
  <c r="TSS116" i="8"/>
  <c r="TSR116" i="8"/>
  <c r="TSQ116" i="8"/>
  <c r="TSP116" i="8"/>
  <c r="TSO116" i="8"/>
  <c r="TSN116" i="8"/>
  <c r="TSM116" i="8"/>
  <c r="TSL116" i="8"/>
  <c r="TSK116" i="8"/>
  <c r="TSJ116" i="8"/>
  <c r="TSI116" i="8"/>
  <c r="TSH116" i="8"/>
  <c r="TSG116" i="8"/>
  <c r="TSF116" i="8"/>
  <c r="TSE116" i="8"/>
  <c r="TSD116" i="8"/>
  <c r="TSC116" i="8"/>
  <c r="TSB116" i="8"/>
  <c r="TSA116" i="8"/>
  <c r="TRZ116" i="8"/>
  <c r="TRY116" i="8"/>
  <c r="TRX116" i="8"/>
  <c r="TRW116" i="8"/>
  <c r="TRV116" i="8"/>
  <c r="TRU116" i="8"/>
  <c r="TRT116" i="8"/>
  <c r="TRS116" i="8"/>
  <c r="TRR116" i="8"/>
  <c r="TRQ116" i="8"/>
  <c r="TRP116" i="8"/>
  <c r="TRO116" i="8"/>
  <c r="TRN116" i="8"/>
  <c r="TRM116" i="8"/>
  <c r="TRL116" i="8"/>
  <c r="TRK116" i="8"/>
  <c r="TRJ116" i="8"/>
  <c r="TRI116" i="8"/>
  <c r="TRH116" i="8"/>
  <c r="TRG116" i="8"/>
  <c r="TRF116" i="8"/>
  <c r="TRE116" i="8"/>
  <c r="TRD116" i="8"/>
  <c r="TRC116" i="8"/>
  <c r="TRB116" i="8"/>
  <c r="TRA116" i="8"/>
  <c r="TQZ116" i="8"/>
  <c r="TQY116" i="8"/>
  <c r="TQX116" i="8"/>
  <c r="TQW116" i="8"/>
  <c r="TQV116" i="8"/>
  <c r="TQU116" i="8"/>
  <c r="TQT116" i="8"/>
  <c r="TQS116" i="8"/>
  <c r="TQR116" i="8"/>
  <c r="TQQ116" i="8"/>
  <c r="TQP116" i="8"/>
  <c r="TQO116" i="8"/>
  <c r="TQN116" i="8"/>
  <c r="TQM116" i="8"/>
  <c r="TQL116" i="8"/>
  <c r="TQK116" i="8"/>
  <c r="TQJ116" i="8"/>
  <c r="TQI116" i="8"/>
  <c r="TQH116" i="8"/>
  <c r="TQG116" i="8"/>
  <c r="TQF116" i="8"/>
  <c r="TQE116" i="8"/>
  <c r="TQD116" i="8"/>
  <c r="TQC116" i="8"/>
  <c r="TQB116" i="8"/>
  <c r="TQA116" i="8"/>
  <c r="TPZ116" i="8"/>
  <c r="TPY116" i="8"/>
  <c r="TPX116" i="8"/>
  <c r="TPW116" i="8"/>
  <c r="TPV116" i="8"/>
  <c r="TPU116" i="8"/>
  <c r="TPT116" i="8"/>
  <c r="TPS116" i="8"/>
  <c r="TPR116" i="8"/>
  <c r="TPQ116" i="8"/>
  <c r="TPP116" i="8"/>
  <c r="TPO116" i="8"/>
  <c r="TPN116" i="8"/>
  <c r="TPM116" i="8"/>
  <c r="TPL116" i="8"/>
  <c r="TPK116" i="8"/>
  <c r="TPJ116" i="8"/>
  <c r="TPI116" i="8"/>
  <c r="TPH116" i="8"/>
  <c r="TPG116" i="8"/>
  <c r="TPF116" i="8"/>
  <c r="TPE116" i="8"/>
  <c r="TPD116" i="8"/>
  <c r="TPC116" i="8"/>
  <c r="TPB116" i="8"/>
  <c r="TPA116" i="8"/>
  <c r="TOZ116" i="8"/>
  <c r="TOY116" i="8"/>
  <c r="TOX116" i="8"/>
  <c r="TOW116" i="8"/>
  <c r="TOV116" i="8"/>
  <c r="TOU116" i="8"/>
  <c r="TOT116" i="8"/>
  <c r="TOS116" i="8"/>
  <c r="TOR116" i="8"/>
  <c r="TOQ116" i="8"/>
  <c r="TOP116" i="8"/>
  <c r="TOO116" i="8"/>
  <c r="TON116" i="8"/>
  <c r="TOM116" i="8"/>
  <c r="TOL116" i="8"/>
  <c r="TOK116" i="8"/>
  <c r="TOJ116" i="8"/>
  <c r="TOI116" i="8"/>
  <c r="TOH116" i="8"/>
  <c r="TOG116" i="8"/>
  <c r="TOF116" i="8"/>
  <c r="TOE116" i="8"/>
  <c r="TOD116" i="8"/>
  <c r="TOC116" i="8"/>
  <c r="TOB116" i="8"/>
  <c r="TOA116" i="8"/>
  <c r="TNZ116" i="8"/>
  <c r="TNY116" i="8"/>
  <c r="TNX116" i="8"/>
  <c r="TNW116" i="8"/>
  <c r="TNV116" i="8"/>
  <c r="TNU116" i="8"/>
  <c r="TNT116" i="8"/>
  <c r="TNS116" i="8"/>
  <c r="TNR116" i="8"/>
  <c r="TNQ116" i="8"/>
  <c r="TNP116" i="8"/>
  <c r="TNO116" i="8"/>
  <c r="TNN116" i="8"/>
  <c r="TNM116" i="8"/>
  <c r="TNL116" i="8"/>
  <c r="TNK116" i="8"/>
  <c r="TNJ116" i="8"/>
  <c r="TNI116" i="8"/>
  <c r="TNH116" i="8"/>
  <c r="TNG116" i="8"/>
  <c r="TNF116" i="8"/>
  <c r="TNE116" i="8"/>
  <c r="TND116" i="8"/>
  <c r="TNC116" i="8"/>
  <c r="TNB116" i="8"/>
  <c r="TNA116" i="8"/>
  <c r="TMZ116" i="8"/>
  <c r="TMY116" i="8"/>
  <c r="TMX116" i="8"/>
  <c r="TMW116" i="8"/>
  <c r="TMV116" i="8"/>
  <c r="TMU116" i="8"/>
  <c r="TMT116" i="8"/>
  <c r="TMS116" i="8"/>
  <c r="TMR116" i="8"/>
  <c r="TMQ116" i="8"/>
  <c r="TMP116" i="8"/>
  <c r="TMO116" i="8"/>
  <c r="TMN116" i="8"/>
  <c r="TMM116" i="8"/>
  <c r="TML116" i="8"/>
  <c r="TMK116" i="8"/>
  <c r="TMJ116" i="8"/>
  <c r="TMI116" i="8"/>
  <c r="TMH116" i="8"/>
  <c r="TMG116" i="8"/>
  <c r="TMF116" i="8"/>
  <c r="TME116" i="8"/>
  <c r="TMD116" i="8"/>
  <c r="TMC116" i="8"/>
  <c r="TMB116" i="8"/>
  <c r="TMA116" i="8"/>
  <c r="TLZ116" i="8"/>
  <c r="TLY116" i="8"/>
  <c r="TLX116" i="8"/>
  <c r="TLW116" i="8"/>
  <c r="TLV116" i="8"/>
  <c r="TLU116" i="8"/>
  <c r="TLT116" i="8"/>
  <c r="TLS116" i="8"/>
  <c r="TLR116" i="8"/>
  <c r="TLQ116" i="8"/>
  <c r="TLP116" i="8"/>
  <c r="TLO116" i="8"/>
  <c r="TLN116" i="8"/>
  <c r="TLM116" i="8"/>
  <c r="TLL116" i="8"/>
  <c r="TLK116" i="8"/>
  <c r="TLJ116" i="8"/>
  <c r="TLI116" i="8"/>
  <c r="TLH116" i="8"/>
  <c r="TLG116" i="8"/>
  <c r="TLF116" i="8"/>
  <c r="TLE116" i="8"/>
  <c r="TLD116" i="8"/>
  <c r="TLC116" i="8"/>
  <c r="TLB116" i="8"/>
  <c r="TLA116" i="8"/>
  <c r="TKZ116" i="8"/>
  <c r="TKY116" i="8"/>
  <c r="TKX116" i="8"/>
  <c r="TKW116" i="8"/>
  <c r="TKV116" i="8"/>
  <c r="TKU116" i="8"/>
  <c r="TKT116" i="8"/>
  <c r="TKS116" i="8"/>
  <c r="TKR116" i="8"/>
  <c r="TKQ116" i="8"/>
  <c r="TKP116" i="8"/>
  <c r="TKO116" i="8"/>
  <c r="TKN116" i="8"/>
  <c r="TKM116" i="8"/>
  <c r="TKL116" i="8"/>
  <c r="TKK116" i="8"/>
  <c r="TKJ116" i="8"/>
  <c r="TKI116" i="8"/>
  <c r="TKH116" i="8"/>
  <c r="TKG116" i="8"/>
  <c r="TKF116" i="8"/>
  <c r="TKE116" i="8"/>
  <c r="TKD116" i="8"/>
  <c r="TKC116" i="8"/>
  <c r="TKB116" i="8"/>
  <c r="TKA116" i="8"/>
  <c r="TJZ116" i="8"/>
  <c r="TJY116" i="8"/>
  <c r="TJX116" i="8"/>
  <c r="TJW116" i="8"/>
  <c r="TJV116" i="8"/>
  <c r="TJU116" i="8"/>
  <c r="TJT116" i="8"/>
  <c r="TJS116" i="8"/>
  <c r="TJR116" i="8"/>
  <c r="TJQ116" i="8"/>
  <c r="TJP116" i="8"/>
  <c r="TJO116" i="8"/>
  <c r="TJN116" i="8"/>
  <c r="TJM116" i="8"/>
  <c r="TJL116" i="8"/>
  <c r="TJK116" i="8"/>
  <c r="TJJ116" i="8"/>
  <c r="TJI116" i="8"/>
  <c r="TJH116" i="8"/>
  <c r="TJG116" i="8"/>
  <c r="TJF116" i="8"/>
  <c r="TJE116" i="8"/>
  <c r="TJD116" i="8"/>
  <c r="TJC116" i="8"/>
  <c r="TJB116" i="8"/>
  <c r="TJA116" i="8"/>
  <c r="TIZ116" i="8"/>
  <c r="TIY116" i="8"/>
  <c r="TIX116" i="8"/>
  <c r="TIW116" i="8"/>
  <c r="TIV116" i="8"/>
  <c r="TIU116" i="8"/>
  <c r="TIT116" i="8"/>
  <c r="TIS116" i="8"/>
  <c r="TIR116" i="8"/>
  <c r="TIQ116" i="8"/>
  <c r="TIP116" i="8"/>
  <c r="TIO116" i="8"/>
  <c r="TIN116" i="8"/>
  <c r="TIM116" i="8"/>
  <c r="TIL116" i="8"/>
  <c r="TIK116" i="8"/>
  <c r="TIJ116" i="8"/>
  <c r="TII116" i="8"/>
  <c r="TIH116" i="8"/>
  <c r="TIG116" i="8"/>
  <c r="TIF116" i="8"/>
  <c r="TIE116" i="8"/>
  <c r="TID116" i="8"/>
  <c r="TIC116" i="8"/>
  <c r="TIB116" i="8"/>
  <c r="TIA116" i="8"/>
  <c r="THZ116" i="8"/>
  <c r="THY116" i="8"/>
  <c r="THX116" i="8"/>
  <c r="THW116" i="8"/>
  <c r="THV116" i="8"/>
  <c r="THU116" i="8"/>
  <c r="THT116" i="8"/>
  <c r="THS116" i="8"/>
  <c r="THR116" i="8"/>
  <c r="THQ116" i="8"/>
  <c r="THP116" i="8"/>
  <c r="THO116" i="8"/>
  <c r="THN116" i="8"/>
  <c r="THM116" i="8"/>
  <c r="THL116" i="8"/>
  <c r="THK116" i="8"/>
  <c r="THJ116" i="8"/>
  <c r="THI116" i="8"/>
  <c r="THH116" i="8"/>
  <c r="THG116" i="8"/>
  <c r="THF116" i="8"/>
  <c r="THE116" i="8"/>
  <c r="THD116" i="8"/>
  <c r="THC116" i="8"/>
  <c r="THB116" i="8"/>
  <c r="THA116" i="8"/>
  <c r="TGZ116" i="8"/>
  <c r="TGY116" i="8"/>
  <c r="TGX116" i="8"/>
  <c r="TGW116" i="8"/>
  <c r="TGV116" i="8"/>
  <c r="TGU116" i="8"/>
  <c r="TGT116" i="8"/>
  <c r="TGS116" i="8"/>
  <c r="TGR116" i="8"/>
  <c r="TGQ116" i="8"/>
  <c r="TGP116" i="8"/>
  <c r="TGO116" i="8"/>
  <c r="TGN116" i="8"/>
  <c r="TGM116" i="8"/>
  <c r="TGL116" i="8"/>
  <c r="TGK116" i="8"/>
  <c r="TGJ116" i="8"/>
  <c r="TGI116" i="8"/>
  <c r="TGH116" i="8"/>
  <c r="TGG116" i="8"/>
  <c r="TGF116" i="8"/>
  <c r="TGE116" i="8"/>
  <c r="TGD116" i="8"/>
  <c r="TGC116" i="8"/>
  <c r="TGB116" i="8"/>
  <c r="TGA116" i="8"/>
  <c r="TFZ116" i="8"/>
  <c r="TFY116" i="8"/>
  <c r="TFX116" i="8"/>
  <c r="TFW116" i="8"/>
  <c r="TFV116" i="8"/>
  <c r="TFU116" i="8"/>
  <c r="TFT116" i="8"/>
  <c r="TFS116" i="8"/>
  <c r="TFR116" i="8"/>
  <c r="TFQ116" i="8"/>
  <c r="TFP116" i="8"/>
  <c r="TFO116" i="8"/>
  <c r="TFN116" i="8"/>
  <c r="TFM116" i="8"/>
  <c r="TFL116" i="8"/>
  <c r="TFK116" i="8"/>
  <c r="TFJ116" i="8"/>
  <c r="TFI116" i="8"/>
  <c r="TFH116" i="8"/>
  <c r="TFG116" i="8"/>
  <c r="TFF116" i="8"/>
  <c r="TFE116" i="8"/>
  <c r="TFD116" i="8"/>
  <c r="TFC116" i="8"/>
  <c r="TFB116" i="8"/>
  <c r="TFA116" i="8"/>
  <c r="TEZ116" i="8"/>
  <c r="TEY116" i="8"/>
  <c r="TEX116" i="8"/>
  <c r="TEW116" i="8"/>
  <c r="TEV116" i="8"/>
  <c r="TEU116" i="8"/>
  <c r="TET116" i="8"/>
  <c r="TES116" i="8"/>
  <c r="TER116" i="8"/>
  <c r="TEQ116" i="8"/>
  <c r="TEP116" i="8"/>
  <c r="TEO116" i="8"/>
  <c r="TEN116" i="8"/>
  <c r="TEM116" i="8"/>
  <c r="TEL116" i="8"/>
  <c r="TEK116" i="8"/>
  <c r="TEJ116" i="8"/>
  <c r="TEI116" i="8"/>
  <c r="TEH116" i="8"/>
  <c r="TEG116" i="8"/>
  <c r="TEF116" i="8"/>
  <c r="TEE116" i="8"/>
  <c r="TED116" i="8"/>
  <c r="TEC116" i="8"/>
  <c r="TEB116" i="8"/>
  <c r="TEA116" i="8"/>
  <c r="TDZ116" i="8"/>
  <c r="TDY116" i="8"/>
  <c r="TDX116" i="8"/>
  <c r="TDW116" i="8"/>
  <c r="TDV116" i="8"/>
  <c r="TDU116" i="8"/>
  <c r="TDT116" i="8"/>
  <c r="TDS116" i="8"/>
  <c r="TDR116" i="8"/>
  <c r="TDQ116" i="8"/>
  <c r="TDP116" i="8"/>
  <c r="TDO116" i="8"/>
  <c r="TDN116" i="8"/>
  <c r="TDM116" i="8"/>
  <c r="TDL116" i="8"/>
  <c r="TDK116" i="8"/>
  <c r="TDJ116" i="8"/>
  <c r="TDI116" i="8"/>
  <c r="TDH116" i="8"/>
  <c r="TDG116" i="8"/>
  <c r="TDF116" i="8"/>
  <c r="TDE116" i="8"/>
  <c r="TDD116" i="8"/>
  <c r="TDC116" i="8"/>
  <c r="TDB116" i="8"/>
  <c r="TDA116" i="8"/>
  <c r="TCZ116" i="8"/>
  <c r="TCY116" i="8"/>
  <c r="TCX116" i="8"/>
  <c r="TCW116" i="8"/>
  <c r="TCV116" i="8"/>
  <c r="TCU116" i="8"/>
  <c r="TCT116" i="8"/>
  <c r="TCS116" i="8"/>
  <c r="TCR116" i="8"/>
  <c r="TCQ116" i="8"/>
  <c r="TCP116" i="8"/>
  <c r="TCO116" i="8"/>
  <c r="TCN116" i="8"/>
  <c r="TCM116" i="8"/>
  <c r="TCL116" i="8"/>
  <c r="TCK116" i="8"/>
  <c r="TCJ116" i="8"/>
  <c r="TCI116" i="8"/>
  <c r="TCH116" i="8"/>
  <c r="TCG116" i="8"/>
  <c r="TCF116" i="8"/>
  <c r="TCE116" i="8"/>
  <c r="TCD116" i="8"/>
  <c r="TCC116" i="8"/>
  <c r="TCB116" i="8"/>
  <c r="TCA116" i="8"/>
  <c r="TBZ116" i="8"/>
  <c r="TBY116" i="8"/>
  <c r="TBX116" i="8"/>
  <c r="TBW116" i="8"/>
  <c r="TBV116" i="8"/>
  <c r="TBU116" i="8"/>
  <c r="TBT116" i="8"/>
  <c r="TBS116" i="8"/>
  <c r="TBR116" i="8"/>
  <c r="TBQ116" i="8"/>
  <c r="TBP116" i="8"/>
  <c r="TBO116" i="8"/>
  <c r="TBN116" i="8"/>
  <c r="TBM116" i="8"/>
  <c r="TBL116" i="8"/>
  <c r="TBK116" i="8"/>
  <c r="TBJ116" i="8"/>
  <c r="TBI116" i="8"/>
  <c r="TBH116" i="8"/>
  <c r="TBG116" i="8"/>
  <c r="TBF116" i="8"/>
  <c r="TBE116" i="8"/>
  <c r="TBD116" i="8"/>
  <c r="TBC116" i="8"/>
  <c r="TBB116" i="8"/>
  <c r="TBA116" i="8"/>
  <c r="TAZ116" i="8"/>
  <c r="TAY116" i="8"/>
  <c r="TAX116" i="8"/>
  <c r="TAW116" i="8"/>
  <c r="TAV116" i="8"/>
  <c r="TAU116" i="8"/>
  <c r="TAT116" i="8"/>
  <c r="TAS116" i="8"/>
  <c r="TAR116" i="8"/>
  <c r="TAQ116" i="8"/>
  <c r="TAP116" i="8"/>
  <c r="TAO116" i="8"/>
  <c r="TAN116" i="8"/>
  <c r="TAM116" i="8"/>
  <c r="TAL116" i="8"/>
  <c r="TAK116" i="8"/>
  <c r="TAJ116" i="8"/>
  <c r="TAI116" i="8"/>
  <c r="TAH116" i="8"/>
  <c r="TAG116" i="8"/>
  <c r="TAF116" i="8"/>
  <c r="TAE116" i="8"/>
  <c r="TAD116" i="8"/>
  <c r="TAC116" i="8"/>
  <c r="TAB116" i="8"/>
  <c r="TAA116" i="8"/>
  <c r="SZZ116" i="8"/>
  <c r="SZY116" i="8"/>
  <c r="SZX116" i="8"/>
  <c r="SZW116" i="8"/>
  <c r="SZV116" i="8"/>
  <c r="SZU116" i="8"/>
  <c r="SZT116" i="8"/>
  <c r="SZS116" i="8"/>
  <c r="SZR116" i="8"/>
  <c r="SZQ116" i="8"/>
  <c r="SZP116" i="8"/>
  <c r="SZO116" i="8"/>
  <c r="SZN116" i="8"/>
  <c r="SZM116" i="8"/>
  <c r="SZL116" i="8"/>
  <c r="SZK116" i="8"/>
  <c r="SZJ116" i="8"/>
  <c r="SZI116" i="8"/>
  <c r="SZH116" i="8"/>
  <c r="SZG116" i="8"/>
  <c r="SZF116" i="8"/>
  <c r="SZE116" i="8"/>
  <c r="SZD116" i="8"/>
  <c r="SZC116" i="8"/>
  <c r="SZB116" i="8"/>
  <c r="SZA116" i="8"/>
  <c r="SYZ116" i="8"/>
  <c r="SYY116" i="8"/>
  <c r="SYX116" i="8"/>
  <c r="SYW116" i="8"/>
  <c r="SYV116" i="8"/>
  <c r="SYU116" i="8"/>
  <c r="SYT116" i="8"/>
  <c r="SYS116" i="8"/>
  <c r="SYR116" i="8"/>
  <c r="SYQ116" i="8"/>
  <c r="SYP116" i="8"/>
  <c r="SYO116" i="8"/>
  <c r="SYN116" i="8"/>
  <c r="SYM116" i="8"/>
  <c r="SYL116" i="8"/>
  <c r="SYK116" i="8"/>
  <c r="SYJ116" i="8"/>
  <c r="SYI116" i="8"/>
  <c r="SYH116" i="8"/>
  <c r="SYG116" i="8"/>
  <c r="SYF116" i="8"/>
  <c r="SYE116" i="8"/>
  <c r="SYD116" i="8"/>
  <c r="SYC116" i="8"/>
  <c r="SYB116" i="8"/>
  <c r="SYA116" i="8"/>
  <c r="SXZ116" i="8"/>
  <c r="SXY116" i="8"/>
  <c r="SXX116" i="8"/>
  <c r="SXW116" i="8"/>
  <c r="SXV116" i="8"/>
  <c r="SXU116" i="8"/>
  <c r="SXT116" i="8"/>
  <c r="SXS116" i="8"/>
  <c r="SXR116" i="8"/>
  <c r="SXQ116" i="8"/>
  <c r="SXP116" i="8"/>
  <c r="SXO116" i="8"/>
  <c r="SXN116" i="8"/>
  <c r="SXM116" i="8"/>
  <c r="SXL116" i="8"/>
  <c r="SXK116" i="8"/>
  <c r="SXJ116" i="8"/>
  <c r="SXI116" i="8"/>
  <c r="SXH116" i="8"/>
  <c r="SXG116" i="8"/>
  <c r="SXF116" i="8"/>
  <c r="SXE116" i="8"/>
  <c r="SXD116" i="8"/>
  <c r="SXC116" i="8"/>
  <c r="SXB116" i="8"/>
  <c r="SXA116" i="8"/>
  <c r="SWZ116" i="8"/>
  <c r="SWY116" i="8"/>
  <c r="SWX116" i="8"/>
  <c r="SWW116" i="8"/>
  <c r="SWV116" i="8"/>
  <c r="SWU116" i="8"/>
  <c r="SWT116" i="8"/>
  <c r="SWS116" i="8"/>
  <c r="SWR116" i="8"/>
  <c r="SWQ116" i="8"/>
  <c r="SWP116" i="8"/>
  <c r="SWO116" i="8"/>
  <c r="SWN116" i="8"/>
  <c r="SWM116" i="8"/>
  <c r="SWL116" i="8"/>
  <c r="SWK116" i="8"/>
  <c r="SWJ116" i="8"/>
  <c r="SWI116" i="8"/>
  <c r="SWH116" i="8"/>
  <c r="SWG116" i="8"/>
  <c r="SWF116" i="8"/>
  <c r="SWE116" i="8"/>
  <c r="SWD116" i="8"/>
  <c r="SWC116" i="8"/>
  <c r="SWB116" i="8"/>
  <c r="SWA116" i="8"/>
  <c r="SVZ116" i="8"/>
  <c r="SVY116" i="8"/>
  <c r="SVX116" i="8"/>
  <c r="SVW116" i="8"/>
  <c r="SVV116" i="8"/>
  <c r="SVU116" i="8"/>
  <c r="SVT116" i="8"/>
  <c r="SVS116" i="8"/>
  <c r="SVR116" i="8"/>
  <c r="SVQ116" i="8"/>
  <c r="SVP116" i="8"/>
  <c r="SVO116" i="8"/>
  <c r="SVN116" i="8"/>
  <c r="SVM116" i="8"/>
  <c r="SVL116" i="8"/>
  <c r="SVK116" i="8"/>
  <c r="SVJ116" i="8"/>
  <c r="SVI116" i="8"/>
  <c r="SVH116" i="8"/>
  <c r="SVG116" i="8"/>
  <c r="SVF116" i="8"/>
  <c r="SVE116" i="8"/>
  <c r="SVD116" i="8"/>
  <c r="SVC116" i="8"/>
  <c r="SVB116" i="8"/>
  <c r="SVA116" i="8"/>
  <c r="SUZ116" i="8"/>
  <c r="SUY116" i="8"/>
  <c r="SUX116" i="8"/>
  <c r="SUW116" i="8"/>
  <c r="SUV116" i="8"/>
  <c r="SUU116" i="8"/>
  <c r="SUT116" i="8"/>
  <c r="SUS116" i="8"/>
  <c r="SUR116" i="8"/>
  <c r="SUQ116" i="8"/>
  <c r="SUP116" i="8"/>
  <c r="SUO116" i="8"/>
  <c r="SUN116" i="8"/>
  <c r="SUM116" i="8"/>
  <c r="SUL116" i="8"/>
  <c r="SUK116" i="8"/>
  <c r="SUJ116" i="8"/>
  <c r="SUI116" i="8"/>
  <c r="SUH116" i="8"/>
  <c r="SUG116" i="8"/>
  <c r="SUF116" i="8"/>
  <c r="SUE116" i="8"/>
  <c r="SUD116" i="8"/>
  <c r="SUC116" i="8"/>
  <c r="SUB116" i="8"/>
  <c r="SUA116" i="8"/>
  <c r="STZ116" i="8"/>
  <c r="STY116" i="8"/>
  <c r="STX116" i="8"/>
  <c r="STW116" i="8"/>
  <c r="STV116" i="8"/>
  <c r="STU116" i="8"/>
  <c r="STT116" i="8"/>
  <c r="STS116" i="8"/>
  <c r="STR116" i="8"/>
  <c r="STQ116" i="8"/>
  <c r="STP116" i="8"/>
  <c r="STO116" i="8"/>
  <c r="STN116" i="8"/>
  <c r="STM116" i="8"/>
  <c r="STL116" i="8"/>
  <c r="STK116" i="8"/>
  <c r="STJ116" i="8"/>
  <c r="STI116" i="8"/>
  <c r="STH116" i="8"/>
  <c r="STG116" i="8"/>
  <c r="STF116" i="8"/>
  <c r="STE116" i="8"/>
  <c r="STD116" i="8"/>
  <c r="STC116" i="8"/>
  <c r="STB116" i="8"/>
  <c r="SSZ116" i="8"/>
  <c r="SSY116" i="8"/>
  <c r="SSX116" i="8"/>
  <c r="SSW116" i="8"/>
  <c r="SSV116" i="8"/>
  <c r="SSU116" i="8"/>
  <c r="SST116" i="8"/>
  <c r="SSS116" i="8"/>
  <c r="SSR116" i="8"/>
  <c r="SSQ116" i="8"/>
  <c r="SSP116" i="8"/>
  <c r="SSO116" i="8"/>
  <c r="SSN116" i="8"/>
  <c r="SSM116" i="8"/>
  <c r="SSL116" i="8"/>
  <c r="SSK116" i="8"/>
  <c r="SSJ116" i="8"/>
  <c r="SSI116" i="8"/>
  <c r="SSH116" i="8"/>
  <c r="SSG116" i="8"/>
  <c r="SSF116" i="8"/>
  <c r="SSE116" i="8"/>
  <c r="SSD116" i="8"/>
  <c r="SSC116" i="8"/>
  <c r="SSB116" i="8"/>
  <c r="SSA116" i="8"/>
  <c r="SRZ116" i="8"/>
  <c r="SRY116" i="8"/>
  <c r="SRX116" i="8"/>
  <c r="SRW116" i="8"/>
  <c r="SRV116" i="8"/>
  <c r="SRU116" i="8"/>
  <c r="SRT116" i="8"/>
  <c r="SRS116" i="8"/>
  <c r="SRR116" i="8"/>
  <c r="SRQ116" i="8"/>
  <c r="SRP116" i="8"/>
  <c r="SRO116" i="8"/>
  <c r="SRN116" i="8"/>
  <c r="SRM116" i="8"/>
  <c r="SRL116" i="8"/>
  <c r="SRK116" i="8"/>
  <c r="SRJ116" i="8"/>
  <c r="SRI116" i="8"/>
  <c r="SRH116" i="8"/>
  <c r="SRG116" i="8"/>
  <c r="SRF116" i="8"/>
  <c r="SRE116" i="8"/>
  <c r="SRD116" i="8"/>
  <c r="SRC116" i="8"/>
  <c r="SRB116" i="8"/>
  <c r="SRA116" i="8"/>
  <c r="SQZ116" i="8"/>
  <c r="SQY116" i="8"/>
  <c r="SQX116" i="8"/>
  <c r="SQW116" i="8"/>
  <c r="SQV116" i="8"/>
  <c r="SQU116" i="8"/>
  <c r="SQT116" i="8"/>
  <c r="SQS116" i="8"/>
  <c r="SQR116" i="8"/>
  <c r="SQQ116" i="8"/>
  <c r="SQP116" i="8"/>
  <c r="SQO116" i="8"/>
  <c r="SQN116" i="8"/>
  <c r="SQM116" i="8"/>
  <c r="SQL116" i="8"/>
  <c r="SQK116" i="8"/>
  <c r="SQJ116" i="8"/>
  <c r="SQI116" i="8"/>
  <c r="SQH116" i="8"/>
  <c r="SQG116" i="8"/>
  <c r="SQF116" i="8"/>
  <c r="SQE116" i="8"/>
  <c r="SQD116" i="8"/>
  <c r="SQC116" i="8"/>
  <c r="SQB116" i="8"/>
  <c r="SQA116" i="8"/>
  <c r="SPZ116" i="8"/>
  <c r="SPY116" i="8"/>
  <c r="SPX116" i="8"/>
  <c r="SPW116" i="8"/>
  <c r="SPV116" i="8"/>
  <c r="SPU116" i="8"/>
  <c r="SPT116" i="8"/>
  <c r="SPS116" i="8"/>
  <c r="SPR116" i="8"/>
  <c r="SPQ116" i="8"/>
  <c r="SPP116" i="8"/>
  <c r="SPO116" i="8"/>
  <c r="SPN116" i="8"/>
  <c r="SPM116" i="8"/>
  <c r="SPL116" i="8"/>
  <c r="SPK116" i="8"/>
  <c r="SPJ116" i="8"/>
  <c r="SPI116" i="8"/>
  <c r="SPH116" i="8"/>
  <c r="SPG116" i="8"/>
  <c r="SPF116" i="8"/>
  <c r="SPE116" i="8"/>
  <c r="SPD116" i="8"/>
  <c r="SPC116" i="8"/>
  <c r="SPB116" i="8"/>
  <c r="SPA116" i="8"/>
  <c r="SOZ116" i="8"/>
  <c r="SOY116" i="8"/>
  <c r="SOX116" i="8"/>
  <c r="SOW116" i="8"/>
  <c r="SOV116" i="8"/>
  <c r="SOU116" i="8"/>
  <c r="SOT116" i="8"/>
  <c r="SOS116" i="8"/>
  <c r="SOR116" i="8"/>
  <c r="SOQ116" i="8"/>
  <c r="SOP116" i="8"/>
  <c r="SOO116" i="8"/>
  <c r="SON116" i="8"/>
  <c r="SOM116" i="8"/>
  <c r="SOL116" i="8"/>
  <c r="SOK116" i="8"/>
  <c r="SOJ116" i="8"/>
  <c r="SOI116" i="8"/>
  <c r="SOH116" i="8"/>
  <c r="SOG116" i="8"/>
  <c r="SOF116" i="8"/>
  <c r="SOE116" i="8"/>
  <c r="SOD116" i="8"/>
  <c r="SOC116" i="8"/>
  <c r="SOB116" i="8"/>
  <c r="SOA116" i="8"/>
  <c r="SNZ116" i="8"/>
  <c r="SNY116" i="8"/>
  <c r="SNX116" i="8"/>
  <c r="SNW116" i="8"/>
  <c r="SNV116" i="8"/>
  <c r="SNU116" i="8"/>
  <c r="SNT116" i="8"/>
  <c r="SNS116" i="8"/>
  <c r="SNR116" i="8"/>
  <c r="SNQ116" i="8"/>
  <c r="SNP116" i="8"/>
  <c r="SNO116" i="8"/>
  <c r="SNN116" i="8"/>
  <c r="SNM116" i="8"/>
  <c r="SNL116" i="8"/>
  <c r="SNK116" i="8"/>
  <c r="SNJ116" i="8"/>
  <c r="SNI116" i="8"/>
  <c r="SNH116" i="8"/>
  <c r="SNG116" i="8"/>
  <c r="SNF116" i="8"/>
  <c r="SNE116" i="8"/>
  <c r="SND116" i="8"/>
  <c r="SNC116" i="8"/>
  <c r="SNB116" i="8"/>
  <c r="SNA116" i="8"/>
  <c r="SMZ116" i="8"/>
  <c r="SMY116" i="8"/>
  <c r="SMX116" i="8"/>
  <c r="SMW116" i="8"/>
  <c r="SMV116" i="8"/>
  <c r="SMU116" i="8"/>
  <c r="SMT116" i="8"/>
  <c r="SMS116" i="8"/>
  <c r="SMR116" i="8"/>
  <c r="SMQ116" i="8"/>
  <c r="SMP116" i="8"/>
  <c r="SMO116" i="8"/>
  <c r="SMN116" i="8"/>
  <c r="SMM116" i="8"/>
  <c r="SML116" i="8"/>
  <c r="SMK116" i="8"/>
  <c r="SMJ116" i="8"/>
  <c r="SMI116" i="8"/>
  <c r="SMH116" i="8"/>
  <c r="SMG116" i="8"/>
  <c r="SMF116" i="8"/>
  <c r="SME116" i="8"/>
  <c r="SMD116" i="8"/>
  <c r="SMC116" i="8"/>
  <c r="SMB116" i="8"/>
  <c r="SMA116" i="8"/>
  <c r="SLZ116" i="8"/>
  <c r="SLY116" i="8"/>
  <c r="SLX116" i="8"/>
  <c r="SLW116" i="8"/>
  <c r="SLV116" i="8"/>
  <c r="SLU116" i="8"/>
  <c r="SLT116" i="8"/>
  <c r="SLS116" i="8"/>
  <c r="SLR116" i="8"/>
  <c r="SLQ116" i="8"/>
  <c r="SLP116" i="8"/>
  <c r="SLO116" i="8"/>
  <c r="SLN116" i="8"/>
  <c r="SLM116" i="8"/>
  <c r="SLL116" i="8"/>
  <c r="SLK116" i="8"/>
  <c r="SLJ116" i="8"/>
  <c r="SLI116" i="8"/>
  <c r="SLH116" i="8"/>
  <c r="SLG116" i="8"/>
  <c r="SLF116" i="8"/>
  <c r="SLE116" i="8"/>
  <c r="SLD116" i="8"/>
  <c r="SLC116" i="8"/>
  <c r="SLB116" i="8"/>
  <c r="SLA116" i="8"/>
  <c r="SKZ116" i="8"/>
  <c r="SKY116" i="8"/>
  <c r="SKX116" i="8"/>
  <c r="SKW116" i="8"/>
  <c r="SKV116" i="8"/>
  <c r="SKU116" i="8"/>
  <c r="SKT116" i="8"/>
  <c r="SKS116" i="8"/>
  <c r="SKR116" i="8"/>
  <c r="SKQ116" i="8"/>
  <c r="SKP116" i="8"/>
  <c r="SKO116" i="8"/>
  <c r="SKN116" i="8"/>
  <c r="SKM116" i="8"/>
  <c r="SKL116" i="8"/>
  <c r="SKK116" i="8"/>
  <c r="SKJ116" i="8"/>
  <c r="SKI116" i="8"/>
  <c r="SKH116" i="8"/>
  <c r="SKG116" i="8"/>
  <c r="SKF116" i="8"/>
  <c r="SKE116" i="8"/>
  <c r="SKD116" i="8"/>
  <c r="SKC116" i="8"/>
  <c r="SKB116" i="8"/>
  <c r="SKA116" i="8"/>
  <c r="SJZ116" i="8"/>
  <c r="SJY116" i="8"/>
  <c r="SJX116" i="8"/>
  <c r="SJW116" i="8"/>
  <c r="SJV116" i="8"/>
  <c r="SJU116" i="8"/>
  <c r="SJT116" i="8"/>
  <c r="SJS116" i="8"/>
  <c r="SJR116" i="8"/>
  <c r="SJQ116" i="8"/>
  <c r="SJP116" i="8"/>
  <c r="SJO116" i="8"/>
  <c r="SJN116" i="8"/>
  <c r="SJM116" i="8"/>
  <c r="SJL116" i="8"/>
  <c r="SJK116" i="8"/>
  <c r="SJJ116" i="8"/>
  <c r="SJI116" i="8"/>
  <c r="SJH116" i="8"/>
  <c r="SJG116" i="8"/>
  <c r="SJF116" i="8"/>
  <c r="SJE116" i="8"/>
  <c r="SJD116" i="8"/>
  <c r="SJC116" i="8"/>
  <c r="SJB116" i="8"/>
  <c r="SJA116" i="8"/>
  <c r="SIZ116" i="8"/>
  <c r="SIY116" i="8"/>
  <c r="SIX116" i="8"/>
  <c r="SIW116" i="8"/>
  <c r="SIV116" i="8"/>
  <c r="SIU116" i="8"/>
  <c r="SIT116" i="8"/>
  <c r="SIS116" i="8"/>
  <c r="SIR116" i="8"/>
  <c r="SIQ116" i="8"/>
  <c r="SIP116" i="8"/>
  <c r="SIO116" i="8"/>
  <c r="SIN116" i="8"/>
  <c r="SIM116" i="8"/>
  <c r="SIL116" i="8"/>
  <c r="SIK116" i="8"/>
  <c r="SIJ116" i="8"/>
  <c r="SII116" i="8"/>
  <c r="SIH116" i="8"/>
  <c r="SIG116" i="8"/>
  <c r="SIF116" i="8"/>
  <c r="SIE116" i="8"/>
  <c r="SID116" i="8"/>
  <c r="SIC116" i="8"/>
  <c r="SIB116" i="8"/>
  <c r="SIA116" i="8"/>
  <c r="SHZ116" i="8"/>
  <c r="SHY116" i="8"/>
  <c r="SHX116" i="8"/>
  <c r="SHW116" i="8"/>
  <c r="SHV116" i="8"/>
  <c r="SHU116" i="8"/>
  <c r="SHT116" i="8"/>
  <c r="SHS116" i="8"/>
  <c r="SHR116" i="8"/>
  <c r="SHQ116" i="8"/>
  <c r="SHP116" i="8"/>
  <c r="SHO116" i="8"/>
  <c r="SHN116" i="8"/>
  <c r="SHM116" i="8"/>
  <c r="SHL116" i="8"/>
  <c r="SHK116" i="8"/>
  <c r="SHJ116" i="8"/>
  <c r="SHI116" i="8"/>
  <c r="SHH116" i="8"/>
  <c r="SHG116" i="8"/>
  <c r="SHF116" i="8"/>
  <c r="SHE116" i="8"/>
  <c r="SHD116" i="8"/>
  <c r="SHC116" i="8"/>
  <c r="SHB116" i="8"/>
  <c r="SHA116" i="8"/>
  <c r="SGZ116" i="8"/>
  <c r="SGY116" i="8"/>
  <c r="SGX116" i="8"/>
  <c r="SGW116" i="8"/>
  <c r="SGV116" i="8"/>
  <c r="SGU116" i="8"/>
  <c r="SGT116" i="8"/>
  <c r="SGS116" i="8"/>
  <c r="SGR116" i="8"/>
  <c r="SGQ116" i="8"/>
  <c r="SGP116" i="8"/>
  <c r="SGO116" i="8"/>
  <c r="SGN116" i="8"/>
  <c r="SGM116" i="8"/>
  <c r="SGL116" i="8"/>
  <c r="SGK116" i="8"/>
  <c r="SGJ116" i="8"/>
  <c r="SGI116" i="8"/>
  <c r="SGH116" i="8"/>
  <c r="SGG116" i="8"/>
  <c r="SGF116" i="8"/>
  <c r="SGE116" i="8"/>
  <c r="SGD116" i="8"/>
  <c r="SGC116" i="8"/>
  <c r="SGB116" i="8"/>
  <c r="SGA116" i="8"/>
  <c r="SFZ116" i="8"/>
  <c r="SFY116" i="8"/>
  <c r="SFX116" i="8"/>
  <c r="SFW116" i="8"/>
  <c r="SFV116" i="8"/>
  <c r="SFU116" i="8"/>
  <c r="SFT116" i="8"/>
  <c r="SFS116" i="8"/>
  <c r="SFR116" i="8"/>
  <c r="SFQ116" i="8"/>
  <c r="SFP116" i="8"/>
  <c r="SFO116" i="8"/>
  <c r="SFN116" i="8"/>
  <c r="SFM116" i="8"/>
  <c r="SFL116" i="8"/>
  <c r="SFK116" i="8"/>
  <c r="SFJ116" i="8"/>
  <c r="SFI116" i="8"/>
  <c r="SFH116" i="8"/>
  <c r="SFG116" i="8"/>
  <c r="SFF116" i="8"/>
  <c r="SFE116" i="8"/>
  <c r="SFD116" i="8"/>
  <c r="SFC116" i="8"/>
  <c r="SFB116" i="8"/>
  <c r="SFA116" i="8"/>
  <c r="SEZ116" i="8"/>
  <c r="SEY116" i="8"/>
  <c r="SEX116" i="8"/>
  <c r="SEW116" i="8"/>
  <c r="SEV116" i="8"/>
  <c r="SEU116" i="8"/>
  <c r="SET116" i="8"/>
  <c r="SES116" i="8"/>
  <c r="SER116" i="8"/>
  <c r="SEQ116" i="8"/>
  <c r="SEP116" i="8"/>
  <c r="SEO116" i="8"/>
  <c r="SEN116" i="8"/>
  <c r="SEM116" i="8"/>
  <c r="SEL116" i="8"/>
  <c r="SEK116" i="8"/>
  <c r="SEJ116" i="8"/>
  <c r="SEI116" i="8"/>
  <c r="SEH116" i="8"/>
  <c r="SEG116" i="8"/>
  <c r="SEF116" i="8"/>
  <c r="SEE116" i="8"/>
  <c r="SED116" i="8"/>
  <c r="SEC116" i="8"/>
  <c r="SEB116" i="8"/>
  <c r="SEA116" i="8"/>
  <c r="SDZ116" i="8"/>
  <c r="SDY116" i="8"/>
  <c r="SDX116" i="8"/>
  <c r="SDW116" i="8"/>
  <c r="SDV116" i="8"/>
  <c r="SDU116" i="8"/>
  <c r="SDT116" i="8"/>
  <c r="SDS116" i="8"/>
  <c r="SDR116" i="8"/>
  <c r="SDQ116" i="8"/>
  <c r="SDP116" i="8"/>
  <c r="SDO116" i="8"/>
  <c r="SDN116" i="8"/>
  <c r="SDM116" i="8"/>
  <c r="SDL116" i="8"/>
  <c r="SDK116" i="8"/>
  <c r="SDJ116" i="8"/>
  <c r="SDI116" i="8"/>
  <c r="SDH116" i="8"/>
  <c r="SDG116" i="8"/>
  <c r="SDF116" i="8"/>
  <c r="SDE116" i="8"/>
  <c r="SDD116" i="8"/>
  <c r="SDC116" i="8"/>
  <c r="SDB116" i="8"/>
  <c r="SDA116" i="8"/>
  <c r="SCZ116" i="8"/>
  <c r="SCY116" i="8"/>
  <c r="SCX116" i="8"/>
  <c r="SCW116" i="8"/>
  <c r="SCV116" i="8"/>
  <c r="SCU116" i="8"/>
  <c r="SCT116" i="8"/>
  <c r="SCS116" i="8"/>
  <c r="SCR116" i="8"/>
  <c r="SCQ116" i="8"/>
  <c r="SCP116" i="8"/>
  <c r="SCO116" i="8"/>
  <c r="SCN116" i="8"/>
  <c r="SCM116" i="8"/>
  <c r="SCL116" i="8"/>
  <c r="SCK116" i="8"/>
  <c r="SCJ116" i="8"/>
  <c r="SCI116" i="8"/>
  <c r="SCH116" i="8"/>
  <c r="SCG116" i="8"/>
  <c r="SCF116" i="8"/>
  <c r="SCE116" i="8"/>
  <c r="SCD116" i="8"/>
  <c r="SCC116" i="8"/>
  <c r="SCB116" i="8"/>
  <c r="SCA116" i="8"/>
  <c r="SBZ116" i="8"/>
  <c r="SBY116" i="8"/>
  <c r="SBX116" i="8"/>
  <c r="SBW116" i="8"/>
  <c r="SBV116" i="8"/>
  <c r="SBU116" i="8"/>
  <c r="SBT116" i="8"/>
  <c r="SBS116" i="8"/>
  <c r="SBR116" i="8"/>
  <c r="SBQ116" i="8"/>
  <c r="SBP116" i="8"/>
  <c r="SBO116" i="8"/>
  <c r="SBN116" i="8"/>
  <c r="SBM116" i="8"/>
  <c r="SBL116" i="8"/>
  <c r="SBK116" i="8"/>
  <c r="SBJ116" i="8"/>
  <c r="SBI116" i="8"/>
  <c r="SBH116" i="8"/>
  <c r="SBG116" i="8"/>
  <c r="SBF116" i="8"/>
  <c r="SBE116" i="8"/>
  <c r="SBD116" i="8"/>
  <c r="SBC116" i="8"/>
  <c r="SBB116" i="8"/>
  <c r="SBA116" i="8"/>
  <c r="SAZ116" i="8"/>
  <c r="SAY116" i="8"/>
  <c r="SAX116" i="8"/>
  <c r="SAW116" i="8"/>
  <c r="SAV116" i="8"/>
  <c r="SAU116" i="8"/>
  <c r="SAT116" i="8"/>
  <c r="SAS116" i="8"/>
  <c r="SAR116" i="8"/>
  <c r="SAQ116" i="8"/>
  <c r="SAP116" i="8"/>
  <c r="SAO116" i="8"/>
  <c r="SAN116" i="8"/>
  <c r="SAM116" i="8"/>
  <c r="SAL116" i="8"/>
  <c r="SAK116" i="8"/>
  <c r="SAJ116" i="8"/>
  <c r="SAI116" i="8"/>
  <c r="SAH116" i="8"/>
  <c r="SAG116" i="8"/>
  <c r="SAF116" i="8"/>
  <c r="SAE116" i="8"/>
  <c r="SAD116" i="8"/>
  <c r="SAC116" i="8"/>
  <c r="SAB116" i="8"/>
  <c r="SAA116" i="8"/>
  <c r="RZZ116" i="8"/>
  <c r="RZY116" i="8"/>
  <c r="RZX116" i="8"/>
  <c r="RZW116" i="8"/>
  <c r="RZV116" i="8"/>
  <c r="RZU116" i="8"/>
  <c r="RZT116" i="8"/>
  <c r="RZS116" i="8"/>
  <c r="RZR116" i="8"/>
  <c r="RZQ116" i="8"/>
  <c r="RZP116" i="8"/>
  <c r="RZO116" i="8"/>
  <c r="RZN116" i="8"/>
  <c r="RZM116" i="8"/>
  <c r="RZL116" i="8"/>
  <c r="RZK116" i="8"/>
  <c r="RZJ116" i="8"/>
  <c r="RZI116" i="8"/>
  <c r="RZH116" i="8"/>
  <c r="RZG116" i="8"/>
  <c r="RZF116" i="8"/>
  <c r="RZE116" i="8"/>
  <c r="RZD116" i="8"/>
  <c r="RZC116" i="8"/>
  <c r="RZB116" i="8"/>
  <c r="RZA116" i="8"/>
  <c r="RYZ116" i="8"/>
  <c r="RYY116" i="8"/>
  <c r="RYX116" i="8"/>
  <c r="RYW116" i="8"/>
  <c r="RYV116" i="8"/>
  <c r="RYU116" i="8"/>
  <c r="RYT116" i="8"/>
  <c r="RYS116" i="8"/>
  <c r="RYR116" i="8"/>
  <c r="RYQ116" i="8"/>
  <c r="RYP116" i="8"/>
  <c r="RYO116" i="8"/>
  <c r="RYN116" i="8"/>
  <c r="RYM116" i="8"/>
  <c r="RYL116" i="8"/>
  <c r="RYK116" i="8"/>
  <c r="RYJ116" i="8"/>
  <c r="RYI116" i="8"/>
  <c r="RYH116" i="8"/>
  <c r="RYG116" i="8"/>
  <c r="RYF116" i="8"/>
  <c r="RYE116" i="8"/>
  <c r="RYD116" i="8"/>
  <c r="RYC116" i="8"/>
  <c r="RYB116" i="8"/>
  <c r="RYA116" i="8"/>
  <c r="RXZ116" i="8"/>
  <c r="RXY116" i="8"/>
  <c r="RXX116" i="8"/>
  <c r="RXW116" i="8"/>
  <c r="RXV116" i="8"/>
  <c r="RXU116" i="8"/>
  <c r="RXT116" i="8"/>
  <c r="RXS116" i="8"/>
  <c r="RXR116" i="8"/>
  <c r="RXQ116" i="8"/>
  <c r="RXP116" i="8"/>
  <c r="RXO116" i="8"/>
  <c r="RXN116" i="8"/>
  <c r="RXM116" i="8"/>
  <c r="RXL116" i="8"/>
  <c r="RXK116" i="8"/>
  <c r="RXJ116" i="8"/>
  <c r="RXI116" i="8"/>
  <c r="RXH116" i="8"/>
  <c r="RXG116" i="8"/>
  <c r="RXF116" i="8"/>
  <c r="RXE116" i="8"/>
  <c r="RXD116" i="8"/>
  <c r="RXC116" i="8"/>
  <c r="RXB116" i="8"/>
  <c r="RXA116" i="8"/>
  <c r="RWZ116" i="8"/>
  <c r="RWY116" i="8"/>
  <c r="RWX116" i="8"/>
  <c r="RWW116" i="8"/>
  <c r="RWV116" i="8"/>
  <c r="RWU116" i="8"/>
  <c r="RWT116" i="8"/>
  <c r="RWS116" i="8"/>
  <c r="RWR116" i="8"/>
  <c r="RWQ116" i="8"/>
  <c r="RWP116" i="8"/>
  <c r="RWO116" i="8"/>
  <c r="RWN116" i="8"/>
  <c r="RWM116" i="8"/>
  <c r="RWL116" i="8"/>
  <c r="RWK116" i="8"/>
  <c r="RWJ116" i="8"/>
  <c r="RWI116" i="8"/>
  <c r="RWH116" i="8"/>
  <c r="RWG116" i="8"/>
  <c r="RWF116" i="8"/>
  <c r="RWE116" i="8"/>
  <c r="RWD116" i="8"/>
  <c r="RWC116" i="8"/>
  <c r="RWB116" i="8"/>
  <c r="RWA116" i="8"/>
  <c r="RVZ116" i="8"/>
  <c r="RVY116" i="8"/>
  <c r="RVX116" i="8"/>
  <c r="RVW116" i="8"/>
  <c r="RVV116" i="8"/>
  <c r="RVU116" i="8"/>
  <c r="RVT116" i="8"/>
  <c r="RVS116" i="8"/>
  <c r="RVR116" i="8"/>
  <c r="RVQ116" i="8"/>
  <c r="RVP116" i="8"/>
  <c r="RVO116" i="8"/>
  <c r="RVN116" i="8"/>
  <c r="RVM116" i="8"/>
  <c r="RVL116" i="8"/>
  <c r="RVK116" i="8"/>
  <c r="RVJ116" i="8"/>
  <c r="RVI116" i="8"/>
  <c r="RVH116" i="8"/>
  <c r="RVG116" i="8"/>
  <c r="RVF116" i="8"/>
  <c r="RVE116" i="8"/>
  <c r="RVD116" i="8"/>
  <c r="RVC116" i="8"/>
  <c r="RVB116" i="8"/>
  <c r="RVA116" i="8"/>
  <c r="RUZ116" i="8"/>
  <c r="RUY116" i="8"/>
  <c r="RUX116" i="8"/>
  <c r="RUW116" i="8"/>
  <c r="RUV116" i="8"/>
  <c r="RUU116" i="8"/>
  <c r="RUT116" i="8"/>
  <c r="RUS116" i="8"/>
  <c r="RUR116" i="8"/>
  <c r="RUQ116" i="8"/>
  <c r="RUP116" i="8"/>
  <c r="RUO116" i="8"/>
  <c r="RUN116" i="8"/>
  <c r="RUM116" i="8"/>
  <c r="RUL116" i="8"/>
  <c r="RUK116" i="8"/>
  <c r="RUJ116" i="8"/>
  <c r="RUI116" i="8"/>
  <c r="RUH116" i="8"/>
  <c r="RUG116" i="8"/>
  <c r="RUF116" i="8"/>
  <c r="RUE116" i="8"/>
  <c r="RUD116" i="8"/>
  <c r="RUC116" i="8"/>
  <c r="RUB116" i="8"/>
  <c r="RUA116" i="8"/>
  <c r="RTZ116" i="8"/>
  <c r="RTY116" i="8"/>
  <c r="RTX116" i="8"/>
  <c r="RTW116" i="8"/>
  <c r="RTV116" i="8"/>
  <c r="RTU116" i="8"/>
  <c r="RTT116" i="8"/>
  <c r="RTS116" i="8"/>
  <c r="RTR116" i="8"/>
  <c r="RTQ116" i="8"/>
  <c r="RTP116" i="8"/>
  <c r="RTO116" i="8"/>
  <c r="RTN116" i="8"/>
  <c r="RTM116" i="8"/>
  <c r="RTL116" i="8"/>
  <c r="RTK116" i="8"/>
  <c r="RTJ116" i="8"/>
  <c r="RTI116" i="8"/>
  <c r="RTH116" i="8"/>
  <c r="RTG116" i="8"/>
  <c r="RTF116" i="8"/>
  <c r="RTE116" i="8"/>
  <c r="RTD116" i="8"/>
  <c r="RTC116" i="8"/>
  <c r="RTB116" i="8"/>
  <c r="RTA116" i="8"/>
  <c r="RSZ116" i="8"/>
  <c r="RSY116" i="8"/>
  <c r="RSX116" i="8"/>
  <c r="RSW116" i="8"/>
  <c r="RSV116" i="8"/>
  <c r="RSU116" i="8"/>
  <c r="RST116" i="8"/>
  <c r="RSS116" i="8"/>
  <c r="RSR116" i="8"/>
  <c r="RSQ116" i="8"/>
  <c r="RSP116" i="8"/>
  <c r="RSO116" i="8"/>
  <c r="RSN116" i="8"/>
  <c r="RSM116" i="8"/>
  <c r="RSL116" i="8"/>
  <c r="RSK116" i="8"/>
  <c r="RSJ116" i="8"/>
  <c r="RSI116" i="8"/>
  <c r="RSH116" i="8"/>
  <c r="RSG116" i="8"/>
  <c r="RSF116" i="8"/>
  <c r="RSE116" i="8"/>
  <c r="RSD116" i="8"/>
  <c r="RSC116" i="8"/>
  <c r="RSB116" i="8"/>
  <c r="RSA116" i="8"/>
  <c r="RRZ116" i="8"/>
  <c r="RRY116" i="8"/>
  <c r="RRX116" i="8"/>
  <c r="RRW116" i="8"/>
  <c r="RRV116" i="8"/>
  <c r="RRU116" i="8"/>
  <c r="RRT116" i="8"/>
  <c r="RRS116" i="8"/>
  <c r="RRR116" i="8"/>
  <c r="RRQ116" i="8"/>
  <c r="RRP116" i="8"/>
  <c r="RRO116" i="8"/>
  <c r="RRN116" i="8"/>
  <c r="RRM116" i="8"/>
  <c r="RRL116" i="8"/>
  <c r="RRK116" i="8"/>
  <c r="RRJ116" i="8"/>
  <c r="RRI116" i="8"/>
  <c r="RRH116" i="8"/>
  <c r="RRG116" i="8"/>
  <c r="RRF116" i="8"/>
  <c r="RRE116" i="8"/>
  <c r="RRD116" i="8"/>
  <c r="RRC116" i="8"/>
  <c r="RRB116" i="8"/>
  <c r="RRA116" i="8"/>
  <c r="RQZ116" i="8"/>
  <c r="RQY116" i="8"/>
  <c r="RQX116" i="8"/>
  <c r="RQW116" i="8"/>
  <c r="RQV116" i="8"/>
  <c r="RQU116" i="8"/>
  <c r="RQT116" i="8"/>
  <c r="RQS116" i="8"/>
  <c r="RQR116" i="8"/>
  <c r="RQQ116" i="8"/>
  <c r="RQP116" i="8"/>
  <c r="RQO116" i="8"/>
  <c r="RQN116" i="8"/>
  <c r="RQM116" i="8"/>
  <c r="RQL116" i="8"/>
  <c r="RQK116" i="8"/>
  <c r="RQJ116" i="8"/>
  <c r="RQI116" i="8"/>
  <c r="RQH116" i="8"/>
  <c r="RQG116" i="8"/>
  <c r="RQF116" i="8"/>
  <c r="RQE116" i="8"/>
  <c r="RQD116" i="8"/>
  <c r="RQC116" i="8"/>
  <c r="RQB116" i="8"/>
  <c r="RQA116" i="8"/>
  <c r="RPZ116" i="8"/>
  <c r="RPY116" i="8"/>
  <c r="RPX116" i="8"/>
  <c r="RPW116" i="8"/>
  <c r="RPV116" i="8"/>
  <c r="RPU116" i="8"/>
  <c r="RPT116" i="8"/>
  <c r="RPS116" i="8"/>
  <c r="RPR116" i="8"/>
  <c r="RPQ116" i="8"/>
  <c r="RPP116" i="8"/>
  <c r="RPO116" i="8"/>
  <c r="RPN116" i="8"/>
  <c r="RPM116" i="8"/>
  <c r="RPL116" i="8"/>
  <c r="RPK116" i="8"/>
  <c r="RPJ116" i="8"/>
  <c r="RPI116" i="8"/>
  <c r="RPH116" i="8"/>
  <c r="RPG116" i="8"/>
  <c r="RPF116" i="8"/>
  <c r="RPE116" i="8"/>
  <c r="RPD116" i="8"/>
  <c r="RPC116" i="8"/>
  <c r="RPB116" i="8"/>
  <c r="RPA116" i="8"/>
  <c r="ROZ116" i="8"/>
  <c r="ROY116" i="8"/>
  <c r="ROX116" i="8"/>
  <c r="ROW116" i="8"/>
  <c r="ROV116" i="8"/>
  <c r="ROU116" i="8"/>
  <c r="ROT116" i="8"/>
  <c r="ROS116" i="8"/>
  <c r="ROR116" i="8"/>
  <c r="ROQ116" i="8"/>
  <c r="ROP116" i="8"/>
  <c r="ROO116" i="8"/>
  <c r="RON116" i="8"/>
  <c r="ROM116" i="8"/>
  <c r="ROL116" i="8"/>
  <c r="ROK116" i="8"/>
  <c r="ROJ116" i="8"/>
  <c r="ROI116" i="8"/>
  <c r="ROH116" i="8"/>
  <c r="ROG116" i="8"/>
  <c r="ROF116" i="8"/>
  <c r="ROE116" i="8"/>
  <c r="ROD116" i="8"/>
  <c r="ROC116" i="8"/>
  <c r="ROB116" i="8"/>
  <c r="ROA116" i="8"/>
  <c r="RNZ116" i="8"/>
  <c r="RNY116" i="8"/>
  <c r="RNX116" i="8"/>
  <c r="RNW116" i="8"/>
  <c r="RNV116" i="8"/>
  <c r="RNU116" i="8"/>
  <c r="RNT116" i="8"/>
  <c r="RNS116" i="8"/>
  <c r="RNR116" i="8"/>
  <c r="RNQ116" i="8"/>
  <c r="RNP116" i="8"/>
  <c r="RNO116" i="8"/>
  <c r="RNN116" i="8"/>
  <c r="RNM116" i="8"/>
  <c r="RNL116" i="8"/>
  <c r="RNK116" i="8"/>
  <c r="RNJ116" i="8"/>
  <c r="RNI116" i="8"/>
  <c r="RNH116" i="8"/>
  <c r="RNG116" i="8"/>
  <c r="RNF116" i="8"/>
  <c r="RNE116" i="8"/>
  <c r="RND116" i="8"/>
  <c r="RNC116" i="8"/>
  <c r="RNB116" i="8"/>
  <c r="RNA116" i="8"/>
  <c r="RMZ116" i="8"/>
  <c r="RMY116" i="8"/>
  <c r="RMX116" i="8"/>
  <c r="RMW116" i="8"/>
  <c r="RMV116" i="8"/>
  <c r="RMU116" i="8"/>
  <c r="RMT116" i="8"/>
  <c r="RMS116" i="8"/>
  <c r="RMR116" i="8"/>
  <c r="RMQ116" i="8"/>
  <c r="RMP116" i="8"/>
  <c r="RMO116" i="8"/>
  <c r="RMN116" i="8"/>
  <c r="RMM116" i="8"/>
  <c r="RML116" i="8"/>
  <c r="RMK116" i="8"/>
  <c r="RMJ116" i="8"/>
  <c r="RMI116" i="8"/>
  <c r="RMH116" i="8"/>
  <c r="RMG116" i="8"/>
  <c r="RMF116" i="8"/>
  <c r="RME116" i="8"/>
  <c r="RMD116" i="8"/>
  <c r="RMC116" i="8"/>
  <c r="RMB116" i="8"/>
  <c r="RMA116" i="8"/>
  <c r="RLZ116" i="8"/>
  <c r="RLY116" i="8"/>
  <c r="RLX116" i="8"/>
  <c r="RLW116" i="8"/>
  <c r="RLV116" i="8"/>
  <c r="RLU116" i="8"/>
  <c r="RLT116" i="8"/>
  <c r="RLS116" i="8"/>
  <c r="RLR116" i="8"/>
  <c r="RLQ116" i="8"/>
  <c r="RLP116" i="8"/>
  <c r="RLO116" i="8"/>
  <c r="RLN116" i="8"/>
  <c r="RLM116" i="8"/>
  <c r="RLL116" i="8"/>
  <c r="RLK116" i="8"/>
  <c r="RLJ116" i="8"/>
  <c r="RLI116" i="8"/>
  <c r="RLH116" i="8"/>
  <c r="RLG116" i="8"/>
  <c r="RLF116" i="8"/>
  <c r="RLE116" i="8"/>
  <c r="RLD116" i="8"/>
  <c r="RLC116" i="8"/>
  <c r="RLB116" i="8"/>
  <c r="RLA116" i="8"/>
  <c r="RKZ116" i="8"/>
  <c r="RKY116" i="8"/>
  <c r="RKX116" i="8"/>
  <c r="RKW116" i="8"/>
  <c r="RKV116" i="8"/>
  <c r="RKU116" i="8"/>
  <c r="RKT116" i="8"/>
  <c r="RKS116" i="8"/>
  <c r="RKR116" i="8"/>
  <c r="RKQ116" i="8"/>
  <c r="RKP116" i="8"/>
  <c r="RKO116" i="8"/>
  <c r="RKN116" i="8"/>
  <c r="RKM116" i="8"/>
  <c r="RKL116" i="8"/>
  <c r="RKK116" i="8"/>
  <c r="RKJ116" i="8"/>
  <c r="RKI116" i="8"/>
  <c r="RKH116" i="8"/>
  <c r="RKG116" i="8"/>
  <c r="RKF116" i="8"/>
  <c r="RKE116" i="8"/>
  <c r="RKD116" i="8"/>
  <c r="RKC116" i="8"/>
  <c r="RKB116" i="8"/>
  <c r="RKA116" i="8"/>
  <c r="RJZ116" i="8"/>
  <c r="RJY116" i="8"/>
  <c r="RJX116" i="8"/>
  <c r="RJW116" i="8"/>
  <c r="RJV116" i="8"/>
  <c r="RJU116" i="8"/>
  <c r="RJT116" i="8"/>
  <c r="RJS116" i="8"/>
  <c r="RJR116" i="8"/>
  <c r="RJQ116" i="8"/>
  <c r="RJP116" i="8"/>
  <c r="RJO116" i="8"/>
  <c r="RJN116" i="8"/>
  <c r="RJM116" i="8"/>
  <c r="RJL116" i="8"/>
  <c r="RJK116" i="8"/>
  <c r="RJJ116" i="8"/>
  <c r="RJI116" i="8"/>
  <c r="RJH116" i="8"/>
  <c r="RJG116" i="8"/>
  <c r="RJF116" i="8"/>
  <c r="RJE116" i="8"/>
  <c r="RJD116" i="8"/>
  <c r="RJC116" i="8"/>
  <c r="RJB116" i="8"/>
  <c r="RJA116" i="8"/>
  <c r="RIZ116" i="8"/>
  <c r="RIY116" i="8"/>
  <c r="RIX116" i="8"/>
  <c r="RIW116" i="8"/>
  <c r="RIV116" i="8"/>
  <c r="RIU116" i="8"/>
  <c r="RIT116" i="8"/>
  <c r="RIS116" i="8"/>
  <c r="RIR116" i="8"/>
  <c r="RIQ116" i="8"/>
  <c r="RIP116" i="8"/>
  <c r="RIO116" i="8"/>
  <c r="RIN116" i="8"/>
  <c r="RIM116" i="8"/>
  <c r="RIL116" i="8"/>
  <c r="RIK116" i="8"/>
  <c r="RIJ116" i="8"/>
  <c r="RII116" i="8"/>
  <c r="RIH116" i="8"/>
  <c r="RIG116" i="8"/>
  <c r="RIF116" i="8"/>
  <c r="RIE116" i="8"/>
  <c r="RID116" i="8"/>
  <c r="RIC116" i="8"/>
  <c r="RIB116" i="8"/>
  <c r="RIA116" i="8"/>
  <c r="RHZ116" i="8"/>
  <c r="RHY116" i="8"/>
  <c r="RHX116" i="8"/>
  <c r="RHW116" i="8"/>
  <c r="RHV116" i="8"/>
  <c r="RHU116" i="8"/>
  <c r="RHT116" i="8"/>
  <c r="RHS116" i="8"/>
  <c r="RHR116" i="8"/>
  <c r="RHQ116" i="8"/>
  <c r="RHP116" i="8"/>
  <c r="RHO116" i="8"/>
  <c r="RHN116" i="8"/>
  <c r="RHM116" i="8"/>
  <c r="RHL116" i="8"/>
  <c r="RHK116" i="8"/>
  <c r="RHJ116" i="8"/>
  <c r="RHI116" i="8"/>
  <c r="RHH116" i="8"/>
  <c r="RHG116" i="8"/>
  <c r="RHF116" i="8"/>
  <c r="RHE116" i="8"/>
  <c r="RHD116" i="8"/>
  <c r="RHC116" i="8"/>
  <c r="RHB116" i="8"/>
  <c r="RHA116" i="8"/>
  <c r="RGZ116" i="8"/>
  <c r="RGY116" i="8"/>
  <c r="RGX116" i="8"/>
  <c r="RGW116" i="8"/>
  <c r="RGV116" i="8"/>
  <c r="RGU116" i="8"/>
  <c r="RGT116" i="8"/>
  <c r="RGS116" i="8"/>
  <c r="RGR116" i="8"/>
  <c r="RGQ116" i="8"/>
  <c r="RGP116" i="8"/>
  <c r="RGO116" i="8"/>
  <c r="RGN116" i="8"/>
  <c r="RGM116" i="8"/>
  <c r="RGL116" i="8"/>
  <c r="RGK116" i="8"/>
  <c r="RGJ116" i="8"/>
  <c r="RGI116" i="8"/>
  <c r="RGH116" i="8"/>
  <c r="RGG116" i="8"/>
  <c r="RGF116" i="8"/>
  <c r="RGE116" i="8"/>
  <c r="RGD116" i="8"/>
  <c r="RGC116" i="8"/>
  <c r="RGB116" i="8"/>
  <c r="RGA116" i="8"/>
  <c r="RFZ116" i="8"/>
  <c r="RFY116" i="8"/>
  <c r="RFX116" i="8"/>
  <c r="RFW116" i="8"/>
  <c r="RFV116" i="8"/>
  <c r="RFU116" i="8"/>
  <c r="RFT116" i="8"/>
  <c r="RFS116" i="8"/>
  <c r="RFR116" i="8"/>
  <c r="RFQ116" i="8"/>
  <c r="RFP116" i="8"/>
  <c r="RFO116" i="8"/>
  <c r="RFN116" i="8"/>
  <c r="RFM116" i="8"/>
  <c r="RFL116" i="8"/>
  <c r="RFK116" i="8"/>
  <c r="RFJ116" i="8"/>
  <c r="RFI116" i="8"/>
  <c r="RFH116" i="8"/>
  <c r="RFG116" i="8"/>
  <c r="RFF116" i="8"/>
  <c r="RFE116" i="8"/>
  <c r="RFD116" i="8"/>
  <c r="RFC116" i="8"/>
  <c r="RFB116" i="8"/>
  <c r="RFA116" i="8"/>
  <c r="REZ116" i="8"/>
  <c r="REY116" i="8"/>
  <c r="REX116" i="8"/>
  <c r="REW116" i="8"/>
  <c r="REV116" i="8"/>
  <c r="REU116" i="8"/>
  <c r="RET116" i="8"/>
  <c r="RES116" i="8"/>
  <c r="RER116" i="8"/>
  <c r="REQ116" i="8"/>
  <c r="REP116" i="8"/>
  <c r="REO116" i="8"/>
  <c r="REN116" i="8"/>
  <c r="REM116" i="8"/>
  <c r="REL116" i="8"/>
  <c r="REK116" i="8"/>
  <c r="REJ116" i="8"/>
  <c r="REI116" i="8"/>
  <c r="REH116" i="8"/>
  <c r="REG116" i="8"/>
  <c r="REF116" i="8"/>
  <c r="REE116" i="8"/>
  <c r="RED116" i="8"/>
  <c r="REC116" i="8"/>
  <c r="REB116" i="8"/>
  <c r="REA116" i="8"/>
  <c r="RDZ116" i="8"/>
  <c r="RDY116" i="8"/>
  <c r="RDX116" i="8"/>
  <c r="RDW116" i="8"/>
  <c r="RDV116" i="8"/>
  <c r="RDU116" i="8"/>
  <c r="RDT116" i="8"/>
  <c r="RDS116" i="8"/>
  <c r="RDR116" i="8"/>
  <c r="RDQ116" i="8"/>
  <c r="RDP116" i="8"/>
  <c r="RDO116" i="8"/>
  <c r="RDN116" i="8"/>
  <c r="RDM116" i="8"/>
  <c r="RDL116" i="8"/>
  <c r="RDK116" i="8"/>
  <c r="RDJ116" i="8"/>
  <c r="RDI116" i="8"/>
  <c r="RDH116" i="8"/>
  <c r="RDG116" i="8"/>
  <c r="RDF116" i="8"/>
  <c r="RDE116" i="8"/>
  <c r="RDD116" i="8"/>
  <c r="RDC116" i="8"/>
  <c r="RDB116" i="8"/>
  <c r="RDA116" i="8"/>
  <c r="RCZ116" i="8"/>
  <c r="RCY116" i="8"/>
  <c r="RCX116" i="8"/>
  <c r="RCW116" i="8"/>
  <c r="RCV116" i="8"/>
  <c r="RCU116" i="8"/>
  <c r="RCT116" i="8"/>
  <c r="RCS116" i="8"/>
  <c r="RCR116" i="8"/>
  <c r="RCQ116" i="8"/>
  <c r="RCP116" i="8"/>
  <c r="RCO116" i="8"/>
  <c r="RCN116" i="8"/>
  <c r="RCM116" i="8"/>
  <c r="RCL116" i="8"/>
  <c r="RCK116" i="8"/>
  <c r="RCJ116" i="8"/>
  <c r="RCI116" i="8"/>
  <c r="RCH116" i="8"/>
  <c r="RCG116" i="8"/>
  <c r="RCF116" i="8"/>
  <c r="RCE116" i="8"/>
  <c r="RCD116" i="8"/>
  <c r="RCC116" i="8"/>
  <c r="RCB116" i="8"/>
  <c r="RCA116" i="8"/>
  <c r="RBZ116" i="8"/>
  <c r="RBY116" i="8"/>
  <c r="RBX116" i="8"/>
  <c r="RBW116" i="8"/>
  <c r="RBV116" i="8"/>
  <c r="RBU116" i="8"/>
  <c r="RBT116" i="8"/>
  <c r="RBS116" i="8"/>
  <c r="RBR116" i="8"/>
  <c r="RBQ116" i="8"/>
  <c r="RBP116" i="8"/>
  <c r="RBO116" i="8"/>
  <c r="RBN116" i="8"/>
  <c r="RBM116" i="8"/>
  <c r="RBL116" i="8"/>
  <c r="RBK116" i="8"/>
  <c r="RBJ116" i="8"/>
  <c r="RBI116" i="8"/>
  <c r="RBH116" i="8"/>
  <c r="RBG116" i="8"/>
  <c r="RBF116" i="8"/>
  <c r="RBE116" i="8"/>
  <c r="RBD116" i="8"/>
  <c r="RBC116" i="8"/>
  <c r="RBB116" i="8"/>
  <c r="RBA116" i="8"/>
  <c r="RAZ116" i="8"/>
  <c r="RAY116" i="8"/>
  <c r="RAX116" i="8"/>
  <c r="RAW116" i="8"/>
  <c r="RAV116" i="8"/>
  <c r="RAU116" i="8"/>
  <c r="RAT116" i="8"/>
  <c r="RAS116" i="8"/>
  <c r="RAR116" i="8"/>
  <c r="RAQ116" i="8"/>
  <c r="RAP116" i="8"/>
  <c r="RAO116" i="8"/>
  <c r="RAN116" i="8"/>
  <c r="RAM116" i="8"/>
  <c r="RAL116" i="8"/>
  <c r="RAK116" i="8"/>
  <c r="RAJ116" i="8"/>
  <c r="RAI116" i="8"/>
  <c r="RAH116" i="8"/>
  <c r="RAG116" i="8"/>
  <c r="RAF116" i="8"/>
  <c r="RAE116" i="8"/>
  <c r="RAD116" i="8"/>
  <c r="RAC116" i="8"/>
  <c r="RAB116" i="8"/>
  <c r="RAA116" i="8"/>
  <c r="QZZ116" i="8"/>
  <c r="QZY116" i="8"/>
  <c r="QZX116" i="8"/>
  <c r="QZW116" i="8"/>
  <c r="QZV116" i="8"/>
  <c r="QZU116" i="8"/>
  <c r="QZT116" i="8"/>
  <c r="QZS116" i="8"/>
  <c r="QZR116" i="8"/>
  <c r="QZQ116" i="8"/>
  <c r="QZP116" i="8"/>
  <c r="QZO116" i="8"/>
  <c r="QZN116" i="8"/>
  <c r="QZM116" i="8"/>
  <c r="QZL116" i="8"/>
  <c r="QZK116" i="8"/>
  <c r="QZJ116" i="8"/>
  <c r="QZI116" i="8"/>
  <c r="QZH116" i="8"/>
  <c r="QZG116" i="8"/>
  <c r="QZF116" i="8"/>
  <c r="QZE116" i="8"/>
  <c r="QZD116" i="8"/>
  <c r="QZC116" i="8"/>
  <c r="QZB116" i="8"/>
  <c r="QZA116" i="8"/>
  <c r="QYZ116" i="8"/>
  <c r="QYY116" i="8"/>
  <c r="QYX116" i="8"/>
  <c r="QYW116" i="8"/>
  <c r="QYV116" i="8"/>
  <c r="QYU116" i="8"/>
  <c r="QYT116" i="8"/>
  <c r="QYS116" i="8"/>
  <c r="QYR116" i="8"/>
  <c r="QYQ116" i="8"/>
  <c r="QYP116" i="8"/>
  <c r="QYO116" i="8"/>
  <c r="QYN116" i="8"/>
  <c r="QYM116" i="8"/>
  <c r="QYL116" i="8"/>
  <c r="QYK116" i="8"/>
  <c r="QYJ116" i="8"/>
  <c r="QYI116" i="8"/>
  <c r="QYH116" i="8"/>
  <c r="QYG116" i="8"/>
  <c r="QYF116" i="8"/>
  <c r="QYE116" i="8"/>
  <c r="QYD116" i="8"/>
  <c r="QYC116" i="8"/>
  <c r="QYB116" i="8"/>
  <c r="QYA116" i="8"/>
  <c r="QXZ116" i="8"/>
  <c r="QXY116" i="8"/>
  <c r="QXX116" i="8"/>
  <c r="QXW116" i="8"/>
  <c r="QXV116" i="8"/>
  <c r="QXU116" i="8"/>
  <c r="QXT116" i="8"/>
  <c r="QXS116" i="8"/>
  <c r="QXR116" i="8"/>
  <c r="QXQ116" i="8"/>
  <c r="QXP116" i="8"/>
  <c r="QXO116" i="8"/>
  <c r="QXN116" i="8"/>
  <c r="QXM116" i="8"/>
  <c r="QXL116" i="8"/>
  <c r="QXK116" i="8"/>
  <c r="QXJ116" i="8"/>
  <c r="QXI116" i="8"/>
  <c r="QXH116" i="8"/>
  <c r="QXG116" i="8"/>
  <c r="QXF116" i="8"/>
  <c r="QXE116" i="8"/>
  <c r="QXD116" i="8"/>
  <c r="QXC116" i="8"/>
  <c r="QXB116" i="8"/>
  <c r="QXA116" i="8"/>
  <c r="QWZ116" i="8"/>
  <c r="QWY116" i="8"/>
  <c r="QWX116" i="8"/>
  <c r="QWW116" i="8"/>
  <c r="QWV116" i="8"/>
  <c r="QWU116" i="8"/>
  <c r="QWT116" i="8"/>
  <c r="QWS116" i="8"/>
  <c r="QWR116" i="8"/>
  <c r="QWQ116" i="8"/>
  <c r="QWP116" i="8"/>
  <c r="QWO116" i="8"/>
  <c r="QWN116" i="8"/>
  <c r="QWM116" i="8"/>
  <c r="QWL116" i="8"/>
  <c r="QWK116" i="8"/>
  <c r="QWJ116" i="8"/>
  <c r="QWI116" i="8"/>
  <c r="QWH116" i="8"/>
  <c r="QWG116" i="8"/>
  <c r="QWF116" i="8"/>
  <c r="QWE116" i="8"/>
  <c r="QWD116" i="8"/>
  <c r="QWC116" i="8"/>
  <c r="QWB116" i="8"/>
  <c r="QWA116" i="8"/>
  <c r="QVZ116" i="8"/>
  <c r="QVY116" i="8"/>
  <c r="QVX116" i="8"/>
  <c r="QVW116" i="8"/>
  <c r="QVV116" i="8"/>
  <c r="QVU116" i="8"/>
  <c r="QVT116" i="8"/>
  <c r="QVS116" i="8"/>
  <c r="QVR116" i="8"/>
  <c r="QVQ116" i="8"/>
  <c r="QVP116" i="8"/>
  <c r="QVO116" i="8"/>
  <c r="QVN116" i="8"/>
  <c r="QVM116" i="8"/>
  <c r="QVL116" i="8"/>
  <c r="QVK116" i="8"/>
  <c r="QVJ116" i="8"/>
  <c r="QVI116" i="8"/>
  <c r="QVH116" i="8"/>
  <c r="QVG116" i="8"/>
  <c r="QVF116" i="8"/>
  <c r="QVE116" i="8"/>
  <c r="QVD116" i="8"/>
  <c r="QVC116" i="8"/>
  <c r="QVB116" i="8"/>
  <c r="QVA116" i="8"/>
  <c r="QUZ116" i="8"/>
  <c r="QUY116" i="8"/>
  <c r="QUX116" i="8"/>
  <c r="QUW116" i="8"/>
  <c r="QUV116" i="8"/>
  <c r="QUU116" i="8"/>
  <c r="QUT116" i="8"/>
  <c r="QUS116" i="8"/>
  <c r="QUR116" i="8"/>
  <c r="QUQ116" i="8"/>
  <c r="QUP116" i="8"/>
  <c r="QUO116" i="8"/>
  <c r="QUN116" i="8"/>
  <c r="QUM116" i="8"/>
  <c r="QUL116" i="8"/>
  <c r="QUK116" i="8"/>
  <c r="QUJ116" i="8"/>
  <c r="QUI116" i="8"/>
  <c r="QUH116" i="8"/>
  <c r="QUG116" i="8"/>
  <c r="QUF116" i="8"/>
  <c r="QUE116" i="8"/>
  <c r="QUD116" i="8"/>
  <c r="QUC116" i="8"/>
  <c r="QUB116" i="8"/>
  <c r="QUA116" i="8"/>
  <c r="QTZ116" i="8"/>
  <c r="QTY116" i="8"/>
  <c r="QTX116" i="8"/>
  <c r="QTW116" i="8"/>
  <c r="QTV116" i="8"/>
  <c r="QTU116" i="8"/>
  <c r="QTT116" i="8"/>
  <c r="QTS116" i="8"/>
  <c r="QTR116" i="8"/>
  <c r="QTQ116" i="8"/>
  <c r="QTP116" i="8"/>
  <c r="QTO116" i="8"/>
  <c r="QTN116" i="8"/>
  <c r="QTM116" i="8"/>
  <c r="QTL116" i="8"/>
  <c r="QTK116" i="8"/>
  <c r="QTJ116" i="8"/>
  <c r="QTI116" i="8"/>
  <c r="QTH116" i="8"/>
  <c r="QTG116" i="8"/>
  <c r="QTF116" i="8"/>
  <c r="QTE116" i="8"/>
  <c r="QTD116" i="8"/>
  <c r="QTC116" i="8"/>
  <c r="QTB116" i="8"/>
  <c r="QTA116" i="8"/>
  <c r="QSZ116" i="8"/>
  <c r="QSY116" i="8"/>
  <c r="QSX116" i="8"/>
  <c r="QSW116" i="8"/>
  <c r="QSV116" i="8"/>
  <c r="QSU116" i="8"/>
  <c r="QST116" i="8"/>
  <c r="QSS116" i="8"/>
  <c r="QSR116" i="8"/>
  <c r="QSQ116" i="8"/>
  <c r="QSP116" i="8"/>
  <c r="QSO116" i="8"/>
  <c r="QSN116" i="8"/>
  <c r="QSM116" i="8"/>
  <c r="QSL116" i="8"/>
  <c r="QSK116" i="8"/>
  <c r="QSJ116" i="8"/>
  <c r="QSI116" i="8"/>
  <c r="QSH116" i="8"/>
  <c r="QSG116" i="8"/>
  <c r="QSF116" i="8"/>
  <c r="QSE116" i="8"/>
  <c r="QSD116" i="8"/>
  <c r="QSC116" i="8"/>
  <c r="QSB116" i="8"/>
  <c r="QSA116" i="8"/>
  <c r="QRZ116" i="8"/>
  <c r="QRY116" i="8"/>
  <c r="QRX116" i="8"/>
  <c r="QRW116" i="8"/>
  <c r="QRV116" i="8"/>
  <c r="QRU116" i="8"/>
  <c r="QRT116" i="8"/>
  <c r="QRS116" i="8"/>
  <c r="QRR116" i="8"/>
  <c r="QRQ116" i="8"/>
  <c r="QRP116" i="8"/>
  <c r="QRO116" i="8"/>
  <c r="QRN116" i="8"/>
  <c r="QRM116" i="8"/>
  <c r="QRL116" i="8"/>
  <c r="QRK116" i="8"/>
  <c r="QRJ116" i="8"/>
  <c r="QRI116" i="8"/>
  <c r="QRH116" i="8"/>
  <c r="QRG116" i="8"/>
  <c r="QRF116" i="8"/>
  <c r="QRE116" i="8"/>
  <c r="QRD116" i="8"/>
  <c r="QRC116" i="8"/>
  <c r="QRB116" i="8"/>
  <c r="QRA116" i="8"/>
  <c r="QQZ116" i="8"/>
  <c r="QQY116" i="8"/>
  <c r="QQX116" i="8"/>
  <c r="QQW116" i="8"/>
  <c r="QQV116" i="8"/>
  <c r="QQU116" i="8"/>
  <c r="QQT116" i="8"/>
  <c r="QQS116" i="8"/>
  <c r="QQR116" i="8"/>
  <c r="QQQ116" i="8"/>
  <c r="QQP116" i="8"/>
  <c r="QQO116" i="8"/>
  <c r="QQN116" i="8"/>
  <c r="QQM116" i="8"/>
  <c r="QQL116" i="8"/>
  <c r="QQK116" i="8"/>
  <c r="QQJ116" i="8"/>
  <c r="QQI116" i="8"/>
  <c r="QQH116" i="8"/>
  <c r="QQG116" i="8"/>
  <c r="QQF116" i="8"/>
  <c r="QQE116" i="8"/>
  <c r="QQD116" i="8"/>
  <c r="QQC116" i="8"/>
  <c r="QQB116" i="8"/>
  <c r="QQA116" i="8"/>
  <c r="QPZ116" i="8"/>
  <c r="QPY116" i="8"/>
  <c r="QPX116" i="8"/>
  <c r="QPW116" i="8"/>
  <c r="QPV116" i="8"/>
  <c r="QPU116" i="8"/>
  <c r="QPT116" i="8"/>
  <c r="QPS116" i="8"/>
  <c r="QPR116" i="8"/>
  <c r="QPQ116" i="8"/>
  <c r="QPP116" i="8"/>
  <c r="QPO116" i="8"/>
  <c r="QPN116" i="8"/>
  <c r="QPM116" i="8"/>
  <c r="QPL116" i="8"/>
  <c r="QPK116" i="8"/>
  <c r="QPJ116" i="8"/>
  <c r="QPI116" i="8"/>
  <c r="QPH116" i="8"/>
  <c r="QPG116" i="8"/>
  <c r="QPF116" i="8"/>
  <c r="QPE116" i="8"/>
  <c r="QPD116" i="8"/>
  <c r="QPC116" i="8"/>
  <c r="QPB116" i="8"/>
  <c r="QPA116" i="8"/>
  <c r="QOZ116" i="8"/>
  <c r="QOY116" i="8"/>
  <c r="QOX116" i="8"/>
  <c r="QOW116" i="8"/>
  <c r="QOV116" i="8"/>
  <c r="QOU116" i="8"/>
  <c r="QOT116" i="8"/>
  <c r="QOS116" i="8"/>
  <c r="QOR116" i="8"/>
  <c r="QOQ116" i="8"/>
  <c r="QOP116" i="8"/>
  <c r="QOO116" i="8"/>
  <c r="QON116" i="8"/>
  <c r="QOM116" i="8"/>
  <c r="QOL116" i="8"/>
  <c r="QOK116" i="8"/>
  <c r="QOJ116" i="8"/>
  <c r="QOI116" i="8"/>
  <c r="QOH116" i="8"/>
  <c r="QOG116" i="8"/>
  <c r="QOF116" i="8"/>
  <c r="QOE116" i="8"/>
  <c r="QOD116" i="8"/>
  <c r="QOC116" i="8"/>
  <c r="QOB116" i="8"/>
  <c r="QOA116" i="8"/>
  <c r="QNZ116" i="8"/>
  <c r="QNY116" i="8"/>
  <c r="QNX116" i="8"/>
  <c r="QNW116" i="8"/>
  <c r="QNV116" i="8"/>
  <c r="QNU116" i="8"/>
  <c r="QNT116" i="8"/>
  <c r="QNS116" i="8"/>
  <c r="QNR116" i="8"/>
  <c r="QNQ116" i="8"/>
  <c r="QNP116" i="8"/>
  <c r="QNO116" i="8"/>
  <c r="QNN116" i="8"/>
  <c r="QNM116" i="8"/>
  <c r="QNL116" i="8"/>
  <c r="QNK116" i="8"/>
  <c r="QNJ116" i="8"/>
  <c r="QNI116" i="8"/>
  <c r="QNH116" i="8"/>
  <c r="QNG116" i="8"/>
  <c r="QNF116" i="8"/>
  <c r="QNE116" i="8"/>
  <c r="QND116" i="8"/>
  <c r="QNC116" i="8"/>
  <c r="QNB116" i="8"/>
  <c r="QNA116" i="8"/>
  <c r="QMZ116" i="8"/>
  <c r="QMY116" i="8"/>
  <c r="QMX116" i="8"/>
  <c r="QMW116" i="8"/>
  <c r="QMV116" i="8"/>
  <c r="QMU116" i="8"/>
  <c r="QMT116" i="8"/>
  <c r="QMS116" i="8"/>
  <c r="QMR116" i="8"/>
  <c r="QMQ116" i="8"/>
  <c r="QMP116" i="8"/>
  <c r="QMO116" i="8"/>
  <c r="QMN116" i="8"/>
  <c r="QMM116" i="8"/>
  <c r="QML116" i="8"/>
  <c r="QMK116" i="8"/>
  <c r="QMJ116" i="8"/>
  <c r="QMI116" i="8"/>
  <c r="QMH116" i="8"/>
  <c r="QMG116" i="8"/>
  <c r="QMF116" i="8"/>
  <c r="QME116" i="8"/>
  <c r="QMD116" i="8"/>
  <c r="QMC116" i="8"/>
  <c r="QMB116" i="8"/>
  <c r="QMA116" i="8"/>
  <c r="QLZ116" i="8"/>
  <c r="QLY116" i="8"/>
  <c r="QLX116" i="8"/>
  <c r="QLW116" i="8"/>
  <c r="QLV116" i="8"/>
  <c r="QLU116" i="8"/>
  <c r="QLT116" i="8"/>
  <c r="QLS116" i="8"/>
  <c r="QLR116" i="8"/>
  <c r="QLQ116" i="8"/>
  <c r="QLP116" i="8"/>
  <c r="QLO116" i="8"/>
  <c r="QLN116" i="8"/>
  <c r="QLM116" i="8"/>
  <c r="QLL116" i="8"/>
  <c r="QLK116" i="8"/>
  <c r="QLJ116" i="8"/>
  <c r="QLI116" i="8"/>
  <c r="QLH116" i="8"/>
  <c r="QLG116" i="8"/>
  <c r="QLF116" i="8"/>
  <c r="QLE116" i="8"/>
  <c r="QLD116" i="8"/>
  <c r="QLC116" i="8"/>
  <c r="QLB116" i="8"/>
  <c r="QLA116" i="8"/>
  <c r="QKZ116" i="8"/>
  <c r="QKY116" i="8"/>
  <c r="QKX116" i="8"/>
  <c r="QKW116" i="8"/>
  <c r="QKV116" i="8"/>
  <c r="QKU116" i="8"/>
  <c r="QKT116" i="8"/>
  <c r="QKS116" i="8"/>
  <c r="QKR116" i="8"/>
  <c r="QKQ116" i="8"/>
  <c r="QKP116" i="8"/>
  <c r="QKO116" i="8"/>
  <c r="QKN116" i="8"/>
  <c r="QKM116" i="8"/>
  <c r="QKL116" i="8"/>
  <c r="QKK116" i="8"/>
  <c r="QKJ116" i="8"/>
  <c r="QKI116" i="8"/>
  <c r="QKH116" i="8"/>
  <c r="QKG116" i="8"/>
  <c r="QKF116" i="8"/>
  <c r="QKE116" i="8"/>
  <c r="QKD116" i="8"/>
  <c r="QKC116" i="8"/>
  <c r="QKB116" i="8"/>
  <c r="QKA116" i="8"/>
  <c r="QJZ116" i="8"/>
  <c r="QJY116" i="8"/>
  <c r="QJX116" i="8"/>
  <c r="QJW116" i="8"/>
  <c r="QJV116" i="8"/>
  <c r="QJU116" i="8"/>
  <c r="QJT116" i="8"/>
  <c r="QJS116" i="8"/>
  <c r="QJR116" i="8"/>
  <c r="QJQ116" i="8"/>
  <c r="QJP116" i="8"/>
  <c r="QJO116" i="8"/>
  <c r="QJN116" i="8"/>
  <c r="QJM116" i="8"/>
  <c r="QJL116" i="8"/>
  <c r="QJK116" i="8"/>
  <c r="QJJ116" i="8"/>
  <c r="QJI116" i="8"/>
  <c r="QJH116" i="8"/>
  <c r="QJG116" i="8"/>
  <c r="QJF116" i="8"/>
  <c r="QJE116" i="8"/>
  <c r="QJD116" i="8"/>
  <c r="QJC116" i="8"/>
  <c r="QJB116" i="8"/>
  <c r="QJA116" i="8"/>
  <c r="QIZ116" i="8"/>
  <c r="QIY116" i="8"/>
  <c r="QIX116" i="8"/>
  <c r="QIW116" i="8"/>
  <c r="QIV116" i="8"/>
  <c r="QIU116" i="8"/>
  <c r="QIT116" i="8"/>
  <c r="QIS116" i="8"/>
  <c r="QIR116" i="8"/>
  <c r="QIQ116" i="8"/>
  <c r="QIP116" i="8"/>
  <c r="QIO116" i="8"/>
  <c r="QIN116" i="8"/>
  <c r="QIM116" i="8"/>
  <c r="QIL116" i="8"/>
  <c r="QIK116" i="8"/>
  <c r="QIJ116" i="8"/>
  <c r="QII116" i="8"/>
  <c r="QIH116" i="8"/>
  <c r="QIG116" i="8"/>
  <c r="QIF116" i="8"/>
  <c r="QIE116" i="8"/>
  <c r="QID116" i="8"/>
  <c r="QIC116" i="8"/>
  <c r="QIB116" i="8"/>
  <c r="QIA116" i="8"/>
  <c r="QHZ116" i="8"/>
  <c r="QHY116" i="8"/>
  <c r="QHX116" i="8"/>
  <c r="QHW116" i="8"/>
  <c r="QHV116" i="8"/>
  <c r="QHU116" i="8"/>
  <c r="QHT116" i="8"/>
  <c r="QHS116" i="8"/>
  <c r="QHR116" i="8"/>
  <c r="QHQ116" i="8"/>
  <c r="QHP116" i="8"/>
  <c r="QHO116" i="8"/>
  <c r="QHN116" i="8"/>
  <c r="QHM116" i="8"/>
  <c r="QHL116" i="8"/>
  <c r="QHK116" i="8"/>
  <c r="QHJ116" i="8"/>
  <c r="QHI116" i="8"/>
  <c r="QHH116" i="8"/>
  <c r="QHG116" i="8"/>
  <c r="QHF116" i="8"/>
  <c r="QHE116" i="8"/>
  <c r="QHD116" i="8"/>
  <c r="QHC116" i="8"/>
  <c r="QHB116" i="8"/>
  <c r="QHA116" i="8"/>
  <c r="QGZ116" i="8"/>
  <c r="QGY116" i="8"/>
  <c r="QGX116" i="8"/>
  <c r="QGW116" i="8"/>
  <c r="QGV116" i="8"/>
  <c r="QGU116" i="8"/>
  <c r="QGT116" i="8"/>
  <c r="QGS116" i="8"/>
  <c r="QGR116" i="8"/>
  <c r="QGQ116" i="8"/>
  <c r="QGP116" i="8"/>
  <c r="QGO116" i="8"/>
  <c r="QGN116" i="8"/>
  <c r="QGM116" i="8"/>
  <c r="QGL116" i="8"/>
  <c r="QGK116" i="8"/>
  <c r="QGJ116" i="8"/>
  <c r="QGI116" i="8"/>
  <c r="QGH116" i="8"/>
  <c r="QGG116" i="8"/>
  <c r="QGF116" i="8"/>
  <c r="QGE116" i="8"/>
  <c r="QGD116" i="8"/>
  <c r="QGC116" i="8"/>
  <c r="QGB116" i="8"/>
  <c r="QGA116" i="8"/>
  <c r="QFZ116" i="8"/>
  <c r="QFY116" i="8"/>
  <c r="QFX116" i="8"/>
  <c r="QFW116" i="8"/>
  <c r="QFV116" i="8"/>
  <c r="QFU116" i="8"/>
  <c r="QFT116" i="8"/>
  <c r="QFS116" i="8"/>
  <c r="QFR116" i="8"/>
  <c r="QFQ116" i="8"/>
  <c r="QFP116" i="8"/>
  <c r="QFO116" i="8"/>
  <c r="QFN116" i="8"/>
  <c r="QFM116" i="8"/>
  <c r="QFL116" i="8"/>
  <c r="QFK116" i="8"/>
  <c r="QFJ116" i="8"/>
  <c r="QFI116" i="8"/>
  <c r="QFH116" i="8"/>
  <c r="QFG116" i="8"/>
  <c r="QFF116" i="8"/>
  <c r="QFE116" i="8"/>
  <c r="QFD116" i="8"/>
  <c r="QFC116" i="8"/>
  <c r="QFB116" i="8"/>
  <c r="QFA116" i="8"/>
  <c r="QEZ116" i="8"/>
  <c r="QEY116" i="8"/>
  <c r="QEX116" i="8"/>
  <c r="QEW116" i="8"/>
  <c r="QEV116" i="8"/>
  <c r="QEU116" i="8"/>
  <c r="QET116" i="8"/>
  <c r="QES116" i="8"/>
  <c r="QER116" i="8"/>
  <c r="QEQ116" i="8"/>
  <c r="QEP116" i="8"/>
  <c r="QEO116" i="8"/>
  <c r="QEN116" i="8"/>
  <c r="QEM116" i="8"/>
  <c r="QEL116" i="8"/>
  <c r="QEK116" i="8"/>
  <c r="QEJ116" i="8"/>
  <c r="QEI116" i="8"/>
  <c r="QEH116" i="8"/>
  <c r="QEG116" i="8"/>
  <c r="QEF116" i="8"/>
  <c r="QEE116" i="8"/>
  <c r="QED116" i="8"/>
  <c r="QEC116" i="8"/>
  <c r="QEB116" i="8"/>
  <c r="QEA116" i="8"/>
  <c r="QDZ116" i="8"/>
  <c r="QDY116" i="8"/>
  <c r="QDX116" i="8"/>
  <c r="QDW116" i="8"/>
  <c r="QDV116" i="8"/>
  <c r="QDU116" i="8"/>
  <c r="QDT116" i="8"/>
  <c r="QDS116" i="8"/>
  <c r="QDR116" i="8"/>
  <c r="QDQ116" i="8"/>
  <c r="QDP116" i="8"/>
  <c r="QDO116" i="8"/>
  <c r="QDN116" i="8"/>
  <c r="QDM116" i="8"/>
  <c r="QDL116" i="8"/>
  <c r="QDK116" i="8"/>
  <c r="QDJ116" i="8"/>
  <c r="QDI116" i="8"/>
  <c r="QDH116" i="8"/>
  <c r="QDG116" i="8"/>
  <c r="QDF116" i="8"/>
  <c r="QDE116" i="8"/>
  <c r="QDD116" i="8"/>
  <c r="QDC116" i="8"/>
  <c r="QDB116" i="8"/>
  <c r="QDA116" i="8"/>
  <c r="QCZ116" i="8"/>
  <c r="QCY116" i="8"/>
  <c r="QCX116" i="8"/>
  <c r="QCW116" i="8"/>
  <c r="QCV116" i="8"/>
  <c r="QCU116" i="8"/>
  <c r="QCT116" i="8"/>
  <c r="QCS116" i="8"/>
  <c r="QCR116" i="8"/>
  <c r="QCQ116" i="8"/>
  <c r="QCP116" i="8"/>
  <c r="QCO116" i="8"/>
  <c r="QCN116" i="8"/>
  <c r="QCM116" i="8"/>
  <c r="QCL116" i="8"/>
  <c r="QCK116" i="8"/>
  <c r="QCJ116" i="8"/>
  <c r="QCI116" i="8"/>
  <c r="QCH116" i="8"/>
  <c r="QCG116" i="8"/>
  <c r="QCF116" i="8"/>
  <c r="QCE116" i="8"/>
  <c r="QCD116" i="8"/>
  <c r="QCC116" i="8"/>
  <c r="QCB116" i="8"/>
  <c r="QCA116" i="8"/>
  <c r="QBZ116" i="8"/>
  <c r="QBY116" i="8"/>
  <c r="QBX116" i="8"/>
  <c r="QBW116" i="8"/>
  <c r="QBV116" i="8"/>
  <c r="QBU116" i="8"/>
  <c r="QBT116" i="8"/>
  <c r="QBS116" i="8"/>
  <c r="QBR116" i="8"/>
  <c r="QBQ116" i="8"/>
  <c r="QBP116" i="8"/>
  <c r="QBO116" i="8"/>
  <c r="QBN116" i="8"/>
  <c r="QBM116" i="8"/>
  <c r="QBL116" i="8"/>
  <c r="QBK116" i="8"/>
  <c r="QBJ116" i="8"/>
  <c r="QBI116" i="8"/>
  <c r="QBH116" i="8"/>
  <c r="QBG116" i="8"/>
  <c r="QBF116" i="8"/>
  <c r="QBE116" i="8"/>
  <c r="QBD116" i="8"/>
  <c r="QBC116" i="8"/>
  <c r="QBB116" i="8"/>
  <c r="QBA116" i="8"/>
  <c r="QAZ116" i="8"/>
  <c r="QAY116" i="8"/>
  <c r="QAX116" i="8"/>
  <c r="QAW116" i="8"/>
  <c r="QAV116" i="8"/>
  <c r="QAU116" i="8"/>
  <c r="QAT116" i="8"/>
  <c r="QAS116" i="8"/>
  <c r="QAR116" i="8"/>
  <c r="QAQ116" i="8"/>
  <c r="QAP116" i="8"/>
  <c r="QAO116" i="8"/>
  <c r="QAN116" i="8"/>
  <c r="QAM116" i="8"/>
  <c r="QAL116" i="8"/>
  <c r="QAK116" i="8"/>
  <c r="QAJ116" i="8"/>
  <c r="QAI116" i="8"/>
  <c r="QAH116" i="8"/>
  <c r="QAG116" i="8"/>
  <c r="QAF116" i="8"/>
  <c r="QAE116" i="8"/>
  <c r="QAD116" i="8"/>
  <c r="QAC116" i="8"/>
  <c r="QAB116" i="8"/>
  <c r="QAA116" i="8"/>
  <c r="PZZ116" i="8"/>
  <c r="PZY116" i="8"/>
  <c r="PZX116" i="8"/>
  <c r="PZW116" i="8"/>
  <c r="PZV116" i="8"/>
  <c r="PZU116" i="8"/>
  <c r="PZT116" i="8"/>
  <c r="PZS116" i="8"/>
  <c r="PZR116" i="8"/>
  <c r="PZQ116" i="8"/>
  <c r="PZP116" i="8"/>
  <c r="PZO116" i="8"/>
  <c r="PZN116" i="8"/>
  <c r="PZM116" i="8"/>
  <c r="PZL116" i="8"/>
  <c r="PZK116" i="8"/>
  <c r="PZJ116" i="8"/>
  <c r="PZI116" i="8"/>
  <c r="PZH116" i="8"/>
  <c r="PZG116" i="8"/>
  <c r="PZF116" i="8"/>
  <c r="PZE116" i="8"/>
  <c r="PZD116" i="8"/>
  <c r="PZC116" i="8"/>
  <c r="PZB116" i="8"/>
  <c r="PZA116" i="8"/>
  <c r="PYZ116" i="8"/>
  <c r="PYY116" i="8"/>
  <c r="PYX116" i="8"/>
  <c r="PYW116" i="8"/>
  <c r="PYV116" i="8"/>
  <c r="PYU116" i="8"/>
  <c r="PYT116" i="8"/>
  <c r="PYS116" i="8"/>
  <c r="PYR116" i="8"/>
  <c r="PYQ116" i="8"/>
  <c r="PYP116" i="8"/>
  <c r="PYO116" i="8"/>
  <c r="PYN116" i="8"/>
  <c r="PYM116" i="8"/>
  <c r="PYL116" i="8"/>
  <c r="PYK116" i="8"/>
  <c r="PYJ116" i="8"/>
  <c r="PYI116" i="8"/>
  <c r="PYH116" i="8"/>
  <c r="PYG116" i="8"/>
  <c r="PYF116" i="8"/>
  <c r="PYE116" i="8"/>
  <c r="PYD116" i="8"/>
  <c r="PYC116" i="8"/>
  <c r="PYB116" i="8"/>
  <c r="PYA116" i="8"/>
  <c r="PXZ116" i="8"/>
  <c r="PXY116" i="8"/>
  <c r="PXX116" i="8"/>
  <c r="PXW116" i="8"/>
  <c r="PXV116" i="8"/>
  <c r="PXU116" i="8"/>
  <c r="PXT116" i="8"/>
  <c r="PXS116" i="8"/>
  <c r="PXR116" i="8"/>
  <c r="PXQ116" i="8"/>
  <c r="PXP116" i="8"/>
  <c r="PXO116" i="8"/>
  <c r="PXN116" i="8"/>
  <c r="PXM116" i="8"/>
  <c r="PXL116" i="8"/>
  <c r="PXK116" i="8"/>
  <c r="PXJ116" i="8"/>
  <c r="PXI116" i="8"/>
  <c r="PXH116" i="8"/>
  <c r="PXG116" i="8"/>
  <c r="PXF116" i="8"/>
  <c r="PXE116" i="8"/>
  <c r="PXD116" i="8"/>
  <c r="PXC116" i="8"/>
  <c r="PXB116" i="8"/>
  <c r="PXA116" i="8"/>
  <c r="PWZ116" i="8"/>
  <c r="PWY116" i="8"/>
  <c r="PWX116" i="8"/>
  <c r="PWW116" i="8"/>
  <c r="PWV116" i="8"/>
  <c r="PWU116" i="8"/>
  <c r="PWT116" i="8"/>
  <c r="PWS116" i="8"/>
  <c r="PWR116" i="8"/>
  <c r="PWQ116" i="8"/>
  <c r="PWP116" i="8"/>
  <c r="PWO116" i="8"/>
  <c r="PWN116" i="8"/>
  <c r="PWM116" i="8"/>
  <c r="PWL116" i="8"/>
  <c r="PWK116" i="8"/>
  <c r="PWJ116" i="8"/>
  <c r="PWI116" i="8"/>
  <c r="PWH116" i="8"/>
  <c r="PWG116" i="8"/>
  <c r="PWF116" i="8"/>
  <c r="PWE116" i="8"/>
  <c r="PWD116" i="8"/>
  <c r="PWC116" i="8"/>
  <c r="PWB116" i="8"/>
  <c r="PWA116" i="8"/>
  <c r="PVZ116" i="8"/>
  <c r="PVY116" i="8"/>
  <c r="PVX116" i="8"/>
  <c r="PVW116" i="8"/>
  <c r="PVV116" i="8"/>
  <c r="PVU116" i="8"/>
  <c r="PVT116" i="8"/>
  <c r="PVS116" i="8"/>
  <c r="PVR116" i="8"/>
  <c r="PVQ116" i="8"/>
  <c r="PVP116" i="8"/>
  <c r="PVO116" i="8"/>
  <c r="PVN116" i="8"/>
  <c r="PVM116" i="8"/>
  <c r="PVL116" i="8"/>
  <c r="PVK116" i="8"/>
  <c r="PVJ116" i="8"/>
  <c r="PVI116" i="8"/>
  <c r="PVH116" i="8"/>
  <c r="PVG116" i="8"/>
  <c r="PVF116" i="8"/>
  <c r="PVE116" i="8"/>
  <c r="PVD116" i="8"/>
  <c r="PVC116" i="8"/>
  <c r="PVB116" i="8"/>
  <c r="PVA116" i="8"/>
  <c r="PUZ116" i="8"/>
  <c r="PUY116" i="8"/>
  <c r="PUX116" i="8"/>
  <c r="PUW116" i="8"/>
  <c r="PUV116" i="8"/>
  <c r="PUU116" i="8"/>
  <c r="PUT116" i="8"/>
  <c r="PUS116" i="8"/>
  <c r="PUR116" i="8"/>
  <c r="PUQ116" i="8"/>
  <c r="PUP116" i="8"/>
  <c r="PUO116" i="8"/>
  <c r="PUN116" i="8"/>
  <c r="PUM116" i="8"/>
  <c r="PUL116" i="8"/>
  <c r="PUK116" i="8"/>
  <c r="PUJ116" i="8"/>
  <c r="PUI116" i="8"/>
  <c r="PUH116" i="8"/>
  <c r="PUG116" i="8"/>
  <c r="PUF116" i="8"/>
  <c r="PUE116" i="8"/>
  <c r="PUD116" i="8"/>
  <c r="PUC116" i="8"/>
  <c r="PUB116" i="8"/>
  <c r="PUA116" i="8"/>
  <c r="PTZ116" i="8"/>
  <c r="PTY116" i="8"/>
  <c r="PTX116" i="8"/>
  <c r="PTW116" i="8"/>
  <c r="PTV116" i="8"/>
  <c r="PTU116" i="8"/>
  <c r="PTT116" i="8"/>
  <c r="PTS116" i="8"/>
  <c r="PTR116" i="8"/>
  <c r="PTQ116" i="8"/>
  <c r="PTP116" i="8"/>
  <c r="PTO116" i="8"/>
  <c r="PTN116" i="8"/>
  <c r="PTM116" i="8"/>
  <c r="PTL116" i="8"/>
  <c r="PTK116" i="8"/>
  <c r="PTJ116" i="8"/>
  <c r="PTI116" i="8"/>
  <c r="PTH116" i="8"/>
  <c r="PTG116" i="8"/>
  <c r="PTF116" i="8"/>
  <c r="PTE116" i="8"/>
  <c r="PTD116" i="8"/>
  <c r="PTC116" i="8"/>
  <c r="PTB116" i="8"/>
  <c r="PTA116" i="8"/>
  <c r="PSZ116" i="8"/>
  <c r="PSY116" i="8"/>
  <c r="PSX116" i="8"/>
  <c r="PSW116" i="8"/>
  <c r="PSV116" i="8"/>
  <c r="PSU116" i="8"/>
  <c r="PST116" i="8"/>
  <c r="PSS116" i="8"/>
  <c r="PSR116" i="8"/>
  <c r="PSQ116" i="8"/>
  <c r="PSP116" i="8"/>
  <c r="PSO116" i="8"/>
  <c r="PSN116" i="8"/>
  <c r="PSM116" i="8"/>
  <c r="PSL116" i="8"/>
  <c r="PSK116" i="8"/>
  <c r="PSJ116" i="8"/>
  <c r="PSI116" i="8"/>
  <c r="PSH116" i="8"/>
  <c r="PSG116" i="8"/>
  <c r="PSF116" i="8"/>
  <c r="PSE116" i="8"/>
  <c r="PSD116" i="8"/>
  <c r="PSC116" i="8"/>
  <c r="PSB116" i="8"/>
  <c r="PSA116" i="8"/>
  <c r="PRZ116" i="8"/>
  <c r="PRY116" i="8"/>
  <c r="PRX116" i="8"/>
  <c r="PRW116" i="8"/>
  <c r="PRV116" i="8"/>
  <c r="PRU116" i="8"/>
  <c r="PRT116" i="8"/>
  <c r="PRS116" i="8"/>
  <c r="PRR116" i="8"/>
  <c r="PRQ116" i="8"/>
  <c r="PRP116" i="8"/>
  <c r="PRO116" i="8"/>
  <c r="PRN116" i="8"/>
  <c r="PRM116" i="8"/>
  <c r="PRL116" i="8"/>
  <c r="PRK116" i="8"/>
  <c r="PRJ116" i="8"/>
  <c r="PRI116" i="8"/>
  <c r="PRH116" i="8"/>
  <c r="PRG116" i="8"/>
  <c r="PRF116" i="8"/>
  <c r="PRE116" i="8"/>
  <c r="PRD116" i="8"/>
  <c r="PRC116" i="8"/>
  <c r="PRB116" i="8"/>
  <c r="PRA116" i="8"/>
  <c r="PQZ116" i="8"/>
  <c r="PQY116" i="8"/>
  <c r="PQX116" i="8"/>
  <c r="PQW116" i="8"/>
  <c r="PQV116" i="8"/>
  <c r="PQU116" i="8"/>
  <c r="PQT116" i="8"/>
  <c r="PQS116" i="8"/>
  <c r="PQR116" i="8"/>
  <c r="PQQ116" i="8"/>
  <c r="PQP116" i="8"/>
  <c r="PQO116" i="8"/>
  <c r="PQN116" i="8"/>
  <c r="PQM116" i="8"/>
  <c r="PQL116" i="8"/>
  <c r="PQK116" i="8"/>
  <c r="PQJ116" i="8"/>
  <c r="PQI116" i="8"/>
  <c r="PQH116" i="8"/>
  <c r="PQG116" i="8"/>
  <c r="PQF116" i="8"/>
  <c r="PQE116" i="8"/>
  <c r="PQD116" i="8"/>
  <c r="PQC116" i="8"/>
  <c r="PQB116" i="8"/>
  <c r="PQA116" i="8"/>
  <c r="PPZ116" i="8"/>
  <c r="PPY116" i="8"/>
  <c r="PPX116" i="8"/>
  <c r="PPW116" i="8"/>
  <c r="PPV116" i="8"/>
  <c r="PPU116" i="8"/>
  <c r="PPT116" i="8"/>
  <c r="PPS116" i="8"/>
  <c r="PPR116" i="8"/>
  <c r="PPQ116" i="8"/>
  <c r="PPP116" i="8"/>
  <c r="PPO116" i="8"/>
  <c r="PPN116" i="8"/>
  <c r="PPM116" i="8"/>
  <c r="PPL116" i="8"/>
  <c r="PPK116" i="8"/>
  <c r="PPJ116" i="8"/>
  <c r="PPI116" i="8"/>
  <c r="PPH116" i="8"/>
  <c r="PPG116" i="8"/>
  <c r="PPF116" i="8"/>
  <c r="PPE116" i="8"/>
  <c r="PPD116" i="8"/>
  <c r="PPC116" i="8"/>
  <c r="PPB116" i="8"/>
  <c r="PPA116" i="8"/>
  <c r="POZ116" i="8"/>
  <c r="POY116" i="8"/>
  <c r="POX116" i="8"/>
  <c r="POW116" i="8"/>
  <c r="POV116" i="8"/>
  <c r="POU116" i="8"/>
  <c r="POT116" i="8"/>
  <c r="POS116" i="8"/>
  <c r="POR116" i="8"/>
  <c r="POQ116" i="8"/>
  <c r="POP116" i="8"/>
  <c r="POO116" i="8"/>
  <c r="PON116" i="8"/>
  <c r="POM116" i="8"/>
  <c r="POL116" i="8"/>
  <c r="POK116" i="8"/>
  <c r="POJ116" i="8"/>
  <c r="POI116" i="8"/>
  <c r="POH116" i="8"/>
  <c r="POG116" i="8"/>
  <c r="POF116" i="8"/>
  <c r="POE116" i="8"/>
  <c r="POD116" i="8"/>
  <c r="POC116" i="8"/>
  <c r="POB116" i="8"/>
  <c r="POA116" i="8"/>
  <c r="PNZ116" i="8"/>
  <c r="PNY116" i="8"/>
  <c r="PNX116" i="8"/>
  <c r="PNW116" i="8"/>
  <c r="PNV116" i="8"/>
  <c r="PNU116" i="8"/>
  <c r="PNT116" i="8"/>
  <c r="PNS116" i="8"/>
  <c r="PNR116" i="8"/>
  <c r="PNQ116" i="8"/>
  <c r="PNP116" i="8"/>
  <c r="PNO116" i="8"/>
  <c r="PNN116" i="8"/>
  <c r="PNM116" i="8"/>
  <c r="PNL116" i="8"/>
  <c r="PNK116" i="8"/>
  <c r="PNJ116" i="8"/>
  <c r="PNI116" i="8"/>
  <c r="PNH116" i="8"/>
  <c r="PNG116" i="8"/>
  <c r="PNF116" i="8"/>
  <c r="PNE116" i="8"/>
  <c r="PND116" i="8"/>
  <c r="PNC116" i="8"/>
  <c r="PNB116" i="8"/>
  <c r="PNA116" i="8"/>
  <c r="PMZ116" i="8"/>
  <c r="PMY116" i="8"/>
  <c r="PMX116" i="8"/>
  <c r="PMW116" i="8"/>
  <c r="PMV116" i="8"/>
  <c r="PMU116" i="8"/>
  <c r="PMT116" i="8"/>
  <c r="PMS116" i="8"/>
  <c r="PMR116" i="8"/>
  <c r="PMQ116" i="8"/>
  <c r="PMP116" i="8"/>
  <c r="PMO116" i="8"/>
  <c r="PMN116" i="8"/>
  <c r="PMM116" i="8"/>
  <c r="PML116" i="8"/>
  <c r="PMK116" i="8"/>
  <c r="PMJ116" i="8"/>
  <c r="PMI116" i="8"/>
  <c r="PMH116" i="8"/>
  <c r="PMG116" i="8"/>
  <c r="PMF116" i="8"/>
  <c r="PME116" i="8"/>
  <c r="PMD116" i="8"/>
  <c r="PMC116" i="8"/>
  <c r="PMB116" i="8"/>
  <c r="PMA116" i="8"/>
  <c r="PLZ116" i="8"/>
  <c r="PLY116" i="8"/>
  <c r="PLX116" i="8"/>
  <c r="PLW116" i="8"/>
  <c r="PLV116" i="8"/>
  <c r="PLU116" i="8"/>
  <c r="PLT116" i="8"/>
  <c r="PLS116" i="8"/>
  <c r="PLR116" i="8"/>
  <c r="PLQ116" i="8"/>
  <c r="PLP116" i="8"/>
  <c r="PLO116" i="8"/>
  <c r="PLN116" i="8"/>
  <c r="PLM116" i="8"/>
  <c r="PLL116" i="8"/>
  <c r="PLK116" i="8"/>
  <c r="PLJ116" i="8"/>
  <c r="PLI116" i="8"/>
  <c r="PLH116" i="8"/>
  <c r="PLG116" i="8"/>
  <c r="PLF116" i="8"/>
  <c r="PLE116" i="8"/>
  <c r="PLD116" i="8"/>
  <c r="PLC116" i="8"/>
  <c r="PLB116" i="8"/>
  <c r="PLA116" i="8"/>
  <c r="PKZ116" i="8"/>
  <c r="PKY116" i="8"/>
  <c r="PKX116" i="8"/>
  <c r="PKW116" i="8"/>
  <c r="PKV116" i="8"/>
  <c r="PKU116" i="8"/>
  <c r="PKT116" i="8"/>
  <c r="PKS116" i="8"/>
  <c r="PKR116" i="8"/>
  <c r="PKQ116" i="8"/>
  <c r="PKP116" i="8"/>
  <c r="PKO116" i="8"/>
  <c r="PKN116" i="8"/>
  <c r="PKM116" i="8"/>
  <c r="PKL116" i="8"/>
  <c r="PKK116" i="8"/>
  <c r="PKJ116" i="8"/>
  <c r="PKI116" i="8"/>
  <c r="PKH116" i="8"/>
  <c r="PKG116" i="8"/>
  <c r="PKF116" i="8"/>
  <c r="PKE116" i="8"/>
  <c r="PKD116" i="8"/>
  <c r="PKC116" i="8"/>
  <c r="PKB116" i="8"/>
  <c r="PKA116" i="8"/>
  <c r="PJZ116" i="8"/>
  <c r="PJY116" i="8"/>
  <c r="PJX116" i="8"/>
  <c r="PJW116" i="8"/>
  <c r="PJV116" i="8"/>
  <c r="PJU116" i="8"/>
  <c r="PJT116" i="8"/>
  <c r="PJS116" i="8"/>
  <c r="PJR116" i="8"/>
  <c r="PJQ116" i="8"/>
  <c r="PJP116" i="8"/>
  <c r="PJO116" i="8"/>
  <c r="PJN116" i="8"/>
  <c r="PJM116" i="8"/>
  <c r="PJL116" i="8"/>
  <c r="PJK116" i="8"/>
  <c r="PJJ116" i="8"/>
  <c r="PJI116" i="8"/>
  <c r="PJH116" i="8"/>
  <c r="PJG116" i="8"/>
  <c r="PJF116" i="8"/>
  <c r="PJE116" i="8"/>
  <c r="PJD116" i="8"/>
  <c r="PJC116" i="8"/>
  <c r="PJB116" i="8"/>
  <c r="PJA116" i="8"/>
  <c r="PIZ116" i="8"/>
  <c r="PIY116" i="8"/>
  <c r="PIX116" i="8"/>
  <c r="PIW116" i="8"/>
  <c r="PIV116" i="8"/>
  <c r="PIU116" i="8"/>
  <c r="PIT116" i="8"/>
  <c r="PIS116" i="8"/>
  <c r="PIR116" i="8"/>
  <c r="PIQ116" i="8"/>
  <c r="PIP116" i="8"/>
  <c r="PIO116" i="8"/>
  <c r="PIN116" i="8"/>
  <c r="PIM116" i="8"/>
  <c r="PIL116" i="8"/>
  <c r="PIK116" i="8"/>
  <c r="PIJ116" i="8"/>
  <c r="PII116" i="8"/>
  <c r="PIH116" i="8"/>
  <c r="PIG116" i="8"/>
  <c r="PIF116" i="8"/>
  <c r="PIE116" i="8"/>
  <c r="PID116" i="8"/>
  <c r="PIC116" i="8"/>
  <c r="PIB116" i="8"/>
  <c r="PIA116" i="8"/>
  <c r="PHZ116" i="8"/>
  <c r="PHY116" i="8"/>
  <c r="PHX116" i="8"/>
  <c r="PHW116" i="8"/>
  <c r="PHV116" i="8"/>
  <c r="PHU116" i="8"/>
  <c r="PHT116" i="8"/>
  <c r="PHS116" i="8"/>
  <c r="PHR116" i="8"/>
  <c r="PHQ116" i="8"/>
  <c r="PHP116" i="8"/>
  <c r="PHO116" i="8"/>
  <c r="PHN116" i="8"/>
  <c r="PHM116" i="8"/>
  <c r="PHL116" i="8"/>
  <c r="PHK116" i="8"/>
  <c r="PHJ116" i="8"/>
  <c r="PHI116" i="8"/>
  <c r="PHH116" i="8"/>
  <c r="PHG116" i="8"/>
  <c r="PHF116" i="8"/>
  <c r="PHE116" i="8"/>
  <c r="PHD116" i="8"/>
  <c r="PHC116" i="8"/>
  <c r="PHB116" i="8"/>
  <c r="PHA116" i="8"/>
  <c r="PGZ116" i="8"/>
  <c r="PGY116" i="8"/>
  <c r="PGX116" i="8"/>
  <c r="PGW116" i="8"/>
  <c r="PGV116" i="8"/>
  <c r="PGU116" i="8"/>
  <c r="PGT116" i="8"/>
  <c r="PGS116" i="8"/>
  <c r="PGR116" i="8"/>
  <c r="PGQ116" i="8"/>
  <c r="PGP116" i="8"/>
  <c r="PGO116" i="8"/>
  <c r="PGN116" i="8"/>
  <c r="PGM116" i="8"/>
  <c r="PGL116" i="8"/>
  <c r="PGK116" i="8"/>
  <c r="PGJ116" i="8"/>
  <c r="PGI116" i="8"/>
  <c r="PGH116" i="8"/>
  <c r="PGG116" i="8"/>
  <c r="PGF116" i="8"/>
  <c r="PGE116" i="8"/>
  <c r="PGD116" i="8"/>
  <c r="PGC116" i="8"/>
  <c r="PGB116" i="8"/>
  <c r="PGA116" i="8"/>
  <c r="PFZ116" i="8"/>
  <c r="PFY116" i="8"/>
  <c r="PFX116" i="8"/>
  <c r="PFW116" i="8"/>
  <c r="PFV116" i="8"/>
  <c r="PFU116" i="8"/>
  <c r="PFT116" i="8"/>
  <c r="PFS116" i="8"/>
  <c r="PFR116" i="8"/>
  <c r="PFQ116" i="8"/>
  <c r="PFP116" i="8"/>
  <c r="PFO116" i="8"/>
  <c r="PFN116" i="8"/>
  <c r="PFM116" i="8"/>
  <c r="PFL116" i="8"/>
  <c r="PFK116" i="8"/>
  <c r="PFJ116" i="8"/>
  <c r="PFI116" i="8"/>
  <c r="PFH116" i="8"/>
  <c r="PFG116" i="8"/>
  <c r="PFF116" i="8"/>
  <c r="PFE116" i="8"/>
  <c r="PFD116" i="8"/>
  <c r="PFC116" i="8"/>
  <c r="PFB116" i="8"/>
  <c r="PFA116" i="8"/>
  <c r="PEZ116" i="8"/>
  <c r="PEY116" i="8"/>
  <c r="PEX116" i="8"/>
  <c r="PEW116" i="8"/>
  <c r="PEV116" i="8"/>
  <c r="PEU116" i="8"/>
  <c r="PET116" i="8"/>
  <c r="PES116" i="8"/>
  <c r="PER116" i="8"/>
  <c r="PEQ116" i="8"/>
  <c r="PEP116" i="8"/>
  <c r="PEO116" i="8"/>
  <c r="PEN116" i="8"/>
  <c r="PEM116" i="8"/>
  <c r="PEL116" i="8"/>
  <c r="PEK116" i="8"/>
  <c r="PEJ116" i="8"/>
  <c r="PEI116" i="8"/>
  <c r="PEH116" i="8"/>
  <c r="PEG116" i="8"/>
  <c r="PEF116" i="8"/>
  <c r="PEE116" i="8"/>
  <c r="PED116" i="8"/>
  <c r="PEC116" i="8"/>
  <c r="PEB116" i="8"/>
  <c r="PEA116" i="8"/>
  <c r="PDZ116" i="8"/>
  <c r="PDY116" i="8"/>
  <c r="PDX116" i="8"/>
  <c r="PDW116" i="8"/>
  <c r="PDV116" i="8"/>
  <c r="PDU116" i="8"/>
  <c r="PDT116" i="8"/>
  <c r="PDS116" i="8"/>
  <c r="PDR116" i="8"/>
  <c r="PDQ116" i="8"/>
  <c r="PDP116" i="8"/>
  <c r="PDO116" i="8"/>
  <c r="PDN116" i="8"/>
  <c r="PDM116" i="8"/>
  <c r="PDL116" i="8"/>
  <c r="PDK116" i="8"/>
  <c r="PDJ116" i="8"/>
  <c r="PDI116" i="8"/>
  <c r="PDH116" i="8"/>
  <c r="PDG116" i="8"/>
  <c r="PDF116" i="8"/>
  <c r="PDE116" i="8"/>
  <c r="PDD116" i="8"/>
  <c r="PDC116" i="8"/>
  <c r="PDB116" i="8"/>
  <c r="PDA116" i="8"/>
  <c r="PCZ116" i="8"/>
  <c r="PCY116" i="8"/>
  <c r="PCX116" i="8"/>
  <c r="PCW116" i="8"/>
  <c r="PCV116" i="8"/>
  <c r="PCU116" i="8"/>
  <c r="PCT116" i="8"/>
  <c r="PCS116" i="8"/>
  <c r="PCR116" i="8"/>
  <c r="PCQ116" i="8"/>
  <c r="PCP116" i="8"/>
  <c r="PCO116" i="8"/>
  <c r="PCN116" i="8"/>
  <c r="PCM116" i="8"/>
  <c r="PCL116" i="8"/>
  <c r="PCK116" i="8"/>
  <c r="PCJ116" i="8"/>
  <c r="PCI116" i="8"/>
  <c r="PCH116" i="8"/>
  <c r="PCG116" i="8"/>
  <c r="PCF116" i="8"/>
  <c r="PCE116" i="8"/>
  <c r="PCD116" i="8"/>
  <c r="PCC116" i="8"/>
  <c r="PCB116" i="8"/>
  <c r="PCA116" i="8"/>
  <c r="PBZ116" i="8"/>
  <c r="PBY116" i="8"/>
  <c r="PBX116" i="8"/>
  <c r="PBW116" i="8"/>
  <c r="PBV116" i="8"/>
  <c r="PBU116" i="8"/>
  <c r="PBT116" i="8"/>
  <c r="PBS116" i="8"/>
  <c r="PBR116" i="8"/>
  <c r="PBQ116" i="8"/>
  <c r="PBP116" i="8"/>
  <c r="PBO116" i="8"/>
  <c r="PBN116" i="8"/>
  <c r="PBM116" i="8"/>
  <c r="PBL116" i="8"/>
  <c r="PBK116" i="8"/>
  <c r="PBJ116" i="8"/>
  <c r="PBI116" i="8"/>
  <c r="PBH116" i="8"/>
  <c r="PBG116" i="8"/>
  <c r="PBF116" i="8"/>
  <c r="PBE116" i="8"/>
  <c r="PBD116" i="8"/>
  <c r="PBC116" i="8"/>
  <c r="PBB116" i="8"/>
  <c r="PBA116" i="8"/>
  <c r="PAZ116" i="8"/>
  <c r="PAY116" i="8"/>
  <c r="PAX116" i="8"/>
  <c r="PAW116" i="8"/>
  <c r="PAV116" i="8"/>
  <c r="PAU116" i="8"/>
  <c r="PAT116" i="8"/>
  <c r="PAS116" i="8"/>
  <c r="PAR116" i="8"/>
  <c r="PAQ116" i="8"/>
  <c r="PAP116" i="8"/>
  <c r="PAO116" i="8"/>
  <c r="PAN116" i="8"/>
  <c r="PAM116" i="8"/>
  <c r="PAL116" i="8"/>
  <c r="PAK116" i="8"/>
  <c r="PAJ116" i="8"/>
  <c r="PAI116" i="8"/>
  <c r="PAH116" i="8"/>
  <c r="PAG116" i="8"/>
  <c r="PAF116" i="8"/>
  <c r="PAE116" i="8"/>
  <c r="PAD116" i="8"/>
  <c r="PAC116" i="8"/>
  <c r="PAB116" i="8"/>
  <c r="PAA116" i="8"/>
  <c r="OZZ116" i="8"/>
  <c r="OZY116" i="8"/>
  <c r="OZX116" i="8"/>
  <c r="OZW116" i="8"/>
  <c r="OZV116" i="8"/>
  <c r="OZU116" i="8"/>
  <c r="OZT116" i="8"/>
  <c r="OZS116" i="8"/>
  <c r="OZR116" i="8"/>
  <c r="OZQ116" i="8"/>
  <c r="OZP116" i="8"/>
  <c r="OZO116" i="8"/>
  <c r="OZN116" i="8"/>
  <c r="OZM116" i="8"/>
  <c r="OZL116" i="8"/>
  <c r="OZK116" i="8"/>
  <c r="OZJ116" i="8"/>
  <c r="OZI116" i="8"/>
  <c r="OZH116" i="8"/>
  <c r="OZG116" i="8"/>
  <c r="OZF116" i="8"/>
  <c r="OZE116" i="8"/>
  <c r="OZD116" i="8"/>
  <c r="OZC116" i="8"/>
  <c r="OZB116" i="8"/>
  <c r="OZA116" i="8"/>
  <c r="OYZ116" i="8"/>
  <c r="OYY116" i="8"/>
  <c r="OYX116" i="8"/>
  <c r="OYW116" i="8"/>
  <c r="OYV116" i="8"/>
  <c r="OYU116" i="8"/>
  <c r="OYT116" i="8"/>
  <c r="OYS116" i="8"/>
  <c r="OYR116" i="8"/>
  <c r="OYQ116" i="8"/>
  <c r="OYP116" i="8"/>
  <c r="OYO116" i="8"/>
  <c r="OYN116" i="8"/>
  <c r="OYM116" i="8"/>
  <c r="OYL116" i="8"/>
  <c r="OYK116" i="8"/>
  <c r="OYJ116" i="8"/>
  <c r="OYI116" i="8"/>
  <c r="OYH116" i="8"/>
  <c r="OYG116" i="8"/>
  <c r="OYF116" i="8"/>
  <c r="OYE116" i="8"/>
  <c r="OYD116" i="8"/>
  <c r="OYC116" i="8"/>
  <c r="OYB116" i="8"/>
  <c r="OYA116" i="8"/>
  <c r="OXZ116" i="8"/>
  <c r="OXY116" i="8"/>
  <c r="OXX116" i="8"/>
  <c r="OXW116" i="8"/>
  <c r="OXV116" i="8"/>
  <c r="OXU116" i="8"/>
  <c r="OXT116" i="8"/>
  <c r="OXS116" i="8"/>
  <c r="OXR116" i="8"/>
  <c r="OXQ116" i="8"/>
  <c r="OXP116" i="8"/>
  <c r="OXO116" i="8"/>
  <c r="OXN116" i="8"/>
  <c r="OXM116" i="8"/>
  <c r="OXL116" i="8"/>
  <c r="OXK116" i="8"/>
  <c r="OXJ116" i="8"/>
  <c r="OXI116" i="8"/>
  <c r="OXH116" i="8"/>
  <c r="OXG116" i="8"/>
  <c r="OXF116" i="8"/>
  <c r="OXE116" i="8"/>
  <c r="OXD116" i="8"/>
  <c r="OXC116" i="8"/>
  <c r="OXB116" i="8"/>
  <c r="OXA116" i="8"/>
  <c r="OWZ116" i="8"/>
  <c r="OWY116" i="8"/>
  <c r="OWX116" i="8"/>
  <c r="OWW116" i="8"/>
  <c r="OWV116" i="8"/>
  <c r="OWU116" i="8"/>
  <c r="OWT116" i="8"/>
  <c r="OWS116" i="8"/>
  <c r="OWR116" i="8"/>
  <c r="OWQ116" i="8"/>
  <c r="OWP116" i="8"/>
  <c r="OWO116" i="8"/>
  <c r="OWN116" i="8"/>
  <c r="OWM116" i="8"/>
  <c r="OWL116" i="8"/>
  <c r="OWK116" i="8"/>
  <c r="OWJ116" i="8"/>
  <c r="OWI116" i="8"/>
  <c r="OWH116" i="8"/>
  <c r="OWG116" i="8"/>
  <c r="OWF116" i="8"/>
  <c r="OWE116" i="8"/>
  <c r="OWD116" i="8"/>
  <c r="OWC116" i="8"/>
  <c r="OWB116" i="8"/>
  <c r="OWA116" i="8"/>
  <c r="OVZ116" i="8"/>
  <c r="OVY116" i="8"/>
  <c r="OVX116" i="8"/>
  <c r="OVW116" i="8"/>
  <c r="OVV116" i="8"/>
  <c r="OVU116" i="8"/>
  <c r="OVT116" i="8"/>
  <c r="OVS116" i="8"/>
  <c r="OVR116" i="8"/>
  <c r="OVQ116" i="8"/>
  <c r="OVP116" i="8"/>
  <c r="OVO116" i="8"/>
  <c r="OVN116" i="8"/>
  <c r="OVM116" i="8"/>
  <c r="OVL116" i="8"/>
  <c r="OVK116" i="8"/>
  <c r="OVJ116" i="8"/>
  <c r="OVI116" i="8"/>
  <c r="OVH116" i="8"/>
  <c r="OVG116" i="8"/>
  <c r="OVF116" i="8"/>
  <c r="OVE116" i="8"/>
  <c r="OVD116" i="8"/>
  <c r="OVC116" i="8"/>
  <c r="OVB116" i="8"/>
  <c r="OVA116" i="8"/>
  <c r="OUZ116" i="8"/>
  <c r="OUY116" i="8"/>
  <c r="OUX116" i="8"/>
  <c r="OUW116" i="8"/>
  <c r="OUV116" i="8"/>
  <c r="OUU116" i="8"/>
  <c r="OUT116" i="8"/>
  <c r="OUS116" i="8"/>
  <c r="OUR116" i="8"/>
  <c r="OUQ116" i="8"/>
  <c r="OUP116" i="8"/>
  <c r="OUO116" i="8"/>
  <c r="OUN116" i="8"/>
  <c r="OUM116" i="8"/>
  <c r="OUL116" i="8"/>
  <c r="OUK116" i="8"/>
  <c r="OUJ116" i="8"/>
  <c r="OUI116" i="8"/>
  <c r="OUH116" i="8"/>
  <c r="OUG116" i="8"/>
  <c r="OUF116" i="8"/>
  <c r="OUE116" i="8"/>
  <c r="OUD116" i="8"/>
  <c r="OUC116" i="8"/>
  <c r="OUB116" i="8"/>
  <c r="OUA116" i="8"/>
  <c r="OTZ116" i="8"/>
  <c r="OTY116" i="8"/>
  <c r="OTX116" i="8"/>
  <c r="OTW116" i="8"/>
  <c r="OTV116" i="8"/>
  <c r="OTU116" i="8"/>
  <c r="OTT116" i="8"/>
  <c r="OTS116" i="8"/>
  <c r="OTR116" i="8"/>
  <c r="OTQ116" i="8"/>
  <c r="OTP116" i="8"/>
  <c r="OTO116" i="8"/>
  <c r="OTN116" i="8"/>
  <c r="OTM116" i="8"/>
  <c r="OTL116" i="8"/>
  <c r="OTK116" i="8"/>
  <c r="OTJ116" i="8"/>
  <c r="OTI116" i="8"/>
  <c r="OTH116" i="8"/>
  <c r="OTG116" i="8"/>
  <c r="OTF116" i="8"/>
  <c r="OTE116" i="8"/>
  <c r="OTD116" i="8"/>
  <c r="OTC116" i="8"/>
  <c r="OTB116" i="8"/>
  <c r="OTA116" i="8"/>
  <c r="OSZ116" i="8"/>
  <c r="OSY116" i="8"/>
  <c r="OSX116" i="8"/>
  <c r="OSW116" i="8"/>
  <c r="OSV116" i="8"/>
  <c r="OSU116" i="8"/>
  <c r="OST116" i="8"/>
  <c r="OSS116" i="8"/>
  <c r="OSR116" i="8"/>
  <c r="OSQ116" i="8"/>
  <c r="OSP116" i="8"/>
  <c r="OSO116" i="8"/>
  <c r="OSN116" i="8"/>
  <c r="OSM116" i="8"/>
  <c r="OSL116" i="8"/>
  <c r="OSK116" i="8"/>
  <c r="OSJ116" i="8"/>
  <c r="OSI116" i="8"/>
  <c r="OSH116" i="8"/>
  <c r="OSG116" i="8"/>
  <c r="OSF116" i="8"/>
  <c r="OSE116" i="8"/>
  <c r="OSD116" i="8"/>
  <c r="OSC116" i="8"/>
  <c r="OSB116" i="8"/>
  <c r="OSA116" i="8"/>
  <c r="ORZ116" i="8"/>
  <c r="ORY116" i="8"/>
  <c r="ORX116" i="8"/>
  <c r="ORW116" i="8"/>
  <c r="ORV116" i="8"/>
  <c r="ORU116" i="8"/>
  <c r="ORT116" i="8"/>
  <c r="ORS116" i="8"/>
  <c r="ORR116" i="8"/>
  <c r="ORQ116" i="8"/>
  <c r="ORP116" i="8"/>
  <c r="ORO116" i="8"/>
  <c r="ORN116" i="8"/>
  <c r="ORM116" i="8"/>
  <c r="ORL116" i="8"/>
  <c r="ORK116" i="8"/>
  <c r="ORJ116" i="8"/>
  <c r="ORI116" i="8"/>
  <c r="ORH116" i="8"/>
  <c r="ORG116" i="8"/>
  <c r="ORF116" i="8"/>
  <c r="ORE116" i="8"/>
  <c r="ORD116" i="8"/>
  <c r="ORC116" i="8"/>
  <c r="ORB116" i="8"/>
  <c r="ORA116" i="8"/>
  <c r="OQZ116" i="8"/>
  <c r="OQY116" i="8"/>
  <c r="OQX116" i="8"/>
  <c r="OQW116" i="8"/>
  <c r="OQV116" i="8"/>
  <c r="OQU116" i="8"/>
  <c r="OQT116" i="8"/>
  <c r="OQS116" i="8"/>
  <c r="OQR116" i="8"/>
  <c r="OQQ116" i="8"/>
  <c r="OQP116" i="8"/>
  <c r="OQO116" i="8"/>
  <c r="OQN116" i="8"/>
  <c r="OQM116" i="8"/>
  <c r="OQL116" i="8"/>
  <c r="OQK116" i="8"/>
  <c r="OQJ116" i="8"/>
  <c r="OQI116" i="8"/>
  <c r="OQH116" i="8"/>
  <c r="OQG116" i="8"/>
  <c r="OQF116" i="8"/>
  <c r="OQE116" i="8"/>
  <c r="OQD116" i="8"/>
  <c r="OQC116" i="8"/>
  <c r="OQB116" i="8"/>
  <c r="OQA116" i="8"/>
  <c r="OPZ116" i="8"/>
  <c r="OPY116" i="8"/>
  <c r="OPX116" i="8"/>
  <c r="OPW116" i="8"/>
  <c r="OPV116" i="8"/>
  <c r="OPU116" i="8"/>
  <c r="OPT116" i="8"/>
  <c r="OPS116" i="8"/>
  <c r="OPR116" i="8"/>
  <c r="OPQ116" i="8"/>
  <c r="OPP116" i="8"/>
  <c r="OPO116" i="8"/>
  <c r="OPN116" i="8"/>
  <c r="OPM116" i="8"/>
  <c r="OPL116" i="8"/>
  <c r="OPK116" i="8"/>
  <c r="OPJ116" i="8"/>
  <c r="OPI116" i="8"/>
  <c r="OPH116" i="8"/>
  <c r="OPG116" i="8"/>
  <c r="OPF116" i="8"/>
  <c r="OPE116" i="8"/>
  <c r="OPD116" i="8"/>
  <c r="OPC116" i="8"/>
  <c r="OPB116" i="8"/>
  <c r="OPA116" i="8"/>
  <c r="OOZ116" i="8"/>
  <c r="OOY116" i="8"/>
  <c r="OOX116" i="8"/>
  <c r="OOW116" i="8"/>
  <c r="OOV116" i="8"/>
  <c r="OOU116" i="8"/>
  <c r="OOT116" i="8"/>
  <c r="OOS116" i="8"/>
  <c r="OOR116" i="8"/>
  <c r="OOQ116" i="8"/>
  <c r="OOP116" i="8"/>
  <c r="OOO116" i="8"/>
  <c r="OON116" i="8"/>
  <c r="OOM116" i="8"/>
  <c r="OOL116" i="8"/>
  <c r="OOK116" i="8"/>
  <c r="OOJ116" i="8"/>
  <c r="OOI116" i="8"/>
  <c r="OOH116" i="8"/>
  <c r="OOG116" i="8"/>
  <c r="OOF116" i="8"/>
  <c r="OOE116" i="8"/>
  <c r="OOD116" i="8"/>
  <c r="OOC116" i="8"/>
  <c r="OOB116" i="8"/>
  <c r="OOA116" i="8"/>
  <c r="ONZ116" i="8"/>
  <c r="ONY116" i="8"/>
  <c r="ONX116" i="8"/>
  <c r="ONW116" i="8"/>
  <c r="ONV116" i="8"/>
  <c r="ONU116" i="8"/>
  <c r="ONT116" i="8"/>
  <c r="ONS116" i="8"/>
  <c r="ONR116" i="8"/>
  <c r="ONQ116" i="8"/>
  <c r="ONP116" i="8"/>
  <c r="ONO116" i="8"/>
  <c r="ONN116" i="8"/>
  <c r="ONM116" i="8"/>
  <c r="ONL116" i="8"/>
  <c r="ONK116" i="8"/>
  <c r="ONJ116" i="8"/>
  <c r="ONI116" i="8"/>
  <c r="ONH116" i="8"/>
  <c r="ONG116" i="8"/>
  <c r="ONF116" i="8"/>
  <c r="ONE116" i="8"/>
  <c r="OND116" i="8"/>
  <c r="ONC116" i="8"/>
  <c r="ONB116" i="8"/>
  <c r="ONA116" i="8"/>
  <c r="OMZ116" i="8"/>
  <c r="OMY116" i="8"/>
  <c r="OMX116" i="8"/>
  <c r="OMW116" i="8"/>
  <c r="OMV116" i="8"/>
  <c r="OMU116" i="8"/>
  <c r="OMT116" i="8"/>
  <c r="OMS116" i="8"/>
  <c r="OMR116" i="8"/>
  <c r="OMQ116" i="8"/>
  <c r="OMP116" i="8"/>
  <c r="OMO116" i="8"/>
  <c r="OMN116" i="8"/>
  <c r="OMM116" i="8"/>
  <c r="OML116" i="8"/>
  <c r="OMK116" i="8"/>
  <c r="OMJ116" i="8"/>
  <c r="OMI116" i="8"/>
  <c r="OMH116" i="8"/>
  <c r="OMG116" i="8"/>
  <c r="OMF116" i="8"/>
  <c r="OME116" i="8"/>
  <c r="OMD116" i="8"/>
  <c r="OMC116" i="8"/>
  <c r="OMB116" i="8"/>
  <c r="OMA116" i="8"/>
  <c r="OLZ116" i="8"/>
  <c r="OLY116" i="8"/>
  <c r="OLX116" i="8"/>
  <c r="OLW116" i="8"/>
  <c r="OLV116" i="8"/>
  <c r="OLU116" i="8"/>
  <c r="OLT116" i="8"/>
  <c r="OLS116" i="8"/>
  <c r="OLR116" i="8"/>
  <c r="OLQ116" i="8"/>
  <c r="OLP116" i="8"/>
  <c r="OLO116" i="8"/>
  <c r="OLN116" i="8"/>
  <c r="OLM116" i="8"/>
  <c r="OLL116" i="8"/>
  <c r="OLK116" i="8"/>
  <c r="OLJ116" i="8"/>
  <c r="OLI116" i="8"/>
  <c r="OLH116" i="8"/>
  <c r="OLG116" i="8"/>
  <c r="OLF116" i="8"/>
  <c r="OLE116" i="8"/>
  <c r="OLD116" i="8"/>
  <c r="OLC116" i="8"/>
  <c r="OLB116" i="8"/>
  <c r="OLA116" i="8"/>
  <c r="OKZ116" i="8"/>
  <c r="OKY116" i="8"/>
  <c r="OKX116" i="8"/>
  <c r="OKW116" i="8"/>
  <c r="OKV116" i="8"/>
  <c r="OKU116" i="8"/>
  <c r="OKT116" i="8"/>
  <c r="OKS116" i="8"/>
  <c r="OKR116" i="8"/>
  <c r="OKQ116" i="8"/>
  <c r="OKP116" i="8"/>
  <c r="OKO116" i="8"/>
  <c r="OKN116" i="8"/>
  <c r="OKM116" i="8"/>
  <c r="OKL116" i="8"/>
  <c r="OKK116" i="8"/>
  <c r="OKJ116" i="8"/>
  <c r="OKI116" i="8"/>
  <c r="OKH116" i="8"/>
  <c r="OKG116" i="8"/>
  <c r="OKF116" i="8"/>
  <c r="OKE116" i="8"/>
  <c r="OKD116" i="8"/>
  <c r="OKC116" i="8"/>
  <c r="OKB116" i="8"/>
  <c r="OKA116" i="8"/>
  <c r="OJZ116" i="8"/>
  <c r="OJY116" i="8"/>
  <c r="OJX116" i="8"/>
  <c r="OJW116" i="8"/>
  <c r="OJV116" i="8"/>
  <c r="OJU116" i="8"/>
  <c r="OJT116" i="8"/>
  <c r="OJS116" i="8"/>
  <c r="OJR116" i="8"/>
  <c r="OJQ116" i="8"/>
  <c r="OJP116" i="8"/>
  <c r="OJO116" i="8"/>
  <c r="OJN116" i="8"/>
  <c r="OJM116" i="8"/>
  <c r="OJL116" i="8"/>
  <c r="OJK116" i="8"/>
  <c r="OJJ116" i="8"/>
  <c r="OJI116" i="8"/>
  <c r="OJH116" i="8"/>
  <c r="OJG116" i="8"/>
  <c r="OJF116" i="8"/>
  <c r="OJE116" i="8"/>
  <c r="OJD116" i="8"/>
  <c r="OJC116" i="8"/>
  <c r="OJB116" i="8"/>
  <c r="OJA116" i="8"/>
  <c r="OIZ116" i="8"/>
  <c r="OIY116" i="8"/>
  <c r="OIX116" i="8"/>
  <c r="OIW116" i="8"/>
  <c r="OIV116" i="8"/>
  <c r="OIU116" i="8"/>
  <c r="OIT116" i="8"/>
  <c r="OIS116" i="8"/>
  <c r="OIR116" i="8"/>
  <c r="OIQ116" i="8"/>
  <c r="OIP116" i="8"/>
  <c r="OIO116" i="8"/>
  <c r="OIN116" i="8"/>
  <c r="OIM116" i="8"/>
  <c r="OIL116" i="8"/>
  <c r="OIK116" i="8"/>
  <c r="OIJ116" i="8"/>
  <c r="OII116" i="8"/>
  <c r="OIH116" i="8"/>
  <c r="OIG116" i="8"/>
  <c r="OIF116" i="8"/>
  <c r="OIE116" i="8"/>
  <c r="OID116" i="8"/>
  <c r="OIC116" i="8"/>
  <c r="OIB116" i="8"/>
  <c r="OIA116" i="8"/>
  <c r="OHZ116" i="8"/>
  <c r="OHY116" i="8"/>
  <c r="OHX116" i="8"/>
  <c r="OHW116" i="8"/>
  <c r="OHV116" i="8"/>
  <c r="OHU116" i="8"/>
  <c r="OHT116" i="8"/>
  <c r="OHS116" i="8"/>
  <c r="OHR116" i="8"/>
  <c r="OHQ116" i="8"/>
  <c r="OHP116" i="8"/>
  <c r="OHO116" i="8"/>
  <c r="OHN116" i="8"/>
  <c r="OHM116" i="8"/>
  <c r="OHL116" i="8"/>
  <c r="OHK116" i="8"/>
  <c r="OHJ116" i="8"/>
  <c r="OHI116" i="8"/>
  <c r="OHH116" i="8"/>
  <c r="OHG116" i="8"/>
  <c r="OHF116" i="8"/>
  <c r="OHE116" i="8"/>
  <c r="OHD116" i="8"/>
  <c r="OHC116" i="8"/>
  <c r="OHB116" i="8"/>
  <c r="OHA116" i="8"/>
  <c r="OGZ116" i="8"/>
  <c r="OGY116" i="8"/>
  <c r="OGX116" i="8"/>
  <c r="OGW116" i="8"/>
  <c r="OGV116" i="8"/>
  <c r="OGU116" i="8"/>
  <c r="OGT116" i="8"/>
  <c r="OGS116" i="8"/>
  <c r="OGR116" i="8"/>
  <c r="OGQ116" i="8"/>
  <c r="OGP116" i="8"/>
  <c r="OGO116" i="8"/>
  <c r="OGN116" i="8"/>
  <c r="OGM116" i="8"/>
  <c r="OGL116" i="8"/>
  <c r="OGK116" i="8"/>
  <c r="OGJ116" i="8"/>
  <c r="OGI116" i="8"/>
  <c r="OGH116" i="8"/>
  <c r="OGG116" i="8"/>
  <c r="OGF116" i="8"/>
  <c r="OGE116" i="8"/>
  <c r="OGD116" i="8"/>
  <c r="OGC116" i="8"/>
  <c r="OGB116" i="8"/>
  <c r="OGA116" i="8"/>
  <c r="OFZ116" i="8"/>
  <c r="OFY116" i="8"/>
  <c r="OFX116" i="8"/>
  <c r="OFW116" i="8"/>
  <c r="OFV116" i="8"/>
  <c r="OFU116" i="8"/>
  <c r="OFT116" i="8"/>
  <c r="OFS116" i="8"/>
  <c r="OFR116" i="8"/>
  <c r="OFQ116" i="8"/>
  <c r="OFP116" i="8"/>
  <c r="OFO116" i="8"/>
  <c r="OFN116" i="8"/>
  <c r="OFM116" i="8"/>
  <c r="OFL116" i="8"/>
  <c r="OFK116" i="8"/>
  <c r="OFJ116" i="8"/>
  <c r="OFI116" i="8"/>
  <c r="OFH116" i="8"/>
  <c r="OFG116" i="8"/>
  <c r="OFF116" i="8"/>
  <c r="OFE116" i="8"/>
  <c r="OFD116" i="8"/>
  <c r="OFC116" i="8"/>
  <c r="OFB116" i="8"/>
  <c r="OFA116" i="8"/>
  <c r="OEZ116" i="8"/>
  <c r="OEY116" i="8"/>
  <c r="OEX116" i="8"/>
  <c r="OEW116" i="8"/>
  <c r="OEV116" i="8"/>
  <c r="OEU116" i="8"/>
  <c r="OET116" i="8"/>
  <c r="OES116" i="8"/>
  <c r="OER116" i="8"/>
  <c r="OEQ116" i="8"/>
  <c r="OEP116" i="8"/>
  <c r="OEO116" i="8"/>
  <c r="OEN116" i="8"/>
  <c r="OEM116" i="8"/>
  <c r="OEL116" i="8"/>
  <c r="OEK116" i="8"/>
  <c r="OEJ116" i="8"/>
  <c r="OEI116" i="8"/>
  <c r="OEH116" i="8"/>
  <c r="OEG116" i="8"/>
  <c r="OEF116" i="8"/>
  <c r="OEE116" i="8"/>
  <c r="OED116" i="8"/>
  <c r="OEC116" i="8"/>
  <c r="OEB116" i="8"/>
  <c r="OEA116" i="8"/>
  <c r="ODZ116" i="8"/>
  <c r="ODY116" i="8"/>
  <c r="ODX116" i="8"/>
  <c r="ODW116" i="8"/>
  <c r="ODV116" i="8"/>
  <c r="ODU116" i="8"/>
  <c r="ODT116" i="8"/>
  <c r="ODS116" i="8"/>
  <c r="ODR116" i="8"/>
  <c r="ODQ116" i="8"/>
  <c r="ODP116" i="8"/>
  <c r="ODO116" i="8"/>
  <c r="ODN116" i="8"/>
  <c r="ODM116" i="8"/>
  <c r="ODL116" i="8"/>
  <c r="ODK116" i="8"/>
  <c r="ODJ116" i="8"/>
  <c r="ODI116" i="8"/>
  <c r="ODH116" i="8"/>
  <c r="ODG116" i="8"/>
  <c r="ODF116" i="8"/>
  <c r="ODE116" i="8"/>
  <c r="ODD116" i="8"/>
  <c r="ODC116" i="8"/>
  <c r="ODB116" i="8"/>
  <c r="ODA116" i="8"/>
  <c r="OCZ116" i="8"/>
  <c r="OCY116" i="8"/>
  <c r="OCX116" i="8"/>
  <c r="OCW116" i="8"/>
  <c r="OCV116" i="8"/>
  <c r="OCU116" i="8"/>
  <c r="OCT116" i="8"/>
  <c r="OCS116" i="8"/>
  <c r="OCR116" i="8"/>
  <c r="OCQ116" i="8"/>
  <c r="OCP116" i="8"/>
  <c r="OCO116" i="8"/>
  <c r="OCN116" i="8"/>
  <c r="OCM116" i="8"/>
  <c r="OCL116" i="8"/>
  <c r="OCK116" i="8"/>
  <c r="OCJ116" i="8"/>
  <c r="OCI116" i="8"/>
  <c r="OCH116" i="8"/>
  <c r="OCG116" i="8"/>
  <c r="OCF116" i="8"/>
  <c r="OCE116" i="8"/>
  <c r="OCD116" i="8"/>
  <c r="OCC116" i="8"/>
  <c r="OCB116" i="8"/>
  <c r="OCA116" i="8"/>
  <c r="OBZ116" i="8"/>
  <c r="OBY116" i="8"/>
  <c r="OBX116" i="8"/>
  <c r="OBW116" i="8"/>
  <c r="OBV116" i="8"/>
  <c r="OBU116" i="8"/>
  <c r="OBT116" i="8"/>
  <c r="OBS116" i="8"/>
  <c r="OBR116" i="8"/>
  <c r="OBQ116" i="8"/>
  <c r="OBP116" i="8"/>
  <c r="OBO116" i="8"/>
  <c r="OBN116" i="8"/>
  <c r="OBM116" i="8"/>
  <c r="OBL116" i="8"/>
  <c r="OBK116" i="8"/>
  <c r="OBJ116" i="8"/>
  <c r="OBI116" i="8"/>
  <c r="OBH116" i="8"/>
  <c r="OBG116" i="8"/>
  <c r="OBF116" i="8"/>
  <c r="OBE116" i="8"/>
  <c r="OBD116" i="8"/>
  <c r="OBC116" i="8"/>
  <c r="OBB116" i="8"/>
  <c r="OBA116" i="8"/>
  <c r="OAZ116" i="8"/>
  <c r="OAY116" i="8"/>
  <c r="OAX116" i="8"/>
  <c r="OAW116" i="8"/>
  <c r="OAV116" i="8"/>
  <c r="OAU116" i="8"/>
  <c r="OAT116" i="8"/>
  <c r="OAS116" i="8"/>
  <c r="OAR116" i="8"/>
  <c r="OAQ116" i="8"/>
  <c r="OAP116" i="8"/>
  <c r="OAO116" i="8"/>
  <c r="OAN116" i="8"/>
  <c r="OAM116" i="8"/>
  <c r="OAL116" i="8"/>
  <c r="OAK116" i="8"/>
  <c r="OAJ116" i="8"/>
  <c r="OAI116" i="8"/>
  <c r="OAH116" i="8"/>
  <c r="OAG116" i="8"/>
  <c r="OAF116" i="8"/>
  <c r="OAE116" i="8"/>
  <c r="OAD116" i="8"/>
  <c r="OAC116" i="8"/>
  <c r="OAB116" i="8"/>
  <c r="OAA116" i="8"/>
  <c r="NZZ116" i="8"/>
  <c r="NZY116" i="8"/>
  <c r="NZX116" i="8"/>
  <c r="NZW116" i="8"/>
  <c r="NZV116" i="8"/>
  <c r="NZU116" i="8"/>
  <c r="NZT116" i="8"/>
  <c r="NZS116" i="8"/>
  <c r="NZR116" i="8"/>
  <c r="NZQ116" i="8"/>
  <c r="NZP116" i="8"/>
  <c r="NZO116" i="8"/>
  <c r="NZN116" i="8"/>
  <c r="NZM116" i="8"/>
  <c r="NZL116" i="8"/>
  <c r="NZK116" i="8"/>
  <c r="NZJ116" i="8"/>
  <c r="NZI116" i="8"/>
  <c r="NZH116" i="8"/>
  <c r="NZG116" i="8"/>
  <c r="NZF116" i="8"/>
  <c r="NZE116" i="8"/>
  <c r="NZD116" i="8"/>
  <c r="NZC116" i="8"/>
  <c r="NZB116" i="8"/>
  <c r="NZA116" i="8"/>
  <c r="NYZ116" i="8"/>
  <c r="NYY116" i="8"/>
  <c r="NYX116" i="8"/>
  <c r="NYW116" i="8"/>
  <c r="NYV116" i="8"/>
  <c r="NYU116" i="8"/>
  <c r="NYT116" i="8"/>
  <c r="NYS116" i="8"/>
  <c r="NYR116" i="8"/>
  <c r="NYQ116" i="8"/>
  <c r="NYP116" i="8"/>
  <c r="NYO116" i="8"/>
  <c r="NYN116" i="8"/>
  <c r="NYM116" i="8"/>
  <c r="NYL116" i="8"/>
  <c r="NYK116" i="8"/>
  <c r="NYJ116" i="8"/>
  <c r="NYI116" i="8"/>
  <c r="NYH116" i="8"/>
  <c r="NYG116" i="8"/>
  <c r="NYF116" i="8"/>
  <c r="NYE116" i="8"/>
  <c r="NYD116" i="8"/>
  <c r="NYC116" i="8"/>
  <c r="NYB116" i="8"/>
  <c r="NYA116" i="8"/>
  <c r="NXZ116" i="8"/>
  <c r="NXY116" i="8"/>
  <c r="NXX116" i="8"/>
  <c r="NXW116" i="8"/>
  <c r="NXV116" i="8"/>
  <c r="NXU116" i="8"/>
  <c r="NXT116" i="8"/>
  <c r="NXS116" i="8"/>
  <c r="NXR116" i="8"/>
  <c r="NXQ116" i="8"/>
  <c r="NXP116" i="8"/>
  <c r="NXO116" i="8"/>
  <c r="NXN116" i="8"/>
  <c r="NXM116" i="8"/>
  <c r="NXL116" i="8"/>
  <c r="NXK116" i="8"/>
  <c r="NXJ116" i="8"/>
  <c r="NXI116" i="8"/>
  <c r="NXH116" i="8"/>
  <c r="NXG116" i="8"/>
  <c r="NXF116" i="8"/>
  <c r="NXE116" i="8"/>
  <c r="NXD116" i="8"/>
  <c r="NXC116" i="8"/>
  <c r="NXB116" i="8"/>
  <c r="NXA116" i="8"/>
  <c r="NWZ116" i="8"/>
  <c r="NWY116" i="8"/>
  <c r="NWX116" i="8"/>
  <c r="NWW116" i="8"/>
  <c r="NWV116" i="8"/>
  <c r="NWU116" i="8"/>
  <c r="NWT116" i="8"/>
  <c r="NWS116" i="8"/>
  <c r="NWR116" i="8"/>
  <c r="NWQ116" i="8"/>
  <c r="NWP116" i="8"/>
  <c r="NWO116" i="8"/>
  <c r="NWN116" i="8"/>
  <c r="NWM116" i="8"/>
  <c r="NWL116" i="8"/>
  <c r="NWK116" i="8"/>
  <c r="NWJ116" i="8"/>
  <c r="NWI116" i="8"/>
  <c r="NWH116" i="8"/>
  <c r="NWG116" i="8"/>
  <c r="NWF116" i="8"/>
  <c r="NWE116" i="8"/>
  <c r="NWD116" i="8"/>
  <c r="NWC116" i="8"/>
  <c r="NWB116" i="8"/>
  <c r="NWA116" i="8"/>
  <c r="NVZ116" i="8"/>
  <c r="NVY116" i="8"/>
  <c r="NVX116" i="8"/>
  <c r="NVW116" i="8"/>
  <c r="NVV116" i="8"/>
  <c r="NVU116" i="8"/>
  <c r="NVT116" i="8"/>
  <c r="NVS116" i="8"/>
  <c r="NVR116" i="8"/>
  <c r="NVQ116" i="8"/>
  <c r="NVP116" i="8"/>
  <c r="NVO116" i="8"/>
  <c r="NVN116" i="8"/>
  <c r="NVM116" i="8"/>
  <c r="NVL116" i="8"/>
  <c r="NVK116" i="8"/>
  <c r="NVJ116" i="8"/>
  <c r="NVI116" i="8"/>
  <c r="NVH116" i="8"/>
  <c r="NVG116" i="8"/>
  <c r="NVF116" i="8"/>
  <c r="NVE116" i="8"/>
  <c r="NVD116" i="8"/>
  <c r="NVC116" i="8"/>
  <c r="NVB116" i="8"/>
  <c r="NVA116" i="8"/>
  <c r="NUZ116" i="8"/>
  <c r="NUY116" i="8"/>
  <c r="NUX116" i="8"/>
  <c r="NUW116" i="8"/>
  <c r="NUV116" i="8"/>
  <c r="NUU116" i="8"/>
  <c r="NUT116" i="8"/>
  <c r="NUS116" i="8"/>
  <c r="NUR116" i="8"/>
  <c r="NUQ116" i="8"/>
  <c r="NUP116" i="8"/>
  <c r="NUO116" i="8"/>
  <c r="NUN116" i="8"/>
  <c r="NUM116" i="8"/>
  <c r="NUL116" i="8"/>
  <c r="NUK116" i="8"/>
  <c r="NUJ116" i="8"/>
  <c r="NUI116" i="8"/>
  <c r="NUH116" i="8"/>
  <c r="NUG116" i="8"/>
  <c r="NUF116" i="8"/>
  <c r="NUE116" i="8"/>
  <c r="NUD116" i="8"/>
  <c r="NUC116" i="8"/>
  <c r="NUB116" i="8"/>
  <c r="NUA116" i="8"/>
  <c r="NTZ116" i="8"/>
  <c r="NTY116" i="8"/>
  <c r="NTX116" i="8"/>
  <c r="NTW116" i="8"/>
  <c r="NTV116" i="8"/>
  <c r="NTU116" i="8"/>
  <c r="NTT116" i="8"/>
  <c r="NTS116" i="8"/>
  <c r="NTR116" i="8"/>
  <c r="NTQ116" i="8"/>
  <c r="NTP116" i="8"/>
  <c r="NTO116" i="8"/>
  <c r="NTN116" i="8"/>
  <c r="NTM116" i="8"/>
  <c r="NTL116" i="8"/>
  <c r="NTK116" i="8"/>
  <c r="NTJ116" i="8"/>
  <c r="NTI116" i="8"/>
  <c r="NTH116" i="8"/>
  <c r="NTG116" i="8"/>
  <c r="NTF116" i="8"/>
  <c r="NTE116" i="8"/>
  <c r="NTD116" i="8"/>
  <c r="NTC116" i="8"/>
  <c r="NTB116" i="8"/>
  <c r="NTA116" i="8"/>
  <c r="NSZ116" i="8"/>
  <c r="NSY116" i="8"/>
  <c r="NSX116" i="8"/>
  <c r="NSW116" i="8"/>
  <c r="NSV116" i="8"/>
  <c r="NSU116" i="8"/>
  <c r="NST116" i="8"/>
  <c r="NSS116" i="8"/>
  <c r="NSR116" i="8"/>
  <c r="NSQ116" i="8"/>
  <c r="NSP116" i="8"/>
  <c r="NSO116" i="8"/>
  <c r="NSN116" i="8"/>
  <c r="NSM116" i="8"/>
  <c r="NSL116" i="8"/>
  <c r="NSK116" i="8"/>
  <c r="NSJ116" i="8"/>
  <c r="NSI116" i="8"/>
  <c r="NSH116" i="8"/>
  <c r="NSG116" i="8"/>
  <c r="NSF116" i="8"/>
  <c r="NSE116" i="8"/>
  <c r="NSD116" i="8"/>
  <c r="NSC116" i="8"/>
  <c r="NSB116" i="8"/>
  <c r="NSA116" i="8"/>
  <c r="NRZ116" i="8"/>
  <c r="NRY116" i="8"/>
  <c r="NRX116" i="8"/>
  <c r="NRW116" i="8"/>
  <c r="NRV116" i="8"/>
  <c r="NRU116" i="8"/>
  <c r="NRT116" i="8"/>
  <c r="NRS116" i="8"/>
  <c r="NRR116" i="8"/>
  <c r="NRQ116" i="8"/>
  <c r="NRP116" i="8"/>
  <c r="NRO116" i="8"/>
  <c r="NRN116" i="8"/>
  <c r="NRM116" i="8"/>
  <c r="NRL116" i="8"/>
  <c r="NRK116" i="8"/>
  <c r="NRJ116" i="8"/>
  <c r="NRI116" i="8"/>
  <c r="NRH116" i="8"/>
  <c r="NRG116" i="8"/>
  <c r="NRF116" i="8"/>
  <c r="NRE116" i="8"/>
  <c r="NRD116" i="8"/>
  <c r="NRC116" i="8"/>
  <c r="NRB116" i="8"/>
  <c r="NRA116" i="8"/>
  <c r="NQZ116" i="8"/>
  <c r="NQY116" i="8"/>
  <c r="NQX116" i="8"/>
  <c r="NQW116" i="8"/>
  <c r="NQV116" i="8"/>
  <c r="NQU116" i="8"/>
  <c r="NQT116" i="8"/>
  <c r="NQS116" i="8"/>
  <c r="NQR116" i="8"/>
  <c r="NQQ116" i="8"/>
  <c r="NQP116" i="8"/>
  <c r="NQO116" i="8"/>
  <c r="NQN116" i="8"/>
  <c r="NQM116" i="8"/>
  <c r="NQL116" i="8"/>
  <c r="NQK116" i="8"/>
  <c r="NQJ116" i="8"/>
  <c r="NQI116" i="8"/>
  <c r="NQH116" i="8"/>
  <c r="NQG116" i="8"/>
  <c r="NQF116" i="8"/>
  <c r="NQE116" i="8"/>
  <c r="NQD116" i="8"/>
  <c r="NQC116" i="8"/>
  <c r="NQB116" i="8"/>
  <c r="NQA116" i="8"/>
  <c r="NPZ116" i="8"/>
  <c r="NPY116" i="8"/>
  <c r="NPX116" i="8"/>
  <c r="NPW116" i="8"/>
  <c r="NPV116" i="8"/>
  <c r="NPU116" i="8"/>
  <c r="NPT116" i="8"/>
  <c r="NPS116" i="8"/>
  <c r="NPR116" i="8"/>
  <c r="NPQ116" i="8"/>
  <c r="NPP116" i="8"/>
  <c r="NPO116" i="8"/>
  <c r="NPN116" i="8"/>
  <c r="NPM116" i="8"/>
  <c r="NPL116" i="8"/>
  <c r="NPK116" i="8"/>
  <c r="NPJ116" i="8"/>
  <c r="NPI116" i="8"/>
  <c r="NPH116" i="8"/>
  <c r="NPG116" i="8"/>
  <c r="NPF116" i="8"/>
  <c r="NPE116" i="8"/>
  <c r="NPD116" i="8"/>
  <c r="NPC116" i="8"/>
  <c r="NPB116" i="8"/>
  <c r="NPA116" i="8"/>
  <c r="NOZ116" i="8"/>
  <c r="NOY116" i="8"/>
  <c r="NOX116" i="8"/>
  <c r="NOW116" i="8"/>
  <c r="NOV116" i="8"/>
  <c r="NOU116" i="8"/>
  <c r="NOT116" i="8"/>
  <c r="NOS116" i="8"/>
  <c r="NOR116" i="8"/>
  <c r="NOQ116" i="8"/>
  <c r="NOP116" i="8"/>
  <c r="NOO116" i="8"/>
  <c r="NON116" i="8"/>
  <c r="NOM116" i="8"/>
  <c r="NOL116" i="8"/>
  <c r="NOK116" i="8"/>
  <c r="NOJ116" i="8"/>
  <c r="NOI116" i="8"/>
  <c r="NOH116" i="8"/>
  <c r="NOG116" i="8"/>
  <c r="NOF116" i="8"/>
  <c r="NOE116" i="8"/>
  <c r="NOD116" i="8"/>
  <c r="NOC116" i="8"/>
  <c r="NOB116" i="8"/>
  <c r="NOA116" i="8"/>
  <c r="NNZ116" i="8"/>
  <c r="NNY116" i="8"/>
  <c r="NNX116" i="8"/>
  <c r="NNW116" i="8"/>
  <c r="NNV116" i="8"/>
  <c r="NNU116" i="8"/>
  <c r="NNT116" i="8"/>
  <c r="NNS116" i="8"/>
  <c r="NNR116" i="8"/>
  <c r="NNQ116" i="8"/>
  <c r="NNP116" i="8"/>
  <c r="NNO116" i="8"/>
  <c r="NNN116" i="8"/>
  <c r="NNM116" i="8"/>
  <c r="NNL116" i="8"/>
  <c r="NNK116" i="8"/>
  <c r="NNJ116" i="8"/>
  <c r="NNI116" i="8"/>
  <c r="NNH116" i="8"/>
  <c r="NNG116" i="8"/>
  <c r="NNF116" i="8"/>
  <c r="NNE116" i="8"/>
  <c r="NND116" i="8"/>
  <c r="NNC116" i="8"/>
  <c r="NNB116" i="8"/>
  <c r="NNA116" i="8"/>
  <c r="NMZ116" i="8"/>
  <c r="NMY116" i="8"/>
  <c r="NMX116" i="8"/>
  <c r="NMW116" i="8"/>
  <c r="NMV116" i="8"/>
  <c r="NMU116" i="8"/>
  <c r="NMT116" i="8"/>
  <c r="NMS116" i="8"/>
  <c r="NMR116" i="8"/>
  <c r="NMQ116" i="8"/>
  <c r="NMP116" i="8"/>
  <c r="NMO116" i="8"/>
  <c r="NMN116" i="8"/>
  <c r="NMM116" i="8"/>
  <c r="NML116" i="8"/>
  <c r="NMK116" i="8"/>
  <c r="NMJ116" i="8"/>
  <c r="NMI116" i="8"/>
  <c r="NMH116" i="8"/>
  <c r="NMG116" i="8"/>
  <c r="NMF116" i="8"/>
  <c r="NME116" i="8"/>
  <c r="NMD116" i="8"/>
  <c r="NMC116" i="8"/>
  <c r="NMB116" i="8"/>
  <c r="NMA116" i="8"/>
  <c r="NLZ116" i="8"/>
  <c r="NLY116" i="8"/>
  <c r="NLX116" i="8"/>
  <c r="NLW116" i="8"/>
  <c r="NLV116" i="8"/>
  <c r="NLU116" i="8"/>
  <c r="NLT116" i="8"/>
  <c r="NLS116" i="8"/>
  <c r="NLR116" i="8"/>
  <c r="NLQ116" i="8"/>
  <c r="NLP116" i="8"/>
  <c r="NLO116" i="8"/>
  <c r="NLN116" i="8"/>
  <c r="NLM116" i="8"/>
  <c r="NLL116" i="8"/>
  <c r="NLK116" i="8"/>
  <c r="NLJ116" i="8"/>
  <c r="NLI116" i="8"/>
  <c r="NLH116" i="8"/>
  <c r="NLG116" i="8"/>
  <c r="NLF116" i="8"/>
  <c r="NLE116" i="8"/>
  <c r="NLD116" i="8"/>
  <c r="NLC116" i="8"/>
  <c r="NLB116" i="8"/>
  <c r="NLA116" i="8"/>
  <c r="NKZ116" i="8"/>
  <c r="NKY116" i="8"/>
  <c r="NKX116" i="8"/>
  <c r="NKW116" i="8"/>
  <c r="NKV116" i="8"/>
  <c r="NKU116" i="8"/>
  <c r="NKT116" i="8"/>
  <c r="NKS116" i="8"/>
  <c r="NKR116" i="8"/>
  <c r="NKQ116" i="8"/>
  <c r="NKP116" i="8"/>
  <c r="NKO116" i="8"/>
  <c r="NKN116" i="8"/>
  <c r="NKM116" i="8"/>
  <c r="NKL116" i="8"/>
  <c r="NKK116" i="8"/>
  <c r="NKJ116" i="8"/>
  <c r="NKI116" i="8"/>
  <c r="NKH116" i="8"/>
  <c r="NKG116" i="8"/>
  <c r="NKF116" i="8"/>
  <c r="NKE116" i="8"/>
  <c r="NKD116" i="8"/>
  <c r="NKC116" i="8"/>
  <c r="NKB116" i="8"/>
  <c r="NKA116" i="8"/>
  <c r="NJZ116" i="8"/>
  <c r="NJY116" i="8"/>
  <c r="NJX116" i="8"/>
  <c r="NJW116" i="8"/>
  <c r="NJV116" i="8"/>
  <c r="NJU116" i="8"/>
  <c r="NJT116" i="8"/>
  <c r="NJS116" i="8"/>
  <c r="NJR116" i="8"/>
  <c r="NJQ116" i="8"/>
  <c r="NJP116" i="8"/>
  <c r="NJO116" i="8"/>
  <c r="NJN116" i="8"/>
  <c r="NJM116" i="8"/>
  <c r="NJL116" i="8"/>
  <c r="NJK116" i="8"/>
  <c r="NJJ116" i="8"/>
  <c r="NJI116" i="8"/>
  <c r="NJH116" i="8"/>
  <c r="NJG116" i="8"/>
  <c r="NJF116" i="8"/>
  <c r="NJE116" i="8"/>
  <c r="NJD116" i="8"/>
  <c r="NJC116" i="8"/>
  <c r="NJB116" i="8"/>
  <c r="NJA116" i="8"/>
  <c r="NIZ116" i="8"/>
  <c r="NIY116" i="8"/>
  <c r="NIX116" i="8"/>
  <c r="NIW116" i="8"/>
  <c r="NIV116" i="8"/>
  <c r="NIU116" i="8"/>
  <c r="NIT116" i="8"/>
  <c r="NIS116" i="8"/>
  <c r="NIR116" i="8"/>
  <c r="NIQ116" i="8"/>
  <c r="NIP116" i="8"/>
  <c r="NIO116" i="8"/>
  <c r="NIN116" i="8"/>
  <c r="NIM116" i="8"/>
  <c r="NIL116" i="8"/>
  <c r="NIK116" i="8"/>
  <c r="NIJ116" i="8"/>
  <c r="NII116" i="8"/>
  <c r="NIH116" i="8"/>
  <c r="NIG116" i="8"/>
  <c r="NIF116" i="8"/>
  <c r="NIE116" i="8"/>
  <c r="NID116" i="8"/>
  <c r="NIC116" i="8"/>
  <c r="NIB116" i="8"/>
  <c r="NIA116" i="8"/>
  <c r="NHZ116" i="8"/>
  <c r="NHY116" i="8"/>
  <c r="NHX116" i="8"/>
  <c r="NHW116" i="8"/>
  <c r="NHV116" i="8"/>
  <c r="NHU116" i="8"/>
  <c r="NHT116" i="8"/>
  <c r="NHS116" i="8"/>
  <c r="NHR116" i="8"/>
  <c r="NHQ116" i="8"/>
  <c r="NHP116" i="8"/>
  <c r="NHO116" i="8"/>
  <c r="NHN116" i="8"/>
  <c r="NHM116" i="8"/>
  <c r="NHL116" i="8"/>
  <c r="NHK116" i="8"/>
  <c r="NHJ116" i="8"/>
  <c r="NHI116" i="8"/>
  <c r="NHH116" i="8"/>
  <c r="NHG116" i="8"/>
  <c r="NHF116" i="8"/>
  <c r="NHE116" i="8"/>
  <c r="NHD116" i="8"/>
  <c r="NHC116" i="8"/>
  <c r="NHB116" i="8"/>
  <c r="NHA116" i="8"/>
  <c r="NGZ116" i="8"/>
  <c r="NGY116" i="8"/>
  <c r="NGX116" i="8"/>
  <c r="NGW116" i="8"/>
  <c r="NGV116" i="8"/>
  <c r="NGU116" i="8"/>
  <c r="NGT116" i="8"/>
  <c r="NGS116" i="8"/>
  <c r="NGR116" i="8"/>
  <c r="NGQ116" i="8"/>
  <c r="NGP116" i="8"/>
  <c r="NGO116" i="8"/>
  <c r="NGN116" i="8"/>
  <c r="NGM116" i="8"/>
  <c r="NGL116" i="8"/>
  <c r="NGK116" i="8"/>
  <c r="NGJ116" i="8"/>
  <c r="NGI116" i="8"/>
  <c r="NGH116" i="8"/>
  <c r="NGG116" i="8"/>
  <c r="NGF116" i="8"/>
  <c r="NGE116" i="8"/>
  <c r="NGD116" i="8"/>
  <c r="NGC116" i="8"/>
  <c r="NGB116" i="8"/>
  <c r="NGA116" i="8"/>
  <c r="NFZ116" i="8"/>
  <c r="NFY116" i="8"/>
  <c r="NFX116" i="8"/>
  <c r="NFW116" i="8"/>
  <c r="NFV116" i="8"/>
  <c r="NFU116" i="8"/>
  <c r="NFT116" i="8"/>
  <c r="NFS116" i="8"/>
  <c r="NFR116" i="8"/>
  <c r="NFQ116" i="8"/>
  <c r="NFP116" i="8"/>
  <c r="NFO116" i="8"/>
  <c r="NFN116" i="8"/>
  <c r="NFM116" i="8"/>
  <c r="NFL116" i="8"/>
  <c r="NFK116" i="8"/>
  <c r="NFJ116" i="8"/>
  <c r="NFI116" i="8"/>
  <c r="NFH116" i="8"/>
  <c r="NFG116" i="8"/>
  <c r="NFF116" i="8"/>
  <c r="NFE116" i="8"/>
  <c r="NFD116" i="8"/>
  <c r="NFC116" i="8"/>
  <c r="NFB116" i="8"/>
  <c r="NFA116" i="8"/>
  <c r="NEZ116" i="8"/>
  <c r="NEY116" i="8"/>
  <c r="NEX116" i="8"/>
  <c r="NEW116" i="8"/>
  <c r="NEV116" i="8"/>
  <c r="NEU116" i="8"/>
  <c r="NET116" i="8"/>
  <c r="NES116" i="8"/>
  <c r="NER116" i="8"/>
  <c r="NEQ116" i="8"/>
  <c r="NEP116" i="8"/>
  <c r="NEO116" i="8"/>
  <c r="NEN116" i="8"/>
  <c r="NEM116" i="8"/>
  <c r="NEL116" i="8"/>
  <c r="NEK116" i="8"/>
  <c r="NEJ116" i="8"/>
  <c r="NEI116" i="8"/>
  <c r="NEH116" i="8"/>
  <c r="NEG116" i="8"/>
  <c r="NEF116" i="8"/>
  <c r="NEE116" i="8"/>
  <c r="NED116" i="8"/>
  <c r="NEC116" i="8"/>
  <c r="NEB116" i="8"/>
  <c r="NEA116" i="8"/>
  <c r="NDZ116" i="8"/>
  <c r="NDY116" i="8"/>
  <c r="NDX116" i="8"/>
  <c r="NDW116" i="8"/>
  <c r="NDV116" i="8"/>
  <c r="NDU116" i="8"/>
  <c r="NDT116" i="8"/>
  <c r="NDS116" i="8"/>
  <c r="NDR116" i="8"/>
  <c r="NDQ116" i="8"/>
  <c r="NDP116" i="8"/>
  <c r="NDO116" i="8"/>
  <c r="NDN116" i="8"/>
  <c r="NDM116" i="8"/>
  <c r="NDL116" i="8"/>
  <c r="NDK116" i="8"/>
  <c r="NDJ116" i="8"/>
  <c r="NDI116" i="8"/>
  <c r="NDH116" i="8"/>
  <c r="NDG116" i="8"/>
  <c r="NDF116" i="8"/>
  <c r="NDE116" i="8"/>
  <c r="NDD116" i="8"/>
  <c r="NDC116" i="8"/>
  <c r="NDB116" i="8"/>
  <c r="NDA116" i="8"/>
  <c r="NCZ116" i="8"/>
  <c r="NCY116" i="8"/>
  <c r="NCX116" i="8"/>
  <c r="NCW116" i="8"/>
  <c r="NCV116" i="8"/>
  <c r="NCU116" i="8"/>
  <c r="NCT116" i="8"/>
  <c r="NCS116" i="8"/>
  <c r="NCR116" i="8"/>
  <c r="NCQ116" i="8"/>
  <c r="NCP116" i="8"/>
  <c r="NCO116" i="8"/>
  <c r="NCN116" i="8"/>
  <c r="NCM116" i="8"/>
  <c r="NCL116" i="8"/>
  <c r="NCK116" i="8"/>
  <c r="NCJ116" i="8"/>
  <c r="NCI116" i="8"/>
  <c r="NCH116" i="8"/>
  <c r="NCG116" i="8"/>
  <c r="NCF116" i="8"/>
  <c r="NCE116" i="8"/>
  <c r="NCD116" i="8"/>
  <c r="NCC116" i="8"/>
  <c r="NCB116" i="8"/>
  <c r="NCA116" i="8"/>
  <c r="NBZ116" i="8"/>
  <c r="NBY116" i="8"/>
  <c r="NBX116" i="8"/>
  <c r="NBW116" i="8"/>
  <c r="NBV116" i="8"/>
  <c r="NBU116" i="8"/>
  <c r="NBT116" i="8"/>
  <c r="NBS116" i="8"/>
  <c r="NBR116" i="8"/>
  <c r="NBQ116" i="8"/>
  <c r="NBP116" i="8"/>
  <c r="NBO116" i="8"/>
  <c r="NBN116" i="8"/>
  <c r="NBM116" i="8"/>
  <c r="NBL116" i="8"/>
  <c r="NBK116" i="8"/>
  <c r="NBJ116" i="8"/>
  <c r="NBI116" i="8"/>
  <c r="NBH116" i="8"/>
  <c r="NBG116" i="8"/>
  <c r="NBF116" i="8"/>
  <c r="NBE116" i="8"/>
  <c r="NBD116" i="8"/>
  <c r="NBC116" i="8"/>
  <c r="NBB116" i="8"/>
  <c r="NBA116" i="8"/>
  <c r="NAZ116" i="8"/>
  <c r="NAY116" i="8"/>
  <c r="NAX116" i="8"/>
  <c r="NAW116" i="8"/>
  <c r="NAV116" i="8"/>
  <c r="NAU116" i="8"/>
  <c r="NAT116" i="8"/>
  <c r="NAS116" i="8"/>
  <c r="NAR116" i="8"/>
  <c r="NAQ116" i="8"/>
  <c r="NAP116" i="8"/>
  <c r="NAO116" i="8"/>
  <c r="NAN116" i="8"/>
  <c r="NAM116" i="8"/>
  <c r="NAL116" i="8"/>
  <c r="NAK116" i="8"/>
  <c r="NAJ116" i="8"/>
  <c r="NAI116" i="8"/>
  <c r="NAH116" i="8"/>
  <c r="NAG116" i="8"/>
  <c r="NAF116" i="8"/>
  <c r="NAE116" i="8"/>
  <c r="NAD116" i="8"/>
  <c r="NAC116" i="8"/>
  <c r="NAB116" i="8"/>
  <c r="NAA116" i="8"/>
  <c r="MZZ116" i="8"/>
  <c r="MZY116" i="8"/>
  <c r="MZX116" i="8"/>
  <c r="MZW116" i="8"/>
  <c r="MZV116" i="8"/>
  <c r="MZU116" i="8"/>
  <c r="MZT116" i="8"/>
  <c r="MZS116" i="8"/>
  <c r="MZR116" i="8"/>
  <c r="MZQ116" i="8"/>
  <c r="MZP116" i="8"/>
  <c r="MZO116" i="8"/>
  <c r="MZN116" i="8"/>
  <c r="MZM116" i="8"/>
  <c r="MZL116" i="8"/>
  <c r="MZK116" i="8"/>
  <c r="MZJ116" i="8"/>
  <c r="MZI116" i="8"/>
  <c r="MZH116" i="8"/>
  <c r="MZG116" i="8"/>
  <c r="MZF116" i="8"/>
  <c r="MZE116" i="8"/>
  <c r="MZD116" i="8"/>
  <c r="MZC116" i="8"/>
  <c r="MZB116" i="8"/>
  <c r="MZA116" i="8"/>
  <c r="MYZ116" i="8"/>
  <c r="MYY116" i="8"/>
  <c r="MYX116" i="8"/>
  <c r="MYW116" i="8"/>
  <c r="MYV116" i="8"/>
  <c r="MYU116" i="8"/>
  <c r="MYT116" i="8"/>
  <c r="MYS116" i="8"/>
  <c r="MYR116" i="8"/>
  <c r="MYQ116" i="8"/>
  <c r="MYP116" i="8"/>
  <c r="MYO116" i="8"/>
  <c r="MYN116" i="8"/>
  <c r="MYM116" i="8"/>
  <c r="MYL116" i="8"/>
  <c r="MYK116" i="8"/>
  <c r="MYJ116" i="8"/>
  <c r="MYI116" i="8"/>
  <c r="MYH116" i="8"/>
  <c r="MYG116" i="8"/>
  <c r="MYF116" i="8"/>
  <c r="MYE116" i="8"/>
  <c r="MYD116" i="8"/>
  <c r="MYC116" i="8"/>
  <c r="MYB116" i="8"/>
  <c r="MYA116" i="8"/>
  <c r="MXZ116" i="8"/>
  <c r="MXY116" i="8"/>
  <c r="MXX116" i="8"/>
  <c r="MXW116" i="8"/>
  <c r="MXV116" i="8"/>
  <c r="MXU116" i="8"/>
  <c r="MXT116" i="8"/>
  <c r="MXS116" i="8"/>
  <c r="MXR116" i="8"/>
  <c r="MXQ116" i="8"/>
  <c r="MXP116" i="8"/>
  <c r="MXO116" i="8"/>
  <c r="MXN116" i="8"/>
  <c r="MXM116" i="8"/>
  <c r="MXL116" i="8"/>
  <c r="MXK116" i="8"/>
  <c r="MXJ116" i="8"/>
  <c r="MXI116" i="8"/>
  <c r="MXH116" i="8"/>
  <c r="MXG116" i="8"/>
  <c r="MXF116" i="8"/>
  <c r="MXE116" i="8"/>
  <c r="MXD116" i="8"/>
  <c r="MXC116" i="8"/>
  <c r="MXB116" i="8"/>
  <c r="MXA116" i="8"/>
  <c r="MWZ116" i="8"/>
  <c r="MWY116" i="8"/>
  <c r="MWX116" i="8"/>
  <c r="MWW116" i="8"/>
  <c r="MWV116" i="8"/>
  <c r="MWU116" i="8"/>
  <c r="MWT116" i="8"/>
  <c r="MWS116" i="8"/>
  <c r="MWR116" i="8"/>
  <c r="MWQ116" i="8"/>
  <c r="MWP116" i="8"/>
  <c r="MWO116" i="8"/>
  <c r="MWN116" i="8"/>
  <c r="MWM116" i="8"/>
  <c r="MWL116" i="8"/>
  <c r="MWK116" i="8"/>
  <c r="MWJ116" i="8"/>
  <c r="MWI116" i="8"/>
  <c r="MWH116" i="8"/>
  <c r="MWG116" i="8"/>
  <c r="MWF116" i="8"/>
  <c r="MWE116" i="8"/>
  <c r="MWD116" i="8"/>
  <c r="MWC116" i="8"/>
  <c r="MWB116" i="8"/>
  <c r="MWA116" i="8"/>
  <c r="MVZ116" i="8"/>
  <c r="MVY116" i="8"/>
  <c r="MVX116" i="8"/>
  <c r="MVW116" i="8"/>
  <c r="MVV116" i="8"/>
  <c r="MVU116" i="8"/>
  <c r="MVT116" i="8"/>
  <c r="MVS116" i="8"/>
  <c r="MVR116" i="8"/>
  <c r="MVQ116" i="8"/>
  <c r="MVP116" i="8"/>
  <c r="MVO116" i="8"/>
  <c r="MVN116" i="8"/>
  <c r="MVM116" i="8"/>
  <c r="MVL116" i="8"/>
  <c r="MVK116" i="8"/>
  <c r="MVJ116" i="8"/>
  <c r="MVI116" i="8"/>
  <c r="MVH116" i="8"/>
  <c r="MVG116" i="8"/>
  <c r="MVF116" i="8"/>
  <c r="MVE116" i="8"/>
  <c r="MVD116" i="8"/>
  <c r="MVC116" i="8"/>
  <c r="MVB116" i="8"/>
  <c r="MVA116" i="8"/>
  <c r="MUZ116" i="8"/>
  <c r="MUY116" i="8"/>
  <c r="MUX116" i="8"/>
  <c r="MUW116" i="8"/>
  <c r="MUV116" i="8"/>
  <c r="MUU116" i="8"/>
  <c r="MUT116" i="8"/>
  <c r="MUS116" i="8"/>
  <c r="MUR116" i="8"/>
  <c r="MUQ116" i="8"/>
  <c r="MUP116" i="8"/>
  <c r="MUO116" i="8"/>
  <c r="MUN116" i="8"/>
  <c r="MUM116" i="8"/>
  <c r="MUL116" i="8"/>
  <c r="MUK116" i="8"/>
  <c r="MUJ116" i="8"/>
  <c r="MUI116" i="8"/>
  <c r="MUH116" i="8"/>
  <c r="MUG116" i="8"/>
  <c r="MUF116" i="8"/>
  <c r="MUE116" i="8"/>
  <c r="MUD116" i="8"/>
  <c r="MUC116" i="8"/>
  <c r="MUB116" i="8"/>
  <c r="MUA116" i="8"/>
  <c r="MTZ116" i="8"/>
  <c r="MTY116" i="8"/>
  <c r="MTX116" i="8"/>
  <c r="MTW116" i="8"/>
  <c r="MTV116" i="8"/>
  <c r="MTU116" i="8"/>
  <c r="MTT116" i="8"/>
  <c r="MTS116" i="8"/>
  <c r="MTR116" i="8"/>
  <c r="MTQ116" i="8"/>
  <c r="MTP116" i="8"/>
  <c r="MTO116" i="8"/>
  <c r="MTN116" i="8"/>
  <c r="MTM116" i="8"/>
  <c r="MTL116" i="8"/>
  <c r="MTK116" i="8"/>
  <c r="MTJ116" i="8"/>
  <c r="MTI116" i="8"/>
  <c r="MTH116" i="8"/>
  <c r="MTG116" i="8"/>
  <c r="MTF116" i="8"/>
  <c r="MTE116" i="8"/>
  <c r="MTD116" i="8"/>
  <c r="MTC116" i="8"/>
  <c r="MTB116" i="8"/>
  <c r="MTA116" i="8"/>
  <c r="MSZ116" i="8"/>
  <c r="MSY116" i="8"/>
  <c r="MSX116" i="8"/>
  <c r="MSW116" i="8"/>
  <c r="MSV116" i="8"/>
  <c r="MSU116" i="8"/>
  <c r="MST116" i="8"/>
  <c r="MSS116" i="8"/>
  <c r="MSR116" i="8"/>
  <c r="MSQ116" i="8"/>
  <c r="MSP116" i="8"/>
  <c r="MSO116" i="8"/>
  <c r="MSN116" i="8"/>
  <c r="MSM116" i="8"/>
  <c r="MSL116" i="8"/>
  <c r="MSK116" i="8"/>
  <c r="MSJ116" i="8"/>
  <c r="MSI116" i="8"/>
  <c r="MSH116" i="8"/>
  <c r="MSG116" i="8"/>
  <c r="MSF116" i="8"/>
  <c r="MSE116" i="8"/>
  <c r="MSD116" i="8"/>
  <c r="MSC116" i="8"/>
  <c r="MSB116" i="8"/>
  <c r="MSA116" i="8"/>
  <c r="MRZ116" i="8"/>
  <c r="MRY116" i="8"/>
  <c r="MRX116" i="8"/>
  <c r="MRW116" i="8"/>
  <c r="MRV116" i="8"/>
  <c r="MRU116" i="8"/>
  <c r="MRT116" i="8"/>
  <c r="MRS116" i="8"/>
  <c r="MRR116" i="8"/>
  <c r="MRQ116" i="8"/>
  <c r="MRP116" i="8"/>
  <c r="MRO116" i="8"/>
  <c r="MRN116" i="8"/>
  <c r="MRM116" i="8"/>
  <c r="MRL116" i="8"/>
  <c r="MRK116" i="8"/>
  <c r="MRJ116" i="8"/>
  <c r="MRI116" i="8"/>
  <c r="MRH116" i="8"/>
  <c r="MRG116" i="8"/>
  <c r="MRF116" i="8"/>
  <c r="MRE116" i="8"/>
  <c r="MRD116" i="8"/>
  <c r="MRC116" i="8"/>
  <c r="MRB116" i="8"/>
  <c r="MRA116" i="8"/>
  <c r="MQZ116" i="8"/>
  <c r="MQY116" i="8"/>
  <c r="MQX116" i="8"/>
  <c r="MQW116" i="8"/>
  <c r="MQV116" i="8"/>
  <c r="MQU116" i="8"/>
  <c r="MQT116" i="8"/>
  <c r="MQS116" i="8"/>
  <c r="MQR116" i="8"/>
  <c r="MQQ116" i="8"/>
  <c r="MQP116" i="8"/>
  <c r="MQO116" i="8"/>
  <c r="MQN116" i="8"/>
  <c r="MQM116" i="8"/>
  <c r="MQL116" i="8"/>
  <c r="MQK116" i="8"/>
  <c r="MQJ116" i="8"/>
  <c r="MQI116" i="8"/>
  <c r="MQH116" i="8"/>
  <c r="MQG116" i="8"/>
  <c r="MQF116" i="8"/>
  <c r="MQE116" i="8"/>
  <c r="MQD116" i="8"/>
  <c r="MQC116" i="8"/>
  <c r="MQB116" i="8"/>
  <c r="MQA116" i="8"/>
  <c r="MPZ116" i="8"/>
  <c r="MPY116" i="8"/>
  <c r="MPX116" i="8"/>
  <c r="MPW116" i="8"/>
  <c r="MPV116" i="8"/>
  <c r="MPU116" i="8"/>
  <c r="MPT116" i="8"/>
  <c r="MPS116" i="8"/>
  <c r="MPR116" i="8"/>
  <c r="MPQ116" i="8"/>
  <c r="MPP116" i="8"/>
  <c r="MPO116" i="8"/>
  <c r="MPN116" i="8"/>
  <c r="MPM116" i="8"/>
  <c r="MPL116" i="8"/>
  <c r="MPK116" i="8"/>
  <c r="MPJ116" i="8"/>
  <c r="MPI116" i="8"/>
  <c r="MPH116" i="8"/>
  <c r="MPG116" i="8"/>
  <c r="MPF116" i="8"/>
  <c r="MPE116" i="8"/>
  <c r="MPD116" i="8"/>
  <c r="MPC116" i="8"/>
  <c r="MPB116" i="8"/>
  <c r="MPA116" i="8"/>
  <c r="MOZ116" i="8"/>
  <c r="MOY116" i="8"/>
  <c r="MOX116" i="8"/>
  <c r="MOW116" i="8"/>
  <c r="MOV116" i="8"/>
  <c r="MOU116" i="8"/>
  <c r="MOT116" i="8"/>
  <c r="MOS116" i="8"/>
  <c r="MOR116" i="8"/>
  <c r="MOQ116" i="8"/>
  <c r="MOP116" i="8"/>
  <c r="MOO116" i="8"/>
  <c r="MON116" i="8"/>
  <c r="MOM116" i="8"/>
  <c r="MOL116" i="8"/>
  <c r="MOK116" i="8"/>
  <c r="MOJ116" i="8"/>
  <c r="MOI116" i="8"/>
  <c r="MOH116" i="8"/>
  <c r="MOG116" i="8"/>
  <c r="MOF116" i="8"/>
  <c r="MOE116" i="8"/>
  <c r="MOD116" i="8"/>
  <c r="MOC116" i="8"/>
  <c r="MOB116" i="8"/>
  <c r="MOA116" i="8"/>
  <c r="MNZ116" i="8"/>
  <c r="MNY116" i="8"/>
  <c r="MNX116" i="8"/>
  <c r="MNW116" i="8"/>
  <c r="MNV116" i="8"/>
  <c r="MNU116" i="8"/>
  <c r="MNT116" i="8"/>
  <c r="MNS116" i="8"/>
  <c r="MNR116" i="8"/>
  <c r="MNQ116" i="8"/>
  <c r="MNP116" i="8"/>
  <c r="MNO116" i="8"/>
  <c r="MNN116" i="8"/>
  <c r="MNM116" i="8"/>
  <c r="MNL116" i="8"/>
  <c r="MNK116" i="8"/>
  <c r="MNJ116" i="8"/>
  <c r="MNI116" i="8"/>
  <c r="MNH116" i="8"/>
  <c r="MNG116" i="8"/>
  <c r="MNF116" i="8"/>
  <c r="MNE116" i="8"/>
  <c r="MND116" i="8"/>
  <c r="MNC116" i="8"/>
  <c r="MNB116" i="8"/>
  <c r="MNA116" i="8"/>
  <c r="MMZ116" i="8"/>
  <c r="MMY116" i="8"/>
  <c r="MMX116" i="8"/>
  <c r="MMW116" i="8"/>
  <c r="MMV116" i="8"/>
  <c r="MMU116" i="8"/>
  <c r="MMT116" i="8"/>
  <c r="MMS116" i="8"/>
  <c r="MMR116" i="8"/>
  <c r="MMQ116" i="8"/>
  <c r="MMP116" i="8"/>
  <c r="MMO116" i="8"/>
  <c r="MMN116" i="8"/>
  <c r="MMM116" i="8"/>
  <c r="MML116" i="8"/>
  <c r="MMK116" i="8"/>
  <c r="MMJ116" i="8"/>
  <c r="MMI116" i="8"/>
  <c r="MMH116" i="8"/>
  <c r="MMG116" i="8"/>
  <c r="MMF116" i="8"/>
  <c r="MME116" i="8"/>
  <c r="MMD116" i="8"/>
  <c r="MMC116" i="8"/>
  <c r="MMB116" i="8"/>
  <c r="MMA116" i="8"/>
  <c r="MLZ116" i="8"/>
  <c r="MLY116" i="8"/>
  <c r="MLX116" i="8"/>
  <c r="MLW116" i="8"/>
  <c r="MLV116" i="8"/>
  <c r="MLU116" i="8"/>
  <c r="MLT116" i="8"/>
  <c r="MLS116" i="8"/>
  <c r="MLR116" i="8"/>
  <c r="MLQ116" i="8"/>
  <c r="MLP116" i="8"/>
  <c r="MLO116" i="8"/>
  <c r="MLN116" i="8"/>
  <c r="MLM116" i="8"/>
  <c r="MLL116" i="8"/>
  <c r="MLK116" i="8"/>
  <c r="MLJ116" i="8"/>
  <c r="MLI116" i="8"/>
  <c r="MLH116" i="8"/>
  <c r="MLG116" i="8"/>
  <c r="MLF116" i="8"/>
  <c r="MLE116" i="8"/>
  <c r="MLD116" i="8"/>
  <c r="MLC116" i="8"/>
  <c r="MLB116" i="8"/>
  <c r="MLA116" i="8"/>
  <c r="MKZ116" i="8"/>
  <c r="MKY116" i="8"/>
  <c r="MKX116" i="8"/>
  <c r="MKW116" i="8"/>
  <c r="MKV116" i="8"/>
  <c r="MKU116" i="8"/>
  <c r="MKT116" i="8"/>
  <c r="MKS116" i="8"/>
  <c r="MKR116" i="8"/>
  <c r="MKQ116" i="8"/>
  <c r="MKP116" i="8"/>
  <c r="MKO116" i="8"/>
  <c r="MKN116" i="8"/>
  <c r="MKM116" i="8"/>
  <c r="MKL116" i="8"/>
  <c r="MKK116" i="8"/>
  <c r="MKJ116" i="8"/>
  <c r="MKI116" i="8"/>
  <c r="MKH116" i="8"/>
  <c r="MKG116" i="8"/>
  <c r="MKF116" i="8"/>
  <c r="MKE116" i="8"/>
  <c r="MKD116" i="8"/>
  <c r="MKC116" i="8"/>
  <c r="MKB116" i="8"/>
  <c r="MKA116" i="8"/>
  <c r="MJZ116" i="8"/>
  <c r="MJY116" i="8"/>
  <c r="MJX116" i="8"/>
  <c r="MJW116" i="8"/>
  <c r="MJV116" i="8"/>
  <c r="MJU116" i="8"/>
  <c r="MJT116" i="8"/>
  <c r="MJS116" i="8"/>
  <c r="MJR116" i="8"/>
  <c r="MJQ116" i="8"/>
  <c r="MJP116" i="8"/>
  <c r="MJO116" i="8"/>
  <c r="MJN116" i="8"/>
  <c r="MJM116" i="8"/>
  <c r="MJL116" i="8"/>
  <c r="MJK116" i="8"/>
  <c r="MJJ116" i="8"/>
  <c r="MJI116" i="8"/>
  <c r="MJH116" i="8"/>
  <c r="MJG116" i="8"/>
  <c r="MJF116" i="8"/>
  <c r="MJE116" i="8"/>
  <c r="MJD116" i="8"/>
  <c r="MJC116" i="8"/>
  <c r="MJB116" i="8"/>
  <c r="MJA116" i="8"/>
  <c r="MIZ116" i="8"/>
  <c r="MIY116" i="8"/>
  <c r="MIX116" i="8"/>
  <c r="MIW116" i="8"/>
  <c r="MIV116" i="8"/>
  <c r="MIU116" i="8"/>
  <c r="MIT116" i="8"/>
  <c r="MIS116" i="8"/>
  <c r="MIR116" i="8"/>
  <c r="MIQ116" i="8"/>
  <c r="MIP116" i="8"/>
  <c r="MIO116" i="8"/>
  <c r="MIN116" i="8"/>
  <c r="MIM116" i="8"/>
  <c r="MIL116" i="8"/>
  <c r="MIK116" i="8"/>
  <c r="MIJ116" i="8"/>
  <c r="MII116" i="8"/>
  <c r="MIH116" i="8"/>
  <c r="MIG116" i="8"/>
  <c r="MIF116" i="8"/>
  <c r="MIE116" i="8"/>
  <c r="MID116" i="8"/>
  <c r="MIC116" i="8"/>
  <c r="MIB116" i="8"/>
  <c r="MIA116" i="8"/>
  <c r="MHZ116" i="8"/>
  <c r="MHY116" i="8"/>
  <c r="MHX116" i="8"/>
  <c r="MHW116" i="8"/>
  <c r="MHV116" i="8"/>
  <c r="MHU116" i="8"/>
  <c r="MHT116" i="8"/>
  <c r="MHS116" i="8"/>
  <c r="MHR116" i="8"/>
  <c r="MHQ116" i="8"/>
  <c r="MHP116" i="8"/>
  <c r="MHO116" i="8"/>
  <c r="MHN116" i="8"/>
  <c r="MHM116" i="8"/>
  <c r="MHL116" i="8"/>
  <c r="MHK116" i="8"/>
  <c r="MHJ116" i="8"/>
  <c r="MHI116" i="8"/>
  <c r="MHH116" i="8"/>
  <c r="MHG116" i="8"/>
  <c r="MHF116" i="8"/>
  <c r="MHE116" i="8"/>
  <c r="MHD116" i="8"/>
  <c r="MHC116" i="8"/>
  <c r="MHB116" i="8"/>
  <c r="MHA116" i="8"/>
  <c r="MGZ116" i="8"/>
  <c r="MGY116" i="8"/>
  <c r="MGX116" i="8"/>
  <c r="MGW116" i="8"/>
  <c r="MGV116" i="8"/>
  <c r="MGU116" i="8"/>
  <c r="MGT116" i="8"/>
  <c r="MGS116" i="8"/>
  <c r="MGR116" i="8"/>
  <c r="MGQ116" i="8"/>
  <c r="MGP116" i="8"/>
  <c r="MGO116" i="8"/>
  <c r="MGN116" i="8"/>
  <c r="MGM116" i="8"/>
  <c r="MGL116" i="8"/>
  <c r="MGK116" i="8"/>
  <c r="MGJ116" i="8"/>
  <c r="MGI116" i="8"/>
  <c r="MGH116" i="8"/>
  <c r="MGG116" i="8"/>
  <c r="MGF116" i="8"/>
  <c r="MGE116" i="8"/>
  <c r="MGD116" i="8"/>
  <c r="MGC116" i="8"/>
  <c r="MGB116" i="8"/>
  <c r="MGA116" i="8"/>
  <c r="MFZ116" i="8"/>
  <c r="MFY116" i="8"/>
  <c r="MFX116" i="8"/>
  <c r="MFW116" i="8"/>
  <c r="MFV116" i="8"/>
  <c r="MFU116" i="8"/>
  <c r="MFT116" i="8"/>
  <c r="MFS116" i="8"/>
  <c r="MFR116" i="8"/>
  <c r="MFQ116" i="8"/>
  <c r="MFP116" i="8"/>
  <c r="MFO116" i="8"/>
  <c r="MFN116" i="8"/>
  <c r="MFM116" i="8"/>
  <c r="MFL116" i="8"/>
  <c r="MFK116" i="8"/>
  <c r="MFJ116" i="8"/>
  <c r="MFI116" i="8"/>
  <c r="MFH116" i="8"/>
  <c r="MFG116" i="8"/>
  <c r="MFF116" i="8"/>
  <c r="MFE116" i="8"/>
  <c r="MFD116" i="8"/>
  <c r="MFC116" i="8"/>
  <c r="MFB116" i="8"/>
  <c r="MFA116" i="8"/>
  <c r="MEZ116" i="8"/>
  <c r="MEY116" i="8"/>
  <c r="MEX116" i="8"/>
  <c r="MEW116" i="8"/>
  <c r="MEV116" i="8"/>
  <c r="MEU116" i="8"/>
  <c r="MET116" i="8"/>
  <c r="MES116" i="8"/>
  <c r="MER116" i="8"/>
  <c r="MEQ116" i="8"/>
  <c r="MEP116" i="8"/>
  <c r="MEO116" i="8"/>
  <c r="MEN116" i="8"/>
  <c r="MEM116" i="8"/>
  <c r="MEL116" i="8"/>
  <c r="MEK116" i="8"/>
  <c r="MEJ116" i="8"/>
  <c r="MEI116" i="8"/>
  <c r="MEH116" i="8"/>
  <c r="MEG116" i="8"/>
  <c r="MEF116" i="8"/>
  <c r="MEE116" i="8"/>
  <c r="MED116" i="8"/>
  <c r="MEC116" i="8"/>
  <c r="MEB116" i="8"/>
  <c r="MEA116" i="8"/>
  <c r="MDZ116" i="8"/>
  <c r="MDY116" i="8"/>
  <c r="MDX116" i="8"/>
  <c r="MDW116" i="8"/>
  <c r="MDV116" i="8"/>
  <c r="MDU116" i="8"/>
  <c r="MDT116" i="8"/>
  <c r="MDS116" i="8"/>
  <c r="MDR116" i="8"/>
  <c r="MDQ116" i="8"/>
  <c r="MDP116" i="8"/>
  <c r="MDO116" i="8"/>
  <c r="MDN116" i="8"/>
  <c r="MDM116" i="8"/>
  <c r="MDL116" i="8"/>
  <c r="MDK116" i="8"/>
  <c r="MDJ116" i="8"/>
  <c r="MDI116" i="8"/>
  <c r="MDH116" i="8"/>
  <c r="MDG116" i="8"/>
  <c r="MDF116" i="8"/>
  <c r="MDE116" i="8"/>
  <c r="MDD116" i="8"/>
  <c r="MDC116" i="8"/>
  <c r="MDB116" i="8"/>
  <c r="MDA116" i="8"/>
  <c r="MCZ116" i="8"/>
  <c r="MCY116" i="8"/>
  <c r="MCX116" i="8"/>
  <c r="MCW116" i="8"/>
  <c r="MCV116" i="8"/>
  <c r="MCU116" i="8"/>
  <c r="MCT116" i="8"/>
  <c r="MCS116" i="8"/>
  <c r="MCR116" i="8"/>
  <c r="MCQ116" i="8"/>
  <c r="MCP116" i="8"/>
  <c r="MCO116" i="8"/>
  <c r="MCN116" i="8"/>
  <c r="MCM116" i="8"/>
  <c r="MCL116" i="8"/>
  <c r="MCK116" i="8"/>
  <c r="MCJ116" i="8"/>
  <c r="MCI116" i="8"/>
  <c r="MCH116" i="8"/>
  <c r="MCG116" i="8"/>
  <c r="MCF116" i="8"/>
  <c r="MCE116" i="8"/>
  <c r="MCD116" i="8"/>
  <c r="MCC116" i="8"/>
  <c r="MCB116" i="8"/>
  <c r="MCA116" i="8"/>
  <c r="MBZ116" i="8"/>
  <c r="MBY116" i="8"/>
  <c r="MBX116" i="8"/>
  <c r="MBW116" i="8"/>
  <c r="MBV116" i="8"/>
  <c r="MBU116" i="8"/>
  <c r="MBT116" i="8"/>
  <c r="MBS116" i="8"/>
  <c r="MBR116" i="8"/>
  <c r="MBQ116" i="8"/>
  <c r="MBP116" i="8"/>
  <c r="MBO116" i="8"/>
  <c r="MBN116" i="8"/>
  <c r="MBM116" i="8"/>
  <c r="MBL116" i="8"/>
  <c r="MBK116" i="8"/>
  <c r="MBJ116" i="8"/>
  <c r="MBI116" i="8"/>
  <c r="MBH116" i="8"/>
  <c r="MBG116" i="8"/>
  <c r="MBF116" i="8"/>
  <c r="MBE116" i="8"/>
  <c r="MBD116" i="8"/>
  <c r="MBC116" i="8"/>
  <c r="MBB116" i="8"/>
  <c r="MBA116" i="8"/>
  <c r="MAZ116" i="8"/>
  <c r="MAY116" i="8"/>
  <c r="MAX116" i="8"/>
  <c r="MAW116" i="8"/>
  <c r="MAV116" i="8"/>
  <c r="MAU116" i="8"/>
  <c r="MAT116" i="8"/>
  <c r="MAS116" i="8"/>
  <c r="MAR116" i="8"/>
  <c r="MAQ116" i="8"/>
  <c r="MAP116" i="8"/>
  <c r="MAO116" i="8"/>
  <c r="MAN116" i="8"/>
  <c r="MAM116" i="8"/>
  <c r="MAL116" i="8"/>
  <c r="MAK116" i="8"/>
  <c r="MAJ116" i="8"/>
  <c r="MAI116" i="8"/>
  <c r="MAH116" i="8"/>
  <c r="MAG116" i="8"/>
  <c r="MAF116" i="8"/>
  <c r="MAE116" i="8"/>
  <c r="MAD116" i="8"/>
  <c r="MAC116" i="8"/>
  <c r="MAB116" i="8"/>
  <c r="MAA116" i="8"/>
  <c r="LZZ116" i="8"/>
  <c r="LZY116" i="8"/>
  <c r="LZX116" i="8"/>
  <c r="LZW116" i="8"/>
  <c r="LZV116" i="8"/>
  <c r="LZU116" i="8"/>
  <c r="LZT116" i="8"/>
  <c r="LZS116" i="8"/>
  <c r="LZR116" i="8"/>
  <c r="LZQ116" i="8"/>
  <c r="LZP116" i="8"/>
  <c r="LZO116" i="8"/>
  <c r="LZN116" i="8"/>
  <c r="LZM116" i="8"/>
  <c r="LZL116" i="8"/>
  <c r="LZK116" i="8"/>
  <c r="LZJ116" i="8"/>
  <c r="LZI116" i="8"/>
  <c r="LZH116" i="8"/>
  <c r="LZG116" i="8"/>
  <c r="LZF116" i="8"/>
  <c r="LZE116" i="8"/>
  <c r="LZD116" i="8"/>
  <c r="LZC116" i="8"/>
  <c r="LZB116" i="8"/>
  <c r="LZA116" i="8"/>
  <c r="LYZ116" i="8"/>
  <c r="LYY116" i="8"/>
  <c r="LYX116" i="8"/>
  <c r="LYW116" i="8"/>
  <c r="LYV116" i="8"/>
  <c r="LYU116" i="8"/>
  <c r="LYT116" i="8"/>
  <c r="LYS116" i="8"/>
  <c r="LYR116" i="8"/>
  <c r="LYQ116" i="8"/>
  <c r="LYP116" i="8"/>
  <c r="LYO116" i="8"/>
  <c r="LYN116" i="8"/>
  <c r="LYM116" i="8"/>
  <c r="LYL116" i="8"/>
  <c r="LYK116" i="8"/>
  <c r="LYJ116" i="8"/>
  <c r="LYI116" i="8"/>
  <c r="LYH116" i="8"/>
  <c r="LYG116" i="8"/>
  <c r="LYF116" i="8"/>
  <c r="LYE116" i="8"/>
  <c r="LYD116" i="8"/>
  <c r="LYC116" i="8"/>
  <c r="LYB116" i="8"/>
  <c r="LYA116" i="8"/>
  <c r="LXZ116" i="8"/>
  <c r="LXY116" i="8"/>
  <c r="LXX116" i="8"/>
  <c r="LXW116" i="8"/>
  <c r="LXV116" i="8"/>
  <c r="LXU116" i="8"/>
  <c r="LXT116" i="8"/>
  <c r="LXS116" i="8"/>
  <c r="LXR116" i="8"/>
  <c r="LXQ116" i="8"/>
  <c r="LXP116" i="8"/>
  <c r="LXO116" i="8"/>
  <c r="LXN116" i="8"/>
  <c r="LXM116" i="8"/>
  <c r="LXL116" i="8"/>
  <c r="LXK116" i="8"/>
  <c r="LXJ116" i="8"/>
  <c r="LXI116" i="8"/>
  <c r="LXH116" i="8"/>
  <c r="LXG116" i="8"/>
  <c r="LXF116" i="8"/>
  <c r="LXE116" i="8"/>
  <c r="LXD116" i="8"/>
  <c r="LXC116" i="8"/>
  <c r="LXB116" i="8"/>
  <c r="LXA116" i="8"/>
  <c r="LWZ116" i="8"/>
  <c r="LWY116" i="8"/>
  <c r="LWX116" i="8"/>
  <c r="LWW116" i="8"/>
  <c r="LWV116" i="8"/>
  <c r="LWU116" i="8"/>
  <c r="LWT116" i="8"/>
  <c r="LWS116" i="8"/>
  <c r="LWR116" i="8"/>
  <c r="LWQ116" i="8"/>
  <c r="LWP116" i="8"/>
  <c r="LWO116" i="8"/>
  <c r="LWN116" i="8"/>
  <c r="LWM116" i="8"/>
  <c r="LWL116" i="8"/>
  <c r="LWK116" i="8"/>
  <c r="LWJ116" i="8"/>
  <c r="LWI116" i="8"/>
  <c r="LWH116" i="8"/>
  <c r="LWG116" i="8"/>
  <c r="LWF116" i="8"/>
  <c r="LWE116" i="8"/>
  <c r="LWD116" i="8"/>
  <c r="LWC116" i="8"/>
  <c r="LWB116" i="8"/>
  <c r="LWA116" i="8"/>
  <c r="LVZ116" i="8"/>
  <c r="LVY116" i="8"/>
  <c r="LVX116" i="8"/>
  <c r="LVW116" i="8"/>
  <c r="LVV116" i="8"/>
  <c r="LVU116" i="8"/>
  <c r="LVT116" i="8"/>
  <c r="LVS116" i="8"/>
  <c r="LVR116" i="8"/>
  <c r="LVQ116" i="8"/>
  <c r="LVP116" i="8"/>
  <c r="LVO116" i="8"/>
  <c r="LVN116" i="8"/>
  <c r="LVM116" i="8"/>
  <c r="LVL116" i="8"/>
  <c r="LVK116" i="8"/>
  <c r="LVJ116" i="8"/>
  <c r="LVI116" i="8"/>
  <c r="LVH116" i="8"/>
  <c r="LVG116" i="8"/>
  <c r="LVF116" i="8"/>
  <c r="LVE116" i="8"/>
  <c r="LVD116" i="8"/>
  <c r="LVC116" i="8"/>
  <c r="LVB116" i="8"/>
  <c r="LVA116" i="8"/>
  <c r="LUZ116" i="8"/>
  <c r="LUY116" i="8"/>
  <c r="LUX116" i="8"/>
  <c r="LUW116" i="8"/>
  <c r="LUV116" i="8"/>
  <c r="LUU116" i="8"/>
  <c r="LUT116" i="8"/>
  <c r="LUS116" i="8"/>
  <c r="LUR116" i="8"/>
  <c r="LUQ116" i="8"/>
  <c r="LUP116" i="8"/>
  <c r="LUO116" i="8"/>
  <c r="LUN116" i="8"/>
  <c r="LUM116" i="8"/>
  <c r="LUL116" i="8"/>
  <c r="LUK116" i="8"/>
  <c r="LUJ116" i="8"/>
  <c r="LUI116" i="8"/>
  <c r="LUH116" i="8"/>
  <c r="LUG116" i="8"/>
  <c r="LUF116" i="8"/>
  <c r="LUE116" i="8"/>
  <c r="LUD116" i="8"/>
  <c r="LUC116" i="8"/>
  <c r="LUB116" i="8"/>
  <c r="LUA116" i="8"/>
  <c r="LTZ116" i="8"/>
  <c r="LTY116" i="8"/>
  <c r="LTX116" i="8"/>
  <c r="LTW116" i="8"/>
  <c r="LTV116" i="8"/>
  <c r="LTU116" i="8"/>
  <c r="LTT116" i="8"/>
  <c r="LTS116" i="8"/>
  <c r="LTR116" i="8"/>
  <c r="LTQ116" i="8"/>
  <c r="LTP116" i="8"/>
  <c r="LTO116" i="8"/>
  <c r="LTN116" i="8"/>
  <c r="LTM116" i="8"/>
  <c r="LTL116" i="8"/>
  <c r="LTK116" i="8"/>
  <c r="LTJ116" i="8"/>
  <c r="LTI116" i="8"/>
  <c r="LTH116" i="8"/>
  <c r="LTG116" i="8"/>
  <c r="LTF116" i="8"/>
  <c r="LTE116" i="8"/>
  <c r="LTD116" i="8"/>
  <c r="LTC116" i="8"/>
  <c r="LTB116" i="8"/>
  <c r="LTA116" i="8"/>
  <c r="LSZ116" i="8"/>
  <c r="LSY116" i="8"/>
  <c r="LSX116" i="8"/>
  <c r="LSW116" i="8"/>
  <c r="LSV116" i="8"/>
  <c r="LSU116" i="8"/>
  <c r="LST116" i="8"/>
  <c r="LSS116" i="8"/>
  <c r="LSR116" i="8"/>
  <c r="LSQ116" i="8"/>
  <c r="LSP116" i="8"/>
  <c r="LSO116" i="8"/>
  <c r="LSN116" i="8"/>
  <c r="LSM116" i="8"/>
  <c r="LSL116" i="8"/>
  <c r="LSK116" i="8"/>
  <c r="LSJ116" i="8"/>
  <c r="LSI116" i="8"/>
  <c r="LSH116" i="8"/>
  <c r="LSG116" i="8"/>
  <c r="LSF116" i="8"/>
  <c r="LSE116" i="8"/>
  <c r="LSD116" i="8"/>
  <c r="LSC116" i="8"/>
  <c r="LSB116" i="8"/>
  <c r="LSA116" i="8"/>
  <c r="LRZ116" i="8"/>
  <c r="LRY116" i="8"/>
  <c r="LRX116" i="8"/>
  <c r="LRW116" i="8"/>
  <c r="LRV116" i="8"/>
  <c r="LRU116" i="8"/>
  <c r="LRT116" i="8"/>
  <c r="LRS116" i="8"/>
  <c r="LRR116" i="8"/>
  <c r="LRQ116" i="8"/>
  <c r="LRP116" i="8"/>
  <c r="LRO116" i="8"/>
  <c r="LRN116" i="8"/>
  <c r="LRM116" i="8"/>
  <c r="LRL116" i="8"/>
  <c r="LRK116" i="8"/>
  <c r="LRJ116" i="8"/>
  <c r="LRI116" i="8"/>
  <c r="LRH116" i="8"/>
  <c r="LRG116" i="8"/>
  <c r="LRF116" i="8"/>
  <c r="LRE116" i="8"/>
  <c r="LRD116" i="8"/>
  <c r="LRC116" i="8"/>
  <c r="LRB116" i="8"/>
  <c r="LRA116" i="8"/>
  <c r="LQZ116" i="8"/>
  <c r="LQY116" i="8"/>
  <c r="LQX116" i="8"/>
  <c r="LQW116" i="8"/>
  <c r="LQV116" i="8"/>
  <c r="LQU116" i="8"/>
  <c r="LQT116" i="8"/>
  <c r="LQS116" i="8"/>
  <c r="LQR116" i="8"/>
  <c r="LQQ116" i="8"/>
  <c r="LQP116" i="8"/>
  <c r="LQO116" i="8"/>
  <c r="LQN116" i="8"/>
  <c r="LQM116" i="8"/>
  <c r="LQL116" i="8"/>
  <c r="LQK116" i="8"/>
  <c r="LQJ116" i="8"/>
  <c r="LQI116" i="8"/>
  <c r="LQH116" i="8"/>
  <c r="LQG116" i="8"/>
  <c r="LQF116" i="8"/>
  <c r="LQE116" i="8"/>
  <c r="LQD116" i="8"/>
  <c r="LQC116" i="8"/>
  <c r="LQB116" i="8"/>
  <c r="LQA116" i="8"/>
  <c r="LPZ116" i="8"/>
  <c r="LPY116" i="8"/>
  <c r="LPX116" i="8"/>
  <c r="LPW116" i="8"/>
  <c r="LPV116" i="8"/>
  <c r="LPU116" i="8"/>
  <c r="LPT116" i="8"/>
  <c r="LPS116" i="8"/>
  <c r="LPR116" i="8"/>
  <c r="LPQ116" i="8"/>
  <c r="LPP116" i="8"/>
  <c r="LPO116" i="8"/>
  <c r="LPN116" i="8"/>
  <c r="LPM116" i="8"/>
  <c r="LPL116" i="8"/>
  <c r="LPK116" i="8"/>
  <c r="LPJ116" i="8"/>
  <c r="LPI116" i="8"/>
  <c r="LPH116" i="8"/>
  <c r="LPG116" i="8"/>
  <c r="LPF116" i="8"/>
  <c r="LPE116" i="8"/>
  <c r="LPD116" i="8"/>
  <c r="LPC116" i="8"/>
  <c r="LPB116" i="8"/>
  <c r="LPA116" i="8"/>
  <c r="LOZ116" i="8"/>
  <c r="LOY116" i="8"/>
  <c r="LOX116" i="8"/>
  <c r="LOW116" i="8"/>
  <c r="LOV116" i="8"/>
  <c r="LOU116" i="8"/>
  <c r="LOT116" i="8"/>
  <c r="LOS116" i="8"/>
  <c r="LOR116" i="8"/>
  <c r="LOQ116" i="8"/>
  <c r="LOP116" i="8"/>
  <c r="LOO116" i="8"/>
  <c r="LON116" i="8"/>
  <c r="LOM116" i="8"/>
  <c r="LOL116" i="8"/>
  <c r="LOK116" i="8"/>
  <c r="LOJ116" i="8"/>
  <c r="LOI116" i="8"/>
  <c r="LOH116" i="8"/>
  <c r="LOG116" i="8"/>
  <c r="LOF116" i="8"/>
  <c r="LOE116" i="8"/>
  <c r="LOD116" i="8"/>
  <c r="LOC116" i="8"/>
  <c r="LOB116" i="8"/>
  <c r="LOA116" i="8"/>
  <c r="LNZ116" i="8"/>
  <c r="LNY116" i="8"/>
  <c r="LNX116" i="8"/>
  <c r="LNW116" i="8"/>
  <c r="LNV116" i="8"/>
  <c r="LNU116" i="8"/>
  <c r="LNT116" i="8"/>
  <c r="LNS116" i="8"/>
  <c r="LNR116" i="8"/>
  <c r="LNQ116" i="8"/>
  <c r="LNP116" i="8"/>
  <c r="LNO116" i="8"/>
  <c r="LNN116" i="8"/>
  <c r="LNM116" i="8"/>
  <c r="LNL116" i="8"/>
  <c r="LNK116" i="8"/>
  <c r="LNJ116" i="8"/>
  <c r="LNI116" i="8"/>
  <c r="LNH116" i="8"/>
  <c r="LNG116" i="8"/>
  <c r="LNF116" i="8"/>
  <c r="LNE116" i="8"/>
  <c r="LND116" i="8"/>
  <c r="LNC116" i="8"/>
  <c r="LNB116" i="8"/>
  <c r="LNA116" i="8"/>
  <c r="LMZ116" i="8"/>
  <c r="LMY116" i="8"/>
  <c r="LMX116" i="8"/>
  <c r="LMW116" i="8"/>
  <c r="LMV116" i="8"/>
  <c r="LMU116" i="8"/>
  <c r="LMT116" i="8"/>
  <c r="LMS116" i="8"/>
  <c r="LMR116" i="8"/>
  <c r="LMQ116" i="8"/>
  <c r="LMP116" i="8"/>
  <c r="LMO116" i="8"/>
  <c r="LMN116" i="8"/>
  <c r="LMM116" i="8"/>
  <c r="LML116" i="8"/>
  <c r="LMK116" i="8"/>
  <c r="LMJ116" i="8"/>
  <c r="LMI116" i="8"/>
  <c r="LMH116" i="8"/>
  <c r="LMG116" i="8"/>
  <c r="LMF116" i="8"/>
  <c r="LME116" i="8"/>
  <c r="LMD116" i="8"/>
  <c r="LMC116" i="8"/>
  <c r="LMB116" i="8"/>
  <c r="LMA116" i="8"/>
  <c r="LLZ116" i="8"/>
  <c r="LLY116" i="8"/>
  <c r="LLX116" i="8"/>
  <c r="LLW116" i="8"/>
  <c r="LLV116" i="8"/>
  <c r="LLU116" i="8"/>
  <c r="LLT116" i="8"/>
  <c r="LLS116" i="8"/>
  <c r="LLR116" i="8"/>
  <c r="LLQ116" i="8"/>
  <c r="LLP116" i="8"/>
  <c r="LLO116" i="8"/>
  <c r="LLN116" i="8"/>
  <c r="LLM116" i="8"/>
  <c r="LLL116" i="8"/>
  <c r="LLK116" i="8"/>
  <c r="LLJ116" i="8"/>
  <c r="LLI116" i="8"/>
  <c r="LLH116" i="8"/>
  <c r="LLG116" i="8"/>
  <c r="LLF116" i="8"/>
  <c r="LLE116" i="8"/>
  <c r="LLD116" i="8"/>
  <c r="LLC116" i="8"/>
  <c r="LLB116" i="8"/>
  <c r="LLA116" i="8"/>
  <c r="LKZ116" i="8"/>
  <c r="LKY116" i="8"/>
  <c r="LKX116" i="8"/>
  <c r="LKW116" i="8"/>
  <c r="LKV116" i="8"/>
  <c r="LKU116" i="8"/>
  <c r="LKT116" i="8"/>
  <c r="LKS116" i="8"/>
  <c r="LKR116" i="8"/>
  <c r="LKQ116" i="8"/>
  <c r="LKP116" i="8"/>
  <c r="LKO116" i="8"/>
  <c r="LKN116" i="8"/>
  <c r="LKM116" i="8"/>
  <c r="LKL116" i="8"/>
  <c r="LKK116" i="8"/>
  <c r="LKJ116" i="8"/>
  <c r="LKI116" i="8"/>
  <c r="LKH116" i="8"/>
  <c r="LKG116" i="8"/>
  <c r="LKF116" i="8"/>
  <c r="LKE116" i="8"/>
  <c r="LKD116" i="8"/>
  <c r="LKC116" i="8"/>
  <c r="LKB116" i="8"/>
  <c r="LKA116" i="8"/>
  <c r="LJZ116" i="8"/>
  <c r="LJY116" i="8"/>
  <c r="LJX116" i="8"/>
  <c r="LJW116" i="8"/>
  <c r="LJV116" i="8"/>
  <c r="LJU116" i="8"/>
  <c r="LJT116" i="8"/>
  <c r="LJS116" i="8"/>
  <c r="LJR116" i="8"/>
  <c r="LJQ116" i="8"/>
  <c r="LJP116" i="8"/>
  <c r="LJO116" i="8"/>
  <c r="LJN116" i="8"/>
  <c r="LJM116" i="8"/>
  <c r="LJL116" i="8"/>
  <c r="LJK116" i="8"/>
  <c r="LJJ116" i="8"/>
  <c r="LJI116" i="8"/>
  <c r="LJH116" i="8"/>
  <c r="LJG116" i="8"/>
  <c r="LJF116" i="8"/>
  <c r="LJE116" i="8"/>
  <c r="LJD116" i="8"/>
  <c r="LJC116" i="8"/>
  <c r="LJB116" i="8"/>
  <c r="LJA116" i="8"/>
  <c r="LIZ116" i="8"/>
  <c r="LIY116" i="8"/>
  <c r="LIX116" i="8"/>
  <c r="LIW116" i="8"/>
  <c r="LIV116" i="8"/>
  <c r="LIU116" i="8"/>
  <c r="LIT116" i="8"/>
  <c r="LIS116" i="8"/>
  <c r="LIR116" i="8"/>
  <c r="LIQ116" i="8"/>
  <c r="LIP116" i="8"/>
  <c r="LIO116" i="8"/>
  <c r="LIN116" i="8"/>
  <c r="LIM116" i="8"/>
  <c r="LIL116" i="8"/>
  <c r="LIK116" i="8"/>
  <c r="LIJ116" i="8"/>
  <c r="LII116" i="8"/>
  <c r="LIH116" i="8"/>
  <c r="LIG116" i="8"/>
  <c r="LIF116" i="8"/>
  <c r="LIE116" i="8"/>
  <c r="LID116" i="8"/>
  <c r="LIC116" i="8"/>
  <c r="LIB116" i="8"/>
  <c r="LIA116" i="8"/>
  <c r="LHZ116" i="8"/>
  <c r="LHY116" i="8"/>
  <c r="LHX116" i="8"/>
  <c r="LHW116" i="8"/>
  <c r="LHV116" i="8"/>
  <c r="LHU116" i="8"/>
  <c r="LHT116" i="8"/>
  <c r="LHS116" i="8"/>
  <c r="LHR116" i="8"/>
  <c r="LHQ116" i="8"/>
  <c r="LHP116" i="8"/>
  <c r="LHO116" i="8"/>
  <c r="LHN116" i="8"/>
  <c r="LHM116" i="8"/>
  <c r="LHL116" i="8"/>
  <c r="LHK116" i="8"/>
  <c r="LHJ116" i="8"/>
  <c r="LHI116" i="8"/>
  <c r="LHH116" i="8"/>
  <c r="LHG116" i="8"/>
  <c r="LHF116" i="8"/>
  <c r="LHE116" i="8"/>
  <c r="LHD116" i="8"/>
  <c r="LHC116" i="8"/>
  <c r="LHB116" i="8"/>
  <c r="LHA116" i="8"/>
  <c r="LGZ116" i="8"/>
  <c r="LGY116" i="8"/>
  <c r="LGX116" i="8"/>
  <c r="LGW116" i="8"/>
  <c r="LGV116" i="8"/>
  <c r="LGU116" i="8"/>
  <c r="LGT116" i="8"/>
  <c r="LGS116" i="8"/>
  <c r="LGR116" i="8"/>
  <c r="LGQ116" i="8"/>
  <c r="LGP116" i="8"/>
  <c r="LGO116" i="8"/>
  <c r="LGN116" i="8"/>
  <c r="LGM116" i="8"/>
  <c r="LGL116" i="8"/>
  <c r="LGK116" i="8"/>
  <c r="LGJ116" i="8"/>
  <c r="LGI116" i="8"/>
  <c r="LGH116" i="8"/>
  <c r="LGG116" i="8"/>
  <c r="LGF116" i="8"/>
  <c r="LGE116" i="8"/>
  <c r="LGD116" i="8"/>
  <c r="LGC116" i="8"/>
  <c r="LGB116" i="8"/>
  <c r="LGA116" i="8"/>
  <c r="LFZ116" i="8"/>
  <c r="LFY116" i="8"/>
  <c r="LFX116" i="8"/>
  <c r="LFW116" i="8"/>
  <c r="LFV116" i="8"/>
  <c r="LFU116" i="8"/>
  <c r="LFT116" i="8"/>
  <c r="LFS116" i="8"/>
  <c r="LFR116" i="8"/>
  <c r="LFQ116" i="8"/>
  <c r="LFP116" i="8"/>
  <c r="LFO116" i="8"/>
  <c r="LFN116" i="8"/>
  <c r="LFM116" i="8"/>
  <c r="LFL116" i="8"/>
  <c r="LFK116" i="8"/>
  <c r="LFJ116" i="8"/>
  <c r="LFI116" i="8"/>
  <c r="LFH116" i="8"/>
  <c r="LFG116" i="8"/>
  <c r="LFF116" i="8"/>
  <c r="LFE116" i="8"/>
  <c r="LFD116" i="8"/>
  <c r="LFC116" i="8"/>
  <c r="LFB116" i="8"/>
  <c r="LFA116" i="8"/>
  <c r="LEZ116" i="8"/>
  <c r="LEY116" i="8"/>
  <c r="LEX116" i="8"/>
  <c r="LEW116" i="8"/>
  <c r="LEV116" i="8"/>
  <c r="LEU116" i="8"/>
  <c r="LET116" i="8"/>
  <c r="LES116" i="8"/>
  <c r="LER116" i="8"/>
  <c r="LEQ116" i="8"/>
  <c r="LEP116" i="8"/>
  <c r="LEO116" i="8"/>
  <c r="LEN116" i="8"/>
  <c r="LEM116" i="8"/>
  <c r="LEL116" i="8"/>
  <c r="LEK116" i="8"/>
  <c r="LEJ116" i="8"/>
  <c r="LEI116" i="8"/>
  <c r="LEH116" i="8"/>
  <c r="LEG116" i="8"/>
  <c r="LEF116" i="8"/>
  <c r="LEE116" i="8"/>
  <c r="LED116" i="8"/>
  <c r="LEC116" i="8"/>
  <c r="LEB116" i="8"/>
  <c r="LEA116" i="8"/>
  <c r="LDZ116" i="8"/>
  <c r="LDY116" i="8"/>
  <c r="LDX116" i="8"/>
  <c r="LDW116" i="8"/>
  <c r="LDV116" i="8"/>
  <c r="LDU116" i="8"/>
  <c r="LDT116" i="8"/>
  <c r="LDS116" i="8"/>
  <c r="LDR116" i="8"/>
  <c r="LDQ116" i="8"/>
  <c r="LDP116" i="8"/>
  <c r="LDO116" i="8"/>
  <c r="LDN116" i="8"/>
  <c r="LDM116" i="8"/>
  <c r="LDL116" i="8"/>
  <c r="LDK116" i="8"/>
  <c r="LDJ116" i="8"/>
  <c r="LDI116" i="8"/>
  <c r="LDH116" i="8"/>
  <c r="LDG116" i="8"/>
  <c r="LDF116" i="8"/>
  <c r="LDE116" i="8"/>
  <c r="LDD116" i="8"/>
  <c r="LDC116" i="8"/>
  <c r="LDB116" i="8"/>
  <c r="LDA116" i="8"/>
  <c r="LCZ116" i="8"/>
  <c r="LCY116" i="8"/>
  <c r="LCX116" i="8"/>
  <c r="LCW116" i="8"/>
  <c r="LCV116" i="8"/>
  <c r="LCU116" i="8"/>
  <c r="LCT116" i="8"/>
  <c r="LCS116" i="8"/>
  <c r="LCR116" i="8"/>
  <c r="LCQ116" i="8"/>
  <c r="LCP116" i="8"/>
  <c r="LCO116" i="8"/>
  <c r="LCN116" i="8"/>
  <c r="LCM116" i="8"/>
  <c r="LCL116" i="8"/>
  <c r="LCK116" i="8"/>
  <c r="LCJ116" i="8"/>
  <c r="LCI116" i="8"/>
  <c r="LCH116" i="8"/>
  <c r="LCG116" i="8"/>
  <c r="LCF116" i="8"/>
  <c r="LCE116" i="8"/>
  <c r="LCD116" i="8"/>
  <c r="LCC116" i="8"/>
  <c r="LCB116" i="8"/>
  <c r="LCA116" i="8"/>
  <c r="LBZ116" i="8"/>
  <c r="LBY116" i="8"/>
  <c r="LBX116" i="8"/>
  <c r="LBW116" i="8"/>
  <c r="LBV116" i="8"/>
  <c r="LBU116" i="8"/>
  <c r="LBT116" i="8"/>
  <c r="LBS116" i="8"/>
  <c r="LBR116" i="8"/>
  <c r="LBQ116" i="8"/>
  <c r="LBP116" i="8"/>
  <c r="LBO116" i="8"/>
  <c r="LBN116" i="8"/>
  <c r="LBM116" i="8"/>
  <c r="LBL116" i="8"/>
  <c r="LBK116" i="8"/>
  <c r="LBJ116" i="8"/>
  <c r="LBI116" i="8"/>
  <c r="LBH116" i="8"/>
  <c r="LBG116" i="8"/>
  <c r="LBF116" i="8"/>
  <c r="LBE116" i="8"/>
  <c r="LBD116" i="8"/>
  <c r="LBC116" i="8"/>
  <c r="LBB116" i="8"/>
  <c r="LBA116" i="8"/>
  <c r="LAZ116" i="8"/>
  <c r="LAY116" i="8"/>
  <c r="LAX116" i="8"/>
  <c r="LAW116" i="8"/>
  <c r="LAV116" i="8"/>
  <c r="LAU116" i="8"/>
  <c r="LAT116" i="8"/>
  <c r="LAS116" i="8"/>
  <c r="LAR116" i="8"/>
  <c r="LAQ116" i="8"/>
  <c r="LAP116" i="8"/>
  <c r="LAO116" i="8"/>
  <c r="LAN116" i="8"/>
  <c r="LAM116" i="8"/>
  <c r="LAL116" i="8"/>
  <c r="LAK116" i="8"/>
  <c r="LAJ116" i="8"/>
  <c r="LAI116" i="8"/>
  <c r="LAH116" i="8"/>
  <c r="LAG116" i="8"/>
  <c r="LAF116" i="8"/>
  <c r="LAE116" i="8"/>
  <c r="LAD116" i="8"/>
  <c r="LAC116" i="8"/>
  <c r="LAB116" i="8"/>
  <c r="LAA116" i="8"/>
  <c r="KZZ116" i="8"/>
  <c r="KZY116" i="8"/>
  <c r="KZX116" i="8"/>
  <c r="KZW116" i="8"/>
  <c r="KZV116" i="8"/>
  <c r="KZU116" i="8"/>
  <c r="KZT116" i="8"/>
  <c r="KZS116" i="8"/>
  <c r="KZR116" i="8"/>
  <c r="KZQ116" i="8"/>
  <c r="KZP116" i="8"/>
  <c r="KZO116" i="8"/>
  <c r="KZN116" i="8"/>
  <c r="KZM116" i="8"/>
  <c r="KZL116" i="8"/>
  <c r="KZK116" i="8"/>
  <c r="KZJ116" i="8"/>
  <c r="KZI116" i="8"/>
  <c r="KZH116" i="8"/>
  <c r="KZG116" i="8"/>
  <c r="KZF116" i="8"/>
  <c r="KZE116" i="8"/>
  <c r="KZD116" i="8"/>
  <c r="KZC116" i="8"/>
  <c r="KZB116" i="8"/>
  <c r="KZA116" i="8"/>
  <c r="KYZ116" i="8"/>
  <c r="KYY116" i="8"/>
  <c r="KYX116" i="8"/>
  <c r="KYW116" i="8"/>
  <c r="KYV116" i="8"/>
  <c r="KYU116" i="8"/>
  <c r="KYT116" i="8"/>
  <c r="KYS116" i="8"/>
  <c r="KYR116" i="8"/>
  <c r="KYQ116" i="8"/>
  <c r="KYP116" i="8"/>
  <c r="KYO116" i="8"/>
  <c r="KYN116" i="8"/>
  <c r="KYM116" i="8"/>
  <c r="KYL116" i="8"/>
  <c r="KYK116" i="8"/>
  <c r="KYJ116" i="8"/>
  <c r="KYI116" i="8"/>
  <c r="KYH116" i="8"/>
  <c r="KYG116" i="8"/>
  <c r="KYF116" i="8"/>
  <c r="KYE116" i="8"/>
  <c r="KYD116" i="8"/>
  <c r="KYC116" i="8"/>
  <c r="KYB116" i="8"/>
  <c r="KYA116" i="8"/>
  <c r="KXZ116" i="8"/>
  <c r="KXY116" i="8"/>
  <c r="KXX116" i="8"/>
  <c r="KXW116" i="8"/>
  <c r="KXV116" i="8"/>
  <c r="KXU116" i="8"/>
  <c r="KXT116" i="8"/>
  <c r="KXS116" i="8"/>
  <c r="KXR116" i="8"/>
  <c r="KXQ116" i="8"/>
  <c r="KXP116" i="8"/>
  <c r="KXO116" i="8"/>
  <c r="KXN116" i="8"/>
  <c r="KXM116" i="8"/>
  <c r="KXL116" i="8"/>
  <c r="KXK116" i="8"/>
  <c r="KXJ116" i="8"/>
  <c r="KXI116" i="8"/>
  <c r="KXH116" i="8"/>
  <c r="KXG116" i="8"/>
  <c r="KXF116" i="8"/>
  <c r="KXE116" i="8"/>
  <c r="KXD116" i="8"/>
  <c r="KXC116" i="8"/>
  <c r="KXB116" i="8"/>
  <c r="KXA116" i="8"/>
  <c r="KWZ116" i="8"/>
  <c r="KWY116" i="8"/>
  <c r="KWX116" i="8"/>
  <c r="KWW116" i="8"/>
  <c r="KWV116" i="8"/>
  <c r="KWU116" i="8"/>
  <c r="KWT116" i="8"/>
  <c r="KWS116" i="8"/>
  <c r="KWR116" i="8"/>
  <c r="KWQ116" i="8"/>
  <c r="KWP116" i="8"/>
  <c r="KWO116" i="8"/>
  <c r="KWN116" i="8"/>
  <c r="KWM116" i="8"/>
  <c r="KWL116" i="8"/>
  <c r="KWK116" i="8"/>
  <c r="KWJ116" i="8"/>
  <c r="KWI116" i="8"/>
  <c r="KWH116" i="8"/>
  <c r="KWG116" i="8"/>
  <c r="KWF116" i="8"/>
  <c r="KWE116" i="8"/>
  <c r="KWD116" i="8"/>
  <c r="KWC116" i="8"/>
  <c r="KWB116" i="8"/>
  <c r="KWA116" i="8"/>
  <c r="KVZ116" i="8"/>
  <c r="KVY116" i="8"/>
  <c r="KVX116" i="8"/>
  <c r="KVW116" i="8"/>
  <c r="KVV116" i="8"/>
  <c r="KVU116" i="8"/>
  <c r="KVT116" i="8"/>
  <c r="KVS116" i="8"/>
  <c r="KVR116" i="8"/>
  <c r="KVQ116" i="8"/>
  <c r="KVP116" i="8"/>
  <c r="KVO116" i="8"/>
  <c r="KVN116" i="8"/>
  <c r="KVM116" i="8"/>
  <c r="KVL116" i="8"/>
  <c r="KVK116" i="8"/>
  <c r="KVJ116" i="8"/>
  <c r="KVI116" i="8"/>
  <c r="KVH116" i="8"/>
  <c r="KVG116" i="8"/>
  <c r="KVF116" i="8"/>
  <c r="KVE116" i="8"/>
  <c r="KVD116" i="8"/>
  <c r="KVC116" i="8"/>
  <c r="KVB116" i="8"/>
  <c r="KVA116" i="8"/>
  <c r="KUZ116" i="8"/>
  <c r="KUY116" i="8"/>
  <c r="KUX116" i="8"/>
  <c r="KUW116" i="8"/>
  <c r="KUV116" i="8"/>
  <c r="KUU116" i="8"/>
  <c r="KUT116" i="8"/>
  <c r="KUS116" i="8"/>
  <c r="KUR116" i="8"/>
  <c r="KUQ116" i="8"/>
  <c r="KUP116" i="8"/>
  <c r="KUO116" i="8"/>
  <c r="KUN116" i="8"/>
  <c r="KUM116" i="8"/>
  <c r="KUL116" i="8"/>
  <c r="KUK116" i="8"/>
  <c r="KUJ116" i="8"/>
  <c r="KUI116" i="8"/>
  <c r="KUH116" i="8"/>
  <c r="KUG116" i="8"/>
  <c r="KUF116" i="8"/>
  <c r="KUE116" i="8"/>
  <c r="KUD116" i="8"/>
  <c r="KUC116" i="8"/>
  <c r="KUB116" i="8"/>
  <c r="KUA116" i="8"/>
  <c r="KTZ116" i="8"/>
  <c r="KTY116" i="8"/>
  <c r="KTX116" i="8"/>
  <c r="KTW116" i="8"/>
  <c r="KTV116" i="8"/>
  <c r="KTU116" i="8"/>
  <c r="KTT116" i="8"/>
  <c r="KTS116" i="8"/>
  <c r="KTR116" i="8"/>
  <c r="KTQ116" i="8"/>
  <c r="KTP116" i="8"/>
  <c r="KTO116" i="8"/>
  <c r="KTN116" i="8"/>
  <c r="KTM116" i="8"/>
  <c r="KTL116" i="8"/>
  <c r="KTK116" i="8"/>
  <c r="KTJ116" i="8"/>
  <c r="KTI116" i="8"/>
  <c r="KTH116" i="8"/>
  <c r="KTG116" i="8"/>
  <c r="KTF116" i="8"/>
  <c r="KTE116" i="8"/>
  <c r="KTD116" i="8"/>
  <c r="KTC116" i="8"/>
  <c r="KTB116" i="8"/>
  <c r="KTA116" i="8"/>
  <c r="KSZ116" i="8"/>
  <c r="KSY116" i="8"/>
  <c r="KSX116" i="8"/>
  <c r="KSW116" i="8"/>
  <c r="KSV116" i="8"/>
  <c r="KSU116" i="8"/>
  <c r="KST116" i="8"/>
  <c r="KSS116" i="8"/>
  <c r="KSR116" i="8"/>
  <c r="KSQ116" i="8"/>
  <c r="KSP116" i="8"/>
  <c r="KSO116" i="8"/>
  <c r="KSN116" i="8"/>
  <c r="KSM116" i="8"/>
  <c r="KSL116" i="8"/>
  <c r="KSK116" i="8"/>
  <c r="KSJ116" i="8"/>
  <c r="KSI116" i="8"/>
  <c r="KSH116" i="8"/>
  <c r="KSG116" i="8"/>
  <c r="KSF116" i="8"/>
  <c r="KSE116" i="8"/>
  <c r="KSD116" i="8"/>
  <c r="KSC116" i="8"/>
  <c r="KSB116" i="8"/>
  <c r="KSA116" i="8"/>
  <c r="KRZ116" i="8"/>
  <c r="KRY116" i="8"/>
  <c r="KRX116" i="8"/>
  <c r="KRW116" i="8"/>
  <c r="KRV116" i="8"/>
  <c r="KRU116" i="8"/>
  <c r="KRT116" i="8"/>
  <c r="KRS116" i="8"/>
  <c r="KRR116" i="8"/>
  <c r="KRQ116" i="8"/>
  <c r="KRP116" i="8"/>
  <c r="KRO116" i="8"/>
  <c r="KRN116" i="8"/>
  <c r="KRM116" i="8"/>
  <c r="KRL116" i="8"/>
  <c r="KRK116" i="8"/>
  <c r="KRJ116" i="8"/>
  <c r="KRI116" i="8"/>
  <c r="KRH116" i="8"/>
  <c r="KRG116" i="8"/>
  <c r="KRF116" i="8"/>
  <c r="KRE116" i="8"/>
  <c r="KRD116" i="8"/>
  <c r="KRC116" i="8"/>
  <c r="KRB116" i="8"/>
  <c r="KRA116" i="8"/>
  <c r="KQZ116" i="8"/>
  <c r="KQY116" i="8"/>
  <c r="KQX116" i="8"/>
  <c r="KQW116" i="8"/>
  <c r="KQV116" i="8"/>
  <c r="KQU116" i="8"/>
  <c r="KQT116" i="8"/>
  <c r="KQS116" i="8"/>
  <c r="KQR116" i="8"/>
  <c r="KQQ116" i="8"/>
  <c r="KQP116" i="8"/>
  <c r="KQO116" i="8"/>
  <c r="KQN116" i="8"/>
  <c r="KQM116" i="8"/>
  <c r="KQL116" i="8"/>
  <c r="KQK116" i="8"/>
  <c r="KQJ116" i="8"/>
  <c r="KQI116" i="8"/>
  <c r="KQH116" i="8"/>
  <c r="KQG116" i="8"/>
  <c r="KQF116" i="8"/>
  <c r="KQE116" i="8"/>
  <c r="KQD116" i="8"/>
  <c r="KQC116" i="8"/>
  <c r="KQB116" i="8"/>
  <c r="KQA116" i="8"/>
  <c r="KPZ116" i="8"/>
  <c r="KPY116" i="8"/>
  <c r="KPX116" i="8"/>
  <c r="KPW116" i="8"/>
  <c r="KPV116" i="8"/>
  <c r="KPU116" i="8"/>
  <c r="KPT116" i="8"/>
  <c r="KPS116" i="8"/>
  <c r="KPR116" i="8"/>
  <c r="KPQ116" i="8"/>
  <c r="KPP116" i="8"/>
  <c r="KPO116" i="8"/>
  <c r="KPN116" i="8"/>
  <c r="KPM116" i="8"/>
  <c r="KPL116" i="8"/>
  <c r="KPK116" i="8"/>
  <c r="KPJ116" i="8"/>
  <c r="KPI116" i="8"/>
  <c r="KPH116" i="8"/>
  <c r="KPG116" i="8"/>
  <c r="KPF116" i="8"/>
  <c r="KPE116" i="8"/>
  <c r="KPD116" i="8"/>
  <c r="KPC116" i="8"/>
  <c r="KPB116" i="8"/>
  <c r="KPA116" i="8"/>
  <c r="KOZ116" i="8"/>
  <c r="KOY116" i="8"/>
  <c r="KOX116" i="8"/>
  <c r="KOW116" i="8"/>
  <c r="KOV116" i="8"/>
  <c r="KOU116" i="8"/>
  <c r="KOT116" i="8"/>
  <c r="KOS116" i="8"/>
  <c r="KOR116" i="8"/>
  <c r="KOQ116" i="8"/>
  <c r="KOP116" i="8"/>
  <c r="KOO116" i="8"/>
  <c r="KON116" i="8"/>
  <c r="KOM116" i="8"/>
  <c r="KOL116" i="8"/>
  <c r="KOK116" i="8"/>
  <c r="KOJ116" i="8"/>
  <c r="KOI116" i="8"/>
  <c r="KOH116" i="8"/>
  <c r="KOG116" i="8"/>
  <c r="KOF116" i="8"/>
  <c r="KOE116" i="8"/>
  <c r="KOD116" i="8"/>
  <c r="KOC116" i="8"/>
  <c r="KOB116" i="8"/>
  <c r="KOA116" i="8"/>
  <c r="KNZ116" i="8"/>
  <c r="KNY116" i="8"/>
  <c r="KNX116" i="8"/>
  <c r="KNW116" i="8"/>
  <c r="KNV116" i="8"/>
  <c r="KNU116" i="8"/>
  <c r="KNT116" i="8"/>
  <c r="KNS116" i="8"/>
  <c r="KNR116" i="8"/>
  <c r="KNQ116" i="8"/>
  <c r="KNP116" i="8"/>
  <c r="KNO116" i="8"/>
  <c r="KNN116" i="8"/>
  <c r="KNM116" i="8"/>
  <c r="KNL116" i="8"/>
  <c r="KNK116" i="8"/>
  <c r="KNJ116" i="8"/>
  <c r="KNI116" i="8"/>
  <c r="KNH116" i="8"/>
  <c r="KNG116" i="8"/>
  <c r="KNF116" i="8"/>
  <c r="KNE116" i="8"/>
  <c r="KND116" i="8"/>
  <c r="KNC116" i="8"/>
  <c r="KNB116" i="8"/>
  <c r="KNA116" i="8"/>
  <c r="KMZ116" i="8"/>
  <c r="KMY116" i="8"/>
  <c r="KMX116" i="8"/>
  <c r="KMW116" i="8"/>
  <c r="KMV116" i="8"/>
  <c r="KMU116" i="8"/>
  <c r="KMT116" i="8"/>
  <c r="KMS116" i="8"/>
  <c r="KMR116" i="8"/>
  <c r="KMQ116" i="8"/>
  <c r="KMP116" i="8"/>
  <c r="KMO116" i="8"/>
  <c r="KMN116" i="8"/>
  <c r="KMM116" i="8"/>
  <c r="KML116" i="8"/>
  <c r="KMK116" i="8"/>
  <c r="KMJ116" i="8"/>
  <c r="KMI116" i="8"/>
  <c r="KMH116" i="8"/>
  <c r="KMG116" i="8"/>
  <c r="KMF116" i="8"/>
  <c r="KME116" i="8"/>
  <c r="KMD116" i="8"/>
  <c r="KMC116" i="8"/>
  <c r="KMB116" i="8"/>
  <c r="KMA116" i="8"/>
  <c r="KLZ116" i="8"/>
  <c r="KLY116" i="8"/>
  <c r="KLX116" i="8"/>
  <c r="KLW116" i="8"/>
  <c r="KLV116" i="8"/>
  <c r="KLU116" i="8"/>
  <c r="KLT116" i="8"/>
  <c r="KLS116" i="8"/>
  <c r="KLR116" i="8"/>
  <c r="KLQ116" i="8"/>
  <c r="KLP116" i="8"/>
  <c r="KLO116" i="8"/>
  <c r="KLN116" i="8"/>
  <c r="KLM116" i="8"/>
  <c r="KLL116" i="8"/>
  <c r="KLK116" i="8"/>
  <c r="KLJ116" i="8"/>
  <c r="KLI116" i="8"/>
  <c r="KLH116" i="8"/>
  <c r="KLG116" i="8"/>
  <c r="KLF116" i="8"/>
  <c r="KLE116" i="8"/>
  <c r="KLD116" i="8"/>
  <c r="KLC116" i="8"/>
  <c r="KLB116" i="8"/>
  <c r="KLA116" i="8"/>
  <c r="KKZ116" i="8"/>
  <c r="KKY116" i="8"/>
  <c r="KKX116" i="8"/>
  <c r="KKW116" i="8"/>
  <c r="KKV116" i="8"/>
  <c r="KKU116" i="8"/>
  <c r="KKT116" i="8"/>
  <c r="KKS116" i="8"/>
  <c r="KKR116" i="8"/>
  <c r="KKQ116" i="8"/>
  <c r="KKP116" i="8"/>
  <c r="KKO116" i="8"/>
  <c r="KKN116" i="8"/>
  <c r="KKM116" i="8"/>
  <c r="KKL116" i="8"/>
  <c r="KKK116" i="8"/>
  <c r="KKJ116" i="8"/>
  <c r="KKI116" i="8"/>
  <c r="KKH116" i="8"/>
  <c r="KKG116" i="8"/>
  <c r="KKF116" i="8"/>
  <c r="KKE116" i="8"/>
  <c r="KKD116" i="8"/>
  <c r="KKC116" i="8"/>
  <c r="KKB116" i="8"/>
  <c r="KKA116" i="8"/>
  <c r="KJZ116" i="8"/>
  <c r="KJY116" i="8"/>
  <c r="KJX116" i="8"/>
  <c r="KJW116" i="8"/>
  <c r="KJV116" i="8"/>
  <c r="KJU116" i="8"/>
  <c r="KJT116" i="8"/>
  <c r="KJS116" i="8"/>
  <c r="KJR116" i="8"/>
  <c r="KJQ116" i="8"/>
  <c r="KJP116" i="8"/>
  <c r="KJO116" i="8"/>
  <c r="KJN116" i="8"/>
  <c r="KJM116" i="8"/>
  <c r="KJL116" i="8"/>
  <c r="KJK116" i="8"/>
  <c r="KJJ116" i="8"/>
  <c r="KJI116" i="8"/>
  <c r="KJH116" i="8"/>
  <c r="KJG116" i="8"/>
  <c r="KJF116" i="8"/>
  <c r="KJE116" i="8"/>
  <c r="KJD116" i="8"/>
  <c r="KJC116" i="8"/>
  <c r="KJB116" i="8"/>
  <c r="KJA116" i="8"/>
  <c r="KIZ116" i="8"/>
  <c r="KIY116" i="8"/>
  <c r="KIX116" i="8"/>
  <c r="KIW116" i="8"/>
  <c r="KIV116" i="8"/>
  <c r="KIU116" i="8"/>
  <c r="KIT116" i="8"/>
  <c r="KIS116" i="8"/>
  <c r="KIR116" i="8"/>
  <c r="KIQ116" i="8"/>
  <c r="KIP116" i="8"/>
  <c r="KIO116" i="8"/>
  <c r="KIN116" i="8"/>
  <c r="KIM116" i="8"/>
  <c r="KIL116" i="8"/>
  <c r="KIK116" i="8"/>
  <c r="KIJ116" i="8"/>
  <c r="KII116" i="8"/>
  <c r="KIH116" i="8"/>
  <c r="KIG116" i="8"/>
  <c r="KIF116" i="8"/>
  <c r="KIE116" i="8"/>
  <c r="KID116" i="8"/>
  <c r="KIC116" i="8"/>
  <c r="KIB116" i="8"/>
  <c r="KIA116" i="8"/>
  <c r="KHZ116" i="8"/>
  <c r="KHY116" i="8"/>
  <c r="KHX116" i="8"/>
  <c r="KHW116" i="8"/>
  <c r="KHV116" i="8"/>
  <c r="KHU116" i="8"/>
  <c r="KHT116" i="8"/>
  <c r="KHS116" i="8"/>
  <c r="KHR116" i="8"/>
  <c r="KHQ116" i="8"/>
  <c r="KHP116" i="8"/>
  <c r="KHO116" i="8"/>
  <c r="KHN116" i="8"/>
  <c r="KHM116" i="8"/>
  <c r="KHL116" i="8"/>
  <c r="KHK116" i="8"/>
  <c r="KHJ116" i="8"/>
  <c r="KHI116" i="8"/>
  <c r="KHH116" i="8"/>
  <c r="KHG116" i="8"/>
  <c r="KHF116" i="8"/>
  <c r="KHE116" i="8"/>
  <c r="KHD116" i="8"/>
  <c r="KHC116" i="8"/>
  <c r="KHB116" i="8"/>
  <c r="KHA116" i="8"/>
  <c r="KGZ116" i="8"/>
  <c r="KGY116" i="8"/>
  <c r="KGX116" i="8"/>
  <c r="KGW116" i="8"/>
  <c r="KGV116" i="8"/>
  <c r="KGU116" i="8"/>
  <c r="KGT116" i="8"/>
  <c r="KGS116" i="8"/>
  <c r="KGR116" i="8"/>
  <c r="KGQ116" i="8"/>
  <c r="KGP116" i="8"/>
  <c r="KGO116" i="8"/>
  <c r="KGN116" i="8"/>
  <c r="KGM116" i="8"/>
  <c r="KGL116" i="8"/>
  <c r="KGK116" i="8"/>
  <c r="KGJ116" i="8"/>
  <c r="KGI116" i="8"/>
  <c r="KGH116" i="8"/>
  <c r="KGG116" i="8"/>
  <c r="KGF116" i="8"/>
  <c r="KGE116" i="8"/>
  <c r="KGD116" i="8"/>
  <c r="KGC116" i="8"/>
  <c r="KGB116" i="8"/>
  <c r="KGA116" i="8"/>
  <c r="KFZ116" i="8"/>
  <c r="KFY116" i="8"/>
  <c r="KFX116" i="8"/>
  <c r="KFW116" i="8"/>
  <c r="KFV116" i="8"/>
  <c r="KFU116" i="8"/>
  <c r="KFT116" i="8"/>
  <c r="KFS116" i="8"/>
  <c r="KFR116" i="8"/>
  <c r="KFQ116" i="8"/>
  <c r="KFP116" i="8"/>
  <c r="KFO116" i="8"/>
  <c r="KFN116" i="8"/>
  <c r="KFM116" i="8"/>
  <c r="KFL116" i="8"/>
  <c r="KFK116" i="8"/>
  <c r="KFJ116" i="8"/>
  <c r="KFI116" i="8"/>
  <c r="KFH116" i="8"/>
  <c r="KFG116" i="8"/>
  <c r="KFF116" i="8"/>
  <c r="KFE116" i="8"/>
  <c r="KFD116" i="8"/>
  <c r="KFC116" i="8"/>
  <c r="KFB116" i="8"/>
  <c r="KFA116" i="8"/>
  <c r="KEZ116" i="8"/>
  <c r="KEY116" i="8"/>
  <c r="KEX116" i="8"/>
  <c r="KEW116" i="8"/>
  <c r="KEV116" i="8"/>
  <c r="KEU116" i="8"/>
  <c r="KET116" i="8"/>
  <c r="KES116" i="8"/>
  <c r="KER116" i="8"/>
  <c r="KEQ116" i="8"/>
  <c r="KEP116" i="8"/>
  <c r="KEO116" i="8"/>
  <c r="KEN116" i="8"/>
  <c r="KEM116" i="8"/>
  <c r="KEL116" i="8"/>
  <c r="KEK116" i="8"/>
  <c r="KEJ116" i="8"/>
  <c r="KEI116" i="8"/>
  <c r="KEH116" i="8"/>
  <c r="KEG116" i="8"/>
  <c r="KEF116" i="8"/>
  <c r="KEE116" i="8"/>
  <c r="KED116" i="8"/>
  <c r="KEC116" i="8"/>
  <c r="KEB116" i="8"/>
  <c r="KEA116" i="8"/>
  <c r="KDZ116" i="8"/>
  <c r="KDY116" i="8"/>
  <c r="KDX116" i="8"/>
  <c r="KDW116" i="8"/>
  <c r="KDV116" i="8"/>
  <c r="KDU116" i="8"/>
  <c r="KDT116" i="8"/>
  <c r="KDS116" i="8"/>
  <c r="KDR116" i="8"/>
  <c r="KDQ116" i="8"/>
  <c r="KDP116" i="8"/>
  <c r="KDO116" i="8"/>
  <c r="KDN116" i="8"/>
  <c r="KDM116" i="8"/>
  <c r="KDL116" i="8"/>
  <c r="KDK116" i="8"/>
  <c r="KDJ116" i="8"/>
  <c r="KDI116" i="8"/>
  <c r="KDH116" i="8"/>
  <c r="KDG116" i="8"/>
  <c r="KDF116" i="8"/>
  <c r="KDE116" i="8"/>
  <c r="KDD116" i="8"/>
  <c r="KDC116" i="8"/>
  <c r="KDB116" i="8"/>
  <c r="KDA116" i="8"/>
  <c r="KCZ116" i="8"/>
  <c r="KCY116" i="8"/>
  <c r="KCX116" i="8"/>
  <c r="KCW116" i="8"/>
  <c r="KCV116" i="8"/>
  <c r="KCU116" i="8"/>
  <c r="KCT116" i="8"/>
  <c r="KCS116" i="8"/>
  <c r="KCR116" i="8"/>
  <c r="KCQ116" i="8"/>
  <c r="KCP116" i="8"/>
  <c r="KCO116" i="8"/>
  <c r="KCN116" i="8"/>
  <c r="KCM116" i="8"/>
  <c r="KCL116" i="8"/>
  <c r="KCK116" i="8"/>
  <c r="KCJ116" i="8"/>
  <c r="KCI116" i="8"/>
  <c r="KCH116" i="8"/>
  <c r="KCG116" i="8"/>
  <c r="KCF116" i="8"/>
  <c r="KCE116" i="8"/>
  <c r="KCD116" i="8"/>
  <c r="KCC116" i="8"/>
  <c r="KCB116" i="8"/>
  <c r="KCA116" i="8"/>
  <c r="KBZ116" i="8"/>
  <c r="KBY116" i="8"/>
  <c r="KBX116" i="8"/>
  <c r="KBW116" i="8"/>
  <c r="KBV116" i="8"/>
  <c r="KBU116" i="8"/>
  <c r="KBT116" i="8"/>
  <c r="KBS116" i="8"/>
  <c r="KBR116" i="8"/>
  <c r="KBQ116" i="8"/>
  <c r="KBP116" i="8"/>
  <c r="KBO116" i="8"/>
  <c r="KBN116" i="8"/>
  <c r="KBM116" i="8"/>
  <c r="KBL116" i="8"/>
  <c r="KBK116" i="8"/>
  <c r="KBJ116" i="8"/>
  <c r="KBI116" i="8"/>
  <c r="KBH116" i="8"/>
  <c r="KBG116" i="8"/>
  <c r="KBF116" i="8"/>
  <c r="KBE116" i="8"/>
  <c r="KBD116" i="8"/>
  <c r="KBC116" i="8"/>
  <c r="KBB116" i="8"/>
  <c r="KBA116" i="8"/>
  <c r="KAZ116" i="8"/>
  <c r="KAY116" i="8"/>
  <c r="KAX116" i="8"/>
  <c r="KAW116" i="8"/>
  <c r="KAV116" i="8"/>
  <c r="KAU116" i="8"/>
  <c r="KAT116" i="8"/>
  <c r="KAS116" i="8"/>
  <c r="KAR116" i="8"/>
  <c r="KAQ116" i="8"/>
  <c r="KAP116" i="8"/>
  <c r="KAO116" i="8"/>
  <c r="KAN116" i="8"/>
  <c r="KAM116" i="8"/>
  <c r="KAL116" i="8"/>
  <c r="KAK116" i="8"/>
  <c r="KAJ116" i="8"/>
  <c r="KAI116" i="8"/>
  <c r="KAH116" i="8"/>
  <c r="KAG116" i="8"/>
  <c r="KAF116" i="8"/>
  <c r="KAE116" i="8"/>
  <c r="KAD116" i="8"/>
  <c r="KAC116" i="8"/>
  <c r="KAB116" i="8"/>
  <c r="KAA116" i="8"/>
  <c r="JZZ116" i="8"/>
  <c r="JZY116" i="8"/>
  <c r="JZX116" i="8"/>
  <c r="JZW116" i="8"/>
  <c r="JZV116" i="8"/>
  <c r="JZU116" i="8"/>
  <c r="JZT116" i="8"/>
  <c r="JZS116" i="8"/>
  <c r="JZR116" i="8"/>
  <c r="JZQ116" i="8"/>
  <c r="JZP116" i="8"/>
  <c r="JZO116" i="8"/>
  <c r="JZN116" i="8"/>
  <c r="JZM116" i="8"/>
  <c r="JZL116" i="8"/>
  <c r="JZK116" i="8"/>
  <c r="JZJ116" i="8"/>
  <c r="JZI116" i="8"/>
  <c r="JZH116" i="8"/>
  <c r="JZG116" i="8"/>
  <c r="JZF116" i="8"/>
  <c r="JZE116" i="8"/>
  <c r="JZD116" i="8"/>
  <c r="JZC116" i="8"/>
  <c r="JZB116" i="8"/>
  <c r="JZA116" i="8"/>
  <c r="JYZ116" i="8"/>
  <c r="JYY116" i="8"/>
  <c r="JYX116" i="8"/>
  <c r="JYW116" i="8"/>
  <c r="JYV116" i="8"/>
  <c r="JYU116" i="8"/>
  <c r="JYT116" i="8"/>
  <c r="JYS116" i="8"/>
  <c r="JYR116" i="8"/>
  <c r="JYQ116" i="8"/>
  <c r="JYP116" i="8"/>
  <c r="JYO116" i="8"/>
  <c r="JYN116" i="8"/>
  <c r="JYM116" i="8"/>
  <c r="JYL116" i="8"/>
  <c r="JYK116" i="8"/>
  <c r="JYJ116" i="8"/>
  <c r="JYI116" i="8"/>
  <c r="JYH116" i="8"/>
  <c r="JYG116" i="8"/>
  <c r="JYF116" i="8"/>
  <c r="JYE116" i="8"/>
  <c r="JYD116" i="8"/>
  <c r="JYC116" i="8"/>
  <c r="JYB116" i="8"/>
  <c r="JYA116" i="8"/>
  <c r="JXZ116" i="8"/>
  <c r="JXY116" i="8"/>
  <c r="JXX116" i="8"/>
  <c r="JXW116" i="8"/>
  <c r="JXV116" i="8"/>
  <c r="JXU116" i="8"/>
  <c r="JXT116" i="8"/>
  <c r="JXS116" i="8"/>
  <c r="JXR116" i="8"/>
  <c r="JXQ116" i="8"/>
  <c r="JXP116" i="8"/>
  <c r="JXO116" i="8"/>
  <c r="JXN116" i="8"/>
  <c r="JXM116" i="8"/>
  <c r="JXL116" i="8"/>
  <c r="JXK116" i="8"/>
  <c r="JXJ116" i="8"/>
  <c r="JXI116" i="8"/>
  <c r="JXH116" i="8"/>
  <c r="JXG116" i="8"/>
  <c r="JXF116" i="8"/>
  <c r="JXE116" i="8"/>
  <c r="JXD116" i="8"/>
  <c r="JXC116" i="8"/>
  <c r="JXB116" i="8"/>
  <c r="JXA116" i="8"/>
  <c r="JWZ116" i="8"/>
  <c r="JWY116" i="8"/>
  <c r="JWX116" i="8"/>
  <c r="JWW116" i="8"/>
  <c r="JWV116" i="8"/>
  <c r="JWU116" i="8"/>
  <c r="JWT116" i="8"/>
  <c r="JWS116" i="8"/>
  <c r="JWR116" i="8"/>
  <c r="JWQ116" i="8"/>
  <c r="JWP116" i="8"/>
  <c r="JWO116" i="8"/>
  <c r="JWN116" i="8"/>
  <c r="JWM116" i="8"/>
  <c r="JWL116" i="8"/>
  <c r="JWK116" i="8"/>
  <c r="JWJ116" i="8"/>
  <c r="JWI116" i="8"/>
  <c r="JWH116" i="8"/>
  <c r="JWG116" i="8"/>
  <c r="JWF116" i="8"/>
  <c r="JWE116" i="8"/>
  <c r="JWD116" i="8"/>
  <c r="JWC116" i="8"/>
  <c r="JWB116" i="8"/>
  <c r="JWA116" i="8"/>
  <c r="JVZ116" i="8"/>
  <c r="JVY116" i="8"/>
  <c r="JVX116" i="8"/>
  <c r="JVW116" i="8"/>
  <c r="JVV116" i="8"/>
  <c r="JVU116" i="8"/>
  <c r="JVT116" i="8"/>
  <c r="JVS116" i="8"/>
  <c r="JVR116" i="8"/>
  <c r="JVQ116" i="8"/>
  <c r="JVP116" i="8"/>
  <c r="JVO116" i="8"/>
  <c r="JVN116" i="8"/>
  <c r="JVM116" i="8"/>
  <c r="JVL116" i="8"/>
  <c r="JVK116" i="8"/>
  <c r="JVJ116" i="8"/>
  <c r="JVI116" i="8"/>
  <c r="JVH116" i="8"/>
  <c r="JVG116" i="8"/>
  <c r="JVF116" i="8"/>
  <c r="JVE116" i="8"/>
  <c r="JVD116" i="8"/>
  <c r="JVC116" i="8"/>
  <c r="JVB116" i="8"/>
  <c r="JVA116" i="8"/>
  <c r="JUZ116" i="8"/>
  <c r="JUY116" i="8"/>
  <c r="JUX116" i="8"/>
  <c r="JUW116" i="8"/>
  <c r="JUV116" i="8"/>
  <c r="JUU116" i="8"/>
  <c r="JUT116" i="8"/>
  <c r="JUS116" i="8"/>
  <c r="JUR116" i="8"/>
  <c r="JUQ116" i="8"/>
  <c r="JUP116" i="8"/>
  <c r="JUO116" i="8"/>
  <c r="JUN116" i="8"/>
  <c r="JUM116" i="8"/>
  <c r="JUL116" i="8"/>
  <c r="JUK116" i="8"/>
  <c r="JUJ116" i="8"/>
  <c r="JUI116" i="8"/>
  <c r="JUH116" i="8"/>
  <c r="JUG116" i="8"/>
  <c r="JUF116" i="8"/>
  <c r="JUE116" i="8"/>
  <c r="JUD116" i="8"/>
  <c r="JUC116" i="8"/>
  <c r="JUB116" i="8"/>
  <c r="JUA116" i="8"/>
  <c r="JTZ116" i="8"/>
  <c r="JTY116" i="8"/>
  <c r="JTX116" i="8"/>
  <c r="JTW116" i="8"/>
  <c r="JTV116" i="8"/>
  <c r="JTU116" i="8"/>
  <c r="JTT116" i="8"/>
  <c r="JTS116" i="8"/>
  <c r="JTR116" i="8"/>
  <c r="JTQ116" i="8"/>
  <c r="JTP116" i="8"/>
  <c r="JTO116" i="8"/>
  <c r="JTN116" i="8"/>
  <c r="JTM116" i="8"/>
  <c r="JTL116" i="8"/>
  <c r="JTK116" i="8"/>
  <c r="JTJ116" i="8"/>
  <c r="JTI116" i="8"/>
  <c r="JTH116" i="8"/>
  <c r="JTG116" i="8"/>
  <c r="JTF116" i="8"/>
  <c r="JTE116" i="8"/>
  <c r="JTD116" i="8"/>
  <c r="JTC116" i="8"/>
  <c r="JTB116" i="8"/>
  <c r="JTA116" i="8"/>
  <c r="JSZ116" i="8"/>
  <c r="JSY116" i="8"/>
  <c r="JSX116" i="8"/>
  <c r="JSW116" i="8"/>
  <c r="JSV116" i="8"/>
  <c r="JSU116" i="8"/>
  <c r="JST116" i="8"/>
  <c r="JSS116" i="8"/>
  <c r="JSR116" i="8"/>
  <c r="JSQ116" i="8"/>
  <c r="JSP116" i="8"/>
  <c r="JSO116" i="8"/>
  <c r="JSN116" i="8"/>
  <c r="JSM116" i="8"/>
  <c r="JSL116" i="8"/>
  <c r="JSK116" i="8"/>
  <c r="JSJ116" i="8"/>
  <c r="JSI116" i="8"/>
  <c r="JSH116" i="8"/>
  <c r="JSG116" i="8"/>
  <c r="JSF116" i="8"/>
  <c r="JSE116" i="8"/>
  <c r="JSD116" i="8"/>
  <c r="JSC116" i="8"/>
  <c r="JSB116" i="8"/>
  <c r="JSA116" i="8"/>
  <c r="JRZ116" i="8"/>
  <c r="JRY116" i="8"/>
  <c r="JRX116" i="8"/>
  <c r="JRW116" i="8"/>
  <c r="JRV116" i="8"/>
  <c r="JRU116" i="8"/>
  <c r="JRT116" i="8"/>
  <c r="JRS116" i="8"/>
  <c r="JRR116" i="8"/>
  <c r="JRQ116" i="8"/>
  <c r="JRP116" i="8"/>
  <c r="JRO116" i="8"/>
  <c r="JRN116" i="8"/>
  <c r="JRM116" i="8"/>
  <c r="JRL116" i="8"/>
  <c r="JRK116" i="8"/>
  <c r="JRJ116" i="8"/>
  <c r="JRI116" i="8"/>
  <c r="JRH116" i="8"/>
  <c r="JRG116" i="8"/>
  <c r="JRF116" i="8"/>
  <c r="JRE116" i="8"/>
  <c r="JRD116" i="8"/>
  <c r="JRC116" i="8"/>
  <c r="JRB116" i="8"/>
  <c r="JRA116" i="8"/>
  <c r="JQZ116" i="8"/>
  <c r="JQY116" i="8"/>
  <c r="JQX116" i="8"/>
  <c r="JQW116" i="8"/>
  <c r="JQV116" i="8"/>
  <c r="JQU116" i="8"/>
  <c r="JQT116" i="8"/>
  <c r="JQS116" i="8"/>
  <c r="JQR116" i="8"/>
  <c r="JQQ116" i="8"/>
  <c r="JQP116" i="8"/>
  <c r="JQO116" i="8"/>
  <c r="JQN116" i="8"/>
  <c r="JQM116" i="8"/>
  <c r="JQL116" i="8"/>
  <c r="JQK116" i="8"/>
  <c r="JQJ116" i="8"/>
  <c r="JQI116" i="8"/>
  <c r="JQH116" i="8"/>
  <c r="JQG116" i="8"/>
  <c r="JQF116" i="8"/>
  <c r="JQE116" i="8"/>
  <c r="JQD116" i="8"/>
  <c r="JQC116" i="8"/>
  <c r="JQB116" i="8"/>
  <c r="JQA116" i="8"/>
  <c r="JPZ116" i="8"/>
  <c r="JPY116" i="8"/>
  <c r="JPX116" i="8"/>
  <c r="JPW116" i="8"/>
  <c r="JPV116" i="8"/>
  <c r="JPU116" i="8"/>
  <c r="JPT116" i="8"/>
  <c r="JPS116" i="8"/>
  <c r="JPR116" i="8"/>
  <c r="JPQ116" i="8"/>
  <c r="JPP116" i="8"/>
  <c r="JPO116" i="8"/>
  <c r="JPN116" i="8"/>
  <c r="JPM116" i="8"/>
  <c r="JPL116" i="8"/>
  <c r="JPK116" i="8"/>
  <c r="JPJ116" i="8"/>
  <c r="JPI116" i="8"/>
  <c r="JPH116" i="8"/>
  <c r="JPG116" i="8"/>
  <c r="JPF116" i="8"/>
  <c r="JPE116" i="8"/>
  <c r="JPD116" i="8"/>
  <c r="JPC116" i="8"/>
  <c r="JPB116" i="8"/>
  <c r="JPA116" i="8"/>
  <c r="JOZ116" i="8"/>
  <c r="JOY116" i="8"/>
  <c r="JOX116" i="8"/>
  <c r="JOW116" i="8"/>
  <c r="JOV116" i="8"/>
  <c r="JOU116" i="8"/>
  <c r="JOT116" i="8"/>
  <c r="JOS116" i="8"/>
  <c r="JOR116" i="8"/>
  <c r="JOQ116" i="8"/>
  <c r="JOP116" i="8"/>
  <c r="JOO116" i="8"/>
  <c r="JON116" i="8"/>
  <c r="JOM116" i="8"/>
  <c r="JOL116" i="8"/>
  <c r="JOK116" i="8"/>
  <c r="JOJ116" i="8"/>
  <c r="JOI116" i="8"/>
  <c r="JOH116" i="8"/>
  <c r="JOG116" i="8"/>
  <c r="JOF116" i="8"/>
  <c r="JOE116" i="8"/>
  <c r="JOD116" i="8"/>
  <c r="JOC116" i="8"/>
  <c r="JOB116" i="8"/>
  <c r="JOA116" i="8"/>
  <c r="JNZ116" i="8"/>
  <c r="JNY116" i="8"/>
  <c r="JNX116" i="8"/>
  <c r="JNW116" i="8"/>
  <c r="JNV116" i="8"/>
  <c r="JNU116" i="8"/>
  <c r="JNT116" i="8"/>
  <c r="JNS116" i="8"/>
  <c r="JNR116" i="8"/>
  <c r="JNQ116" i="8"/>
  <c r="JNP116" i="8"/>
  <c r="JNO116" i="8"/>
  <c r="JNN116" i="8"/>
  <c r="JNM116" i="8"/>
  <c r="JNL116" i="8"/>
  <c r="JNK116" i="8"/>
  <c r="JNJ116" i="8"/>
  <c r="JNI116" i="8"/>
  <c r="JNH116" i="8"/>
  <c r="JNG116" i="8"/>
  <c r="JNF116" i="8"/>
  <c r="JNE116" i="8"/>
  <c r="JND116" i="8"/>
  <c r="JNC116" i="8"/>
  <c r="JNB116" i="8"/>
  <c r="JNA116" i="8"/>
  <c r="JMZ116" i="8"/>
  <c r="JMY116" i="8"/>
  <c r="JMX116" i="8"/>
  <c r="JMW116" i="8"/>
  <c r="JMV116" i="8"/>
  <c r="JMU116" i="8"/>
  <c r="JMT116" i="8"/>
  <c r="JMS116" i="8"/>
  <c r="JMR116" i="8"/>
  <c r="JMQ116" i="8"/>
  <c r="JMP116" i="8"/>
  <c r="JMO116" i="8"/>
  <c r="JMN116" i="8"/>
  <c r="JMM116" i="8"/>
  <c r="JML116" i="8"/>
  <c r="JMK116" i="8"/>
  <c r="JMJ116" i="8"/>
  <c r="JMI116" i="8"/>
  <c r="JMH116" i="8"/>
  <c r="JMG116" i="8"/>
  <c r="JMF116" i="8"/>
  <c r="JME116" i="8"/>
  <c r="JMD116" i="8"/>
  <c r="JMC116" i="8"/>
  <c r="JMB116" i="8"/>
  <c r="JMA116" i="8"/>
  <c r="JLZ116" i="8"/>
  <c r="JLY116" i="8"/>
  <c r="JLX116" i="8"/>
  <c r="JLW116" i="8"/>
  <c r="JLV116" i="8"/>
  <c r="JLU116" i="8"/>
  <c r="JLT116" i="8"/>
  <c r="JLS116" i="8"/>
  <c r="JLR116" i="8"/>
  <c r="JLQ116" i="8"/>
  <c r="JLP116" i="8"/>
  <c r="JLO116" i="8"/>
  <c r="JLN116" i="8"/>
  <c r="JLM116" i="8"/>
  <c r="JLL116" i="8"/>
  <c r="JLK116" i="8"/>
  <c r="JLJ116" i="8"/>
  <c r="JLI116" i="8"/>
  <c r="JLH116" i="8"/>
  <c r="JLG116" i="8"/>
  <c r="JLF116" i="8"/>
  <c r="JLE116" i="8"/>
  <c r="JLD116" i="8"/>
  <c r="JLC116" i="8"/>
  <c r="JLB116" i="8"/>
  <c r="JLA116" i="8"/>
  <c r="JKZ116" i="8"/>
  <c r="JKY116" i="8"/>
  <c r="JKX116" i="8"/>
  <c r="JKW116" i="8"/>
  <c r="JKV116" i="8"/>
  <c r="JKU116" i="8"/>
  <c r="JKT116" i="8"/>
  <c r="JKS116" i="8"/>
  <c r="JKR116" i="8"/>
  <c r="JKQ116" i="8"/>
  <c r="JKP116" i="8"/>
  <c r="JKO116" i="8"/>
  <c r="JKN116" i="8"/>
  <c r="JKM116" i="8"/>
  <c r="JKL116" i="8"/>
  <c r="JKK116" i="8"/>
  <c r="JKJ116" i="8"/>
  <c r="JKI116" i="8"/>
  <c r="JKH116" i="8"/>
  <c r="JKG116" i="8"/>
  <c r="JKF116" i="8"/>
  <c r="JKE116" i="8"/>
  <c r="JKD116" i="8"/>
  <c r="JKC116" i="8"/>
  <c r="JKB116" i="8"/>
  <c r="JKA116" i="8"/>
  <c r="JJZ116" i="8"/>
  <c r="JJY116" i="8"/>
  <c r="JJX116" i="8"/>
  <c r="JJW116" i="8"/>
  <c r="JJV116" i="8"/>
  <c r="JJU116" i="8"/>
  <c r="JJT116" i="8"/>
  <c r="JJS116" i="8"/>
  <c r="JJR116" i="8"/>
  <c r="JJQ116" i="8"/>
  <c r="JJP116" i="8"/>
  <c r="JJO116" i="8"/>
  <c r="JJN116" i="8"/>
  <c r="JJM116" i="8"/>
  <c r="JJL116" i="8"/>
  <c r="JJK116" i="8"/>
  <c r="JJJ116" i="8"/>
  <c r="JJI116" i="8"/>
  <c r="JJH116" i="8"/>
  <c r="JJG116" i="8"/>
  <c r="JJF116" i="8"/>
  <c r="JJE116" i="8"/>
  <c r="JJD116" i="8"/>
  <c r="JJC116" i="8"/>
  <c r="JJB116" i="8"/>
  <c r="JJA116" i="8"/>
  <c r="JIZ116" i="8"/>
  <c r="JIY116" i="8"/>
  <c r="JIX116" i="8"/>
  <c r="JIW116" i="8"/>
  <c r="JIV116" i="8"/>
  <c r="JIU116" i="8"/>
  <c r="JIT116" i="8"/>
  <c r="JIS116" i="8"/>
  <c r="JIR116" i="8"/>
  <c r="JIQ116" i="8"/>
  <c r="JIP116" i="8"/>
  <c r="JIO116" i="8"/>
  <c r="JIN116" i="8"/>
  <c r="JIM116" i="8"/>
  <c r="JIL116" i="8"/>
  <c r="JIK116" i="8"/>
  <c r="JIJ116" i="8"/>
  <c r="JII116" i="8"/>
  <c r="JIH116" i="8"/>
  <c r="JIG116" i="8"/>
  <c r="JIF116" i="8"/>
  <c r="JIE116" i="8"/>
  <c r="JID116" i="8"/>
  <c r="JIC116" i="8"/>
  <c r="JIB116" i="8"/>
  <c r="JIA116" i="8"/>
  <c r="JHZ116" i="8"/>
  <c r="JHY116" i="8"/>
  <c r="JHX116" i="8"/>
  <c r="JHW116" i="8"/>
  <c r="JHV116" i="8"/>
  <c r="JHU116" i="8"/>
  <c r="JHT116" i="8"/>
  <c r="JHS116" i="8"/>
  <c r="JHR116" i="8"/>
  <c r="JHQ116" i="8"/>
  <c r="JHP116" i="8"/>
  <c r="JHO116" i="8"/>
  <c r="JHN116" i="8"/>
  <c r="JHM116" i="8"/>
  <c r="JHL116" i="8"/>
  <c r="JHK116" i="8"/>
  <c r="JHJ116" i="8"/>
  <c r="JHI116" i="8"/>
  <c r="JHH116" i="8"/>
  <c r="JHG116" i="8"/>
  <c r="JHF116" i="8"/>
  <c r="JHE116" i="8"/>
  <c r="JHD116" i="8"/>
  <c r="JHC116" i="8"/>
  <c r="JHB116" i="8"/>
  <c r="JHA116" i="8"/>
  <c r="JGZ116" i="8"/>
  <c r="JGY116" i="8"/>
  <c r="JGX116" i="8"/>
  <c r="JGW116" i="8"/>
  <c r="JGV116" i="8"/>
  <c r="JGU116" i="8"/>
  <c r="JGT116" i="8"/>
  <c r="JGS116" i="8"/>
  <c r="JGR116" i="8"/>
  <c r="JGQ116" i="8"/>
  <c r="JGP116" i="8"/>
  <c r="JGO116" i="8"/>
  <c r="JGN116" i="8"/>
  <c r="JGM116" i="8"/>
  <c r="JGL116" i="8"/>
  <c r="JGK116" i="8"/>
  <c r="JGJ116" i="8"/>
  <c r="JGI116" i="8"/>
  <c r="JGH116" i="8"/>
  <c r="JGG116" i="8"/>
  <c r="JGF116" i="8"/>
  <c r="JGE116" i="8"/>
  <c r="JGD116" i="8"/>
  <c r="JGC116" i="8"/>
  <c r="JGB116" i="8"/>
  <c r="JGA116" i="8"/>
  <c r="JFZ116" i="8"/>
  <c r="JFY116" i="8"/>
  <c r="JFX116" i="8"/>
  <c r="JFW116" i="8"/>
  <c r="JFV116" i="8"/>
  <c r="JFU116" i="8"/>
  <c r="JFT116" i="8"/>
  <c r="JFS116" i="8"/>
  <c r="JFR116" i="8"/>
  <c r="JFQ116" i="8"/>
  <c r="JFP116" i="8"/>
  <c r="JFO116" i="8"/>
  <c r="JFN116" i="8"/>
  <c r="JFM116" i="8"/>
  <c r="JFL116" i="8"/>
  <c r="JFK116" i="8"/>
  <c r="JFJ116" i="8"/>
  <c r="JFI116" i="8"/>
  <c r="JFH116" i="8"/>
  <c r="JFG116" i="8"/>
  <c r="JFF116" i="8"/>
  <c r="JFE116" i="8"/>
  <c r="JFD116" i="8"/>
  <c r="JFC116" i="8"/>
  <c r="JFB116" i="8"/>
  <c r="JFA116" i="8"/>
  <c r="JEZ116" i="8"/>
  <c r="JEY116" i="8"/>
  <c r="JEX116" i="8"/>
  <c r="JEW116" i="8"/>
  <c r="JEV116" i="8"/>
  <c r="JEU116" i="8"/>
  <c r="JET116" i="8"/>
  <c r="JES116" i="8"/>
  <c r="JER116" i="8"/>
  <c r="JEQ116" i="8"/>
  <c r="JEP116" i="8"/>
  <c r="JEO116" i="8"/>
  <c r="JEN116" i="8"/>
  <c r="JEM116" i="8"/>
  <c r="JEL116" i="8"/>
  <c r="JEK116" i="8"/>
  <c r="JEJ116" i="8"/>
  <c r="JEI116" i="8"/>
  <c r="JEH116" i="8"/>
  <c r="JEG116" i="8"/>
  <c r="JEF116" i="8"/>
  <c r="JEE116" i="8"/>
  <c r="JED116" i="8"/>
  <c r="JEC116" i="8"/>
  <c r="JEB116" i="8"/>
  <c r="JEA116" i="8"/>
  <c r="JDZ116" i="8"/>
  <c r="JDY116" i="8"/>
  <c r="JDX116" i="8"/>
  <c r="JDW116" i="8"/>
  <c r="JDV116" i="8"/>
  <c r="JDU116" i="8"/>
  <c r="JDT116" i="8"/>
  <c r="JDS116" i="8"/>
  <c r="JDR116" i="8"/>
  <c r="JDQ116" i="8"/>
  <c r="JDP116" i="8"/>
  <c r="JDO116" i="8"/>
  <c r="JDN116" i="8"/>
  <c r="JDM116" i="8"/>
  <c r="JDL116" i="8"/>
  <c r="JDK116" i="8"/>
  <c r="JDJ116" i="8"/>
  <c r="JDI116" i="8"/>
  <c r="JDH116" i="8"/>
  <c r="JDG116" i="8"/>
  <c r="JDF116" i="8"/>
  <c r="JDE116" i="8"/>
  <c r="JDD116" i="8"/>
  <c r="JDC116" i="8"/>
  <c r="JDB116" i="8"/>
  <c r="JDA116" i="8"/>
  <c r="JCZ116" i="8"/>
  <c r="JCY116" i="8"/>
  <c r="JCX116" i="8"/>
  <c r="JCW116" i="8"/>
  <c r="JCV116" i="8"/>
  <c r="JCU116" i="8"/>
  <c r="JCT116" i="8"/>
  <c r="JCS116" i="8"/>
  <c r="JCR116" i="8"/>
  <c r="JCQ116" i="8"/>
  <c r="JCP116" i="8"/>
  <c r="JCO116" i="8"/>
  <c r="JCN116" i="8"/>
  <c r="JCM116" i="8"/>
  <c r="JCL116" i="8"/>
  <c r="JCK116" i="8"/>
  <c r="JCJ116" i="8"/>
  <c r="JCI116" i="8"/>
  <c r="JCH116" i="8"/>
  <c r="JCG116" i="8"/>
  <c r="JCF116" i="8"/>
  <c r="JCE116" i="8"/>
  <c r="JCD116" i="8"/>
  <c r="JCC116" i="8"/>
  <c r="JCB116" i="8"/>
  <c r="JCA116" i="8"/>
  <c r="JBZ116" i="8"/>
  <c r="JBY116" i="8"/>
  <c r="JBX116" i="8"/>
  <c r="JBW116" i="8"/>
  <c r="JBV116" i="8"/>
  <c r="JBU116" i="8"/>
  <c r="JBT116" i="8"/>
  <c r="JBS116" i="8"/>
  <c r="JBR116" i="8"/>
  <c r="JBQ116" i="8"/>
  <c r="JBP116" i="8"/>
  <c r="JBO116" i="8"/>
  <c r="JBN116" i="8"/>
  <c r="JBM116" i="8"/>
  <c r="JBL116" i="8"/>
  <c r="JBK116" i="8"/>
  <c r="JBJ116" i="8"/>
  <c r="JBI116" i="8"/>
  <c r="JBH116" i="8"/>
  <c r="JBG116" i="8"/>
  <c r="JBF116" i="8"/>
  <c r="JBE116" i="8"/>
  <c r="JBD116" i="8"/>
  <c r="JBC116" i="8"/>
  <c r="JBB116" i="8"/>
  <c r="JBA116" i="8"/>
  <c r="JAZ116" i="8"/>
  <c r="JAY116" i="8"/>
  <c r="JAX116" i="8"/>
  <c r="JAW116" i="8"/>
  <c r="JAV116" i="8"/>
  <c r="JAU116" i="8"/>
  <c r="JAT116" i="8"/>
  <c r="JAS116" i="8"/>
  <c r="JAR116" i="8"/>
  <c r="JAQ116" i="8"/>
  <c r="JAP116" i="8"/>
  <c r="JAO116" i="8"/>
  <c r="JAN116" i="8"/>
  <c r="JAM116" i="8"/>
  <c r="JAL116" i="8"/>
  <c r="JAK116" i="8"/>
  <c r="JAJ116" i="8"/>
  <c r="JAI116" i="8"/>
  <c r="JAH116" i="8"/>
  <c r="JAG116" i="8"/>
  <c r="JAF116" i="8"/>
  <c r="JAE116" i="8"/>
  <c r="JAD116" i="8"/>
  <c r="JAC116" i="8"/>
  <c r="JAB116" i="8"/>
  <c r="JAA116" i="8"/>
  <c r="IZZ116" i="8"/>
  <c r="IZY116" i="8"/>
  <c r="IZX116" i="8"/>
  <c r="IZW116" i="8"/>
  <c r="IZV116" i="8"/>
  <c r="IZU116" i="8"/>
  <c r="IZT116" i="8"/>
  <c r="IZS116" i="8"/>
  <c r="IZR116" i="8"/>
  <c r="IZQ116" i="8"/>
  <c r="IZP116" i="8"/>
  <c r="IZO116" i="8"/>
  <c r="IZN116" i="8"/>
  <c r="IZM116" i="8"/>
  <c r="IZL116" i="8"/>
  <c r="IZK116" i="8"/>
  <c r="IZJ116" i="8"/>
  <c r="IZI116" i="8"/>
  <c r="IZH116" i="8"/>
  <c r="IZG116" i="8"/>
  <c r="IZF116" i="8"/>
  <c r="IZE116" i="8"/>
  <c r="IZD116" i="8"/>
  <c r="IZC116" i="8"/>
  <c r="IZB116" i="8"/>
  <c r="IZA116" i="8"/>
  <c r="IYZ116" i="8"/>
  <c r="IYY116" i="8"/>
  <c r="IYX116" i="8"/>
  <c r="IYW116" i="8"/>
  <c r="IYV116" i="8"/>
  <c r="IYU116" i="8"/>
  <c r="IYT116" i="8"/>
  <c r="IYS116" i="8"/>
  <c r="IYR116" i="8"/>
  <c r="IYQ116" i="8"/>
  <c r="IYP116" i="8"/>
  <c r="IYO116" i="8"/>
  <c r="IYN116" i="8"/>
  <c r="IYM116" i="8"/>
  <c r="IYL116" i="8"/>
  <c r="IYK116" i="8"/>
  <c r="IYJ116" i="8"/>
  <c r="IYI116" i="8"/>
  <c r="IYH116" i="8"/>
  <c r="IYG116" i="8"/>
  <c r="IYF116" i="8"/>
  <c r="IYE116" i="8"/>
  <c r="IYD116" i="8"/>
  <c r="IYC116" i="8"/>
  <c r="IYB116" i="8"/>
  <c r="IYA116" i="8"/>
  <c r="IXZ116" i="8"/>
  <c r="IXY116" i="8"/>
  <c r="IXX116" i="8"/>
  <c r="IXW116" i="8"/>
  <c r="IXV116" i="8"/>
  <c r="IXU116" i="8"/>
  <c r="IXT116" i="8"/>
  <c r="IXS116" i="8"/>
  <c r="IXR116" i="8"/>
  <c r="IXQ116" i="8"/>
  <c r="IXP116" i="8"/>
  <c r="IXO116" i="8"/>
  <c r="IXN116" i="8"/>
  <c r="IXM116" i="8"/>
  <c r="IXL116" i="8"/>
  <c r="IXK116" i="8"/>
  <c r="IXJ116" i="8"/>
  <c r="IXI116" i="8"/>
  <c r="IXH116" i="8"/>
  <c r="IXG116" i="8"/>
  <c r="IXF116" i="8"/>
  <c r="IXE116" i="8"/>
  <c r="IXD116" i="8"/>
  <c r="IXC116" i="8"/>
  <c r="IXB116" i="8"/>
  <c r="IXA116" i="8"/>
  <c r="IWZ116" i="8"/>
  <c r="IWY116" i="8"/>
  <c r="IWX116" i="8"/>
  <c r="IWW116" i="8"/>
  <c r="IWV116" i="8"/>
  <c r="IWU116" i="8"/>
  <c r="IWT116" i="8"/>
  <c r="IWS116" i="8"/>
  <c r="IWR116" i="8"/>
  <c r="IWQ116" i="8"/>
  <c r="IWP116" i="8"/>
  <c r="IWO116" i="8"/>
  <c r="IWN116" i="8"/>
  <c r="IWM116" i="8"/>
  <c r="IWL116" i="8"/>
  <c r="IWK116" i="8"/>
  <c r="IWJ116" i="8"/>
  <c r="IWI116" i="8"/>
  <c r="IWH116" i="8"/>
  <c r="IWG116" i="8"/>
  <c r="IWF116" i="8"/>
  <c r="IWE116" i="8"/>
  <c r="IWD116" i="8"/>
  <c r="IWC116" i="8"/>
  <c r="IWB116" i="8"/>
  <c r="IWA116" i="8"/>
  <c r="IVZ116" i="8"/>
  <c r="IVY116" i="8"/>
  <c r="IVX116" i="8"/>
  <c r="IVW116" i="8"/>
  <c r="IVV116" i="8"/>
  <c r="IVU116" i="8"/>
  <c r="IVT116" i="8"/>
  <c r="IVS116" i="8"/>
  <c r="IVR116" i="8"/>
  <c r="IVQ116" i="8"/>
  <c r="IVP116" i="8"/>
  <c r="IVO116" i="8"/>
  <c r="IVN116" i="8"/>
  <c r="IVM116" i="8"/>
  <c r="IVL116" i="8"/>
  <c r="IVK116" i="8"/>
  <c r="IVJ116" i="8"/>
  <c r="IVI116" i="8"/>
  <c r="IVH116" i="8"/>
  <c r="IVG116" i="8"/>
  <c r="IVF116" i="8"/>
  <c r="IVE116" i="8"/>
  <c r="IVD116" i="8"/>
  <c r="IVC116" i="8"/>
  <c r="IVB116" i="8"/>
  <c r="IVA116" i="8"/>
  <c r="IUZ116" i="8"/>
  <c r="IUY116" i="8"/>
  <c r="IUX116" i="8"/>
  <c r="IUW116" i="8"/>
  <c r="IUV116" i="8"/>
  <c r="IUU116" i="8"/>
  <c r="IUT116" i="8"/>
  <c r="IUS116" i="8"/>
  <c r="IUR116" i="8"/>
  <c r="IUQ116" i="8"/>
  <c r="IUP116" i="8"/>
  <c r="IUO116" i="8"/>
  <c r="IUN116" i="8"/>
  <c r="IUM116" i="8"/>
  <c r="IUL116" i="8"/>
  <c r="IUK116" i="8"/>
  <c r="IUJ116" i="8"/>
  <c r="IUI116" i="8"/>
  <c r="IUH116" i="8"/>
  <c r="IUG116" i="8"/>
  <c r="IUF116" i="8"/>
  <c r="IUE116" i="8"/>
  <c r="IUD116" i="8"/>
  <c r="IUC116" i="8"/>
  <c r="IUB116" i="8"/>
  <c r="IUA116" i="8"/>
  <c r="ITZ116" i="8"/>
  <c r="ITY116" i="8"/>
  <c r="ITX116" i="8"/>
  <c r="ITW116" i="8"/>
  <c r="ITV116" i="8"/>
  <c r="ITU116" i="8"/>
  <c r="ITT116" i="8"/>
  <c r="ITS116" i="8"/>
  <c r="ITR116" i="8"/>
  <c r="ITQ116" i="8"/>
  <c r="ITP116" i="8"/>
  <c r="ITO116" i="8"/>
  <c r="ITN116" i="8"/>
  <c r="ITM116" i="8"/>
  <c r="ITL116" i="8"/>
  <c r="ITK116" i="8"/>
  <c r="ITJ116" i="8"/>
  <c r="ITI116" i="8"/>
  <c r="ITH116" i="8"/>
  <c r="ITG116" i="8"/>
  <c r="ITF116" i="8"/>
  <c r="ITE116" i="8"/>
  <c r="ITD116" i="8"/>
  <c r="ITC116" i="8"/>
  <c r="ITB116" i="8"/>
  <c r="ITA116" i="8"/>
  <c r="ISZ116" i="8"/>
  <c r="ISY116" i="8"/>
  <c r="ISX116" i="8"/>
  <c r="ISW116" i="8"/>
  <c r="ISV116" i="8"/>
  <c r="ISU116" i="8"/>
  <c r="IST116" i="8"/>
  <c r="ISS116" i="8"/>
  <c r="ISR116" i="8"/>
  <c r="ISQ116" i="8"/>
  <c r="ISP116" i="8"/>
  <c r="ISO116" i="8"/>
  <c r="ISN116" i="8"/>
  <c r="ISM116" i="8"/>
  <c r="ISL116" i="8"/>
  <c r="ISK116" i="8"/>
  <c r="ISJ116" i="8"/>
  <c r="ISI116" i="8"/>
  <c r="ISH116" i="8"/>
  <c r="ISG116" i="8"/>
  <c r="ISF116" i="8"/>
  <c r="ISE116" i="8"/>
  <c r="ISD116" i="8"/>
  <c r="ISC116" i="8"/>
  <c r="ISB116" i="8"/>
  <c r="ISA116" i="8"/>
  <c r="IRZ116" i="8"/>
  <c r="IRY116" i="8"/>
  <c r="IRX116" i="8"/>
  <c r="IRW116" i="8"/>
  <c r="IRV116" i="8"/>
  <c r="IRU116" i="8"/>
  <c r="IRT116" i="8"/>
  <c r="IRS116" i="8"/>
  <c r="IRR116" i="8"/>
  <c r="IRQ116" i="8"/>
  <c r="IRP116" i="8"/>
  <c r="IRO116" i="8"/>
  <c r="IRN116" i="8"/>
  <c r="IRM116" i="8"/>
  <c r="IRL116" i="8"/>
  <c r="IRK116" i="8"/>
  <c r="IRJ116" i="8"/>
  <c r="IRI116" i="8"/>
  <c r="IRH116" i="8"/>
  <c r="IRG116" i="8"/>
  <c r="IRF116" i="8"/>
  <c r="IRE116" i="8"/>
  <c r="IRD116" i="8"/>
  <c r="IRC116" i="8"/>
  <c r="IRB116" i="8"/>
  <c r="IRA116" i="8"/>
  <c r="IQZ116" i="8"/>
  <c r="IQY116" i="8"/>
  <c r="IQX116" i="8"/>
  <c r="IQW116" i="8"/>
  <c r="IQV116" i="8"/>
  <c r="IQU116" i="8"/>
  <c r="IQT116" i="8"/>
  <c r="IQS116" i="8"/>
  <c r="IQR116" i="8"/>
  <c r="IQQ116" i="8"/>
  <c r="IQP116" i="8"/>
  <c r="IQO116" i="8"/>
  <c r="IQN116" i="8"/>
  <c r="IQM116" i="8"/>
  <c r="IQL116" i="8"/>
  <c r="IQK116" i="8"/>
  <c r="IQJ116" i="8"/>
  <c r="IQI116" i="8"/>
  <c r="IQH116" i="8"/>
  <c r="IQG116" i="8"/>
  <c r="IQF116" i="8"/>
  <c r="IQE116" i="8"/>
  <c r="IQD116" i="8"/>
  <c r="IQC116" i="8"/>
  <c r="IQB116" i="8"/>
  <c r="IQA116" i="8"/>
  <c r="IPZ116" i="8"/>
  <c r="IPY116" i="8"/>
  <c r="IPX116" i="8"/>
  <c r="IPW116" i="8"/>
  <c r="IPV116" i="8"/>
  <c r="IPU116" i="8"/>
  <c r="IPT116" i="8"/>
  <c r="IPS116" i="8"/>
  <c r="IPR116" i="8"/>
  <c r="IPQ116" i="8"/>
  <c r="IPP116" i="8"/>
  <c r="IPO116" i="8"/>
  <c r="IPN116" i="8"/>
  <c r="IPM116" i="8"/>
  <c r="IPL116" i="8"/>
  <c r="IPK116" i="8"/>
  <c r="IPJ116" i="8"/>
  <c r="IPI116" i="8"/>
  <c r="IPH116" i="8"/>
  <c r="IPG116" i="8"/>
  <c r="IPF116" i="8"/>
  <c r="IPE116" i="8"/>
  <c r="IPD116" i="8"/>
  <c r="IPC116" i="8"/>
  <c r="IPB116" i="8"/>
  <c r="IPA116" i="8"/>
  <c r="IOZ116" i="8"/>
  <c r="IOY116" i="8"/>
  <c r="IOX116" i="8"/>
  <c r="IOW116" i="8"/>
  <c r="IOV116" i="8"/>
  <c r="IOU116" i="8"/>
  <c r="IOT116" i="8"/>
  <c r="IOS116" i="8"/>
  <c r="IOR116" i="8"/>
  <c r="IOQ116" i="8"/>
  <c r="IOP116" i="8"/>
  <c r="IOO116" i="8"/>
  <c r="ION116" i="8"/>
  <c r="IOM116" i="8"/>
  <c r="IOL116" i="8"/>
  <c r="IOK116" i="8"/>
  <c r="IOJ116" i="8"/>
  <c r="IOI116" i="8"/>
  <c r="IOH116" i="8"/>
  <c r="IOG116" i="8"/>
  <c r="IOF116" i="8"/>
  <c r="IOE116" i="8"/>
  <c r="IOD116" i="8"/>
  <c r="IOC116" i="8"/>
  <c r="IOB116" i="8"/>
  <c r="IOA116" i="8"/>
  <c r="INZ116" i="8"/>
  <c r="INY116" i="8"/>
  <c r="INX116" i="8"/>
  <c r="INW116" i="8"/>
  <c r="INV116" i="8"/>
  <c r="INU116" i="8"/>
  <c r="INT116" i="8"/>
  <c r="INS116" i="8"/>
  <c r="INR116" i="8"/>
  <c r="INQ116" i="8"/>
  <c r="INP116" i="8"/>
  <c r="INO116" i="8"/>
  <c r="INN116" i="8"/>
  <c r="INM116" i="8"/>
  <c r="INL116" i="8"/>
  <c r="INK116" i="8"/>
  <c r="INJ116" i="8"/>
  <c r="INI116" i="8"/>
  <c r="INH116" i="8"/>
  <c r="ING116" i="8"/>
  <c r="INF116" i="8"/>
  <c r="INE116" i="8"/>
  <c r="IND116" i="8"/>
  <c r="INC116" i="8"/>
  <c r="INB116" i="8"/>
  <c r="INA116" i="8"/>
  <c r="IMZ116" i="8"/>
  <c r="IMY116" i="8"/>
  <c r="IMX116" i="8"/>
  <c r="IMW116" i="8"/>
  <c r="IMV116" i="8"/>
  <c r="IMU116" i="8"/>
  <c r="IMT116" i="8"/>
  <c r="IMS116" i="8"/>
  <c r="IMR116" i="8"/>
  <c r="IMQ116" i="8"/>
  <c r="IMP116" i="8"/>
  <c r="IMO116" i="8"/>
  <c r="IMN116" i="8"/>
  <c r="IMM116" i="8"/>
  <c r="IML116" i="8"/>
  <c r="IMK116" i="8"/>
  <c r="IMJ116" i="8"/>
  <c r="IMI116" i="8"/>
  <c r="IMH116" i="8"/>
  <c r="IMG116" i="8"/>
  <c r="IMF116" i="8"/>
  <c r="IME116" i="8"/>
  <c r="IMD116" i="8"/>
  <c r="IMC116" i="8"/>
  <c r="IMB116" i="8"/>
  <c r="IMA116" i="8"/>
  <c r="ILZ116" i="8"/>
  <c r="ILY116" i="8"/>
  <c r="ILX116" i="8"/>
  <c r="ILW116" i="8"/>
  <c r="ILV116" i="8"/>
  <c r="ILU116" i="8"/>
  <c r="ILT116" i="8"/>
  <c r="ILS116" i="8"/>
  <c r="ILR116" i="8"/>
  <c r="ILQ116" i="8"/>
  <c r="ILP116" i="8"/>
  <c r="ILO116" i="8"/>
  <c r="ILN116" i="8"/>
  <c r="ILM116" i="8"/>
  <c r="ILL116" i="8"/>
  <c r="ILK116" i="8"/>
  <c r="ILJ116" i="8"/>
  <c r="ILI116" i="8"/>
  <c r="ILH116" i="8"/>
  <c r="ILG116" i="8"/>
  <c r="ILF116" i="8"/>
  <c r="ILE116" i="8"/>
  <c r="ILD116" i="8"/>
  <c r="ILC116" i="8"/>
  <c r="ILB116" i="8"/>
  <c r="ILA116" i="8"/>
  <c r="IKZ116" i="8"/>
  <c r="IKY116" i="8"/>
  <c r="IKX116" i="8"/>
  <c r="IKW116" i="8"/>
  <c r="IKV116" i="8"/>
  <c r="IKU116" i="8"/>
  <c r="IKT116" i="8"/>
  <c r="IKS116" i="8"/>
  <c r="IKR116" i="8"/>
  <c r="IKQ116" i="8"/>
  <c r="IKP116" i="8"/>
  <c r="IKO116" i="8"/>
  <c r="IKN116" i="8"/>
  <c r="IKM116" i="8"/>
  <c r="IKL116" i="8"/>
  <c r="IKK116" i="8"/>
  <c r="IKJ116" i="8"/>
  <c r="IKI116" i="8"/>
  <c r="IKH116" i="8"/>
  <c r="IKG116" i="8"/>
  <c r="IKF116" i="8"/>
  <c r="IKE116" i="8"/>
  <c r="IKD116" i="8"/>
  <c r="IKC116" i="8"/>
  <c r="IKB116" i="8"/>
  <c r="IKA116" i="8"/>
  <c r="IJZ116" i="8"/>
  <c r="IJY116" i="8"/>
  <c r="IJX116" i="8"/>
  <c r="IJW116" i="8"/>
  <c r="IJV116" i="8"/>
  <c r="IJU116" i="8"/>
  <c r="IJT116" i="8"/>
  <c r="IJS116" i="8"/>
  <c r="IJR116" i="8"/>
  <c r="IJQ116" i="8"/>
  <c r="IJP116" i="8"/>
  <c r="IJO116" i="8"/>
  <c r="IJN116" i="8"/>
  <c r="IJM116" i="8"/>
  <c r="IJL116" i="8"/>
  <c r="IJK116" i="8"/>
  <c r="IJJ116" i="8"/>
  <c r="IJI116" i="8"/>
  <c r="IJH116" i="8"/>
  <c r="IJG116" i="8"/>
  <c r="IJF116" i="8"/>
  <c r="IJE116" i="8"/>
  <c r="IJD116" i="8"/>
  <c r="IJC116" i="8"/>
  <c r="IJB116" i="8"/>
  <c r="IJA116" i="8"/>
  <c r="IIZ116" i="8"/>
  <c r="IIY116" i="8"/>
  <c r="IIX116" i="8"/>
  <c r="IIW116" i="8"/>
  <c r="IIV116" i="8"/>
  <c r="IIU116" i="8"/>
  <c r="IIT116" i="8"/>
  <c r="IIS116" i="8"/>
  <c r="IIR116" i="8"/>
  <c r="IIQ116" i="8"/>
  <c r="IIP116" i="8"/>
  <c r="IIO116" i="8"/>
  <c r="IIN116" i="8"/>
  <c r="IIM116" i="8"/>
  <c r="IIL116" i="8"/>
  <c r="IIK116" i="8"/>
  <c r="IIJ116" i="8"/>
  <c r="III116" i="8"/>
  <c r="IIH116" i="8"/>
  <c r="IIG116" i="8"/>
  <c r="IIF116" i="8"/>
  <c r="IIE116" i="8"/>
  <c r="IID116" i="8"/>
  <c r="IIC116" i="8"/>
  <c r="IIB116" i="8"/>
  <c r="IIA116" i="8"/>
  <c r="IHZ116" i="8"/>
  <c r="IHY116" i="8"/>
  <c r="IHX116" i="8"/>
  <c r="IHW116" i="8"/>
  <c r="IHV116" i="8"/>
  <c r="IHU116" i="8"/>
  <c r="IHT116" i="8"/>
  <c r="IHS116" i="8"/>
  <c r="IHR116" i="8"/>
  <c r="IHQ116" i="8"/>
  <c r="IHP116" i="8"/>
  <c r="IHO116" i="8"/>
  <c r="IHN116" i="8"/>
  <c r="IHM116" i="8"/>
  <c r="IHL116" i="8"/>
  <c r="IHK116" i="8"/>
  <c r="IHJ116" i="8"/>
  <c r="IHI116" i="8"/>
  <c r="IHH116" i="8"/>
  <c r="IHG116" i="8"/>
  <c r="IHF116" i="8"/>
  <c r="IHE116" i="8"/>
  <c r="IHD116" i="8"/>
  <c r="IHC116" i="8"/>
  <c r="IHB116" i="8"/>
  <c r="IHA116" i="8"/>
  <c r="IGZ116" i="8"/>
  <c r="IGY116" i="8"/>
  <c r="IGX116" i="8"/>
  <c r="IGW116" i="8"/>
  <c r="IGV116" i="8"/>
  <c r="IGU116" i="8"/>
  <c r="IGT116" i="8"/>
  <c r="IGS116" i="8"/>
  <c r="IGR116" i="8"/>
  <c r="IGQ116" i="8"/>
  <c r="IGP116" i="8"/>
  <c r="IGO116" i="8"/>
  <c r="IGN116" i="8"/>
  <c r="IGM116" i="8"/>
  <c r="IGL116" i="8"/>
  <c r="IGK116" i="8"/>
  <c r="IGJ116" i="8"/>
  <c r="IGI116" i="8"/>
  <c r="IGH116" i="8"/>
  <c r="IGG116" i="8"/>
  <c r="IGF116" i="8"/>
  <c r="IGE116" i="8"/>
  <c r="IGD116" i="8"/>
  <c r="IGC116" i="8"/>
  <c r="IGB116" i="8"/>
  <c r="IGA116" i="8"/>
  <c r="IFZ116" i="8"/>
  <c r="IFY116" i="8"/>
  <c r="IFX116" i="8"/>
  <c r="IFW116" i="8"/>
  <c r="IFV116" i="8"/>
  <c r="IFU116" i="8"/>
  <c r="IFT116" i="8"/>
  <c r="IFS116" i="8"/>
  <c r="IFR116" i="8"/>
  <c r="IFQ116" i="8"/>
  <c r="IFP116" i="8"/>
  <c r="IFO116" i="8"/>
  <c r="IFN116" i="8"/>
  <c r="IFM116" i="8"/>
  <c r="IFL116" i="8"/>
  <c r="IFK116" i="8"/>
  <c r="IFJ116" i="8"/>
  <c r="IFI116" i="8"/>
  <c r="IFH116" i="8"/>
  <c r="IFG116" i="8"/>
  <c r="IFF116" i="8"/>
  <c r="IFE116" i="8"/>
  <c r="IFD116" i="8"/>
  <c r="IFC116" i="8"/>
  <c r="IFB116" i="8"/>
  <c r="IFA116" i="8"/>
  <c r="IEZ116" i="8"/>
  <c r="IEY116" i="8"/>
  <c r="IEX116" i="8"/>
  <c r="IEW116" i="8"/>
  <c r="IEV116" i="8"/>
  <c r="IEU116" i="8"/>
  <c r="IET116" i="8"/>
  <c r="IES116" i="8"/>
  <c r="IER116" i="8"/>
  <c r="IEQ116" i="8"/>
  <c r="IEP116" i="8"/>
  <c r="IEO116" i="8"/>
  <c r="IEN116" i="8"/>
  <c r="IEM116" i="8"/>
  <c r="IEL116" i="8"/>
  <c r="IEK116" i="8"/>
  <c r="IEJ116" i="8"/>
  <c r="IEI116" i="8"/>
  <c r="IEH116" i="8"/>
  <c r="IEG116" i="8"/>
  <c r="IEF116" i="8"/>
  <c r="IEE116" i="8"/>
  <c r="IED116" i="8"/>
  <c r="IEC116" i="8"/>
  <c r="IEB116" i="8"/>
  <c r="IEA116" i="8"/>
  <c r="IDZ116" i="8"/>
  <c r="IDY116" i="8"/>
  <c r="IDX116" i="8"/>
  <c r="IDW116" i="8"/>
  <c r="IDV116" i="8"/>
  <c r="IDU116" i="8"/>
  <c r="IDT116" i="8"/>
  <c r="IDS116" i="8"/>
  <c r="IDR116" i="8"/>
  <c r="IDQ116" i="8"/>
  <c r="IDP116" i="8"/>
  <c r="IDO116" i="8"/>
  <c r="IDN116" i="8"/>
  <c r="IDM116" i="8"/>
  <c r="IDL116" i="8"/>
  <c r="IDK116" i="8"/>
  <c r="IDJ116" i="8"/>
  <c r="IDI116" i="8"/>
  <c r="IDH116" i="8"/>
  <c r="IDG116" i="8"/>
  <c r="IDF116" i="8"/>
  <c r="IDE116" i="8"/>
  <c r="IDD116" i="8"/>
  <c r="IDC116" i="8"/>
  <c r="IDB116" i="8"/>
  <c r="IDA116" i="8"/>
  <c r="ICZ116" i="8"/>
  <c r="ICY116" i="8"/>
  <c r="ICX116" i="8"/>
  <c r="ICW116" i="8"/>
  <c r="ICV116" i="8"/>
  <c r="ICU116" i="8"/>
  <c r="ICT116" i="8"/>
  <c r="ICS116" i="8"/>
  <c r="ICR116" i="8"/>
  <c r="ICQ116" i="8"/>
  <c r="ICP116" i="8"/>
  <c r="ICO116" i="8"/>
  <c r="ICN116" i="8"/>
  <c r="ICM116" i="8"/>
  <c r="ICL116" i="8"/>
  <c r="ICK116" i="8"/>
  <c r="ICJ116" i="8"/>
  <c r="ICI116" i="8"/>
  <c r="ICH116" i="8"/>
  <c r="ICG116" i="8"/>
  <c r="ICF116" i="8"/>
  <c r="ICE116" i="8"/>
  <c r="ICD116" i="8"/>
  <c r="ICC116" i="8"/>
  <c r="ICB116" i="8"/>
  <c r="ICA116" i="8"/>
  <c r="IBZ116" i="8"/>
  <c r="IBY116" i="8"/>
  <c r="IBX116" i="8"/>
  <c r="IBW116" i="8"/>
  <c r="IBV116" i="8"/>
  <c r="IBU116" i="8"/>
  <c r="IBT116" i="8"/>
  <c r="IBS116" i="8"/>
  <c r="IBR116" i="8"/>
  <c r="IBQ116" i="8"/>
  <c r="IBP116" i="8"/>
  <c r="IBO116" i="8"/>
  <c r="IBN116" i="8"/>
  <c r="IBM116" i="8"/>
  <c r="IBL116" i="8"/>
  <c r="IBK116" i="8"/>
  <c r="IBJ116" i="8"/>
  <c r="IBI116" i="8"/>
  <c r="IBH116" i="8"/>
  <c r="IBG116" i="8"/>
  <c r="IBF116" i="8"/>
  <c r="IBE116" i="8"/>
  <c r="IBD116" i="8"/>
  <c r="IBC116" i="8"/>
  <c r="IBB116" i="8"/>
  <c r="IBA116" i="8"/>
  <c r="IAZ116" i="8"/>
  <c r="IAY116" i="8"/>
  <c r="IAX116" i="8"/>
  <c r="IAW116" i="8"/>
  <c r="IAV116" i="8"/>
  <c r="IAU116" i="8"/>
  <c r="IAT116" i="8"/>
  <c r="IAS116" i="8"/>
  <c r="IAR116" i="8"/>
  <c r="IAQ116" i="8"/>
  <c r="IAP116" i="8"/>
  <c r="IAO116" i="8"/>
  <c r="IAN116" i="8"/>
  <c r="IAM116" i="8"/>
  <c r="IAL116" i="8"/>
  <c r="IAK116" i="8"/>
  <c r="IAJ116" i="8"/>
  <c r="IAI116" i="8"/>
  <c r="IAH116" i="8"/>
  <c r="IAG116" i="8"/>
  <c r="IAF116" i="8"/>
  <c r="IAE116" i="8"/>
  <c r="IAD116" i="8"/>
  <c r="IAC116" i="8"/>
  <c r="IAB116" i="8"/>
  <c r="IAA116" i="8"/>
  <c r="HZZ116" i="8"/>
  <c r="HZY116" i="8"/>
  <c r="HZX116" i="8"/>
  <c r="HZW116" i="8"/>
  <c r="HZV116" i="8"/>
  <c r="HZU116" i="8"/>
  <c r="HZT116" i="8"/>
  <c r="HZS116" i="8"/>
  <c r="HZR116" i="8"/>
  <c r="HZQ116" i="8"/>
  <c r="HZP116" i="8"/>
  <c r="HZO116" i="8"/>
  <c r="HZN116" i="8"/>
  <c r="HZM116" i="8"/>
  <c r="HZL116" i="8"/>
  <c r="HZK116" i="8"/>
  <c r="HZJ116" i="8"/>
  <c r="HZI116" i="8"/>
  <c r="HZH116" i="8"/>
  <c r="HZG116" i="8"/>
  <c r="HZF116" i="8"/>
  <c r="HZE116" i="8"/>
  <c r="HZD116" i="8"/>
  <c r="HZC116" i="8"/>
  <c r="HZB116" i="8"/>
  <c r="HZA116" i="8"/>
  <c r="HYZ116" i="8"/>
  <c r="HYY116" i="8"/>
  <c r="HYX116" i="8"/>
  <c r="HYW116" i="8"/>
  <c r="HYV116" i="8"/>
  <c r="HYU116" i="8"/>
  <c r="HYT116" i="8"/>
  <c r="HYS116" i="8"/>
  <c r="HYR116" i="8"/>
  <c r="HYQ116" i="8"/>
  <c r="HYP116" i="8"/>
  <c r="HYO116" i="8"/>
  <c r="HYN116" i="8"/>
  <c r="HYM116" i="8"/>
  <c r="HYL116" i="8"/>
  <c r="HYK116" i="8"/>
  <c r="HYJ116" i="8"/>
  <c r="HYI116" i="8"/>
  <c r="HYH116" i="8"/>
  <c r="HYG116" i="8"/>
  <c r="HYF116" i="8"/>
  <c r="HYE116" i="8"/>
  <c r="HYD116" i="8"/>
  <c r="HYC116" i="8"/>
  <c r="HYB116" i="8"/>
  <c r="HYA116" i="8"/>
  <c r="HXZ116" i="8"/>
  <c r="HXY116" i="8"/>
  <c r="HXX116" i="8"/>
  <c r="HXW116" i="8"/>
  <c r="HXV116" i="8"/>
  <c r="HXU116" i="8"/>
  <c r="HXT116" i="8"/>
  <c r="HXS116" i="8"/>
  <c r="HXR116" i="8"/>
  <c r="HXQ116" i="8"/>
  <c r="HXP116" i="8"/>
  <c r="HXO116" i="8"/>
  <c r="HXN116" i="8"/>
  <c r="HXM116" i="8"/>
  <c r="HXL116" i="8"/>
  <c r="HXK116" i="8"/>
  <c r="HXJ116" i="8"/>
  <c r="HXI116" i="8"/>
  <c r="HXH116" i="8"/>
  <c r="HXG116" i="8"/>
  <c r="HXF116" i="8"/>
  <c r="HXE116" i="8"/>
  <c r="HXD116" i="8"/>
  <c r="HXC116" i="8"/>
  <c r="HXB116" i="8"/>
  <c r="HXA116" i="8"/>
  <c r="HWZ116" i="8"/>
  <c r="HWY116" i="8"/>
  <c r="HWX116" i="8"/>
  <c r="HWW116" i="8"/>
  <c r="HWV116" i="8"/>
  <c r="HWU116" i="8"/>
  <c r="HWT116" i="8"/>
  <c r="HWS116" i="8"/>
  <c r="HWR116" i="8"/>
  <c r="HWQ116" i="8"/>
  <c r="HWP116" i="8"/>
  <c r="HWO116" i="8"/>
  <c r="HWN116" i="8"/>
  <c r="HWM116" i="8"/>
  <c r="HWL116" i="8"/>
  <c r="HWK116" i="8"/>
  <c r="HWJ116" i="8"/>
  <c r="HWI116" i="8"/>
  <c r="HWH116" i="8"/>
  <c r="HWG116" i="8"/>
  <c r="HWF116" i="8"/>
  <c r="HWE116" i="8"/>
  <c r="HWD116" i="8"/>
  <c r="HWC116" i="8"/>
  <c r="HWB116" i="8"/>
  <c r="HWA116" i="8"/>
  <c r="HVZ116" i="8"/>
  <c r="HVY116" i="8"/>
  <c r="HVX116" i="8"/>
  <c r="HVW116" i="8"/>
  <c r="HVV116" i="8"/>
  <c r="HVU116" i="8"/>
  <c r="HVT116" i="8"/>
  <c r="HVS116" i="8"/>
  <c r="HVR116" i="8"/>
  <c r="HVQ116" i="8"/>
  <c r="HVP116" i="8"/>
  <c r="HVO116" i="8"/>
  <c r="HVN116" i="8"/>
  <c r="HVM116" i="8"/>
  <c r="HVL116" i="8"/>
  <c r="HVK116" i="8"/>
  <c r="HVJ116" i="8"/>
  <c r="HVI116" i="8"/>
  <c r="HVH116" i="8"/>
  <c r="HVG116" i="8"/>
  <c r="HVF116" i="8"/>
  <c r="HVE116" i="8"/>
  <c r="HVD116" i="8"/>
  <c r="HVC116" i="8"/>
  <c r="HVB116" i="8"/>
  <c r="HVA116" i="8"/>
  <c r="HUZ116" i="8"/>
  <c r="HUY116" i="8"/>
  <c r="HUX116" i="8"/>
  <c r="HUW116" i="8"/>
  <c r="HUV116" i="8"/>
  <c r="HUU116" i="8"/>
  <c r="HUT116" i="8"/>
  <c r="HUS116" i="8"/>
  <c r="HUR116" i="8"/>
  <c r="HUQ116" i="8"/>
  <c r="HUP116" i="8"/>
  <c r="HUO116" i="8"/>
  <c r="HUN116" i="8"/>
  <c r="HUM116" i="8"/>
  <c r="HUL116" i="8"/>
  <c r="HUK116" i="8"/>
  <c r="HUJ116" i="8"/>
  <c r="HUI116" i="8"/>
  <c r="HUH116" i="8"/>
  <c r="HUG116" i="8"/>
  <c r="HUF116" i="8"/>
  <c r="HUE116" i="8"/>
  <c r="HUD116" i="8"/>
  <c r="HUC116" i="8"/>
  <c r="HUB116" i="8"/>
  <c r="HUA116" i="8"/>
  <c r="HTZ116" i="8"/>
  <c r="HTY116" i="8"/>
  <c r="HTX116" i="8"/>
  <c r="HTW116" i="8"/>
  <c r="HTV116" i="8"/>
  <c r="HTU116" i="8"/>
  <c r="HTT116" i="8"/>
  <c r="HTS116" i="8"/>
  <c r="HTR116" i="8"/>
  <c r="HTQ116" i="8"/>
  <c r="HTP116" i="8"/>
  <c r="HTO116" i="8"/>
  <c r="HTN116" i="8"/>
  <c r="HTM116" i="8"/>
  <c r="HTL116" i="8"/>
  <c r="HTK116" i="8"/>
  <c r="HTJ116" i="8"/>
  <c r="HTI116" i="8"/>
  <c r="HTH116" i="8"/>
  <c r="HTG116" i="8"/>
  <c r="HTF116" i="8"/>
  <c r="HTE116" i="8"/>
  <c r="HTD116" i="8"/>
  <c r="HTC116" i="8"/>
  <c r="HTB116" i="8"/>
  <c r="HTA116" i="8"/>
  <c r="HSZ116" i="8"/>
  <c r="HSY116" i="8"/>
  <c r="HSX116" i="8"/>
  <c r="HSW116" i="8"/>
  <c r="HSV116" i="8"/>
  <c r="HSU116" i="8"/>
  <c r="HST116" i="8"/>
  <c r="HSS116" i="8"/>
  <c r="HSR116" i="8"/>
  <c r="HSQ116" i="8"/>
  <c r="HSP116" i="8"/>
  <c r="HSO116" i="8"/>
  <c r="HSN116" i="8"/>
  <c r="HSM116" i="8"/>
  <c r="HSL116" i="8"/>
  <c r="HSK116" i="8"/>
  <c r="HSJ116" i="8"/>
  <c r="HSI116" i="8"/>
  <c r="HSH116" i="8"/>
  <c r="HSG116" i="8"/>
  <c r="HSF116" i="8"/>
  <c r="HSE116" i="8"/>
  <c r="HSD116" i="8"/>
  <c r="HSC116" i="8"/>
  <c r="HSB116" i="8"/>
  <c r="HSA116" i="8"/>
  <c r="HRZ116" i="8"/>
  <c r="HRY116" i="8"/>
  <c r="HRX116" i="8"/>
  <c r="HRW116" i="8"/>
  <c r="HRV116" i="8"/>
  <c r="HRU116" i="8"/>
  <c r="HRT116" i="8"/>
  <c r="HRS116" i="8"/>
  <c r="HRR116" i="8"/>
  <c r="HRQ116" i="8"/>
  <c r="HRP116" i="8"/>
  <c r="HRO116" i="8"/>
  <c r="HRN116" i="8"/>
  <c r="HRM116" i="8"/>
  <c r="HRL116" i="8"/>
  <c r="HRK116" i="8"/>
  <c r="HRJ116" i="8"/>
  <c r="HRI116" i="8"/>
  <c r="HRH116" i="8"/>
  <c r="HRG116" i="8"/>
  <c r="HRF116" i="8"/>
  <c r="HRE116" i="8"/>
  <c r="HRD116" i="8"/>
  <c r="HRC116" i="8"/>
  <c r="HRB116" i="8"/>
  <c r="HRA116" i="8"/>
  <c r="HQZ116" i="8"/>
  <c r="HQY116" i="8"/>
  <c r="HQX116" i="8"/>
  <c r="HQW116" i="8"/>
  <c r="HQV116" i="8"/>
  <c r="HQU116" i="8"/>
  <c r="HQT116" i="8"/>
  <c r="HQS116" i="8"/>
  <c r="HQR116" i="8"/>
  <c r="HQQ116" i="8"/>
  <c r="HQP116" i="8"/>
  <c r="HQO116" i="8"/>
  <c r="HQN116" i="8"/>
  <c r="HQM116" i="8"/>
  <c r="HQL116" i="8"/>
  <c r="HQK116" i="8"/>
  <c r="HQJ116" i="8"/>
  <c r="HQI116" i="8"/>
  <c r="HQH116" i="8"/>
  <c r="HQG116" i="8"/>
  <c r="HQF116" i="8"/>
  <c r="HQE116" i="8"/>
  <c r="HQD116" i="8"/>
  <c r="HQC116" i="8"/>
  <c r="HQB116" i="8"/>
  <c r="HQA116" i="8"/>
  <c r="HPZ116" i="8"/>
  <c r="HPY116" i="8"/>
  <c r="HPX116" i="8"/>
  <c r="HPW116" i="8"/>
  <c r="HPV116" i="8"/>
  <c r="HPU116" i="8"/>
  <c r="HPT116" i="8"/>
  <c r="HPS116" i="8"/>
  <c r="HPR116" i="8"/>
  <c r="HPQ116" i="8"/>
  <c r="HPP116" i="8"/>
  <c r="HPO116" i="8"/>
  <c r="HPN116" i="8"/>
  <c r="HPM116" i="8"/>
  <c r="HPL116" i="8"/>
  <c r="HPK116" i="8"/>
  <c r="HPJ116" i="8"/>
  <c r="HPI116" i="8"/>
  <c r="HPH116" i="8"/>
  <c r="HPG116" i="8"/>
  <c r="HPF116" i="8"/>
  <c r="HPE116" i="8"/>
  <c r="HPD116" i="8"/>
  <c r="HPC116" i="8"/>
  <c r="HPB116" i="8"/>
  <c r="HPA116" i="8"/>
  <c r="HOZ116" i="8"/>
  <c r="HOY116" i="8"/>
  <c r="HOX116" i="8"/>
  <c r="HOW116" i="8"/>
  <c r="HOV116" i="8"/>
  <c r="HOU116" i="8"/>
  <c r="HOT116" i="8"/>
  <c r="HOS116" i="8"/>
  <c r="HOR116" i="8"/>
  <c r="HOQ116" i="8"/>
  <c r="HOP116" i="8"/>
  <c r="HOO116" i="8"/>
  <c r="HON116" i="8"/>
  <c r="HOM116" i="8"/>
  <c r="HOL116" i="8"/>
  <c r="HOK116" i="8"/>
  <c r="HOJ116" i="8"/>
  <c r="HOI116" i="8"/>
  <c r="HOH116" i="8"/>
  <c r="HOG116" i="8"/>
  <c r="HOF116" i="8"/>
  <c r="HOE116" i="8"/>
  <c r="HOD116" i="8"/>
  <c r="HOC116" i="8"/>
  <c r="HOB116" i="8"/>
  <c r="HOA116" i="8"/>
  <c r="HNZ116" i="8"/>
  <c r="HNY116" i="8"/>
  <c r="HNX116" i="8"/>
  <c r="HNW116" i="8"/>
  <c r="HNV116" i="8"/>
  <c r="HNU116" i="8"/>
  <c r="HNT116" i="8"/>
  <c r="HNS116" i="8"/>
  <c r="HNR116" i="8"/>
  <c r="HNQ116" i="8"/>
  <c r="HNP116" i="8"/>
  <c r="HNO116" i="8"/>
  <c r="HNN116" i="8"/>
  <c r="HNM116" i="8"/>
  <c r="HNL116" i="8"/>
  <c r="HNK116" i="8"/>
  <c r="HNJ116" i="8"/>
  <c r="HNI116" i="8"/>
  <c r="HNH116" i="8"/>
  <c r="HNG116" i="8"/>
  <c r="HNF116" i="8"/>
  <c r="HNE116" i="8"/>
  <c r="HND116" i="8"/>
  <c r="HNC116" i="8"/>
  <c r="HNB116" i="8"/>
  <c r="HNA116" i="8"/>
  <c r="HMZ116" i="8"/>
  <c r="HMY116" i="8"/>
  <c r="HMX116" i="8"/>
  <c r="HMW116" i="8"/>
  <c r="HMV116" i="8"/>
  <c r="HMU116" i="8"/>
  <c r="HMT116" i="8"/>
  <c r="HMS116" i="8"/>
  <c r="HMR116" i="8"/>
  <c r="HMQ116" i="8"/>
  <c r="HMP116" i="8"/>
  <c r="HMO116" i="8"/>
  <c r="HMN116" i="8"/>
  <c r="HMM116" i="8"/>
  <c r="HML116" i="8"/>
  <c r="HMK116" i="8"/>
  <c r="HMJ116" i="8"/>
  <c r="HMI116" i="8"/>
  <c r="HMH116" i="8"/>
  <c r="HMG116" i="8"/>
  <c r="HMF116" i="8"/>
  <c r="HME116" i="8"/>
  <c r="HMD116" i="8"/>
  <c r="HMC116" i="8"/>
  <c r="HMB116" i="8"/>
  <c r="HMA116" i="8"/>
  <c r="HLZ116" i="8"/>
  <c r="HLY116" i="8"/>
  <c r="HLX116" i="8"/>
  <c r="HLW116" i="8"/>
  <c r="HLV116" i="8"/>
  <c r="HLU116" i="8"/>
  <c r="HLT116" i="8"/>
  <c r="HLS116" i="8"/>
  <c r="HLR116" i="8"/>
  <c r="HLQ116" i="8"/>
  <c r="HLP116" i="8"/>
  <c r="HLO116" i="8"/>
  <c r="HLN116" i="8"/>
  <c r="HLM116" i="8"/>
  <c r="HLL116" i="8"/>
  <c r="HLK116" i="8"/>
  <c r="HLJ116" i="8"/>
  <c r="HLI116" i="8"/>
  <c r="HLH116" i="8"/>
  <c r="HLG116" i="8"/>
  <c r="HLF116" i="8"/>
  <c r="HLE116" i="8"/>
  <c r="HLD116" i="8"/>
  <c r="HLC116" i="8"/>
  <c r="HLB116" i="8"/>
  <c r="HLA116" i="8"/>
  <c r="HKZ116" i="8"/>
  <c r="HKY116" i="8"/>
  <c r="HKX116" i="8"/>
  <c r="HKW116" i="8"/>
  <c r="HKV116" i="8"/>
  <c r="HKU116" i="8"/>
  <c r="HKT116" i="8"/>
  <c r="HKS116" i="8"/>
  <c r="HKR116" i="8"/>
  <c r="HKQ116" i="8"/>
  <c r="HKP116" i="8"/>
  <c r="HKO116" i="8"/>
  <c r="HKN116" i="8"/>
  <c r="HKM116" i="8"/>
  <c r="HKL116" i="8"/>
  <c r="HKK116" i="8"/>
  <c r="HKJ116" i="8"/>
  <c r="HKI116" i="8"/>
  <c r="HKH116" i="8"/>
  <c r="HKG116" i="8"/>
  <c r="HKF116" i="8"/>
  <c r="HKE116" i="8"/>
  <c r="HKD116" i="8"/>
  <c r="HKC116" i="8"/>
  <c r="HKB116" i="8"/>
  <c r="HKA116" i="8"/>
  <c r="HJZ116" i="8"/>
  <c r="HJY116" i="8"/>
  <c r="HJX116" i="8"/>
  <c r="HJW116" i="8"/>
  <c r="HJV116" i="8"/>
  <c r="HJU116" i="8"/>
  <c r="HJT116" i="8"/>
  <c r="HJS116" i="8"/>
  <c r="HJR116" i="8"/>
  <c r="HJQ116" i="8"/>
  <c r="HJP116" i="8"/>
  <c r="HJO116" i="8"/>
  <c r="HJN116" i="8"/>
  <c r="HJM116" i="8"/>
  <c r="HJL116" i="8"/>
  <c r="HJK116" i="8"/>
  <c r="HJJ116" i="8"/>
  <c r="HJI116" i="8"/>
  <c r="HJH116" i="8"/>
  <c r="HJG116" i="8"/>
  <c r="HJF116" i="8"/>
  <c r="HJE116" i="8"/>
  <c r="HJD116" i="8"/>
  <c r="HJC116" i="8"/>
  <c r="HJB116" i="8"/>
  <c r="HJA116" i="8"/>
  <c r="HIZ116" i="8"/>
  <c r="HIY116" i="8"/>
  <c r="HIX116" i="8"/>
  <c r="HIW116" i="8"/>
  <c r="HIV116" i="8"/>
  <c r="HIU116" i="8"/>
  <c r="HIT116" i="8"/>
  <c r="HIS116" i="8"/>
  <c r="HIR116" i="8"/>
  <c r="HIQ116" i="8"/>
  <c r="HIP116" i="8"/>
  <c r="HIO116" i="8"/>
  <c r="HIN116" i="8"/>
  <c r="HIM116" i="8"/>
  <c r="HIL116" i="8"/>
  <c r="HIK116" i="8"/>
  <c r="HIJ116" i="8"/>
  <c r="HII116" i="8"/>
  <c r="HIH116" i="8"/>
  <c r="HIG116" i="8"/>
  <c r="HIF116" i="8"/>
  <c r="HIE116" i="8"/>
  <c r="HID116" i="8"/>
  <c r="HIC116" i="8"/>
  <c r="HIB116" i="8"/>
  <c r="HIA116" i="8"/>
  <c r="HHZ116" i="8"/>
  <c r="HHY116" i="8"/>
  <c r="HHX116" i="8"/>
  <c r="HHW116" i="8"/>
  <c r="HHV116" i="8"/>
  <c r="HHU116" i="8"/>
  <c r="HHT116" i="8"/>
  <c r="HHS116" i="8"/>
  <c r="HHR116" i="8"/>
  <c r="HHQ116" i="8"/>
  <c r="HHP116" i="8"/>
  <c r="HHO116" i="8"/>
  <c r="HHN116" i="8"/>
  <c r="HHM116" i="8"/>
  <c r="HHL116" i="8"/>
  <c r="HHK116" i="8"/>
  <c r="HHJ116" i="8"/>
  <c r="HHI116" i="8"/>
  <c r="HHH116" i="8"/>
  <c r="HHG116" i="8"/>
  <c r="HHF116" i="8"/>
  <c r="HHE116" i="8"/>
  <c r="HHD116" i="8"/>
  <c r="HHC116" i="8"/>
  <c r="HHB116" i="8"/>
  <c r="HHA116" i="8"/>
  <c r="HGZ116" i="8"/>
  <c r="HGY116" i="8"/>
  <c r="HGX116" i="8"/>
  <c r="HGW116" i="8"/>
  <c r="HGV116" i="8"/>
  <c r="HGU116" i="8"/>
  <c r="HGT116" i="8"/>
  <c r="HGS116" i="8"/>
  <c r="HGR116" i="8"/>
  <c r="HGQ116" i="8"/>
  <c r="HGP116" i="8"/>
  <c r="HGO116" i="8"/>
  <c r="HGN116" i="8"/>
  <c r="HGM116" i="8"/>
  <c r="HGL116" i="8"/>
  <c r="HGK116" i="8"/>
  <c r="HGJ116" i="8"/>
  <c r="HGI116" i="8"/>
  <c r="HGH116" i="8"/>
  <c r="HGG116" i="8"/>
  <c r="HGF116" i="8"/>
  <c r="HGE116" i="8"/>
  <c r="HGD116" i="8"/>
  <c r="HGC116" i="8"/>
  <c r="HGB116" i="8"/>
  <c r="HGA116" i="8"/>
  <c r="HFZ116" i="8"/>
  <c r="HFY116" i="8"/>
  <c r="HFX116" i="8"/>
  <c r="HFW116" i="8"/>
  <c r="HFV116" i="8"/>
  <c r="HFU116" i="8"/>
  <c r="HFT116" i="8"/>
  <c r="HFS116" i="8"/>
  <c r="HFR116" i="8"/>
  <c r="HFQ116" i="8"/>
  <c r="HFP116" i="8"/>
  <c r="HFO116" i="8"/>
  <c r="HFN116" i="8"/>
  <c r="HFM116" i="8"/>
  <c r="HFL116" i="8"/>
  <c r="HFK116" i="8"/>
  <c r="HFJ116" i="8"/>
  <c r="HFI116" i="8"/>
  <c r="HFH116" i="8"/>
  <c r="HFG116" i="8"/>
  <c r="HFF116" i="8"/>
  <c r="HFE116" i="8"/>
  <c r="HFD116" i="8"/>
  <c r="HFC116" i="8"/>
  <c r="HFB116" i="8"/>
  <c r="HFA116" i="8"/>
  <c r="HEZ116" i="8"/>
  <c r="HEY116" i="8"/>
  <c r="HEX116" i="8"/>
  <c r="HEW116" i="8"/>
  <c r="HEV116" i="8"/>
  <c r="HEU116" i="8"/>
  <c r="HET116" i="8"/>
  <c r="HES116" i="8"/>
  <c r="HER116" i="8"/>
  <c r="HEQ116" i="8"/>
  <c r="HEP116" i="8"/>
  <c r="HEO116" i="8"/>
  <c r="HEN116" i="8"/>
  <c r="HEM116" i="8"/>
  <c r="HEL116" i="8"/>
  <c r="HEK116" i="8"/>
  <c r="HEJ116" i="8"/>
  <c r="HEI116" i="8"/>
  <c r="HEH116" i="8"/>
  <c r="HEG116" i="8"/>
  <c r="HEF116" i="8"/>
  <c r="HEE116" i="8"/>
  <c r="HED116" i="8"/>
  <c r="HEC116" i="8"/>
  <c r="HEB116" i="8"/>
  <c r="HEA116" i="8"/>
  <c r="HDZ116" i="8"/>
  <c r="HDY116" i="8"/>
  <c r="HDX116" i="8"/>
  <c r="HDW116" i="8"/>
  <c r="HDV116" i="8"/>
  <c r="HDU116" i="8"/>
  <c r="HDT116" i="8"/>
  <c r="HDS116" i="8"/>
  <c r="HDR116" i="8"/>
  <c r="HDQ116" i="8"/>
  <c r="HDP116" i="8"/>
  <c r="HDO116" i="8"/>
  <c r="HDN116" i="8"/>
  <c r="HDM116" i="8"/>
  <c r="HDL116" i="8"/>
  <c r="HDK116" i="8"/>
  <c r="HDJ116" i="8"/>
  <c r="HDI116" i="8"/>
  <c r="HDH116" i="8"/>
  <c r="HDG116" i="8"/>
  <c r="HDF116" i="8"/>
  <c r="HDE116" i="8"/>
  <c r="HDD116" i="8"/>
  <c r="HDC116" i="8"/>
  <c r="HDB116" i="8"/>
  <c r="HDA116" i="8"/>
  <c r="HCZ116" i="8"/>
  <c r="HCY116" i="8"/>
  <c r="HCX116" i="8"/>
  <c r="HCW116" i="8"/>
  <c r="HCV116" i="8"/>
  <c r="HCU116" i="8"/>
  <c r="HCT116" i="8"/>
  <c r="HCS116" i="8"/>
  <c r="HCR116" i="8"/>
  <c r="HCQ116" i="8"/>
  <c r="HCP116" i="8"/>
  <c r="HCO116" i="8"/>
  <c r="HCN116" i="8"/>
  <c r="HCM116" i="8"/>
  <c r="HCL116" i="8"/>
  <c r="HCK116" i="8"/>
  <c r="HCJ116" i="8"/>
  <c r="HCI116" i="8"/>
  <c r="HCH116" i="8"/>
  <c r="HCG116" i="8"/>
  <c r="HCF116" i="8"/>
  <c r="HCE116" i="8"/>
  <c r="HCD116" i="8"/>
  <c r="HCC116" i="8"/>
  <c r="HCB116" i="8"/>
  <c r="HCA116" i="8"/>
  <c r="HBZ116" i="8"/>
  <c r="HBY116" i="8"/>
  <c r="HBX116" i="8"/>
  <c r="HBW116" i="8"/>
  <c r="HBV116" i="8"/>
  <c r="HBU116" i="8"/>
  <c r="HBT116" i="8"/>
  <c r="HBS116" i="8"/>
  <c r="HBR116" i="8"/>
  <c r="HBQ116" i="8"/>
  <c r="HBP116" i="8"/>
  <c r="HBO116" i="8"/>
  <c r="HBN116" i="8"/>
  <c r="HBM116" i="8"/>
  <c r="HBL116" i="8"/>
  <c r="HBK116" i="8"/>
  <c r="HBJ116" i="8"/>
  <c r="HBI116" i="8"/>
  <c r="HBH116" i="8"/>
  <c r="HBG116" i="8"/>
  <c r="HBF116" i="8"/>
  <c r="HBE116" i="8"/>
  <c r="HBD116" i="8"/>
  <c r="HBC116" i="8"/>
  <c r="HBB116" i="8"/>
  <c r="HBA116" i="8"/>
  <c r="HAZ116" i="8"/>
  <c r="HAY116" i="8"/>
  <c r="HAX116" i="8"/>
  <c r="HAW116" i="8"/>
  <c r="HAV116" i="8"/>
  <c r="HAU116" i="8"/>
  <c r="HAT116" i="8"/>
  <c r="HAS116" i="8"/>
  <c r="HAR116" i="8"/>
  <c r="HAQ116" i="8"/>
  <c r="HAP116" i="8"/>
  <c r="HAO116" i="8"/>
  <c r="HAN116" i="8"/>
  <c r="HAM116" i="8"/>
  <c r="HAL116" i="8"/>
  <c r="HAK116" i="8"/>
  <c r="HAJ116" i="8"/>
  <c r="HAI116" i="8"/>
  <c r="HAH116" i="8"/>
  <c r="HAG116" i="8"/>
  <c r="HAF116" i="8"/>
  <c r="HAE116" i="8"/>
  <c r="HAD116" i="8"/>
  <c r="HAC116" i="8"/>
  <c r="HAB116" i="8"/>
  <c r="HAA116" i="8"/>
  <c r="GZZ116" i="8"/>
  <c r="GZY116" i="8"/>
  <c r="GZX116" i="8"/>
  <c r="GZW116" i="8"/>
  <c r="GZV116" i="8"/>
  <c r="GZU116" i="8"/>
  <c r="GZT116" i="8"/>
  <c r="GZS116" i="8"/>
  <c r="GZR116" i="8"/>
  <c r="GZQ116" i="8"/>
  <c r="GZP116" i="8"/>
  <c r="GZO116" i="8"/>
  <c r="GZN116" i="8"/>
  <c r="GZM116" i="8"/>
  <c r="GZL116" i="8"/>
  <c r="GZK116" i="8"/>
  <c r="GZJ116" i="8"/>
  <c r="GZI116" i="8"/>
  <c r="GZH116" i="8"/>
  <c r="GZG116" i="8"/>
  <c r="GZF116" i="8"/>
  <c r="GZE116" i="8"/>
  <c r="GZD116" i="8"/>
  <c r="GZC116" i="8"/>
  <c r="GZB116" i="8"/>
  <c r="GZA116" i="8"/>
  <c r="GYZ116" i="8"/>
  <c r="GYY116" i="8"/>
  <c r="GYX116" i="8"/>
  <c r="GYW116" i="8"/>
  <c r="GYV116" i="8"/>
  <c r="GYU116" i="8"/>
  <c r="GYT116" i="8"/>
  <c r="GYS116" i="8"/>
  <c r="GYR116" i="8"/>
  <c r="GYQ116" i="8"/>
  <c r="GYP116" i="8"/>
  <c r="GYO116" i="8"/>
  <c r="GYN116" i="8"/>
  <c r="GYM116" i="8"/>
  <c r="GYL116" i="8"/>
  <c r="GYK116" i="8"/>
  <c r="GYJ116" i="8"/>
  <c r="GYI116" i="8"/>
  <c r="GYH116" i="8"/>
  <c r="GYG116" i="8"/>
  <c r="GYF116" i="8"/>
  <c r="GYE116" i="8"/>
  <c r="GYD116" i="8"/>
  <c r="GYC116" i="8"/>
  <c r="GYB116" i="8"/>
  <c r="GYA116" i="8"/>
  <c r="GXZ116" i="8"/>
  <c r="GXY116" i="8"/>
  <c r="GXX116" i="8"/>
  <c r="GXW116" i="8"/>
  <c r="GXV116" i="8"/>
  <c r="GXU116" i="8"/>
  <c r="GXT116" i="8"/>
  <c r="GXS116" i="8"/>
  <c r="GXR116" i="8"/>
  <c r="GXQ116" i="8"/>
  <c r="GXP116" i="8"/>
  <c r="GXO116" i="8"/>
  <c r="GXN116" i="8"/>
  <c r="GXM116" i="8"/>
  <c r="GXL116" i="8"/>
  <c r="GXK116" i="8"/>
  <c r="GXJ116" i="8"/>
  <c r="GXI116" i="8"/>
  <c r="GXH116" i="8"/>
  <c r="GXG116" i="8"/>
  <c r="GXF116" i="8"/>
  <c r="GXE116" i="8"/>
  <c r="GXD116" i="8"/>
  <c r="GXC116" i="8"/>
  <c r="GXB116" i="8"/>
  <c r="GXA116" i="8"/>
  <c r="GWZ116" i="8"/>
  <c r="GWY116" i="8"/>
  <c r="GWX116" i="8"/>
  <c r="GWW116" i="8"/>
  <c r="GWV116" i="8"/>
  <c r="GWU116" i="8"/>
  <c r="GWT116" i="8"/>
  <c r="GWS116" i="8"/>
  <c r="GWR116" i="8"/>
  <c r="GWQ116" i="8"/>
  <c r="GWP116" i="8"/>
  <c r="GWO116" i="8"/>
  <c r="GWN116" i="8"/>
  <c r="GWM116" i="8"/>
  <c r="GWL116" i="8"/>
  <c r="GWK116" i="8"/>
  <c r="GWJ116" i="8"/>
  <c r="GWI116" i="8"/>
  <c r="GWH116" i="8"/>
  <c r="GWG116" i="8"/>
  <c r="GWF116" i="8"/>
  <c r="GWE116" i="8"/>
  <c r="GWD116" i="8"/>
  <c r="GWC116" i="8"/>
  <c r="GWB116" i="8"/>
  <c r="GWA116" i="8"/>
  <c r="GVZ116" i="8"/>
  <c r="GVY116" i="8"/>
  <c r="GVX116" i="8"/>
  <c r="GVW116" i="8"/>
  <c r="GVV116" i="8"/>
  <c r="GVU116" i="8"/>
  <c r="GVT116" i="8"/>
  <c r="GVS116" i="8"/>
  <c r="GVR116" i="8"/>
  <c r="GVQ116" i="8"/>
  <c r="GVP116" i="8"/>
  <c r="GVO116" i="8"/>
  <c r="GVN116" i="8"/>
  <c r="GVM116" i="8"/>
  <c r="GVL116" i="8"/>
  <c r="GVK116" i="8"/>
  <c r="GVJ116" i="8"/>
  <c r="GVI116" i="8"/>
  <c r="GVH116" i="8"/>
  <c r="GVG116" i="8"/>
  <c r="GVF116" i="8"/>
  <c r="GVE116" i="8"/>
  <c r="GVD116" i="8"/>
  <c r="GVC116" i="8"/>
  <c r="GVB116" i="8"/>
  <c r="GVA116" i="8"/>
  <c r="GUZ116" i="8"/>
  <c r="GUY116" i="8"/>
  <c r="GUX116" i="8"/>
  <c r="GUW116" i="8"/>
  <c r="GUV116" i="8"/>
  <c r="GUU116" i="8"/>
  <c r="GUT116" i="8"/>
  <c r="GUS116" i="8"/>
  <c r="GUR116" i="8"/>
  <c r="GUQ116" i="8"/>
  <c r="GUP116" i="8"/>
  <c r="GUO116" i="8"/>
  <c r="GUN116" i="8"/>
  <c r="GUM116" i="8"/>
  <c r="GUL116" i="8"/>
  <c r="GUK116" i="8"/>
  <c r="GUJ116" i="8"/>
  <c r="GUI116" i="8"/>
  <c r="GUH116" i="8"/>
  <c r="GUG116" i="8"/>
  <c r="GUF116" i="8"/>
  <c r="GUE116" i="8"/>
  <c r="GUD116" i="8"/>
  <c r="GUC116" i="8"/>
  <c r="GUB116" i="8"/>
  <c r="GUA116" i="8"/>
  <c r="GTZ116" i="8"/>
  <c r="GTY116" i="8"/>
  <c r="GTX116" i="8"/>
  <c r="GTW116" i="8"/>
  <c r="GTV116" i="8"/>
  <c r="GTU116" i="8"/>
  <c r="GTT116" i="8"/>
  <c r="GTS116" i="8"/>
  <c r="GTR116" i="8"/>
  <c r="GTQ116" i="8"/>
  <c r="GTP116" i="8"/>
  <c r="GTO116" i="8"/>
  <c r="GTN116" i="8"/>
  <c r="GTM116" i="8"/>
  <c r="GTL116" i="8"/>
  <c r="GTK116" i="8"/>
  <c r="GTJ116" i="8"/>
  <c r="GTI116" i="8"/>
  <c r="GTH116" i="8"/>
  <c r="GTG116" i="8"/>
  <c r="GTF116" i="8"/>
  <c r="GTE116" i="8"/>
  <c r="GTD116" i="8"/>
  <c r="GTC116" i="8"/>
  <c r="GTB116" i="8"/>
  <c r="GTA116" i="8"/>
  <c r="GSZ116" i="8"/>
  <c r="GSY116" i="8"/>
  <c r="GSX116" i="8"/>
  <c r="GSW116" i="8"/>
  <c r="GSV116" i="8"/>
  <c r="GSU116" i="8"/>
  <c r="GST116" i="8"/>
  <c r="GSS116" i="8"/>
  <c r="GSR116" i="8"/>
  <c r="GSQ116" i="8"/>
  <c r="GSP116" i="8"/>
  <c r="GSO116" i="8"/>
  <c r="GSN116" i="8"/>
  <c r="GSM116" i="8"/>
  <c r="GSL116" i="8"/>
  <c r="GSK116" i="8"/>
  <c r="GSJ116" i="8"/>
  <c r="GSI116" i="8"/>
  <c r="GSH116" i="8"/>
  <c r="GSG116" i="8"/>
  <c r="GSF116" i="8"/>
  <c r="GSE116" i="8"/>
  <c r="GSD116" i="8"/>
  <c r="GSC116" i="8"/>
  <c r="GSB116" i="8"/>
  <c r="GSA116" i="8"/>
  <c r="GRZ116" i="8"/>
  <c r="GRY116" i="8"/>
  <c r="GRX116" i="8"/>
  <c r="GRW116" i="8"/>
  <c r="GRV116" i="8"/>
  <c r="GRU116" i="8"/>
  <c r="GRT116" i="8"/>
  <c r="GRS116" i="8"/>
  <c r="GRR116" i="8"/>
  <c r="GRQ116" i="8"/>
  <c r="GRP116" i="8"/>
  <c r="GRO116" i="8"/>
  <c r="GRN116" i="8"/>
  <c r="GRM116" i="8"/>
  <c r="GRL116" i="8"/>
  <c r="GRK116" i="8"/>
  <c r="GRJ116" i="8"/>
  <c r="GRI116" i="8"/>
  <c r="GRH116" i="8"/>
  <c r="GRG116" i="8"/>
  <c r="GRF116" i="8"/>
  <c r="GRE116" i="8"/>
  <c r="GRD116" i="8"/>
  <c r="GRC116" i="8"/>
  <c r="GRB116" i="8"/>
  <c r="GRA116" i="8"/>
  <c r="GQZ116" i="8"/>
  <c r="GQY116" i="8"/>
  <c r="GQX116" i="8"/>
  <c r="GQW116" i="8"/>
  <c r="GQV116" i="8"/>
  <c r="GQU116" i="8"/>
  <c r="GQT116" i="8"/>
  <c r="GQS116" i="8"/>
  <c r="GQR116" i="8"/>
  <c r="GQQ116" i="8"/>
  <c r="GQP116" i="8"/>
  <c r="GQO116" i="8"/>
  <c r="GQN116" i="8"/>
  <c r="GQM116" i="8"/>
  <c r="GQL116" i="8"/>
  <c r="GQK116" i="8"/>
  <c r="GQJ116" i="8"/>
  <c r="GQI116" i="8"/>
  <c r="GQH116" i="8"/>
  <c r="GQG116" i="8"/>
  <c r="GQF116" i="8"/>
  <c r="GQE116" i="8"/>
  <c r="GQD116" i="8"/>
  <c r="GQC116" i="8"/>
  <c r="GQB116" i="8"/>
  <c r="GQA116" i="8"/>
  <c r="GPZ116" i="8"/>
  <c r="GPY116" i="8"/>
  <c r="GPX116" i="8"/>
  <c r="GPW116" i="8"/>
  <c r="GPV116" i="8"/>
  <c r="GPU116" i="8"/>
  <c r="GPT116" i="8"/>
  <c r="GPS116" i="8"/>
  <c r="GPR116" i="8"/>
  <c r="GPQ116" i="8"/>
  <c r="GPP116" i="8"/>
  <c r="GPO116" i="8"/>
  <c r="GPN116" i="8"/>
  <c r="GPM116" i="8"/>
  <c r="GPL116" i="8"/>
  <c r="GPK116" i="8"/>
  <c r="GPJ116" i="8"/>
  <c r="GPI116" i="8"/>
  <c r="GPH116" i="8"/>
  <c r="GPG116" i="8"/>
  <c r="GPF116" i="8"/>
  <c r="GPE116" i="8"/>
  <c r="GPD116" i="8"/>
  <c r="GPC116" i="8"/>
  <c r="GPB116" i="8"/>
  <c r="GPA116" i="8"/>
  <c r="GOZ116" i="8"/>
  <c r="GOY116" i="8"/>
  <c r="GOX116" i="8"/>
  <c r="GOW116" i="8"/>
  <c r="GOV116" i="8"/>
  <c r="GOU116" i="8"/>
  <c r="GOT116" i="8"/>
  <c r="GOS116" i="8"/>
  <c r="GOR116" i="8"/>
  <c r="GOQ116" i="8"/>
  <c r="GOP116" i="8"/>
  <c r="GOO116" i="8"/>
  <c r="GON116" i="8"/>
  <c r="GOM116" i="8"/>
  <c r="GOL116" i="8"/>
  <c r="GOK116" i="8"/>
  <c r="GOJ116" i="8"/>
  <c r="GOI116" i="8"/>
  <c r="GOH116" i="8"/>
  <c r="GOG116" i="8"/>
  <c r="GOF116" i="8"/>
  <c r="GOE116" i="8"/>
  <c r="GOD116" i="8"/>
  <c r="GOC116" i="8"/>
  <c r="GOB116" i="8"/>
  <c r="GOA116" i="8"/>
  <c r="GNZ116" i="8"/>
  <c r="GNY116" i="8"/>
  <c r="GNX116" i="8"/>
  <c r="GNW116" i="8"/>
  <c r="GNV116" i="8"/>
  <c r="GNU116" i="8"/>
  <c r="GNT116" i="8"/>
  <c r="GNS116" i="8"/>
  <c r="GNR116" i="8"/>
  <c r="GNQ116" i="8"/>
  <c r="GNP116" i="8"/>
  <c r="GNO116" i="8"/>
  <c r="GNN116" i="8"/>
  <c r="GNM116" i="8"/>
  <c r="GNL116" i="8"/>
  <c r="GNK116" i="8"/>
  <c r="GNJ116" i="8"/>
  <c r="GNI116" i="8"/>
  <c r="GNH116" i="8"/>
  <c r="GNG116" i="8"/>
  <c r="GNF116" i="8"/>
  <c r="GNE116" i="8"/>
  <c r="GND116" i="8"/>
  <c r="GNC116" i="8"/>
  <c r="GNB116" i="8"/>
  <c r="GNA116" i="8"/>
  <c r="GMZ116" i="8"/>
  <c r="GMY116" i="8"/>
  <c r="GMX116" i="8"/>
  <c r="GMW116" i="8"/>
  <c r="GMV116" i="8"/>
  <c r="GMU116" i="8"/>
  <c r="GMT116" i="8"/>
  <c r="GMS116" i="8"/>
  <c r="GMR116" i="8"/>
  <c r="GMQ116" i="8"/>
  <c r="GMP116" i="8"/>
  <c r="GMO116" i="8"/>
  <c r="GMN116" i="8"/>
  <c r="GMM116" i="8"/>
  <c r="GML116" i="8"/>
  <c r="GMK116" i="8"/>
  <c r="GMJ116" i="8"/>
  <c r="GMI116" i="8"/>
  <c r="GMH116" i="8"/>
  <c r="GMG116" i="8"/>
  <c r="GMF116" i="8"/>
  <c r="GME116" i="8"/>
  <c r="GMD116" i="8"/>
  <c r="GMC116" i="8"/>
  <c r="GMB116" i="8"/>
  <c r="GMA116" i="8"/>
  <c r="GLZ116" i="8"/>
  <c r="GLY116" i="8"/>
  <c r="GLX116" i="8"/>
  <c r="GLW116" i="8"/>
  <c r="GLV116" i="8"/>
  <c r="GLU116" i="8"/>
  <c r="GLT116" i="8"/>
  <c r="GLS116" i="8"/>
  <c r="GLR116" i="8"/>
  <c r="GLQ116" i="8"/>
  <c r="GLP116" i="8"/>
  <c r="GLO116" i="8"/>
  <c r="GLN116" i="8"/>
  <c r="GLM116" i="8"/>
  <c r="GLL116" i="8"/>
  <c r="GLK116" i="8"/>
  <c r="GLJ116" i="8"/>
  <c r="GLI116" i="8"/>
  <c r="GLH116" i="8"/>
  <c r="GLG116" i="8"/>
  <c r="GLF116" i="8"/>
  <c r="GLE116" i="8"/>
  <c r="GLD116" i="8"/>
  <c r="GLC116" i="8"/>
  <c r="GLB116" i="8"/>
  <c r="GLA116" i="8"/>
  <c r="GKZ116" i="8"/>
  <c r="GKY116" i="8"/>
  <c r="GKX116" i="8"/>
  <c r="GKW116" i="8"/>
  <c r="GKV116" i="8"/>
  <c r="GKU116" i="8"/>
  <c r="GKT116" i="8"/>
  <c r="GKS116" i="8"/>
  <c r="GKR116" i="8"/>
  <c r="GKQ116" i="8"/>
  <c r="GKP116" i="8"/>
  <c r="GKO116" i="8"/>
  <c r="GKN116" i="8"/>
  <c r="GKM116" i="8"/>
  <c r="GKL116" i="8"/>
  <c r="GKK116" i="8"/>
  <c r="GKJ116" i="8"/>
  <c r="GKI116" i="8"/>
  <c r="GKH116" i="8"/>
  <c r="GKG116" i="8"/>
  <c r="GKF116" i="8"/>
  <c r="GKE116" i="8"/>
  <c r="GKD116" i="8"/>
  <c r="GKC116" i="8"/>
  <c r="GKB116" i="8"/>
  <c r="GKA116" i="8"/>
  <c r="GJZ116" i="8"/>
  <c r="GJY116" i="8"/>
  <c r="GJX116" i="8"/>
  <c r="GJW116" i="8"/>
  <c r="GJV116" i="8"/>
  <c r="GJU116" i="8"/>
  <c r="GJT116" i="8"/>
  <c r="GJS116" i="8"/>
  <c r="GJR116" i="8"/>
  <c r="GJQ116" i="8"/>
  <c r="GJP116" i="8"/>
  <c r="GJO116" i="8"/>
  <c r="GJN116" i="8"/>
  <c r="GJM116" i="8"/>
  <c r="GJL116" i="8"/>
  <c r="GJK116" i="8"/>
  <c r="GJJ116" i="8"/>
  <c r="GJI116" i="8"/>
  <c r="GJH116" i="8"/>
  <c r="GJG116" i="8"/>
  <c r="GJF116" i="8"/>
  <c r="GJE116" i="8"/>
  <c r="GJD116" i="8"/>
  <c r="GJC116" i="8"/>
  <c r="GJB116" i="8"/>
  <c r="GJA116" i="8"/>
  <c r="GIZ116" i="8"/>
  <c r="GIY116" i="8"/>
  <c r="GIX116" i="8"/>
  <c r="GIW116" i="8"/>
  <c r="GIV116" i="8"/>
  <c r="GIU116" i="8"/>
  <c r="GIT116" i="8"/>
  <c r="GIS116" i="8"/>
  <c r="GIR116" i="8"/>
  <c r="GIQ116" i="8"/>
  <c r="GIP116" i="8"/>
  <c r="GIO116" i="8"/>
  <c r="GIN116" i="8"/>
  <c r="GIM116" i="8"/>
  <c r="GIL116" i="8"/>
  <c r="GIK116" i="8"/>
  <c r="GIJ116" i="8"/>
  <c r="GII116" i="8"/>
  <c r="GIH116" i="8"/>
  <c r="GIG116" i="8"/>
  <c r="GIF116" i="8"/>
  <c r="GIE116" i="8"/>
  <c r="GID116" i="8"/>
  <c r="GIC116" i="8"/>
  <c r="GIB116" i="8"/>
  <c r="GIA116" i="8"/>
  <c r="GHZ116" i="8"/>
  <c r="GHY116" i="8"/>
  <c r="GHX116" i="8"/>
  <c r="GHW116" i="8"/>
  <c r="GHV116" i="8"/>
  <c r="GHU116" i="8"/>
  <c r="GHT116" i="8"/>
  <c r="GHS116" i="8"/>
  <c r="GHR116" i="8"/>
  <c r="GHQ116" i="8"/>
  <c r="GHP116" i="8"/>
  <c r="GHO116" i="8"/>
  <c r="GHN116" i="8"/>
  <c r="GHM116" i="8"/>
  <c r="GHL116" i="8"/>
  <c r="GHK116" i="8"/>
  <c r="GHJ116" i="8"/>
  <c r="GHI116" i="8"/>
  <c r="GHH116" i="8"/>
  <c r="GHG116" i="8"/>
  <c r="GHF116" i="8"/>
  <c r="GHE116" i="8"/>
  <c r="GHD116" i="8"/>
  <c r="GHC116" i="8"/>
  <c r="GHB116" i="8"/>
  <c r="GHA116" i="8"/>
  <c r="GGZ116" i="8"/>
  <c r="GGY116" i="8"/>
  <c r="GGX116" i="8"/>
  <c r="GGW116" i="8"/>
  <c r="GGV116" i="8"/>
  <c r="GGU116" i="8"/>
  <c r="GGT116" i="8"/>
  <c r="GGS116" i="8"/>
  <c r="GGR116" i="8"/>
  <c r="GGQ116" i="8"/>
  <c r="GGP116" i="8"/>
  <c r="GGO116" i="8"/>
  <c r="GGN116" i="8"/>
  <c r="GGM116" i="8"/>
  <c r="GGL116" i="8"/>
  <c r="GGK116" i="8"/>
  <c r="GGJ116" i="8"/>
  <c r="GGI116" i="8"/>
  <c r="GGH116" i="8"/>
  <c r="GGG116" i="8"/>
  <c r="GGF116" i="8"/>
  <c r="GGE116" i="8"/>
  <c r="GGD116" i="8"/>
  <c r="GGC116" i="8"/>
  <c r="GGB116" i="8"/>
  <c r="GGA116" i="8"/>
  <c r="GFZ116" i="8"/>
  <c r="GFY116" i="8"/>
  <c r="GFX116" i="8"/>
  <c r="GFW116" i="8"/>
  <c r="GFV116" i="8"/>
  <c r="GFU116" i="8"/>
  <c r="GFT116" i="8"/>
  <c r="GFS116" i="8"/>
  <c r="GFR116" i="8"/>
  <c r="GFQ116" i="8"/>
  <c r="GFP116" i="8"/>
  <c r="GFO116" i="8"/>
  <c r="GFN116" i="8"/>
  <c r="GFM116" i="8"/>
  <c r="GFL116" i="8"/>
  <c r="GFK116" i="8"/>
  <c r="GFJ116" i="8"/>
  <c r="GFI116" i="8"/>
  <c r="GFH116" i="8"/>
  <c r="GFG116" i="8"/>
  <c r="GFF116" i="8"/>
  <c r="GFE116" i="8"/>
  <c r="GFD116" i="8"/>
  <c r="GFC116" i="8"/>
  <c r="GFB116" i="8"/>
  <c r="GFA116" i="8"/>
  <c r="GEZ116" i="8"/>
  <c r="GEY116" i="8"/>
  <c r="GEX116" i="8"/>
  <c r="GEW116" i="8"/>
  <c r="GEV116" i="8"/>
  <c r="GEU116" i="8"/>
  <c r="GET116" i="8"/>
  <c r="GES116" i="8"/>
  <c r="GER116" i="8"/>
  <c r="GEQ116" i="8"/>
  <c r="GEP116" i="8"/>
  <c r="GEO116" i="8"/>
  <c r="GEN116" i="8"/>
  <c r="GEM116" i="8"/>
  <c r="GEL116" i="8"/>
  <c r="GEK116" i="8"/>
  <c r="GEJ116" i="8"/>
  <c r="GEI116" i="8"/>
  <c r="GEH116" i="8"/>
  <c r="GEG116" i="8"/>
  <c r="GEF116" i="8"/>
  <c r="GEE116" i="8"/>
  <c r="GED116" i="8"/>
  <c r="GEC116" i="8"/>
  <c r="GEB116" i="8"/>
  <c r="GEA116" i="8"/>
  <c r="GDZ116" i="8"/>
  <c r="GDY116" i="8"/>
  <c r="GDX116" i="8"/>
  <c r="GDW116" i="8"/>
  <c r="GDV116" i="8"/>
  <c r="GDU116" i="8"/>
  <c r="GDT116" i="8"/>
  <c r="GDS116" i="8"/>
  <c r="GDR116" i="8"/>
  <c r="GDQ116" i="8"/>
  <c r="GDP116" i="8"/>
  <c r="GDO116" i="8"/>
  <c r="GDN116" i="8"/>
  <c r="GDM116" i="8"/>
  <c r="GDL116" i="8"/>
  <c r="GDK116" i="8"/>
  <c r="GDJ116" i="8"/>
  <c r="GDI116" i="8"/>
  <c r="GDH116" i="8"/>
  <c r="GDG116" i="8"/>
  <c r="GDF116" i="8"/>
  <c r="GDE116" i="8"/>
  <c r="GDD116" i="8"/>
  <c r="GDC116" i="8"/>
  <c r="GDB116" i="8"/>
  <c r="GDA116" i="8"/>
  <c r="GCZ116" i="8"/>
  <c r="GCY116" i="8"/>
  <c r="GCX116" i="8"/>
  <c r="GCW116" i="8"/>
  <c r="GCV116" i="8"/>
  <c r="GCU116" i="8"/>
  <c r="GCT116" i="8"/>
  <c r="GCS116" i="8"/>
  <c r="GCR116" i="8"/>
  <c r="GCQ116" i="8"/>
  <c r="GCP116" i="8"/>
  <c r="GCO116" i="8"/>
  <c r="GCN116" i="8"/>
  <c r="GCM116" i="8"/>
  <c r="GCL116" i="8"/>
  <c r="GCK116" i="8"/>
  <c r="GCJ116" i="8"/>
  <c r="GCI116" i="8"/>
  <c r="GCH116" i="8"/>
  <c r="GCG116" i="8"/>
  <c r="GCF116" i="8"/>
  <c r="GCE116" i="8"/>
  <c r="GCD116" i="8"/>
  <c r="GCC116" i="8"/>
  <c r="GCB116" i="8"/>
  <c r="GCA116" i="8"/>
  <c r="GBZ116" i="8"/>
  <c r="GBY116" i="8"/>
  <c r="GBX116" i="8"/>
  <c r="GBW116" i="8"/>
  <c r="GBV116" i="8"/>
  <c r="GBU116" i="8"/>
  <c r="GBT116" i="8"/>
  <c r="GBS116" i="8"/>
  <c r="GBR116" i="8"/>
  <c r="GBQ116" i="8"/>
  <c r="GBP116" i="8"/>
  <c r="GBO116" i="8"/>
  <c r="GBN116" i="8"/>
  <c r="GBM116" i="8"/>
  <c r="GBL116" i="8"/>
  <c r="GBK116" i="8"/>
  <c r="GBJ116" i="8"/>
  <c r="GBI116" i="8"/>
  <c r="GBH116" i="8"/>
  <c r="GBG116" i="8"/>
  <c r="GBF116" i="8"/>
  <c r="GBE116" i="8"/>
  <c r="GBD116" i="8"/>
  <c r="GBC116" i="8"/>
  <c r="GBB116" i="8"/>
  <c r="GBA116" i="8"/>
  <c r="GAZ116" i="8"/>
  <c r="GAY116" i="8"/>
  <c r="GAX116" i="8"/>
  <c r="GAW116" i="8"/>
  <c r="GAV116" i="8"/>
  <c r="GAU116" i="8"/>
  <c r="GAT116" i="8"/>
  <c r="GAS116" i="8"/>
  <c r="GAR116" i="8"/>
  <c r="GAQ116" i="8"/>
  <c r="GAP116" i="8"/>
  <c r="GAO116" i="8"/>
  <c r="GAN116" i="8"/>
  <c r="GAM116" i="8"/>
  <c r="GAL116" i="8"/>
  <c r="GAK116" i="8"/>
  <c r="GAJ116" i="8"/>
  <c r="GAI116" i="8"/>
  <c r="GAH116" i="8"/>
  <c r="GAG116" i="8"/>
  <c r="GAF116" i="8"/>
  <c r="GAE116" i="8"/>
  <c r="GAD116" i="8"/>
  <c r="GAC116" i="8"/>
  <c r="GAB116" i="8"/>
  <c r="GAA116" i="8"/>
  <c r="FZZ116" i="8"/>
  <c r="FZY116" i="8"/>
  <c r="FZX116" i="8"/>
  <c r="FZW116" i="8"/>
  <c r="FZV116" i="8"/>
  <c r="FZU116" i="8"/>
  <c r="FZT116" i="8"/>
  <c r="FZS116" i="8"/>
  <c r="FZR116" i="8"/>
  <c r="FZQ116" i="8"/>
  <c r="FZP116" i="8"/>
  <c r="FZO116" i="8"/>
  <c r="FZN116" i="8"/>
  <c r="FZM116" i="8"/>
  <c r="FZL116" i="8"/>
  <c r="FZK116" i="8"/>
  <c r="FZJ116" i="8"/>
  <c r="FZI116" i="8"/>
  <c r="FZH116" i="8"/>
  <c r="FZG116" i="8"/>
  <c r="FZF116" i="8"/>
  <c r="FZE116" i="8"/>
  <c r="FZD116" i="8"/>
  <c r="FZC116" i="8"/>
  <c r="FZB116" i="8"/>
  <c r="FZA116" i="8"/>
  <c r="FYZ116" i="8"/>
  <c r="FYY116" i="8"/>
  <c r="FYX116" i="8"/>
  <c r="FYW116" i="8"/>
  <c r="FYV116" i="8"/>
  <c r="FYU116" i="8"/>
  <c r="FYT116" i="8"/>
  <c r="FYS116" i="8"/>
  <c r="FYR116" i="8"/>
  <c r="FYQ116" i="8"/>
  <c r="FYP116" i="8"/>
  <c r="FYO116" i="8"/>
  <c r="FYN116" i="8"/>
  <c r="FYM116" i="8"/>
  <c r="FYL116" i="8"/>
  <c r="FYK116" i="8"/>
  <c r="FYJ116" i="8"/>
  <c r="FYI116" i="8"/>
  <c r="FYH116" i="8"/>
  <c r="FYG116" i="8"/>
  <c r="FYF116" i="8"/>
  <c r="FYE116" i="8"/>
  <c r="FYD116" i="8"/>
  <c r="FYC116" i="8"/>
  <c r="FYB116" i="8"/>
  <c r="FYA116" i="8"/>
  <c r="FXZ116" i="8"/>
  <c r="FXY116" i="8"/>
  <c r="FXX116" i="8"/>
  <c r="FXW116" i="8"/>
  <c r="FXV116" i="8"/>
  <c r="FXU116" i="8"/>
  <c r="FXT116" i="8"/>
  <c r="FXS116" i="8"/>
  <c r="FXR116" i="8"/>
  <c r="FXQ116" i="8"/>
  <c r="FXP116" i="8"/>
  <c r="FXO116" i="8"/>
  <c r="FXN116" i="8"/>
  <c r="FXM116" i="8"/>
  <c r="FXL116" i="8"/>
  <c r="FXK116" i="8"/>
  <c r="FXJ116" i="8"/>
  <c r="FXI116" i="8"/>
  <c r="FXH116" i="8"/>
  <c r="FXG116" i="8"/>
  <c r="FXF116" i="8"/>
  <c r="FXE116" i="8"/>
  <c r="FXD116" i="8"/>
  <c r="FXC116" i="8"/>
  <c r="FXB116" i="8"/>
  <c r="FXA116" i="8"/>
  <c r="FWZ116" i="8"/>
  <c r="FWY116" i="8"/>
  <c r="FWX116" i="8"/>
  <c r="FWW116" i="8"/>
  <c r="FWV116" i="8"/>
  <c r="FWU116" i="8"/>
  <c r="FWT116" i="8"/>
  <c r="FWS116" i="8"/>
  <c r="FWR116" i="8"/>
  <c r="FWQ116" i="8"/>
  <c r="FWP116" i="8"/>
  <c r="FWO116" i="8"/>
  <c r="FWN116" i="8"/>
  <c r="FWM116" i="8"/>
  <c r="FWL116" i="8"/>
  <c r="FWK116" i="8"/>
  <c r="FWJ116" i="8"/>
  <c r="FWI116" i="8"/>
  <c r="FWH116" i="8"/>
  <c r="FWG116" i="8"/>
  <c r="FWF116" i="8"/>
  <c r="FWE116" i="8"/>
  <c r="FWD116" i="8"/>
  <c r="FWC116" i="8"/>
  <c r="FWB116" i="8"/>
  <c r="FWA116" i="8"/>
  <c r="FVZ116" i="8"/>
  <c r="FVY116" i="8"/>
  <c r="FVX116" i="8"/>
  <c r="FVW116" i="8"/>
  <c r="FVV116" i="8"/>
  <c r="FVU116" i="8"/>
  <c r="FVT116" i="8"/>
  <c r="FVS116" i="8"/>
  <c r="FVR116" i="8"/>
  <c r="FVQ116" i="8"/>
  <c r="FVP116" i="8"/>
  <c r="FVO116" i="8"/>
  <c r="FVN116" i="8"/>
  <c r="FVM116" i="8"/>
  <c r="FVL116" i="8"/>
  <c r="FVK116" i="8"/>
  <c r="FVJ116" i="8"/>
  <c r="FVI116" i="8"/>
  <c r="FVH116" i="8"/>
  <c r="FVG116" i="8"/>
  <c r="FVF116" i="8"/>
  <c r="FVE116" i="8"/>
  <c r="FVD116" i="8"/>
  <c r="FVC116" i="8"/>
  <c r="FVB116" i="8"/>
  <c r="FVA116" i="8"/>
  <c r="FUZ116" i="8"/>
  <c r="FUY116" i="8"/>
  <c r="FUX116" i="8"/>
  <c r="FUW116" i="8"/>
  <c r="FUV116" i="8"/>
  <c r="FUU116" i="8"/>
  <c r="FUT116" i="8"/>
  <c r="FUS116" i="8"/>
  <c r="FUR116" i="8"/>
  <c r="FUQ116" i="8"/>
  <c r="FUP116" i="8"/>
  <c r="FUO116" i="8"/>
  <c r="FUN116" i="8"/>
  <c r="FUM116" i="8"/>
  <c r="FUL116" i="8"/>
  <c r="FUK116" i="8"/>
  <c r="FUJ116" i="8"/>
  <c r="FUI116" i="8"/>
  <c r="FUH116" i="8"/>
  <c r="FUG116" i="8"/>
  <c r="FUF116" i="8"/>
  <c r="FUE116" i="8"/>
  <c r="FUD116" i="8"/>
  <c r="FUC116" i="8"/>
  <c r="FUB116" i="8"/>
  <c r="FUA116" i="8"/>
  <c r="FTZ116" i="8"/>
  <c r="FTY116" i="8"/>
  <c r="FTX116" i="8"/>
  <c r="FTW116" i="8"/>
  <c r="FTV116" i="8"/>
  <c r="FTU116" i="8"/>
  <c r="FTT116" i="8"/>
  <c r="FTS116" i="8"/>
  <c r="FTR116" i="8"/>
  <c r="FTQ116" i="8"/>
  <c r="FTP116" i="8"/>
  <c r="FTO116" i="8"/>
  <c r="FTN116" i="8"/>
  <c r="FTM116" i="8"/>
  <c r="FTL116" i="8"/>
  <c r="FTK116" i="8"/>
  <c r="FTJ116" i="8"/>
  <c r="FTI116" i="8"/>
  <c r="FTH116" i="8"/>
  <c r="FTG116" i="8"/>
  <c r="FTF116" i="8"/>
  <c r="FTE116" i="8"/>
  <c r="FTD116" i="8"/>
  <c r="FTC116" i="8"/>
  <c r="FTB116" i="8"/>
  <c r="FTA116" i="8"/>
  <c r="FSZ116" i="8"/>
  <c r="FSY116" i="8"/>
  <c r="FSX116" i="8"/>
  <c r="FSW116" i="8"/>
  <c r="FSV116" i="8"/>
  <c r="FSU116" i="8"/>
  <c r="FST116" i="8"/>
  <c r="FSS116" i="8"/>
  <c r="FSR116" i="8"/>
  <c r="FSQ116" i="8"/>
  <c r="FSP116" i="8"/>
  <c r="FSO116" i="8"/>
  <c r="FSN116" i="8"/>
  <c r="FSM116" i="8"/>
  <c r="FSL116" i="8"/>
  <c r="FSK116" i="8"/>
  <c r="FSJ116" i="8"/>
  <c r="FSI116" i="8"/>
  <c r="FSH116" i="8"/>
  <c r="FSG116" i="8"/>
  <c r="FSF116" i="8"/>
  <c r="FSE116" i="8"/>
  <c r="FSD116" i="8"/>
  <c r="FSC116" i="8"/>
  <c r="FSB116" i="8"/>
  <c r="FSA116" i="8"/>
  <c r="FRZ116" i="8"/>
  <c r="FRY116" i="8"/>
  <c r="FRX116" i="8"/>
  <c r="FRW116" i="8"/>
  <c r="FRV116" i="8"/>
  <c r="FRU116" i="8"/>
  <c r="FRT116" i="8"/>
  <c r="FRS116" i="8"/>
  <c r="FRR116" i="8"/>
  <c r="FRQ116" i="8"/>
  <c r="FRP116" i="8"/>
  <c r="FRO116" i="8"/>
  <c r="FRN116" i="8"/>
  <c r="FRM116" i="8"/>
  <c r="FRL116" i="8"/>
  <c r="FRK116" i="8"/>
  <c r="FRJ116" i="8"/>
  <c r="FRI116" i="8"/>
  <c r="FRH116" i="8"/>
  <c r="FRG116" i="8"/>
  <c r="FRF116" i="8"/>
  <c r="FRE116" i="8"/>
  <c r="FRD116" i="8"/>
  <c r="FRC116" i="8"/>
  <c r="FRB116" i="8"/>
  <c r="FRA116" i="8"/>
  <c r="FQZ116" i="8"/>
  <c r="FQY116" i="8"/>
  <c r="FQX116" i="8"/>
  <c r="FQW116" i="8"/>
  <c r="FQV116" i="8"/>
  <c r="FQU116" i="8"/>
  <c r="FQT116" i="8"/>
  <c r="FQS116" i="8"/>
  <c r="FQR116" i="8"/>
  <c r="FQQ116" i="8"/>
  <c r="FQP116" i="8"/>
  <c r="FQO116" i="8"/>
  <c r="FQN116" i="8"/>
  <c r="FQM116" i="8"/>
  <c r="FQL116" i="8"/>
  <c r="FQK116" i="8"/>
  <c r="FQJ116" i="8"/>
  <c r="FQI116" i="8"/>
  <c r="FQH116" i="8"/>
  <c r="FQG116" i="8"/>
  <c r="FQF116" i="8"/>
  <c r="FQE116" i="8"/>
  <c r="FQD116" i="8"/>
  <c r="FQC116" i="8"/>
  <c r="FQB116" i="8"/>
  <c r="FQA116" i="8"/>
  <c r="FPZ116" i="8"/>
  <c r="FPY116" i="8"/>
  <c r="FPX116" i="8"/>
  <c r="FPW116" i="8"/>
  <c r="FPV116" i="8"/>
  <c r="FPU116" i="8"/>
  <c r="FPT116" i="8"/>
  <c r="FPS116" i="8"/>
  <c r="FPR116" i="8"/>
  <c r="FPQ116" i="8"/>
  <c r="FPP116" i="8"/>
  <c r="FPO116" i="8"/>
  <c r="FPN116" i="8"/>
  <c r="FPM116" i="8"/>
  <c r="FPL116" i="8"/>
  <c r="FPK116" i="8"/>
  <c r="FPJ116" i="8"/>
  <c r="FPI116" i="8"/>
  <c r="FPH116" i="8"/>
  <c r="FPG116" i="8"/>
  <c r="FPF116" i="8"/>
  <c r="FPE116" i="8"/>
  <c r="FPD116" i="8"/>
  <c r="FPC116" i="8"/>
  <c r="FPB116" i="8"/>
  <c r="FPA116" i="8"/>
  <c r="FOZ116" i="8"/>
  <c r="FOY116" i="8"/>
  <c r="FOX116" i="8"/>
  <c r="FOW116" i="8"/>
  <c r="FOV116" i="8"/>
  <c r="FOU116" i="8"/>
  <c r="FOT116" i="8"/>
  <c r="FOS116" i="8"/>
  <c r="FOR116" i="8"/>
  <c r="FOQ116" i="8"/>
  <c r="FOP116" i="8"/>
  <c r="FOO116" i="8"/>
  <c r="FON116" i="8"/>
  <c r="FOM116" i="8"/>
  <c r="FOL116" i="8"/>
  <c r="FOK116" i="8"/>
  <c r="FOJ116" i="8"/>
  <c r="FOI116" i="8"/>
  <c r="FOH116" i="8"/>
  <c r="FOG116" i="8"/>
  <c r="FOF116" i="8"/>
  <c r="FOE116" i="8"/>
  <c r="FOD116" i="8"/>
  <c r="FOC116" i="8"/>
  <c r="FOB116" i="8"/>
  <c r="FOA116" i="8"/>
  <c r="FNZ116" i="8"/>
  <c r="FNY116" i="8"/>
  <c r="FNX116" i="8"/>
  <c r="FNW116" i="8"/>
  <c r="FNV116" i="8"/>
  <c r="FNU116" i="8"/>
  <c r="FNT116" i="8"/>
  <c r="FNS116" i="8"/>
  <c r="FNR116" i="8"/>
  <c r="FNQ116" i="8"/>
  <c r="FNP116" i="8"/>
  <c r="FNO116" i="8"/>
  <c r="FNN116" i="8"/>
  <c r="FNM116" i="8"/>
  <c r="FNL116" i="8"/>
  <c r="FNK116" i="8"/>
  <c r="FNJ116" i="8"/>
  <c r="FNI116" i="8"/>
  <c r="FNH116" i="8"/>
  <c r="FNG116" i="8"/>
  <c r="FNF116" i="8"/>
  <c r="FNE116" i="8"/>
  <c r="FND116" i="8"/>
  <c r="FNC116" i="8"/>
  <c r="FNB116" i="8"/>
  <c r="FNA116" i="8"/>
  <c r="FMZ116" i="8"/>
  <c r="FMY116" i="8"/>
  <c r="FMX116" i="8"/>
  <c r="FMW116" i="8"/>
  <c r="FMV116" i="8"/>
  <c r="FMU116" i="8"/>
  <c r="FMT116" i="8"/>
  <c r="FMS116" i="8"/>
  <c r="FMR116" i="8"/>
  <c r="FMQ116" i="8"/>
  <c r="FMP116" i="8"/>
  <c r="FMO116" i="8"/>
  <c r="FMN116" i="8"/>
  <c r="FMM116" i="8"/>
  <c r="FML116" i="8"/>
  <c r="FMK116" i="8"/>
  <c r="FMJ116" i="8"/>
  <c r="FMI116" i="8"/>
  <c r="FMH116" i="8"/>
  <c r="FMG116" i="8"/>
  <c r="FMF116" i="8"/>
  <c r="FME116" i="8"/>
  <c r="FMD116" i="8"/>
  <c r="FMC116" i="8"/>
  <c r="FMB116" i="8"/>
  <c r="FMA116" i="8"/>
  <c r="FLZ116" i="8"/>
  <c r="FLY116" i="8"/>
  <c r="FLX116" i="8"/>
  <c r="FLW116" i="8"/>
  <c r="FLV116" i="8"/>
  <c r="FLU116" i="8"/>
  <c r="FLT116" i="8"/>
  <c r="FLS116" i="8"/>
  <c r="FLR116" i="8"/>
  <c r="FLQ116" i="8"/>
  <c r="FLP116" i="8"/>
  <c r="FLO116" i="8"/>
  <c r="FLN116" i="8"/>
  <c r="FLM116" i="8"/>
  <c r="FLL116" i="8"/>
  <c r="FLK116" i="8"/>
  <c r="FLJ116" i="8"/>
  <c r="FLI116" i="8"/>
  <c r="FLH116" i="8"/>
  <c r="FLG116" i="8"/>
  <c r="FLF116" i="8"/>
  <c r="FLE116" i="8"/>
  <c r="FLD116" i="8"/>
  <c r="FLC116" i="8"/>
  <c r="FLB116" i="8"/>
  <c r="FLA116" i="8"/>
  <c r="FKZ116" i="8"/>
  <c r="FKY116" i="8"/>
  <c r="FKX116" i="8"/>
  <c r="FKW116" i="8"/>
  <c r="FKV116" i="8"/>
  <c r="FKU116" i="8"/>
  <c r="FKT116" i="8"/>
  <c r="FKS116" i="8"/>
  <c r="FKR116" i="8"/>
  <c r="FKQ116" i="8"/>
  <c r="FKP116" i="8"/>
  <c r="FKO116" i="8"/>
  <c r="FKN116" i="8"/>
  <c r="FKM116" i="8"/>
  <c r="FKL116" i="8"/>
  <c r="FKK116" i="8"/>
  <c r="FKJ116" i="8"/>
  <c r="FKI116" i="8"/>
  <c r="FKH116" i="8"/>
  <c r="FKG116" i="8"/>
  <c r="FKF116" i="8"/>
  <c r="FKE116" i="8"/>
  <c r="FKD116" i="8"/>
  <c r="FKC116" i="8"/>
  <c r="FKB116" i="8"/>
  <c r="FKA116" i="8"/>
  <c r="FJZ116" i="8"/>
  <c r="FJY116" i="8"/>
  <c r="FJX116" i="8"/>
  <c r="FJW116" i="8"/>
  <c r="FJV116" i="8"/>
  <c r="FJU116" i="8"/>
  <c r="FJT116" i="8"/>
  <c r="FJS116" i="8"/>
  <c r="FJR116" i="8"/>
  <c r="FJQ116" i="8"/>
  <c r="FJP116" i="8"/>
  <c r="FJO116" i="8"/>
  <c r="FJN116" i="8"/>
  <c r="FJM116" i="8"/>
  <c r="FJL116" i="8"/>
  <c r="FJK116" i="8"/>
  <c r="FJJ116" i="8"/>
  <c r="FJI116" i="8"/>
  <c r="FJH116" i="8"/>
  <c r="FJG116" i="8"/>
  <c r="FJF116" i="8"/>
  <c r="FJE116" i="8"/>
  <c r="FJD116" i="8"/>
  <c r="FJC116" i="8"/>
  <c r="FJB116" i="8"/>
  <c r="FJA116" i="8"/>
  <c r="FIZ116" i="8"/>
  <c r="FIY116" i="8"/>
  <c r="FIX116" i="8"/>
  <c r="FIW116" i="8"/>
  <c r="FIV116" i="8"/>
  <c r="FIU116" i="8"/>
  <c r="FIT116" i="8"/>
  <c r="FIS116" i="8"/>
  <c r="FIR116" i="8"/>
  <c r="FIQ116" i="8"/>
  <c r="FIP116" i="8"/>
  <c r="FIO116" i="8"/>
  <c r="FIN116" i="8"/>
  <c r="FIM116" i="8"/>
  <c r="FIL116" i="8"/>
  <c r="FIK116" i="8"/>
  <c r="FIJ116" i="8"/>
  <c r="FII116" i="8"/>
  <c r="FIH116" i="8"/>
  <c r="FIG116" i="8"/>
  <c r="FIF116" i="8"/>
  <c r="FIE116" i="8"/>
  <c r="FID116" i="8"/>
  <c r="FIC116" i="8"/>
  <c r="FIB116" i="8"/>
  <c r="FIA116" i="8"/>
  <c r="FHZ116" i="8"/>
  <c r="FHY116" i="8"/>
  <c r="FHX116" i="8"/>
  <c r="FHW116" i="8"/>
  <c r="FHV116" i="8"/>
  <c r="FHU116" i="8"/>
  <c r="FHT116" i="8"/>
  <c r="FHS116" i="8"/>
  <c r="FHR116" i="8"/>
  <c r="FHQ116" i="8"/>
  <c r="FHP116" i="8"/>
  <c r="FHO116" i="8"/>
  <c r="FHN116" i="8"/>
  <c r="FHM116" i="8"/>
  <c r="FHL116" i="8"/>
  <c r="FHK116" i="8"/>
  <c r="FHJ116" i="8"/>
  <c r="FHI116" i="8"/>
  <c r="FHH116" i="8"/>
  <c r="FHG116" i="8"/>
  <c r="FHF116" i="8"/>
  <c r="FHE116" i="8"/>
  <c r="FHD116" i="8"/>
  <c r="FHC116" i="8"/>
  <c r="FHB116" i="8"/>
  <c r="FHA116" i="8"/>
  <c r="FGZ116" i="8"/>
  <c r="FGY116" i="8"/>
  <c r="FGX116" i="8"/>
  <c r="FGW116" i="8"/>
  <c r="FGV116" i="8"/>
  <c r="FGU116" i="8"/>
  <c r="FGT116" i="8"/>
  <c r="FGS116" i="8"/>
  <c r="FGR116" i="8"/>
  <c r="FGQ116" i="8"/>
  <c r="FGP116" i="8"/>
  <c r="FGO116" i="8"/>
  <c r="FGN116" i="8"/>
  <c r="FGM116" i="8"/>
  <c r="FGL116" i="8"/>
  <c r="FGK116" i="8"/>
  <c r="FGJ116" i="8"/>
  <c r="FGI116" i="8"/>
  <c r="FGH116" i="8"/>
  <c r="FGG116" i="8"/>
  <c r="FGF116" i="8"/>
  <c r="FGE116" i="8"/>
  <c r="FGD116" i="8"/>
  <c r="FGC116" i="8"/>
  <c r="FGB116" i="8"/>
  <c r="FGA116" i="8"/>
  <c r="FFZ116" i="8"/>
  <c r="FFY116" i="8"/>
  <c r="FFX116" i="8"/>
  <c r="FFW116" i="8"/>
  <c r="FFV116" i="8"/>
  <c r="FFU116" i="8"/>
  <c r="FFT116" i="8"/>
  <c r="FFS116" i="8"/>
  <c r="FFR116" i="8"/>
  <c r="FFQ116" i="8"/>
  <c r="FFP116" i="8"/>
  <c r="FFO116" i="8"/>
  <c r="FFN116" i="8"/>
  <c r="FFM116" i="8"/>
  <c r="FFL116" i="8"/>
  <c r="FFK116" i="8"/>
  <c r="FFJ116" i="8"/>
  <c r="FFI116" i="8"/>
  <c r="FFH116" i="8"/>
  <c r="FFG116" i="8"/>
  <c r="FFF116" i="8"/>
  <c r="FFE116" i="8"/>
  <c r="FFD116" i="8"/>
  <c r="FFC116" i="8"/>
  <c r="FFB116" i="8"/>
  <c r="FFA116" i="8"/>
  <c r="FEZ116" i="8"/>
  <c r="FEY116" i="8"/>
  <c r="FEX116" i="8"/>
  <c r="FEW116" i="8"/>
  <c r="FEV116" i="8"/>
  <c r="FEU116" i="8"/>
  <c r="FET116" i="8"/>
  <c r="FES116" i="8"/>
  <c r="FER116" i="8"/>
  <c r="FEQ116" i="8"/>
  <c r="FEP116" i="8"/>
  <c r="FEO116" i="8"/>
  <c r="FEN116" i="8"/>
  <c r="FEM116" i="8"/>
  <c r="FEL116" i="8"/>
  <c r="FEK116" i="8"/>
  <c r="FEJ116" i="8"/>
  <c r="FEI116" i="8"/>
  <c r="FEH116" i="8"/>
  <c r="FEG116" i="8"/>
  <c r="FEF116" i="8"/>
  <c r="FEE116" i="8"/>
  <c r="FED116" i="8"/>
  <c r="FEC116" i="8"/>
  <c r="FEB116" i="8"/>
  <c r="FEA116" i="8"/>
  <c r="FDZ116" i="8"/>
  <c r="FDY116" i="8"/>
  <c r="FDX116" i="8"/>
  <c r="FDW116" i="8"/>
  <c r="FDV116" i="8"/>
  <c r="FDU116" i="8"/>
  <c r="FDT116" i="8"/>
  <c r="FDS116" i="8"/>
  <c r="FDR116" i="8"/>
  <c r="FDQ116" i="8"/>
  <c r="FDP116" i="8"/>
  <c r="FDO116" i="8"/>
  <c r="FDN116" i="8"/>
  <c r="FDM116" i="8"/>
  <c r="FDL116" i="8"/>
  <c r="FDK116" i="8"/>
  <c r="FDJ116" i="8"/>
  <c r="FDI116" i="8"/>
  <c r="FDH116" i="8"/>
  <c r="FDG116" i="8"/>
  <c r="FDF116" i="8"/>
  <c r="FDE116" i="8"/>
  <c r="FDD116" i="8"/>
  <c r="FDC116" i="8"/>
  <c r="FDB116" i="8"/>
  <c r="FDA116" i="8"/>
  <c r="FCZ116" i="8"/>
  <c r="FCY116" i="8"/>
  <c r="FCX116" i="8"/>
  <c r="FCW116" i="8"/>
  <c r="FCV116" i="8"/>
  <c r="FCU116" i="8"/>
  <c r="FCT116" i="8"/>
  <c r="FCS116" i="8"/>
  <c r="FCR116" i="8"/>
  <c r="FCQ116" i="8"/>
  <c r="FCP116" i="8"/>
  <c r="FCO116" i="8"/>
  <c r="FCN116" i="8"/>
  <c r="FCM116" i="8"/>
  <c r="FCL116" i="8"/>
  <c r="FCK116" i="8"/>
  <c r="FCJ116" i="8"/>
  <c r="FCI116" i="8"/>
  <c r="FCH116" i="8"/>
  <c r="FCG116" i="8"/>
  <c r="FCF116" i="8"/>
  <c r="FCE116" i="8"/>
  <c r="FCD116" i="8"/>
  <c r="FCC116" i="8"/>
  <c r="FCB116" i="8"/>
  <c r="FCA116" i="8"/>
  <c r="FBZ116" i="8"/>
  <c r="FBY116" i="8"/>
  <c r="FBX116" i="8"/>
  <c r="FBW116" i="8"/>
  <c r="FBV116" i="8"/>
  <c r="FBU116" i="8"/>
  <c r="FBT116" i="8"/>
  <c r="FBS116" i="8"/>
  <c r="FBR116" i="8"/>
  <c r="FBQ116" i="8"/>
  <c r="FBP116" i="8"/>
  <c r="FBO116" i="8"/>
  <c r="FBN116" i="8"/>
  <c r="FBM116" i="8"/>
  <c r="FBL116" i="8"/>
  <c r="FBK116" i="8"/>
  <c r="FBJ116" i="8"/>
  <c r="FBI116" i="8"/>
  <c r="FBH116" i="8"/>
  <c r="FBG116" i="8"/>
  <c r="FBF116" i="8"/>
  <c r="FBE116" i="8"/>
  <c r="FBD116" i="8"/>
  <c r="FBC116" i="8"/>
  <c r="FBB116" i="8"/>
  <c r="FBA116" i="8"/>
  <c r="FAZ116" i="8"/>
  <c r="FAY116" i="8"/>
  <c r="FAX116" i="8"/>
  <c r="FAW116" i="8"/>
  <c r="FAV116" i="8"/>
  <c r="FAU116" i="8"/>
  <c r="FAT116" i="8"/>
  <c r="FAS116" i="8"/>
  <c r="FAR116" i="8"/>
  <c r="FAQ116" i="8"/>
  <c r="FAP116" i="8"/>
  <c r="FAO116" i="8"/>
  <c r="FAN116" i="8"/>
  <c r="FAM116" i="8"/>
  <c r="FAL116" i="8"/>
  <c r="FAK116" i="8"/>
  <c r="FAJ116" i="8"/>
  <c r="FAI116" i="8"/>
  <c r="FAH116" i="8"/>
  <c r="FAG116" i="8"/>
  <c r="FAF116" i="8"/>
  <c r="FAE116" i="8"/>
  <c r="FAD116" i="8"/>
  <c r="FAC116" i="8"/>
  <c r="FAB116" i="8"/>
  <c r="FAA116" i="8"/>
  <c r="EZZ116" i="8"/>
  <c r="EZY116" i="8"/>
  <c r="EZX116" i="8"/>
  <c r="EZW116" i="8"/>
  <c r="EZV116" i="8"/>
  <c r="EZU116" i="8"/>
  <c r="EZT116" i="8"/>
  <c r="EZS116" i="8"/>
  <c r="EZR116" i="8"/>
  <c r="EZQ116" i="8"/>
  <c r="EZP116" i="8"/>
  <c r="EZO116" i="8"/>
  <c r="EZN116" i="8"/>
  <c r="EZM116" i="8"/>
  <c r="EZL116" i="8"/>
  <c r="EZK116" i="8"/>
  <c r="EZJ116" i="8"/>
  <c r="EZI116" i="8"/>
  <c r="EZH116" i="8"/>
  <c r="EZG116" i="8"/>
  <c r="EZF116" i="8"/>
  <c r="EZE116" i="8"/>
  <c r="EZD116" i="8"/>
  <c r="EZC116" i="8"/>
  <c r="EZB116" i="8"/>
  <c r="EZA116" i="8"/>
  <c r="EYZ116" i="8"/>
  <c r="EYY116" i="8"/>
  <c r="EYX116" i="8"/>
  <c r="EYW116" i="8"/>
  <c r="EYV116" i="8"/>
  <c r="EYU116" i="8"/>
  <c r="EYT116" i="8"/>
  <c r="EYS116" i="8"/>
  <c r="EYR116" i="8"/>
  <c r="EYQ116" i="8"/>
  <c r="EYP116" i="8"/>
  <c r="EYO116" i="8"/>
  <c r="EYN116" i="8"/>
  <c r="EYM116" i="8"/>
  <c r="EYL116" i="8"/>
  <c r="EYK116" i="8"/>
  <c r="EYJ116" i="8"/>
  <c r="EYI116" i="8"/>
  <c r="EYH116" i="8"/>
  <c r="EYG116" i="8"/>
  <c r="EYF116" i="8"/>
  <c r="EYE116" i="8"/>
  <c r="EYD116" i="8"/>
  <c r="EYC116" i="8"/>
  <c r="EYB116" i="8"/>
  <c r="EYA116" i="8"/>
  <c r="EXZ116" i="8"/>
  <c r="EXY116" i="8"/>
  <c r="EXX116" i="8"/>
  <c r="EXW116" i="8"/>
  <c r="EXV116" i="8"/>
  <c r="EXU116" i="8"/>
  <c r="EXT116" i="8"/>
  <c r="EXS116" i="8"/>
  <c r="EXR116" i="8"/>
  <c r="EXQ116" i="8"/>
  <c r="EXP116" i="8"/>
  <c r="EXO116" i="8"/>
  <c r="EXN116" i="8"/>
  <c r="EXM116" i="8"/>
  <c r="EXL116" i="8"/>
  <c r="EXK116" i="8"/>
  <c r="EXJ116" i="8"/>
  <c r="EXI116" i="8"/>
  <c r="EXH116" i="8"/>
  <c r="EXG116" i="8"/>
  <c r="EXF116" i="8"/>
  <c r="EXE116" i="8"/>
  <c r="EXD116" i="8"/>
  <c r="EXC116" i="8"/>
  <c r="EXB116" i="8"/>
  <c r="EXA116" i="8"/>
  <c r="EWZ116" i="8"/>
  <c r="EWY116" i="8"/>
  <c r="EWX116" i="8"/>
  <c r="EWW116" i="8"/>
  <c r="EWV116" i="8"/>
  <c r="EWU116" i="8"/>
  <c r="EWT116" i="8"/>
  <c r="EWS116" i="8"/>
  <c r="EWR116" i="8"/>
  <c r="EWQ116" i="8"/>
  <c r="EWP116" i="8"/>
  <c r="EWO116" i="8"/>
  <c r="EWN116" i="8"/>
  <c r="EWM116" i="8"/>
  <c r="EWL116" i="8"/>
  <c r="EWK116" i="8"/>
  <c r="EWJ116" i="8"/>
  <c r="EWI116" i="8"/>
  <c r="EWH116" i="8"/>
  <c r="EWG116" i="8"/>
  <c r="EWF116" i="8"/>
  <c r="EWE116" i="8"/>
  <c r="EWD116" i="8"/>
  <c r="EWC116" i="8"/>
  <c r="EWB116" i="8"/>
  <c r="EWA116" i="8"/>
  <c r="EVZ116" i="8"/>
  <c r="EVY116" i="8"/>
  <c r="EVX116" i="8"/>
  <c r="EVW116" i="8"/>
  <c r="EVV116" i="8"/>
  <c r="EVU116" i="8"/>
  <c r="EVT116" i="8"/>
  <c r="EVS116" i="8"/>
  <c r="EVR116" i="8"/>
  <c r="EVQ116" i="8"/>
  <c r="EVP116" i="8"/>
  <c r="EVO116" i="8"/>
  <c r="EVN116" i="8"/>
  <c r="EVM116" i="8"/>
  <c r="EVL116" i="8"/>
  <c r="EVK116" i="8"/>
  <c r="EVJ116" i="8"/>
  <c r="EVI116" i="8"/>
  <c r="EVH116" i="8"/>
  <c r="EVG116" i="8"/>
  <c r="EVF116" i="8"/>
  <c r="EVE116" i="8"/>
  <c r="EVD116" i="8"/>
  <c r="EVC116" i="8"/>
  <c r="EVB116" i="8"/>
  <c r="EVA116" i="8"/>
  <c r="EUZ116" i="8"/>
  <c r="EUY116" i="8"/>
  <c r="EUX116" i="8"/>
  <c r="EUW116" i="8"/>
  <c r="EUV116" i="8"/>
  <c r="EUU116" i="8"/>
  <c r="EUT116" i="8"/>
  <c r="EUS116" i="8"/>
  <c r="EUR116" i="8"/>
  <c r="EUQ116" i="8"/>
  <c r="EUP116" i="8"/>
  <c r="EUO116" i="8"/>
  <c r="EUN116" i="8"/>
  <c r="EUM116" i="8"/>
  <c r="EUL116" i="8"/>
  <c r="EUK116" i="8"/>
  <c r="EUJ116" i="8"/>
  <c r="EUI116" i="8"/>
  <c r="EUH116" i="8"/>
  <c r="EUG116" i="8"/>
  <c r="EUF116" i="8"/>
  <c r="EUE116" i="8"/>
  <c r="EUD116" i="8"/>
  <c r="EUC116" i="8"/>
  <c r="EUB116" i="8"/>
  <c r="EUA116" i="8"/>
  <c r="ETZ116" i="8"/>
  <c r="ETY116" i="8"/>
  <c r="ETX116" i="8"/>
  <c r="ETW116" i="8"/>
  <c r="ETV116" i="8"/>
  <c r="ETU116" i="8"/>
  <c r="ETT116" i="8"/>
  <c r="ETS116" i="8"/>
  <c r="ETR116" i="8"/>
  <c r="ETQ116" i="8"/>
  <c r="ETP116" i="8"/>
  <c r="ETO116" i="8"/>
  <c r="ETN116" i="8"/>
  <c r="ETM116" i="8"/>
  <c r="ETL116" i="8"/>
  <c r="ETK116" i="8"/>
  <c r="ETJ116" i="8"/>
  <c r="ETI116" i="8"/>
  <c r="ETH116" i="8"/>
  <c r="ETG116" i="8"/>
  <c r="ETF116" i="8"/>
  <c r="ETE116" i="8"/>
  <c r="ETD116" i="8"/>
  <c r="ETC116" i="8"/>
  <c r="ETB116" i="8"/>
  <c r="ETA116" i="8"/>
  <c r="ESZ116" i="8"/>
  <c r="ESY116" i="8"/>
  <c r="ESX116" i="8"/>
  <c r="ESW116" i="8"/>
  <c r="ESV116" i="8"/>
  <c r="ESU116" i="8"/>
  <c r="EST116" i="8"/>
  <c r="ESS116" i="8"/>
  <c r="ESR116" i="8"/>
  <c r="ESQ116" i="8"/>
  <c r="ESP116" i="8"/>
  <c r="ESO116" i="8"/>
  <c r="ESN116" i="8"/>
  <c r="ESM116" i="8"/>
  <c r="ESL116" i="8"/>
  <c r="ESK116" i="8"/>
  <c r="ESJ116" i="8"/>
  <c r="ESI116" i="8"/>
  <c r="ESH116" i="8"/>
  <c r="ESG116" i="8"/>
  <c r="ESF116" i="8"/>
  <c r="ESE116" i="8"/>
  <c r="ESD116" i="8"/>
  <c r="ESC116" i="8"/>
  <c r="ESB116" i="8"/>
  <c r="ESA116" i="8"/>
  <c r="ERZ116" i="8"/>
  <c r="ERY116" i="8"/>
  <c r="ERX116" i="8"/>
  <c r="ERW116" i="8"/>
  <c r="ERV116" i="8"/>
  <c r="ERU116" i="8"/>
  <c r="ERT116" i="8"/>
  <c r="ERS116" i="8"/>
  <c r="ERR116" i="8"/>
  <c r="ERQ116" i="8"/>
  <c r="ERP116" i="8"/>
  <c r="ERO116" i="8"/>
  <c r="ERN116" i="8"/>
  <c r="ERM116" i="8"/>
  <c r="ERL116" i="8"/>
  <c r="ERK116" i="8"/>
  <c r="ERJ116" i="8"/>
  <c r="ERI116" i="8"/>
  <c r="ERH116" i="8"/>
  <c r="ERG116" i="8"/>
  <c r="ERF116" i="8"/>
  <c r="ERE116" i="8"/>
  <c r="ERD116" i="8"/>
  <c r="ERC116" i="8"/>
  <c r="ERB116" i="8"/>
  <c r="ERA116" i="8"/>
  <c r="EQZ116" i="8"/>
  <c r="EQY116" i="8"/>
  <c r="EQX116" i="8"/>
  <c r="EQW116" i="8"/>
  <c r="EQV116" i="8"/>
  <c r="EQU116" i="8"/>
  <c r="EQT116" i="8"/>
  <c r="EQS116" i="8"/>
  <c r="EQR116" i="8"/>
  <c r="EQQ116" i="8"/>
  <c r="EQP116" i="8"/>
  <c r="EQO116" i="8"/>
  <c r="EQN116" i="8"/>
  <c r="EQM116" i="8"/>
  <c r="EQL116" i="8"/>
  <c r="EQK116" i="8"/>
  <c r="EQJ116" i="8"/>
  <c r="EQI116" i="8"/>
  <c r="EQH116" i="8"/>
  <c r="EQG116" i="8"/>
  <c r="EQF116" i="8"/>
  <c r="EQE116" i="8"/>
  <c r="EQD116" i="8"/>
  <c r="EQC116" i="8"/>
  <c r="EQB116" i="8"/>
  <c r="EQA116" i="8"/>
  <c r="EPZ116" i="8"/>
  <c r="EPY116" i="8"/>
  <c r="EPX116" i="8"/>
  <c r="EPW116" i="8"/>
  <c r="EPV116" i="8"/>
  <c r="EPU116" i="8"/>
  <c r="EPT116" i="8"/>
  <c r="EPS116" i="8"/>
  <c r="EPR116" i="8"/>
  <c r="EPQ116" i="8"/>
  <c r="EPP116" i="8"/>
  <c r="EPO116" i="8"/>
  <c r="EPN116" i="8"/>
  <c r="EPM116" i="8"/>
  <c r="EPL116" i="8"/>
  <c r="EPK116" i="8"/>
  <c r="EPJ116" i="8"/>
  <c r="EPI116" i="8"/>
  <c r="EPH116" i="8"/>
  <c r="EPG116" i="8"/>
  <c r="EPF116" i="8"/>
  <c r="EPE116" i="8"/>
  <c r="EPD116" i="8"/>
  <c r="EPC116" i="8"/>
  <c r="EPB116" i="8"/>
  <c r="EPA116" i="8"/>
  <c r="EOZ116" i="8"/>
  <c r="EOY116" i="8"/>
  <c r="EOX116" i="8"/>
  <c r="EOW116" i="8"/>
  <c r="EOV116" i="8"/>
  <c r="EOU116" i="8"/>
  <c r="EOT116" i="8"/>
  <c r="EOS116" i="8"/>
  <c r="EOR116" i="8"/>
  <c r="EOQ116" i="8"/>
  <c r="EOP116" i="8"/>
  <c r="EOO116" i="8"/>
  <c r="EON116" i="8"/>
  <c r="EOM116" i="8"/>
  <c r="EOL116" i="8"/>
  <c r="EOK116" i="8"/>
  <c r="EOJ116" i="8"/>
  <c r="EOI116" i="8"/>
  <c r="EOH116" i="8"/>
  <c r="EOG116" i="8"/>
  <c r="EOF116" i="8"/>
  <c r="EOE116" i="8"/>
  <c r="EOD116" i="8"/>
  <c r="EOC116" i="8"/>
  <c r="EOB116" i="8"/>
  <c r="EOA116" i="8"/>
  <c r="ENZ116" i="8"/>
  <c r="ENY116" i="8"/>
  <c r="ENX116" i="8"/>
  <c r="ENW116" i="8"/>
  <c r="ENV116" i="8"/>
  <c r="ENU116" i="8"/>
  <c r="ENT116" i="8"/>
  <c r="ENS116" i="8"/>
  <c r="ENR116" i="8"/>
  <c r="ENQ116" i="8"/>
  <c r="ENP116" i="8"/>
  <c r="ENO116" i="8"/>
  <c r="ENN116" i="8"/>
  <c r="ENM116" i="8"/>
  <c r="ENL116" i="8"/>
  <c r="ENK116" i="8"/>
  <c r="ENJ116" i="8"/>
  <c r="ENI116" i="8"/>
  <c r="ENH116" i="8"/>
  <c r="ENG116" i="8"/>
  <c r="ENF116" i="8"/>
  <c r="ENE116" i="8"/>
  <c r="END116" i="8"/>
  <c r="ENC116" i="8"/>
  <c r="ENB116" i="8"/>
  <c r="ENA116" i="8"/>
  <c r="EMZ116" i="8"/>
  <c r="EMY116" i="8"/>
  <c r="EMX116" i="8"/>
  <c r="EMW116" i="8"/>
  <c r="EMV116" i="8"/>
  <c r="EMU116" i="8"/>
  <c r="EMT116" i="8"/>
  <c r="EMS116" i="8"/>
  <c r="EMR116" i="8"/>
  <c r="EMQ116" i="8"/>
  <c r="EMP116" i="8"/>
  <c r="EMO116" i="8"/>
  <c r="EMN116" i="8"/>
  <c r="EMM116" i="8"/>
  <c r="EML116" i="8"/>
  <c r="EMK116" i="8"/>
  <c r="EMJ116" i="8"/>
  <c r="EMI116" i="8"/>
  <c r="EMH116" i="8"/>
  <c r="EMG116" i="8"/>
  <c r="EMF116" i="8"/>
  <c r="EME116" i="8"/>
  <c r="EMD116" i="8"/>
  <c r="EMC116" i="8"/>
  <c r="EMB116" i="8"/>
  <c r="EMA116" i="8"/>
  <c r="ELZ116" i="8"/>
  <c r="ELY116" i="8"/>
  <c r="ELX116" i="8"/>
  <c r="ELW116" i="8"/>
  <c r="ELV116" i="8"/>
  <c r="ELU116" i="8"/>
  <c r="ELT116" i="8"/>
  <c r="ELS116" i="8"/>
  <c r="ELR116" i="8"/>
  <c r="ELQ116" i="8"/>
  <c r="ELP116" i="8"/>
  <c r="ELO116" i="8"/>
  <c r="ELN116" i="8"/>
  <c r="ELM116" i="8"/>
  <c r="ELL116" i="8"/>
  <c r="ELK116" i="8"/>
  <c r="ELJ116" i="8"/>
  <c r="ELI116" i="8"/>
  <c r="ELH116" i="8"/>
  <c r="ELG116" i="8"/>
  <c r="ELF116" i="8"/>
  <c r="ELE116" i="8"/>
  <c r="ELD116" i="8"/>
  <c r="ELC116" i="8"/>
  <c r="ELB116" i="8"/>
  <c r="ELA116" i="8"/>
  <c r="EKZ116" i="8"/>
  <c r="EKY116" i="8"/>
  <c r="EKX116" i="8"/>
  <c r="EKW116" i="8"/>
  <c r="EKV116" i="8"/>
  <c r="EKU116" i="8"/>
  <c r="EKT116" i="8"/>
  <c r="EKS116" i="8"/>
  <c r="EKR116" i="8"/>
  <c r="EKQ116" i="8"/>
  <c r="EKP116" i="8"/>
  <c r="EKO116" i="8"/>
  <c r="EKN116" i="8"/>
  <c r="EKM116" i="8"/>
  <c r="EKL116" i="8"/>
  <c r="EKK116" i="8"/>
  <c r="EKJ116" i="8"/>
  <c r="EKI116" i="8"/>
  <c r="EKH116" i="8"/>
  <c r="EKG116" i="8"/>
  <c r="EKF116" i="8"/>
  <c r="EKE116" i="8"/>
  <c r="EKD116" i="8"/>
  <c r="EKC116" i="8"/>
  <c r="EKB116" i="8"/>
  <c r="EKA116" i="8"/>
  <c r="EJZ116" i="8"/>
  <c r="EJY116" i="8"/>
  <c r="EJX116" i="8"/>
  <c r="EJW116" i="8"/>
  <c r="EJV116" i="8"/>
  <c r="EJU116" i="8"/>
  <c r="EJT116" i="8"/>
  <c r="EJS116" i="8"/>
  <c r="EJR116" i="8"/>
  <c r="EJQ116" i="8"/>
  <c r="EJP116" i="8"/>
  <c r="EJO116" i="8"/>
  <c r="EJN116" i="8"/>
  <c r="EJM116" i="8"/>
  <c r="EJL116" i="8"/>
  <c r="EJK116" i="8"/>
  <c r="EJJ116" i="8"/>
  <c r="EJI116" i="8"/>
  <c r="EJH116" i="8"/>
  <c r="EJG116" i="8"/>
  <c r="EJF116" i="8"/>
  <c r="EJE116" i="8"/>
  <c r="EJD116" i="8"/>
  <c r="EJC116" i="8"/>
  <c r="EJB116" i="8"/>
  <c r="EJA116" i="8"/>
  <c r="EIZ116" i="8"/>
  <c r="EIY116" i="8"/>
  <c r="EIX116" i="8"/>
  <c r="EIW116" i="8"/>
  <c r="EIV116" i="8"/>
  <c r="EIU116" i="8"/>
  <c r="EIT116" i="8"/>
  <c r="EIS116" i="8"/>
  <c r="EIR116" i="8"/>
  <c r="EIQ116" i="8"/>
  <c r="EIP116" i="8"/>
  <c r="EIO116" i="8"/>
  <c r="EIN116" i="8"/>
  <c r="EIM116" i="8"/>
  <c r="EIL116" i="8"/>
  <c r="EIK116" i="8"/>
  <c r="EIJ116" i="8"/>
  <c r="EII116" i="8"/>
  <c r="EIH116" i="8"/>
  <c r="EIG116" i="8"/>
  <c r="EIF116" i="8"/>
  <c r="EIE116" i="8"/>
  <c r="EID116" i="8"/>
  <c r="EIC116" i="8"/>
  <c r="EIB116" i="8"/>
  <c r="EIA116" i="8"/>
  <c r="EHZ116" i="8"/>
  <c r="EHY116" i="8"/>
  <c r="EHX116" i="8"/>
  <c r="EHW116" i="8"/>
  <c r="EHV116" i="8"/>
  <c r="EHU116" i="8"/>
  <c r="EHT116" i="8"/>
  <c r="EHS116" i="8"/>
  <c r="EHR116" i="8"/>
  <c r="EHQ116" i="8"/>
  <c r="EHP116" i="8"/>
  <c r="EHO116" i="8"/>
  <c r="EHN116" i="8"/>
  <c r="EHM116" i="8"/>
  <c r="EHL116" i="8"/>
  <c r="EHK116" i="8"/>
  <c r="EHJ116" i="8"/>
  <c r="EHI116" i="8"/>
  <c r="EHH116" i="8"/>
  <c r="EHG116" i="8"/>
  <c r="EHF116" i="8"/>
  <c r="EHE116" i="8"/>
  <c r="EHD116" i="8"/>
  <c r="EHC116" i="8"/>
  <c r="EHB116" i="8"/>
  <c r="EHA116" i="8"/>
  <c r="EGZ116" i="8"/>
  <c r="EGY116" i="8"/>
  <c r="EGX116" i="8"/>
  <c r="EGW116" i="8"/>
  <c r="EGV116" i="8"/>
  <c r="EGU116" i="8"/>
  <c r="EGT116" i="8"/>
  <c r="EGS116" i="8"/>
  <c r="EGR116" i="8"/>
  <c r="EGQ116" i="8"/>
  <c r="EGP116" i="8"/>
  <c r="EGO116" i="8"/>
  <c r="EGN116" i="8"/>
  <c r="EGM116" i="8"/>
  <c r="EGL116" i="8"/>
  <c r="EGK116" i="8"/>
  <c r="EGJ116" i="8"/>
  <c r="EGI116" i="8"/>
  <c r="EGH116" i="8"/>
  <c r="EGG116" i="8"/>
  <c r="EGF116" i="8"/>
  <c r="EGE116" i="8"/>
  <c r="EGD116" i="8"/>
  <c r="EGC116" i="8"/>
  <c r="EGB116" i="8"/>
  <c r="EGA116" i="8"/>
  <c r="EFZ116" i="8"/>
  <c r="EFY116" i="8"/>
  <c r="EFX116" i="8"/>
  <c r="EFW116" i="8"/>
  <c r="EFV116" i="8"/>
  <c r="EFU116" i="8"/>
  <c r="EFT116" i="8"/>
  <c r="EFS116" i="8"/>
  <c r="EFR116" i="8"/>
  <c r="EFQ116" i="8"/>
  <c r="EFP116" i="8"/>
  <c r="EFO116" i="8"/>
  <c r="EFN116" i="8"/>
  <c r="EFM116" i="8"/>
  <c r="EFL116" i="8"/>
  <c r="EFK116" i="8"/>
  <c r="EFJ116" i="8"/>
  <c r="EFI116" i="8"/>
  <c r="EFH116" i="8"/>
  <c r="EFG116" i="8"/>
  <c r="EFF116" i="8"/>
  <c r="EFE116" i="8"/>
  <c r="EFD116" i="8"/>
  <c r="EFC116" i="8"/>
  <c r="EFB116" i="8"/>
  <c r="EFA116" i="8"/>
  <c r="EEZ116" i="8"/>
  <c r="EEY116" i="8"/>
  <c r="EEX116" i="8"/>
  <c r="EEW116" i="8"/>
  <c r="EEV116" i="8"/>
  <c r="EEU116" i="8"/>
  <c r="EET116" i="8"/>
  <c r="EES116" i="8"/>
  <c r="EER116" i="8"/>
  <c r="EEQ116" i="8"/>
  <c r="EEP116" i="8"/>
  <c r="EEO116" i="8"/>
  <c r="EEN116" i="8"/>
  <c r="EEM116" i="8"/>
  <c r="EEL116" i="8"/>
  <c r="EEK116" i="8"/>
  <c r="EEJ116" i="8"/>
  <c r="EEI116" i="8"/>
  <c r="EEH116" i="8"/>
  <c r="EEG116" i="8"/>
  <c r="EEF116" i="8"/>
  <c r="EEE116" i="8"/>
  <c r="EED116" i="8"/>
  <c r="EEC116" i="8"/>
  <c r="EEB116" i="8"/>
  <c r="EEA116" i="8"/>
  <c r="EDZ116" i="8"/>
  <c r="EDY116" i="8"/>
  <c r="EDX116" i="8"/>
  <c r="EDW116" i="8"/>
  <c r="EDV116" i="8"/>
  <c r="EDU116" i="8"/>
  <c r="EDT116" i="8"/>
  <c r="EDS116" i="8"/>
  <c r="EDR116" i="8"/>
  <c r="EDQ116" i="8"/>
  <c r="EDP116" i="8"/>
  <c r="EDO116" i="8"/>
  <c r="EDN116" i="8"/>
  <c r="EDM116" i="8"/>
  <c r="EDL116" i="8"/>
  <c r="EDK116" i="8"/>
  <c r="EDJ116" i="8"/>
  <c r="EDI116" i="8"/>
  <c r="EDH116" i="8"/>
  <c r="EDG116" i="8"/>
  <c r="EDF116" i="8"/>
  <c r="EDE116" i="8"/>
  <c r="EDD116" i="8"/>
  <c r="EDC116" i="8"/>
  <c r="EDB116" i="8"/>
  <c r="EDA116" i="8"/>
  <c r="ECZ116" i="8"/>
  <c r="ECY116" i="8"/>
  <c r="ECX116" i="8"/>
  <c r="ECW116" i="8"/>
  <c r="ECV116" i="8"/>
  <c r="ECU116" i="8"/>
  <c r="ECT116" i="8"/>
  <c r="ECS116" i="8"/>
  <c r="ECR116" i="8"/>
  <c r="ECQ116" i="8"/>
  <c r="ECP116" i="8"/>
  <c r="ECO116" i="8"/>
  <c r="ECN116" i="8"/>
  <c r="ECM116" i="8"/>
  <c r="ECL116" i="8"/>
  <c r="ECK116" i="8"/>
  <c r="ECJ116" i="8"/>
  <c r="ECI116" i="8"/>
  <c r="ECH116" i="8"/>
  <c r="ECG116" i="8"/>
  <c r="ECF116" i="8"/>
  <c r="ECE116" i="8"/>
  <c r="ECD116" i="8"/>
  <c r="ECC116" i="8"/>
  <c r="ECB116" i="8"/>
  <c r="ECA116" i="8"/>
  <c r="EBZ116" i="8"/>
  <c r="EBY116" i="8"/>
  <c r="EBX116" i="8"/>
  <c r="EBW116" i="8"/>
  <c r="EBV116" i="8"/>
  <c r="EBU116" i="8"/>
  <c r="EBT116" i="8"/>
  <c r="EBS116" i="8"/>
  <c r="EBR116" i="8"/>
  <c r="EBQ116" i="8"/>
  <c r="EBP116" i="8"/>
  <c r="EBO116" i="8"/>
  <c r="EBN116" i="8"/>
  <c r="EBM116" i="8"/>
  <c r="EBL116" i="8"/>
  <c r="EBK116" i="8"/>
  <c r="EBJ116" i="8"/>
  <c r="EBI116" i="8"/>
  <c r="EBH116" i="8"/>
  <c r="EBG116" i="8"/>
  <c r="EBF116" i="8"/>
  <c r="EBE116" i="8"/>
  <c r="EBD116" i="8"/>
  <c r="EBC116" i="8"/>
  <c r="EBB116" i="8"/>
  <c r="EBA116" i="8"/>
  <c r="EAZ116" i="8"/>
  <c r="EAY116" i="8"/>
  <c r="EAX116" i="8"/>
  <c r="EAW116" i="8"/>
  <c r="EAV116" i="8"/>
  <c r="EAU116" i="8"/>
  <c r="EAT116" i="8"/>
  <c r="EAS116" i="8"/>
  <c r="EAR116" i="8"/>
  <c r="EAQ116" i="8"/>
  <c r="EAP116" i="8"/>
  <c r="EAO116" i="8"/>
  <c r="EAN116" i="8"/>
  <c r="EAM116" i="8"/>
  <c r="EAL116" i="8"/>
  <c r="EAK116" i="8"/>
  <c r="EAJ116" i="8"/>
  <c r="EAI116" i="8"/>
  <c r="EAH116" i="8"/>
  <c r="EAG116" i="8"/>
  <c r="EAF116" i="8"/>
  <c r="EAE116" i="8"/>
  <c r="EAD116" i="8"/>
  <c r="EAC116" i="8"/>
  <c r="EAB116" i="8"/>
  <c r="EAA116" i="8"/>
  <c r="DZZ116" i="8"/>
  <c r="DZY116" i="8"/>
  <c r="DZX116" i="8"/>
  <c r="DZW116" i="8"/>
  <c r="DZV116" i="8"/>
  <c r="DZU116" i="8"/>
  <c r="DZT116" i="8"/>
  <c r="DZS116" i="8"/>
  <c r="DZR116" i="8"/>
  <c r="DZQ116" i="8"/>
  <c r="DZP116" i="8"/>
  <c r="DZO116" i="8"/>
  <c r="DZN116" i="8"/>
  <c r="DZM116" i="8"/>
  <c r="DZL116" i="8"/>
  <c r="DZK116" i="8"/>
  <c r="DZJ116" i="8"/>
  <c r="DZI116" i="8"/>
  <c r="DZH116" i="8"/>
  <c r="DZG116" i="8"/>
  <c r="DZF116" i="8"/>
  <c r="DZE116" i="8"/>
  <c r="DZD116" i="8"/>
  <c r="DZC116" i="8"/>
  <c r="DZB116" i="8"/>
  <c r="DZA116" i="8"/>
  <c r="DYZ116" i="8"/>
  <c r="DYY116" i="8"/>
  <c r="DYX116" i="8"/>
  <c r="DYW116" i="8"/>
  <c r="DYV116" i="8"/>
  <c r="DYU116" i="8"/>
  <c r="DYT116" i="8"/>
  <c r="DYS116" i="8"/>
  <c r="DYR116" i="8"/>
  <c r="DYQ116" i="8"/>
  <c r="DYP116" i="8"/>
  <c r="DYO116" i="8"/>
  <c r="DYN116" i="8"/>
  <c r="DYM116" i="8"/>
  <c r="DYL116" i="8"/>
  <c r="DYK116" i="8"/>
  <c r="DYJ116" i="8"/>
  <c r="DYI116" i="8"/>
  <c r="DYH116" i="8"/>
  <c r="DYG116" i="8"/>
  <c r="DYF116" i="8"/>
  <c r="DYE116" i="8"/>
  <c r="DYD116" i="8"/>
  <c r="DYC116" i="8"/>
  <c r="DYB116" i="8"/>
  <c r="DYA116" i="8"/>
  <c r="DXZ116" i="8"/>
  <c r="DXY116" i="8"/>
  <c r="DXX116" i="8"/>
  <c r="DXW116" i="8"/>
  <c r="DXV116" i="8"/>
  <c r="DXU116" i="8"/>
  <c r="DXT116" i="8"/>
  <c r="DXS116" i="8"/>
  <c r="DXR116" i="8"/>
  <c r="DXQ116" i="8"/>
  <c r="DXP116" i="8"/>
  <c r="DXO116" i="8"/>
  <c r="DXN116" i="8"/>
  <c r="DXM116" i="8"/>
  <c r="DXL116" i="8"/>
  <c r="DXK116" i="8"/>
  <c r="DXJ116" i="8"/>
  <c r="DXI116" i="8"/>
  <c r="DXH116" i="8"/>
  <c r="DXG116" i="8"/>
  <c r="DXF116" i="8"/>
  <c r="DXE116" i="8"/>
  <c r="DXD116" i="8"/>
  <c r="DXC116" i="8"/>
  <c r="DXB116" i="8"/>
  <c r="DXA116" i="8"/>
  <c r="DWZ116" i="8"/>
  <c r="DWY116" i="8"/>
  <c r="DWX116" i="8"/>
  <c r="DWW116" i="8"/>
  <c r="DWV116" i="8"/>
  <c r="DWU116" i="8"/>
  <c r="DWT116" i="8"/>
  <c r="DWS116" i="8"/>
  <c r="DWR116" i="8"/>
  <c r="DWQ116" i="8"/>
  <c r="DWP116" i="8"/>
  <c r="DWO116" i="8"/>
  <c r="DWN116" i="8"/>
  <c r="DWM116" i="8"/>
  <c r="DWL116" i="8"/>
  <c r="DWK116" i="8"/>
  <c r="DWJ116" i="8"/>
  <c r="DWI116" i="8"/>
  <c r="DWH116" i="8"/>
  <c r="DWG116" i="8"/>
  <c r="DWF116" i="8"/>
  <c r="DWE116" i="8"/>
  <c r="DWD116" i="8"/>
  <c r="DWC116" i="8"/>
  <c r="DWB116" i="8"/>
  <c r="DWA116" i="8"/>
  <c r="DVZ116" i="8"/>
  <c r="DVY116" i="8"/>
  <c r="DVX116" i="8"/>
  <c r="DVW116" i="8"/>
  <c r="DVV116" i="8"/>
  <c r="DVU116" i="8"/>
  <c r="DVT116" i="8"/>
  <c r="DVS116" i="8"/>
  <c r="DVR116" i="8"/>
  <c r="DVQ116" i="8"/>
  <c r="DVP116" i="8"/>
  <c r="DVO116" i="8"/>
  <c r="DVN116" i="8"/>
  <c r="DVM116" i="8"/>
  <c r="DVL116" i="8"/>
  <c r="DVK116" i="8"/>
  <c r="DVJ116" i="8"/>
  <c r="DVI116" i="8"/>
  <c r="DVH116" i="8"/>
  <c r="DVG116" i="8"/>
  <c r="DVF116" i="8"/>
  <c r="DVE116" i="8"/>
  <c r="DVD116" i="8"/>
  <c r="DVC116" i="8"/>
  <c r="DVB116" i="8"/>
  <c r="DVA116" i="8"/>
  <c r="DUZ116" i="8"/>
  <c r="DUY116" i="8"/>
  <c r="DUX116" i="8"/>
  <c r="DUW116" i="8"/>
  <c r="DUV116" i="8"/>
  <c r="DUU116" i="8"/>
  <c r="DUT116" i="8"/>
  <c r="DUS116" i="8"/>
  <c r="DUR116" i="8"/>
  <c r="DUQ116" i="8"/>
  <c r="DUP116" i="8"/>
  <c r="DUO116" i="8"/>
  <c r="DUN116" i="8"/>
  <c r="DUM116" i="8"/>
  <c r="DUL116" i="8"/>
  <c r="DUK116" i="8"/>
  <c r="DUJ116" i="8"/>
  <c r="DUI116" i="8"/>
  <c r="DUH116" i="8"/>
  <c r="DUG116" i="8"/>
  <c r="DUF116" i="8"/>
  <c r="DUE116" i="8"/>
  <c r="DUD116" i="8"/>
  <c r="DUC116" i="8"/>
  <c r="DUB116" i="8"/>
  <c r="DUA116" i="8"/>
  <c r="DTZ116" i="8"/>
  <c r="DTY116" i="8"/>
  <c r="DTX116" i="8"/>
  <c r="DTW116" i="8"/>
  <c r="DTV116" i="8"/>
  <c r="DTU116" i="8"/>
  <c r="DTT116" i="8"/>
  <c r="DTS116" i="8"/>
  <c r="DTR116" i="8"/>
  <c r="DTQ116" i="8"/>
  <c r="DTP116" i="8"/>
  <c r="DTO116" i="8"/>
  <c r="DTN116" i="8"/>
  <c r="DTM116" i="8"/>
  <c r="DTL116" i="8"/>
  <c r="DTK116" i="8"/>
  <c r="DTJ116" i="8"/>
  <c r="DTI116" i="8"/>
  <c r="DTH116" i="8"/>
  <c r="DTG116" i="8"/>
  <c r="DTF116" i="8"/>
  <c r="DTE116" i="8"/>
  <c r="DTD116" i="8"/>
  <c r="DTC116" i="8"/>
  <c r="DTB116" i="8"/>
  <c r="DTA116" i="8"/>
  <c r="DSZ116" i="8"/>
  <c r="DSY116" i="8"/>
  <c r="DSX116" i="8"/>
  <c r="DSW116" i="8"/>
  <c r="DSV116" i="8"/>
  <c r="DSU116" i="8"/>
  <c r="DST116" i="8"/>
  <c r="DSS116" i="8"/>
  <c r="DSR116" i="8"/>
  <c r="DSQ116" i="8"/>
  <c r="DSP116" i="8"/>
  <c r="DSO116" i="8"/>
  <c r="DSN116" i="8"/>
  <c r="DSM116" i="8"/>
  <c r="DSL116" i="8"/>
  <c r="DSK116" i="8"/>
  <c r="DSJ116" i="8"/>
  <c r="DSI116" i="8"/>
  <c r="DSH116" i="8"/>
  <c r="DSG116" i="8"/>
  <c r="DSF116" i="8"/>
  <c r="DSE116" i="8"/>
  <c r="DSD116" i="8"/>
  <c r="DSC116" i="8"/>
  <c r="DSB116" i="8"/>
  <c r="DSA116" i="8"/>
  <c r="DRZ116" i="8"/>
  <c r="DRY116" i="8"/>
  <c r="DRX116" i="8"/>
  <c r="DRW116" i="8"/>
  <c r="DRV116" i="8"/>
  <c r="DRU116" i="8"/>
  <c r="DRT116" i="8"/>
  <c r="DRS116" i="8"/>
  <c r="DRR116" i="8"/>
  <c r="DRQ116" i="8"/>
  <c r="DRP116" i="8"/>
  <c r="DRO116" i="8"/>
  <c r="DRN116" i="8"/>
  <c r="DRM116" i="8"/>
  <c r="DRL116" i="8"/>
  <c r="DRK116" i="8"/>
  <c r="DRJ116" i="8"/>
  <c r="DRI116" i="8"/>
  <c r="DRH116" i="8"/>
  <c r="DRG116" i="8"/>
  <c r="DRF116" i="8"/>
  <c r="DRE116" i="8"/>
  <c r="DRD116" i="8"/>
  <c r="DRC116" i="8"/>
  <c r="DRB116" i="8"/>
  <c r="DRA116" i="8"/>
  <c r="DQZ116" i="8"/>
  <c r="DQY116" i="8"/>
  <c r="DQX116" i="8"/>
  <c r="DQW116" i="8"/>
  <c r="DQV116" i="8"/>
  <c r="DQU116" i="8"/>
  <c r="DQT116" i="8"/>
  <c r="DQS116" i="8"/>
  <c r="DQR116" i="8"/>
  <c r="DQQ116" i="8"/>
  <c r="DQP116" i="8"/>
  <c r="DQO116" i="8"/>
  <c r="DQN116" i="8"/>
  <c r="DQM116" i="8"/>
  <c r="DQL116" i="8"/>
  <c r="DQK116" i="8"/>
  <c r="DQJ116" i="8"/>
  <c r="DQI116" i="8"/>
  <c r="DQH116" i="8"/>
  <c r="DQG116" i="8"/>
  <c r="DQF116" i="8"/>
  <c r="DQE116" i="8"/>
  <c r="DQD116" i="8"/>
  <c r="DQC116" i="8"/>
  <c r="DQB116" i="8"/>
  <c r="DQA116" i="8"/>
  <c r="DPZ116" i="8"/>
  <c r="DPY116" i="8"/>
  <c r="DPX116" i="8"/>
  <c r="DPW116" i="8"/>
  <c r="DPV116" i="8"/>
  <c r="DPU116" i="8"/>
  <c r="DPT116" i="8"/>
  <c r="DPS116" i="8"/>
  <c r="DPR116" i="8"/>
  <c r="DPQ116" i="8"/>
  <c r="DPP116" i="8"/>
  <c r="DPO116" i="8"/>
  <c r="DPN116" i="8"/>
  <c r="DPM116" i="8"/>
  <c r="DPL116" i="8"/>
  <c r="DPK116" i="8"/>
  <c r="DPJ116" i="8"/>
  <c r="DPI116" i="8"/>
  <c r="DPH116" i="8"/>
  <c r="DPG116" i="8"/>
  <c r="DPF116" i="8"/>
  <c r="DPE116" i="8"/>
  <c r="DPD116" i="8"/>
  <c r="DPC116" i="8"/>
  <c r="DPB116" i="8"/>
  <c r="DPA116" i="8"/>
  <c r="DOZ116" i="8"/>
  <c r="DOY116" i="8"/>
  <c r="DOX116" i="8"/>
  <c r="DOW116" i="8"/>
  <c r="DOV116" i="8"/>
  <c r="DOU116" i="8"/>
  <c r="DOT116" i="8"/>
  <c r="DOS116" i="8"/>
  <c r="DOR116" i="8"/>
  <c r="DOQ116" i="8"/>
  <c r="DOP116" i="8"/>
  <c r="DOO116" i="8"/>
  <c r="DON116" i="8"/>
  <c r="DOM116" i="8"/>
  <c r="DOL116" i="8"/>
  <c r="DOK116" i="8"/>
  <c r="DOJ116" i="8"/>
  <c r="DOI116" i="8"/>
  <c r="DOH116" i="8"/>
  <c r="DOG116" i="8"/>
  <c r="DOF116" i="8"/>
  <c r="DOE116" i="8"/>
  <c r="DOD116" i="8"/>
  <c r="DOC116" i="8"/>
  <c r="DOB116" i="8"/>
  <c r="DOA116" i="8"/>
  <c r="DNZ116" i="8"/>
  <c r="DNY116" i="8"/>
  <c r="DNX116" i="8"/>
  <c r="DNW116" i="8"/>
  <c r="DNV116" i="8"/>
  <c r="DNU116" i="8"/>
  <c r="DNT116" i="8"/>
  <c r="DNS116" i="8"/>
  <c r="DNR116" i="8"/>
  <c r="DNQ116" i="8"/>
  <c r="DNP116" i="8"/>
  <c r="DNO116" i="8"/>
  <c r="DNN116" i="8"/>
  <c r="DNM116" i="8"/>
  <c r="DNL116" i="8"/>
  <c r="DNK116" i="8"/>
  <c r="DNJ116" i="8"/>
  <c r="DNI116" i="8"/>
  <c r="DNH116" i="8"/>
  <c r="DNG116" i="8"/>
  <c r="DNF116" i="8"/>
  <c r="DNE116" i="8"/>
  <c r="DND116" i="8"/>
  <c r="DNC116" i="8"/>
  <c r="DNB116" i="8"/>
  <c r="DNA116" i="8"/>
  <c r="DMZ116" i="8"/>
  <c r="DMY116" i="8"/>
  <c r="DMX116" i="8"/>
  <c r="DMW116" i="8"/>
  <c r="DMV116" i="8"/>
  <c r="DMU116" i="8"/>
  <c r="DMT116" i="8"/>
  <c r="DMS116" i="8"/>
  <c r="DMR116" i="8"/>
  <c r="DMQ116" i="8"/>
  <c r="DMP116" i="8"/>
  <c r="DMO116" i="8"/>
  <c r="DMN116" i="8"/>
  <c r="DMM116" i="8"/>
  <c r="DML116" i="8"/>
  <c r="DMK116" i="8"/>
  <c r="DMJ116" i="8"/>
  <c r="DMI116" i="8"/>
  <c r="DMH116" i="8"/>
  <c r="DMG116" i="8"/>
  <c r="DMF116" i="8"/>
  <c r="DME116" i="8"/>
  <c r="DMD116" i="8"/>
  <c r="DMC116" i="8"/>
  <c r="DMB116" i="8"/>
  <c r="DMA116" i="8"/>
  <c r="DLZ116" i="8"/>
  <c r="DLY116" i="8"/>
  <c r="DLX116" i="8"/>
  <c r="DLW116" i="8"/>
  <c r="DLV116" i="8"/>
  <c r="DLU116" i="8"/>
  <c r="DLT116" i="8"/>
  <c r="DLS116" i="8"/>
  <c r="DLR116" i="8"/>
  <c r="DLQ116" i="8"/>
  <c r="DLP116" i="8"/>
  <c r="DLO116" i="8"/>
  <c r="DLN116" i="8"/>
  <c r="DLM116" i="8"/>
  <c r="DLL116" i="8"/>
  <c r="DLK116" i="8"/>
  <c r="DLJ116" i="8"/>
  <c r="DLI116" i="8"/>
  <c r="DLH116" i="8"/>
  <c r="DLG116" i="8"/>
  <c r="DLF116" i="8"/>
  <c r="DLE116" i="8"/>
  <c r="DLD116" i="8"/>
  <c r="DLC116" i="8"/>
  <c r="DLB116" i="8"/>
  <c r="DLA116" i="8"/>
  <c r="DKZ116" i="8"/>
  <c r="DKY116" i="8"/>
  <c r="DKX116" i="8"/>
  <c r="DKW116" i="8"/>
  <c r="DKV116" i="8"/>
  <c r="DKU116" i="8"/>
  <c r="DKT116" i="8"/>
  <c r="DKS116" i="8"/>
  <c r="DKR116" i="8"/>
  <c r="DKQ116" i="8"/>
  <c r="DKP116" i="8"/>
  <c r="DKO116" i="8"/>
  <c r="DKN116" i="8"/>
  <c r="DKM116" i="8"/>
  <c r="DKL116" i="8"/>
  <c r="DKK116" i="8"/>
  <c r="DKJ116" i="8"/>
  <c r="DKI116" i="8"/>
  <c r="DKH116" i="8"/>
  <c r="DKG116" i="8"/>
  <c r="DKF116" i="8"/>
  <c r="DKE116" i="8"/>
  <c r="DKD116" i="8"/>
  <c r="DKC116" i="8"/>
  <c r="DKB116" i="8"/>
  <c r="DKA116" i="8"/>
  <c r="DJZ116" i="8"/>
  <c r="DJY116" i="8"/>
  <c r="DJX116" i="8"/>
  <c r="DJW116" i="8"/>
  <c r="DJV116" i="8"/>
  <c r="DJU116" i="8"/>
  <c r="DJT116" i="8"/>
  <c r="DJS116" i="8"/>
  <c r="DJR116" i="8"/>
  <c r="DJQ116" i="8"/>
  <c r="DJP116" i="8"/>
  <c r="DJO116" i="8"/>
  <c r="DJN116" i="8"/>
  <c r="DJM116" i="8"/>
  <c r="DJL116" i="8"/>
  <c r="DJK116" i="8"/>
  <c r="DJJ116" i="8"/>
  <c r="DJI116" i="8"/>
  <c r="DJH116" i="8"/>
  <c r="DJG116" i="8"/>
  <c r="DJF116" i="8"/>
  <c r="DJE116" i="8"/>
  <c r="DJD116" i="8"/>
  <c r="DJC116" i="8"/>
  <c r="DJB116" i="8"/>
  <c r="DJA116" i="8"/>
  <c r="DIZ116" i="8"/>
  <c r="DIY116" i="8"/>
  <c r="DIX116" i="8"/>
  <c r="DIW116" i="8"/>
  <c r="DIV116" i="8"/>
  <c r="DIU116" i="8"/>
  <c r="DIT116" i="8"/>
  <c r="DIS116" i="8"/>
  <c r="DIR116" i="8"/>
  <c r="DIQ116" i="8"/>
  <c r="DIP116" i="8"/>
  <c r="DIO116" i="8"/>
  <c r="DIN116" i="8"/>
  <c r="DIM116" i="8"/>
  <c r="DIL116" i="8"/>
  <c r="DIK116" i="8"/>
  <c r="DIJ116" i="8"/>
  <c r="DII116" i="8"/>
  <c r="DIH116" i="8"/>
  <c r="DIG116" i="8"/>
  <c r="DIF116" i="8"/>
  <c r="DIE116" i="8"/>
  <c r="DID116" i="8"/>
  <c r="DIC116" i="8"/>
  <c r="DIB116" i="8"/>
  <c r="DIA116" i="8"/>
  <c r="DHZ116" i="8"/>
  <c r="DHY116" i="8"/>
  <c r="DHX116" i="8"/>
  <c r="DHW116" i="8"/>
  <c r="DHV116" i="8"/>
  <c r="DHU116" i="8"/>
  <c r="DHT116" i="8"/>
  <c r="DHS116" i="8"/>
  <c r="DHR116" i="8"/>
  <c r="DHQ116" i="8"/>
  <c r="DHP116" i="8"/>
  <c r="DHO116" i="8"/>
  <c r="DHN116" i="8"/>
  <c r="DHM116" i="8"/>
  <c r="DHL116" i="8"/>
  <c r="DHK116" i="8"/>
  <c r="DHJ116" i="8"/>
  <c r="DHI116" i="8"/>
  <c r="DHH116" i="8"/>
  <c r="DHG116" i="8"/>
  <c r="DHF116" i="8"/>
  <c r="DHE116" i="8"/>
  <c r="DHD116" i="8"/>
  <c r="DHC116" i="8"/>
  <c r="DHB116" i="8"/>
  <c r="DHA116" i="8"/>
  <c r="DGZ116" i="8"/>
  <c r="DGY116" i="8"/>
  <c r="DGX116" i="8"/>
  <c r="DGW116" i="8"/>
  <c r="DGV116" i="8"/>
  <c r="DGU116" i="8"/>
  <c r="DGT116" i="8"/>
  <c r="DGS116" i="8"/>
  <c r="DGR116" i="8"/>
  <c r="DGQ116" i="8"/>
  <c r="DGP116" i="8"/>
  <c r="DGO116" i="8"/>
  <c r="DGN116" i="8"/>
  <c r="DGM116" i="8"/>
  <c r="DGL116" i="8"/>
  <c r="DGK116" i="8"/>
  <c r="DGJ116" i="8"/>
  <c r="DGI116" i="8"/>
  <c r="DGH116" i="8"/>
  <c r="DGG116" i="8"/>
  <c r="DGF116" i="8"/>
  <c r="DGE116" i="8"/>
  <c r="DGD116" i="8"/>
  <c r="DGC116" i="8"/>
  <c r="DGB116" i="8"/>
  <c r="DGA116" i="8"/>
  <c r="DFZ116" i="8"/>
  <c r="DFY116" i="8"/>
  <c r="DFX116" i="8"/>
  <c r="DFW116" i="8"/>
  <c r="DFV116" i="8"/>
  <c r="DFU116" i="8"/>
  <c r="DFT116" i="8"/>
  <c r="DFS116" i="8"/>
  <c r="DFR116" i="8"/>
  <c r="DFQ116" i="8"/>
  <c r="DFP116" i="8"/>
  <c r="DFO116" i="8"/>
  <c r="DFN116" i="8"/>
  <c r="DFM116" i="8"/>
  <c r="DFL116" i="8"/>
  <c r="DFK116" i="8"/>
  <c r="DFJ116" i="8"/>
  <c r="DFI116" i="8"/>
  <c r="DFH116" i="8"/>
  <c r="DFG116" i="8"/>
  <c r="DFF116" i="8"/>
  <c r="DFE116" i="8"/>
  <c r="DFD116" i="8"/>
  <c r="DFC116" i="8"/>
  <c r="DFB116" i="8"/>
  <c r="DFA116" i="8"/>
  <c r="DEZ116" i="8"/>
  <c r="DEY116" i="8"/>
  <c r="DEX116" i="8"/>
  <c r="DEW116" i="8"/>
  <c r="DEV116" i="8"/>
  <c r="DEU116" i="8"/>
  <c r="DET116" i="8"/>
  <c r="DES116" i="8"/>
  <c r="DER116" i="8"/>
  <c r="DEQ116" i="8"/>
  <c r="DEP116" i="8"/>
  <c r="DEO116" i="8"/>
  <c r="DEN116" i="8"/>
  <c r="DEM116" i="8"/>
  <c r="DEL116" i="8"/>
  <c r="DEK116" i="8"/>
  <c r="DEJ116" i="8"/>
  <c r="DEI116" i="8"/>
  <c r="DEH116" i="8"/>
  <c r="DEG116" i="8"/>
  <c r="DEF116" i="8"/>
  <c r="DEE116" i="8"/>
  <c r="DED116" i="8"/>
  <c r="DEC116" i="8"/>
  <c r="DEB116" i="8"/>
  <c r="DEA116" i="8"/>
  <c r="DDZ116" i="8"/>
  <c r="DDY116" i="8"/>
  <c r="DDX116" i="8"/>
  <c r="DDW116" i="8"/>
  <c r="DDV116" i="8"/>
  <c r="DDU116" i="8"/>
  <c r="DDT116" i="8"/>
  <c r="DDS116" i="8"/>
  <c r="DDR116" i="8"/>
  <c r="DDQ116" i="8"/>
  <c r="DDP116" i="8"/>
  <c r="DDO116" i="8"/>
  <c r="DDN116" i="8"/>
  <c r="DDM116" i="8"/>
  <c r="DDL116" i="8"/>
  <c r="DDK116" i="8"/>
  <c r="DDJ116" i="8"/>
  <c r="DDI116" i="8"/>
  <c r="DDH116" i="8"/>
  <c r="DDG116" i="8"/>
  <c r="DDF116" i="8"/>
  <c r="DDE116" i="8"/>
  <c r="DDD116" i="8"/>
  <c r="DDC116" i="8"/>
  <c r="DDB116" i="8"/>
  <c r="DDA116" i="8"/>
  <c r="DCZ116" i="8"/>
  <c r="DCY116" i="8"/>
  <c r="DCX116" i="8"/>
  <c r="DCW116" i="8"/>
  <c r="DCV116" i="8"/>
  <c r="DCU116" i="8"/>
  <c r="DCT116" i="8"/>
  <c r="DCS116" i="8"/>
  <c r="DCR116" i="8"/>
  <c r="DCQ116" i="8"/>
  <c r="DCP116" i="8"/>
  <c r="DCO116" i="8"/>
  <c r="DCN116" i="8"/>
  <c r="DCM116" i="8"/>
  <c r="DCL116" i="8"/>
  <c r="DCK116" i="8"/>
  <c r="DCJ116" i="8"/>
  <c r="DCI116" i="8"/>
  <c r="DCH116" i="8"/>
  <c r="DCG116" i="8"/>
  <c r="DCF116" i="8"/>
  <c r="DCE116" i="8"/>
  <c r="DCD116" i="8"/>
  <c r="DCC116" i="8"/>
  <c r="DCB116" i="8"/>
  <c r="DCA116" i="8"/>
  <c r="DBZ116" i="8"/>
  <c r="DBY116" i="8"/>
  <c r="DBX116" i="8"/>
  <c r="DBW116" i="8"/>
  <c r="DBV116" i="8"/>
  <c r="DBU116" i="8"/>
  <c r="DBT116" i="8"/>
  <c r="DBS116" i="8"/>
  <c r="DBR116" i="8"/>
  <c r="DBQ116" i="8"/>
  <c r="DBP116" i="8"/>
  <c r="DBO116" i="8"/>
  <c r="DBN116" i="8"/>
  <c r="DBM116" i="8"/>
  <c r="DBL116" i="8"/>
  <c r="DBK116" i="8"/>
  <c r="DBJ116" i="8"/>
  <c r="DBI116" i="8"/>
  <c r="DBH116" i="8"/>
  <c r="DBG116" i="8"/>
  <c r="DBF116" i="8"/>
  <c r="DBE116" i="8"/>
  <c r="DBD116" i="8"/>
  <c r="DBC116" i="8"/>
  <c r="DBB116" i="8"/>
  <c r="DBA116" i="8"/>
  <c r="DAZ116" i="8"/>
  <c r="DAY116" i="8"/>
  <c r="DAX116" i="8"/>
  <c r="DAW116" i="8"/>
  <c r="DAV116" i="8"/>
  <c r="DAU116" i="8"/>
  <c r="DAT116" i="8"/>
  <c r="DAS116" i="8"/>
  <c r="DAR116" i="8"/>
  <c r="DAQ116" i="8"/>
  <c r="DAP116" i="8"/>
  <c r="DAO116" i="8"/>
  <c r="DAN116" i="8"/>
  <c r="DAM116" i="8"/>
  <c r="DAL116" i="8"/>
  <c r="DAK116" i="8"/>
  <c r="DAJ116" i="8"/>
  <c r="DAI116" i="8"/>
  <c r="DAH116" i="8"/>
  <c r="DAG116" i="8"/>
  <c r="DAF116" i="8"/>
  <c r="DAE116" i="8"/>
  <c r="DAD116" i="8"/>
  <c r="DAC116" i="8"/>
  <c r="DAB116" i="8"/>
  <c r="DAA116" i="8"/>
  <c r="CZZ116" i="8"/>
  <c r="CZY116" i="8"/>
  <c r="CZX116" i="8"/>
  <c r="CZW116" i="8"/>
  <c r="CZV116" i="8"/>
  <c r="CZU116" i="8"/>
  <c r="CZT116" i="8"/>
  <c r="CZS116" i="8"/>
  <c r="CZR116" i="8"/>
  <c r="CZQ116" i="8"/>
  <c r="CZP116" i="8"/>
  <c r="CZO116" i="8"/>
  <c r="CZN116" i="8"/>
  <c r="CZM116" i="8"/>
  <c r="CZL116" i="8"/>
  <c r="CZK116" i="8"/>
  <c r="CZJ116" i="8"/>
  <c r="CZI116" i="8"/>
  <c r="CZH116" i="8"/>
  <c r="CZG116" i="8"/>
  <c r="CZF116" i="8"/>
  <c r="CZE116" i="8"/>
  <c r="CZD116" i="8"/>
  <c r="CZC116" i="8"/>
  <c r="CZB116" i="8"/>
  <c r="CZA116" i="8"/>
  <c r="CYZ116" i="8"/>
  <c r="CYY116" i="8"/>
  <c r="CYX116" i="8"/>
  <c r="CYW116" i="8"/>
  <c r="CYV116" i="8"/>
  <c r="CYU116" i="8"/>
  <c r="CYT116" i="8"/>
  <c r="CYS116" i="8"/>
  <c r="CYR116" i="8"/>
  <c r="CYQ116" i="8"/>
  <c r="CYP116" i="8"/>
  <c r="CYO116" i="8"/>
  <c r="CYN116" i="8"/>
  <c r="CYM116" i="8"/>
  <c r="CYL116" i="8"/>
  <c r="CYK116" i="8"/>
  <c r="CYJ116" i="8"/>
  <c r="CYI116" i="8"/>
  <c r="CYH116" i="8"/>
  <c r="CYG116" i="8"/>
  <c r="CYF116" i="8"/>
  <c r="CYE116" i="8"/>
  <c r="CYD116" i="8"/>
  <c r="CYC116" i="8"/>
  <c r="CYB116" i="8"/>
  <c r="CYA116" i="8"/>
  <c r="CXZ116" i="8"/>
  <c r="CXY116" i="8"/>
  <c r="CXX116" i="8"/>
  <c r="CXW116" i="8"/>
  <c r="CXV116" i="8"/>
  <c r="CXU116" i="8"/>
  <c r="CXT116" i="8"/>
  <c r="CXS116" i="8"/>
  <c r="CXR116" i="8"/>
  <c r="CXQ116" i="8"/>
  <c r="CXP116" i="8"/>
  <c r="CXO116" i="8"/>
  <c r="CXN116" i="8"/>
  <c r="CXM116" i="8"/>
  <c r="CXL116" i="8"/>
  <c r="CXK116" i="8"/>
  <c r="CXJ116" i="8"/>
  <c r="CXI116" i="8"/>
  <c r="CXH116" i="8"/>
  <c r="CXG116" i="8"/>
  <c r="CXF116" i="8"/>
  <c r="CXE116" i="8"/>
  <c r="CXD116" i="8"/>
  <c r="CXC116" i="8"/>
  <c r="CXB116" i="8"/>
  <c r="CXA116" i="8"/>
  <c r="CWZ116" i="8"/>
  <c r="CWY116" i="8"/>
  <c r="CWX116" i="8"/>
  <c r="CWW116" i="8"/>
  <c r="CWV116" i="8"/>
  <c r="CWU116" i="8"/>
  <c r="CWT116" i="8"/>
  <c r="CWS116" i="8"/>
  <c r="CWR116" i="8"/>
  <c r="CWQ116" i="8"/>
  <c r="CWP116" i="8"/>
  <c r="CWO116" i="8"/>
  <c r="CWN116" i="8"/>
  <c r="CWM116" i="8"/>
  <c r="CWL116" i="8"/>
  <c r="CWK116" i="8"/>
  <c r="CWJ116" i="8"/>
  <c r="CWI116" i="8"/>
  <c r="CWH116" i="8"/>
  <c r="CWG116" i="8"/>
  <c r="CWF116" i="8"/>
  <c r="CWE116" i="8"/>
  <c r="CWD116" i="8"/>
  <c r="CWC116" i="8"/>
  <c r="CWB116" i="8"/>
  <c r="CWA116" i="8"/>
  <c r="CVZ116" i="8"/>
  <c r="CVY116" i="8"/>
  <c r="CVX116" i="8"/>
  <c r="CVW116" i="8"/>
  <c r="CVV116" i="8"/>
  <c r="CVU116" i="8"/>
  <c r="CVT116" i="8"/>
  <c r="CVS116" i="8"/>
  <c r="CVR116" i="8"/>
  <c r="CVQ116" i="8"/>
  <c r="CVP116" i="8"/>
  <c r="CVO116" i="8"/>
  <c r="CVN116" i="8"/>
  <c r="CVM116" i="8"/>
  <c r="CVL116" i="8"/>
  <c r="CVK116" i="8"/>
  <c r="CVJ116" i="8"/>
  <c r="CVI116" i="8"/>
  <c r="CVH116" i="8"/>
  <c r="CVG116" i="8"/>
  <c r="CVF116" i="8"/>
  <c r="CVE116" i="8"/>
  <c r="CVD116" i="8"/>
  <c r="CVC116" i="8"/>
  <c r="CVB116" i="8"/>
  <c r="CVA116" i="8"/>
  <c r="CUZ116" i="8"/>
  <c r="CUY116" i="8"/>
  <c r="CUX116" i="8"/>
  <c r="CUW116" i="8"/>
  <c r="CUV116" i="8"/>
  <c r="CUU116" i="8"/>
  <c r="CUT116" i="8"/>
  <c r="CUS116" i="8"/>
  <c r="CUR116" i="8"/>
  <c r="CUQ116" i="8"/>
  <c r="CUP116" i="8"/>
  <c r="CUO116" i="8"/>
  <c r="CUN116" i="8"/>
  <c r="CUM116" i="8"/>
  <c r="CUL116" i="8"/>
  <c r="CUK116" i="8"/>
  <c r="CUJ116" i="8"/>
  <c r="CUI116" i="8"/>
  <c r="CUH116" i="8"/>
  <c r="CUG116" i="8"/>
  <c r="CUF116" i="8"/>
  <c r="CUE116" i="8"/>
  <c r="CUD116" i="8"/>
  <c r="CUC116" i="8"/>
  <c r="CUB116" i="8"/>
  <c r="CUA116" i="8"/>
  <c r="CTZ116" i="8"/>
  <c r="CTY116" i="8"/>
  <c r="CTX116" i="8"/>
  <c r="CTW116" i="8"/>
  <c r="CTV116" i="8"/>
  <c r="CTU116" i="8"/>
  <c r="CTT116" i="8"/>
  <c r="CTS116" i="8"/>
  <c r="CTR116" i="8"/>
  <c r="CTQ116" i="8"/>
  <c r="CTP116" i="8"/>
  <c r="CTO116" i="8"/>
  <c r="CTN116" i="8"/>
  <c r="CTM116" i="8"/>
  <c r="CTL116" i="8"/>
  <c r="CTK116" i="8"/>
  <c r="CTJ116" i="8"/>
  <c r="CTI116" i="8"/>
  <c r="CTH116" i="8"/>
  <c r="CTG116" i="8"/>
  <c r="CTF116" i="8"/>
  <c r="CTE116" i="8"/>
  <c r="CTD116" i="8"/>
  <c r="CTC116" i="8"/>
  <c r="CTB116" i="8"/>
  <c r="CTA116" i="8"/>
  <c r="CSZ116" i="8"/>
  <c r="CSY116" i="8"/>
  <c r="CSX116" i="8"/>
  <c r="CSW116" i="8"/>
  <c r="CSV116" i="8"/>
  <c r="CSU116" i="8"/>
  <c r="CST116" i="8"/>
  <c r="CSS116" i="8"/>
  <c r="CSR116" i="8"/>
  <c r="CSQ116" i="8"/>
  <c r="CSP116" i="8"/>
  <c r="CSO116" i="8"/>
  <c r="CSN116" i="8"/>
  <c r="CSM116" i="8"/>
  <c r="CSL116" i="8"/>
  <c r="CSK116" i="8"/>
  <c r="CSJ116" i="8"/>
  <c r="CSI116" i="8"/>
  <c r="CSH116" i="8"/>
  <c r="CSG116" i="8"/>
  <c r="CSF116" i="8"/>
  <c r="CSE116" i="8"/>
  <c r="CSD116" i="8"/>
  <c r="CSC116" i="8"/>
  <c r="CSB116" i="8"/>
  <c r="CSA116" i="8"/>
  <c r="CRZ116" i="8"/>
  <c r="CRY116" i="8"/>
  <c r="CRX116" i="8"/>
  <c r="CRW116" i="8"/>
  <c r="CRV116" i="8"/>
  <c r="CRU116" i="8"/>
  <c r="CRT116" i="8"/>
  <c r="CRS116" i="8"/>
  <c r="CRR116" i="8"/>
  <c r="CRQ116" i="8"/>
  <c r="CRP116" i="8"/>
  <c r="CRO116" i="8"/>
  <c r="CRN116" i="8"/>
  <c r="CRM116" i="8"/>
  <c r="CRL116" i="8"/>
  <c r="CRK116" i="8"/>
  <c r="CRJ116" i="8"/>
  <c r="CRI116" i="8"/>
  <c r="CRH116" i="8"/>
  <c r="CRG116" i="8"/>
  <c r="CRF116" i="8"/>
  <c r="CRE116" i="8"/>
  <c r="CRD116" i="8"/>
  <c r="CRC116" i="8"/>
  <c r="CRB116" i="8"/>
  <c r="CRA116" i="8"/>
  <c r="CQZ116" i="8"/>
  <c r="CQY116" i="8"/>
  <c r="CQX116" i="8"/>
  <c r="CQW116" i="8"/>
  <c r="CQV116" i="8"/>
  <c r="CQU116" i="8"/>
  <c r="CQT116" i="8"/>
  <c r="CQS116" i="8"/>
  <c r="CQR116" i="8"/>
  <c r="CQQ116" i="8"/>
  <c r="CQP116" i="8"/>
  <c r="CQO116" i="8"/>
  <c r="CQN116" i="8"/>
  <c r="CQM116" i="8"/>
  <c r="CQL116" i="8"/>
  <c r="CQK116" i="8"/>
  <c r="CQJ116" i="8"/>
  <c r="CQI116" i="8"/>
  <c r="CQH116" i="8"/>
  <c r="CQG116" i="8"/>
  <c r="CQF116" i="8"/>
  <c r="CQE116" i="8"/>
  <c r="CQD116" i="8"/>
  <c r="CQC116" i="8"/>
  <c r="CQB116" i="8"/>
  <c r="CQA116" i="8"/>
  <c r="CPZ116" i="8"/>
  <c r="CPY116" i="8"/>
  <c r="CPX116" i="8"/>
  <c r="CPW116" i="8"/>
  <c r="CPV116" i="8"/>
  <c r="CPU116" i="8"/>
  <c r="CPT116" i="8"/>
  <c r="CPS116" i="8"/>
  <c r="CPR116" i="8"/>
  <c r="CPQ116" i="8"/>
  <c r="CPP116" i="8"/>
  <c r="CPO116" i="8"/>
  <c r="CPN116" i="8"/>
  <c r="CPM116" i="8"/>
  <c r="CPL116" i="8"/>
  <c r="CPK116" i="8"/>
  <c r="CPJ116" i="8"/>
  <c r="CPI116" i="8"/>
  <c r="CPH116" i="8"/>
  <c r="CPG116" i="8"/>
  <c r="CPF116" i="8"/>
  <c r="CPE116" i="8"/>
  <c r="CPD116" i="8"/>
  <c r="CPC116" i="8"/>
  <c r="CPB116" i="8"/>
  <c r="CPA116" i="8"/>
  <c r="COZ116" i="8"/>
  <c r="COY116" i="8"/>
  <c r="COX116" i="8"/>
  <c r="COW116" i="8"/>
  <c r="COV116" i="8"/>
  <c r="COU116" i="8"/>
  <c r="COT116" i="8"/>
  <c r="COS116" i="8"/>
  <c r="COR116" i="8"/>
  <c r="COQ116" i="8"/>
  <c r="COP116" i="8"/>
  <c r="COO116" i="8"/>
  <c r="CON116" i="8"/>
  <c r="COM116" i="8"/>
  <c r="COL116" i="8"/>
  <c r="COK116" i="8"/>
  <c r="COJ116" i="8"/>
  <c r="COI116" i="8"/>
  <c r="COH116" i="8"/>
  <c r="COG116" i="8"/>
  <c r="COF116" i="8"/>
  <c r="COE116" i="8"/>
  <c r="COD116" i="8"/>
  <c r="COC116" i="8"/>
  <c r="COB116" i="8"/>
  <c r="COA116" i="8"/>
  <c r="CNZ116" i="8"/>
  <c r="CNY116" i="8"/>
  <c r="CNX116" i="8"/>
  <c r="CNW116" i="8"/>
  <c r="CNV116" i="8"/>
  <c r="CNU116" i="8"/>
  <c r="CNT116" i="8"/>
  <c r="CNS116" i="8"/>
  <c r="CNR116" i="8"/>
  <c r="CNQ116" i="8"/>
  <c r="CNP116" i="8"/>
  <c r="CNO116" i="8"/>
  <c r="CNN116" i="8"/>
  <c r="CNM116" i="8"/>
  <c r="CNL116" i="8"/>
  <c r="CNK116" i="8"/>
  <c r="CNJ116" i="8"/>
  <c r="CNI116" i="8"/>
  <c r="CNH116" i="8"/>
  <c r="CNG116" i="8"/>
  <c r="CNF116" i="8"/>
  <c r="CNE116" i="8"/>
  <c r="CND116" i="8"/>
  <c r="CNC116" i="8"/>
  <c r="CNB116" i="8"/>
  <c r="CNA116" i="8"/>
  <c r="CMZ116" i="8"/>
  <c r="CMY116" i="8"/>
  <c r="CMX116" i="8"/>
  <c r="CMW116" i="8"/>
  <c r="CMV116" i="8"/>
  <c r="CMU116" i="8"/>
  <c r="CMT116" i="8"/>
  <c r="CMS116" i="8"/>
  <c r="CMR116" i="8"/>
  <c r="CMQ116" i="8"/>
  <c r="CMP116" i="8"/>
  <c r="CMO116" i="8"/>
  <c r="CMN116" i="8"/>
  <c r="CMM116" i="8"/>
  <c r="CML116" i="8"/>
  <c r="CMK116" i="8"/>
  <c r="CMJ116" i="8"/>
  <c r="CMI116" i="8"/>
  <c r="CMH116" i="8"/>
  <c r="CMG116" i="8"/>
  <c r="CMF116" i="8"/>
  <c r="CME116" i="8"/>
  <c r="CMD116" i="8"/>
  <c r="CMC116" i="8"/>
  <c r="CMB116" i="8"/>
  <c r="CMA116" i="8"/>
  <c r="CLZ116" i="8"/>
  <c r="CLY116" i="8"/>
  <c r="CLX116" i="8"/>
  <c r="CLW116" i="8"/>
  <c r="CLV116" i="8"/>
  <c r="CLU116" i="8"/>
  <c r="CLT116" i="8"/>
  <c r="CLS116" i="8"/>
  <c r="CLR116" i="8"/>
  <c r="CLQ116" i="8"/>
  <c r="CLP116" i="8"/>
  <c r="CLO116" i="8"/>
  <c r="CLN116" i="8"/>
  <c r="CLM116" i="8"/>
  <c r="CLL116" i="8"/>
  <c r="CLK116" i="8"/>
  <c r="CLJ116" i="8"/>
  <c r="CLI116" i="8"/>
  <c r="CLH116" i="8"/>
  <c r="CLG116" i="8"/>
  <c r="CLF116" i="8"/>
  <c r="CLE116" i="8"/>
  <c r="CLD116" i="8"/>
  <c r="CLC116" i="8"/>
  <c r="CLB116" i="8"/>
  <c r="CLA116" i="8"/>
  <c r="CKZ116" i="8"/>
  <c r="CKY116" i="8"/>
  <c r="CKX116" i="8"/>
  <c r="CKW116" i="8"/>
  <c r="CKV116" i="8"/>
  <c r="CKU116" i="8"/>
  <c r="CKT116" i="8"/>
  <c r="CKS116" i="8"/>
  <c r="CKR116" i="8"/>
  <c r="CKQ116" i="8"/>
  <c r="CKP116" i="8"/>
  <c r="CKO116" i="8"/>
  <c r="CKN116" i="8"/>
  <c r="CKM116" i="8"/>
  <c r="CKL116" i="8"/>
  <c r="CKK116" i="8"/>
  <c r="CKJ116" i="8"/>
  <c r="CKI116" i="8"/>
  <c r="CKH116" i="8"/>
  <c r="CKG116" i="8"/>
  <c r="CKF116" i="8"/>
  <c r="CKE116" i="8"/>
  <c r="CKD116" i="8"/>
  <c r="CKC116" i="8"/>
  <c r="CKB116" i="8"/>
  <c r="CKA116" i="8"/>
  <c r="CJZ116" i="8"/>
  <c r="CJY116" i="8"/>
  <c r="CJX116" i="8"/>
  <c r="CJW116" i="8"/>
  <c r="CJV116" i="8"/>
  <c r="CJU116" i="8"/>
  <c r="CJT116" i="8"/>
  <c r="CJS116" i="8"/>
  <c r="CJR116" i="8"/>
  <c r="CJQ116" i="8"/>
  <c r="CJP116" i="8"/>
  <c r="CJO116" i="8"/>
  <c r="CJN116" i="8"/>
  <c r="CJM116" i="8"/>
  <c r="CJL116" i="8"/>
  <c r="CJK116" i="8"/>
  <c r="CJJ116" i="8"/>
  <c r="CJI116" i="8"/>
  <c r="CJH116" i="8"/>
  <c r="CJG116" i="8"/>
  <c r="CJF116" i="8"/>
  <c r="CJE116" i="8"/>
  <c r="CJD116" i="8"/>
  <c r="CJC116" i="8"/>
  <c r="CJB116" i="8"/>
  <c r="CJA116" i="8"/>
  <c r="CIZ116" i="8"/>
  <c r="CIY116" i="8"/>
  <c r="CIX116" i="8"/>
  <c r="CIW116" i="8"/>
  <c r="CIV116" i="8"/>
  <c r="CIU116" i="8"/>
  <c r="CIT116" i="8"/>
  <c r="CIS116" i="8"/>
  <c r="CIR116" i="8"/>
  <c r="CIQ116" i="8"/>
  <c r="CIP116" i="8"/>
  <c r="CIO116" i="8"/>
  <c r="CIN116" i="8"/>
  <c r="CIM116" i="8"/>
  <c r="CIL116" i="8"/>
  <c r="CIK116" i="8"/>
  <c r="CIJ116" i="8"/>
  <c r="CII116" i="8"/>
  <c r="CIH116" i="8"/>
  <c r="CIG116" i="8"/>
  <c r="CIF116" i="8"/>
  <c r="CIE116" i="8"/>
  <c r="CID116" i="8"/>
  <c r="CIC116" i="8"/>
  <c r="CIB116" i="8"/>
  <c r="CIA116" i="8"/>
  <c r="CHZ116" i="8"/>
  <c r="CHY116" i="8"/>
  <c r="CHX116" i="8"/>
  <c r="CHW116" i="8"/>
  <c r="CHV116" i="8"/>
  <c r="CHU116" i="8"/>
  <c r="CHT116" i="8"/>
  <c r="CHS116" i="8"/>
  <c r="CHR116" i="8"/>
  <c r="CHQ116" i="8"/>
  <c r="CHP116" i="8"/>
  <c r="CHO116" i="8"/>
  <c r="CHN116" i="8"/>
  <c r="CHM116" i="8"/>
  <c r="CHL116" i="8"/>
  <c r="CHK116" i="8"/>
  <c r="CHJ116" i="8"/>
  <c r="CHI116" i="8"/>
  <c r="CHH116" i="8"/>
  <c r="CHG116" i="8"/>
  <c r="CHF116" i="8"/>
  <c r="CHE116" i="8"/>
  <c r="CHD116" i="8"/>
  <c r="CHC116" i="8"/>
  <c r="CHB116" i="8"/>
  <c r="CHA116" i="8"/>
  <c r="CGZ116" i="8"/>
  <c r="CGY116" i="8"/>
  <c r="CGX116" i="8"/>
  <c r="CGW116" i="8"/>
  <c r="CGV116" i="8"/>
  <c r="CGU116" i="8"/>
  <c r="CGT116" i="8"/>
  <c r="CGS116" i="8"/>
  <c r="CGR116" i="8"/>
  <c r="CGQ116" i="8"/>
  <c r="CGP116" i="8"/>
  <c r="CGO116" i="8"/>
  <c r="CGN116" i="8"/>
  <c r="CGM116" i="8"/>
  <c r="CGL116" i="8"/>
  <c r="CGK116" i="8"/>
  <c r="CGJ116" i="8"/>
  <c r="CGI116" i="8"/>
  <c r="CGH116" i="8"/>
  <c r="CGG116" i="8"/>
  <c r="CGF116" i="8"/>
  <c r="CGE116" i="8"/>
  <c r="CGD116" i="8"/>
  <c r="CGC116" i="8"/>
  <c r="CGB116" i="8"/>
  <c r="CGA116" i="8"/>
  <c r="CFZ116" i="8"/>
  <c r="CFY116" i="8"/>
  <c r="CFX116" i="8"/>
  <c r="CFW116" i="8"/>
  <c r="CFV116" i="8"/>
  <c r="CFU116" i="8"/>
  <c r="CFT116" i="8"/>
  <c r="CFS116" i="8"/>
  <c r="CFR116" i="8"/>
  <c r="CFQ116" i="8"/>
  <c r="CFP116" i="8"/>
  <c r="CFO116" i="8"/>
  <c r="CFN116" i="8"/>
  <c r="CFM116" i="8"/>
  <c r="CFL116" i="8"/>
  <c r="CFK116" i="8"/>
  <c r="CFJ116" i="8"/>
  <c r="CFI116" i="8"/>
  <c r="CFH116" i="8"/>
  <c r="CFG116" i="8"/>
  <c r="CFF116" i="8"/>
  <c r="CFE116" i="8"/>
  <c r="CFD116" i="8"/>
  <c r="CFC116" i="8"/>
  <c r="CFB116" i="8"/>
  <c r="CFA116" i="8"/>
  <c r="CEZ116" i="8"/>
  <c r="CEY116" i="8"/>
  <c r="CEX116" i="8"/>
  <c r="CEW116" i="8"/>
  <c r="CEV116" i="8"/>
  <c r="CEU116" i="8"/>
  <c r="CET116" i="8"/>
  <c r="CES116" i="8"/>
  <c r="CER116" i="8"/>
  <c r="CEQ116" i="8"/>
  <c r="CEP116" i="8"/>
  <c r="CEO116" i="8"/>
  <c r="CEN116" i="8"/>
  <c r="CEM116" i="8"/>
  <c r="CEL116" i="8"/>
  <c r="CEK116" i="8"/>
  <c r="CEJ116" i="8"/>
  <c r="CEI116" i="8"/>
  <c r="CEH116" i="8"/>
  <c r="CEG116" i="8"/>
  <c r="CEF116" i="8"/>
  <c r="CEE116" i="8"/>
  <c r="CED116" i="8"/>
  <c r="CEC116" i="8"/>
  <c r="CEB116" i="8"/>
  <c r="CEA116" i="8"/>
  <c r="CDZ116" i="8"/>
  <c r="CDY116" i="8"/>
  <c r="CDX116" i="8"/>
  <c r="CDW116" i="8"/>
  <c r="CDV116" i="8"/>
  <c r="CDU116" i="8"/>
  <c r="CDT116" i="8"/>
  <c r="CDS116" i="8"/>
  <c r="CDR116" i="8"/>
  <c r="CDQ116" i="8"/>
  <c r="CDP116" i="8"/>
  <c r="CDO116" i="8"/>
  <c r="CDN116" i="8"/>
  <c r="CDM116" i="8"/>
  <c r="CDL116" i="8"/>
  <c r="CDK116" i="8"/>
  <c r="CDJ116" i="8"/>
  <c r="CDI116" i="8"/>
  <c r="CDH116" i="8"/>
  <c r="CDG116" i="8"/>
  <c r="CDF116" i="8"/>
  <c r="CDE116" i="8"/>
  <c r="CDD116" i="8"/>
  <c r="CDC116" i="8"/>
  <c r="CDB116" i="8"/>
  <c r="CDA116" i="8"/>
  <c r="CCZ116" i="8"/>
  <c r="CCY116" i="8"/>
  <c r="CCX116" i="8"/>
  <c r="CCW116" i="8"/>
  <c r="CCV116" i="8"/>
  <c r="CCU116" i="8"/>
  <c r="CCT116" i="8"/>
  <c r="CCS116" i="8"/>
  <c r="CCR116" i="8"/>
  <c r="CCQ116" i="8"/>
  <c r="CCP116" i="8"/>
  <c r="CCO116" i="8"/>
  <c r="CCN116" i="8"/>
  <c r="CCM116" i="8"/>
  <c r="CCL116" i="8"/>
  <c r="CCK116" i="8"/>
  <c r="CCJ116" i="8"/>
  <c r="CCI116" i="8"/>
  <c r="CCH116" i="8"/>
  <c r="CCG116" i="8"/>
  <c r="CCF116" i="8"/>
  <c r="CCE116" i="8"/>
  <c r="CCD116" i="8"/>
  <c r="CCC116" i="8"/>
  <c r="CCB116" i="8"/>
  <c r="CCA116" i="8"/>
  <c r="CBZ116" i="8"/>
  <c r="CBY116" i="8"/>
  <c r="CBX116" i="8"/>
  <c r="CBW116" i="8"/>
  <c r="CBV116" i="8"/>
  <c r="CBU116" i="8"/>
  <c r="CBT116" i="8"/>
  <c r="CBS116" i="8"/>
  <c r="CBR116" i="8"/>
  <c r="CBQ116" i="8"/>
  <c r="CBP116" i="8"/>
  <c r="CBO116" i="8"/>
  <c r="CBN116" i="8"/>
  <c r="CBM116" i="8"/>
  <c r="CBL116" i="8"/>
  <c r="CBK116" i="8"/>
  <c r="CBJ116" i="8"/>
  <c r="CBI116" i="8"/>
  <c r="CBH116" i="8"/>
  <c r="CBG116" i="8"/>
  <c r="CBF116" i="8"/>
  <c r="CBE116" i="8"/>
  <c r="CBD116" i="8"/>
  <c r="CBC116" i="8"/>
  <c r="CBB116" i="8"/>
  <c r="CBA116" i="8"/>
  <c r="CAZ116" i="8"/>
  <c r="CAY116" i="8"/>
  <c r="CAX116" i="8"/>
  <c r="CAW116" i="8"/>
  <c r="CAV116" i="8"/>
  <c r="CAU116" i="8"/>
  <c r="CAT116" i="8"/>
  <c r="CAS116" i="8"/>
  <c r="CAR116" i="8"/>
  <c r="CAQ116" i="8"/>
  <c r="CAP116" i="8"/>
  <c r="CAO116" i="8"/>
  <c r="CAN116" i="8"/>
  <c r="CAM116" i="8"/>
  <c r="CAL116" i="8"/>
  <c r="CAK116" i="8"/>
  <c r="CAJ116" i="8"/>
  <c r="CAI116" i="8"/>
  <c r="CAH116" i="8"/>
  <c r="CAG116" i="8"/>
  <c r="CAF116" i="8"/>
  <c r="CAE116" i="8"/>
  <c r="CAD116" i="8"/>
  <c r="CAC116" i="8"/>
  <c r="CAB116" i="8"/>
  <c r="CAA116" i="8"/>
  <c r="BZZ116" i="8"/>
  <c r="BZY116" i="8"/>
  <c r="BZX116" i="8"/>
  <c r="BZW116" i="8"/>
  <c r="BZV116" i="8"/>
  <c r="BZU116" i="8"/>
  <c r="BZT116" i="8"/>
  <c r="BZS116" i="8"/>
  <c r="BZR116" i="8"/>
  <c r="BZQ116" i="8"/>
  <c r="BZP116" i="8"/>
  <c r="BZO116" i="8"/>
  <c r="BZN116" i="8"/>
  <c r="BZM116" i="8"/>
  <c r="BZL116" i="8"/>
  <c r="BZK116" i="8"/>
  <c r="BZJ116" i="8"/>
  <c r="BZI116" i="8"/>
  <c r="BZH116" i="8"/>
  <c r="BZG116" i="8"/>
  <c r="BZF116" i="8"/>
  <c r="BZE116" i="8"/>
  <c r="BZD116" i="8"/>
  <c r="BZC116" i="8"/>
  <c r="BZB116" i="8"/>
  <c r="BZA116" i="8"/>
  <c r="BYZ116" i="8"/>
  <c r="BYY116" i="8"/>
  <c r="BYX116" i="8"/>
  <c r="BYW116" i="8"/>
  <c r="BYV116" i="8"/>
  <c r="BYU116" i="8"/>
  <c r="BYT116" i="8"/>
  <c r="BYS116" i="8"/>
  <c r="BYR116" i="8"/>
  <c r="BYQ116" i="8"/>
  <c r="BYP116" i="8"/>
  <c r="BYO116" i="8"/>
  <c r="BYN116" i="8"/>
  <c r="BYM116" i="8"/>
  <c r="BYL116" i="8"/>
  <c r="BYK116" i="8"/>
  <c r="BYJ116" i="8"/>
  <c r="BYI116" i="8"/>
  <c r="BYH116" i="8"/>
  <c r="BYG116" i="8"/>
  <c r="BYF116" i="8"/>
  <c r="BYE116" i="8"/>
  <c r="BYD116" i="8"/>
  <c r="BYC116" i="8"/>
  <c r="BYB116" i="8"/>
  <c r="BYA116" i="8"/>
  <c r="BXZ116" i="8"/>
  <c r="BXY116" i="8"/>
  <c r="BXX116" i="8"/>
  <c r="BXW116" i="8"/>
  <c r="BXV116" i="8"/>
  <c r="BXU116" i="8"/>
  <c r="BXT116" i="8"/>
  <c r="BXS116" i="8"/>
  <c r="BXR116" i="8"/>
  <c r="BXQ116" i="8"/>
  <c r="BXP116" i="8"/>
  <c r="BXO116" i="8"/>
  <c r="BXN116" i="8"/>
  <c r="BXM116" i="8"/>
  <c r="BXL116" i="8"/>
  <c r="BXK116" i="8"/>
  <c r="BXJ116" i="8"/>
  <c r="BXI116" i="8"/>
  <c r="BXH116" i="8"/>
  <c r="BXG116" i="8"/>
  <c r="BXF116" i="8"/>
  <c r="BXE116" i="8"/>
  <c r="BXD116" i="8"/>
  <c r="BXC116" i="8"/>
  <c r="BXB116" i="8"/>
  <c r="BXA116" i="8"/>
  <c r="BWZ116" i="8"/>
  <c r="BWY116" i="8"/>
  <c r="BWX116" i="8"/>
  <c r="BWW116" i="8"/>
  <c r="BWV116" i="8"/>
  <c r="BWU116" i="8"/>
  <c r="BWT116" i="8"/>
  <c r="BWS116" i="8"/>
  <c r="BWR116" i="8"/>
  <c r="BWQ116" i="8"/>
  <c r="BWP116" i="8"/>
  <c r="BWO116" i="8"/>
  <c r="BWN116" i="8"/>
  <c r="BWM116" i="8"/>
  <c r="BWL116" i="8"/>
  <c r="BWK116" i="8"/>
  <c r="BWJ116" i="8"/>
  <c r="BWI116" i="8"/>
  <c r="BWH116" i="8"/>
  <c r="BWG116" i="8"/>
  <c r="BWF116" i="8"/>
  <c r="BWE116" i="8"/>
  <c r="BWD116" i="8"/>
  <c r="BWC116" i="8"/>
  <c r="BWB116" i="8"/>
  <c r="BWA116" i="8"/>
  <c r="BVZ116" i="8"/>
  <c r="BVY116" i="8"/>
  <c r="BVX116" i="8"/>
  <c r="BVW116" i="8"/>
  <c r="BVV116" i="8"/>
  <c r="BVU116" i="8"/>
  <c r="BVT116" i="8"/>
  <c r="BVS116" i="8"/>
  <c r="BVR116" i="8"/>
  <c r="BVQ116" i="8"/>
  <c r="BVP116" i="8"/>
  <c r="BVO116" i="8"/>
  <c r="BVN116" i="8"/>
  <c r="BVM116" i="8"/>
  <c r="BVL116" i="8"/>
  <c r="BVK116" i="8"/>
  <c r="BVJ116" i="8"/>
  <c r="BVI116" i="8"/>
  <c r="BVH116" i="8"/>
  <c r="BVG116" i="8"/>
  <c r="BVF116" i="8"/>
  <c r="BVE116" i="8"/>
  <c r="BVD116" i="8"/>
  <c r="BVC116" i="8"/>
  <c r="BVB116" i="8"/>
  <c r="BVA116" i="8"/>
  <c r="BUZ116" i="8"/>
  <c r="BUY116" i="8"/>
  <c r="BUX116" i="8"/>
  <c r="BUW116" i="8"/>
  <c r="BUV116" i="8"/>
  <c r="BUU116" i="8"/>
  <c r="BUT116" i="8"/>
  <c r="BUS116" i="8"/>
  <c r="BUR116" i="8"/>
  <c r="BUQ116" i="8"/>
  <c r="BUP116" i="8"/>
  <c r="BUO116" i="8"/>
  <c r="BUN116" i="8"/>
  <c r="BUM116" i="8"/>
  <c r="BUL116" i="8"/>
  <c r="BUK116" i="8"/>
  <c r="BUJ116" i="8"/>
  <c r="BUI116" i="8"/>
  <c r="BUH116" i="8"/>
  <c r="BUG116" i="8"/>
  <c r="BUF116" i="8"/>
  <c r="BUE116" i="8"/>
  <c r="BUD116" i="8"/>
  <c r="BUC116" i="8"/>
  <c r="BUB116" i="8"/>
  <c r="BUA116" i="8"/>
  <c r="BTZ116" i="8"/>
  <c r="BTY116" i="8"/>
  <c r="BTX116" i="8"/>
  <c r="BTW116" i="8"/>
  <c r="BTV116" i="8"/>
  <c r="BTU116" i="8"/>
  <c r="BTT116" i="8"/>
  <c r="BTS116" i="8"/>
  <c r="BTR116" i="8"/>
  <c r="BTQ116" i="8"/>
  <c r="BTP116" i="8"/>
  <c r="BTO116" i="8"/>
  <c r="BTN116" i="8"/>
  <c r="BTM116" i="8"/>
  <c r="BTL116" i="8"/>
  <c r="BTK116" i="8"/>
  <c r="BTJ116" i="8"/>
  <c r="BTI116" i="8"/>
  <c r="BTH116" i="8"/>
  <c r="BTG116" i="8"/>
  <c r="BTF116" i="8"/>
  <c r="BTE116" i="8"/>
  <c r="BTD116" i="8"/>
  <c r="BTC116" i="8"/>
  <c r="BTB116" i="8"/>
  <c r="BTA116" i="8"/>
  <c r="BSZ116" i="8"/>
  <c r="BSY116" i="8"/>
  <c r="BSX116" i="8"/>
  <c r="BSW116" i="8"/>
  <c r="BSV116" i="8"/>
  <c r="BSU116" i="8"/>
  <c r="BST116" i="8"/>
  <c r="BSS116" i="8"/>
  <c r="BSR116" i="8"/>
  <c r="BSQ116" i="8"/>
  <c r="BSP116" i="8"/>
  <c r="BSO116" i="8"/>
  <c r="BSN116" i="8"/>
  <c r="BSM116" i="8"/>
  <c r="BSL116" i="8"/>
  <c r="BSK116" i="8"/>
  <c r="BSJ116" i="8"/>
  <c r="BSI116" i="8"/>
  <c r="BSH116" i="8"/>
  <c r="BSG116" i="8"/>
  <c r="BSF116" i="8"/>
  <c r="BSE116" i="8"/>
  <c r="BSD116" i="8"/>
  <c r="BSC116" i="8"/>
  <c r="BSB116" i="8"/>
  <c r="BSA116" i="8"/>
  <c r="BRZ116" i="8"/>
  <c r="BRY116" i="8"/>
  <c r="BRX116" i="8"/>
  <c r="BRW116" i="8"/>
  <c r="BRV116" i="8"/>
  <c r="BRU116" i="8"/>
  <c r="BRT116" i="8"/>
  <c r="BRS116" i="8"/>
  <c r="BRR116" i="8"/>
  <c r="BRQ116" i="8"/>
  <c r="BRP116" i="8"/>
  <c r="BRO116" i="8"/>
  <c r="BRN116" i="8"/>
  <c r="BRM116" i="8"/>
  <c r="BRL116" i="8"/>
  <c r="BRK116" i="8"/>
  <c r="BRJ116" i="8"/>
  <c r="BRI116" i="8"/>
  <c r="BRH116" i="8"/>
  <c r="BRG116" i="8"/>
  <c r="BRF116" i="8"/>
  <c r="BRE116" i="8"/>
  <c r="BRD116" i="8"/>
  <c r="BRC116" i="8"/>
  <c r="BRB116" i="8"/>
  <c r="BRA116" i="8"/>
  <c r="BQZ116" i="8"/>
  <c r="BQY116" i="8"/>
  <c r="BQX116" i="8"/>
  <c r="BQW116" i="8"/>
  <c r="BQV116" i="8"/>
  <c r="BQU116" i="8"/>
  <c r="BQT116" i="8"/>
  <c r="BQS116" i="8"/>
  <c r="BQR116" i="8"/>
  <c r="BQQ116" i="8"/>
  <c r="BQP116" i="8"/>
  <c r="BQO116" i="8"/>
  <c r="BQN116" i="8"/>
  <c r="BQM116" i="8"/>
  <c r="BQL116" i="8"/>
  <c r="BQK116" i="8"/>
  <c r="BQJ116" i="8"/>
  <c r="BQI116" i="8"/>
  <c r="BQH116" i="8"/>
  <c r="BQG116" i="8"/>
  <c r="BQF116" i="8"/>
  <c r="BQE116" i="8"/>
  <c r="BQD116" i="8"/>
  <c r="BQC116" i="8"/>
  <c r="BQB116" i="8"/>
  <c r="BQA116" i="8"/>
  <c r="BPZ116" i="8"/>
  <c r="BPY116" i="8"/>
  <c r="BPX116" i="8"/>
  <c r="BPW116" i="8"/>
  <c r="BPV116" i="8"/>
  <c r="BPU116" i="8"/>
  <c r="BPT116" i="8"/>
  <c r="BPS116" i="8"/>
  <c r="BPR116" i="8"/>
  <c r="BPQ116" i="8"/>
  <c r="BPP116" i="8"/>
  <c r="BPO116" i="8"/>
  <c r="BPN116" i="8"/>
  <c r="BPM116" i="8"/>
  <c r="BPL116" i="8"/>
  <c r="BPK116" i="8"/>
  <c r="BPJ116" i="8"/>
  <c r="BPI116" i="8"/>
  <c r="BPH116" i="8"/>
  <c r="BPG116" i="8"/>
  <c r="BPF116" i="8"/>
  <c r="BPE116" i="8"/>
  <c r="BPD116" i="8"/>
  <c r="BPC116" i="8"/>
  <c r="BPB116" i="8"/>
  <c r="BPA116" i="8"/>
  <c r="BOZ116" i="8"/>
  <c r="BOY116" i="8"/>
  <c r="BOX116" i="8"/>
  <c r="BOW116" i="8"/>
  <c r="BOV116" i="8"/>
  <c r="BOU116" i="8"/>
  <c r="BOT116" i="8"/>
  <c r="BOS116" i="8"/>
  <c r="BOR116" i="8"/>
  <c r="BOQ116" i="8"/>
  <c r="BOP116" i="8"/>
  <c r="BOO116" i="8"/>
  <c r="BON116" i="8"/>
  <c r="BOM116" i="8"/>
  <c r="BOL116" i="8"/>
  <c r="BOK116" i="8"/>
  <c r="BOJ116" i="8"/>
  <c r="BOI116" i="8"/>
  <c r="BOH116" i="8"/>
  <c r="BOG116" i="8"/>
  <c r="BOF116" i="8"/>
  <c r="BOE116" i="8"/>
  <c r="BOD116" i="8"/>
  <c r="BOC116" i="8"/>
  <c r="BOB116" i="8"/>
  <c r="BOA116" i="8"/>
  <c r="BNZ116" i="8"/>
  <c r="BNY116" i="8"/>
  <c r="BNX116" i="8"/>
  <c r="BNW116" i="8"/>
  <c r="BNV116" i="8"/>
  <c r="BNU116" i="8"/>
  <c r="BNT116" i="8"/>
  <c r="BNS116" i="8"/>
  <c r="BNR116" i="8"/>
  <c r="BNQ116" i="8"/>
  <c r="BNP116" i="8"/>
  <c r="BNO116" i="8"/>
  <c r="BNN116" i="8"/>
  <c r="BNM116" i="8"/>
  <c r="BNL116" i="8"/>
  <c r="BNK116" i="8"/>
  <c r="BNJ116" i="8"/>
  <c r="BNI116" i="8"/>
  <c r="BNH116" i="8"/>
  <c r="BNG116" i="8"/>
  <c r="BNF116" i="8"/>
  <c r="BNE116" i="8"/>
  <c r="BND116" i="8"/>
  <c r="BNC116" i="8"/>
  <c r="BNB116" i="8"/>
  <c r="BNA116" i="8"/>
  <c r="BMZ116" i="8"/>
  <c r="BMY116" i="8"/>
  <c r="BMX116" i="8"/>
  <c r="BMW116" i="8"/>
  <c r="BMV116" i="8"/>
  <c r="BMU116" i="8"/>
  <c r="BMT116" i="8"/>
  <c r="BMS116" i="8"/>
  <c r="BMR116" i="8"/>
  <c r="BMQ116" i="8"/>
  <c r="BMP116" i="8"/>
  <c r="BMO116" i="8"/>
  <c r="BMN116" i="8"/>
  <c r="BMM116" i="8"/>
  <c r="BML116" i="8"/>
  <c r="BMK116" i="8"/>
  <c r="BMJ116" i="8"/>
  <c r="BMI116" i="8"/>
  <c r="BMH116" i="8"/>
  <c r="BMG116" i="8"/>
  <c r="BMF116" i="8"/>
  <c r="BME116" i="8"/>
  <c r="BMD116" i="8"/>
  <c r="BMC116" i="8"/>
  <c r="BMB116" i="8"/>
  <c r="BMA116" i="8"/>
  <c r="BLZ116" i="8"/>
  <c r="BLY116" i="8"/>
  <c r="BLX116" i="8"/>
  <c r="BLW116" i="8"/>
  <c r="BLV116" i="8"/>
  <c r="BLU116" i="8"/>
  <c r="BLT116" i="8"/>
  <c r="BLS116" i="8"/>
  <c r="BLR116" i="8"/>
  <c r="BLQ116" i="8"/>
  <c r="BLP116" i="8"/>
  <c r="BLO116" i="8"/>
  <c r="BLN116" i="8"/>
  <c r="BLM116" i="8"/>
  <c r="BLL116" i="8"/>
  <c r="BLK116" i="8"/>
  <c r="BLJ116" i="8"/>
  <c r="BLI116" i="8"/>
  <c r="BLH116" i="8"/>
  <c r="BLG116" i="8"/>
  <c r="BLF116" i="8"/>
  <c r="BLE116" i="8"/>
  <c r="BLD116" i="8"/>
  <c r="BLC116" i="8"/>
  <c r="BLB116" i="8"/>
  <c r="BLA116" i="8"/>
  <c r="BKZ116" i="8"/>
  <c r="BKY116" i="8"/>
  <c r="BKX116" i="8"/>
  <c r="BKW116" i="8"/>
  <c r="BKV116" i="8"/>
  <c r="BKU116" i="8"/>
  <c r="BKT116" i="8"/>
  <c r="BKS116" i="8"/>
  <c r="BKR116" i="8"/>
  <c r="BKQ116" i="8"/>
  <c r="BKP116" i="8"/>
  <c r="BKO116" i="8"/>
  <c r="BKN116" i="8"/>
  <c r="BKM116" i="8"/>
  <c r="BKL116" i="8"/>
  <c r="BKK116" i="8"/>
  <c r="BKJ116" i="8"/>
  <c r="BKI116" i="8"/>
  <c r="BKH116" i="8"/>
  <c r="BKG116" i="8"/>
  <c r="BKF116" i="8"/>
  <c r="BKE116" i="8"/>
  <c r="BKD116" i="8"/>
  <c r="BKC116" i="8"/>
  <c r="BKB116" i="8"/>
  <c r="BKA116" i="8"/>
  <c r="BJZ116" i="8"/>
  <c r="BJY116" i="8"/>
  <c r="BJX116" i="8"/>
  <c r="BJW116" i="8"/>
  <c r="BJV116" i="8"/>
  <c r="BJU116" i="8"/>
  <c r="BJT116" i="8"/>
  <c r="BJS116" i="8"/>
  <c r="BJR116" i="8"/>
  <c r="BJQ116" i="8"/>
  <c r="BJP116" i="8"/>
  <c r="BJO116" i="8"/>
  <c r="BJN116" i="8"/>
  <c r="BJM116" i="8"/>
  <c r="BJL116" i="8"/>
  <c r="BJK116" i="8"/>
  <c r="BJJ116" i="8"/>
  <c r="BJI116" i="8"/>
  <c r="BJH116" i="8"/>
  <c r="BJG116" i="8"/>
  <c r="BJF116" i="8"/>
  <c r="BJE116" i="8"/>
  <c r="BJD116" i="8"/>
  <c r="BJC116" i="8"/>
  <c r="BJB116" i="8"/>
  <c r="BJA116" i="8"/>
  <c r="BIZ116" i="8"/>
  <c r="BIY116" i="8"/>
  <c r="BIX116" i="8"/>
  <c r="BIW116" i="8"/>
  <c r="BIV116" i="8"/>
  <c r="BIU116" i="8"/>
  <c r="BIT116" i="8"/>
  <c r="BIS116" i="8"/>
  <c r="BIR116" i="8"/>
  <c r="BIQ116" i="8"/>
  <c r="BIP116" i="8"/>
  <c r="BIO116" i="8"/>
  <c r="BIN116" i="8"/>
  <c r="BIM116" i="8"/>
  <c r="BIL116" i="8"/>
  <c r="BIK116" i="8"/>
  <c r="BIJ116" i="8"/>
  <c r="BII116" i="8"/>
  <c r="BIH116" i="8"/>
  <c r="BIG116" i="8"/>
  <c r="BIF116" i="8"/>
  <c r="BIE116" i="8"/>
  <c r="BID116" i="8"/>
  <c r="BIC116" i="8"/>
  <c r="BIB116" i="8"/>
  <c r="BIA116" i="8"/>
  <c r="BHZ116" i="8"/>
  <c r="BHY116" i="8"/>
  <c r="BHX116" i="8"/>
  <c r="BHW116" i="8"/>
  <c r="BHV116" i="8"/>
  <c r="BHU116" i="8"/>
  <c r="BHT116" i="8"/>
  <c r="BHS116" i="8"/>
  <c r="BHR116" i="8"/>
  <c r="BHQ116" i="8"/>
  <c r="BHP116" i="8"/>
  <c r="BHO116" i="8"/>
  <c r="BHN116" i="8"/>
  <c r="BHM116" i="8"/>
  <c r="BHL116" i="8"/>
  <c r="BHK116" i="8"/>
  <c r="BHJ116" i="8"/>
  <c r="BHI116" i="8"/>
  <c r="BHH116" i="8"/>
  <c r="BHG116" i="8"/>
  <c r="BHF116" i="8"/>
  <c r="BHE116" i="8"/>
  <c r="BHD116" i="8"/>
  <c r="BHC116" i="8"/>
  <c r="BHB116" i="8"/>
  <c r="BHA116" i="8"/>
  <c r="BGZ116" i="8"/>
  <c r="BGY116" i="8"/>
  <c r="BGX116" i="8"/>
  <c r="BGW116" i="8"/>
  <c r="BGV116" i="8"/>
  <c r="BGU116" i="8"/>
  <c r="BGT116" i="8"/>
  <c r="BGS116" i="8"/>
  <c r="BGR116" i="8"/>
  <c r="BGQ116" i="8"/>
  <c r="BGP116" i="8"/>
  <c r="BGO116" i="8"/>
  <c r="BGN116" i="8"/>
  <c r="BGM116" i="8"/>
  <c r="BGL116" i="8"/>
  <c r="BGK116" i="8"/>
  <c r="BGJ116" i="8"/>
  <c r="BGI116" i="8"/>
  <c r="BGH116" i="8"/>
  <c r="BGG116" i="8"/>
  <c r="BGF116" i="8"/>
  <c r="BGE116" i="8"/>
  <c r="BGD116" i="8"/>
  <c r="BGC116" i="8"/>
  <c r="BGB116" i="8"/>
  <c r="BGA116" i="8"/>
  <c r="BFZ116" i="8"/>
  <c r="BFY116" i="8"/>
  <c r="BFX116" i="8"/>
  <c r="BFW116" i="8"/>
  <c r="BFV116" i="8"/>
  <c r="BFU116" i="8"/>
  <c r="BFT116" i="8"/>
  <c r="BFS116" i="8"/>
  <c r="BFR116" i="8"/>
  <c r="BFQ116" i="8"/>
  <c r="BFP116" i="8"/>
  <c r="BFO116" i="8"/>
  <c r="BFN116" i="8"/>
  <c r="BFM116" i="8"/>
  <c r="BFL116" i="8"/>
  <c r="BFK116" i="8"/>
  <c r="BFJ116" i="8"/>
  <c r="BFI116" i="8"/>
  <c r="BFH116" i="8"/>
  <c r="BFG116" i="8"/>
  <c r="BFF116" i="8"/>
  <c r="BFE116" i="8"/>
  <c r="BFD116" i="8"/>
  <c r="BFC116" i="8"/>
  <c r="BFB116" i="8"/>
  <c r="BFA116" i="8"/>
  <c r="BEZ116" i="8"/>
  <c r="BEY116" i="8"/>
  <c r="BEX116" i="8"/>
  <c r="BEW116" i="8"/>
  <c r="BEV116" i="8"/>
  <c r="BEU116" i="8"/>
  <c r="BET116" i="8"/>
  <c r="BES116" i="8"/>
  <c r="BER116" i="8"/>
  <c r="BEQ116" i="8"/>
  <c r="BEP116" i="8"/>
  <c r="BEO116" i="8"/>
  <c r="BEN116" i="8"/>
  <c r="BEM116" i="8"/>
  <c r="BEL116" i="8"/>
  <c r="BEK116" i="8"/>
  <c r="BEJ116" i="8"/>
  <c r="BEI116" i="8"/>
  <c r="BEH116" i="8"/>
  <c r="BEG116" i="8"/>
  <c r="BEF116" i="8"/>
  <c r="BEE116" i="8"/>
  <c r="BED116" i="8"/>
  <c r="BEC116" i="8"/>
  <c r="BEB116" i="8"/>
  <c r="BEA116" i="8"/>
  <c r="BDZ116" i="8"/>
  <c r="BDY116" i="8"/>
  <c r="BDX116" i="8"/>
  <c r="BDW116" i="8"/>
  <c r="BDV116" i="8"/>
  <c r="BDU116" i="8"/>
  <c r="BDT116" i="8"/>
  <c r="BDS116" i="8"/>
  <c r="BDR116" i="8"/>
  <c r="BDQ116" i="8"/>
  <c r="BDP116" i="8"/>
  <c r="BDO116" i="8"/>
  <c r="BDN116" i="8"/>
  <c r="BDM116" i="8"/>
  <c r="BDL116" i="8"/>
  <c r="BDK116" i="8"/>
  <c r="BDJ116" i="8"/>
  <c r="BDI116" i="8"/>
  <c r="BDH116" i="8"/>
  <c r="BDG116" i="8"/>
  <c r="BDF116" i="8"/>
  <c r="BDE116" i="8"/>
  <c r="BDD116" i="8"/>
  <c r="BDC116" i="8"/>
  <c r="BDB116" i="8"/>
  <c r="BDA116" i="8"/>
  <c r="BCZ116" i="8"/>
  <c r="BCY116" i="8"/>
  <c r="BCX116" i="8"/>
  <c r="BCW116" i="8"/>
  <c r="BCV116" i="8"/>
  <c r="BCU116" i="8"/>
  <c r="BCT116" i="8"/>
  <c r="BCS116" i="8"/>
  <c r="BCR116" i="8"/>
  <c r="BCQ116" i="8"/>
  <c r="BCP116" i="8"/>
  <c r="BCO116" i="8"/>
  <c r="BCN116" i="8"/>
  <c r="BCM116" i="8"/>
  <c r="BCL116" i="8"/>
  <c r="BCK116" i="8"/>
  <c r="BCJ116" i="8"/>
  <c r="BCI116" i="8"/>
  <c r="BCH116" i="8"/>
  <c r="BCG116" i="8"/>
  <c r="BCF116" i="8"/>
  <c r="BCE116" i="8"/>
  <c r="BCD116" i="8"/>
  <c r="BCC116" i="8"/>
  <c r="BCB116" i="8"/>
  <c r="BCA116" i="8"/>
  <c r="BBZ116" i="8"/>
  <c r="BBY116" i="8"/>
  <c r="BBX116" i="8"/>
  <c r="BBW116" i="8"/>
  <c r="BBV116" i="8"/>
  <c r="BBU116" i="8"/>
  <c r="BBT116" i="8"/>
  <c r="BBS116" i="8"/>
  <c r="BBR116" i="8"/>
  <c r="BBQ116" i="8"/>
  <c r="BBP116" i="8"/>
  <c r="BBO116" i="8"/>
  <c r="BBN116" i="8"/>
  <c r="BBM116" i="8"/>
  <c r="BBL116" i="8"/>
  <c r="BBK116" i="8"/>
  <c r="BBJ116" i="8"/>
  <c r="BBI116" i="8"/>
  <c r="BBH116" i="8"/>
  <c r="BBG116" i="8"/>
  <c r="BBF116" i="8"/>
  <c r="BBE116" i="8"/>
  <c r="BBD116" i="8"/>
  <c r="BBC116" i="8"/>
  <c r="BBB116" i="8"/>
  <c r="BBA116" i="8"/>
  <c r="BAZ116" i="8"/>
  <c r="BAY116" i="8"/>
  <c r="BAX116" i="8"/>
  <c r="BAW116" i="8"/>
  <c r="BAV116" i="8"/>
  <c r="BAU116" i="8"/>
  <c r="BAT116" i="8"/>
  <c r="BAS116" i="8"/>
  <c r="BAR116" i="8"/>
  <c r="BAQ116" i="8"/>
  <c r="BAP116" i="8"/>
  <c r="BAO116" i="8"/>
  <c r="BAN116" i="8"/>
  <c r="BAM116" i="8"/>
  <c r="BAL116" i="8"/>
  <c r="BAK116" i="8"/>
  <c r="BAJ116" i="8"/>
  <c r="BAI116" i="8"/>
  <c r="BAH116" i="8"/>
  <c r="BAG116" i="8"/>
  <c r="BAF116" i="8"/>
  <c r="BAE116" i="8"/>
  <c r="BAD116" i="8"/>
  <c r="BAC116" i="8"/>
  <c r="BAB116" i="8"/>
  <c r="BAA116" i="8"/>
  <c r="AZZ116" i="8"/>
  <c r="AZY116" i="8"/>
  <c r="AZX116" i="8"/>
  <c r="AZW116" i="8"/>
  <c r="AZV116" i="8"/>
  <c r="AZU116" i="8"/>
  <c r="AZT116" i="8"/>
  <c r="AZS116" i="8"/>
  <c r="AZR116" i="8"/>
  <c r="AZQ116" i="8"/>
  <c r="AZP116" i="8"/>
  <c r="AZO116" i="8"/>
  <c r="AZN116" i="8"/>
  <c r="AZM116" i="8"/>
  <c r="AZL116" i="8"/>
  <c r="AZK116" i="8"/>
  <c r="AZJ116" i="8"/>
  <c r="AZI116" i="8"/>
  <c r="AZH116" i="8"/>
  <c r="AZG116" i="8"/>
  <c r="AZF116" i="8"/>
  <c r="AZE116" i="8"/>
  <c r="AZD116" i="8"/>
  <c r="AZC116" i="8"/>
  <c r="AZB116" i="8"/>
  <c r="AZA116" i="8"/>
  <c r="AYZ116" i="8"/>
  <c r="AYY116" i="8"/>
  <c r="AYX116" i="8"/>
  <c r="AYW116" i="8"/>
  <c r="AYV116" i="8"/>
  <c r="AYU116" i="8"/>
  <c r="AYT116" i="8"/>
  <c r="AYS116" i="8"/>
  <c r="AYR116" i="8"/>
  <c r="AYQ116" i="8"/>
  <c r="AYP116" i="8"/>
  <c r="AYO116" i="8"/>
  <c r="AYN116" i="8"/>
  <c r="AYM116" i="8"/>
  <c r="AYL116" i="8"/>
  <c r="AYK116" i="8"/>
  <c r="AYJ116" i="8"/>
  <c r="AYI116" i="8"/>
  <c r="AYH116" i="8"/>
  <c r="AYG116" i="8"/>
  <c r="AYF116" i="8"/>
  <c r="AYE116" i="8"/>
  <c r="AYD116" i="8"/>
  <c r="AYC116" i="8"/>
  <c r="AYB116" i="8"/>
  <c r="AYA116" i="8"/>
  <c r="AXZ116" i="8"/>
  <c r="AXY116" i="8"/>
  <c r="AXX116" i="8"/>
  <c r="AXW116" i="8"/>
  <c r="AXV116" i="8"/>
  <c r="AXU116" i="8"/>
  <c r="AXT116" i="8"/>
  <c r="AXS116" i="8"/>
  <c r="AXR116" i="8"/>
  <c r="AXQ116" i="8"/>
  <c r="AXP116" i="8"/>
  <c r="AXO116" i="8"/>
  <c r="AXN116" i="8"/>
  <c r="AXM116" i="8"/>
  <c r="AXL116" i="8"/>
  <c r="AXK116" i="8"/>
  <c r="AXJ116" i="8"/>
  <c r="AXI116" i="8"/>
  <c r="AXH116" i="8"/>
  <c r="AXG116" i="8"/>
  <c r="AXF116" i="8"/>
  <c r="AXE116" i="8"/>
  <c r="AXD116" i="8"/>
  <c r="AXC116" i="8"/>
  <c r="AXB116" i="8"/>
  <c r="AXA116" i="8"/>
  <c r="AWZ116" i="8"/>
  <c r="AWY116" i="8"/>
  <c r="AWX116" i="8"/>
  <c r="AWW116" i="8"/>
  <c r="AWV116" i="8"/>
  <c r="AWU116" i="8"/>
  <c r="AWT116" i="8"/>
  <c r="AWS116" i="8"/>
  <c r="AWR116" i="8"/>
  <c r="AWQ116" i="8"/>
  <c r="AWP116" i="8"/>
  <c r="AWO116" i="8"/>
  <c r="AWN116" i="8"/>
  <c r="AWM116" i="8"/>
  <c r="AWL116" i="8"/>
  <c r="AWK116" i="8"/>
  <c r="AWJ116" i="8"/>
  <c r="AWI116" i="8"/>
  <c r="AWH116" i="8"/>
  <c r="AWG116" i="8"/>
  <c r="AWF116" i="8"/>
  <c r="AWE116" i="8"/>
  <c r="AWD116" i="8"/>
  <c r="AWC116" i="8"/>
  <c r="AWB116" i="8"/>
  <c r="AWA116" i="8"/>
  <c r="AVZ116" i="8"/>
  <c r="AVY116" i="8"/>
  <c r="AVX116" i="8"/>
  <c r="AVW116" i="8"/>
  <c r="AVV116" i="8"/>
  <c r="AVU116" i="8"/>
  <c r="AVT116" i="8"/>
  <c r="AVS116" i="8"/>
  <c r="AVR116" i="8"/>
  <c r="AVQ116" i="8"/>
  <c r="AVP116" i="8"/>
  <c r="AVO116" i="8"/>
  <c r="AVN116" i="8"/>
  <c r="AVM116" i="8"/>
  <c r="AVL116" i="8"/>
  <c r="AVK116" i="8"/>
  <c r="AVJ116" i="8"/>
  <c r="AVI116" i="8"/>
  <c r="AVH116" i="8"/>
  <c r="AVG116" i="8"/>
  <c r="AVF116" i="8"/>
  <c r="AVE116" i="8"/>
  <c r="AVD116" i="8"/>
  <c r="AVC116" i="8"/>
  <c r="AVB116" i="8"/>
  <c r="AVA116" i="8"/>
  <c r="AUZ116" i="8"/>
  <c r="AUY116" i="8"/>
  <c r="AUX116" i="8"/>
  <c r="AUW116" i="8"/>
  <c r="AUV116" i="8"/>
  <c r="AUU116" i="8"/>
  <c r="AUT116" i="8"/>
  <c r="AUS116" i="8"/>
  <c r="AUR116" i="8"/>
  <c r="AUQ116" i="8"/>
  <c r="AUP116" i="8"/>
  <c r="AUO116" i="8"/>
  <c r="AUN116" i="8"/>
  <c r="AUM116" i="8"/>
  <c r="AUL116" i="8"/>
  <c r="AUK116" i="8"/>
  <c r="AUJ116" i="8"/>
  <c r="AUI116" i="8"/>
  <c r="AUH116" i="8"/>
  <c r="AUG116" i="8"/>
  <c r="AUF116" i="8"/>
  <c r="AUE116" i="8"/>
  <c r="AUD116" i="8"/>
  <c r="AUC116" i="8"/>
  <c r="AUB116" i="8"/>
  <c r="AUA116" i="8"/>
  <c r="ATZ116" i="8"/>
  <c r="ATY116" i="8"/>
  <c r="ATX116" i="8"/>
  <c r="ATW116" i="8"/>
  <c r="ATV116" i="8"/>
  <c r="ATU116" i="8"/>
  <c r="ATT116" i="8"/>
  <c r="ATS116" i="8"/>
  <c r="ATR116" i="8"/>
  <c r="ATQ116" i="8"/>
  <c r="ATP116" i="8"/>
  <c r="ATO116" i="8"/>
  <c r="ATN116" i="8"/>
  <c r="ATM116" i="8"/>
  <c r="ATL116" i="8"/>
  <c r="ATK116" i="8"/>
  <c r="ATJ116" i="8"/>
  <c r="ATI116" i="8"/>
  <c r="ATH116" i="8"/>
  <c r="ATG116" i="8"/>
  <c r="ATF116" i="8"/>
  <c r="ATE116" i="8"/>
  <c r="ATD116" i="8"/>
  <c r="ATC116" i="8"/>
  <c r="ATB116" i="8"/>
  <c r="ATA116" i="8"/>
  <c r="ASZ116" i="8"/>
  <c r="ASY116" i="8"/>
  <c r="ASX116" i="8"/>
  <c r="ASW116" i="8"/>
  <c r="ASV116" i="8"/>
  <c r="ASU116" i="8"/>
  <c r="AST116" i="8"/>
  <c r="ASS116" i="8"/>
  <c r="ASR116" i="8"/>
  <c r="ASQ116" i="8"/>
  <c r="ASP116" i="8"/>
  <c r="ASO116" i="8"/>
  <c r="ASN116" i="8"/>
  <c r="ASM116" i="8"/>
  <c r="ASL116" i="8"/>
  <c r="ASK116" i="8"/>
  <c r="ASJ116" i="8"/>
  <c r="ASI116" i="8"/>
  <c r="ASH116" i="8"/>
  <c r="ASG116" i="8"/>
  <c r="ASF116" i="8"/>
  <c r="ASE116" i="8"/>
  <c r="ASD116" i="8"/>
  <c r="ASC116" i="8"/>
  <c r="ASB116" i="8"/>
  <c r="ASA116" i="8"/>
  <c r="ARZ116" i="8"/>
  <c r="ARY116" i="8"/>
  <c r="ARX116" i="8"/>
  <c r="ARW116" i="8"/>
  <c r="ARV116" i="8"/>
  <c r="ARU116" i="8"/>
  <c r="ART116" i="8"/>
  <c r="ARS116" i="8"/>
  <c r="ARR116" i="8"/>
  <c r="ARQ116" i="8"/>
  <c r="ARP116" i="8"/>
  <c r="ARO116" i="8"/>
  <c r="ARN116" i="8"/>
  <c r="ARM116" i="8"/>
  <c r="ARL116" i="8"/>
  <c r="ARK116" i="8"/>
  <c r="ARJ116" i="8"/>
  <c r="ARI116" i="8"/>
  <c r="ARH116" i="8"/>
  <c r="ARG116" i="8"/>
  <c r="ARF116" i="8"/>
  <c r="ARE116" i="8"/>
  <c r="ARD116" i="8"/>
  <c r="ARC116" i="8"/>
  <c r="ARB116" i="8"/>
  <c r="ARA116" i="8"/>
  <c r="AQZ116" i="8"/>
  <c r="AQY116" i="8"/>
  <c r="AQX116" i="8"/>
  <c r="AQW116" i="8"/>
  <c r="AQV116" i="8"/>
  <c r="AQU116" i="8"/>
  <c r="AQT116" i="8"/>
  <c r="AQS116" i="8"/>
  <c r="AQR116" i="8"/>
  <c r="AQQ116" i="8"/>
  <c r="AQP116" i="8"/>
  <c r="AQO116" i="8"/>
  <c r="AQN116" i="8"/>
  <c r="AQM116" i="8"/>
  <c r="AQL116" i="8"/>
  <c r="AQK116" i="8"/>
  <c r="AQJ116" i="8"/>
  <c r="AQI116" i="8"/>
  <c r="AQH116" i="8"/>
  <c r="AQG116" i="8"/>
  <c r="AQF116" i="8"/>
  <c r="AQE116" i="8"/>
  <c r="AQD116" i="8"/>
  <c r="AQC116" i="8"/>
  <c r="AQB116" i="8"/>
  <c r="AQA116" i="8"/>
  <c r="APZ116" i="8"/>
  <c r="APY116" i="8"/>
  <c r="APX116" i="8"/>
  <c r="APW116" i="8"/>
  <c r="APV116" i="8"/>
  <c r="APU116" i="8"/>
  <c r="APT116" i="8"/>
  <c r="APS116" i="8"/>
  <c r="APR116" i="8"/>
  <c r="APQ116" i="8"/>
  <c r="APP116" i="8"/>
  <c r="APO116" i="8"/>
  <c r="APN116" i="8"/>
  <c r="APM116" i="8"/>
  <c r="APL116" i="8"/>
  <c r="APK116" i="8"/>
  <c r="APJ116" i="8"/>
  <c r="API116" i="8"/>
  <c r="APH116" i="8"/>
  <c r="APG116" i="8"/>
  <c r="APF116" i="8"/>
  <c r="APE116" i="8"/>
  <c r="APD116" i="8"/>
  <c r="APC116" i="8"/>
  <c r="APB116" i="8"/>
  <c r="APA116" i="8"/>
  <c r="AOZ116" i="8"/>
  <c r="AOY116" i="8"/>
  <c r="AOX116" i="8"/>
  <c r="AOW116" i="8"/>
  <c r="AOV116" i="8"/>
  <c r="AOU116" i="8"/>
  <c r="AOT116" i="8"/>
  <c r="AOS116" i="8"/>
  <c r="AOR116" i="8"/>
  <c r="AOQ116" i="8"/>
  <c r="AOP116" i="8"/>
  <c r="AOO116" i="8"/>
  <c r="AON116" i="8"/>
  <c r="AOM116" i="8"/>
  <c r="AOL116" i="8"/>
  <c r="AOK116" i="8"/>
  <c r="AOJ116" i="8"/>
  <c r="AOI116" i="8"/>
  <c r="AOH116" i="8"/>
  <c r="AOG116" i="8"/>
  <c r="AOF116" i="8"/>
  <c r="AOE116" i="8"/>
  <c r="AOD116" i="8"/>
  <c r="AOC116" i="8"/>
  <c r="AOB116" i="8"/>
  <c r="AOA116" i="8"/>
  <c r="ANZ116" i="8"/>
  <c r="ANY116" i="8"/>
  <c r="ANX116" i="8"/>
  <c r="ANW116" i="8"/>
  <c r="ANV116" i="8"/>
  <c r="ANU116" i="8"/>
  <c r="ANT116" i="8"/>
  <c r="ANS116" i="8"/>
  <c r="ANR116" i="8"/>
  <c r="ANQ116" i="8"/>
  <c r="ANP116" i="8"/>
  <c r="ANO116" i="8"/>
  <c r="ANN116" i="8"/>
  <c r="ANM116" i="8"/>
  <c r="ANL116" i="8"/>
  <c r="ANK116" i="8"/>
  <c r="ANJ116" i="8"/>
  <c r="ANI116" i="8"/>
  <c r="ANH116" i="8"/>
  <c r="ANG116" i="8"/>
  <c r="ANF116" i="8"/>
  <c r="ANE116" i="8"/>
  <c r="AND116" i="8"/>
  <c r="ANC116" i="8"/>
  <c r="ANB116" i="8"/>
  <c r="ANA116" i="8"/>
  <c r="AMZ116" i="8"/>
  <c r="AMY116" i="8"/>
  <c r="AMX116" i="8"/>
  <c r="AMW116" i="8"/>
  <c r="AMV116" i="8"/>
  <c r="AMU116" i="8"/>
  <c r="AMT116" i="8"/>
  <c r="AMS116" i="8"/>
  <c r="AMR116" i="8"/>
  <c r="AMQ116" i="8"/>
  <c r="AMP116" i="8"/>
  <c r="AMO116" i="8"/>
  <c r="AMN116" i="8"/>
  <c r="AMM116" i="8"/>
  <c r="AML116" i="8"/>
  <c r="AMK116" i="8"/>
  <c r="AMJ116" i="8"/>
  <c r="AMI116" i="8"/>
  <c r="AMH116" i="8"/>
  <c r="AMG116" i="8"/>
  <c r="AMF116" i="8"/>
  <c r="AME116" i="8"/>
  <c r="AMD116" i="8"/>
  <c r="AMC116" i="8"/>
  <c r="AMB116" i="8"/>
  <c r="AMA116" i="8"/>
  <c r="ALZ116" i="8"/>
  <c r="ALY116" i="8"/>
  <c r="ALX116" i="8"/>
  <c r="ALW116" i="8"/>
  <c r="ALV116" i="8"/>
  <c r="ALU116" i="8"/>
  <c r="ALT116" i="8"/>
  <c r="ALS116" i="8"/>
  <c r="ALR116" i="8"/>
  <c r="ALQ116" i="8"/>
  <c r="ALP116" i="8"/>
  <c r="ALO116" i="8"/>
  <c r="ALN116" i="8"/>
  <c r="ALM116" i="8"/>
  <c r="ALL116" i="8"/>
  <c r="ALK116" i="8"/>
  <c r="ALJ116" i="8"/>
  <c r="ALI116" i="8"/>
  <c r="ALH116" i="8"/>
  <c r="ALG116" i="8"/>
  <c r="ALF116" i="8"/>
  <c r="ALE116" i="8"/>
  <c r="ALD116" i="8"/>
  <c r="ALC116" i="8"/>
  <c r="ALB116" i="8"/>
  <c r="ALA116" i="8"/>
  <c r="AKZ116" i="8"/>
  <c r="AKY116" i="8"/>
  <c r="AKX116" i="8"/>
  <c r="AKW116" i="8"/>
  <c r="AKV116" i="8"/>
  <c r="AKU116" i="8"/>
  <c r="AKT116" i="8"/>
  <c r="AKS116" i="8"/>
  <c r="AKR116" i="8"/>
  <c r="AKQ116" i="8"/>
  <c r="AKP116" i="8"/>
  <c r="AKO116" i="8"/>
  <c r="AKN116" i="8"/>
  <c r="AKM116" i="8"/>
  <c r="AKL116" i="8"/>
  <c r="AKK116" i="8"/>
  <c r="AKJ116" i="8"/>
  <c r="AKI116" i="8"/>
  <c r="AKH116" i="8"/>
  <c r="AKG116" i="8"/>
  <c r="AKF116" i="8"/>
  <c r="AKE116" i="8"/>
  <c r="AKD116" i="8"/>
  <c r="AKC116" i="8"/>
  <c r="AKB116" i="8"/>
  <c r="AKA116" i="8"/>
  <c r="AJZ116" i="8"/>
  <c r="AJY116" i="8"/>
  <c r="AJX116" i="8"/>
  <c r="AJW116" i="8"/>
  <c r="AJV116" i="8"/>
  <c r="AJU116" i="8"/>
  <c r="AJT116" i="8"/>
  <c r="AJS116" i="8"/>
  <c r="AJR116" i="8"/>
  <c r="AJQ116" i="8"/>
  <c r="AJP116" i="8"/>
  <c r="AJO116" i="8"/>
  <c r="AJN116" i="8"/>
  <c r="AJM116" i="8"/>
  <c r="AJL116" i="8"/>
  <c r="AJK116" i="8"/>
  <c r="AJJ116" i="8"/>
  <c r="AJI116" i="8"/>
  <c r="AJH116" i="8"/>
  <c r="AJG116" i="8"/>
  <c r="AJF116" i="8"/>
  <c r="AJE116" i="8"/>
  <c r="AJD116" i="8"/>
  <c r="AJC116" i="8"/>
  <c r="AJB116" i="8"/>
  <c r="AJA116" i="8"/>
  <c r="AIZ116" i="8"/>
  <c r="AIY116" i="8"/>
  <c r="AIX116" i="8"/>
  <c r="AIW116" i="8"/>
  <c r="AIV116" i="8"/>
  <c r="AIU116" i="8"/>
  <c r="AIT116" i="8"/>
  <c r="AIS116" i="8"/>
  <c r="AIR116" i="8"/>
  <c r="AIQ116" i="8"/>
  <c r="AIP116" i="8"/>
  <c r="AIO116" i="8"/>
  <c r="AIN116" i="8"/>
  <c r="AIM116" i="8"/>
  <c r="AIL116" i="8"/>
  <c r="AIK116" i="8"/>
  <c r="AIJ116" i="8"/>
  <c r="AII116" i="8"/>
  <c r="AIH116" i="8"/>
  <c r="AIG116" i="8"/>
  <c r="AIF116" i="8"/>
  <c r="AIE116" i="8"/>
  <c r="AID116" i="8"/>
  <c r="AIC116" i="8"/>
  <c r="AIB116" i="8"/>
  <c r="AIA116" i="8"/>
  <c r="AHZ116" i="8"/>
  <c r="AHY116" i="8"/>
  <c r="AHX116" i="8"/>
  <c r="AHW116" i="8"/>
  <c r="AHV116" i="8"/>
  <c r="AHU116" i="8"/>
  <c r="AHT116" i="8"/>
  <c r="AHS116" i="8"/>
  <c r="AHR116" i="8"/>
  <c r="AHQ116" i="8"/>
  <c r="AHP116" i="8"/>
  <c r="AHO116" i="8"/>
  <c r="AHN116" i="8"/>
  <c r="AHM116" i="8"/>
  <c r="AHL116" i="8"/>
  <c r="AHK116" i="8"/>
  <c r="AHJ116" i="8"/>
  <c r="AHI116" i="8"/>
  <c r="AHH116" i="8"/>
  <c r="AHG116" i="8"/>
  <c r="AHF116" i="8"/>
  <c r="AHE116" i="8"/>
  <c r="AHD116" i="8"/>
  <c r="AHC116" i="8"/>
  <c r="AHB116" i="8"/>
  <c r="AHA116" i="8"/>
  <c r="AGZ116" i="8"/>
  <c r="AGY116" i="8"/>
  <c r="AGX116" i="8"/>
  <c r="AGW116" i="8"/>
  <c r="AGV116" i="8"/>
  <c r="AGU116" i="8"/>
  <c r="AGT116" i="8"/>
  <c r="AGS116" i="8"/>
  <c r="AGR116" i="8"/>
  <c r="AGQ116" i="8"/>
  <c r="AGP116" i="8"/>
  <c r="AGO116" i="8"/>
  <c r="AGN116" i="8"/>
  <c r="AGM116" i="8"/>
  <c r="AGL116" i="8"/>
  <c r="AGK116" i="8"/>
  <c r="AGJ116" i="8"/>
  <c r="AGI116" i="8"/>
  <c r="AGH116" i="8"/>
  <c r="AGG116" i="8"/>
  <c r="AGF116" i="8"/>
  <c r="AGE116" i="8"/>
  <c r="AGD116" i="8"/>
  <c r="AGC116" i="8"/>
  <c r="AGB116" i="8"/>
  <c r="AGA116" i="8"/>
  <c r="AFZ116" i="8"/>
  <c r="AFY116" i="8"/>
  <c r="AFX116" i="8"/>
  <c r="AFW116" i="8"/>
  <c r="AFV116" i="8"/>
  <c r="AFU116" i="8"/>
  <c r="AFT116" i="8"/>
  <c r="AFS116" i="8"/>
  <c r="AFR116" i="8"/>
  <c r="AFQ116" i="8"/>
  <c r="AFP116" i="8"/>
  <c r="AFO116" i="8"/>
  <c r="AFN116" i="8"/>
  <c r="AFM116" i="8"/>
  <c r="AFL116" i="8"/>
  <c r="AFK116" i="8"/>
  <c r="AFJ116" i="8"/>
  <c r="AFI116" i="8"/>
  <c r="AFH116" i="8"/>
  <c r="AFG116" i="8"/>
  <c r="AFF116" i="8"/>
  <c r="AFE116" i="8"/>
  <c r="AFD116" i="8"/>
  <c r="AFC116" i="8"/>
  <c r="AFB116" i="8"/>
  <c r="AFA116" i="8"/>
  <c r="AEZ116" i="8"/>
  <c r="AEY116" i="8"/>
  <c r="AEX116" i="8"/>
  <c r="AEW116" i="8"/>
  <c r="AEV116" i="8"/>
  <c r="AEU116" i="8"/>
  <c r="AET116" i="8"/>
  <c r="AES116" i="8"/>
  <c r="AER116" i="8"/>
  <c r="AEQ116" i="8"/>
  <c r="AEP116" i="8"/>
  <c r="AEO116" i="8"/>
  <c r="AEN116" i="8"/>
  <c r="AEM116" i="8"/>
  <c r="AEL116" i="8"/>
  <c r="AEK116" i="8"/>
  <c r="AEJ116" i="8"/>
  <c r="AEI116" i="8"/>
  <c r="AEH116" i="8"/>
  <c r="AEG116" i="8"/>
  <c r="AEF116" i="8"/>
  <c r="AEE116" i="8"/>
  <c r="AED116" i="8"/>
  <c r="AEC116" i="8"/>
  <c r="AEB116" i="8"/>
  <c r="AEA116" i="8"/>
  <c r="ADZ116" i="8"/>
  <c r="ADY116" i="8"/>
  <c r="ADX116" i="8"/>
  <c r="ADW116" i="8"/>
  <c r="ADV116" i="8"/>
  <c r="ADU116" i="8"/>
  <c r="ADT116" i="8"/>
  <c r="ADS116" i="8"/>
  <c r="ADR116" i="8"/>
  <c r="ADQ116" i="8"/>
  <c r="ADP116" i="8"/>
  <c r="ADO116" i="8"/>
  <c r="ADN116" i="8"/>
  <c r="ADM116" i="8"/>
  <c r="ADL116" i="8"/>
  <c r="ADK116" i="8"/>
  <c r="ADJ116" i="8"/>
  <c r="ADI116" i="8"/>
  <c r="ADH116" i="8"/>
  <c r="ADG116" i="8"/>
  <c r="ADF116" i="8"/>
  <c r="ADE116" i="8"/>
  <c r="ADD116" i="8"/>
  <c r="ADC116" i="8"/>
  <c r="ADB116" i="8"/>
  <c r="ADA116" i="8"/>
  <c r="ACZ116" i="8"/>
  <c r="ACY116" i="8"/>
  <c r="ACX116" i="8"/>
  <c r="ACW116" i="8"/>
  <c r="ACV116" i="8"/>
  <c r="ACU116" i="8"/>
  <c r="ACT116" i="8"/>
  <c r="ACS116" i="8"/>
  <c r="ACR116" i="8"/>
  <c r="ACQ116" i="8"/>
  <c r="ACP116" i="8"/>
  <c r="ACO116" i="8"/>
  <c r="ACN116" i="8"/>
  <c r="ACM116" i="8"/>
  <c r="ACL116" i="8"/>
  <c r="ACK116" i="8"/>
  <c r="ACJ116" i="8"/>
  <c r="ACI116" i="8"/>
  <c r="ACH116" i="8"/>
  <c r="ACG116" i="8"/>
  <c r="ACF116" i="8"/>
  <c r="ACE116" i="8"/>
  <c r="ACD116" i="8"/>
  <c r="ACC116" i="8"/>
  <c r="ACB116" i="8"/>
  <c r="ACA116" i="8"/>
  <c r="ABZ116" i="8"/>
  <c r="ABY116" i="8"/>
  <c r="ABX116" i="8"/>
  <c r="ABW116" i="8"/>
  <c r="ABV116" i="8"/>
  <c r="ABU116" i="8"/>
  <c r="ABT116" i="8"/>
  <c r="ABS116" i="8"/>
  <c r="ABR116" i="8"/>
  <c r="ABQ116" i="8"/>
  <c r="ABP116" i="8"/>
  <c r="ABO116" i="8"/>
  <c r="ABN116" i="8"/>
  <c r="ABM116" i="8"/>
  <c r="ABL116" i="8"/>
  <c r="ABK116" i="8"/>
  <c r="ABJ116" i="8"/>
  <c r="ABI116" i="8"/>
  <c r="ABH116" i="8"/>
  <c r="ABG116" i="8"/>
  <c r="ABF116" i="8"/>
  <c r="ABE116" i="8"/>
  <c r="ABD116" i="8"/>
  <c r="ABC116" i="8"/>
  <c r="ABB116" i="8"/>
  <c r="ABA116" i="8"/>
  <c r="AAZ116" i="8"/>
  <c r="AAY116" i="8"/>
  <c r="AAX116" i="8"/>
  <c r="AAW116" i="8"/>
  <c r="AAV116" i="8"/>
  <c r="AAU116" i="8"/>
  <c r="AAT116" i="8"/>
  <c r="AAS116" i="8"/>
  <c r="AAR116" i="8"/>
  <c r="AAQ116" i="8"/>
  <c r="AAP116" i="8"/>
  <c r="AAO116" i="8"/>
  <c r="AAN116" i="8"/>
  <c r="AAM116" i="8"/>
  <c r="AAL116" i="8"/>
  <c r="AAK116" i="8"/>
  <c r="AAJ116" i="8"/>
  <c r="AAI116" i="8"/>
  <c r="AAH116" i="8"/>
  <c r="AAG116" i="8"/>
  <c r="AAF116" i="8"/>
  <c r="AAE116" i="8"/>
  <c r="AAD116" i="8"/>
  <c r="AAC116" i="8"/>
  <c r="AAB116" i="8"/>
  <c r="AAA116" i="8"/>
  <c r="ZZ116" i="8"/>
  <c r="ZY116" i="8"/>
  <c r="ZX116" i="8"/>
  <c r="ZW116" i="8"/>
  <c r="ZV116" i="8"/>
  <c r="ZU116" i="8"/>
  <c r="ZT116" i="8"/>
  <c r="ZS116" i="8"/>
  <c r="ZR116" i="8"/>
  <c r="ZQ116" i="8"/>
  <c r="ZP116" i="8"/>
  <c r="ZO116" i="8"/>
  <c r="ZN116" i="8"/>
  <c r="ZM116" i="8"/>
  <c r="ZL116" i="8"/>
  <c r="ZK116" i="8"/>
  <c r="ZJ116" i="8"/>
  <c r="ZI116" i="8"/>
  <c r="ZH116" i="8"/>
  <c r="ZG116" i="8"/>
  <c r="ZF116" i="8"/>
  <c r="ZE116" i="8"/>
  <c r="ZD116" i="8"/>
  <c r="ZC116" i="8"/>
  <c r="ZB116" i="8"/>
  <c r="ZA116" i="8"/>
  <c r="YZ116" i="8"/>
  <c r="YY116" i="8"/>
  <c r="YX116" i="8"/>
  <c r="YW116" i="8"/>
  <c r="YV116" i="8"/>
  <c r="YU116" i="8"/>
  <c r="YT116" i="8"/>
  <c r="YS116" i="8"/>
  <c r="YR116" i="8"/>
  <c r="YQ116" i="8"/>
  <c r="YP116" i="8"/>
  <c r="YO116" i="8"/>
  <c r="YN116" i="8"/>
  <c r="YM116" i="8"/>
  <c r="YL116" i="8"/>
  <c r="YK116" i="8"/>
  <c r="YJ116" i="8"/>
  <c r="YI116" i="8"/>
  <c r="YH116" i="8"/>
  <c r="YG116" i="8"/>
  <c r="YF116" i="8"/>
  <c r="YE116" i="8"/>
  <c r="YD116" i="8"/>
  <c r="YC116" i="8"/>
  <c r="YB116" i="8"/>
  <c r="YA116" i="8"/>
  <c r="XZ116" i="8"/>
  <c r="XY116" i="8"/>
  <c r="XX116" i="8"/>
  <c r="XW116" i="8"/>
  <c r="XV116" i="8"/>
  <c r="XU116" i="8"/>
  <c r="XT116" i="8"/>
  <c r="XS116" i="8"/>
  <c r="XR116" i="8"/>
  <c r="XQ116" i="8"/>
  <c r="XP116" i="8"/>
  <c r="XO116" i="8"/>
  <c r="XN116" i="8"/>
  <c r="XM116" i="8"/>
  <c r="XL116" i="8"/>
  <c r="XK116" i="8"/>
  <c r="XJ116" i="8"/>
  <c r="XI116" i="8"/>
  <c r="XH116" i="8"/>
  <c r="XG116" i="8"/>
  <c r="XF116" i="8"/>
  <c r="XE116" i="8"/>
  <c r="XD116" i="8"/>
  <c r="XC116" i="8"/>
  <c r="XB116" i="8"/>
  <c r="XA116" i="8"/>
  <c r="WZ116" i="8"/>
  <c r="WY116" i="8"/>
  <c r="WX116" i="8"/>
  <c r="WW116" i="8"/>
  <c r="WV116" i="8"/>
  <c r="WU116" i="8"/>
  <c r="WT116" i="8"/>
  <c r="WS116" i="8"/>
  <c r="WR116" i="8"/>
  <c r="WQ116" i="8"/>
  <c r="WP116" i="8"/>
  <c r="WO116" i="8"/>
  <c r="WN116" i="8"/>
  <c r="WM116" i="8"/>
  <c r="WL116" i="8"/>
  <c r="WK116" i="8"/>
  <c r="WJ116" i="8"/>
  <c r="WI116" i="8"/>
  <c r="WH116" i="8"/>
  <c r="WG116" i="8"/>
  <c r="WF116" i="8"/>
  <c r="WE116" i="8"/>
  <c r="WD116" i="8"/>
  <c r="WC116" i="8"/>
  <c r="WB116" i="8"/>
  <c r="WA116" i="8"/>
  <c r="VZ116" i="8"/>
  <c r="VY116" i="8"/>
  <c r="VX116" i="8"/>
  <c r="VW116" i="8"/>
  <c r="VV116" i="8"/>
  <c r="VU116" i="8"/>
  <c r="VT116" i="8"/>
  <c r="VS116" i="8"/>
  <c r="VR116" i="8"/>
  <c r="VQ116" i="8"/>
  <c r="VP116" i="8"/>
  <c r="VO116" i="8"/>
  <c r="VN116" i="8"/>
  <c r="VM116" i="8"/>
  <c r="VL116" i="8"/>
  <c r="VK116" i="8"/>
  <c r="VJ116" i="8"/>
  <c r="VI116" i="8"/>
  <c r="VH116" i="8"/>
  <c r="VG116" i="8"/>
  <c r="VF116" i="8"/>
  <c r="VE116" i="8"/>
  <c r="VD116" i="8"/>
  <c r="VC116" i="8"/>
  <c r="VB116" i="8"/>
  <c r="VA116" i="8"/>
  <c r="UZ116" i="8"/>
  <c r="UY116" i="8"/>
  <c r="UX116" i="8"/>
  <c r="UW116" i="8"/>
  <c r="UV116" i="8"/>
  <c r="UU116" i="8"/>
  <c r="UT116" i="8"/>
  <c r="US116" i="8"/>
  <c r="UR116" i="8"/>
  <c r="UQ116" i="8"/>
  <c r="UP116" i="8"/>
  <c r="UO116" i="8"/>
  <c r="UN116" i="8"/>
  <c r="UM116" i="8"/>
  <c r="UL116" i="8"/>
  <c r="UK116" i="8"/>
  <c r="UJ116" i="8"/>
  <c r="UI116" i="8"/>
  <c r="UH116" i="8"/>
  <c r="UG116" i="8"/>
  <c r="UF116" i="8"/>
  <c r="UE116" i="8"/>
  <c r="UD116" i="8"/>
  <c r="UC116" i="8"/>
  <c r="UB116" i="8"/>
  <c r="UA116" i="8"/>
  <c r="TZ116" i="8"/>
  <c r="TY116" i="8"/>
  <c r="TX116" i="8"/>
  <c r="TW116" i="8"/>
  <c r="TV116" i="8"/>
  <c r="TU116" i="8"/>
  <c r="TT116" i="8"/>
  <c r="TS116" i="8"/>
  <c r="TR116" i="8"/>
  <c r="TQ116" i="8"/>
  <c r="TP116" i="8"/>
  <c r="TO116" i="8"/>
  <c r="TN116" i="8"/>
  <c r="TM116" i="8"/>
  <c r="TL116" i="8"/>
  <c r="TK116" i="8"/>
  <c r="TJ116" i="8"/>
  <c r="TI116" i="8"/>
  <c r="TH116" i="8"/>
  <c r="TG116" i="8"/>
  <c r="TF116" i="8"/>
  <c r="TE116" i="8"/>
  <c r="TD116" i="8"/>
  <c r="TC116" i="8"/>
  <c r="TB116" i="8"/>
  <c r="TA116" i="8"/>
  <c r="SZ116" i="8"/>
  <c r="SY116" i="8"/>
  <c r="SX116" i="8"/>
  <c r="SW116" i="8"/>
  <c r="SV116" i="8"/>
  <c r="SU116" i="8"/>
  <c r="ST116" i="8"/>
  <c r="SS116" i="8"/>
  <c r="SR116" i="8"/>
  <c r="SQ116" i="8"/>
  <c r="SP116" i="8"/>
  <c r="SO116" i="8"/>
  <c r="SN116" i="8"/>
  <c r="SM116" i="8"/>
  <c r="SL116" i="8"/>
  <c r="SK116" i="8"/>
  <c r="SJ116" i="8"/>
  <c r="SI116" i="8"/>
  <c r="SH116" i="8"/>
  <c r="SG116" i="8"/>
  <c r="SF116" i="8"/>
  <c r="SE116" i="8"/>
  <c r="SD116" i="8"/>
  <c r="SC116" i="8"/>
  <c r="SB116" i="8"/>
  <c r="SA116" i="8"/>
  <c r="RZ116" i="8"/>
  <c r="RY116" i="8"/>
  <c r="RX116" i="8"/>
  <c r="RW116" i="8"/>
  <c r="RV116" i="8"/>
  <c r="RU116" i="8"/>
  <c r="RT116" i="8"/>
  <c r="RS116" i="8"/>
  <c r="RR116" i="8"/>
  <c r="RQ116" i="8"/>
  <c r="RP116" i="8"/>
  <c r="RO116" i="8"/>
  <c r="RN116" i="8"/>
  <c r="RM116" i="8"/>
  <c r="RL116" i="8"/>
  <c r="RK116" i="8"/>
  <c r="RJ116" i="8"/>
  <c r="RI116" i="8"/>
  <c r="RH116" i="8"/>
  <c r="RG116" i="8"/>
  <c r="RF116" i="8"/>
  <c r="RE116" i="8"/>
  <c r="RD116" i="8"/>
  <c r="RC116" i="8"/>
  <c r="RB116" i="8"/>
  <c r="RA116" i="8"/>
  <c r="QZ116" i="8"/>
  <c r="QY116" i="8"/>
  <c r="QX116" i="8"/>
  <c r="QW116" i="8"/>
  <c r="QV116" i="8"/>
  <c r="QU116" i="8"/>
  <c r="QT116" i="8"/>
  <c r="QS116" i="8"/>
  <c r="QR116" i="8"/>
  <c r="QQ116" i="8"/>
  <c r="QP116" i="8"/>
  <c r="QO116" i="8"/>
  <c r="QN116" i="8"/>
  <c r="QM116" i="8"/>
  <c r="QL116" i="8"/>
  <c r="QK116" i="8"/>
  <c r="QJ116" i="8"/>
  <c r="QI116" i="8"/>
  <c r="QH116" i="8"/>
  <c r="QG116" i="8"/>
  <c r="QF116" i="8"/>
  <c r="QE116" i="8"/>
  <c r="QD116" i="8"/>
  <c r="QC116" i="8"/>
  <c r="QB116" i="8"/>
  <c r="QA116" i="8"/>
  <c r="PZ116" i="8"/>
  <c r="PY116" i="8"/>
  <c r="PX116" i="8"/>
  <c r="PW116" i="8"/>
  <c r="PV116" i="8"/>
  <c r="PU116" i="8"/>
  <c r="PT116" i="8"/>
  <c r="PS116" i="8"/>
  <c r="PR116" i="8"/>
  <c r="PQ116" i="8"/>
  <c r="PP116" i="8"/>
  <c r="PO116" i="8"/>
  <c r="PN116" i="8"/>
  <c r="PM116" i="8"/>
  <c r="PL116" i="8"/>
  <c r="PK116" i="8"/>
  <c r="PJ116" i="8"/>
  <c r="PI116" i="8"/>
  <c r="PH116" i="8"/>
  <c r="PG116" i="8"/>
  <c r="PF116" i="8"/>
  <c r="PE116" i="8"/>
  <c r="PD116" i="8"/>
  <c r="PC116" i="8"/>
  <c r="PB116" i="8"/>
  <c r="PA116" i="8"/>
  <c r="OZ116" i="8"/>
  <c r="OY116" i="8"/>
  <c r="OX116" i="8"/>
  <c r="OW116" i="8"/>
  <c r="OV116" i="8"/>
  <c r="OU116" i="8"/>
  <c r="OT116" i="8"/>
  <c r="OS116" i="8"/>
  <c r="OR116" i="8"/>
  <c r="OQ116" i="8"/>
  <c r="OP116" i="8"/>
  <c r="OO116" i="8"/>
  <c r="ON116" i="8"/>
  <c r="OM116" i="8"/>
  <c r="OL116" i="8"/>
  <c r="OK116" i="8"/>
  <c r="OJ116" i="8"/>
  <c r="OI116" i="8"/>
  <c r="OH116" i="8"/>
  <c r="OG116" i="8"/>
  <c r="OF116" i="8"/>
  <c r="OE116" i="8"/>
  <c r="OD116" i="8"/>
  <c r="OC116" i="8"/>
  <c r="OB116" i="8"/>
  <c r="OA116" i="8"/>
  <c r="NZ116" i="8"/>
  <c r="NY116" i="8"/>
  <c r="NX116" i="8"/>
  <c r="NW116" i="8"/>
  <c r="NV116" i="8"/>
  <c r="NU116" i="8"/>
  <c r="NT116" i="8"/>
  <c r="NS116" i="8"/>
  <c r="NR116" i="8"/>
  <c r="NQ116" i="8"/>
  <c r="NP116" i="8"/>
  <c r="NO116" i="8"/>
  <c r="NN116" i="8"/>
  <c r="NM116" i="8"/>
  <c r="NL116" i="8"/>
  <c r="NK116" i="8"/>
  <c r="NJ116" i="8"/>
  <c r="NI116" i="8"/>
  <c r="NH116" i="8"/>
  <c r="NG116" i="8"/>
  <c r="NF116" i="8"/>
  <c r="NE116" i="8"/>
  <c r="ND116" i="8"/>
  <c r="NC116" i="8"/>
  <c r="NB116" i="8"/>
  <c r="NA116" i="8"/>
  <c r="MZ116" i="8"/>
  <c r="MY116" i="8"/>
  <c r="MX116" i="8"/>
  <c r="MW116" i="8"/>
  <c r="MV116" i="8"/>
  <c r="MU116" i="8"/>
  <c r="MT116" i="8"/>
  <c r="MS116" i="8"/>
  <c r="MR116" i="8"/>
  <c r="MQ116" i="8"/>
  <c r="MP116" i="8"/>
  <c r="MO116" i="8"/>
  <c r="MN116" i="8"/>
  <c r="MM116" i="8"/>
  <c r="ML116" i="8"/>
  <c r="MK116" i="8"/>
  <c r="MJ116" i="8"/>
  <c r="MI116" i="8"/>
  <c r="MH116" i="8"/>
  <c r="MG116" i="8"/>
  <c r="MF116" i="8"/>
  <c r="ME116" i="8"/>
  <c r="MD116" i="8"/>
  <c r="MC116" i="8"/>
  <c r="MB116" i="8"/>
  <c r="MA116" i="8"/>
  <c r="LZ116" i="8"/>
  <c r="LY116" i="8"/>
  <c r="LX116" i="8"/>
  <c r="LW116" i="8"/>
  <c r="LV116" i="8"/>
  <c r="LU116" i="8"/>
  <c r="LT116" i="8"/>
  <c r="LS116" i="8"/>
  <c r="LR116" i="8"/>
  <c r="LQ116" i="8"/>
  <c r="LP116" i="8"/>
  <c r="LO116" i="8"/>
  <c r="LN116" i="8"/>
  <c r="LM116" i="8"/>
  <c r="LL116" i="8"/>
  <c r="LK116" i="8"/>
  <c r="LJ116" i="8"/>
  <c r="LI116" i="8"/>
  <c r="LH116" i="8"/>
  <c r="LG116" i="8"/>
  <c r="LF116" i="8"/>
  <c r="LE116" i="8"/>
  <c r="LD116" i="8"/>
  <c r="LC116" i="8"/>
  <c r="LB116" i="8"/>
  <c r="LA116" i="8"/>
  <c r="KZ116" i="8"/>
  <c r="KY116" i="8"/>
  <c r="KX116" i="8"/>
  <c r="KW116" i="8"/>
  <c r="KV116" i="8"/>
  <c r="KU116" i="8"/>
  <c r="KT116" i="8"/>
  <c r="KS116" i="8"/>
  <c r="KR116" i="8"/>
  <c r="KQ116" i="8"/>
  <c r="KP116" i="8"/>
  <c r="KO116" i="8"/>
  <c r="KN116" i="8"/>
  <c r="KM116" i="8"/>
  <c r="KL116" i="8"/>
  <c r="KK116" i="8"/>
  <c r="KJ116" i="8"/>
  <c r="KI116" i="8"/>
  <c r="KH116" i="8"/>
  <c r="KG116" i="8"/>
  <c r="KF116" i="8"/>
  <c r="KE116" i="8"/>
  <c r="KD116" i="8"/>
  <c r="KC116" i="8"/>
  <c r="KB116" i="8"/>
  <c r="KA116" i="8"/>
  <c r="JZ116" i="8"/>
  <c r="JY116" i="8"/>
  <c r="JX116" i="8"/>
  <c r="JW116" i="8"/>
  <c r="JV116" i="8"/>
  <c r="JU116" i="8"/>
  <c r="JT116" i="8"/>
  <c r="JS116" i="8"/>
  <c r="JR116" i="8"/>
  <c r="JQ116" i="8"/>
  <c r="JP116" i="8"/>
  <c r="JO116" i="8"/>
  <c r="JN116" i="8"/>
  <c r="JM116" i="8"/>
  <c r="JL116" i="8"/>
  <c r="JK116" i="8"/>
  <c r="JJ116" i="8"/>
  <c r="JI116" i="8"/>
  <c r="JH116" i="8"/>
  <c r="JG116" i="8"/>
  <c r="JF116" i="8"/>
  <c r="JE116" i="8"/>
  <c r="JD116" i="8"/>
  <c r="JC116" i="8"/>
  <c r="JB116" i="8"/>
  <c r="JA116" i="8"/>
  <c r="IZ116" i="8"/>
  <c r="IY116" i="8"/>
  <c r="IX116" i="8"/>
  <c r="IW116" i="8"/>
  <c r="IV116" i="8"/>
  <c r="IU116" i="8"/>
  <c r="IT116" i="8"/>
  <c r="IS116" i="8"/>
  <c r="IR116" i="8"/>
  <c r="IQ116" i="8"/>
  <c r="IP116" i="8"/>
  <c r="IO116" i="8"/>
  <c r="IN116" i="8"/>
  <c r="IM116" i="8"/>
  <c r="IL116" i="8"/>
  <c r="IK116" i="8"/>
  <c r="IJ116" i="8"/>
  <c r="II116" i="8"/>
  <c r="IH116" i="8"/>
  <c r="IG116" i="8"/>
  <c r="IF116" i="8"/>
  <c r="IE116" i="8"/>
  <c r="ID116" i="8"/>
  <c r="IC116" i="8"/>
  <c r="IB116" i="8"/>
  <c r="IA116" i="8"/>
  <c r="HZ116" i="8"/>
  <c r="HY116" i="8"/>
  <c r="HX116" i="8"/>
  <c r="HW116" i="8"/>
  <c r="HV116" i="8"/>
  <c r="HU116" i="8"/>
  <c r="HT116" i="8"/>
  <c r="HS116" i="8"/>
  <c r="HR116" i="8"/>
  <c r="HQ116" i="8"/>
  <c r="HP116" i="8"/>
  <c r="HO116" i="8"/>
  <c r="HN116" i="8"/>
  <c r="HM116" i="8"/>
  <c r="HL116" i="8"/>
  <c r="HK116" i="8"/>
  <c r="HJ116" i="8"/>
  <c r="HI116" i="8"/>
  <c r="HH116" i="8"/>
  <c r="HG116" i="8"/>
  <c r="HF116" i="8"/>
  <c r="HE116" i="8"/>
  <c r="HD116" i="8"/>
  <c r="HC116" i="8"/>
  <c r="HB116" i="8"/>
  <c r="HA116" i="8"/>
  <c r="GZ116" i="8"/>
  <c r="GY116" i="8"/>
  <c r="GX116" i="8"/>
  <c r="GW116" i="8"/>
  <c r="GV116" i="8"/>
  <c r="GU116" i="8"/>
  <c r="GT116" i="8"/>
  <c r="GS116" i="8"/>
  <c r="GR116" i="8"/>
  <c r="GQ116" i="8"/>
  <c r="GP116" i="8"/>
  <c r="GO116" i="8"/>
  <c r="GN116" i="8"/>
  <c r="GM116" i="8"/>
  <c r="GL116" i="8"/>
  <c r="GK116" i="8"/>
  <c r="GJ116" i="8"/>
  <c r="GI116" i="8"/>
  <c r="GH116" i="8"/>
  <c r="GG116" i="8"/>
  <c r="GF116" i="8"/>
  <c r="GE116" i="8"/>
  <c r="GD116" i="8"/>
  <c r="GC116" i="8"/>
  <c r="GB116" i="8"/>
  <c r="GA116" i="8"/>
  <c r="FZ116" i="8"/>
  <c r="FY116" i="8"/>
  <c r="FX116" i="8"/>
  <c r="FW116" i="8"/>
  <c r="FV116" i="8"/>
  <c r="FU116" i="8"/>
  <c r="FT116" i="8"/>
  <c r="FS116" i="8"/>
  <c r="FR116" i="8"/>
  <c r="FQ116" i="8"/>
  <c r="FP116" i="8"/>
  <c r="FO116" i="8"/>
  <c r="FN116" i="8"/>
  <c r="FM116" i="8"/>
  <c r="FL116" i="8"/>
  <c r="FK116" i="8"/>
  <c r="FJ116" i="8"/>
  <c r="FI116" i="8"/>
  <c r="FH116" i="8"/>
  <c r="FG116" i="8"/>
  <c r="FF116" i="8"/>
  <c r="FE116" i="8"/>
  <c r="FD116" i="8"/>
  <c r="FC116" i="8"/>
  <c r="FB116" i="8"/>
  <c r="FA116" i="8"/>
  <c r="EZ116" i="8"/>
  <c r="EY116" i="8"/>
  <c r="EX116" i="8"/>
  <c r="EW116" i="8"/>
  <c r="EV116" i="8"/>
  <c r="EU116" i="8"/>
  <c r="ET116" i="8"/>
  <c r="ES116" i="8"/>
  <c r="ER116" i="8"/>
  <c r="EQ116" i="8"/>
  <c r="EP116" i="8"/>
  <c r="EO116" i="8"/>
  <c r="EN116" i="8"/>
  <c r="EM116" i="8"/>
  <c r="EL116" i="8"/>
  <c r="EK116" i="8"/>
  <c r="EJ116" i="8"/>
  <c r="EI116" i="8"/>
  <c r="EH116" i="8"/>
  <c r="EG116" i="8"/>
  <c r="EF116" i="8"/>
  <c r="EE116" i="8"/>
  <c r="ED116" i="8"/>
  <c r="EC116" i="8"/>
  <c r="EB116" i="8"/>
  <c r="EA116" i="8"/>
  <c r="DZ116" i="8"/>
  <c r="DY116" i="8"/>
  <c r="DX116" i="8"/>
  <c r="DW116" i="8"/>
  <c r="DV116" i="8"/>
  <c r="DU116" i="8"/>
  <c r="DT116" i="8"/>
  <c r="DS116" i="8"/>
  <c r="DR116" i="8"/>
  <c r="DQ116" i="8"/>
  <c r="DP116" i="8"/>
  <c r="DO116" i="8"/>
  <c r="DN116" i="8"/>
  <c r="DM116" i="8"/>
  <c r="DL116" i="8"/>
  <c r="DK116" i="8"/>
  <c r="DJ116" i="8"/>
  <c r="DI116" i="8"/>
  <c r="DH116" i="8"/>
  <c r="DG116" i="8"/>
  <c r="DF116" i="8"/>
  <c r="DE116" i="8"/>
  <c r="DD116" i="8"/>
  <c r="DC116" i="8"/>
  <c r="DB116" i="8"/>
  <c r="DA116" i="8"/>
  <c r="CZ116" i="8"/>
  <c r="CY116" i="8"/>
  <c r="K104" i="7" l="1"/>
  <c r="J123" i="7"/>
  <c r="J125" i="7" s="1"/>
  <c r="B74" i="8"/>
  <c r="B73" i="8"/>
  <c r="B71" i="8"/>
  <c r="L104" i="7" l="1"/>
  <c r="K123" i="7"/>
  <c r="K125" i="7" s="1"/>
  <c r="B69" i="8"/>
  <c r="B75" i="8"/>
  <c r="B52" i="8" l="1"/>
  <c r="M104" i="7"/>
  <c r="L123" i="7"/>
  <c r="L125" i="7" s="1"/>
  <c r="N104" i="7" l="1"/>
  <c r="M123" i="7"/>
  <c r="M125" i="7" s="1"/>
  <c r="B53" i="8"/>
  <c r="O104" i="7" l="1"/>
  <c r="N123" i="7"/>
  <c r="N125" i="7" s="1"/>
  <c r="C56" i="8"/>
  <c r="B54" i="8"/>
  <c r="B137" i="8" s="1"/>
  <c r="CX2" i="8"/>
  <c r="CW2" i="8"/>
  <c r="CV2" i="8"/>
  <c r="CU2" i="8"/>
  <c r="CT2" i="8"/>
  <c r="CS2" i="8"/>
  <c r="CR2" i="8"/>
  <c r="CQ2" i="8"/>
  <c r="CP2" i="8"/>
  <c r="CO2" i="8"/>
  <c r="CN2" i="8"/>
  <c r="CM2" i="8"/>
  <c r="CL2" i="8"/>
  <c r="CK2" i="8"/>
  <c r="CJ2" i="8"/>
  <c r="CI2" i="8"/>
  <c r="CH2" i="8"/>
  <c r="CG2" i="8"/>
  <c r="CF2" i="8"/>
  <c r="CE2" i="8"/>
  <c r="CD2" i="8"/>
  <c r="CC2" i="8"/>
  <c r="CB2" i="8"/>
  <c r="CA2" i="8"/>
  <c r="BZ2" i="8"/>
  <c r="BY2" i="8"/>
  <c r="BX2" i="8"/>
  <c r="BW2" i="8"/>
  <c r="BV2" i="8"/>
  <c r="BU2" i="8"/>
  <c r="BT2" i="8"/>
  <c r="BS2" i="8"/>
  <c r="BR2" i="8"/>
  <c r="BQ2" i="8"/>
  <c r="BP2" i="8"/>
  <c r="BO2" i="8"/>
  <c r="BN2" i="8"/>
  <c r="BM2" i="8"/>
  <c r="BL2" i="8"/>
  <c r="BK2" i="8"/>
  <c r="BJ2" i="8"/>
  <c r="BI2" i="8"/>
  <c r="BH2" i="8"/>
  <c r="BG2" i="8"/>
  <c r="BF2" i="8"/>
  <c r="BE2" i="8"/>
  <c r="BD2" i="8"/>
  <c r="BC2" i="8"/>
  <c r="BB2" i="8"/>
  <c r="BA2" i="8"/>
  <c r="AZ2" i="8"/>
  <c r="AY2" i="8"/>
  <c r="AX2" i="8"/>
  <c r="AW2" i="8"/>
  <c r="AV2" i="8"/>
  <c r="AU2" i="8"/>
  <c r="AT2" i="8"/>
  <c r="AS2" i="8"/>
  <c r="AR2" i="8"/>
  <c r="AQ2" i="8"/>
  <c r="AP2" i="8"/>
  <c r="AO2" i="8"/>
  <c r="AN2" i="8"/>
  <c r="AM2" i="8"/>
  <c r="AL2" i="8"/>
  <c r="AK2" i="8"/>
  <c r="AJ2" i="8"/>
  <c r="AI2" i="8"/>
  <c r="AH2" i="8"/>
  <c r="AG2" i="8"/>
  <c r="AF2" i="8"/>
  <c r="AE2" i="8"/>
  <c r="AD2" i="8"/>
  <c r="AC2" i="8"/>
  <c r="AB2" i="8"/>
  <c r="AA2" i="8"/>
  <c r="Z2" i="8"/>
  <c r="Y2" i="8"/>
  <c r="X2" i="8"/>
  <c r="W2" i="8"/>
  <c r="V2" i="8"/>
  <c r="U2" i="8"/>
  <c r="T2" i="8"/>
  <c r="S2" i="8"/>
  <c r="R2" i="8"/>
  <c r="Q2" i="8"/>
  <c r="P2" i="8"/>
  <c r="O2" i="8"/>
  <c r="N2" i="8"/>
  <c r="M2" i="8"/>
  <c r="L2" i="8"/>
  <c r="K2" i="8"/>
  <c r="J2" i="8"/>
  <c r="I2" i="8"/>
  <c r="H2" i="8"/>
  <c r="G2" i="8"/>
  <c r="F2" i="8"/>
  <c r="E2" i="8"/>
  <c r="D2" i="8"/>
  <c r="C2" i="8"/>
  <c r="AA267" i="8" l="1"/>
  <c r="AA197" i="8"/>
  <c r="AA256" i="8"/>
  <c r="AA253" i="8"/>
  <c r="AA201" i="8"/>
  <c r="AA254" i="8"/>
  <c r="AA199" i="8"/>
  <c r="AA257" i="8"/>
  <c r="AA255" i="8"/>
  <c r="AA196" i="8"/>
  <c r="AA258" i="8"/>
  <c r="AA200" i="8"/>
  <c r="AA198" i="8"/>
  <c r="AE257" i="8"/>
  <c r="AE201" i="8"/>
  <c r="AE254" i="8"/>
  <c r="AE197" i="8"/>
  <c r="AE196" i="8"/>
  <c r="AE199" i="8"/>
  <c r="AE255" i="8"/>
  <c r="AE258" i="8"/>
  <c r="AE200" i="8"/>
  <c r="AE267" i="8"/>
  <c r="AE256" i="8"/>
  <c r="AE198" i="8"/>
  <c r="AE253" i="8"/>
  <c r="M197" i="8"/>
  <c r="M198" i="8"/>
  <c r="M199" i="8"/>
  <c r="M200" i="8"/>
  <c r="M201" i="8"/>
  <c r="M196" i="8"/>
  <c r="M255" i="8"/>
  <c r="M258" i="8"/>
  <c r="M267" i="8"/>
  <c r="M254" i="8"/>
  <c r="M253" i="8"/>
  <c r="M256" i="8"/>
  <c r="M257" i="8"/>
  <c r="H257" i="8"/>
  <c r="H201" i="8"/>
  <c r="H256" i="8"/>
  <c r="H198" i="8"/>
  <c r="H254" i="8"/>
  <c r="H267" i="8"/>
  <c r="H253" i="8"/>
  <c r="H199" i="8"/>
  <c r="H196" i="8"/>
  <c r="H255" i="8"/>
  <c r="H200" i="8"/>
  <c r="H258" i="8"/>
  <c r="H197" i="8"/>
  <c r="AF198" i="8"/>
  <c r="AF257" i="8"/>
  <c r="AF201" i="8"/>
  <c r="AF253" i="8"/>
  <c r="AF254" i="8"/>
  <c r="AF199" i="8"/>
  <c r="AF197" i="8"/>
  <c r="AF258" i="8"/>
  <c r="AF200" i="8"/>
  <c r="AF267" i="8"/>
  <c r="AF255" i="8"/>
  <c r="AF256" i="8"/>
  <c r="AF196" i="8"/>
  <c r="N196" i="8"/>
  <c r="N197" i="8"/>
  <c r="N198" i="8"/>
  <c r="N199" i="8"/>
  <c r="N200" i="8"/>
  <c r="N201" i="8"/>
  <c r="N258" i="8"/>
  <c r="N255" i="8"/>
  <c r="N256" i="8"/>
  <c r="N267" i="8"/>
  <c r="N253" i="8"/>
  <c r="N257" i="8"/>
  <c r="N254" i="8"/>
  <c r="AJ254" i="8"/>
  <c r="AJ255" i="8"/>
  <c r="AJ256" i="8"/>
  <c r="AJ257" i="8"/>
  <c r="AJ258" i="8"/>
  <c r="AJ196" i="8"/>
  <c r="AJ198" i="8"/>
  <c r="AJ267" i="8"/>
  <c r="AJ201" i="8"/>
  <c r="AJ253" i="8"/>
  <c r="AJ199" i="8"/>
  <c r="AJ197" i="8"/>
  <c r="AJ200" i="8"/>
  <c r="AG197" i="8"/>
  <c r="AG198" i="8"/>
  <c r="AG199" i="8"/>
  <c r="AG200" i="8"/>
  <c r="AG201" i="8"/>
  <c r="AG254" i="8"/>
  <c r="AG257" i="8"/>
  <c r="AG256" i="8"/>
  <c r="AG253" i="8"/>
  <c r="AG255" i="8"/>
  <c r="AG196" i="8"/>
  <c r="AG258" i="8"/>
  <c r="AG267" i="8"/>
  <c r="O196" i="8"/>
  <c r="O197" i="8"/>
  <c r="O198" i="8"/>
  <c r="O199" i="8"/>
  <c r="O200" i="8"/>
  <c r="O201" i="8"/>
  <c r="O258" i="8"/>
  <c r="O255" i="8"/>
  <c r="O267" i="8"/>
  <c r="O256" i="8"/>
  <c r="O253" i="8"/>
  <c r="O254" i="8"/>
  <c r="O257" i="8"/>
  <c r="J254" i="8"/>
  <c r="J198" i="8"/>
  <c r="J257" i="8"/>
  <c r="J258" i="8"/>
  <c r="J267" i="8"/>
  <c r="J256" i="8"/>
  <c r="J253" i="8"/>
  <c r="J201" i="8"/>
  <c r="J199" i="8"/>
  <c r="J197" i="8"/>
  <c r="J196" i="8"/>
  <c r="J255" i="8"/>
  <c r="J200" i="8"/>
  <c r="Q267" i="8"/>
  <c r="Q253" i="8"/>
  <c r="Q254" i="8"/>
  <c r="Q255" i="8"/>
  <c r="Q256" i="8"/>
  <c r="Q257" i="8"/>
  <c r="Q258" i="8"/>
  <c r="Q196" i="8"/>
  <c r="Q200" i="8"/>
  <c r="Q198" i="8"/>
  <c r="Q201" i="8"/>
  <c r="Q199" i="8"/>
  <c r="Q197" i="8"/>
  <c r="C197" i="8"/>
  <c r="C256" i="8"/>
  <c r="C200" i="8"/>
  <c r="C201" i="8"/>
  <c r="C267" i="8"/>
  <c r="C253" i="8"/>
  <c r="C254" i="8"/>
  <c r="C199" i="8"/>
  <c r="C257" i="8"/>
  <c r="C255" i="8"/>
  <c r="C198" i="8"/>
  <c r="C258" i="8"/>
  <c r="C196" i="8"/>
  <c r="AC267" i="8"/>
  <c r="AC197" i="8"/>
  <c r="AC201" i="8"/>
  <c r="AC254" i="8"/>
  <c r="AC199" i="8"/>
  <c r="AC257" i="8"/>
  <c r="AC200" i="8"/>
  <c r="AC255" i="8"/>
  <c r="AC196" i="8"/>
  <c r="AC258" i="8"/>
  <c r="AC256" i="8"/>
  <c r="AC253" i="8"/>
  <c r="AC198" i="8"/>
  <c r="K254" i="8"/>
  <c r="K198" i="8"/>
  <c r="K257" i="8"/>
  <c r="K200" i="8"/>
  <c r="K258" i="8"/>
  <c r="K253" i="8"/>
  <c r="K201" i="8"/>
  <c r="K199" i="8"/>
  <c r="K267" i="8"/>
  <c r="K256" i="8"/>
  <c r="K197" i="8"/>
  <c r="K255" i="8"/>
  <c r="K196" i="8"/>
  <c r="L254" i="8"/>
  <c r="L198" i="8"/>
  <c r="L255" i="8"/>
  <c r="L200" i="8"/>
  <c r="L258" i="8"/>
  <c r="L267" i="8"/>
  <c r="L256" i="8"/>
  <c r="L201" i="8"/>
  <c r="L257" i="8"/>
  <c r="L253" i="8"/>
  <c r="L197" i="8"/>
  <c r="L199" i="8"/>
  <c r="L196" i="8"/>
  <c r="AH196" i="8"/>
  <c r="AH197" i="8"/>
  <c r="AH198" i="8"/>
  <c r="AH199" i="8"/>
  <c r="AH200" i="8"/>
  <c r="AH201" i="8"/>
  <c r="AH254" i="8"/>
  <c r="AH257" i="8"/>
  <c r="AH267" i="8"/>
  <c r="AH256" i="8"/>
  <c r="AH253" i="8"/>
  <c r="AH255" i="8"/>
  <c r="AH258" i="8"/>
  <c r="AI196" i="8"/>
  <c r="AI197" i="8"/>
  <c r="AI198" i="8"/>
  <c r="AI199" i="8"/>
  <c r="AI200" i="8"/>
  <c r="AI201" i="8"/>
  <c r="AI254" i="8"/>
  <c r="AI267" i="8"/>
  <c r="AI256" i="8"/>
  <c r="AI253" i="8"/>
  <c r="AI257" i="8"/>
  <c r="AI255" i="8"/>
  <c r="AI258" i="8"/>
  <c r="P254" i="8"/>
  <c r="P255" i="8"/>
  <c r="P256" i="8"/>
  <c r="P257" i="8"/>
  <c r="P258" i="8"/>
  <c r="P196" i="8"/>
  <c r="P200" i="8"/>
  <c r="P198" i="8"/>
  <c r="P267" i="8"/>
  <c r="P201" i="8"/>
  <c r="P253" i="8"/>
  <c r="P199" i="8"/>
  <c r="P197" i="8"/>
  <c r="AK267" i="8"/>
  <c r="AK253" i="8"/>
  <c r="AK254" i="8"/>
  <c r="AK255" i="8"/>
  <c r="AK256" i="8"/>
  <c r="AK257" i="8"/>
  <c r="AK258" i="8"/>
  <c r="AK198" i="8"/>
  <c r="AK201" i="8"/>
  <c r="AK199" i="8"/>
  <c r="AK197" i="8"/>
  <c r="AK196" i="8"/>
  <c r="AK200" i="8"/>
  <c r="R267" i="8"/>
  <c r="R253" i="8"/>
  <c r="R254" i="8"/>
  <c r="R255" i="8"/>
  <c r="R256" i="8"/>
  <c r="R257" i="8"/>
  <c r="R258" i="8"/>
  <c r="R199" i="8"/>
  <c r="R196" i="8"/>
  <c r="R197" i="8"/>
  <c r="R200" i="8"/>
  <c r="R201" i="8"/>
  <c r="R198" i="8"/>
  <c r="T267" i="8"/>
  <c r="T255" i="8"/>
  <c r="T199" i="8"/>
  <c r="T258" i="8"/>
  <c r="T196" i="8"/>
  <c r="T197" i="8"/>
  <c r="T200" i="8"/>
  <c r="T253" i="8"/>
  <c r="T198" i="8"/>
  <c r="T256" i="8"/>
  <c r="T201" i="8"/>
  <c r="T254" i="8"/>
  <c r="T257" i="8"/>
  <c r="AO199" i="8"/>
  <c r="AO258" i="8"/>
  <c r="AO196" i="8"/>
  <c r="AO200" i="8"/>
  <c r="AO198" i="8"/>
  <c r="AO267" i="8"/>
  <c r="AO256" i="8"/>
  <c r="AO254" i="8"/>
  <c r="AO253" i="8"/>
  <c r="AO257" i="8"/>
  <c r="AO201" i="8"/>
  <c r="AO197" i="8"/>
  <c r="AO255" i="8"/>
  <c r="V255" i="8"/>
  <c r="V196" i="8"/>
  <c r="V197" i="8"/>
  <c r="V258" i="8"/>
  <c r="V200" i="8"/>
  <c r="V198" i="8"/>
  <c r="V267" i="8"/>
  <c r="V253" i="8"/>
  <c r="V201" i="8"/>
  <c r="V254" i="8"/>
  <c r="V199" i="8"/>
  <c r="V256" i="8"/>
  <c r="V257" i="8"/>
  <c r="D267" i="8"/>
  <c r="D197" i="8"/>
  <c r="D256" i="8"/>
  <c r="D253" i="8"/>
  <c r="D201" i="8"/>
  <c r="D199" i="8"/>
  <c r="D255" i="8"/>
  <c r="D196" i="8"/>
  <c r="D254" i="8"/>
  <c r="D257" i="8"/>
  <c r="D258" i="8"/>
  <c r="D198" i="8"/>
  <c r="D200" i="8"/>
  <c r="X253" i="8"/>
  <c r="X200" i="8"/>
  <c r="X257" i="8"/>
  <c r="X255" i="8"/>
  <c r="X196" i="8"/>
  <c r="X197" i="8"/>
  <c r="X258" i="8"/>
  <c r="X198" i="8"/>
  <c r="X267" i="8"/>
  <c r="X256" i="8"/>
  <c r="X254" i="8"/>
  <c r="X199" i="8"/>
  <c r="X201" i="8"/>
  <c r="S267" i="8"/>
  <c r="S253" i="8"/>
  <c r="S254" i="8"/>
  <c r="S255" i="8"/>
  <c r="S199" i="8"/>
  <c r="S258" i="8"/>
  <c r="S196" i="8"/>
  <c r="S197" i="8"/>
  <c r="S200" i="8"/>
  <c r="S256" i="8"/>
  <c r="S198" i="8"/>
  <c r="S257" i="8"/>
  <c r="S201" i="8"/>
  <c r="AN267" i="8"/>
  <c r="AN258" i="8"/>
  <c r="AN196" i="8"/>
  <c r="AN200" i="8"/>
  <c r="AN198" i="8"/>
  <c r="AN256" i="8"/>
  <c r="AN253" i="8"/>
  <c r="AN254" i="8"/>
  <c r="AN201" i="8"/>
  <c r="AN257" i="8"/>
  <c r="AN199" i="8"/>
  <c r="AN197" i="8"/>
  <c r="AN255" i="8"/>
  <c r="U255" i="8"/>
  <c r="U196" i="8"/>
  <c r="U197" i="8"/>
  <c r="U258" i="8"/>
  <c r="U198" i="8"/>
  <c r="U256" i="8"/>
  <c r="U200" i="8"/>
  <c r="U267" i="8"/>
  <c r="U201" i="8"/>
  <c r="U254" i="8"/>
  <c r="U199" i="8"/>
  <c r="U257" i="8"/>
  <c r="U253" i="8"/>
  <c r="Y256" i="8"/>
  <c r="Y253" i="8"/>
  <c r="Y200" i="8"/>
  <c r="Y254" i="8"/>
  <c r="Y199" i="8"/>
  <c r="Y257" i="8"/>
  <c r="Y196" i="8"/>
  <c r="Y197" i="8"/>
  <c r="Y255" i="8"/>
  <c r="Y258" i="8"/>
  <c r="Y267" i="8"/>
  <c r="Y198" i="8"/>
  <c r="Y201" i="8"/>
  <c r="G201" i="8"/>
  <c r="G267" i="8"/>
  <c r="G256" i="8"/>
  <c r="G253" i="8"/>
  <c r="G198" i="8"/>
  <c r="G199" i="8"/>
  <c r="G254" i="8"/>
  <c r="G197" i="8"/>
  <c r="G257" i="8"/>
  <c r="G196" i="8"/>
  <c r="G255" i="8"/>
  <c r="G200" i="8"/>
  <c r="G258" i="8"/>
  <c r="AB267" i="8"/>
  <c r="AB197" i="8"/>
  <c r="AB256" i="8"/>
  <c r="AB201" i="8"/>
  <c r="AB254" i="8"/>
  <c r="AB199" i="8"/>
  <c r="AB257" i="8"/>
  <c r="AB196" i="8"/>
  <c r="AB200" i="8"/>
  <c r="AB255" i="8"/>
  <c r="AB258" i="8"/>
  <c r="AB253" i="8"/>
  <c r="AB198" i="8"/>
  <c r="I254" i="8"/>
  <c r="I198" i="8"/>
  <c r="I257" i="8"/>
  <c r="I201" i="8"/>
  <c r="I256" i="8"/>
  <c r="I267" i="8"/>
  <c r="I253" i="8"/>
  <c r="I199" i="8"/>
  <c r="I197" i="8"/>
  <c r="I196" i="8"/>
  <c r="I255" i="8"/>
  <c r="I200" i="8"/>
  <c r="I258" i="8"/>
  <c r="AD201" i="8"/>
  <c r="AD254" i="8"/>
  <c r="AD199" i="8"/>
  <c r="AD197" i="8"/>
  <c r="AD257" i="8"/>
  <c r="AD255" i="8"/>
  <c r="AD196" i="8"/>
  <c r="AD267" i="8"/>
  <c r="AD256" i="8"/>
  <c r="AD253" i="8"/>
  <c r="AD198" i="8"/>
  <c r="AD258" i="8"/>
  <c r="AD200" i="8"/>
  <c r="AL267" i="8"/>
  <c r="AL253" i="8"/>
  <c r="AL254" i="8"/>
  <c r="AL255" i="8"/>
  <c r="AL256" i="8"/>
  <c r="AL257" i="8"/>
  <c r="AL258" i="8"/>
  <c r="AL198" i="8"/>
  <c r="AL201" i="8"/>
  <c r="AL199" i="8"/>
  <c r="AL196" i="8"/>
  <c r="AL200" i="8"/>
  <c r="AL197" i="8"/>
  <c r="AM267" i="8"/>
  <c r="AM253" i="8"/>
  <c r="AM254" i="8"/>
  <c r="AM198" i="8"/>
  <c r="AM256" i="8"/>
  <c r="AM201" i="8"/>
  <c r="AM257" i="8"/>
  <c r="AM199" i="8"/>
  <c r="AM197" i="8"/>
  <c r="AM255" i="8"/>
  <c r="AM196" i="8"/>
  <c r="AM200" i="8"/>
  <c r="AM258" i="8"/>
  <c r="AP255" i="8"/>
  <c r="AP199" i="8"/>
  <c r="AP258" i="8"/>
  <c r="AP196" i="8"/>
  <c r="AP200" i="8"/>
  <c r="AP198" i="8"/>
  <c r="AP267" i="8"/>
  <c r="AP256" i="8"/>
  <c r="AP254" i="8"/>
  <c r="AP257" i="8"/>
  <c r="AP253" i="8"/>
  <c r="AP201" i="8"/>
  <c r="AP197" i="8"/>
  <c r="W257" i="8"/>
  <c r="W255" i="8"/>
  <c r="W197" i="8"/>
  <c r="W196" i="8"/>
  <c r="W258" i="8"/>
  <c r="W200" i="8"/>
  <c r="W198" i="8"/>
  <c r="W256" i="8"/>
  <c r="W253" i="8"/>
  <c r="W201" i="8"/>
  <c r="W254" i="8"/>
  <c r="W199" i="8"/>
  <c r="W267" i="8"/>
  <c r="E197" i="8"/>
  <c r="E267" i="8"/>
  <c r="E256" i="8"/>
  <c r="E253" i="8"/>
  <c r="E198" i="8"/>
  <c r="E201" i="8"/>
  <c r="E199" i="8"/>
  <c r="E257" i="8"/>
  <c r="E254" i="8"/>
  <c r="E196" i="8"/>
  <c r="E200" i="8"/>
  <c r="E258" i="8"/>
  <c r="E255" i="8"/>
  <c r="F197" i="8"/>
  <c r="F267" i="8"/>
  <c r="F256" i="8"/>
  <c r="F253" i="8"/>
  <c r="F198" i="8"/>
  <c r="F201" i="8"/>
  <c r="F199" i="8"/>
  <c r="F257" i="8"/>
  <c r="F254" i="8"/>
  <c r="F255" i="8"/>
  <c r="F200" i="8"/>
  <c r="F258" i="8"/>
  <c r="F196" i="8"/>
  <c r="Z267" i="8"/>
  <c r="Z197" i="8"/>
  <c r="Z256" i="8"/>
  <c r="Z253" i="8"/>
  <c r="Z200" i="8"/>
  <c r="Z201" i="8"/>
  <c r="Z254" i="8"/>
  <c r="Z199" i="8"/>
  <c r="Z257" i="8"/>
  <c r="Z196" i="8"/>
  <c r="Z258" i="8"/>
  <c r="Z255" i="8"/>
  <c r="Z198" i="8"/>
  <c r="CN120" i="8"/>
  <c r="CN105" i="8"/>
  <c r="G105" i="8"/>
  <c r="G120" i="8"/>
  <c r="AA120" i="8"/>
  <c r="AA105" i="8"/>
  <c r="H120" i="8"/>
  <c r="H105" i="8"/>
  <c r="CJ120" i="8"/>
  <c r="CJ105" i="8"/>
  <c r="AC120" i="8"/>
  <c r="AC105" i="8"/>
  <c r="J120" i="8"/>
  <c r="J105" i="8"/>
  <c r="CL120" i="8"/>
  <c r="CL105" i="8"/>
  <c r="AY120" i="8"/>
  <c r="AY105" i="8"/>
  <c r="AF120" i="8"/>
  <c r="AF105" i="8"/>
  <c r="BT120" i="8"/>
  <c r="BT105" i="8"/>
  <c r="AG120" i="8"/>
  <c r="AG105" i="8"/>
  <c r="N120" i="8"/>
  <c r="N105" i="8"/>
  <c r="CP120" i="8"/>
  <c r="CP105" i="8"/>
  <c r="AI120" i="8"/>
  <c r="AI105" i="8"/>
  <c r="P120" i="8"/>
  <c r="P105" i="8"/>
  <c r="CR105" i="8"/>
  <c r="CR120" i="8"/>
  <c r="AK120" i="8"/>
  <c r="AK105" i="8"/>
  <c r="CS120" i="8"/>
  <c r="CS105" i="8"/>
  <c r="S105" i="8"/>
  <c r="S120" i="8"/>
  <c r="CU120" i="8"/>
  <c r="CU105" i="8"/>
  <c r="CV120" i="8"/>
  <c r="CV105" i="8"/>
  <c r="CC105" i="8"/>
  <c r="CC120" i="8"/>
  <c r="BJ105" i="8"/>
  <c r="BJ120" i="8"/>
  <c r="C120" i="8"/>
  <c r="C105" i="8"/>
  <c r="CE120" i="8"/>
  <c r="CE105" i="8"/>
  <c r="BO120" i="8"/>
  <c r="BO105" i="8"/>
  <c r="BP120" i="8"/>
  <c r="BP105" i="8"/>
  <c r="AW120" i="8"/>
  <c r="AW105" i="8"/>
  <c r="AD120" i="8"/>
  <c r="AD105" i="8"/>
  <c r="K120" i="8"/>
  <c r="K105" i="8"/>
  <c r="CM120" i="8"/>
  <c r="CM105" i="8"/>
  <c r="M120" i="8"/>
  <c r="M105" i="8"/>
  <c r="BU120" i="8"/>
  <c r="BU105" i="8"/>
  <c r="BB120" i="8"/>
  <c r="BB105" i="8"/>
  <c r="O105" i="8"/>
  <c r="O120" i="8"/>
  <c r="BC120" i="8"/>
  <c r="BC105" i="8"/>
  <c r="BX120" i="8"/>
  <c r="BX105" i="8"/>
  <c r="Q105" i="8"/>
  <c r="Q120" i="8"/>
  <c r="R120" i="8"/>
  <c r="R105" i="8"/>
  <c r="BZ105" i="8"/>
  <c r="BZ120" i="8"/>
  <c r="CA120" i="8"/>
  <c r="CA105" i="8"/>
  <c r="BH120" i="8"/>
  <c r="BH105" i="8"/>
  <c r="U120" i="8"/>
  <c r="U105" i="8"/>
  <c r="BI120" i="8"/>
  <c r="BI105" i="8"/>
  <c r="V105" i="8"/>
  <c r="V120" i="8"/>
  <c r="CD120" i="8"/>
  <c r="CD105" i="8"/>
  <c r="AQ120" i="8"/>
  <c r="AQ105" i="8"/>
  <c r="D120" i="8"/>
  <c r="D105" i="8"/>
  <c r="AR120" i="8"/>
  <c r="AR105" i="8"/>
  <c r="BL120" i="8"/>
  <c r="BL105" i="8"/>
  <c r="CF120" i="8"/>
  <c r="CF105" i="8"/>
  <c r="CI120" i="8"/>
  <c r="CI105" i="8"/>
  <c r="AV120" i="8"/>
  <c r="AV105" i="8"/>
  <c r="CK120" i="8"/>
  <c r="CK105" i="8"/>
  <c r="AX120" i="8"/>
  <c r="AX105" i="8"/>
  <c r="BS120" i="8"/>
  <c r="BS105" i="8"/>
  <c r="AZ120" i="8"/>
  <c r="AZ105" i="8"/>
  <c r="BA120" i="8"/>
  <c r="BA105" i="8"/>
  <c r="BV120" i="8"/>
  <c r="BV105" i="8"/>
  <c r="BW105" i="8"/>
  <c r="BW120" i="8"/>
  <c r="BD120" i="8"/>
  <c r="BD105" i="8"/>
  <c r="BY105" i="8"/>
  <c r="BY120" i="8"/>
  <c r="BG105" i="8"/>
  <c r="BG120" i="8"/>
  <c r="AN120" i="8"/>
  <c r="AN105" i="8"/>
  <c r="CW105" i="8"/>
  <c r="CW120" i="8"/>
  <c r="AP105" i="8"/>
  <c r="AP120" i="8"/>
  <c r="BK105" i="8"/>
  <c r="BK120" i="8"/>
  <c r="E120" i="8"/>
  <c r="E105" i="8"/>
  <c r="AS105" i="8"/>
  <c r="AS120" i="8"/>
  <c r="BM120" i="8"/>
  <c r="BM105" i="8"/>
  <c r="CG120" i="8"/>
  <c r="CG105" i="8"/>
  <c r="AU105" i="8"/>
  <c r="AU120" i="8"/>
  <c r="AB120" i="8"/>
  <c r="AB105" i="8"/>
  <c r="I120" i="8"/>
  <c r="I105" i="8"/>
  <c r="BQ120" i="8"/>
  <c r="BQ105" i="8"/>
  <c r="BR120" i="8"/>
  <c r="BR105" i="8"/>
  <c r="AE120" i="8"/>
  <c r="AE105" i="8"/>
  <c r="L120" i="8"/>
  <c r="L105" i="8"/>
  <c r="CO120" i="8"/>
  <c r="CO105" i="8"/>
  <c r="AH120" i="8"/>
  <c r="AH105" i="8"/>
  <c r="CQ120" i="8"/>
  <c r="CQ105" i="8"/>
  <c r="AJ120" i="8"/>
  <c r="AJ105" i="8"/>
  <c r="BE120" i="8"/>
  <c r="BE105" i="8"/>
  <c r="AL120" i="8"/>
  <c r="AL105" i="8"/>
  <c r="BF105" i="8"/>
  <c r="BF120" i="8"/>
  <c r="CT120" i="8"/>
  <c r="CT105" i="8"/>
  <c r="AM120" i="8"/>
  <c r="AM105" i="8"/>
  <c r="T120" i="8"/>
  <c r="T105" i="8"/>
  <c r="CB120" i="8"/>
  <c r="CB105" i="8"/>
  <c r="AO120" i="8"/>
  <c r="AO105" i="8"/>
  <c r="CX120" i="8"/>
  <c r="CX105" i="8"/>
  <c r="W120" i="8"/>
  <c r="W105" i="8"/>
  <c r="X120" i="8"/>
  <c r="X105" i="8"/>
  <c r="Y120" i="8"/>
  <c r="Y105" i="8"/>
  <c r="F105" i="8"/>
  <c r="F120" i="8"/>
  <c r="Z120" i="8"/>
  <c r="Z105" i="8"/>
  <c r="AT120" i="8"/>
  <c r="AT105" i="8"/>
  <c r="BN120" i="8"/>
  <c r="BN105" i="8"/>
  <c r="CH120" i="8"/>
  <c r="CH105" i="8"/>
  <c r="AJ144" i="8"/>
  <c r="CG144" i="8"/>
  <c r="CH144" i="8"/>
  <c r="AN144" i="8"/>
  <c r="BM144" i="8"/>
  <c r="AQ144" i="8"/>
  <c r="T144" i="8"/>
  <c r="CR144" i="8"/>
  <c r="AI144" i="8"/>
  <c r="BH144" i="8"/>
  <c r="CI144" i="8"/>
  <c r="AP144" i="8"/>
  <c r="CT144" i="8"/>
  <c r="CF144" i="8"/>
  <c r="BK144" i="8"/>
  <c r="BN144" i="8"/>
  <c r="AY144" i="8"/>
  <c r="BG144" i="8"/>
  <c r="AK144" i="8"/>
  <c r="BJ144" i="8"/>
  <c r="CJ144" i="8"/>
  <c r="CK144" i="8"/>
  <c r="S144" i="8"/>
  <c r="CM144" i="8"/>
  <c r="BP144" i="8"/>
  <c r="AS144" i="8"/>
  <c r="V144" i="8"/>
  <c r="CP144" i="8"/>
  <c r="BS144" i="8"/>
  <c r="AV144" i="8"/>
  <c r="Y144" i="8"/>
  <c r="CS144" i="8"/>
  <c r="Z144" i="8"/>
  <c r="C144" i="8"/>
  <c r="BW144" i="8"/>
  <c r="D144" i="8"/>
  <c r="CV144" i="8"/>
  <c r="AC144" i="8"/>
  <c r="BY144" i="8"/>
  <c r="CW144" i="8"/>
  <c r="F144" i="8"/>
  <c r="AD144" i="8"/>
  <c r="BB144" i="8"/>
  <c r="BZ144" i="8"/>
  <c r="CX144" i="8"/>
  <c r="K144" i="8"/>
  <c r="L144" i="8"/>
  <c r="M144" i="8"/>
  <c r="N144" i="8"/>
  <c r="O144" i="8"/>
  <c r="P144" i="8"/>
  <c r="AO144" i="8"/>
  <c r="R144" i="8"/>
  <c r="CN144" i="8"/>
  <c r="BQ144" i="8"/>
  <c r="AT144" i="8"/>
  <c r="W144" i="8"/>
  <c r="CQ144" i="8"/>
  <c r="BT144" i="8"/>
  <c r="AW144" i="8"/>
  <c r="BU144" i="8"/>
  <c r="BV144" i="8"/>
  <c r="AA144" i="8"/>
  <c r="AZ144" i="8"/>
  <c r="CA144" i="8"/>
  <c r="CE144" i="8"/>
  <c r="BI144" i="8"/>
  <c r="AL144" i="8"/>
  <c r="AM144" i="8"/>
  <c r="BL144" i="8"/>
  <c r="Q144" i="8"/>
  <c r="CL144" i="8"/>
  <c r="BO144" i="8"/>
  <c r="AR144" i="8"/>
  <c r="U144" i="8"/>
  <c r="CO144" i="8"/>
  <c r="BR144" i="8"/>
  <c r="AU144" i="8"/>
  <c r="X144" i="8"/>
  <c r="CL59" i="8"/>
  <c r="AX144" i="8"/>
  <c r="CU144" i="8"/>
  <c r="AB144" i="8"/>
  <c r="BX144" i="8"/>
  <c r="E144" i="8"/>
  <c r="BA144" i="8"/>
  <c r="G144" i="8"/>
  <c r="AE144" i="8"/>
  <c r="BC144" i="8"/>
  <c r="H144" i="8"/>
  <c r="AF144" i="8"/>
  <c r="BD144" i="8"/>
  <c r="CB144" i="8"/>
  <c r="I144" i="8"/>
  <c r="AG144" i="8"/>
  <c r="BE144" i="8"/>
  <c r="CC144" i="8"/>
  <c r="J144" i="8"/>
  <c r="AH144" i="8"/>
  <c r="BF144" i="8"/>
  <c r="CD144" i="8"/>
  <c r="C41" i="8"/>
  <c r="I113" i="8"/>
  <c r="I129" i="8"/>
  <c r="Y113" i="8"/>
  <c r="Y129" i="8"/>
  <c r="G129" i="8"/>
  <c r="G113" i="8"/>
  <c r="K129" i="8"/>
  <c r="K113" i="8"/>
  <c r="O129" i="8"/>
  <c r="O113" i="8"/>
  <c r="S129" i="8"/>
  <c r="S113" i="8"/>
  <c r="W129" i="8"/>
  <c r="W113" i="8"/>
  <c r="AA129" i="8"/>
  <c r="AA113" i="8"/>
  <c r="AE129" i="8"/>
  <c r="AE113" i="8"/>
  <c r="AI129" i="8"/>
  <c r="AI113" i="8"/>
  <c r="AM129" i="8"/>
  <c r="AM113" i="8"/>
  <c r="AQ129" i="8"/>
  <c r="AQ113" i="8"/>
  <c r="AU129" i="8"/>
  <c r="AU113" i="8"/>
  <c r="AY129" i="8"/>
  <c r="AY113" i="8"/>
  <c r="BC129" i="8"/>
  <c r="BC113" i="8"/>
  <c r="BG129" i="8"/>
  <c r="BG113" i="8"/>
  <c r="BK129" i="8"/>
  <c r="BK113" i="8"/>
  <c r="BO129" i="8"/>
  <c r="BO113" i="8"/>
  <c r="BS129" i="8"/>
  <c r="BS113" i="8"/>
  <c r="BW129" i="8"/>
  <c r="BW113" i="8"/>
  <c r="CA129" i="8"/>
  <c r="CA113" i="8"/>
  <c r="CE129" i="8"/>
  <c r="CE113" i="8"/>
  <c r="CI129" i="8"/>
  <c r="CI113" i="8"/>
  <c r="CM129" i="8"/>
  <c r="CM113" i="8"/>
  <c r="CQ129" i="8"/>
  <c r="CQ113" i="8"/>
  <c r="CU129" i="8"/>
  <c r="CU113" i="8"/>
  <c r="D113" i="8"/>
  <c r="D129" i="8"/>
  <c r="H113" i="8"/>
  <c r="H129" i="8"/>
  <c r="L113" i="8"/>
  <c r="L129" i="8"/>
  <c r="P113" i="8"/>
  <c r="P129" i="8"/>
  <c r="T113" i="8"/>
  <c r="T129" i="8"/>
  <c r="X113" i="8"/>
  <c r="X129" i="8"/>
  <c r="AB113" i="8"/>
  <c r="AB129" i="8"/>
  <c r="AF113" i="8"/>
  <c r="AF129" i="8"/>
  <c r="AJ113" i="8"/>
  <c r="AJ129" i="8"/>
  <c r="AN113" i="8"/>
  <c r="AN129" i="8"/>
  <c r="AR113" i="8"/>
  <c r="AR129" i="8"/>
  <c r="AV113" i="8"/>
  <c r="AV129" i="8"/>
  <c r="AZ113" i="8"/>
  <c r="AZ129" i="8"/>
  <c r="BD113" i="8"/>
  <c r="BD129" i="8"/>
  <c r="BH113" i="8"/>
  <c r="BH129" i="8"/>
  <c r="BL113" i="8"/>
  <c r="BL129" i="8"/>
  <c r="BP113" i="8"/>
  <c r="BP129" i="8"/>
  <c r="BT113" i="8"/>
  <c r="BT129" i="8"/>
  <c r="BX113" i="8"/>
  <c r="BX129" i="8"/>
  <c r="CB113" i="8"/>
  <c r="CB129" i="8"/>
  <c r="CF113" i="8"/>
  <c r="CF129" i="8"/>
  <c r="CJ113" i="8"/>
  <c r="CJ129" i="8"/>
  <c r="CN113" i="8"/>
  <c r="CN129" i="8"/>
  <c r="CR113" i="8"/>
  <c r="CR129" i="8"/>
  <c r="CV113" i="8"/>
  <c r="CV129" i="8"/>
  <c r="M113" i="8"/>
  <c r="M129" i="8"/>
  <c r="U113" i="8"/>
  <c r="U129" i="8"/>
  <c r="AG113" i="8"/>
  <c r="AG129" i="8"/>
  <c r="AK113" i="8"/>
  <c r="AK129" i="8"/>
  <c r="AO113" i="8"/>
  <c r="AO129" i="8"/>
  <c r="AS113" i="8"/>
  <c r="AS129" i="8"/>
  <c r="AW113" i="8"/>
  <c r="AW129" i="8"/>
  <c r="BA113" i="8"/>
  <c r="BA129" i="8"/>
  <c r="BE113" i="8"/>
  <c r="BE129" i="8"/>
  <c r="BI113" i="8"/>
  <c r="BI129" i="8"/>
  <c r="BM113" i="8"/>
  <c r="BM129" i="8"/>
  <c r="BQ113" i="8"/>
  <c r="BQ129" i="8"/>
  <c r="BU113" i="8"/>
  <c r="BU129" i="8"/>
  <c r="BY113" i="8"/>
  <c r="BY129" i="8"/>
  <c r="CC113" i="8"/>
  <c r="CC129" i="8"/>
  <c r="CG113" i="8"/>
  <c r="CG129" i="8"/>
  <c r="CK113" i="8"/>
  <c r="CK129" i="8"/>
  <c r="CO113" i="8"/>
  <c r="CO129" i="8"/>
  <c r="CS113" i="8"/>
  <c r="CS129" i="8"/>
  <c r="CW113" i="8"/>
  <c r="CW129" i="8"/>
  <c r="E113" i="8"/>
  <c r="E129" i="8"/>
  <c r="Q113" i="8"/>
  <c r="Q129" i="8"/>
  <c r="AC113" i="8"/>
  <c r="AC129" i="8"/>
  <c r="F129" i="8"/>
  <c r="F113" i="8"/>
  <c r="J129" i="8"/>
  <c r="J113" i="8"/>
  <c r="N129" i="8"/>
  <c r="N113" i="8"/>
  <c r="R129" i="8"/>
  <c r="R113" i="8"/>
  <c r="V129" i="8"/>
  <c r="V113" i="8"/>
  <c r="Z129" i="8"/>
  <c r="Z113" i="8"/>
  <c r="AD129" i="8"/>
  <c r="AD113" i="8"/>
  <c r="AH129" i="8"/>
  <c r="AH113" i="8"/>
  <c r="AL129" i="8"/>
  <c r="AL113" i="8"/>
  <c r="AP129" i="8"/>
  <c r="AP113" i="8"/>
  <c r="AT129" i="8"/>
  <c r="AT113" i="8"/>
  <c r="AX129" i="8"/>
  <c r="AX113" i="8"/>
  <c r="BB129" i="8"/>
  <c r="BB113" i="8"/>
  <c r="BF129" i="8"/>
  <c r="BF113" i="8"/>
  <c r="BJ129" i="8"/>
  <c r="BJ113" i="8"/>
  <c r="BN129" i="8"/>
  <c r="BN113" i="8"/>
  <c r="BR129" i="8"/>
  <c r="BR113" i="8"/>
  <c r="BV129" i="8"/>
  <c r="BV113" i="8"/>
  <c r="BZ129" i="8"/>
  <c r="BZ113" i="8"/>
  <c r="CD129" i="8"/>
  <c r="CD113" i="8"/>
  <c r="CH129" i="8"/>
  <c r="CH113" i="8"/>
  <c r="CL129" i="8"/>
  <c r="CL113" i="8"/>
  <c r="CP129" i="8"/>
  <c r="CP113" i="8"/>
  <c r="CT129" i="8"/>
  <c r="CT113" i="8"/>
  <c r="CX129" i="8"/>
  <c r="CX113" i="8"/>
  <c r="C81" i="8"/>
  <c r="E80" i="8"/>
  <c r="E79" i="8"/>
  <c r="E111" i="8"/>
  <c r="E116" i="8"/>
  <c r="E78" i="8"/>
  <c r="E43" i="8"/>
  <c r="E40" i="8"/>
  <c r="E38" i="8"/>
  <c r="E101" i="8"/>
  <c r="E77" i="8"/>
  <c r="I80" i="8"/>
  <c r="I79" i="8"/>
  <c r="I116" i="8"/>
  <c r="I111" i="8"/>
  <c r="I78" i="8"/>
  <c r="I101" i="8"/>
  <c r="I43" i="8"/>
  <c r="I38" i="8"/>
  <c r="I40" i="8"/>
  <c r="I77" i="8"/>
  <c r="M80" i="8"/>
  <c r="M79" i="8"/>
  <c r="M78" i="8"/>
  <c r="M116" i="8"/>
  <c r="M111" i="8"/>
  <c r="M43" i="8"/>
  <c r="M101" i="8"/>
  <c r="M38" i="8"/>
  <c r="M40" i="8"/>
  <c r="M77" i="8"/>
  <c r="Q80" i="8"/>
  <c r="Q79" i="8"/>
  <c r="Q116" i="8"/>
  <c r="Q78" i="8"/>
  <c r="Q111" i="8"/>
  <c r="Q101" i="8"/>
  <c r="Q43" i="8"/>
  <c r="Q40" i="8"/>
  <c r="Q38" i="8"/>
  <c r="Q77" i="8"/>
  <c r="U80" i="8"/>
  <c r="U79" i="8"/>
  <c r="U78" i="8"/>
  <c r="U111" i="8"/>
  <c r="U43" i="8"/>
  <c r="U40" i="8"/>
  <c r="U101" i="8"/>
  <c r="U116" i="8"/>
  <c r="U77" i="8"/>
  <c r="U38" i="8"/>
  <c r="Y80" i="8"/>
  <c r="Y79" i="8"/>
  <c r="Y78" i="8"/>
  <c r="Y116" i="8"/>
  <c r="Y111" i="8"/>
  <c r="Y101" i="8"/>
  <c r="Y43" i="8"/>
  <c r="Y40" i="8"/>
  <c r="Y38" i="8"/>
  <c r="Y77" i="8"/>
  <c r="AC80" i="8"/>
  <c r="AC79" i="8"/>
  <c r="AC78" i="8"/>
  <c r="AC116" i="8"/>
  <c r="AC111" i="8"/>
  <c r="AC43" i="8"/>
  <c r="AC40" i="8"/>
  <c r="AC38" i="8"/>
  <c r="AC77" i="8"/>
  <c r="AC101" i="8"/>
  <c r="AG80" i="8"/>
  <c r="AG79" i="8"/>
  <c r="AG116" i="8"/>
  <c r="AG78" i="8"/>
  <c r="AG111" i="8"/>
  <c r="AG101" i="8"/>
  <c r="AG43" i="8"/>
  <c r="AG40" i="8"/>
  <c r="AG38" i="8"/>
  <c r="AG77" i="8"/>
  <c r="AK80" i="8"/>
  <c r="AK79" i="8"/>
  <c r="AK78" i="8"/>
  <c r="AK111" i="8"/>
  <c r="AK43" i="8"/>
  <c r="AK40" i="8"/>
  <c r="AK116" i="8"/>
  <c r="AK38" i="8"/>
  <c r="AK101" i="8"/>
  <c r="AK77" i="8"/>
  <c r="AO80" i="8"/>
  <c r="AO79" i="8"/>
  <c r="AO78" i="8"/>
  <c r="AO116" i="8"/>
  <c r="AO111" i="8"/>
  <c r="AO101" i="8"/>
  <c r="AO43" i="8"/>
  <c r="AO40" i="8"/>
  <c r="AO38" i="8"/>
  <c r="AO77" i="8"/>
  <c r="AS80" i="8"/>
  <c r="AS79" i="8"/>
  <c r="AS78" i="8"/>
  <c r="AS116" i="8"/>
  <c r="AS111" i="8"/>
  <c r="AS43" i="8"/>
  <c r="AS40" i="8"/>
  <c r="AS101" i="8"/>
  <c r="AS38" i="8"/>
  <c r="AS77" i="8"/>
  <c r="AW80" i="8"/>
  <c r="AW79" i="8"/>
  <c r="AW116" i="8"/>
  <c r="AW78" i="8"/>
  <c r="AW111" i="8"/>
  <c r="AW101" i="8"/>
  <c r="AW43" i="8"/>
  <c r="AW40" i="8"/>
  <c r="AW38" i="8"/>
  <c r="AW77" i="8"/>
  <c r="BA80" i="8"/>
  <c r="BA79" i="8"/>
  <c r="BA78" i="8"/>
  <c r="BA111" i="8"/>
  <c r="BA116" i="8"/>
  <c r="BA43" i="8"/>
  <c r="BA40" i="8"/>
  <c r="BA101" i="8"/>
  <c r="BA77" i="8"/>
  <c r="BA38" i="8"/>
  <c r="C79" i="8"/>
  <c r="C116" i="8"/>
  <c r="C80" i="8"/>
  <c r="C111" i="8"/>
  <c r="C101" i="8"/>
  <c r="C77" i="8"/>
  <c r="C78" i="8"/>
  <c r="C43" i="8"/>
  <c r="C38" i="8"/>
  <c r="C40" i="8"/>
  <c r="G116" i="8"/>
  <c r="G79" i="8"/>
  <c r="G111" i="8"/>
  <c r="G80" i="8"/>
  <c r="G101" i="8"/>
  <c r="G78" i="8"/>
  <c r="G77" i="8"/>
  <c r="G38" i="8"/>
  <c r="G43" i="8"/>
  <c r="G40" i="8"/>
  <c r="K116" i="8"/>
  <c r="K111" i="8"/>
  <c r="K80" i="8"/>
  <c r="K101" i="8"/>
  <c r="K78" i="8"/>
  <c r="K40" i="8"/>
  <c r="K77" i="8"/>
  <c r="K43" i="8"/>
  <c r="K79" i="8"/>
  <c r="K38" i="8"/>
  <c r="O116" i="8"/>
  <c r="O111" i="8"/>
  <c r="O80" i="8"/>
  <c r="O79" i="8"/>
  <c r="O101" i="8"/>
  <c r="O78" i="8"/>
  <c r="O38" i="8"/>
  <c r="O77" i="8"/>
  <c r="O40" i="8"/>
  <c r="O43" i="8"/>
  <c r="S116" i="8"/>
  <c r="S80" i="8"/>
  <c r="S111" i="8"/>
  <c r="S79" i="8"/>
  <c r="S101" i="8"/>
  <c r="S78" i="8"/>
  <c r="S77" i="8"/>
  <c r="S43" i="8"/>
  <c r="S38" i="8"/>
  <c r="S40" i="8"/>
  <c r="W116" i="8"/>
  <c r="W79" i="8"/>
  <c r="W111" i="8"/>
  <c r="W80" i="8"/>
  <c r="W78" i="8"/>
  <c r="W101" i="8"/>
  <c r="W77" i="8"/>
  <c r="W40" i="8"/>
  <c r="W38" i="8"/>
  <c r="W43" i="8"/>
  <c r="AA116" i="8"/>
  <c r="AA111" i="8"/>
  <c r="AA80" i="8"/>
  <c r="AA101" i="8"/>
  <c r="AA79" i="8"/>
  <c r="AA78" i="8"/>
  <c r="AA77" i="8"/>
  <c r="AA43" i="8"/>
  <c r="AA38" i="8"/>
  <c r="AA40" i="8"/>
  <c r="AE116" i="8"/>
  <c r="AE111" i="8"/>
  <c r="AE80" i="8"/>
  <c r="AE79" i="8"/>
  <c r="AE101" i="8"/>
  <c r="AE38" i="8"/>
  <c r="AE77" i="8"/>
  <c r="AE78" i="8"/>
  <c r="AE40" i="8"/>
  <c r="AE43" i="8"/>
  <c r="AI116" i="8"/>
  <c r="AI80" i="8"/>
  <c r="AI111" i="8"/>
  <c r="AI79" i="8"/>
  <c r="AI101" i="8"/>
  <c r="AI78" i="8"/>
  <c r="AI77" i="8"/>
  <c r="AI43" i="8"/>
  <c r="AI38" i="8"/>
  <c r="AI40" i="8"/>
  <c r="AM116" i="8"/>
  <c r="AM79" i="8"/>
  <c r="AM111" i="8"/>
  <c r="AM78" i="8"/>
  <c r="AM101" i="8"/>
  <c r="AM80" i="8"/>
  <c r="AM77" i="8"/>
  <c r="AM40" i="8"/>
  <c r="AM38" i="8"/>
  <c r="AM43" i="8"/>
  <c r="AQ116" i="8"/>
  <c r="AQ111" i="8"/>
  <c r="AQ80" i="8"/>
  <c r="AQ101" i="8"/>
  <c r="AQ79" i="8"/>
  <c r="AQ78" i="8"/>
  <c r="AQ77" i="8"/>
  <c r="AQ43" i="8"/>
  <c r="AQ40" i="8"/>
  <c r="AQ38" i="8"/>
  <c r="AU116" i="8"/>
  <c r="AU111" i="8"/>
  <c r="AU80" i="8"/>
  <c r="AU79" i="8"/>
  <c r="AU101" i="8"/>
  <c r="AU38" i="8"/>
  <c r="AU77" i="8"/>
  <c r="AU40" i="8"/>
  <c r="AU78" i="8"/>
  <c r="AU43" i="8"/>
  <c r="AY116" i="8"/>
  <c r="AY80" i="8"/>
  <c r="AY111" i="8"/>
  <c r="AY79" i="8"/>
  <c r="AY101" i="8"/>
  <c r="AY78" i="8"/>
  <c r="AY77" i="8"/>
  <c r="AY43" i="8"/>
  <c r="AY38" i="8"/>
  <c r="AY40" i="8"/>
  <c r="BC116" i="8"/>
  <c r="BC79" i="8"/>
  <c r="BC111" i="8"/>
  <c r="BC78" i="8"/>
  <c r="BC80" i="8"/>
  <c r="BC101" i="8"/>
  <c r="BC77" i="8"/>
  <c r="BC40" i="8"/>
  <c r="BC38" i="8"/>
  <c r="BC43" i="8"/>
  <c r="BG116" i="8"/>
  <c r="BG111" i="8"/>
  <c r="BG80" i="8"/>
  <c r="BG78" i="8"/>
  <c r="BG79" i="8"/>
  <c r="BG101" i="8"/>
  <c r="BG77" i="8"/>
  <c r="BG43" i="8"/>
  <c r="BG40" i="8"/>
  <c r="BG38" i="8"/>
  <c r="BK116" i="8"/>
  <c r="BK111" i="8"/>
  <c r="BK80" i="8"/>
  <c r="BK79" i="8"/>
  <c r="BK78" i="8"/>
  <c r="BK101" i="8"/>
  <c r="BK38" i="8"/>
  <c r="BK77" i="8"/>
  <c r="BK40" i="8"/>
  <c r="BK43" i="8"/>
  <c r="BO116" i="8"/>
  <c r="BO80" i="8"/>
  <c r="BO79" i="8"/>
  <c r="BO111" i="8"/>
  <c r="BO78" i="8"/>
  <c r="BO101" i="8"/>
  <c r="BO77" i="8"/>
  <c r="BO43" i="8"/>
  <c r="BO38" i="8"/>
  <c r="BO40" i="8"/>
  <c r="BS116" i="8"/>
  <c r="BS79" i="8"/>
  <c r="BS111" i="8"/>
  <c r="BS78" i="8"/>
  <c r="BS80" i="8"/>
  <c r="BS101" i="8"/>
  <c r="BS77" i="8"/>
  <c r="BS40" i="8"/>
  <c r="BS38" i="8"/>
  <c r="BS43" i="8"/>
  <c r="BW116" i="8"/>
  <c r="BW80" i="8"/>
  <c r="BW78" i="8"/>
  <c r="BW101" i="8"/>
  <c r="BW111" i="8"/>
  <c r="BW77" i="8"/>
  <c r="BW79" i="8"/>
  <c r="BW43" i="8"/>
  <c r="BW40" i="8"/>
  <c r="BW38" i="8"/>
  <c r="CA116" i="8"/>
  <c r="CA80" i="8"/>
  <c r="CA79" i="8"/>
  <c r="CA111" i="8"/>
  <c r="CA78" i="8"/>
  <c r="CA101" i="8"/>
  <c r="CA38" i="8"/>
  <c r="CA77" i="8"/>
  <c r="CA40" i="8"/>
  <c r="CA43" i="8"/>
  <c r="CE116" i="8"/>
  <c r="CE80" i="8"/>
  <c r="CE79" i="8"/>
  <c r="CE111" i="8"/>
  <c r="CE78" i="8"/>
  <c r="CE101" i="8"/>
  <c r="CE77" i="8"/>
  <c r="CE43" i="8"/>
  <c r="CE38" i="8"/>
  <c r="CE40" i="8"/>
  <c r="CI116" i="8"/>
  <c r="CI79" i="8"/>
  <c r="CI111" i="8"/>
  <c r="CI78" i="8"/>
  <c r="CI80" i="8"/>
  <c r="CI101" i="8"/>
  <c r="CI77" i="8"/>
  <c r="CI40" i="8"/>
  <c r="CI38" i="8"/>
  <c r="CI43" i="8"/>
  <c r="CM116" i="8"/>
  <c r="CM80" i="8"/>
  <c r="CM78" i="8"/>
  <c r="CM101" i="8"/>
  <c r="CM79" i="8"/>
  <c r="CM111" i="8"/>
  <c r="CM77" i="8"/>
  <c r="CM43" i="8"/>
  <c r="CM40" i="8"/>
  <c r="CM38" i="8"/>
  <c r="CQ116" i="8"/>
  <c r="CQ80" i="8"/>
  <c r="CQ79" i="8"/>
  <c r="CQ111" i="8"/>
  <c r="CQ78" i="8"/>
  <c r="CQ101" i="8"/>
  <c r="CQ38" i="8"/>
  <c r="CQ77" i="8"/>
  <c r="CQ40" i="8"/>
  <c r="CQ43" i="8"/>
  <c r="CU116" i="8"/>
  <c r="CU80" i="8"/>
  <c r="CU79" i="8"/>
  <c r="CU111" i="8"/>
  <c r="CU78" i="8"/>
  <c r="CU101" i="8"/>
  <c r="CU77" i="8"/>
  <c r="CU43" i="8"/>
  <c r="CU38" i="8"/>
  <c r="CU40" i="8"/>
  <c r="D116" i="8"/>
  <c r="D80" i="8"/>
  <c r="D79" i="8"/>
  <c r="D101" i="8"/>
  <c r="D111" i="8"/>
  <c r="D78" i="8"/>
  <c r="D43" i="8"/>
  <c r="D38" i="8"/>
  <c r="D40" i="8"/>
  <c r="D77" i="8"/>
  <c r="H116" i="8"/>
  <c r="H80" i="8"/>
  <c r="H79" i="8"/>
  <c r="H101" i="8"/>
  <c r="H78" i="8"/>
  <c r="H111" i="8"/>
  <c r="H38" i="8"/>
  <c r="H77" i="8"/>
  <c r="H43" i="8"/>
  <c r="H40" i="8"/>
  <c r="L116" i="8"/>
  <c r="L80" i="8"/>
  <c r="L79" i="8"/>
  <c r="L101" i="8"/>
  <c r="L111" i="8"/>
  <c r="L78" i="8"/>
  <c r="L43" i="8"/>
  <c r="L38" i="8"/>
  <c r="L40" i="8"/>
  <c r="L77" i="8"/>
  <c r="P116" i="8"/>
  <c r="P80" i="8"/>
  <c r="P79" i="8"/>
  <c r="P101" i="8"/>
  <c r="P111" i="8"/>
  <c r="P78" i="8"/>
  <c r="P40" i="8"/>
  <c r="P43" i="8"/>
  <c r="P77" i="8"/>
  <c r="P38" i="8"/>
  <c r="T116" i="8"/>
  <c r="T80" i="8"/>
  <c r="T79" i="8"/>
  <c r="T101" i="8"/>
  <c r="T43" i="8"/>
  <c r="T38" i="8"/>
  <c r="T77" i="8"/>
  <c r="T40" i="8"/>
  <c r="T111" i="8"/>
  <c r="T78" i="8"/>
  <c r="X116" i="8"/>
  <c r="X80" i="8"/>
  <c r="X79" i="8"/>
  <c r="X101" i="8"/>
  <c r="X78" i="8"/>
  <c r="X111" i="8"/>
  <c r="X40" i="8"/>
  <c r="X38" i="8"/>
  <c r="X77" i="8"/>
  <c r="X43" i="8"/>
  <c r="AB116" i="8"/>
  <c r="AB80" i="8"/>
  <c r="AB79" i="8"/>
  <c r="AB101" i="8"/>
  <c r="AB111" i="8"/>
  <c r="AB78" i="8"/>
  <c r="AB43" i="8"/>
  <c r="AB40" i="8"/>
  <c r="AB38" i="8"/>
  <c r="AB77" i="8"/>
  <c r="AF116" i="8"/>
  <c r="AF80" i="8"/>
  <c r="AF79" i="8"/>
  <c r="AF101" i="8"/>
  <c r="AF111" i="8"/>
  <c r="AF78" i="8"/>
  <c r="AF40" i="8"/>
  <c r="AF43" i="8"/>
  <c r="AF77" i="8"/>
  <c r="AF38" i="8"/>
  <c r="AJ116" i="8"/>
  <c r="AJ80" i="8"/>
  <c r="AJ79" i="8"/>
  <c r="AJ101" i="8"/>
  <c r="AJ78" i="8"/>
  <c r="AJ43" i="8"/>
  <c r="AJ38" i="8"/>
  <c r="AJ77" i="8"/>
  <c r="AJ111" i="8"/>
  <c r="AJ40" i="8"/>
  <c r="AN116" i="8"/>
  <c r="AN80" i="8"/>
  <c r="AN79" i="8"/>
  <c r="AN101" i="8"/>
  <c r="AN78" i="8"/>
  <c r="AN111" i="8"/>
  <c r="AN40" i="8"/>
  <c r="AN38" i="8"/>
  <c r="AN43" i="8"/>
  <c r="AN77" i="8"/>
  <c r="AR116" i="8"/>
  <c r="AR80" i="8"/>
  <c r="AR79" i="8"/>
  <c r="AR101" i="8"/>
  <c r="AR111" i="8"/>
  <c r="AR78" i="8"/>
  <c r="AR43" i="8"/>
  <c r="AR77" i="8"/>
  <c r="AR40" i="8"/>
  <c r="AR38" i="8"/>
  <c r="AV116" i="8"/>
  <c r="AV80" i="8"/>
  <c r="AV79" i="8"/>
  <c r="AV101" i="8"/>
  <c r="AV111" i="8"/>
  <c r="AV78" i="8"/>
  <c r="AV40" i="8"/>
  <c r="AV43" i="8"/>
  <c r="AV77" i="8"/>
  <c r="AV38" i="8"/>
  <c r="AZ116" i="8"/>
  <c r="AZ80" i="8"/>
  <c r="AZ79" i="8"/>
  <c r="AZ101" i="8"/>
  <c r="AZ43" i="8"/>
  <c r="AZ38" i="8"/>
  <c r="AZ77" i="8"/>
  <c r="AZ111" i="8"/>
  <c r="AZ78" i="8"/>
  <c r="AZ40" i="8"/>
  <c r="BD116" i="8"/>
  <c r="BD80" i="8"/>
  <c r="BD79" i="8"/>
  <c r="BD101" i="8"/>
  <c r="BD78" i="8"/>
  <c r="BD111" i="8"/>
  <c r="BD40" i="8"/>
  <c r="BD38" i="8"/>
  <c r="BD43" i="8"/>
  <c r="BD77" i="8"/>
  <c r="BH116" i="8"/>
  <c r="BH80" i="8"/>
  <c r="BH79" i="8"/>
  <c r="BH101" i="8"/>
  <c r="BH111" i="8"/>
  <c r="BH78" i="8"/>
  <c r="BH43" i="8"/>
  <c r="BH77" i="8"/>
  <c r="BH40" i="8"/>
  <c r="BH38" i="8"/>
  <c r="BL116" i="8"/>
  <c r="BL80" i="8"/>
  <c r="BL79" i="8"/>
  <c r="BL101" i="8"/>
  <c r="BL111" i="8"/>
  <c r="BL78" i="8"/>
  <c r="BL40" i="8"/>
  <c r="BL43" i="8"/>
  <c r="BL38" i="8"/>
  <c r="BL77" i="8"/>
  <c r="BP116" i="8"/>
  <c r="BP80" i="8"/>
  <c r="BP79" i="8"/>
  <c r="BP111" i="8"/>
  <c r="BP101" i="8"/>
  <c r="BP78" i="8"/>
  <c r="BP43" i="8"/>
  <c r="BP38" i="8"/>
  <c r="BP77" i="8"/>
  <c r="BP40" i="8"/>
  <c r="BT116" i="8"/>
  <c r="BT80" i="8"/>
  <c r="BT79" i="8"/>
  <c r="BT111" i="8"/>
  <c r="BT101" i="8"/>
  <c r="BT78" i="8"/>
  <c r="BT40" i="8"/>
  <c r="BT38" i="8"/>
  <c r="BT43" i="8"/>
  <c r="BT77" i="8"/>
  <c r="BX116" i="8"/>
  <c r="BX80" i="8"/>
  <c r="BX79" i="8"/>
  <c r="BX111" i="8"/>
  <c r="BX101" i="8"/>
  <c r="BX78" i="8"/>
  <c r="BX43" i="8"/>
  <c r="BX77" i="8"/>
  <c r="BX40" i="8"/>
  <c r="BX38" i="8"/>
  <c r="CB116" i="8"/>
  <c r="CB80" i="8"/>
  <c r="CB79" i="8"/>
  <c r="CB111" i="8"/>
  <c r="CB101" i="8"/>
  <c r="CB78" i="8"/>
  <c r="CB40" i="8"/>
  <c r="CB77" i="8"/>
  <c r="CB43" i="8"/>
  <c r="CB38" i="8"/>
  <c r="CF116" i="8"/>
  <c r="CF80" i="8"/>
  <c r="CF79" i="8"/>
  <c r="CF111" i="8"/>
  <c r="CF101" i="8"/>
  <c r="CF78" i="8"/>
  <c r="CF43" i="8"/>
  <c r="CF38" i="8"/>
  <c r="CF40" i="8"/>
  <c r="CF77" i="8"/>
  <c r="CJ116" i="8"/>
  <c r="CJ80" i="8"/>
  <c r="CJ79" i="8"/>
  <c r="CJ111" i="8"/>
  <c r="CJ101" i="8"/>
  <c r="CJ78" i="8"/>
  <c r="CJ40" i="8"/>
  <c r="CJ77" i="8"/>
  <c r="CJ38" i="8"/>
  <c r="CJ43" i="8"/>
  <c r="CN116" i="8"/>
  <c r="CN80" i="8"/>
  <c r="CN79" i="8"/>
  <c r="CN111" i="8"/>
  <c r="CN101" i="8"/>
  <c r="CN78" i="8"/>
  <c r="CN43" i="8"/>
  <c r="CN40" i="8"/>
  <c r="CN38" i="8"/>
  <c r="CN77" i="8"/>
  <c r="CR116" i="8"/>
  <c r="CR80" i="8"/>
  <c r="CR79" i="8"/>
  <c r="CR111" i="8"/>
  <c r="CR101" i="8"/>
  <c r="CR78" i="8"/>
  <c r="CR40" i="8"/>
  <c r="CR43" i="8"/>
  <c r="CR38" i="8"/>
  <c r="CR77" i="8"/>
  <c r="CV116" i="8"/>
  <c r="CV80" i="8"/>
  <c r="CV79" i="8"/>
  <c r="CV111" i="8"/>
  <c r="CV101" i="8"/>
  <c r="CV78" i="8"/>
  <c r="CV43" i="8"/>
  <c r="CV38" i="8"/>
  <c r="CV77" i="8"/>
  <c r="CV40" i="8"/>
  <c r="BQ80" i="8"/>
  <c r="BQ79" i="8"/>
  <c r="BQ111" i="8"/>
  <c r="BQ78" i="8"/>
  <c r="BQ116" i="8"/>
  <c r="BQ43" i="8"/>
  <c r="BQ40" i="8"/>
  <c r="BQ101" i="8"/>
  <c r="BQ77" i="8"/>
  <c r="BQ38" i="8"/>
  <c r="BU80" i="8"/>
  <c r="BU79" i="8"/>
  <c r="BU111" i="8"/>
  <c r="BU78" i="8"/>
  <c r="BU116" i="8"/>
  <c r="BU101" i="8"/>
  <c r="BU43" i="8"/>
  <c r="BU40" i="8"/>
  <c r="BU38" i="8"/>
  <c r="BU77" i="8"/>
  <c r="BY80" i="8"/>
  <c r="BY79" i="8"/>
  <c r="BY111" i="8"/>
  <c r="BY78" i="8"/>
  <c r="BY116" i="8"/>
  <c r="BY43" i="8"/>
  <c r="BY40" i="8"/>
  <c r="BY101" i="8"/>
  <c r="BY38" i="8"/>
  <c r="BY77" i="8"/>
  <c r="CC80" i="8"/>
  <c r="CC79" i="8"/>
  <c r="CC111" i="8"/>
  <c r="CC116" i="8"/>
  <c r="CC78" i="8"/>
  <c r="CC101" i="8"/>
  <c r="CC43" i="8"/>
  <c r="CC40" i="8"/>
  <c r="CC38" i="8"/>
  <c r="CC77" i="8"/>
  <c r="CG80" i="8"/>
  <c r="CG79" i="8"/>
  <c r="CG111" i="8"/>
  <c r="CG78" i="8"/>
  <c r="CG43" i="8"/>
  <c r="CG40" i="8"/>
  <c r="CG101" i="8"/>
  <c r="CG116" i="8"/>
  <c r="CG77" i="8"/>
  <c r="CG38" i="8"/>
  <c r="CK80" i="8"/>
  <c r="CK79" i="8"/>
  <c r="CK111" i="8"/>
  <c r="CK78" i="8"/>
  <c r="CK116" i="8"/>
  <c r="CK101" i="8"/>
  <c r="CK43" i="8"/>
  <c r="CK40" i="8"/>
  <c r="CK38" i="8"/>
  <c r="CK77" i="8"/>
  <c r="CO80" i="8"/>
  <c r="CO79" i="8"/>
  <c r="CO111" i="8"/>
  <c r="CO78" i="8"/>
  <c r="CO116" i="8"/>
  <c r="CO43" i="8"/>
  <c r="CO40" i="8"/>
  <c r="CO38" i="8"/>
  <c r="CO77" i="8"/>
  <c r="CO101" i="8"/>
  <c r="CS80" i="8"/>
  <c r="CS79" i="8"/>
  <c r="CS111" i="8"/>
  <c r="CS116" i="8"/>
  <c r="CS78" i="8"/>
  <c r="CS101" i="8"/>
  <c r="CS43" i="8"/>
  <c r="CS40" i="8"/>
  <c r="CS38" i="8"/>
  <c r="CS77" i="8"/>
  <c r="CW80" i="8"/>
  <c r="CW79" i="8"/>
  <c r="CW111" i="8"/>
  <c r="CW78" i="8"/>
  <c r="CW43" i="8"/>
  <c r="CW40" i="8"/>
  <c r="CW116" i="8"/>
  <c r="CW77" i="8"/>
  <c r="CW101" i="8"/>
  <c r="CW38" i="8"/>
  <c r="BE80" i="8"/>
  <c r="BE79" i="8"/>
  <c r="BE78" i="8"/>
  <c r="BE116" i="8"/>
  <c r="BE111" i="8"/>
  <c r="BE101" i="8"/>
  <c r="BE43" i="8"/>
  <c r="BE40" i="8"/>
  <c r="BE38" i="8"/>
  <c r="BE77" i="8"/>
  <c r="BI80" i="8"/>
  <c r="BI79" i="8"/>
  <c r="BI78" i="8"/>
  <c r="BI116" i="8"/>
  <c r="BI111" i="8"/>
  <c r="BI43" i="8"/>
  <c r="BI40" i="8"/>
  <c r="BI38" i="8"/>
  <c r="BI77" i="8"/>
  <c r="BI101" i="8"/>
  <c r="BM80" i="8"/>
  <c r="BM79" i="8"/>
  <c r="BM111" i="8"/>
  <c r="BM116" i="8"/>
  <c r="BM78" i="8"/>
  <c r="BM101" i="8"/>
  <c r="BM43" i="8"/>
  <c r="BM40" i="8"/>
  <c r="BM38" i="8"/>
  <c r="BM77" i="8"/>
  <c r="F80" i="8"/>
  <c r="F79" i="8"/>
  <c r="F116" i="8"/>
  <c r="F101" i="8"/>
  <c r="F111" i="8"/>
  <c r="F43" i="8"/>
  <c r="F40" i="8"/>
  <c r="F38" i="8"/>
  <c r="F77" i="8"/>
  <c r="F78" i="8"/>
  <c r="J80" i="8"/>
  <c r="J79" i="8"/>
  <c r="J116" i="8"/>
  <c r="J101" i="8"/>
  <c r="J43" i="8"/>
  <c r="J40" i="8"/>
  <c r="J38" i="8"/>
  <c r="J111" i="8"/>
  <c r="J77" i="8"/>
  <c r="J78" i="8"/>
  <c r="N80" i="8"/>
  <c r="N79" i="8"/>
  <c r="N116" i="8"/>
  <c r="N111" i="8"/>
  <c r="N101" i="8"/>
  <c r="N78" i="8"/>
  <c r="N43" i="8"/>
  <c r="N40" i="8"/>
  <c r="N38" i="8"/>
  <c r="N77" i="8"/>
  <c r="R80" i="8"/>
  <c r="R79" i="8"/>
  <c r="R116" i="8"/>
  <c r="R111" i="8"/>
  <c r="R101" i="8"/>
  <c r="R43" i="8"/>
  <c r="R40" i="8"/>
  <c r="R38" i="8"/>
  <c r="R78" i="8"/>
  <c r="R77" i="8"/>
  <c r="V80" i="8"/>
  <c r="V79" i="8"/>
  <c r="V116" i="8"/>
  <c r="V111" i="8"/>
  <c r="V101" i="8"/>
  <c r="V43" i="8"/>
  <c r="V40" i="8"/>
  <c r="V38" i="8"/>
  <c r="V78" i="8"/>
  <c r="V77" i="8"/>
  <c r="Z80" i="8"/>
  <c r="Z79" i="8"/>
  <c r="Z116" i="8"/>
  <c r="Z111" i="8"/>
  <c r="Z101" i="8"/>
  <c r="Z43" i="8"/>
  <c r="Z40" i="8"/>
  <c r="Z38" i="8"/>
  <c r="Z77" i="8"/>
  <c r="Z78" i="8"/>
  <c r="AD80" i="8"/>
  <c r="AD79" i="8"/>
  <c r="AD116" i="8"/>
  <c r="AD111" i="8"/>
  <c r="AD101" i="8"/>
  <c r="AD78" i="8"/>
  <c r="AD43" i="8"/>
  <c r="AD40" i="8"/>
  <c r="AD38" i="8"/>
  <c r="AD77" i="8"/>
  <c r="AH80" i="8"/>
  <c r="AH79" i="8"/>
  <c r="AH116" i="8"/>
  <c r="AH111" i="8"/>
  <c r="AH101" i="8"/>
  <c r="AH43" i="8"/>
  <c r="AH40" i="8"/>
  <c r="AH38" i="8"/>
  <c r="AH78" i="8"/>
  <c r="AH77" i="8"/>
  <c r="AL80" i="8"/>
  <c r="AL79" i="8"/>
  <c r="AL116" i="8"/>
  <c r="AL111" i="8"/>
  <c r="AL101" i="8"/>
  <c r="AL43" i="8"/>
  <c r="AL40" i="8"/>
  <c r="AL38" i="8"/>
  <c r="AL78" i="8"/>
  <c r="AL77" i="8"/>
  <c r="AP80" i="8"/>
  <c r="AP79" i="8"/>
  <c r="AP116" i="8"/>
  <c r="AP111" i="8"/>
  <c r="AP101" i="8"/>
  <c r="AP43" i="8"/>
  <c r="AP40" i="8"/>
  <c r="AP38" i="8"/>
  <c r="AP77" i="8"/>
  <c r="AP78" i="8"/>
  <c r="AT80" i="8"/>
  <c r="AT79" i="8"/>
  <c r="AT116" i="8"/>
  <c r="AT111" i="8"/>
  <c r="AT101" i="8"/>
  <c r="AT78" i="8"/>
  <c r="AT43" i="8"/>
  <c r="AT40" i="8"/>
  <c r="AT38" i="8"/>
  <c r="AT77" i="8"/>
  <c r="AX80" i="8"/>
  <c r="AX79" i="8"/>
  <c r="AX116" i="8"/>
  <c r="AX111" i="8"/>
  <c r="AX101" i="8"/>
  <c r="AX43" i="8"/>
  <c r="AX40" i="8"/>
  <c r="AX38" i="8"/>
  <c r="AX78" i="8"/>
  <c r="AX77" i="8"/>
  <c r="BB80" i="8"/>
  <c r="BB79" i="8"/>
  <c r="BB116" i="8"/>
  <c r="BB111" i="8"/>
  <c r="BB101" i="8"/>
  <c r="BB43" i="8"/>
  <c r="BB40" i="8"/>
  <c r="BB38" i="8"/>
  <c r="BB78" i="8"/>
  <c r="BB77" i="8"/>
  <c r="BF80" i="8"/>
  <c r="BF79" i="8"/>
  <c r="BF116" i="8"/>
  <c r="BF111" i="8"/>
  <c r="BF101" i="8"/>
  <c r="BF43" i="8"/>
  <c r="BF40" i="8"/>
  <c r="BF38" i="8"/>
  <c r="BF78" i="8"/>
  <c r="BF77" i="8"/>
  <c r="BJ80" i="8"/>
  <c r="BJ79" i="8"/>
  <c r="BJ116" i="8"/>
  <c r="BJ111" i="8"/>
  <c r="BJ101" i="8"/>
  <c r="BJ43" i="8"/>
  <c r="BJ40" i="8"/>
  <c r="BJ38" i="8"/>
  <c r="BJ78" i="8"/>
  <c r="BJ77" i="8"/>
  <c r="BN80" i="8"/>
  <c r="BN79" i="8"/>
  <c r="BN116" i="8"/>
  <c r="BN111" i="8"/>
  <c r="BN101" i="8"/>
  <c r="BN43" i="8"/>
  <c r="BN40" i="8"/>
  <c r="BN38" i="8"/>
  <c r="BN77" i="8"/>
  <c r="BN78" i="8"/>
  <c r="BR80" i="8"/>
  <c r="BR79" i="8"/>
  <c r="BR111" i="8"/>
  <c r="BR116" i="8"/>
  <c r="BR101" i="8"/>
  <c r="BR43" i="8"/>
  <c r="BR40" i="8"/>
  <c r="BR38" i="8"/>
  <c r="BR78" i="8"/>
  <c r="BR77" i="8"/>
  <c r="BV80" i="8"/>
  <c r="BV79" i="8"/>
  <c r="BV111" i="8"/>
  <c r="BV116" i="8"/>
  <c r="BV101" i="8"/>
  <c r="BV43" i="8"/>
  <c r="BV40" i="8"/>
  <c r="BV38" i="8"/>
  <c r="BV77" i="8"/>
  <c r="BV78" i="8"/>
  <c r="BZ80" i="8"/>
  <c r="BZ79" i="8"/>
  <c r="BZ111" i="8"/>
  <c r="BZ116" i="8"/>
  <c r="BZ101" i="8"/>
  <c r="BZ43" i="8"/>
  <c r="BZ40" i="8"/>
  <c r="BZ38" i="8"/>
  <c r="BZ78" i="8"/>
  <c r="BZ77" i="8"/>
  <c r="CD80" i="8"/>
  <c r="CD79" i="8"/>
  <c r="CD111" i="8"/>
  <c r="CD116" i="8"/>
  <c r="CD101" i="8"/>
  <c r="CD43" i="8"/>
  <c r="CD40" i="8"/>
  <c r="CD38" i="8"/>
  <c r="CD78" i="8"/>
  <c r="CD77" i="8"/>
  <c r="CH80" i="8"/>
  <c r="CH79" i="8"/>
  <c r="CH111" i="8"/>
  <c r="CH116" i="8"/>
  <c r="CH101" i="8"/>
  <c r="CH43" i="8"/>
  <c r="CH40" i="8"/>
  <c r="CH38" i="8"/>
  <c r="CH78" i="8"/>
  <c r="CH77" i="8"/>
  <c r="CL80" i="8"/>
  <c r="CL79" i="8"/>
  <c r="CL111" i="8"/>
  <c r="CL116" i="8"/>
  <c r="CL101" i="8"/>
  <c r="CL43" i="8"/>
  <c r="CL40" i="8"/>
  <c r="CL38" i="8"/>
  <c r="CL78" i="8"/>
  <c r="CL77" i="8"/>
  <c r="CP80" i="8"/>
  <c r="CP79" i="8"/>
  <c r="CP111" i="8"/>
  <c r="CP116" i="8"/>
  <c r="CP101" i="8"/>
  <c r="CP43" i="8"/>
  <c r="CP40" i="8"/>
  <c r="CP38" i="8"/>
  <c r="CP78" i="8"/>
  <c r="CP77" i="8"/>
  <c r="CT80" i="8"/>
  <c r="CT79" i="8"/>
  <c r="CT111" i="8"/>
  <c r="CT116" i="8"/>
  <c r="CT101" i="8"/>
  <c r="CT43" i="8"/>
  <c r="CT40" i="8"/>
  <c r="CT38" i="8"/>
  <c r="CT77" i="8"/>
  <c r="CT78" i="8"/>
  <c r="CX80" i="8"/>
  <c r="CX111" i="8"/>
  <c r="CX116" i="8"/>
  <c r="CX101" i="8"/>
  <c r="CX79" i="8"/>
  <c r="CX43" i="8"/>
  <c r="CX40" i="8"/>
  <c r="CX38" i="8"/>
  <c r="CX78" i="8"/>
  <c r="CX77" i="8"/>
  <c r="D139" i="8"/>
  <c r="H139" i="8"/>
  <c r="L139" i="8"/>
  <c r="P139" i="8"/>
  <c r="T139" i="8"/>
  <c r="X139" i="8"/>
  <c r="AB139" i="8"/>
  <c r="AF139" i="8"/>
  <c r="AJ139" i="8"/>
  <c r="AN139" i="8"/>
  <c r="AR139" i="8"/>
  <c r="AV139" i="8"/>
  <c r="AZ139" i="8"/>
  <c r="BD139" i="8"/>
  <c r="BH139" i="8"/>
  <c r="BL139" i="8"/>
  <c r="BP139" i="8"/>
  <c r="BT139" i="8"/>
  <c r="BX139" i="8"/>
  <c r="CB139" i="8"/>
  <c r="CF139" i="8"/>
  <c r="CJ139" i="8"/>
  <c r="CN139" i="8"/>
  <c r="CR139" i="8"/>
  <c r="CV139" i="8"/>
  <c r="E139" i="8"/>
  <c r="I139" i="8"/>
  <c r="M139" i="8"/>
  <c r="Q139" i="8"/>
  <c r="U139" i="8"/>
  <c r="Y139" i="8"/>
  <c r="AC139" i="8"/>
  <c r="AG139" i="8"/>
  <c r="AK139" i="8"/>
  <c r="AO139" i="8"/>
  <c r="AS139" i="8"/>
  <c r="AW139" i="8"/>
  <c r="BA139" i="8"/>
  <c r="BE139" i="8"/>
  <c r="BI139" i="8"/>
  <c r="BM139" i="8"/>
  <c r="BQ139" i="8"/>
  <c r="BU139" i="8"/>
  <c r="BY139" i="8"/>
  <c r="CC139" i="8"/>
  <c r="CG139" i="8"/>
  <c r="CK139" i="8"/>
  <c r="CO139" i="8"/>
  <c r="CS139" i="8"/>
  <c r="CW139" i="8"/>
  <c r="F139" i="8"/>
  <c r="J139" i="8"/>
  <c r="N139" i="8"/>
  <c r="R139" i="8"/>
  <c r="V139" i="8"/>
  <c r="Z139" i="8"/>
  <c r="AD139" i="8"/>
  <c r="AH139" i="8"/>
  <c r="AL139" i="8"/>
  <c r="AP139" i="8"/>
  <c r="AT139" i="8"/>
  <c r="AX139" i="8"/>
  <c r="BB139" i="8"/>
  <c r="BF139" i="8"/>
  <c r="BJ139" i="8"/>
  <c r="BN139" i="8"/>
  <c r="BR139" i="8"/>
  <c r="BV139" i="8"/>
  <c r="BZ139" i="8"/>
  <c r="CD139" i="8"/>
  <c r="CH139" i="8"/>
  <c r="CL139" i="8"/>
  <c r="CP139" i="8"/>
  <c r="CT139" i="8"/>
  <c r="CX139" i="8"/>
  <c r="C139" i="8"/>
  <c r="G139" i="8"/>
  <c r="K139" i="8"/>
  <c r="O139" i="8"/>
  <c r="S139" i="8"/>
  <c r="W139" i="8"/>
  <c r="AA139" i="8"/>
  <c r="AE139" i="8"/>
  <c r="AI139" i="8"/>
  <c r="AM139" i="8"/>
  <c r="AQ139" i="8"/>
  <c r="AU139" i="8"/>
  <c r="AY139" i="8"/>
  <c r="BC139" i="8"/>
  <c r="BG139" i="8"/>
  <c r="BK139" i="8"/>
  <c r="BO139" i="8"/>
  <c r="BS139" i="8"/>
  <c r="BW139" i="8"/>
  <c r="CA139" i="8"/>
  <c r="CE139" i="8"/>
  <c r="CI139" i="8"/>
  <c r="CM139" i="8"/>
  <c r="CQ139" i="8"/>
  <c r="CU139" i="8"/>
  <c r="D138" i="8"/>
  <c r="P138" i="8"/>
  <c r="X138" i="8"/>
  <c r="AJ138" i="8"/>
  <c r="AR138" i="8"/>
  <c r="AZ138" i="8"/>
  <c r="BH138" i="8"/>
  <c r="BP138" i="8"/>
  <c r="BX138" i="8"/>
  <c r="CF138" i="8"/>
  <c r="CN138" i="8"/>
  <c r="CV138" i="8"/>
  <c r="E138" i="8"/>
  <c r="I138" i="8"/>
  <c r="M138" i="8"/>
  <c r="Q138" i="8"/>
  <c r="U138" i="8"/>
  <c r="Y138" i="8"/>
  <c r="AC138" i="8"/>
  <c r="AG138" i="8"/>
  <c r="AK138" i="8"/>
  <c r="AO138" i="8"/>
  <c r="AS138" i="8"/>
  <c r="AW138" i="8"/>
  <c r="BA138" i="8"/>
  <c r="BE138" i="8"/>
  <c r="BI138" i="8"/>
  <c r="BM138" i="8"/>
  <c r="BQ138" i="8"/>
  <c r="BU138" i="8"/>
  <c r="BY138" i="8"/>
  <c r="CC138" i="8"/>
  <c r="CG138" i="8"/>
  <c r="CK138" i="8"/>
  <c r="CO138" i="8"/>
  <c r="CS138" i="8"/>
  <c r="CW138" i="8"/>
  <c r="H138" i="8"/>
  <c r="T138" i="8"/>
  <c r="AF138" i="8"/>
  <c r="AN138" i="8"/>
  <c r="AV138" i="8"/>
  <c r="BD138" i="8"/>
  <c r="BL138" i="8"/>
  <c r="BT138" i="8"/>
  <c r="CB138" i="8"/>
  <c r="CJ138" i="8"/>
  <c r="CR138" i="8"/>
  <c r="F138" i="8"/>
  <c r="J138" i="8"/>
  <c r="N138" i="8"/>
  <c r="R138" i="8"/>
  <c r="V138" i="8"/>
  <c r="Z138" i="8"/>
  <c r="AD138" i="8"/>
  <c r="AH138" i="8"/>
  <c r="AL138" i="8"/>
  <c r="AP138" i="8"/>
  <c r="AT138" i="8"/>
  <c r="AX138" i="8"/>
  <c r="BB138" i="8"/>
  <c r="BF138" i="8"/>
  <c r="BJ138" i="8"/>
  <c r="BN138" i="8"/>
  <c r="BR138" i="8"/>
  <c r="BV138" i="8"/>
  <c r="BZ138" i="8"/>
  <c r="CD138" i="8"/>
  <c r="CH138" i="8"/>
  <c r="CL138" i="8"/>
  <c r="CP138" i="8"/>
  <c r="CT138" i="8"/>
  <c r="CX138" i="8"/>
  <c r="L138" i="8"/>
  <c r="AB138" i="8"/>
  <c r="C138" i="8"/>
  <c r="C61" i="8"/>
  <c r="C132" i="8"/>
  <c r="G138" i="8"/>
  <c r="K138" i="8"/>
  <c r="O138" i="8"/>
  <c r="S138" i="8"/>
  <c r="W138" i="8"/>
  <c r="AA138" i="8"/>
  <c r="AE138" i="8"/>
  <c r="AI138" i="8"/>
  <c r="AM138" i="8"/>
  <c r="AQ138" i="8"/>
  <c r="AU138" i="8"/>
  <c r="AY138" i="8"/>
  <c r="BC138" i="8"/>
  <c r="BG138" i="8"/>
  <c r="BK138" i="8"/>
  <c r="BO138" i="8"/>
  <c r="BS138" i="8"/>
  <c r="BW138" i="8"/>
  <c r="CA138" i="8"/>
  <c r="CE138" i="8"/>
  <c r="CI138" i="8"/>
  <c r="CM138" i="8"/>
  <c r="CQ138" i="8"/>
  <c r="CU138" i="8"/>
  <c r="B139" i="8"/>
  <c r="B140" i="8" s="1"/>
  <c r="B144" i="8"/>
  <c r="B145" i="8" s="1"/>
  <c r="B146" i="8" s="1"/>
  <c r="AE146" i="8"/>
  <c r="AQ146" i="8"/>
  <c r="BC146" i="8"/>
  <c r="BO146" i="8"/>
  <c r="CE146" i="8"/>
  <c r="AB146" i="8"/>
  <c r="AF146" i="8"/>
  <c r="AJ146" i="8"/>
  <c r="AN146" i="8"/>
  <c r="AR146" i="8"/>
  <c r="AV146" i="8"/>
  <c r="AZ146" i="8"/>
  <c r="BD146" i="8"/>
  <c r="BH146" i="8"/>
  <c r="BL146" i="8"/>
  <c r="BP146" i="8"/>
  <c r="BT146" i="8"/>
  <c r="BX146" i="8"/>
  <c r="CB146" i="8"/>
  <c r="CF146" i="8"/>
  <c r="CJ146" i="8"/>
  <c r="CN146" i="8"/>
  <c r="CR146" i="8"/>
  <c r="CV146" i="8"/>
  <c r="AI146" i="8"/>
  <c r="AU146" i="8"/>
  <c r="BG146" i="8"/>
  <c r="BW146" i="8"/>
  <c r="AC146" i="8"/>
  <c r="AG146" i="8"/>
  <c r="AK146" i="8"/>
  <c r="AO146" i="8"/>
  <c r="AS146" i="8"/>
  <c r="AW146" i="8"/>
  <c r="BA146" i="8"/>
  <c r="BE146" i="8"/>
  <c r="BI146" i="8"/>
  <c r="BM146" i="8"/>
  <c r="BQ146" i="8"/>
  <c r="BU146" i="8"/>
  <c r="BY146" i="8"/>
  <c r="CC146" i="8"/>
  <c r="CG146" i="8"/>
  <c r="CK146" i="8"/>
  <c r="CO146" i="8"/>
  <c r="CS146" i="8"/>
  <c r="CW146" i="8"/>
  <c r="AD146" i="8"/>
  <c r="AH146" i="8"/>
  <c r="AL146" i="8"/>
  <c r="AP146" i="8"/>
  <c r="AT146" i="8"/>
  <c r="AX146" i="8"/>
  <c r="BB146" i="8"/>
  <c r="BF146" i="8"/>
  <c r="BJ146" i="8"/>
  <c r="BN146" i="8"/>
  <c r="BR146" i="8"/>
  <c r="BV146" i="8"/>
  <c r="BZ146" i="8"/>
  <c r="CD146" i="8"/>
  <c r="CH146" i="8"/>
  <c r="CL146" i="8"/>
  <c r="CP146" i="8"/>
  <c r="CT146" i="8"/>
  <c r="CX146" i="8"/>
  <c r="AM146" i="8"/>
  <c r="AY146" i="8"/>
  <c r="BK146" i="8"/>
  <c r="BS146" i="8"/>
  <c r="CA146" i="8"/>
  <c r="CI146" i="8"/>
  <c r="CM146" i="8"/>
  <c r="CQ146" i="8"/>
  <c r="CU146" i="8"/>
  <c r="AB147" i="8"/>
  <c r="AB145" i="8"/>
  <c r="AJ147" i="8"/>
  <c r="AJ145" i="8"/>
  <c r="AV147" i="8"/>
  <c r="AV145" i="8"/>
  <c r="BH147" i="8"/>
  <c r="BH145" i="8"/>
  <c r="BT147" i="8"/>
  <c r="BT145" i="8"/>
  <c r="CB147" i="8"/>
  <c r="CB145" i="8"/>
  <c r="CN147" i="8"/>
  <c r="CN145" i="8"/>
  <c r="CV147" i="8"/>
  <c r="CV145" i="8"/>
  <c r="AC147" i="8"/>
  <c r="AC145" i="8"/>
  <c r="AG145" i="8"/>
  <c r="AG147" i="8"/>
  <c r="AK145" i="8"/>
  <c r="AK147" i="8"/>
  <c r="AO145" i="8"/>
  <c r="AO147" i="8"/>
  <c r="AS147" i="8"/>
  <c r="AS145" i="8"/>
  <c r="AW145" i="8"/>
  <c r="AW147" i="8"/>
  <c r="BA145" i="8"/>
  <c r="BA147" i="8"/>
  <c r="BE145" i="8"/>
  <c r="BE147" i="8"/>
  <c r="BI147" i="8"/>
  <c r="BI145" i="8"/>
  <c r="BM147" i="8"/>
  <c r="BM145" i="8"/>
  <c r="BQ147" i="8"/>
  <c r="BQ145" i="8"/>
  <c r="BU145" i="8"/>
  <c r="BU147" i="8"/>
  <c r="BY147" i="8"/>
  <c r="BY145" i="8"/>
  <c r="CC147" i="8"/>
  <c r="CC145" i="8"/>
  <c r="CG147" i="8"/>
  <c r="CG145" i="8"/>
  <c r="CK145" i="8"/>
  <c r="CK147" i="8"/>
  <c r="CO147" i="8"/>
  <c r="CO145" i="8"/>
  <c r="CS147" i="8"/>
  <c r="CS145" i="8"/>
  <c r="CW147" i="8"/>
  <c r="CW145" i="8"/>
  <c r="AF147" i="8"/>
  <c r="AF145" i="8"/>
  <c r="AR147" i="8"/>
  <c r="AR145" i="8"/>
  <c r="BD147" i="8"/>
  <c r="BD145" i="8"/>
  <c r="BP147" i="8"/>
  <c r="BP145" i="8"/>
  <c r="CJ147" i="8"/>
  <c r="CJ145" i="8"/>
  <c r="AD145" i="8"/>
  <c r="AD147" i="8"/>
  <c r="AH147" i="8"/>
  <c r="AH145" i="8"/>
  <c r="AL147" i="8"/>
  <c r="AL145" i="8"/>
  <c r="AP145" i="8"/>
  <c r="AP147" i="8"/>
  <c r="AT145" i="8"/>
  <c r="AT147" i="8"/>
  <c r="AX147" i="8"/>
  <c r="AX145" i="8"/>
  <c r="BB147" i="8"/>
  <c r="BB145" i="8"/>
  <c r="BF145" i="8"/>
  <c r="BF147" i="8"/>
  <c r="BJ145" i="8"/>
  <c r="BJ147" i="8"/>
  <c r="BN147" i="8"/>
  <c r="BN145" i="8"/>
  <c r="BR145" i="8"/>
  <c r="BR147" i="8"/>
  <c r="BV145" i="8"/>
  <c r="BV147" i="8"/>
  <c r="BZ145" i="8"/>
  <c r="BZ147" i="8"/>
  <c r="CD147" i="8"/>
  <c r="CD145" i="8"/>
  <c r="CH145" i="8"/>
  <c r="CH147" i="8"/>
  <c r="CL145" i="8"/>
  <c r="CL147" i="8"/>
  <c r="CP145" i="8"/>
  <c r="CP147" i="8"/>
  <c r="CT147" i="8"/>
  <c r="CT145" i="8"/>
  <c r="CX147" i="8"/>
  <c r="CX145" i="8"/>
  <c r="AN147" i="8"/>
  <c r="AN145" i="8"/>
  <c r="AZ147" i="8"/>
  <c r="AZ145" i="8"/>
  <c r="BL147" i="8"/>
  <c r="BL145" i="8"/>
  <c r="BX147" i="8"/>
  <c r="BX145" i="8"/>
  <c r="CF147" i="8"/>
  <c r="CF145" i="8"/>
  <c r="CR147" i="8"/>
  <c r="CR145" i="8"/>
  <c r="AE147" i="8"/>
  <c r="AE145" i="8"/>
  <c r="AI145" i="8"/>
  <c r="AI147" i="8"/>
  <c r="AM147" i="8"/>
  <c r="AM145" i="8"/>
  <c r="AQ145" i="8"/>
  <c r="AQ147" i="8"/>
  <c r="AU145" i="8"/>
  <c r="AU147" i="8"/>
  <c r="AY147" i="8"/>
  <c r="AY145" i="8"/>
  <c r="BC147" i="8"/>
  <c r="BC145" i="8"/>
  <c r="BG147" i="8"/>
  <c r="BG145" i="8"/>
  <c r="BK147" i="8"/>
  <c r="BK145" i="8"/>
  <c r="BO147" i="8"/>
  <c r="BO145" i="8"/>
  <c r="BS147" i="8"/>
  <c r="BS145" i="8"/>
  <c r="BW147" i="8"/>
  <c r="BW145" i="8"/>
  <c r="CA147" i="8"/>
  <c r="CA145" i="8"/>
  <c r="CE147" i="8"/>
  <c r="CE145" i="8"/>
  <c r="CI147" i="8"/>
  <c r="CI145" i="8"/>
  <c r="CM147" i="8"/>
  <c r="CM145" i="8"/>
  <c r="CQ147" i="8"/>
  <c r="CQ145" i="8"/>
  <c r="CU147" i="8"/>
  <c r="CU145" i="8"/>
  <c r="P127" i="8"/>
  <c r="P81" i="8"/>
  <c r="AB127" i="8"/>
  <c r="AB81" i="8"/>
  <c r="AN81" i="8"/>
  <c r="AN127" i="8"/>
  <c r="AV127" i="8"/>
  <c r="AV81" i="8"/>
  <c r="BH127" i="8"/>
  <c r="BH81" i="8"/>
  <c r="BT127" i="8"/>
  <c r="BT81" i="8"/>
  <c r="CF127" i="8"/>
  <c r="CF81" i="8"/>
  <c r="CN81" i="8"/>
  <c r="CN127" i="8"/>
  <c r="E127" i="8"/>
  <c r="I127" i="8"/>
  <c r="I81" i="8"/>
  <c r="M127" i="8"/>
  <c r="Q127" i="8"/>
  <c r="U127" i="8"/>
  <c r="Y127" i="8"/>
  <c r="AC81" i="8"/>
  <c r="AC127" i="8"/>
  <c r="AG81" i="8"/>
  <c r="AG127" i="8"/>
  <c r="AK127" i="8"/>
  <c r="AK81" i="8"/>
  <c r="AO81" i="8"/>
  <c r="AO127" i="8"/>
  <c r="AS81" i="8"/>
  <c r="AS127" i="8"/>
  <c r="AW81" i="8"/>
  <c r="AW127" i="8"/>
  <c r="BA127" i="8"/>
  <c r="BA81" i="8"/>
  <c r="BE81" i="8"/>
  <c r="BE127" i="8"/>
  <c r="BI81" i="8"/>
  <c r="BI127" i="8"/>
  <c r="BM81" i="8"/>
  <c r="BM127" i="8"/>
  <c r="BQ81" i="8"/>
  <c r="BQ127" i="8"/>
  <c r="BU81" i="8"/>
  <c r="BU127" i="8"/>
  <c r="BY81" i="8"/>
  <c r="BY127" i="8"/>
  <c r="CC81" i="8"/>
  <c r="CC127" i="8"/>
  <c r="CG81" i="8"/>
  <c r="CG127" i="8"/>
  <c r="CK81" i="8"/>
  <c r="CK127" i="8"/>
  <c r="CO81" i="8"/>
  <c r="CO127" i="8"/>
  <c r="CS81" i="8"/>
  <c r="CS127" i="8"/>
  <c r="CW81" i="8"/>
  <c r="CW127" i="8"/>
  <c r="H81" i="8"/>
  <c r="H127" i="8"/>
  <c r="T81" i="8"/>
  <c r="T127" i="8"/>
  <c r="AF127" i="8"/>
  <c r="AF81" i="8"/>
  <c r="AR81" i="8"/>
  <c r="AR127" i="8"/>
  <c r="BD81" i="8"/>
  <c r="BD127" i="8"/>
  <c r="BP127" i="8"/>
  <c r="BP81" i="8"/>
  <c r="BX81" i="8"/>
  <c r="BX127" i="8"/>
  <c r="CJ127" i="8"/>
  <c r="CJ81" i="8"/>
  <c r="CV127" i="8"/>
  <c r="CV81" i="8"/>
  <c r="F127" i="8"/>
  <c r="J127" i="8"/>
  <c r="J81" i="8"/>
  <c r="N127" i="8"/>
  <c r="N81" i="8"/>
  <c r="R127" i="8"/>
  <c r="V127" i="8"/>
  <c r="V81" i="8"/>
  <c r="Z127" i="8"/>
  <c r="AD127" i="8"/>
  <c r="AD81" i="8"/>
  <c r="AH81" i="8"/>
  <c r="AH127" i="8"/>
  <c r="AL127" i="8"/>
  <c r="AL81" i="8"/>
  <c r="AP127" i="8"/>
  <c r="AP81" i="8"/>
  <c r="AT127" i="8"/>
  <c r="AT81" i="8"/>
  <c r="AX81" i="8"/>
  <c r="AX127" i="8"/>
  <c r="BB127" i="8"/>
  <c r="BB81" i="8"/>
  <c r="BF127" i="8"/>
  <c r="BF81" i="8"/>
  <c r="BJ127" i="8"/>
  <c r="BJ81" i="8"/>
  <c r="BN127" i="8"/>
  <c r="BN81" i="8"/>
  <c r="BR127" i="8"/>
  <c r="BR81" i="8"/>
  <c r="BV127" i="8"/>
  <c r="BV81" i="8"/>
  <c r="BZ127" i="8"/>
  <c r="BZ81" i="8"/>
  <c r="CD127" i="8"/>
  <c r="CD81" i="8"/>
  <c r="CH127" i="8"/>
  <c r="CH81" i="8"/>
  <c r="CL127" i="8"/>
  <c r="CL81" i="8"/>
  <c r="CP127" i="8"/>
  <c r="CP81" i="8"/>
  <c r="CT127" i="8"/>
  <c r="CT81" i="8"/>
  <c r="CX127" i="8"/>
  <c r="CX81" i="8"/>
  <c r="D127" i="8"/>
  <c r="D81" i="8"/>
  <c r="L81" i="8"/>
  <c r="L127" i="8"/>
  <c r="X127" i="8"/>
  <c r="AJ127" i="8"/>
  <c r="AJ81" i="8"/>
  <c r="AZ127" i="8"/>
  <c r="AZ81" i="8"/>
  <c r="BL127" i="8"/>
  <c r="BL81" i="8"/>
  <c r="CB127" i="8"/>
  <c r="CB81" i="8"/>
  <c r="CR127" i="8"/>
  <c r="CR81" i="8"/>
  <c r="C127" i="8"/>
  <c r="G127" i="8"/>
  <c r="K127" i="8"/>
  <c r="O127" i="8"/>
  <c r="S127" i="8"/>
  <c r="W127" i="8"/>
  <c r="AA127" i="8"/>
  <c r="AA81" i="8"/>
  <c r="AE127" i="8"/>
  <c r="AE81" i="8"/>
  <c r="AI127" i="8"/>
  <c r="AI81" i="8"/>
  <c r="AM127" i="8"/>
  <c r="AM81" i="8"/>
  <c r="AQ127" i="8"/>
  <c r="AQ81" i="8"/>
  <c r="AU127" i="8"/>
  <c r="AU81" i="8"/>
  <c r="AY127" i="8"/>
  <c r="AY81" i="8"/>
  <c r="BC127" i="8"/>
  <c r="BC81" i="8"/>
  <c r="BG127" i="8"/>
  <c r="BG81" i="8"/>
  <c r="BK127" i="8"/>
  <c r="BK81" i="8"/>
  <c r="BO127" i="8"/>
  <c r="BO81" i="8"/>
  <c r="BS127" i="8"/>
  <c r="BS81" i="8"/>
  <c r="BW127" i="8"/>
  <c r="BW81" i="8"/>
  <c r="CA127" i="8"/>
  <c r="CA81" i="8"/>
  <c r="CE127" i="8"/>
  <c r="CE81" i="8"/>
  <c r="CI127" i="8"/>
  <c r="CI81" i="8"/>
  <c r="CM127" i="8"/>
  <c r="CM81" i="8"/>
  <c r="CQ127" i="8"/>
  <c r="CQ81" i="8"/>
  <c r="CU127" i="8"/>
  <c r="CU81" i="8"/>
  <c r="P104" i="7"/>
  <c r="O123" i="7"/>
  <c r="O125" i="7" s="1"/>
  <c r="F20" i="8"/>
  <c r="J20" i="8"/>
  <c r="N20" i="8"/>
  <c r="R20" i="8"/>
  <c r="V20" i="8"/>
  <c r="Z20" i="8"/>
  <c r="AD20" i="8"/>
  <c r="AD126" i="8"/>
  <c r="AD110" i="8"/>
  <c r="AH20" i="8"/>
  <c r="AH126" i="8"/>
  <c r="AH110" i="8"/>
  <c r="AL20" i="8"/>
  <c r="AL126" i="8"/>
  <c r="AL110" i="8"/>
  <c r="AP20" i="8"/>
  <c r="AP126" i="8"/>
  <c r="AP110" i="8"/>
  <c r="AT20" i="8"/>
  <c r="AT126" i="8"/>
  <c r="AT110" i="8"/>
  <c r="AX20" i="8"/>
  <c r="AX126" i="8"/>
  <c r="AX110" i="8"/>
  <c r="BB20" i="8"/>
  <c r="BB126" i="8"/>
  <c r="BB110" i="8"/>
  <c r="BF20" i="8"/>
  <c r="BF126" i="8"/>
  <c r="BF110" i="8"/>
  <c r="BJ20" i="8"/>
  <c r="BJ126" i="8"/>
  <c r="BJ110" i="8"/>
  <c r="BN20" i="8"/>
  <c r="BN126" i="8"/>
  <c r="BN110" i="8"/>
  <c r="BR20" i="8"/>
  <c r="BR126" i="8"/>
  <c r="BR110" i="8"/>
  <c r="BV20" i="8"/>
  <c r="BV126" i="8"/>
  <c r="BV110" i="8"/>
  <c r="BZ20" i="8"/>
  <c r="BZ126" i="8"/>
  <c r="BZ110" i="8"/>
  <c r="CD20" i="8"/>
  <c r="CD126" i="8"/>
  <c r="CD110" i="8"/>
  <c r="CH20" i="8"/>
  <c r="CH126" i="8"/>
  <c r="CH110" i="8"/>
  <c r="CL20" i="8"/>
  <c r="CL126" i="8"/>
  <c r="CL110" i="8"/>
  <c r="CP20" i="8"/>
  <c r="CP126" i="8"/>
  <c r="CP110" i="8"/>
  <c r="CT20" i="8"/>
  <c r="CT126" i="8"/>
  <c r="CT110" i="8"/>
  <c r="CX126" i="8"/>
  <c r="CX110" i="8"/>
  <c r="G20" i="8"/>
  <c r="K20" i="8"/>
  <c r="O20" i="8"/>
  <c r="S20" i="8"/>
  <c r="W20" i="8"/>
  <c r="AA20" i="8"/>
  <c r="AE20" i="8"/>
  <c r="AE126" i="8"/>
  <c r="AE110" i="8"/>
  <c r="AI20" i="8"/>
  <c r="AI126" i="8"/>
  <c r="AI110" i="8"/>
  <c r="AM20" i="8"/>
  <c r="AM110" i="8"/>
  <c r="AM126" i="8"/>
  <c r="AQ20" i="8"/>
  <c r="AQ126" i="8"/>
  <c r="AQ110" i="8"/>
  <c r="AU20" i="8"/>
  <c r="AU126" i="8"/>
  <c r="AU110" i="8"/>
  <c r="AY20" i="8"/>
  <c r="AY126" i="8"/>
  <c r="AY110" i="8"/>
  <c r="BC20" i="8"/>
  <c r="BC110" i="8"/>
  <c r="BC126" i="8"/>
  <c r="BG20" i="8"/>
  <c r="BG126" i="8"/>
  <c r="BG110" i="8"/>
  <c r="BK20" i="8"/>
  <c r="BK126" i="8"/>
  <c r="BK110" i="8"/>
  <c r="BO20" i="8"/>
  <c r="BO126" i="8"/>
  <c r="BO110" i="8"/>
  <c r="BS20" i="8"/>
  <c r="BS126" i="8"/>
  <c r="BS110" i="8"/>
  <c r="BW20" i="8"/>
  <c r="BW110" i="8"/>
  <c r="BW126" i="8"/>
  <c r="CA20" i="8"/>
  <c r="CA126" i="8"/>
  <c r="CA110" i="8"/>
  <c r="CE20" i="8"/>
  <c r="CE126" i="8"/>
  <c r="CE110" i="8"/>
  <c r="CI20" i="8"/>
  <c r="CI126" i="8"/>
  <c r="CI110" i="8"/>
  <c r="CM20" i="8"/>
  <c r="CM126" i="8"/>
  <c r="CM110" i="8"/>
  <c r="CQ20" i="8"/>
  <c r="CQ126" i="8"/>
  <c r="CQ110" i="8"/>
  <c r="CU126" i="8"/>
  <c r="CU110" i="8"/>
  <c r="D20" i="8"/>
  <c r="H20" i="8"/>
  <c r="L20" i="8"/>
  <c r="P20" i="8"/>
  <c r="T20" i="8"/>
  <c r="X20" i="8"/>
  <c r="AB20" i="8"/>
  <c r="AB126" i="8"/>
  <c r="AB110" i="8"/>
  <c r="AF20" i="8"/>
  <c r="AF126" i="8"/>
  <c r="AF110" i="8"/>
  <c r="AJ20" i="8"/>
  <c r="AJ126" i="8"/>
  <c r="AJ110" i="8"/>
  <c r="AN20" i="8"/>
  <c r="AN126" i="8"/>
  <c r="AN110" i="8"/>
  <c r="AR20" i="8"/>
  <c r="AR126" i="8"/>
  <c r="AR110" i="8"/>
  <c r="AV20" i="8"/>
  <c r="AV126" i="8"/>
  <c r="AV110" i="8"/>
  <c r="AZ20" i="8"/>
  <c r="AZ126" i="8"/>
  <c r="AZ110" i="8"/>
  <c r="BD20" i="8"/>
  <c r="BD126" i="8"/>
  <c r="BD110" i="8"/>
  <c r="BH20" i="8"/>
  <c r="BH126" i="8"/>
  <c r="BH110" i="8"/>
  <c r="BL20" i="8"/>
  <c r="BL126" i="8"/>
  <c r="BL110" i="8"/>
  <c r="BP20" i="8"/>
  <c r="BP126" i="8"/>
  <c r="BP110" i="8"/>
  <c r="BT20" i="8"/>
  <c r="BT126" i="8"/>
  <c r="BT110" i="8"/>
  <c r="BX20" i="8"/>
  <c r="BX126" i="8"/>
  <c r="BX110" i="8"/>
  <c r="CB20" i="8"/>
  <c r="CB126" i="8"/>
  <c r="CB110" i="8"/>
  <c r="CF20" i="8"/>
  <c r="CF126" i="8"/>
  <c r="CF110" i="8"/>
  <c r="CJ20" i="8"/>
  <c r="CJ126" i="8"/>
  <c r="CJ110" i="8"/>
  <c r="CN20" i="8"/>
  <c r="CN126" i="8"/>
  <c r="CN110" i="8"/>
  <c r="CR20" i="8"/>
  <c r="CR126" i="8"/>
  <c r="CR110" i="8"/>
  <c r="CV126" i="8"/>
  <c r="CV110" i="8"/>
  <c r="E20" i="8"/>
  <c r="I20" i="8"/>
  <c r="M20" i="8"/>
  <c r="Q20" i="8"/>
  <c r="U20" i="8"/>
  <c r="Y20" i="8"/>
  <c r="AC20" i="8"/>
  <c r="AC126" i="8"/>
  <c r="AC110" i="8"/>
  <c r="AG20" i="8"/>
  <c r="AG126" i="8"/>
  <c r="AG110" i="8"/>
  <c r="AK20" i="8"/>
  <c r="AK126" i="8"/>
  <c r="AK110" i="8"/>
  <c r="AO20" i="8"/>
  <c r="AO126" i="8"/>
  <c r="AO110" i="8"/>
  <c r="AS20" i="8"/>
  <c r="AS126" i="8"/>
  <c r="AS110" i="8"/>
  <c r="AW20" i="8"/>
  <c r="AW126" i="8"/>
  <c r="AW110" i="8"/>
  <c r="BA20" i="8"/>
  <c r="BA126" i="8"/>
  <c r="BA110" i="8"/>
  <c r="BE20" i="8"/>
  <c r="BE126" i="8"/>
  <c r="BE110" i="8"/>
  <c r="BI20" i="8"/>
  <c r="BI126" i="8"/>
  <c r="BI110" i="8"/>
  <c r="BM20" i="8"/>
  <c r="BM126" i="8"/>
  <c r="BM110" i="8"/>
  <c r="BQ20" i="8"/>
  <c r="BQ126" i="8"/>
  <c r="BQ110" i="8"/>
  <c r="BU20" i="8"/>
  <c r="BU126" i="8"/>
  <c r="BU110" i="8"/>
  <c r="BY20" i="8"/>
  <c r="BY126" i="8"/>
  <c r="BY110" i="8"/>
  <c r="CC20" i="8"/>
  <c r="CC126" i="8"/>
  <c r="CC110" i="8"/>
  <c r="CG20" i="8"/>
  <c r="CG126" i="8"/>
  <c r="CG110" i="8"/>
  <c r="CK20" i="8"/>
  <c r="CK126" i="8"/>
  <c r="CK110" i="8"/>
  <c r="CO20" i="8"/>
  <c r="CO126" i="8"/>
  <c r="CO110" i="8"/>
  <c r="CS20" i="8"/>
  <c r="CS126" i="8"/>
  <c r="CS110" i="8"/>
  <c r="CW126" i="8"/>
  <c r="CW110" i="8"/>
  <c r="CV20" i="8"/>
  <c r="CX20" i="8"/>
  <c r="CU20" i="8"/>
  <c r="CW20" i="8"/>
  <c r="C20" i="8"/>
  <c r="CX59" i="8"/>
  <c r="G18" i="8"/>
  <c r="G16" i="8"/>
  <c r="O18" i="8"/>
  <c r="O16" i="8"/>
  <c r="AE18" i="8"/>
  <c r="AE16" i="8"/>
  <c r="AQ18" i="8"/>
  <c r="AQ16" i="8"/>
  <c r="BC18" i="8"/>
  <c r="BC16" i="8"/>
  <c r="BO18" i="8"/>
  <c r="BO16" i="8"/>
  <c r="CA18" i="8"/>
  <c r="CA16" i="8"/>
  <c r="CQ18" i="8"/>
  <c r="CQ16" i="8"/>
  <c r="F18" i="8"/>
  <c r="F16" i="8"/>
  <c r="J16" i="8"/>
  <c r="J18" i="8"/>
  <c r="N16" i="8"/>
  <c r="N18" i="8"/>
  <c r="R16" i="8"/>
  <c r="R18" i="8"/>
  <c r="V18" i="8"/>
  <c r="V16" i="8"/>
  <c r="Z18" i="8"/>
  <c r="Z16" i="8"/>
  <c r="AD16" i="8"/>
  <c r="AD18" i="8"/>
  <c r="AH18" i="8"/>
  <c r="AH16" i="8"/>
  <c r="AL18" i="8"/>
  <c r="AL16" i="8"/>
  <c r="AP18" i="8"/>
  <c r="AP16" i="8"/>
  <c r="AT16" i="8"/>
  <c r="AT18" i="8"/>
  <c r="AX18" i="8"/>
  <c r="AX16" i="8"/>
  <c r="BB18" i="8"/>
  <c r="BB16" i="8"/>
  <c r="BF18" i="8"/>
  <c r="BF16" i="8"/>
  <c r="BJ16" i="8"/>
  <c r="BJ18" i="8"/>
  <c r="BN18" i="8"/>
  <c r="BN16" i="8"/>
  <c r="BR18" i="8"/>
  <c r="BR16" i="8"/>
  <c r="BV18" i="8"/>
  <c r="BV16" i="8"/>
  <c r="BZ18" i="8"/>
  <c r="BZ16" i="8"/>
  <c r="CD18" i="8"/>
  <c r="CD16" i="8"/>
  <c r="CH18" i="8"/>
  <c r="CH16" i="8"/>
  <c r="CL18" i="8"/>
  <c r="CL16" i="8"/>
  <c r="CP18" i="8"/>
  <c r="CP16" i="8"/>
  <c r="CT18" i="8"/>
  <c r="CT16" i="8"/>
  <c r="CX18" i="8"/>
  <c r="CX16" i="8"/>
  <c r="C18" i="8"/>
  <c r="C16" i="8"/>
  <c r="S18" i="8"/>
  <c r="S16" i="8"/>
  <c r="AA18" i="8"/>
  <c r="AA16" i="8"/>
  <c r="AM18" i="8"/>
  <c r="AM16" i="8"/>
  <c r="AY18" i="8"/>
  <c r="AY16" i="8"/>
  <c r="BK18" i="8"/>
  <c r="BK16" i="8"/>
  <c r="BW18" i="8"/>
  <c r="BW16" i="8"/>
  <c r="CI18" i="8"/>
  <c r="CI16" i="8"/>
  <c r="CU18" i="8"/>
  <c r="CU16" i="8"/>
  <c r="D16" i="8"/>
  <c r="D18" i="8"/>
  <c r="H16" i="8"/>
  <c r="H18" i="8"/>
  <c r="L18" i="8"/>
  <c r="L16" i="8"/>
  <c r="P18" i="8"/>
  <c r="P16" i="8"/>
  <c r="T18" i="8"/>
  <c r="T16" i="8"/>
  <c r="X16" i="8"/>
  <c r="X18" i="8"/>
  <c r="AB18" i="8"/>
  <c r="AB16" i="8"/>
  <c r="AF16" i="8"/>
  <c r="AF18" i="8"/>
  <c r="AJ16" i="8"/>
  <c r="AJ18" i="8"/>
  <c r="AN18" i="8"/>
  <c r="AN16" i="8"/>
  <c r="AR18" i="8"/>
  <c r="AR16" i="8"/>
  <c r="AV16" i="8"/>
  <c r="AV18" i="8"/>
  <c r="AZ18" i="8"/>
  <c r="AZ16" i="8"/>
  <c r="BD18" i="8"/>
  <c r="BD16" i="8"/>
  <c r="BH18" i="8"/>
  <c r="BH16" i="8"/>
  <c r="BL16" i="8"/>
  <c r="BL18" i="8"/>
  <c r="BP18" i="8"/>
  <c r="BP16" i="8"/>
  <c r="BT18" i="8"/>
  <c r="BT16" i="8"/>
  <c r="BX18" i="8"/>
  <c r="BX16" i="8"/>
  <c r="CB18" i="8"/>
  <c r="CB16" i="8"/>
  <c r="CF16" i="8"/>
  <c r="CF18" i="8"/>
  <c r="CJ16" i="8"/>
  <c r="CJ18" i="8"/>
  <c r="CN18" i="8"/>
  <c r="CN16" i="8"/>
  <c r="CR16" i="8"/>
  <c r="CR18" i="8"/>
  <c r="CV16" i="8"/>
  <c r="CV18" i="8"/>
  <c r="K18" i="8"/>
  <c r="K16" i="8"/>
  <c r="W18" i="8"/>
  <c r="W16" i="8"/>
  <c r="AI18" i="8"/>
  <c r="AI16" i="8"/>
  <c r="AU18" i="8"/>
  <c r="AU16" i="8"/>
  <c r="BG18" i="8"/>
  <c r="BG16" i="8"/>
  <c r="BS18" i="8"/>
  <c r="BS16" i="8"/>
  <c r="CE18" i="8"/>
  <c r="CE16" i="8"/>
  <c r="CM18" i="8"/>
  <c r="CM16" i="8"/>
  <c r="E16" i="8"/>
  <c r="E18" i="8"/>
  <c r="I18" i="8"/>
  <c r="I16" i="8"/>
  <c r="M16" i="8"/>
  <c r="M18" i="8"/>
  <c r="Q18" i="8"/>
  <c r="Q16" i="8"/>
  <c r="U16" i="8"/>
  <c r="U18" i="8"/>
  <c r="Y16" i="8"/>
  <c r="Y18" i="8"/>
  <c r="AC16" i="8"/>
  <c r="AC18" i="8"/>
  <c r="AG18" i="8"/>
  <c r="AG16" i="8"/>
  <c r="AK18" i="8"/>
  <c r="AK16" i="8"/>
  <c r="AO18" i="8"/>
  <c r="AO16" i="8"/>
  <c r="AS18" i="8"/>
  <c r="AS16" i="8"/>
  <c r="AW18" i="8"/>
  <c r="AW16" i="8"/>
  <c r="BA18" i="8"/>
  <c r="BA16" i="8"/>
  <c r="BE18" i="8"/>
  <c r="BE16" i="8"/>
  <c r="BI18" i="8"/>
  <c r="BI16" i="8"/>
  <c r="BM18" i="8"/>
  <c r="BM16" i="8"/>
  <c r="BQ18" i="8"/>
  <c r="BQ16" i="8"/>
  <c r="BU18" i="8"/>
  <c r="BU16" i="8"/>
  <c r="BY18" i="8"/>
  <c r="BY16" i="8"/>
  <c r="CC18" i="8"/>
  <c r="CC16" i="8"/>
  <c r="CG18" i="8"/>
  <c r="CG16" i="8"/>
  <c r="CK18" i="8"/>
  <c r="CK16" i="8"/>
  <c r="CO18" i="8"/>
  <c r="CO16" i="8"/>
  <c r="CS18" i="8"/>
  <c r="CS16" i="8"/>
  <c r="CW18" i="8"/>
  <c r="CW16" i="8"/>
  <c r="AD134" i="8"/>
  <c r="AH134" i="8"/>
  <c r="AL134" i="8"/>
  <c r="AP134" i="8"/>
  <c r="AT134" i="8"/>
  <c r="AX134" i="8"/>
  <c r="BB134" i="8"/>
  <c r="BF134" i="8"/>
  <c r="BJ134" i="8"/>
  <c r="BN134" i="8"/>
  <c r="BR134" i="8"/>
  <c r="BV134" i="8"/>
  <c r="BZ134" i="8"/>
  <c r="CD134" i="8"/>
  <c r="CH134" i="8"/>
  <c r="CL134" i="8"/>
  <c r="CP134" i="8"/>
  <c r="CT134" i="8"/>
  <c r="CX134" i="8"/>
  <c r="AE134" i="8"/>
  <c r="AI134" i="8"/>
  <c r="AM134" i="8"/>
  <c r="AQ134" i="8"/>
  <c r="AU134" i="8"/>
  <c r="AY134" i="8"/>
  <c r="BC134" i="8"/>
  <c r="BG134" i="8"/>
  <c r="BK134" i="8"/>
  <c r="BO134" i="8"/>
  <c r="BS134" i="8"/>
  <c r="BW134" i="8"/>
  <c r="CA134" i="8"/>
  <c r="CE134" i="8"/>
  <c r="CI134" i="8"/>
  <c r="CM134" i="8"/>
  <c r="CQ134" i="8"/>
  <c r="CU134" i="8"/>
  <c r="AB134" i="8"/>
  <c r="AF134" i="8"/>
  <c r="AJ134" i="8"/>
  <c r="AN134" i="8"/>
  <c r="AR134" i="8"/>
  <c r="AV134" i="8"/>
  <c r="AZ134" i="8"/>
  <c r="BD134" i="8"/>
  <c r="BH134" i="8"/>
  <c r="BL134" i="8"/>
  <c r="BP134" i="8"/>
  <c r="BT134" i="8"/>
  <c r="BX134" i="8"/>
  <c r="CB134" i="8"/>
  <c r="CF134" i="8"/>
  <c r="CJ134" i="8"/>
  <c r="CN134" i="8"/>
  <c r="CR134" i="8"/>
  <c r="CV134" i="8"/>
  <c r="AC134" i="8"/>
  <c r="AG134" i="8"/>
  <c r="AK134" i="8"/>
  <c r="AO134" i="8"/>
  <c r="AS134" i="8"/>
  <c r="AW134" i="8"/>
  <c r="BA134" i="8"/>
  <c r="BE134" i="8"/>
  <c r="BI134" i="8"/>
  <c r="BM134" i="8"/>
  <c r="BQ134" i="8"/>
  <c r="BU134" i="8"/>
  <c r="BY134" i="8"/>
  <c r="CC134" i="8"/>
  <c r="CG134" i="8"/>
  <c r="CK134" i="8"/>
  <c r="CO134" i="8"/>
  <c r="CS134" i="8"/>
  <c r="CW134" i="8"/>
  <c r="AD141" i="8"/>
  <c r="AD140" i="8"/>
  <c r="AH141" i="8"/>
  <c r="AH140" i="8"/>
  <c r="AL141" i="8"/>
  <c r="AL140" i="8"/>
  <c r="AP141" i="8"/>
  <c r="AP140" i="8"/>
  <c r="AT141" i="8"/>
  <c r="AT140" i="8"/>
  <c r="AX141" i="8"/>
  <c r="AX140" i="8"/>
  <c r="BB141" i="8"/>
  <c r="BB140" i="8"/>
  <c r="BF141" i="8"/>
  <c r="BF140" i="8"/>
  <c r="BJ141" i="8"/>
  <c r="BJ140" i="8"/>
  <c r="BN141" i="8"/>
  <c r="BN140" i="8"/>
  <c r="BR141" i="8"/>
  <c r="BR140" i="8"/>
  <c r="BV141" i="8"/>
  <c r="BV140" i="8"/>
  <c r="BZ141" i="8"/>
  <c r="BZ140" i="8"/>
  <c r="CD141" i="8"/>
  <c r="CD140" i="8"/>
  <c r="CH140" i="8"/>
  <c r="CH141" i="8"/>
  <c r="CL141" i="8"/>
  <c r="CL140" i="8"/>
  <c r="CP140" i="8"/>
  <c r="CP141" i="8"/>
  <c r="CT141" i="8"/>
  <c r="CT140" i="8"/>
  <c r="CX141" i="8"/>
  <c r="AE141" i="8"/>
  <c r="AE140" i="8"/>
  <c r="AI141" i="8"/>
  <c r="AI140" i="8"/>
  <c r="AM141" i="8"/>
  <c r="AM140" i="8"/>
  <c r="AQ141" i="8"/>
  <c r="AQ140" i="8"/>
  <c r="AU141" i="8"/>
  <c r="AU140" i="8"/>
  <c r="AY141" i="8"/>
  <c r="AY140" i="8"/>
  <c r="BC141" i="8"/>
  <c r="BC140" i="8"/>
  <c r="BG141" i="8"/>
  <c r="BG140" i="8"/>
  <c r="BK141" i="8"/>
  <c r="BK140" i="8"/>
  <c r="BO141" i="8"/>
  <c r="BO140" i="8"/>
  <c r="BS141" i="8"/>
  <c r="BS140" i="8"/>
  <c r="BW141" i="8"/>
  <c r="BW140" i="8"/>
  <c r="CA141" i="8"/>
  <c r="CA140" i="8"/>
  <c r="CE141" i="8"/>
  <c r="CE140" i="8"/>
  <c r="CI141" i="8"/>
  <c r="CI140" i="8"/>
  <c r="CM141" i="8"/>
  <c r="CM140" i="8"/>
  <c r="CQ141" i="8"/>
  <c r="CQ140" i="8"/>
  <c r="CU141" i="8"/>
  <c r="AB141" i="8"/>
  <c r="AB140" i="8"/>
  <c r="AF141" i="8"/>
  <c r="AF140" i="8"/>
  <c r="AJ141" i="8"/>
  <c r="AJ140" i="8"/>
  <c r="AN141" i="8"/>
  <c r="AN140" i="8"/>
  <c r="AR141" i="8"/>
  <c r="AR140" i="8"/>
  <c r="AV141" i="8"/>
  <c r="AV140" i="8"/>
  <c r="AZ141" i="8"/>
  <c r="AZ140" i="8"/>
  <c r="BD141" i="8"/>
  <c r="BD140" i="8"/>
  <c r="BH141" i="8"/>
  <c r="BH140" i="8"/>
  <c r="BL141" i="8"/>
  <c r="BL140" i="8"/>
  <c r="BP141" i="8"/>
  <c r="BP140" i="8"/>
  <c r="BT141" i="8"/>
  <c r="BT140" i="8"/>
  <c r="BX141" i="8"/>
  <c r="BX140" i="8"/>
  <c r="CB141" i="8"/>
  <c r="CB140" i="8"/>
  <c r="CF141" i="8"/>
  <c r="CF140" i="8"/>
  <c r="CJ141" i="8"/>
  <c r="CJ140" i="8"/>
  <c r="CN141" i="8"/>
  <c r="CN140" i="8"/>
  <c r="CR141" i="8"/>
  <c r="CR140" i="8"/>
  <c r="CV141" i="8"/>
  <c r="AC141" i="8"/>
  <c r="AC140" i="8"/>
  <c r="AG141" i="8"/>
  <c r="AG140" i="8"/>
  <c r="AK141" i="8"/>
  <c r="AK140" i="8"/>
  <c r="AO141" i="8"/>
  <c r="AO140" i="8"/>
  <c r="AS141" i="8"/>
  <c r="AS140" i="8"/>
  <c r="AW141" i="8"/>
  <c r="AW140" i="8"/>
  <c r="BA141" i="8"/>
  <c r="BA140" i="8"/>
  <c r="BE141" i="8"/>
  <c r="BE140" i="8"/>
  <c r="BI141" i="8"/>
  <c r="BI140" i="8"/>
  <c r="BM141" i="8"/>
  <c r="BM140" i="8"/>
  <c r="BQ141" i="8"/>
  <c r="BQ140" i="8"/>
  <c r="BU141" i="8"/>
  <c r="BU140" i="8"/>
  <c r="BY141" i="8"/>
  <c r="BY140" i="8"/>
  <c r="CC141" i="8"/>
  <c r="CC140" i="8"/>
  <c r="CG141" i="8"/>
  <c r="CG140" i="8"/>
  <c r="CK141" i="8"/>
  <c r="CK140" i="8"/>
  <c r="CO141" i="8"/>
  <c r="CO140" i="8"/>
  <c r="CS141" i="8"/>
  <c r="CS140" i="8"/>
  <c r="CW141" i="8"/>
  <c r="CV140" i="8"/>
  <c r="CX140" i="8"/>
  <c r="CU140" i="8"/>
  <c r="CW140" i="8"/>
  <c r="CU122" i="8"/>
  <c r="CV122" i="8"/>
  <c r="CW122" i="8"/>
  <c r="CX122" i="8"/>
  <c r="AC122" i="8"/>
  <c r="AC124" i="8"/>
  <c r="AG122" i="8"/>
  <c r="AG124" i="8"/>
  <c r="AK122" i="8"/>
  <c r="AK124" i="8"/>
  <c r="AO122" i="8"/>
  <c r="AO124" i="8"/>
  <c r="AS122" i="8"/>
  <c r="AS124" i="8"/>
  <c r="AW122" i="8"/>
  <c r="AW124" i="8"/>
  <c r="BA122" i="8"/>
  <c r="BA124" i="8"/>
  <c r="BE122" i="8"/>
  <c r="BE124" i="8"/>
  <c r="BI122" i="8"/>
  <c r="BI124" i="8"/>
  <c r="BM122" i="8"/>
  <c r="BM124" i="8"/>
  <c r="BQ122" i="8"/>
  <c r="BQ124" i="8"/>
  <c r="BU122" i="8"/>
  <c r="BU124" i="8"/>
  <c r="BY122" i="8"/>
  <c r="BY124" i="8"/>
  <c r="CC122" i="8"/>
  <c r="CC124" i="8"/>
  <c r="CG122" i="8"/>
  <c r="CG124" i="8"/>
  <c r="CK122" i="8"/>
  <c r="CK124" i="8"/>
  <c r="CO122" i="8"/>
  <c r="CO124" i="8"/>
  <c r="CS122" i="8"/>
  <c r="CS124" i="8"/>
  <c r="AD122" i="8"/>
  <c r="AD124" i="8"/>
  <c r="AH122" i="8"/>
  <c r="AH124" i="8"/>
  <c r="AL122" i="8"/>
  <c r="AL124" i="8"/>
  <c r="AP122" i="8"/>
  <c r="AP124" i="8"/>
  <c r="AT122" i="8"/>
  <c r="AT124" i="8"/>
  <c r="AX122" i="8"/>
  <c r="AX124" i="8"/>
  <c r="BB122" i="8"/>
  <c r="BB124" i="8"/>
  <c r="BF122" i="8"/>
  <c r="BF124" i="8"/>
  <c r="BJ122" i="8"/>
  <c r="BJ124" i="8"/>
  <c r="BN122" i="8"/>
  <c r="BN124" i="8"/>
  <c r="BR122" i="8"/>
  <c r="BR124" i="8"/>
  <c r="BV122" i="8"/>
  <c r="BV124" i="8"/>
  <c r="BZ122" i="8"/>
  <c r="BZ124" i="8"/>
  <c r="CD122" i="8"/>
  <c r="CD124" i="8"/>
  <c r="CH59" i="8"/>
  <c r="CH122" i="8"/>
  <c r="CH124" i="8"/>
  <c r="CL122" i="8"/>
  <c r="CL124" i="8"/>
  <c r="CP59" i="8"/>
  <c r="CP122" i="8"/>
  <c r="CP124" i="8"/>
  <c r="CT59" i="8"/>
  <c r="CT122" i="8"/>
  <c r="CT124" i="8"/>
  <c r="AE124" i="8"/>
  <c r="AE122" i="8"/>
  <c r="AI124" i="8"/>
  <c r="AI122" i="8"/>
  <c r="AM122" i="8"/>
  <c r="AM124" i="8"/>
  <c r="AQ124" i="8"/>
  <c r="AQ122" i="8"/>
  <c r="AU124" i="8"/>
  <c r="AU122" i="8"/>
  <c r="AY122" i="8"/>
  <c r="AY124" i="8"/>
  <c r="BC124" i="8"/>
  <c r="BC122" i="8"/>
  <c r="BG124" i="8"/>
  <c r="BG122" i="8"/>
  <c r="BK124" i="8"/>
  <c r="BK122" i="8"/>
  <c r="BO124" i="8"/>
  <c r="BO122" i="8"/>
  <c r="BS124" i="8"/>
  <c r="BS122" i="8"/>
  <c r="BW124" i="8"/>
  <c r="BW122" i="8"/>
  <c r="CA124" i="8"/>
  <c r="CA122" i="8"/>
  <c r="CE124" i="8"/>
  <c r="CE122" i="8"/>
  <c r="CI124" i="8"/>
  <c r="CI122" i="8"/>
  <c r="CM124" i="8"/>
  <c r="CM122" i="8"/>
  <c r="CQ124" i="8"/>
  <c r="CQ122" i="8"/>
  <c r="AB122" i="8"/>
  <c r="AB124" i="8"/>
  <c r="AF124" i="8"/>
  <c r="AF122" i="8"/>
  <c r="AJ122" i="8"/>
  <c r="AJ124" i="8"/>
  <c r="AN124" i="8"/>
  <c r="AN122" i="8"/>
  <c r="AR122" i="8"/>
  <c r="AR124" i="8"/>
  <c r="AV122" i="8"/>
  <c r="AV124" i="8"/>
  <c r="AZ124" i="8"/>
  <c r="AZ122" i="8"/>
  <c r="BD122" i="8"/>
  <c r="BD124" i="8"/>
  <c r="BH124" i="8"/>
  <c r="BH122" i="8"/>
  <c r="BL124" i="8"/>
  <c r="BL122" i="8"/>
  <c r="BP124" i="8"/>
  <c r="BP122" i="8"/>
  <c r="BT124" i="8"/>
  <c r="BT122" i="8"/>
  <c r="BX124" i="8"/>
  <c r="BX122" i="8"/>
  <c r="CB124" i="8"/>
  <c r="CB122" i="8"/>
  <c r="CF124" i="8"/>
  <c r="CF122" i="8"/>
  <c r="CJ124" i="8"/>
  <c r="CJ122" i="8"/>
  <c r="CN124" i="8"/>
  <c r="CN122" i="8"/>
  <c r="CR124" i="8"/>
  <c r="CR122" i="8"/>
  <c r="CW124" i="8"/>
  <c r="CX124" i="8"/>
  <c r="CU124" i="8"/>
  <c r="CV124" i="8"/>
  <c r="J58" i="8"/>
  <c r="Z58" i="8"/>
  <c r="AP108" i="8"/>
  <c r="BF108" i="8"/>
  <c r="K58" i="8"/>
  <c r="S58" i="8"/>
  <c r="AE108" i="8"/>
  <c r="AQ108" i="8"/>
  <c r="BC108" i="8"/>
  <c r="BK108" i="8"/>
  <c r="BW108" i="8"/>
  <c r="CI108" i="8"/>
  <c r="CQ108" i="8"/>
  <c r="CD59" i="8"/>
  <c r="E58" i="8"/>
  <c r="I58" i="8"/>
  <c r="M58" i="8"/>
  <c r="Q58" i="8"/>
  <c r="U58" i="8"/>
  <c r="Y58" i="8"/>
  <c r="AC108" i="8"/>
  <c r="AG108" i="8"/>
  <c r="AK108" i="8"/>
  <c r="AO108" i="8"/>
  <c r="AS108" i="8"/>
  <c r="AW108" i="8"/>
  <c r="BA108" i="8"/>
  <c r="BE108" i="8"/>
  <c r="BI108" i="8"/>
  <c r="BM108" i="8"/>
  <c r="BQ108" i="8"/>
  <c r="BU108" i="8"/>
  <c r="BY108" i="8"/>
  <c r="CC108" i="8"/>
  <c r="CG108" i="8"/>
  <c r="CK108" i="8"/>
  <c r="CO108" i="8"/>
  <c r="CS108" i="8"/>
  <c r="CW108" i="8"/>
  <c r="N58" i="8"/>
  <c r="AD108" i="8"/>
  <c r="AT108" i="8"/>
  <c r="BJ108" i="8"/>
  <c r="BN108" i="8"/>
  <c r="BR108" i="8"/>
  <c r="BV108" i="8"/>
  <c r="BZ108" i="8"/>
  <c r="CD108" i="8"/>
  <c r="CH108" i="8"/>
  <c r="CL108" i="8"/>
  <c r="CP108" i="8"/>
  <c r="CT108" i="8"/>
  <c r="CX108" i="8"/>
  <c r="R58" i="8"/>
  <c r="AH108" i="8"/>
  <c r="AX108" i="8"/>
  <c r="G58" i="8"/>
  <c r="W58" i="8"/>
  <c r="AI108" i="8"/>
  <c r="AU108" i="8"/>
  <c r="BO108" i="8"/>
  <c r="CA108" i="8"/>
  <c r="CU108" i="8"/>
  <c r="F58" i="8"/>
  <c r="V58" i="8"/>
  <c r="AL108" i="8"/>
  <c r="BB108" i="8"/>
  <c r="BB59" i="8"/>
  <c r="C57" i="8"/>
  <c r="O58" i="8"/>
  <c r="AA58" i="8"/>
  <c r="AM108" i="8"/>
  <c r="AY108" i="8"/>
  <c r="BG108" i="8"/>
  <c r="BS108" i="8"/>
  <c r="CE108" i="8"/>
  <c r="CM108" i="8"/>
  <c r="BV59" i="8"/>
  <c r="H58" i="8"/>
  <c r="L58" i="8"/>
  <c r="P58" i="8"/>
  <c r="T58" i="8"/>
  <c r="X58" i="8"/>
  <c r="AB108" i="8"/>
  <c r="AF108" i="8"/>
  <c r="AJ108" i="8"/>
  <c r="AN108" i="8"/>
  <c r="AR108" i="8"/>
  <c r="AV108" i="8"/>
  <c r="AZ108" i="8"/>
  <c r="BD108" i="8"/>
  <c r="BH108" i="8"/>
  <c r="BL108" i="8"/>
  <c r="BP108" i="8"/>
  <c r="BT108" i="8"/>
  <c r="BX108" i="8"/>
  <c r="CB108" i="8"/>
  <c r="CF108" i="8"/>
  <c r="CJ108" i="8"/>
  <c r="CN108" i="8"/>
  <c r="CR108" i="8"/>
  <c r="CV108" i="8"/>
  <c r="AC58" i="8"/>
  <c r="AC56" i="8"/>
  <c r="AC57" i="8"/>
  <c r="AG57" i="8"/>
  <c r="AG58" i="8"/>
  <c r="AG56" i="8"/>
  <c r="AK58" i="8"/>
  <c r="AK56" i="8"/>
  <c r="AK57" i="8"/>
  <c r="AO58" i="8"/>
  <c r="AO56" i="8"/>
  <c r="AO57" i="8"/>
  <c r="AS58" i="8"/>
  <c r="AS56" i="8"/>
  <c r="AS57" i="8"/>
  <c r="AW58" i="8"/>
  <c r="AW56" i="8"/>
  <c r="AW57" i="8"/>
  <c r="BA58" i="8"/>
  <c r="BA56" i="8"/>
  <c r="BA57" i="8"/>
  <c r="BE58" i="8"/>
  <c r="BE56" i="8"/>
  <c r="BE57" i="8"/>
  <c r="BI58" i="8"/>
  <c r="BI56" i="8"/>
  <c r="BI57" i="8"/>
  <c r="BM58" i="8"/>
  <c r="BM56" i="8"/>
  <c r="BM57" i="8"/>
  <c r="BQ58" i="8"/>
  <c r="BQ56" i="8"/>
  <c r="BQ57" i="8"/>
  <c r="BU58" i="8"/>
  <c r="BU56" i="8"/>
  <c r="BU57" i="8"/>
  <c r="BY58" i="8"/>
  <c r="BY56" i="8"/>
  <c r="BY57" i="8"/>
  <c r="CC58" i="8"/>
  <c r="CC56" i="8"/>
  <c r="CC57" i="8"/>
  <c r="CG58" i="8"/>
  <c r="CG56" i="8"/>
  <c r="CG57" i="8"/>
  <c r="CK58" i="8"/>
  <c r="CK56" i="8"/>
  <c r="CK57" i="8"/>
  <c r="CO58" i="8"/>
  <c r="CO56" i="8"/>
  <c r="CO57" i="8"/>
  <c r="CS58" i="8"/>
  <c r="CS56" i="8"/>
  <c r="CS57" i="8"/>
  <c r="CW58" i="8"/>
  <c r="CW56" i="8"/>
  <c r="CW57" i="8"/>
  <c r="AD58" i="8"/>
  <c r="AD56" i="8"/>
  <c r="AD57" i="8"/>
  <c r="AH58" i="8"/>
  <c r="AH56" i="8"/>
  <c r="AH57" i="8"/>
  <c r="AL58" i="8"/>
  <c r="AL56" i="8"/>
  <c r="AL57" i="8"/>
  <c r="AP58" i="8"/>
  <c r="AP56" i="8"/>
  <c r="AP57" i="8"/>
  <c r="AT58" i="8"/>
  <c r="AT56" i="8"/>
  <c r="AT57" i="8"/>
  <c r="AX58" i="8"/>
  <c r="AX56" i="8"/>
  <c r="AX57" i="8"/>
  <c r="BB58" i="8"/>
  <c r="BB56" i="8"/>
  <c r="BB57" i="8"/>
  <c r="BF58" i="8"/>
  <c r="BF56" i="8"/>
  <c r="BF57" i="8"/>
  <c r="BJ58" i="8"/>
  <c r="BJ56" i="8"/>
  <c r="BJ57" i="8"/>
  <c r="BN58" i="8"/>
  <c r="BN56" i="8"/>
  <c r="BN57" i="8"/>
  <c r="BR58" i="8"/>
  <c r="BR56" i="8"/>
  <c r="BR57" i="8"/>
  <c r="BV58" i="8"/>
  <c r="BV56" i="8"/>
  <c r="BV57" i="8"/>
  <c r="BZ58" i="8"/>
  <c r="BZ56" i="8"/>
  <c r="BZ57" i="8"/>
  <c r="CD58" i="8"/>
  <c r="CD56" i="8"/>
  <c r="CD57" i="8"/>
  <c r="CH58" i="8"/>
  <c r="CH56" i="8"/>
  <c r="CH57" i="8"/>
  <c r="CL58" i="8"/>
  <c r="CL56" i="8"/>
  <c r="CL57" i="8"/>
  <c r="CP58" i="8"/>
  <c r="CP56" i="8"/>
  <c r="CP57" i="8"/>
  <c r="CT58" i="8"/>
  <c r="CT56" i="8"/>
  <c r="CT57" i="8"/>
  <c r="CX58" i="8"/>
  <c r="CX56" i="8"/>
  <c r="CX57" i="8"/>
  <c r="C58" i="8"/>
  <c r="AE58" i="8"/>
  <c r="AE56" i="8"/>
  <c r="AE57" i="8"/>
  <c r="AI58" i="8"/>
  <c r="AI56" i="8"/>
  <c r="AI57" i="8"/>
  <c r="AM58" i="8"/>
  <c r="AM56" i="8"/>
  <c r="AM57" i="8"/>
  <c r="AQ58" i="8"/>
  <c r="AQ56" i="8"/>
  <c r="AQ57" i="8"/>
  <c r="AU58" i="8"/>
  <c r="AU56" i="8"/>
  <c r="AU57" i="8"/>
  <c r="AY58" i="8"/>
  <c r="AY56" i="8"/>
  <c r="AY57" i="8"/>
  <c r="BC58" i="8"/>
  <c r="BC56" i="8"/>
  <c r="BC57" i="8"/>
  <c r="BG58" i="8"/>
  <c r="BG56" i="8"/>
  <c r="BG57" i="8"/>
  <c r="BK58" i="8"/>
  <c r="BK56" i="8"/>
  <c r="BK57" i="8"/>
  <c r="BO58" i="8"/>
  <c r="BO56" i="8"/>
  <c r="BO57" i="8"/>
  <c r="BS58" i="8"/>
  <c r="BS56" i="8"/>
  <c r="BS57" i="8"/>
  <c r="BW58" i="8"/>
  <c r="BW56" i="8"/>
  <c r="BW57" i="8"/>
  <c r="CA58" i="8"/>
  <c r="CA56" i="8"/>
  <c r="CA57" i="8"/>
  <c r="CE58" i="8"/>
  <c r="CE56" i="8"/>
  <c r="CE57" i="8"/>
  <c r="CI58" i="8"/>
  <c r="CI56" i="8"/>
  <c r="CI57" i="8"/>
  <c r="CM58" i="8"/>
  <c r="CM56" i="8"/>
  <c r="CM57" i="8"/>
  <c r="CQ58" i="8"/>
  <c r="CQ56" i="8"/>
  <c r="CQ57" i="8"/>
  <c r="CU58" i="8"/>
  <c r="CU56" i="8"/>
  <c r="CU57" i="8"/>
  <c r="D58" i="8"/>
  <c r="AB58" i="8"/>
  <c r="AB56" i="8"/>
  <c r="AB57" i="8"/>
  <c r="AF58" i="8"/>
  <c r="AF56" i="8"/>
  <c r="AF57" i="8"/>
  <c r="AJ58" i="8"/>
  <c r="AJ56" i="8"/>
  <c r="AJ57" i="8"/>
  <c r="AN58" i="8"/>
  <c r="AN56" i="8"/>
  <c r="AN57" i="8"/>
  <c r="AR58" i="8"/>
  <c r="AR56" i="8"/>
  <c r="AR57" i="8"/>
  <c r="AV58" i="8"/>
  <c r="AV56" i="8"/>
  <c r="AV57" i="8"/>
  <c r="AZ58" i="8"/>
  <c r="AZ56" i="8"/>
  <c r="AZ57" i="8"/>
  <c r="BD58" i="8"/>
  <c r="BD56" i="8"/>
  <c r="BD57" i="8"/>
  <c r="BH58" i="8"/>
  <c r="BH56" i="8"/>
  <c r="BH57" i="8"/>
  <c r="BL58" i="8"/>
  <c r="BL56" i="8"/>
  <c r="BL57" i="8"/>
  <c r="BP58" i="8"/>
  <c r="BP56" i="8"/>
  <c r="BP57" i="8"/>
  <c r="BT58" i="8"/>
  <c r="BT56" i="8"/>
  <c r="BT57" i="8"/>
  <c r="BX58" i="8"/>
  <c r="BX56" i="8"/>
  <c r="BX57" i="8"/>
  <c r="CB58" i="8"/>
  <c r="CB56" i="8"/>
  <c r="CB57" i="8"/>
  <c r="CF58" i="8"/>
  <c r="CF56" i="8"/>
  <c r="CF57" i="8"/>
  <c r="CJ58" i="8"/>
  <c r="CJ56" i="8"/>
  <c r="CJ57" i="8"/>
  <c r="CN58" i="8"/>
  <c r="CN56" i="8"/>
  <c r="CN57" i="8"/>
  <c r="CR58" i="8"/>
  <c r="CR56" i="8"/>
  <c r="CR57" i="8"/>
  <c r="CV58" i="8"/>
  <c r="CV56" i="8"/>
  <c r="CV57" i="8"/>
  <c r="AD41" i="8"/>
  <c r="AH41" i="8"/>
  <c r="AL41" i="8"/>
  <c r="AP41" i="8"/>
  <c r="AT41" i="8"/>
  <c r="AX41" i="8"/>
  <c r="BB41" i="8"/>
  <c r="BF41" i="8"/>
  <c r="BJ41" i="8"/>
  <c r="BN41" i="8"/>
  <c r="BR41" i="8"/>
  <c r="BV41" i="8"/>
  <c r="BZ41" i="8"/>
  <c r="CD41" i="8"/>
  <c r="CH41" i="8"/>
  <c r="CL41" i="8"/>
  <c r="CP41" i="8"/>
  <c r="CT41" i="8"/>
  <c r="CX41" i="8"/>
  <c r="AE41" i="8"/>
  <c r="AI41" i="8"/>
  <c r="AM41" i="8"/>
  <c r="AQ41" i="8"/>
  <c r="AU41" i="8"/>
  <c r="AY41" i="8"/>
  <c r="BC41" i="8"/>
  <c r="BG41" i="8"/>
  <c r="BK41" i="8"/>
  <c r="BO41" i="8"/>
  <c r="BS41" i="8"/>
  <c r="BW41" i="8"/>
  <c r="CA41" i="8"/>
  <c r="CE41" i="8"/>
  <c r="CI41" i="8"/>
  <c r="CM41" i="8"/>
  <c r="CQ41" i="8"/>
  <c r="CU41" i="8"/>
  <c r="AB41" i="8"/>
  <c r="AF41" i="8"/>
  <c r="AJ41" i="8"/>
  <c r="AN41" i="8"/>
  <c r="AR41" i="8"/>
  <c r="AV41" i="8"/>
  <c r="AZ41" i="8"/>
  <c r="BD41" i="8"/>
  <c r="BH41" i="8"/>
  <c r="BL41" i="8"/>
  <c r="BP41" i="8"/>
  <c r="BT41" i="8"/>
  <c r="BX41" i="8"/>
  <c r="CB41" i="8"/>
  <c r="CF41" i="8"/>
  <c r="CJ41" i="8"/>
  <c r="CN41" i="8"/>
  <c r="CR41" i="8"/>
  <c r="CV41" i="8"/>
  <c r="AC41" i="8"/>
  <c r="AG41" i="8"/>
  <c r="AK41" i="8"/>
  <c r="AO41" i="8"/>
  <c r="AS41" i="8"/>
  <c r="AW41" i="8"/>
  <c r="BA41" i="8"/>
  <c r="BE41" i="8"/>
  <c r="BI41" i="8"/>
  <c r="BM41" i="8"/>
  <c r="BQ41" i="8"/>
  <c r="BU41" i="8"/>
  <c r="BY41" i="8"/>
  <c r="CC41" i="8"/>
  <c r="CG41" i="8"/>
  <c r="CK41" i="8"/>
  <c r="CO41" i="8"/>
  <c r="CS41" i="8"/>
  <c r="CW41" i="8"/>
  <c r="D39" i="8"/>
  <c r="H39" i="8"/>
  <c r="L39" i="8"/>
  <c r="P39" i="8"/>
  <c r="T39" i="8"/>
  <c r="X39" i="8"/>
  <c r="AB132" i="8"/>
  <c r="AB39" i="8"/>
  <c r="AF132" i="8"/>
  <c r="AF39" i="8"/>
  <c r="AJ39" i="8"/>
  <c r="AJ132" i="8"/>
  <c r="AN39" i="8"/>
  <c r="AN132" i="8"/>
  <c r="AR132" i="8"/>
  <c r="AR39" i="8"/>
  <c r="AV132" i="8"/>
  <c r="AV39" i="8"/>
  <c r="AZ39" i="8"/>
  <c r="AZ132" i="8"/>
  <c r="BD132" i="8"/>
  <c r="BD39" i="8"/>
  <c r="BH132" i="8"/>
  <c r="BH39" i="8"/>
  <c r="BL132" i="8"/>
  <c r="BL39" i="8"/>
  <c r="BP39" i="8"/>
  <c r="BP132" i="8"/>
  <c r="BT132" i="8"/>
  <c r="BT39" i="8"/>
  <c r="BX132" i="8"/>
  <c r="BX39" i="8"/>
  <c r="CB132" i="8"/>
  <c r="CB39" i="8"/>
  <c r="CF132" i="8"/>
  <c r="CF39" i="8"/>
  <c r="CJ132" i="8"/>
  <c r="CJ39" i="8"/>
  <c r="CN132" i="8"/>
  <c r="CN39" i="8"/>
  <c r="CR132" i="8"/>
  <c r="CR39" i="8"/>
  <c r="CV132" i="8"/>
  <c r="CV39" i="8"/>
  <c r="M39" i="8"/>
  <c r="U39" i="8"/>
  <c r="Y39" i="8"/>
  <c r="AC39" i="8"/>
  <c r="AC132" i="8"/>
  <c r="AG39" i="8"/>
  <c r="AG132" i="8"/>
  <c r="AK39" i="8"/>
  <c r="AK132" i="8"/>
  <c r="AO39" i="8"/>
  <c r="AO132" i="8"/>
  <c r="AS39" i="8"/>
  <c r="AS132" i="8"/>
  <c r="AW39" i="8"/>
  <c r="AW132" i="8"/>
  <c r="BA39" i="8"/>
  <c r="BA132" i="8"/>
  <c r="BE39" i="8"/>
  <c r="BE132" i="8"/>
  <c r="BI39" i="8"/>
  <c r="BI132" i="8"/>
  <c r="BM39" i="8"/>
  <c r="BM132" i="8"/>
  <c r="BQ39" i="8"/>
  <c r="BQ132" i="8"/>
  <c r="BU39" i="8"/>
  <c r="BU132" i="8"/>
  <c r="BY39" i="8"/>
  <c r="BY132" i="8"/>
  <c r="CC39" i="8"/>
  <c r="CC132" i="8"/>
  <c r="CG39" i="8"/>
  <c r="CG132" i="8"/>
  <c r="CK39" i="8"/>
  <c r="CK132" i="8"/>
  <c r="CO39" i="8"/>
  <c r="CO132" i="8"/>
  <c r="CS39" i="8"/>
  <c r="CS132" i="8"/>
  <c r="CW39" i="8"/>
  <c r="CW132" i="8"/>
  <c r="V39" i="8"/>
  <c r="Z39" i="8"/>
  <c r="AD132" i="8"/>
  <c r="AD39" i="8"/>
  <c r="AH132" i="8"/>
  <c r="AH39" i="8"/>
  <c r="AL132" i="8"/>
  <c r="AL39" i="8"/>
  <c r="AP132" i="8"/>
  <c r="AP39" i="8"/>
  <c r="AT132" i="8"/>
  <c r="AT39" i="8"/>
  <c r="AX132" i="8"/>
  <c r="AX39" i="8"/>
  <c r="BB132" i="8"/>
  <c r="BB39" i="8"/>
  <c r="BF39" i="8"/>
  <c r="BF132" i="8"/>
  <c r="BJ39" i="8"/>
  <c r="BJ132" i="8"/>
  <c r="BN132" i="8"/>
  <c r="BN39" i="8"/>
  <c r="BR132" i="8"/>
  <c r="BR39" i="8"/>
  <c r="BV39" i="8"/>
  <c r="BV132" i="8"/>
  <c r="BZ39" i="8"/>
  <c r="BZ132" i="8"/>
  <c r="CD132" i="8"/>
  <c r="CD39" i="8"/>
  <c r="CH132" i="8"/>
  <c r="CH39" i="8"/>
  <c r="CL39" i="8"/>
  <c r="CL132" i="8"/>
  <c r="CP132" i="8"/>
  <c r="CP39" i="8"/>
  <c r="CT132" i="8"/>
  <c r="CT39" i="8"/>
  <c r="CX132" i="8"/>
  <c r="CX39" i="8"/>
  <c r="AA39" i="8"/>
  <c r="AE132" i="8"/>
  <c r="AE39" i="8"/>
  <c r="AI132" i="8"/>
  <c r="AI39" i="8"/>
  <c r="AM132" i="8"/>
  <c r="AM39" i="8"/>
  <c r="AQ132" i="8"/>
  <c r="AQ39" i="8"/>
  <c r="AU39" i="8"/>
  <c r="AU132" i="8"/>
  <c r="AY132" i="8"/>
  <c r="AY39" i="8"/>
  <c r="BC132" i="8"/>
  <c r="BC39" i="8"/>
  <c r="BG132" i="8"/>
  <c r="BG39" i="8"/>
  <c r="BK132" i="8"/>
  <c r="BK39" i="8"/>
  <c r="BO132" i="8"/>
  <c r="BO39" i="8"/>
  <c r="BS132" i="8"/>
  <c r="BS39" i="8"/>
  <c r="BW132" i="8"/>
  <c r="BW39" i="8"/>
  <c r="CA39" i="8"/>
  <c r="CA132" i="8"/>
  <c r="CE132" i="8"/>
  <c r="CE39" i="8"/>
  <c r="CI132" i="8"/>
  <c r="CI39" i="8"/>
  <c r="CM132" i="8"/>
  <c r="CM39" i="8"/>
  <c r="CQ39" i="8"/>
  <c r="CQ132" i="8"/>
  <c r="CU39" i="8"/>
  <c r="CU132" i="8"/>
  <c r="C39" i="8"/>
  <c r="G39" i="8"/>
  <c r="K39" i="8"/>
  <c r="O39" i="8"/>
  <c r="S39" i="8"/>
  <c r="W39" i="8"/>
  <c r="E39" i="8"/>
  <c r="I39" i="8"/>
  <c r="Q39" i="8"/>
  <c r="F39" i="8"/>
  <c r="J39" i="8"/>
  <c r="N39" i="8"/>
  <c r="R39" i="8"/>
  <c r="AX59" i="8"/>
  <c r="CN59" i="8"/>
  <c r="CV59" i="8"/>
  <c r="H36" i="8"/>
  <c r="H34" i="8"/>
  <c r="H37" i="8"/>
  <c r="P36" i="8"/>
  <c r="P34" i="8"/>
  <c r="P37" i="8"/>
  <c r="X37" i="8"/>
  <c r="X36" i="8"/>
  <c r="X34" i="8"/>
  <c r="AF37" i="8"/>
  <c r="AF36" i="8"/>
  <c r="AF34" i="8"/>
  <c r="AN37" i="8"/>
  <c r="AN36" i="8"/>
  <c r="AN34" i="8"/>
  <c r="AV37" i="8"/>
  <c r="AV36" i="8"/>
  <c r="AV34" i="8"/>
  <c r="BD37" i="8"/>
  <c r="BD36" i="8"/>
  <c r="BD34" i="8"/>
  <c r="BL37" i="8"/>
  <c r="BL36" i="8"/>
  <c r="BL34" i="8"/>
  <c r="BT37" i="8"/>
  <c r="BT36" i="8"/>
  <c r="BT34" i="8"/>
  <c r="CB37" i="8"/>
  <c r="CB36" i="8"/>
  <c r="CB34" i="8"/>
  <c r="CJ37" i="8"/>
  <c r="CJ36" i="8"/>
  <c r="CJ34" i="8"/>
  <c r="CN37" i="8"/>
  <c r="CN36" i="8"/>
  <c r="CN34" i="8"/>
  <c r="D36" i="8"/>
  <c r="D34" i="8"/>
  <c r="D37" i="8"/>
  <c r="L36" i="8"/>
  <c r="L34" i="8"/>
  <c r="L37" i="8"/>
  <c r="T36" i="8"/>
  <c r="T34" i="8"/>
  <c r="T37" i="8"/>
  <c r="AB37" i="8"/>
  <c r="AB36" i="8"/>
  <c r="AB34" i="8"/>
  <c r="AJ37" i="8"/>
  <c r="AJ36" i="8"/>
  <c r="AJ34" i="8"/>
  <c r="AR37" i="8"/>
  <c r="AR36" i="8"/>
  <c r="AR34" i="8"/>
  <c r="AZ37" i="8"/>
  <c r="AZ36" i="8"/>
  <c r="AZ34" i="8"/>
  <c r="BH37" i="8"/>
  <c r="BH36" i="8"/>
  <c r="BH34" i="8"/>
  <c r="BP37" i="8"/>
  <c r="BP36" i="8"/>
  <c r="BP34" i="8"/>
  <c r="BX37" i="8"/>
  <c r="BX36" i="8"/>
  <c r="BX34" i="8"/>
  <c r="CF37" i="8"/>
  <c r="CF36" i="8"/>
  <c r="CF34" i="8"/>
  <c r="CR37" i="8"/>
  <c r="CR36" i="8"/>
  <c r="CR34" i="8"/>
  <c r="CR59" i="8"/>
  <c r="BX59" i="8"/>
  <c r="E37" i="8"/>
  <c r="E36" i="8"/>
  <c r="E34" i="8"/>
  <c r="I37" i="8"/>
  <c r="I36" i="8"/>
  <c r="I34" i="8"/>
  <c r="M37" i="8"/>
  <c r="M34" i="8"/>
  <c r="M36" i="8"/>
  <c r="Q37" i="8"/>
  <c r="Q36" i="8"/>
  <c r="Q34" i="8"/>
  <c r="U37" i="8"/>
  <c r="U36" i="8"/>
  <c r="U34" i="8"/>
  <c r="Y36" i="8"/>
  <c r="Y34" i="8"/>
  <c r="Y37" i="8"/>
  <c r="AC37" i="8"/>
  <c r="AC36" i="8"/>
  <c r="AC34" i="8"/>
  <c r="AG37" i="8"/>
  <c r="AG36" i="8"/>
  <c r="AG34" i="8"/>
  <c r="AK37" i="8"/>
  <c r="AK36" i="8"/>
  <c r="AK34" i="8"/>
  <c r="AO36" i="8"/>
  <c r="AO34" i="8"/>
  <c r="AO37" i="8"/>
  <c r="AS37" i="8"/>
  <c r="AS36" i="8"/>
  <c r="AS34" i="8"/>
  <c r="AW37" i="8"/>
  <c r="AW36" i="8"/>
  <c r="AW34" i="8"/>
  <c r="BA37" i="8"/>
  <c r="BA36" i="8"/>
  <c r="BA34" i="8"/>
  <c r="BE37" i="8"/>
  <c r="BE36" i="8"/>
  <c r="BE34" i="8"/>
  <c r="BI37" i="8"/>
  <c r="BI36" i="8"/>
  <c r="BI34" i="8"/>
  <c r="BM37" i="8"/>
  <c r="BM36" i="8"/>
  <c r="BM34" i="8"/>
  <c r="BQ37" i="8"/>
  <c r="BQ36" i="8"/>
  <c r="BQ34" i="8"/>
  <c r="BU36" i="8"/>
  <c r="BU34" i="8"/>
  <c r="BU37" i="8"/>
  <c r="BY37" i="8"/>
  <c r="BY34" i="8"/>
  <c r="BY36" i="8"/>
  <c r="CC37" i="8"/>
  <c r="CC36" i="8"/>
  <c r="CC34" i="8"/>
  <c r="CG37" i="8"/>
  <c r="CG36" i="8"/>
  <c r="CG34" i="8"/>
  <c r="CK36" i="8"/>
  <c r="CK34" i="8"/>
  <c r="CK37" i="8"/>
  <c r="CO37" i="8"/>
  <c r="CO36" i="8"/>
  <c r="CO34" i="8"/>
  <c r="CS37" i="8"/>
  <c r="CS36" i="8"/>
  <c r="CS34" i="8"/>
  <c r="F37" i="8"/>
  <c r="F36" i="8"/>
  <c r="F34" i="8"/>
  <c r="J37" i="8"/>
  <c r="J36" i="8"/>
  <c r="J34" i="8"/>
  <c r="N37" i="8"/>
  <c r="N36" i="8"/>
  <c r="N34" i="8"/>
  <c r="R37" i="8"/>
  <c r="R36" i="8"/>
  <c r="R34" i="8"/>
  <c r="V37" i="8"/>
  <c r="V36" i="8"/>
  <c r="V34" i="8"/>
  <c r="Z37" i="8"/>
  <c r="Z36" i="8"/>
  <c r="Z34" i="8"/>
  <c r="AD36" i="8"/>
  <c r="AD34" i="8"/>
  <c r="AD37" i="8"/>
  <c r="AH37" i="8"/>
  <c r="AH36" i="8"/>
  <c r="AH34" i="8"/>
  <c r="AL37" i="8"/>
  <c r="AL36" i="8"/>
  <c r="AL34" i="8"/>
  <c r="AP37" i="8"/>
  <c r="AP36" i="8"/>
  <c r="AP34" i="8"/>
  <c r="AT36" i="8"/>
  <c r="AT34" i="8"/>
  <c r="AT37" i="8"/>
  <c r="AX37" i="8"/>
  <c r="AX36" i="8"/>
  <c r="AX34" i="8"/>
  <c r="BB37" i="8"/>
  <c r="BB36" i="8"/>
  <c r="BB34" i="8"/>
  <c r="BF37" i="8"/>
  <c r="BF36" i="8"/>
  <c r="BF34" i="8"/>
  <c r="BJ36" i="8"/>
  <c r="BJ34" i="8"/>
  <c r="BJ37" i="8"/>
  <c r="BN37" i="8"/>
  <c r="BN34" i="8"/>
  <c r="BN36" i="8"/>
  <c r="BR37" i="8"/>
  <c r="BR36" i="8"/>
  <c r="BR34" i="8"/>
  <c r="BV37" i="8"/>
  <c r="BV36" i="8"/>
  <c r="BV34" i="8"/>
  <c r="BZ37" i="8"/>
  <c r="BZ36" i="8"/>
  <c r="BZ34" i="8"/>
  <c r="CD37" i="8"/>
  <c r="CD36" i="8"/>
  <c r="CD34" i="8"/>
  <c r="CH37" i="8"/>
  <c r="CH36" i="8"/>
  <c r="CH34" i="8"/>
  <c r="CL37" i="8"/>
  <c r="CL36" i="8"/>
  <c r="CL34" i="8"/>
  <c r="CP34" i="8"/>
  <c r="CP37" i="8"/>
  <c r="CP36" i="8"/>
  <c r="CT37" i="8"/>
  <c r="CT36" i="8"/>
  <c r="CT34" i="8"/>
  <c r="BR59" i="8"/>
  <c r="C37" i="8"/>
  <c r="C36" i="8"/>
  <c r="C34" i="8"/>
  <c r="G37" i="8"/>
  <c r="G36" i="8"/>
  <c r="G34" i="8"/>
  <c r="K37" i="8"/>
  <c r="K36" i="8"/>
  <c r="K34" i="8"/>
  <c r="O37" i="8"/>
  <c r="O36" i="8"/>
  <c r="O34" i="8"/>
  <c r="S37" i="8"/>
  <c r="S36" i="8"/>
  <c r="S34" i="8"/>
  <c r="W37" i="8"/>
  <c r="W34" i="8"/>
  <c r="W36" i="8"/>
  <c r="AA37" i="8"/>
  <c r="AA36" i="8"/>
  <c r="AA34" i="8"/>
  <c r="AE37" i="8"/>
  <c r="AE36" i="8"/>
  <c r="AE34" i="8"/>
  <c r="AI37" i="8"/>
  <c r="AI36" i="8"/>
  <c r="AI34" i="8"/>
  <c r="AM37" i="8"/>
  <c r="AM36" i="8"/>
  <c r="AM34" i="8"/>
  <c r="AQ37" i="8"/>
  <c r="AQ36" i="8"/>
  <c r="AQ34" i="8"/>
  <c r="AU37" i="8"/>
  <c r="AU36" i="8"/>
  <c r="AU34" i="8"/>
  <c r="AY36" i="8"/>
  <c r="AY34" i="8"/>
  <c r="AY37" i="8"/>
  <c r="BC37" i="8"/>
  <c r="BC36" i="8"/>
  <c r="BC34" i="8"/>
  <c r="BG37" i="8"/>
  <c r="BG36" i="8"/>
  <c r="BG34" i="8"/>
  <c r="BK37" i="8"/>
  <c r="BK36" i="8"/>
  <c r="BK34" i="8"/>
  <c r="BO36" i="8"/>
  <c r="BO34" i="8"/>
  <c r="BO37" i="8"/>
  <c r="BS37" i="8"/>
  <c r="BS36" i="8"/>
  <c r="BS34" i="8"/>
  <c r="BW37" i="8"/>
  <c r="BW36" i="8"/>
  <c r="BW34" i="8"/>
  <c r="CA37" i="8"/>
  <c r="CA36" i="8"/>
  <c r="CA34" i="8"/>
  <c r="CE36" i="8"/>
  <c r="CE34" i="8"/>
  <c r="CE37" i="8"/>
  <c r="CI37" i="8"/>
  <c r="CI34" i="8"/>
  <c r="CI36" i="8"/>
  <c r="CM37" i="8"/>
  <c r="CM36" i="8"/>
  <c r="CM34" i="8"/>
  <c r="CQ37" i="8"/>
  <c r="CQ36" i="8"/>
  <c r="CQ34" i="8"/>
  <c r="CU37" i="8"/>
  <c r="CU36" i="8"/>
  <c r="CU34" i="8"/>
  <c r="CV36" i="8"/>
  <c r="CV34" i="8"/>
  <c r="CV37" i="8"/>
  <c r="CW36" i="8"/>
  <c r="CW34" i="8"/>
  <c r="CW37" i="8"/>
  <c r="CX36" i="8"/>
  <c r="CX34" i="8"/>
  <c r="CX37" i="8"/>
  <c r="BG59" i="8"/>
  <c r="BN59" i="8"/>
  <c r="BJ59" i="8"/>
  <c r="BF59" i="8"/>
  <c r="CW106" i="8"/>
  <c r="CW121" i="8"/>
  <c r="CW123" i="8"/>
  <c r="AJ106" i="8"/>
  <c r="AJ123" i="8"/>
  <c r="AJ121" i="8"/>
  <c r="AN123" i="8"/>
  <c r="AN106" i="8"/>
  <c r="AN121" i="8"/>
  <c r="AR106" i="8"/>
  <c r="AR123" i="8"/>
  <c r="AR121" i="8"/>
  <c r="AV106" i="8"/>
  <c r="AV123" i="8"/>
  <c r="AV121" i="8"/>
  <c r="AZ106" i="8"/>
  <c r="AZ123" i="8"/>
  <c r="AZ121" i="8"/>
  <c r="BD106" i="8"/>
  <c r="BD123" i="8"/>
  <c r="BD121" i="8"/>
  <c r="BH106" i="8"/>
  <c r="BH123" i="8"/>
  <c r="BH121" i="8"/>
  <c r="BL106" i="8"/>
  <c r="BL123" i="8"/>
  <c r="BL121" i="8"/>
  <c r="BP106" i="8"/>
  <c r="BP123" i="8"/>
  <c r="BP121" i="8"/>
  <c r="BT106" i="8"/>
  <c r="BT123" i="8"/>
  <c r="BT121" i="8"/>
  <c r="BX106" i="8"/>
  <c r="BX123" i="8"/>
  <c r="BX121" i="8"/>
  <c r="CB106" i="8"/>
  <c r="CB123" i="8"/>
  <c r="CB121" i="8"/>
  <c r="CF106" i="8"/>
  <c r="CF123" i="8"/>
  <c r="CF121" i="8"/>
  <c r="CJ106" i="8"/>
  <c r="CJ123" i="8"/>
  <c r="CJ121" i="8"/>
  <c r="CN106" i="8"/>
  <c r="CN123" i="8"/>
  <c r="CN121" i="8"/>
  <c r="CR123" i="8"/>
  <c r="CR106" i="8"/>
  <c r="CR121" i="8"/>
  <c r="CV106" i="8"/>
  <c r="CV123" i="8"/>
  <c r="CV121" i="8"/>
  <c r="AH123" i="8"/>
  <c r="AH121" i="8"/>
  <c r="AH106" i="8"/>
  <c r="AL123" i="8"/>
  <c r="AL121" i="8"/>
  <c r="AL106" i="8"/>
  <c r="AP123" i="8"/>
  <c r="AP121" i="8"/>
  <c r="AP106" i="8"/>
  <c r="AT123" i="8"/>
  <c r="AT121" i="8"/>
  <c r="AT106" i="8"/>
  <c r="AX123" i="8"/>
  <c r="AX121" i="8"/>
  <c r="AX106" i="8"/>
  <c r="BB123" i="8"/>
  <c r="BB121" i="8"/>
  <c r="BB106" i="8"/>
  <c r="BF123" i="8"/>
  <c r="BF121" i="8"/>
  <c r="BF106" i="8"/>
  <c r="BJ123" i="8"/>
  <c r="BJ121" i="8"/>
  <c r="BJ106" i="8"/>
  <c r="BN123" i="8"/>
  <c r="BN121" i="8"/>
  <c r="BN106" i="8"/>
  <c r="BR123" i="8"/>
  <c r="BR121" i="8"/>
  <c r="BR106" i="8"/>
  <c r="BV123" i="8"/>
  <c r="BV121" i="8"/>
  <c r="BV106" i="8"/>
  <c r="BZ123" i="8"/>
  <c r="BZ121" i="8"/>
  <c r="BZ106" i="8"/>
  <c r="CD123" i="8"/>
  <c r="CD121" i="8"/>
  <c r="CD106" i="8"/>
  <c r="CH123" i="8"/>
  <c r="CH121" i="8"/>
  <c r="CH106" i="8"/>
  <c r="CL123" i="8"/>
  <c r="CL121" i="8"/>
  <c r="CL106" i="8"/>
  <c r="CP123" i="8"/>
  <c r="CP121" i="8"/>
  <c r="CP106" i="8"/>
  <c r="CT123" i="8"/>
  <c r="CT121" i="8"/>
  <c r="CT106" i="8"/>
  <c r="CX123" i="8"/>
  <c r="CX121" i="8"/>
  <c r="CX106" i="8"/>
  <c r="AG106" i="8"/>
  <c r="AG123" i="8"/>
  <c r="AG121" i="8"/>
  <c r="AK106" i="8"/>
  <c r="AK123" i="8"/>
  <c r="AK121" i="8"/>
  <c r="AO106" i="8"/>
  <c r="AO123" i="8"/>
  <c r="AO121" i="8"/>
  <c r="AS106" i="8"/>
  <c r="AS123" i="8"/>
  <c r="AS121" i="8"/>
  <c r="AW106" i="8"/>
  <c r="AW123" i="8"/>
  <c r="AW121" i="8"/>
  <c r="BA106" i="8"/>
  <c r="BA123" i="8"/>
  <c r="BA121" i="8"/>
  <c r="BE106" i="8"/>
  <c r="BE121" i="8"/>
  <c r="BE123" i="8"/>
  <c r="BI106" i="8"/>
  <c r="BI123" i="8"/>
  <c r="BI121" i="8"/>
  <c r="BM59" i="8"/>
  <c r="BM106" i="8"/>
  <c r="BM121" i="8"/>
  <c r="BM123" i="8"/>
  <c r="BQ106" i="8"/>
  <c r="BQ123" i="8"/>
  <c r="BQ121" i="8"/>
  <c r="BU106" i="8"/>
  <c r="BU121" i="8"/>
  <c r="BU123" i="8"/>
  <c r="BY106" i="8"/>
  <c r="BY123" i="8"/>
  <c r="BY121" i="8"/>
  <c r="CC106" i="8"/>
  <c r="CC121" i="8"/>
  <c r="CC123" i="8"/>
  <c r="CG106" i="8"/>
  <c r="CG123" i="8"/>
  <c r="CG121" i="8"/>
  <c r="CK106" i="8"/>
  <c r="CK121" i="8"/>
  <c r="CK123" i="8"/>
  <c r="CO106" i="8"/>
  <c r="CO123" i="8"/>
  <c r="CO121" i="8"/>
  <c r="CS106" i="8"/>
  <c r="CS121" i="8"/>
  <c r="CS123" i="8"/>
  <c r="AI121" i="8"/>
  <c r="AI123" i="8"/>
  <c r="AI106" i="8"/>
  <c r="AM121" i="8"/>
  <c r="AM123" i="8"/>
  <c r="AM106" i="8"/>
  <c r="AQ121" i="8"/>
  <c r="AQ106" i="8"/>
  <c r="AQ123" i="8"/>
  <c r="AU121" i="8"/>
  <c r="AU123" i="8"/>
  <c r="AU106" i="8"/>
  <c r="AY121" i="8"/>
  <c r="AY123" i="8"/>
  <c r="AY106" i="8"/>
  <c r="BC121" i="8"/>
  <c r="BC123" i="8"/>
  <c r="BC106" i="8"/>
  <c r="BG121" i="8"/>
  <c r="BG106" i="8"/>
  <c r="BG123" i="8"/>
  <c r="BK121" i="8"/>
  <c r="BK123" i="8"/>
  <c r="BK106" i="8"/>
  <c r="BO121" i="8"/>
  <c r="BO123" i="8"/>
  <c r="BO106" i="8"/>
  <c r="BS121" i="8"/>
  <c r="BS123" i="8"/>
  <c r="BS106" i="8"/>
  <c r="BW121" i="8"/>
  <c r="BW106" i="8"/>
  <c r="BW123" i="8"/>
  <c r="CA121" i="8"/>
  <c r="CA123" i="8"/>
  <c r="CA106" i="8"/>
  <c r="CE121" i="8"/>
  <c r="CE123" i="8"/>
  <c r="CE106" i="8"/>
  <c r="CI121" i="8"/>
  <c r="CI123" i="8"/>
  <c r="CI106" i="8"/>
  <c r="CM121" i="8"/>
  <c r="CM106" i="8"/>
  <c r="CM123" i="8"/>
  <c r="CQ121" i="8"/>
  <c r="CQ123" i="8"/>
  <c r="CQ106" i="8"/>
  <c r="CU121" i="8"/>
  <c r="CU123" i="8"/>
  <c r="CU106" i="8"/>
  <c r="AJ61" i="8"/>
  <c r="AN61" i="8"/>
  <c r="AR61" i="8"/>
  <c r="AV61" i="8"/>
  <c r="AZ61" i="8"/>
  <c r="BD61" i="8"/>
  <c r="BH61" i="8"/>
  <c r="BL61" i="8"/>
  <c r="BP61" i="8"/>
  <c r="BT61" i="8"/>
  <c r="BX61" i="8"/>
  <c r="CB61" i="8"/>
  <c r="CF61" i="8"/>
  <c r="CJ61" i="8"/>
  <c r="CN61" i="8"/>
  <c r="CR61" i="8"/>
  <c r="CV61" i="8"/>
  <c r="AG61" i="8"/>
  <c r="AS61" i="8"/>
  <c r="BI61" i="8"/>
  <c r="BU61" i="8"/>
  <c r="BY61" i="8"/>
  <c r="CC61" i="8"/>
  <c r="CG61" i="8"/>
  <c r="CK61" i="8"/>
  <c r="CO61" i="8"/>
  <c r="CS61" i="8"/>
  <c r="CW61" i="8"/>
  <c r="BV61" i="8"/>
  <c r="CD61" i="8"/>
  <c r="CL61" i="8"/>
  <c r="CP61" i="8"/>
  <c r="CT61" i="8"/>
  <c r="CX61" i="8"/>
  <c r="AI61" i="8"/>
  <c r="AY61" i="8"/>
  <c r="BG61" i="8"/>
  <c r="BW61" i="8"/>
  <c r="CE61" i="8"/>
  <c r="CI61" i="8"/>
  <c r="CQ61" i="8"/>
  <c r="AL59" i="8"/>
  <c r="CG59" i="8"/>
  <c r="CS59" i="8"/>
  <c r="CK59" i="8"/>
  <c r="AQ61" i="8"/>
  <c r="CC59" i="8"/>
  <c r="BQ59" i="8"/>
  <c r="AH61" i="8"/>
  <c r="AH59" i="8"/>
  <c r="AL61" i="8"/>
  <c r="AP61" i="8"/>
  <c r="AP59" i="8"/>
  <c r="AT61" i="8"/>
  <c r="AT59" i="8"/>
  <c r="AX61" i="8"/>
  <c r="BB61" i="8"/>
  <c r="BF61" i="8"/>
  <c r="BJ61" i="8"/>
  <c r="BN61" i="8"/>
  <c r="BR61" i="8"/>
  <c r="BZ61" i="8"/>
  <c r="BZ59" i="8"/>
  <c r="CH61" i="8"/>
  <c r="AM61" i="8"/>
  <c r="AU61" i="8"/>
  <c r="BC61" i="8"/>
  <c r="BK61" i="8"/>
  <c r="BO59" i="8"/>
  <c r="BO61" i="8"/>
  <c r="BS61" i="8"/>
  <c r="CA61" i="8"/>
  <c r="CM61" i="8"/>
  <c r="AK61" i="8"/>
  <c r="AO61" i="8"/>
  <c r="AW61" i="8"/>
  <c r="BA61" i="8"/>
  <c r="BE61" i="8"/>
  <c r="BM61" i="8"/>
  <c r="BQ61" i="8"/>
  <c r="CU61" i="8"/>
  <c r="AJ107" i="8"/>
  <c r="AN107" i="8"/>
  <c r="AR107" i="8"/>
  <c r="AV107" i="8"/>
  <c r="AZ107" i="8"/>
  <c r="BD107" i="8"/>
  <c r="BH107" i="8"/>
  <c r="BL107" i="8"/>
  <c r="BP107" i="8"/>
  <c r="BT107" i="8"/>
  <c r="BX107" i="8"/>
  <c r="CB107" i="8"/>
  <c r="CF107" i="8"/>
  <c r="CJ107" i="8"/>
  <c r="CN107" i="8"/>
  <c r="CR107" i="8"/>
  <c r="AG107" i="8"/>
  <c r="AK107" i="8"/>
  <c r="AO107" i="8"/>
  <c r="AS107" i="8"/>
  <c r="AW107" i="8"/>
  <c r="BA107" i="8"/>
  <c r="BE107" i="8"/>
  <c r="BI107" i="8"/>
  <c r="BM107" i="8"/>
  <c r="BQ107" i="8"/>
  <c r="BU107" i="8"/>
  <c r="BY107" i="8"/>
  <c r="CC107" i="8"/>
  <c r="CG107" i="8"/>
  <c r="CK107" i="8"/>
  <c r="CO107" i="8"/>
  <c r="CS107" i="8"/>
  <c r="AH107" i="8"/>
  <c r="AL107" i="8"/>
  <c r="AP107" i="8"/>
  <c r="AT107" i="8"/>
  <c r="AX107" i="8"/>
  <c r="BB107" i="8"/>
  <c r="BF107" i="8"/>
  <c r="BJ107" i="8"/>
  <c r="BN107" i="8"/>
  <c r="BR107" i="8"/>
  <c r="BV107" i="8"/>
  <c r="BZ107" i="8"/>
  <c r="CD107" i="8"/>
  <c r="CH107" i="8"/>
  <c r="CL107" i="8"/>
  <c r="CP107" i="8"/>
  <c r="CT107" i="8"/>
  <c r="AI107" i="8"/>
  <c r="AM107" i="8"/>
  <c r="AQ107" i="8"/>
  <c r="AU107" i="8"/>
  <c r="AY107" i="8"/>
  <c r="BC107" i="8"/>
  <c r="BG107" i="8"/>
  <c r="BK107" i="8"/>
  <c r="BO107" i="8"/>
  <c r="BS107" i="8"/>
  <c r="BW107" i="8"/>
  <c r="CA107" i="8"/>
  <c r="CE107" i="8"/>
  <c r="CI107" i="8"/>
  <c r="CM107" i="8"/>
  <c r="CQ107" i="8"/>
  <c r="CV107" i="8"/>
  <c r="CW107" i="8"/>
  <c r="CX107" i="8"/>
  <c r="CU107" i="8"/>
  <c r="BE59" i="8"/>
  <c r="BS59" i="8"/>
  <c r="BI59" i="8"/>
  <c r="AK59" i="8"/>
  <c r="BC59" i="8"/>
  <c r="BA59" i="8"/>
  <c r="CM59" i="8"/>
  <c r="CE59" i="8"/>
  <c r="AW59" i="8"/>
  <c r="CQ59" i="8"/>
  <c r="BW59" i="8"/>
  <c r="AI103" i="8"/>
  <c r="AI48" i="8"/>
  <c r="AI118" i="8" s="1"/>
  <c r="AI59" i="8"/>
  <c r="AM103" i="8"/>
  <c r="AM48" i="8"/>
  <c r="AM118" i="8" s="1"/>
  <c r="AM59" i="8"/>
  <c r="AQ48" i="8"/>
  <c r="AQ118" i="8" s="1"/>
  <c r="AQ103" i="8"/>
  <c r="AU103" i="8"/>
  <c r="AU48" i="8"/>
  <c r="AU118" i="8" s="1"/>
  <c r="AU59" i="8"/>
  <c r="AY103" i="8"/>
  <c r="AY48" i="8"/>
  <c r="AY118" i="8" s="1"/>
  <c r="AY59" i="8"/>
  <c r="BC103" i="8"/>
  <c r="BC48" i="8"/>
  <c r="BC118" i="8" s="1"/>
  <c r="BG48" i="8"/>
  <c r="BG118" i="8" s="1"/>
  <c r="BG103" i="8"/>
  <c r="BK103" i="8"/>
  <c r="BK48" i="8"/>
  <c r="BK118" i="8" s="1"/>
  <c r="BK59" i="8"/>
  <c r="BO103" i="8"/>
  <c r="BO48" i="8"/>
  <c r="BO118" i="8" s="1"/>
  <c r="BS103" i="8"/>
  <c r="BS48" i="8"/>
  <c r="BS118" i="8" s="1"/>
  <c r="BW48" i="8"/>
  <c r="BW118" i="8" s="1"/>
  <c r="BW103" i="8"/>
  <c r="CA103" i="8"/>
  <c r="CA48" i="8"/>
  <c r="CA118" i="8" s="1"/>
  <c r="CA59" i="8"/>
  <c r="CE103" i="8"/>
  <c r="CE48" i="8"/>
  <c r="CE118" i="8" s="1"/>
  <c r="CI48" i="8"/>
  <c r="CI118" i="8" s="1"/>
  <c r="CI103" i="8"/>
  <c r="CI59" i="8"/>
  <c r="CM48" i="8"/>
  <c r="CM118" i="8" s="1"/>
  <c r="CM103" i="8"/>
  <c r="CQ48" i="8"/>
  <c r="CQ118" i="8" s="1"/>
  <c r="CQ103" i="8"/>
  <c r="AQ59" i="8"/>
  <c r="AG48" i="8"/>
  <c r="AG118" i="8" s="1"/>
  <c r="AG103" i="8"/>
  <c r="AK103" i="8"/>
  <c r="AK48" i="8"/>
  <c r="AK118" i="8" s="1"/>
  <c r="AO48" i="8"/>
  <c r="AO118" i="8" s="1"/>
  <c r="AO103" i="8"/>
  <c r="AS48" i="8"/>
  <c r="AS118" i="8" s="1"/>
  <c r="AS103" i="8"/>
  <c r="AW48" i="8"/>
  <c r="AW118" i="8" s="1"/>
  <c r="AW103" i="8"/>
  <c r="BA103" i="8"/>
  <c r="BA48" i="8"/>
  <c r="BA118" i="8" s="1"/>
  <c r="BE48" i="8"/>
  <c r="BE118" i="8" s="1"/>
  <c r="BE103" i="8"/>
  <c r="BI48" i="8"/>
  <c r="BI118" i="8" s="1"/>
  <c r="BI103" i="8"/>
  <c r="BM103" i="8"/>
  <c r="BM48" i="8"/>
  <c r="BM118" i="8" s="1"/>
  <c r="BQ103" i="8"/>
  <c r="BQ48" i="8"/>
  <c r="BQ118" i="8" s="1"/>
  <c r="BU103" i="8"/>
  <c r="BU48" i="8"/>
  <c r="BU118" i="8" s="1"/>
  <c r="BY48" i="8"/>
  <c r="BY118" i="8" s="1"/>
  <c r="BY103" i="8"/>
  <c r="CC48" i="8"/>
  <c r="CC118" i="8" s="1"/>
  <c r="CC103" i="8"/>
  <c r="CG103" i="8"/>
  <c r="CG48" i="8"/>
  <c r="CG118" i="8" s="1"/>
  <c r="CK48" i="8"/>
  <c r="CK118" i="8" s="1"/>
  <c r="CK103" i="8"/>
  <c r="CO103" i="8"/>
  <c r="CO48" i="8"/>
  <c r="CO118" i="8" s="1"/>
  <c r="CS103" i="8"/>
  <c r="CS48" i="8"/>
  <c r="CS118" i="8" s="1"/>
  <c r="AH48" i="8"/>
  <c r="AH118" i="8" s="1"/>
  <c r="AH103" i="8"/>
  <c r="AL48" i="8"/>
  <c r="AL118" i="8" s="1"/>
  <c r="AL103" i="8"/>
  <c r="AP48" i="8"/>
  <c r="AP118" i="8" s="1"/>
  <c r="AP103" i="8"/>
  <c r="AT48" i="8"/>
  <c r="AT118" i="8" s="1"/>
  <c r="AT103" i="8"/>
  <c r="AX48" i="8"/>
  <c r="AX118" i="8" s="1"/>
  <c r="AX103" i="8"/>
  <c r="BB48" i="8"/>
  <c r="BB118" i="8" s="1"/>
  <c r="BB103" i="8"/>
  <c r="BF48" i="8"/>
  <c r="BF118" i="8" s="1"/>
  <c r="BF103" i="8"/>
  <c r="BJ48" i="8"/>
  <c r="BJ118" i="8" s="1"/>
  <c r="BJ103" i="8"/>
  <c r="BN48" i="8"/>
  <c r="BN118" i="8" s="1"/>
  <c r="BN103" i="8"/>
  <c r="BR48" i="8"/>
  <c r="BR118" i="8" s="1"/>
  <c r="BR103" i="8"/>
  <c r="BV48" i="8"/>
  <c r="BV118" i="8" s="1"/>
  <c r="BV103" i="8"/>
  <c r="BZ48" i="8"/>
  <c r="BZ118" i="8" s="1"/>
  <c r="BZ103" i="8"/>
  <c r="CD48" i="8"/>
  <c r="CD118" i="8" s="1"/>
  <c r="CD103" i="8"/>
  <c r="CH48" i="8"/>
  <c r="CH118" i="8" s="1"/>
  <c r="CH103" i="8"/>
  <c r="CL48" i="8"/>
  <c r="CL118" i="8" s="1"/>
  <c r="CL103" i="8"/>
  <c r="CP48" i="8"/>
  <c r="CP118" i="8" s="1"/>
  <c r="CP103" i="8"/>
  <c r="CT48" i="8"/>
  <c r="CT118" i="8" s="1"/>
  <c r="CT103" i="8"/>
  <c r="AJ103" i="8"/>
  <c r="AJ48" i="8"/>
  <c r="AJ118" i="8" s="1"/>
  <c r="AN103" i="8"/>
  <c r="AN48" i="8"/>
  <c r="AN118" i="8" s="1"/>
  <c r="AR103" i="8"/>
  <c r="AR48" i="8"/>
  <c r="AR118" i="8" s="1"/>
  <c r="AV103" i="8"/>
  <c r="AV48" i="8"/>
  <c r="AV118" i="8" s="1"/>
  <c r="AZ103" i="8"/>
  <c r="AZ48" i="8"/>
  <c r="AZ118" i="8" s="1"/>
  <c r="BD103" i="8"/>
  <c r="BD48" i="8"/>
  <c r="BD118" i="8" s="1"/>
  <c r="BH103" i="8"/>
  <c r="BH48" i="8"/>
  <c r="BH118" i="8" s="1"/>
  <c r="BL103" i="8"/>
  <c r="BL48" i="8"/>
  <c r="BL118" i="8" s="1"/>
  <c r="BP103" i="8"/>
  <c r="BP48" i="8"/>
  <c r="BP118" i="8" s="1"/>
  <c r="BT103" i="8"/>
  <c r="BT48" i="8"/>
  <c r="BT118" i="8" s="1"/>
  <c r="BX103" i="8"/>
  <c r="BX48" i="8"/>
  <c r="BX118" i="8" s="1"/>
  <c r="CB103" i="8"/>
  <c r="CB48" i="8"/>
  <c r="CB118" i="8" s="1"/>
  <c r="CF103" i="8"/>
  <c r="CF48" i="8"/>
  <c r="CF118" i="8" s="1"/>
  <c r="CJ103" i="8"/>
  <c r="CJ48" i="8"/>
  <c r="CJ118" i="8" s="1"/>
  <c r="CN103" i="8"/>
  <c r="CN48" i="8"/>
  <c r="CN118" i="8" s="1"/>
  <c r="CR103" i="8"/>
  <c r="CR48" i="8"/>
  <c r="CR118" i="8" s="1"/>
  <c r="CW103" i="8"/>
  <c r="CW48" i="8"/>
  <c r="CW118" i="8" s="1"/>
  <c r="CX103" i="8"/>
  <c r="CX48" i="8"/>
  <c r="CX118" i="8" s="1"/>
  <c r="CU103" i="8"/>
  <c r="CU48" i="8"/>
  <c r="CU118" i="8" s="1"/>
  <c r="CV103" i="8"/>
  <c r="CV48" i="8"/>
  <c r="CV118" i="8" s="1"/>
  <c r="AR59" i="8"/>
  <c r="AV59" i="8"/>
  <c r="AZ59" i="8"/>
  <c r="BD59" i="8"/>
  <c r="BP59" i="8"/>
  <c r="BL59" i="8"/>
  <c r="BH59" i="8"/>
  <c r="AJ59" i="8"/>
  <c r="AN59" i="8"/>
  <c r="BT59" i="8"/>
  <c r="CB59" i="8"/>
  <c r="CF59" i="8"/>
  <c r="CJ59" i="8"/>
  <c r="CO59" i="8"/>
  <c r="BU59" i="8"/>
  <c r="AG59" i="8"/>
  <c r="CW59" i="8"/>
  <c r="AO59" i="8"/>
  <c r="BY59" i="8"/>
  <c r="AS59" i="8"/>
  <c r="CU59" i="8"/>
  <c r="B196" i="8" l="1" a="1"/>
  <c r="B196" i="8" s="1"/>
  <c r="B255" i="8" a="1"/>
  <c r="B255" i="8" s="1"/>
  <c r="B200" i="8" a="1"/>
  <c r="B200" i="8" s="1"/>
  <c r="B197" i="8" a="1"/>
  <c r="B197" i="8" s="1"/>
  <c r="B257" i="8" a="1"/>
  <c r="B257" i="8" s="1"/>
  <c r="B254" i="8" a="1"/>
  <c r="B254" i="8" s="1"/>
  <c r="B253" i="8" a="1"/>
  <c r="B253" i="8" s="1"/>
  <c r="B198" i="8" a="1"/>
  <c r="B198" i="8" s="1"/>
  <c r="B201" i="8" a="1"/>
  <c r="B201" i="8" s="1"/>
  <c r="B258" i="8" a="1"/>
  <c r="B258" i="8" s="1"/>
  <c r="B256" i="8" a="1"/>
  <c r="B256" i="8" s="1"/>
  <c r="B199" i="8" a="1"/>
  <c r="B199" i="8" s="1"/>
  <c r="W81" i="8"/>
  <c r="S81" i="8"/>
  <c r="G81" i="8"/>
  <c r="X81" i="8"/>
  <c r="M81" i="8"/>
  <c r="Z81" i="8"/>
  <c r="Q81" i="8"/>
  <c r="K81" i="8"/>
  <c r="R81" i="8"/>
  <c r="U81" i="8"/>
  <c r="E81" i="8"/>
  <c r="O81" i="8"/>
  <c r="F81" i="8"/>
  <c r="Y81" i="8"/>
  <c r="Q104" i="7"/>
  <c r="P123" i="7"/>
  <c r="P125" i="7" s="1"/>
  <c r="C121" i="8"/>
  <c r="D56" i="8"/>
  <c r="C59" i="8"/>
  <c r="AC48" i="8"/>
  <c r="AC118" i="8" s="1"/>
  <c r="AB48" i="8"/>
  <c r="AD48" i="8"/>
  <c r="AD118" i="8" s="1"/>
  <c r="AF48" i="8"/>
  <c r="AF118" i="8" s="1"/>
  <c r="AE48" i="8"/>
  <c r="AE118" i="8" s="1"/>
  <c r="F220" i="8" l="1"/>
  <c r="F222" i="8"/>
  <c r="F223" i="8"/>
  <c r="F224" i="8"/>
  <c r="F219" i="8"/>
  <c r="F221" i="8"/>
  <c r="L219" i="8"/>
  <c r="L223" i="8"/>
  <c r="L220" i="8"/>
  <c r="L222" i="8"/>
  <c r="L224" i="8"/>
  <c r="L221" i="8"/>
  <c r="I165" i="8"/>
  <c r="J165" i="8" s="1"/>
  <c r="R104" i="7"/>
  <c r="Q123" i="7"/>
  <c r="Q125" i="7" s="1"/>
  <c r="AB103" i="8"/>
  <c r="AB118" i="8"/>
  <c r="AC103" i="8"/>
  <c r="AE103" i="8"/>
  <c r="AF103" i="8"/>
  <c r="AD103" i="8"/>
  <c r="J222" i="8" l="1"/>
  <c r="N222" i="8" s="1"/>
  <c r="O222" i="8" s="1"/>
  <c r="Q222" i="8" s="1"/>
  <c r="J219" i="8"/>
  <c r="N219" i="8" s="1"/>
  <c r="O219" i="8" s="1"/>
  <c r="Q219" i="8" s="1"/>
  <c r="J223" i="8"/>
  <c r="N166" i="8" s="1"/>
  <c r="J220" i="8"/>
  <c r="N163" i="8" s="1"/>
  <c r="N162" i="8"/>
  <c r="J224" i="8"/>
  <c r="N167" i="8" s="1"/>
  <c r="F163" i="8"/>
  <c r="F162" i="8"/>
  <c r="F165" i="8"/>
  <c r="F166" i="8"/>
  <c r="F164" i="8"/>
  <c r="F167" i="8"/>
  <c r="E225" i="8"/>
  <c r="F218" i="8"/>
  <c r="J221" i="8"/>
  <c r="N164" i="8" s="1"/>
  <c r="L165" i="8"/>
  <c r="L163" i="8"/>
  <c r="I163" i="8"/>
  <c r="J163" i="8" s="1"/>
  <c r="L161" i="8"/>
  <c r="H168" i="8"/>
  <c r="I161" i="8"/>
  <c r="I162" i="8"/>
  <c r="J162" i="8" s="1"/>
  <c r="L162" i="8"/>
  <c r="I164" i="8"/>
  <c r="J164" i="8" s="1"/>
  <c r="L164" i="8"/>
  <c r="L167" i="8"/>
  <c r="I167" i="8"/>
  <c r="J167" i="8" s="1"/>
  <c r="L166" i="8"/>
  <c r="I166" i="8"/>
  <c r="J166" i="8" s="1"/>
  <c r="S104" i="7"/>
  <c r="R123" i="7"/>
  <c r="R125" i="7" s="1"/>
  <c r="AC121" i="8"/>
  <c r="AC123" i="8" s="1"/>
  <c r="AC106" i="8"/>
  <c r="AE121" i="8"/>
  <c r="AE123" i="8" s="1"/>
  <c r="AE106" i="8"/>
  <c r="AE107" i="8" s="1"/>
  <c r="AF121" i="8"/>
  <c r="AF123" i="8" s="1"/>
  <c r="AF106" i="8"/>
  <c r="AF107" i="8" s="1"/>
  <c r="C106" i="8"/>
  <c r="AB121" i="8"/>
  <c r="AB123" i="8" s="1"/>
  <c r="AB106" i="8"/>
  <c r="AB107" i="8" s="1"/>
  <c r="AD121" i="8"/>
  <c r="AD123" i="8" s="1"/>
  <c r="AD106" i="8"/>
  <c r="AD107" i="8" s="1"/>
  <c r="AC107" i="8"/>
  <c r="AE59" i="8"/>
  <c r="AE61" i="8" s="1"/>
  <c r="AF59" i="8"/>
  <c r="AF61" i="8" s="1"/>
  <c r="AC59" i="8"/>
  <c r="AC61" i="8" s="1"/>
  <c r="AB59" i="8"/>
  <c r="AB61" i="8" s="1"/>
  <c r="AD59" i="8"/>
  <c r="AD61" i="8" s="1"/>
  <c r="N223" i="8" l="1"/>
  <c r="O223" i="8" s="1"/>
  <c r="Q223" i="8" s="1"/>
  <c r="V266" i="8" s="1"/>
  <c r="R262" i="8"/>
  <c r="AL262" i="8"/>
  <c r="S262" i="8"/>
  <c r="AM262" i="8"/>
  <c r="C262" i="8"/>
  <c r="U262" i="8"/>
  <c r="AO262" i="8"/>
  <c r="V262" i="8"/>
  <c r="AB262" i="8"/>
  <c r="I262" i="8"/>
  <c r="K262" i="8"/>
  <c r="AP262" i="8"/>
  <c r="T262" i="8"/>
  <c r="AN262" i="8"/>
  <c r="AC262" i="8"/>
  <c r="AE262" i="8"/>
  <c r="W262" i="8"/>
  <c r="D262" i="8"/>
  <c r="X262" i="8"/>
  <c r="E262" i="8"/>
  <c r="Y262" i="8"/>
  <c r="F262" i="8"/>
  <c r="Z262" i="8"/>
  <c r="G262" i="8"/>
  <c r="AA262" i="8"/>
  <c r="H262" i="8"/>
  <c r="J262" i="8"/>
  <c r="AD262" i="8"/>
  <c r="L262" i="8"/>
  <c r="AF262" i="8"/>
  <c r="P262" i="8"/>
  <c r="Q262" i="8"/>
  <c r="AG262" i="8"/>
  <c r="AH262" i="8"/>
  <c r="AI262" i="8"/>
  <c r="AJ262" i="8"/>
  <c r="AK262" i="8"/>
  <c r="M262" i="8"/>
  <c r="N262" i="8"/>
  <c r="O262" i="8"/>
  <c r="U265" i="8"/>
  <c r="AO265" i="8"/>
  <c r="V265" i="8"/>
  <c r="AP265" i="8"/>
  <c r="D265" i="8"/>
  <c r="X265" i="8"/>
  <c r="Y265" i="8"/>
  <c r="C265" i="8"/>
  <c r="K265" i="8"/>
  <c r="L265" i="8"/>
  <c r="N265" i="8"/>
  <c r="O265" i="8"/>
  <c r="E265" i="8"/>
  <c r="AE265" i="8"/>
  <c r="AG265" i="8"/>
  <c r="AI265" i="8"/>
  <c r="W265" i="8"/>
  <c r="F265" i="8"/>
  <c r="Z265" i="8"/>
  <c r="G265" i="8"/>
  <c r="AA265" i="8"/>
  <c r="H265" i="8"/>
  <c r="AB265" i="8"/>
  <c r="I265" i="8"/>
  <c r="AC265" i="8"/>
  <c r="J265" i="8"/>
  <c r="AD265" i="8"/>
  <c r="AF265" i="8"/>
  <c r="M265" i="8"/>
  <c r="AH265" i="8"/>
  <c r="P265" i="8"/>
  <c r="Q265" i="8"/>
  <c r="R265" i="8"/>
  <c r="S265" i="8"/>
  <c r="T265" i="8"/>
  <c r="AJ265" i="8"/>
  <c r="AL265" i="8"/>
  <c r="AK265" i="8"/>
  <c r="AM265" i="8"/>
  <c r="AN265" i="8"/>
  <c r="O166" i="8"/>
  <c r="Q166" i="8" s="1"/>
  <c r="O164" i="8"/>
  <c r="Q164" i="8" s="1"/>
  <c r="O162" i="8"/>
  <c r="Q162" i="8" s="1"/>
  <c r="N165" i="8"/>
  <c r="O165" i="8" s="1"/>
  <c r="Q165" i="8" s="1"/>
  <c r="O163" i="8"/>
  <c r="Q163" i="8" s="1"/>
  <c r="N221" i="8"/>
  <c r="O221" i="8" s="1"/>
  <c r="Q221" i="8" s="1"/>
  <c r="N224" i="8"/>
  <c r="O224" i="8" s="1"/>
  <c r="Q224" i="8" s="1"/>
  <c r="O167" i="8"/>
  <c r="Q167" i="8" s="1"/>
  <c r="E168" i="8"/>
  <c r="F161" i="8"/>
  <c r="J161" i="8"/>
  <c r="J168" i="8" s="1"/>
  <c r="L168" i="8"/>
  <c r="N220" i="8"/>
  <c r="O220" i="8" s="1"/>
  <c r="Q220" i="8" s="1"/>
  <c r="F225" i="8"/>
  <c r="T104" i="7"/>
  <c r="S123" i="7"/>
  <c r="S125" i="7" s="1"/>
  <c r="B61" i="8"/>
  <c r="B132" i="8" s="1"/>
  <c r="B134" i="8" s="1"/>
  <c r="AB266" i="8" l="1"/>
  <c r="AH266" i="8"/>
  <c r="AC266" i="8"/>
  <c r="AN266" i="8"/>
  <c r="AM266" i="8"/>
  <c r="O266" i="8"/>
  <c r="F266" i="8"/>
  <c r="AO266" i="8"/>
  <c r="H266" i="8"/>
  <c r="Q266" i="8"/>
  <c r="AA266" i="8"/>
  <c r="AL266" i="8"/>
  <c r="AK266" i="8"/>
  <c r="AG266" i="8"/>
  <c r="S266" i="8"/>
  <c r="AI266" i="8"/>
  <c r="N266" i="8"/>
  <c r="L266" i="8"/>
  <c r="K266" i="8"/>
  <c r="Y266" i="8"/>
  <c r="C266" i="8"/>
  <c r="X266" i="8"/>
  <c r="AJ266" i="8"/>
  <c r="T266" i="8"/>
  <c r="R266" i="8"/>
  <c r="AF266" i="8"/>
  <c r="AE266" i="8"/>
  <c r="AD266" i="8"/>
  <c r="E266" i="8"/>
  <c r="I266" i="8"/>
  <c r="P266" i="8"/>
  <c r="G266" i="8"/>
  <c r="D266" i="8"/>
  <c r="U266" i="8"/>
  <c r="M266" i="8"/>
  <c r="Z266" i="8"/>
  <c r="J266" i="8"/>
  <c r="W266" i="8"/>
  <c r="AP266" i="8"/>
  <c r="S263" i="8"/>
  <c r="AM263" i="8"/>
  <c r="T263" i="8"/>
  <c r="AN263" i="8"/>
  <c r="C263" i="8"/>
  <c r="V263" i="8"/>
  <c r="AP263" i="8"/>
  <c r="W263" i="8"/>
  <c r="I263" i="8"/>
  <c r="L263" i="8"/>
  <c r="AG263" i="8"/>
  <c r="AC263" i="8"/>
  <c r="J263" i="8"/>
  <c r="K263" i="8"/>
  <c r="M263" i="8"/>
  <c r="U263" i="8"/>
  <c r="AO263" i="8"/>
  <c r="D263" i="8"/>
  <c r="X263" i="8"/>
  <c r="E263" i="8"/>
  <c r="Y263" i="8"/>
  <c r="F263" i="8"/>
  <c r="Z263" i="8"/>
  <c r="G263" i="8"/>
  <c r="AA263" i="8"/>
  <c r="H263" i="8"/>
  <c r="AB263" i="8"/>
  <c r="AD263" i="8"/>
  <c r="AE263" i="8"/>
  <c r="AF263" i="8"/>
  <c r="Q263" i="8"/>
  <c r="AH263" i="8"/>
  <c r="AJ263" i="8"/>
  <c r="N263" i="8"/>
  <c r="O263" i="8"/>
  <c r="P263" i="8"/>
  <c r="R263" i="8"/>
  <c r="AI263" i="8"/>
  <c r="AK263" i="8"/>
  <c r="AL263" i="8"/>
  <c r="B265" i="8" a="1"/>
  <c r="B265" i="8" s="1"/>
  <c r="T264" i="8"/>
  <c r="AN264" i="8"/>
  <c r="U264" i="8"/>
  <c r="AO264" i="8"/>
  <c r="W264" i="8"/>
  <c r="C264" i="8"/>
  <c r="X264" i="8"/>
  <c r="I264" i="8"/>
  <c r="J264" i="8"/>
  <c r="K264" i="8"/>
  <c r="AF264" i="8"/>
  <c r="D264" i="8"/>
  <c r="AE264" i="8"/>
  <c r="L264" i="8"/>
  <c r="M264" i="8"/>
  <c r="AH264" i="8"/>
  <c r="V264" i="8"/>
  <c r="AP264" i="8"/>
  <c r="E264" i="8"/>
  <c r="Y264" i="8"/>
  <c r="F264" i="8"/>
  <c r="Z264" i="8"/>
  <c r="G264" i="8"/>
  <c r="AA264" i="8"/>
  <c r="H264" i="8"/>
  <c r="AB264" i="8"/>
  <c r="AC264" i="8"/>
  <c r="AD264" i="8"/>
  <c r="AG264" i="8"/>
  <c r="Q264" i="8"/>
  <c r="R264" i="8"/>
  <c r="S264" i="8"/>
  <c r="AI264" i="8"/>
  <c r="AJ264" i="8"/>
  <c r="AK264" i="8"/>
  <c r="AL264" i="8"/>
  <c r="AM264" i="8"/>
  <c r="N264" i="8"/>
  <c r="O264" i="8"/>
  <c r="P264" i="8"/>
  <c r="B262" i="8" a="1"/>
  <c r="B262" i="8" s="1"/>
  <c r="W210" i="8"/>
  <c r="C210" i="8"/>
  <c r="D210" i="8"/>
  <c r="X210" i="8"/>
  <c r="E210" i="8"/>
  <c r="Y210" i="8"/>
  <c r="F210" i="8"/>
  <c r="Z210" i="8"/>
  <c r="G210" i="8"/>
  <c r="AA210" i="8"/>
  <c r="H210" i="8"/>
  <c r="AB210" i="8"/>
  <c r="I210" i="8"/>
  <c r="AC210" i="8"/>
  <c r="J210" i="8"/>
  <c r="AD210" i="8"/>
  <c r="AE210" i="8"/>
  <c r="L210" i="8"/>
  <c r="AF210" i="8"/>
  <c r="M210" i="8"/>
  <c r="AG210" i="8"/>
  <c r="N210" i="8"/>
  <c r="AH210" i="8"/>
  <c r="O210" i="8"/>
  <c r="AI210" i="8"/>
  <c r="P210" i="8"/>
  <c r="AJ210" i="8"/>
  <c r="AL210" i="8"/>
  <c r="S210" i="8"/>
  <c r="AM210" i="8"/>
  <c r="AN210" i="8"/>
  <c r="U210" i="8"/>
  <c r="AO210" i="8"/>
  <c r="AP210" i="8"/>
  <c r="K210" i="8"/>
  <c r="Q210" i="8"/>
  <c r="AK210" i="8"/>
  <c r="R210" i="8"/>
  <c r="T210" i="8"/>
  <c r="V210" i="8"/>
  <c r="R209" i="8"/>
  <c r="AL209" i="8"/>
  <c r="S209" i="8"/>
  <c r="AM209" i="8"/>
  <c r="T209" i="8"/>
  <c r="AN209" i="8"/>
  <c r="U209" i="8"/>
  <c r="AO209" i="8"/>
  <c r="V209" i="8"/>
  <c r="AP209" i="8"/>
  <c r="C209" i="8"/>
  <c r="W209" i="8"/>
  <c r="D209" i="8"/>
  <c r="X209" i="8"/>
  <c r="E209" i="8"/>
  <c r="Y209" i="8"/>
  <c r="F209" i="8"/>
  <c r="Z209" i="8"/>
  <c r="G209" i="8"/>
  <c r="AA209" i="8"/>
  <c r="H209" i="8"/>
  <c r="AB209" i="8"/>
  <c r="I209" i="8"/>
  <c r="AC209" i="8"/>
  <c r="J209" i="8"/>
  <c r="AE209" i="8"/>
  <c r="L209" i="8"/>
  <c r="M209" i="8"/>
  <c r="AG209" i="8"/>
  <c r="N209" i="8"/>
  <c r="AH209" i="8"/>
  <c r="O209" i="8"/>
  <c r="AI209" i="8"/>
  <c r="P209" i="8"/>
  <c r="Q209" i="8"/>
  <c r="K209" i="8"/>
  <c r="AK209" i="8"/>
  <c r="AF209" i="8"/>
  <c r="AD209" i="8"/>
  <c r="AJ209" i="8"/>
  <c r="D208" i="8"/>
  <c r="X208" i="8"/>
  <c r="E208" i="8"/>
  <c r="Y208" i="8"/>
  <c r="F208" i="8"/>
  <c r="Z208" i="8"/>
  <c r="G208" i="8"/>
  <c r="AA208" i="8"/>
  <c r="H208" i="8"/>
  <c r="AB208" i="8"/>
  <c r="I208" i="8"/>
  <c r="AC208" i="8"/>
  <c r="J208" i="8"/>
  <c r="AD208" i="8"/>
  <c r="K208" i="8"/>
  <c r="AE208" i="8"/>
  <c r="L208" i="8"/>
  <c r="AF208" i="8"/>
  <c r="M208" i="8"/>
  <c r="N208" i="8"/>
  <c r="AH208" i="8"/>
  <c r="O208" i="8"/>
  <c r="AI208" i="8"/>
  <c r="P208" i="8"/>
  <c r="AJ208" i="8"/>
  <c r="Q208" i="8"/>
  <c r="AK208" i="8"/>
  <c r="R208" i="8"/>
  <c r="AL208" i="8"/>
  <c r="S208" i="8"/>
  <c r="AM208" i="8"/>
  <c r="T208" i="8"/>
  <c r="AN208" i="8"/>
  <c r="U208" i="8"/>
  <c r="AO208" i="8"/>
  <c r="C208" i="8"/>
  <c r="V208" i="8"/>
  <c r="AP208" i="8"/>
  <c r="AG208" i="8"/>
  <c r="W208" i="8"/>
  <c r="U207" i="8"/>
  <c r="AO207" i="8"/>
  <c r="V207" i="8"/>
  <c r="AP207" i="8"/>
  <c r="W207" i="8"/>
  <c r="D207" i="8"/>
  <c r="X207" i="8"/>
  <c r="E207" i="8"/>
  <c r="Y207" i="8"/>
  <c r="F207" i="8"/>
  <c r="Z207" i="8"/>
  <c r="G207" i="8"/>
  <c r="AA207" i="8"/>
  <c r="H207" i="8"/>
  <c r="AB207" i="8"/>
  <c r="I207" i="8"/>
  <c r="AC207" i="8"/>
  <c r="J207" i="8"/>
  <c r="AD207" i="8"/>
  <c r="AE207" i="8"/>
  <c r="L207" i="8"/>
  <c r="AF207" i="8"/>
  <c r="M207" i="8"/>
  <c r="AG207" i="8"/>
  <c r="N207" i="8"/>
  <c r="O207" i="8"/>
  <c r="AI207" i="8"/>
  <c r="P207" i="8"/>
  <c r="Q207" i="8"/>
  <c r="R207" i="8"/>
  <c r="AM207" i="8"/>
  <c r="T207" i="8"/>
  <c r="C207" i="8"/>
  <c r="AH207" i="8"/>
  <c r="S207" i="8"/>
  <c r="K207" i="8"/>
  <c r="AJ207" i="8"/>
  <c r="AK207" i="8"/>
  <c r="AL207" i="8"/>
  <c r="AN207" i="8"/>
  <c r="V206" i="8"/>
  <c r="AP206" i="8"/>
  <c r="W206" i="8"/>
  <c r="D206" i="8"/>
  <c r="X206" i="8"/>
  <c r="E206" i="8"/>
  <c r="Y206" i="8"/>
  <c r="F206" i="8"/>
  <c r="Z206" i="8"/>
  <c r="G206" i="8"/>
  <c r="AA206" i="8"/>
  <c r="H206" i="8"/>
  <c r="AB206" i="8"/>
  <c r="I206" i="8"/>
  <c r="AC206" i="8"/>
  <c r="J206" i="8"/>
  <c r="AD206" i="8"/>
  <c r="K206" i="8"/>
  <c r="AE206" i="8"/>
  <c r="L206" i="8"/>
  <c r="AF206" i="8"/>
  <c r="M206" i="8"/>
  <c r="N206" i="8"/>
  <c r="AH206" i="8"/>
  <c r="O206" i="8"/>
  <c r="AI206" i="8"/>
  <c r="P206" i="8"/>
  <c r="AJ206" i="8"/>
  <c r="Q206" i="8"/>
  <c r="AK206" i="8"/>
  <c r="R206" i="8"/>
  <c r="AM206" i="8"/>
  <c r="C206" i="8"/>
  <c r="AN206" i="8"/>
  <c r="AO206" i="8"/>
  <c r="AG206" i="8"/>
  <c r="AL206" i="8"/>
  <c r="S206" i="8"/>
  <c r="T206" i="8"/>
  <c r="U206" i="8"/>
  <c r="G205" i="8"/>
  <c r="AA205" i="8"/>
  <c r="I205" i="8"/>
  <c r="N205" i="8"/>
  <c r="AI205" i="8"/>
  <c r="Q205" i="8"/>
  <c r="AL205" i="8"/>
  <c r="S205" i="8"/>
  <c r="U205" i="8"/>
  <c r="AP205" i="8"/>
  <c r="X205" i="8"/>
  <c r="Z205" i="8"/>
  <c r="H205" i="8"/>
  <c r="AB205" i="8"/>
  <c r="AC205" i="8"/>
  <c r="AF205" i="8"/>
  <c r="M205" i="8"/>
  <c r="O205" i="8"/>
  <c r="P205" i="8"/>
  <c r="R205" i="8"/>
  <c r="AM205" i="8"/>
  <c r="T205" i="8"/>
  <c r="V205" i="8"/>
  <c r="W205" i="8"/>
  <c r="Y205" i="8"/>
  <c r="F205" i="8"/>
  <c r="J205" i="8"/>
  <c r="AD205" i="8"/>
  <c r="AE205" i="8"/>
  <c r="L205" i="8"/>
  <c r="AG205" i="8"/>
  <c r="AH205" i="8"/>
  <c r="AJ205" i="8"/>
  <c r="AK205" i="8"/>
  <c r="C205" i="8"/>
  <c r="AO205" i="8"/>
  <c r="D205" i="8"/>
  <c r="K205" i="8"/>
  <c r="AN205" i="8"/>
  <c r="E205" i="8"/>
  <c r="F168" i="8"/>
  <c r="U104" i="7"/>
  <c r="T123" i="7"/>
  <c r="T125" i="7" s="1"/>
  <c r="B264" i="8" l="1" a="1"/>
  <c r="B264" i="8" s="1"/>
  <c r="B263" i="8" a="1"/>
  <c r="B263" i="8" s="1"/>
  <c r="B210" i="8" a="1"/>
  <c r="B210" i="8" s="1"/>
  <c r="B209" i="8" a="1"/>
  <c r="B209" i="8" s="1"/>
  <c r="B208" i="8" a="1"/>
  <c r="B208" i="8" s="1"/>
  <c r="B207" i="8" a="1"/>
  <c r="B207" i="8" s="1"/>
  <c r="B206" i="8" a="1"/>
  <c r="B206" i="8" s="1"/>
  <c r="B205" i="8" a="1"/>
  <c r="B205" i="8" s="1"/>
  <c r="V104" i="7"/>
  <c r="U123" i="7"/>
  <c r="U125" i="7" s="1"/>
  <c r="W104" i="7" l="1"/>
  <c r="V123" i="7"/>
  <c r="V125" i="7" s="1"/>
  <c r="D57" i="8"/>
  <c r="E56" i="8"/>
  <c r="X104" i="7" l="1"/>
  <c r="W123" i="7"/>
  <c r="W125" i="7" s="1"/>
  <c r="D121" i="8"/>
  <c r="D106" i="8"/>
  <c r="D59" i="8"/>
  <c r="Y104" i="7" l="1"/>
  <c r="X123" i="7"/>
  <c r="X125" i="7" s="1"/>
  <c r="Z104" i="7" l="1"/>
  <c r="Y123" i="7"/>
  <c r="Y125" i="7" s="1"/>
  <c r="E57" i="8"/>
  <c r="F56" i="8"/>
  <c r="F57" i="8" s="1"/>
  <c r="AA104" i="7" l="1"/>
  <c r="Z123" i="7"/>
  <c r="Z125" i="7" s="1"/>
  <c r="E121" i="8"/>
  <c r="E106" i="8"/>
  <c r="F121" i="8"/>
  <c r="F106" i="8"/>
  <c r="E59" i="8"/>
  <c r="G56" i="8"/>
  <c r="AB104" i="7" l="1"/>
  <c r="AA123" i="7"/>
  <c r="AA125" i="7" s="1"/>
  <c r="H56" i="8"/>
  <c r="G57" i="8"/>
  <c r="F59" i="8"/>
  <c r="AC104" i="7" l="1"/>
  <c r="AB123" i="7"/>
  <c r="AB125" i="7" s="1"/>
  <c r="I56" i="8"/>
  <c r="H57" i="8"/>
  <c r="G121" i="8"/>
  <c r="G59" i="8"/>
  <c r="G106" i="8"/>
  <c r="AD104" i="7" l="1"/>
  <c r="AC123" i="7"/>
  <c r="AC125" i="7" s="1"/>
  <c r="J56" i="8"/>
  <c r="I57" i="8"/>
  <c r="H59" i="8"/>
  <c r="H121" i="8"/>
  <c r="H106" i="8"/>
  <c r="AE104" i="7" l="1"/>
  <c r="AD123" i="7"/>
  <c r="AD125" i="7" s="1"/>
  <c r="K56" i="8"/>
  <c r="J57" i="8"/>
  <c r="I59" i="8"/>
  <c r="I121" i="8"/>
  <c r="I106" i="8"/>
  <c r="AF104" i="7" l="1"/>
  <c r="AE123" i="7"/>
  <c r="AE125" i="7" s="1"/>
  <c r="L56" i="8"/>
  <c r="K57" i="8"/>
  <c r="J59" i="8"/>
  <c r="J121" i="8"/>
  <c r="J106" i="8"/>
  <c r="AG104" i="7" l="1"/>
  <c r="AF123" i="7"/>
  <c r="AF125" i="7" s="1"/>
  <c r="M56" i="8"/>
  <c r="L57" i="8"/>
  <c r="K59" i="8"/>
  <c r="K106" i="8"/>
  <c r="K121" i="8"/>
  <c r="AH104" i="7" l="1"/>
  <c r="AG123" i="7"/>
  <c r="AG125" i="7" s="1"/>
  <c r="N56" i="8"/>
  <c r="M57" i="8"/>
  <c r="L59" i="8"/>
  <c r="L121" i="8"/>
  <c r="L106" i="8"/>
  <c r="AI104" i="7" l="1"/>
  <c r="AH123" i="7"/>
  <c r="AH125" i="7" s="1"/>
  <c r="O56" i="8"/>
  <c r="N57" i="8"/>
  <c r="M121" i="8"/>
  <c r="M59" i="8"/>
  <c r="M106" i="8"/>
  <c r="AJ104" i="7" l="1"/>
  <c r="AI123" i="7"/>
  <c r="AI125" i="7" s="1"/>
  <c r="P56" i="8"/>
  <c r="O57" i="8"/>
  <c r="N121" i="8"/>
  <c r="N59" i="8"/>
  <c r="N106" i="8"/>
  <c r="AK104" i="7" l="1"/>
  <c r="AJ123" i="7"/>
  <c r="AJ125" i="7" s="1"/>
  <c r="Q56" i="8"/>
  <c r="P57" i="8"/>
  <c r="O121" i="8"/>
  <c r="O59" i="8"/>
  <c r="O106" i="8"/>
  <c r="AL104" i="7" l="1"/>
  <c r="AK123" i="7"/>
  <c r="AK125" i="7" s="1"/>
  <c r="R56" i="8"/>
  <c r="Q57" i="8"/>
  <c r="P121" i="8"/>
  <c r="P59" i="8"/>
  <c r="P106" i="8"/>
  <c r="AM104" i="7" l="1"/>
  <c r="AL123" i="7"/>
  <c r="AL125" i="7" s="1"/>
  <c r="S56" i="8"/>
  <c r="R57" i="8"/>
  <c r="Q121" i="8"/>
  <c r="Q59" i="8"/>
  <c r="Q106" i="8"/>
  <c r="AN104" i="7" l="1"/>
  <c r="AM123" i="7"/>
  <c r="AM125" i="7" s="1"/>
  <c r="T56" i="8"/>
  <c r="S57" i="8"/>
  <c r="R121" i="8"/>
  <c r="R59" i="8"/>
  <c r="R106" i="8"/>
  <c r="AO104" i="7" l="1"/>
  <c r="AN123" i="7"/>
  <c r="AN125" i="7" s="1"/>
  <c r="U56" i="8"/>
  <c r="T57" i="8"/>
  <c r="S121" i="8"/>
  <c r="S59" i="8"/>
  <c r="S106" i="8"/>
  <c r="AP104" i="7" l="1"/>
  <c r="AO123" i="7"/>
  <c r="AO125" i="7" s="1"/>
  <c r="T121" i="8"/>
  <c r="T59" i="8"/>
  <c r="T106" i="8"/>
  <c r="V56" i="8"/>
  <c r="U57" i="8"/>
  <c r="AQ104" i="7" l="1"/>
  <c r="AP123" i="7"/>
  <c r="AP125" i="7" s="1"/>
  <c r="W56" i="8"/>
  <c r="V57" i="8"/>
  <c r="U121" i="8"/>
  <c r="U106" i="8"/>
  <c r="U59" i="8"/>
  <c r="AR104" i="7" l="1"/>
  <c r="AQ123" i="7"/>
  <c r="AQ125" i="7" s="1"/>
  <c r="X56" i="8"/>
  <c r="W57" i="8"/>
  <c r="V121" i="8"/>
  <c r="V59" i="8"/>
  <c r="V106" i="8"/>
  <c r="AS104" i="7" l="1"/>
  <c r="AR123" i="7"/>
  <c r="AR125" i="7" s="1"/>
  <c r="Y56" i="8"/>
  <c r="X57" i="8"/>
  <c r="W121" i="8"/>
  <c r="W106" i="8"/>
  <c r="W59" i="8"/>
  <c r="AT104" i="7" l="1"/>
  <c r="AS123" i="7"/>
  <c r="AS125" i="7" s="1"/>
  <c r="Y57" i="8"/>
  <c r="Z56" i="8"/>
  <c r="X121" i="8"/>
  <c r="X59" i="8"/>
  <c r="X106" i="8"/>
  <c r="AU104" i="7" l="1"/>
  <c r="AT123" i="7"/>
  <c r="AT125" i="7" s="1"/>
  <c r="AA56" i="8"/>
  <c r="Z57" i="8"/>
  <c r="Y121" i="8"/>
  <c r="Y106" i="8"/>
  <c r="Y59" i="8"/>
  <c r="AV104" i="7" l="1"/>
  <c r="AU123" i="7"/>
  <c r="AU125" i="7" s="1"/>
  <c r="AA57" i="8"/>
  <c r="Z121" i="8"/>
  <c r="Z59" i="8"/>
  <c r="Z106" i="8"/>
  <c r="AW104" i="7" l="1"/>
  <c r="AV123" i="7"/>
  <c r="AV125" i="7" s="1"/>
  <c r="AA121" i="8"/>
  <c r="AA59" i="8"/>
  <c r="AA106" i="8"/>
  <c r="AX104" i="7" l="1"/>
  <c r="AW123" i="7"/>
  <c r="AW125" i="7" s="1"/>
  <c r="AY104" i="7" l="1"/>
  <c r="AX123" i="7"/>
  <c r="AX125" i="7" s="1"/>
  <c r="AZ104" i="7" l="1"/>
  <c r="AY123" i="7"/>
  <c r="AY125" i="7" s="1"/>
  <c r="BA104" i="7" l="1"/>
  <c r="AZ123" i="7"/>
  <c r="AZ125" i="7" s="1"/>
  <c r="BB104" i="7" l="1"/>
  <c r="BA123" i="7"/>
  <c r="BA125" i="7" s="1"/>
  <c r="BC104" i="7" l="1"/>
  <c r="BB123" i="7"/>
  <c r="BB125" i="7" s="1"/>
  <c r="BZ109" i="8"/>
  <c r="AL109" i="8"/>
  <c r="F109" i="8"/>
  <c r="BU109" i="8"/>
  <c r="AO109" i="8"/>
  <c r="I109" i="8"/>
  <c r="CF109" i="8"/>
  <c r="AZ109" i="8"/>
  <c r="T109" i="8"/>
  <c r="CU109" i="8"/>
  <c r="BO109" i="8"/>
  <c r="AI109" i="8"/>
  <c r="AT109" i="8"/>
  <c r="BX109" i="8"/>
  <c r="L109" i="8"/>
  <c r="BW109" i="8"/>
  <c r="CD109" i="8"/>
  <c r="BY109" i="8"/>
  <c r="M109" i="8"/>
  <c r="BD109" i="8"/>
  <c r="BF109" i="8"/>
  <c r="W109" i="8"/>
  <c r="BV109" i="8"/>
  <c r="AH109" i="8"/>
  <c r="CW109" i="8"/>
  <c r="BQ109" i="8"/>
  <c r="AK109" i="8"/>
  <c r="E109" i="8"/>
  <c r="CB109" i="8"/>
  <c r="AV109" i="8"/>
  <c r="P109" i="8"/>
  <c r="CQ109" i="8"/>
  <c r="BK109" i="8"/>
  <c r="AE109" i="8"/>
  <c r="BR109" i="8"/>
  <c r="N109" i="8"/>
  <c r="CC109" i="8"/>
  <c r="AW109" i="8"/>
  <c r="CT109" i="8"/>
  <c r="BH109" i="8"/>
  <c r="CH109" i="8"/>
  <c r="AA109" i="8"/>
  <c r="BJ109" i="8"/>
  <c r="J109" i="8"/>
  <c r="AC109" i="8"/>
  <c r="BT109" i="8"/>
  <c r="H109" i="8"/>
  <c r="AM109" i="8"/>
  <c r="CL109" i="8"/>
  <c r="C109" i="8"/>
  <c r="BB109" i="8"/>
  <c r="CK109" i="8"/>
  <c r="Y109" i="8"/>
  <c r="BP109" i="8"/>
  <c r="D109" i="8"/>
  <c r="AY109" i="8"/>
  <c r="Q109" i="8"/>
  <c r="CM109" i="8"/>
  <c r="Z109" i="8"/>
  <c r="CJ109" i="8"/>
  <c r="BC109" i="8"/>
  <c r="AX109" i="8"/>
  <c r="CG109" i="8"/>
  <c r="U109" i="8"/>
  <c r="BL109" i="8"/>
  <c r="CX109" i="8"/>
  <c r="AU109" i="8"/>
  <c r="AD109" i="8"/>
  <c r="CN109" i="8"/>
  <c r="AP109" i="8"/>
  <c r="CI109" i="8"/>
  <c r="AG109" i="8"/>
  <c r="K109" i="8"/>
  <c r="AN109" i="8"/>
  <c r="BS109" i="8"/>
  <c r="V109" i="8"/>
  <c r="BE109" i="8"/>
  <c r="CV109" i="8"/>
  <c r="AJ109" i="8"/>
  <c r="CE109" i="8"/>
  <c r="S109" i="8"/>
  <c r="AR109" i="8"/>
  <c r="AQ109" i="8"/>
  <c r="AS109" i="8"/>
  <c r="X109" i="8"/>
  <c r="CP109" i="8"/>
  <c r="R109" i="8"/>
  <c r="BA109" i="8"/>
  <c r="CR109" i="8"/>
  <c r="AF109" i="8"/>
  <c r="CA109" i="8"/>
  <c r="O109" i="8"/>
  <c r="BM109" i="8"/>
  <c r="BG109" i="8"/>
  <c r="BN109" i="8"/>
  <c r="CO109" i="8"/>
  <c r="CS109" i="8"/>
  <c r="AB109" i="8"/>
  <c r="BI109" i="8"/>
  <c r="G109" i="8"/>
  <c r="BD104" i="7" l="1"/>
  <c r="BC123" i="7"/>
  <c r="BC125" i="7" s="1"/>
  <c r="BE104" i="7" l="1"/>
  <c r="BD123" i="7"/>
  <c r="BD125" i="7" s="1"/>
  <c r="BF104" i="7" l="1"/>
  <c r="BE123" i="7"/>
  <c r="BE125" i="7" s="1"/>
  <c r="BG104" i="7" l="1"/>
  <c r="BF123" i="7"/>
  <c r="BF125" i="7" s="1"/>
  <c r="BH104" i="7" l="1"/>
  <c r="BG123" i="7"/>
  <c r="BG125" i="7" s="1"/>
  <c r="BI104" i="7" l="1"/>
  <c r="BH123" i="7"/>
  <c r="BH125" i="7" s="1"/>
  <c r="BJ104" i="7" l="1"/>
  <c r="BI123" i="7"/>
  <c r="BI125" i="7" s="1"/>
  <c r="BK104" i="7" l="1"/>
  <c r="BJ123" i="7"/>
  <c r="BJ125" i="7" s="1"/>
  <c r="BL104" i="7" l="1"/>
  <c r="BK123" i="7"/>
  <c r="BK125" i="7" s="1"/>
  <c r="BM104" i="7" l="1"/>
  <c r="BL123" i="7"/>
  <c r="BL125" i="7" s="1"/>
  <c r="BN104" i="7" l="1"/>
  <c r="BM123" i="7"/>
  <c r="BM125" i="7" s="1"/>
  <c r="BO104" i="7" l="1"/>
  <c r="BN123" i="7"/>
  <c r="BN125" i="7" s="1"/>
  <c r="BP104" i="7" l="1"/>
  <c r="BO123" i="7"/>
  <c r="BO125" i="7" s="1"/>
  <c r="BQ104" i="7" l="1"/>
  <c r="BP123" i="7"/>
  <c r="BP125" i="7" s="1"/>
  <c r="BR104" i="7" l="1"/>
  <c r="BQ123" i="7"/>
  <c r="BQ125" i="7" s="1"/>
  <c r="BS104" i="7" l="1"/>
  <c r="BR123" i="7"/>
  <c r="BR125" i="7" s="1"/>
  <c r="BT104" i="7" l="1"/>
  <c r="BS123" i="7"/>
  <c r="BS125" i="7" s="1"/>
  <c r="BU104" i="7" l="1"/>
  <c r="BT123" i="7"/>
  <c r="BT125" i="7" s="1"/>
  <c r="BV104" i="7" l="1"/>
  <c r="BU123" i="7"/>
  <c r="BU125" i="7" s="1"/>
  <c r="BW104" i="7" l="1"/>
  <c r="BV123" i="7"/>
  <c r="BV125" i="7" s="1"/>
  <c r="BX104" i="7" l="1"/>
  <c r="BW123" i="7"/>
  <c r="BW125" i="7" s="1"/>
  <c r="BY104" i="7" l="1"/>
  <c r="BX123" i="7"/>
  <c r="BX125" i="7" s="1"/>
  <c r="BZ104" i="7" l="1"/>
  <c r="BY123" i="7"/>
  <c r="BY125" i="7" s="1"/>
  <c r="CA104" i="7" l="1"/>
  <c r="BZ123" i="7"/>
  <c r="BZ125" i="7" s="1"/>
  <c r="CB104" i="7" l="1"/>
  <c r="CA123" i="7"/>
  <c r="CA125" i="7" s="1"/>
  <c r="CC104" i="7" l="1"/>
  <c r="CB123" i="7"/>
  <c r="CB125" i="7" s="1"/>
  <c r="CD104" i="7" l="1"/>
  <c r="CC123" i="7"/>
  <c r="CC125" i="7" s="1"/>
  <c r="CE104" i="7" l="1"/>
  <c r="CD123" i="7"/>
  <c r="CD125" i="7" s="1"/>
  <c r="CF104" i="7" l="1"/>
  <c r="CE123" i="7"/>
  <c r="CE125" i="7" s="1"/>
  <c r="CG104" i="7" l="1"/>
  <c r="CF123" i="7"/>
  <c r="CF125" i="7" s="1"/>
  <c r="CH104" i="7" l="1"/>
  <c r="CG123" i="7"/>
  <c r="CG125" i="7" s="1"/>
  <c r="CI104" i="7" l="1"/>
  <c r="CH123" i="7"/>
  <c r="CH125" i="7" s="1"/>
  <c r="CJ104" i="7" l="1"/>
  <c r="CI123" i="7"/>
  <c r="CI125" i="7" s="1"/>
  <c r="CK104" i="7" l="1"/>
  <c r="CJ123" i="7"/>
  <c r="CJ125" i="7" s="1"/>
  <c r="CL104" i="7" l="1"/>
  <c r="CK123" i="7"/>
  <c r="CK125" i="7" s="1"/>
  <c r="CM104" i="7" l="1"/>
  <c r="CL123" i="7"/>
  <c r="CL125" i="7" s="1"/>
  <c r="CN104" i="7" l="1"/>
  <c r="CM123" i="7"/>
  <c r="CM125" i="7" s="1"/>
  <c r="CO104" i="7" l="1"/>
  <c r="CN123" i="7"/>
  <c r="CN125" i="7" s="1"/>
  <c r="CP104" i="7" l="1"/>
  <c r="CO123" i="7"/>
  <c r="CO125" i="7" s="1"/>
  <c r="CQ104" i="7" l="1"/>
  <c r="CP123" i="7"/>
  <c r="CP125" i="7" s="1"/>
  <c r="CR104" i="7" l="1"/>
  <c r="CQ123" i="7"/>
  <c r="CQ125" i="7" s="1"/>
  <c r="CS104" i="7" l="1"/>
  <c r="CR123" i="7"/>
  <c r="CR125" i="7" s="1"/>
  <c r="CT104" i="7" l="1"/>
  <c r="CS123" i="7"/>
  <c r="CS125" i="7" s="1"/>
  <c r="CU104" i="7" l="1"/>
  <c r="CT123" i="7"/>
  <c r="CT125" i="7" s="1"/>
  <c r="CV104" i="7" l="1"/>
  <c r="CU123" i="7"/>
  <c r="CU125" i="7" s="1"/>
  <c r="CW104" i="7" l="1"/>
  <c r="CV123" i="7"/>
  <c r="CV125" i="7" s="1"/>
  <c r="CX104" i="7" l="1"/>
  <c r="CX123" i="7" s="1"/>
  <c r="CX125" i="7" s="1"/>
  <c r="CW123" i="7"/>
  <c r="CW125" i="7" s="1"/>
  <c r="J41" i="8" l="1"/>
  <c r="I41" i="8" l="1"/>
  <c r="F41" i="8"/>
  <c r="Y41" i="8"/>
  <c r="P41" i="8"/>
  <c r="K41" i="8"/>
  <c r="R41" i="8"/>
  <c r="AA41" i="8"/>
  <c r="Q41" i="8"/>
  <c r="G41" i="8"/>
  <c r="E41" i="8"/>
  <c r="S41" i="8"/>
  <c r="X41" i="8"/>
  <c r="W41" i="8"/>
  <c r="L41" i="8"/>
  <c r="T41" i="8"/>
  <c r="U41" i="8"/>
  <c r="D41" i="8"/>
  <c r="Z41" i="8"/>
  <c r="M41" i="8"/>
  <c r="N41" i="8"/>
  <c r="H41" i="8"/>
  <c r="V41" i="8"/>
  <c r="O41" i="8"/>
  <c r="K48" i="8"/>
  <c r="K61" i="8"/>
  <c r="F48" i="8"/>
  <c r="F61" i="8"/>
  <c r="P48" i="8"/>
  <c r="P61" i="8"/>
  <c r="AA48" i="8"/>
  <c r="AA61" i="8"/>
  <c r="Q48" i="8"/>
  <c r="Q61" i="8"/>
  <c r="G48" i="8"/>
  <c r="G61" i="8"/>
  <c r="E48" i="8"/>
  <c r="E61" i="8"/>
  <c r="S48" i="8"/>
  <c r="S61" i="8"/>
  <c r="X48" i="8"/>
  <c r="X61" i="8"/>
  <c r="Y48" i="8"/>
  <c r="Y61" i="8"/>
  <c r="W48" i="8"/>
  <c r="W61" i="8"/>
  <c r="T48" i="8"/>
  <c r="T61" i="8"/>
  <c r="U48" i="8"/>
  <c r="U61" i="8"/>
  <c r="C48" i="8"/>
  <c r="D48" i="8"/>
  <c r="D61" i="8"/>
  <c r="Z48" i="8"/>
  <c r="Z61" i="8"/>
  <c r="I48" i="8"/>
  <c r="I61" i="8"/>
  <c r="R48" i="8"/>
  <c r="R61" i="8"/>
  <c r="L48" i="8"/>
  <c r="L61" i="8"/>
  <c r="M48" i="8"/>
  <c r="M61" i="8"/>
  <c r="N48" i="8"/>
  <c r="N61" i="8"/>
  <c r="H48" i="8"/>
  <c r="H61" i="8"/>
  <c r="V48" i="8"/>
  <c r="V61" i="8"/>
  <c r="O48" i="8"/>
  <c r="O61" i="8"/>
  <c r="J48" i="8"/>
  <c r="J61" i="8"/>
  <c r="J118" i="8" l="1"/>
  <c r="J103" i="8"/>
  <c r="J107" i="8" s="1"/>
  <c r="J108" i="8" s="1"/>
  <c r="J110" i="8" s="1"/>
  <c r="J122" i="8" s="1"/>
  <c r="J123" i="8" s="1"/>
  <c r="J124" i="8" s="1"/>
  <c r="J126" i="8" s="1"/>
  <c r="J132" i="8" s="1"/>
  <c r="N118" i="8"/>
  <c r="N103" i="8"/>
  <c r="N107" i="8" s="1"/>
  <c r="N108" i="8" s="1"/>
  <c r="N110" i="8" s="1"/>
  <c r="N122" i="8" s="1"/>
  <c r="N123" i="8" s="1"/>
  <c r="N124" i="8" s="1"/>
  <c r="N126" i="8" s="1"/>
  <c r="N132" i="8" s="1"/>
  <c r="I118" i="8"/>
  <c r="I103" i="8"/>
  <c r="I107" i="8" s="1"/>
  <c r="I108" i="8" s="1"/>
  <c r="I110" i="8" s="1"/>
  <c r="I122" i="8" s="1"/>
  <c r="I123" i="8" s="1"/>
  <c r="I124" i="8" s="1"/>
  <c r="I126" i="8" s="1"/>
  <c r="I132" i="8" s="1"/>
  <c r="U118" i="8"/>
  <c r="U103" i="8"/>
  <c r="U107" i="8" s="1"/>
  <c r="U108" i="8" s="1"/>
  <c r="U110" i="8" s="1"/>
  <c r="U122" i="8" s="1"/>
  <c r="U123" i="8" s="1"/>
  <c r="U124" i="8" s="1"/>
  <c r="U126" i="8" s="1"/>
  <c r="U132" i="8" s="1"/>
  <c r="O118" i="8"/>
  <c r="O103" i="8"/>
  <c r="O107" i="8" s="1"/>
  <c r="O108" i="8" s="1"/>
  <c r="O110" i="8" s="1"/>
  <c r="O122" i="8" s="1"/>
  <c r="M118" i="8"/>
  <c r="M103" i="8"/>
  <c r="M107" i="8" s="1"/>
  <c r="M108" i="8" s="1"/>
  <c r="M110" i="8" s="1"/>
  <c r="M122" i="8" s="1"/>
  <c r="R118" i="8"/>
  <c r="R103" i="8"/>
  <c r="R107" i="8" s="1"/>
  <c r="R108" i="8" s="1"/>
  <c r="R110" i="8" s="1"/>
  <c r="R122" i="8" s="1"/>
  <c r="Z118" i="8"/>
  <c r="Z103" i="8"/>
  <c r="Z107" i="8" s="1"/>
  <c r="Z108" i="8" s="1"/>
  <c r="Z110" i="8" s="1"/>
  <c r="Z122" i="8" s="1"/>
  <c r="C118" i="8"/>
  <c r="C103" i="8"/>
  <c r="C107" i="8" s="1"/>
  <c r="C108" i="8" s="1"/>
  <c r="Y118" i="8"/>
  <c r="Y103" i="8"/>
  <c r="Y107" i="8" s="1"/>
  <c r="Y108" i="8" s="1"/>
  <c r="Y110" i="8" s="1"/>
  <c r="Y122" i="8" s="1"/>
  <c r="G118" i="8"/>
  <c r="G103" i="8"/>
  <c r="G107" i="8" s="1"/>
  <c r="G108" i="8" s="1"/>
  <c r="G110" i="8" s="1"/>
  <c r="G122" i="8" s="1"/>
  <c r="F118" i="8"/>
  <c r="F103" i="8"/>
  <c r="F107" i="8" s="1"/>
  <c r="F108" i="8" s="1"/>
  <c r="F110" i="8" s="1"/>
  <c r="F122" i="8" s="1"/>
  <c r="V118" i="8"/>
  <c r="V103" i="8"/>
  <c r="V107" i="8" s="1"/>
  <c r="V108" i="8" s="1"/>
  <c r="V110" i="8" s="1"/>
  <c r="V122" i="8" s="1"/>
  <c r="V123" i="8" s="1"/>
  <c r="V124" i="8" s="1"/>
  <c r="V126" i="8" s="1"/>
  <c r="V132" i="8" s="1"/>
  <c r="L118" i="8"/>
  <c r="L103" i="8"/>
  <c r="L107" i="8" s="1"/>
  <c r="L108" i="8" s="1"/>
  <c r="L110" i="8" s="1"/>
  <c r="L122" i="8" s="1"/>
  <c r="D118" i="8"/>
  <c r="D103" i="8"/>
  <c r="D107" i="8" s="1"/>
  <c r="D108" i="8" s="1"/>
  <c r="D110" i="8" s="1"/>
  <c r="D122" i="8" s="1"/>
  <c r="W103" i="8"/>
  <c r="W107" i="8" s="1"/>
  <c r="W108" i="8" s="1"/>
  <c r="W110" i="8" s="1"/>
  <c r="W122" i="8" s="1"/>
  <c r="W118" i="8"/>
  <c r="H118" i="8"/>
  <c r="H103" i="8"/>
  <c r="H107" i="8" s="1"/>
  <c r="H108" i="8" s="1"/>
  <c r="H110" i="8" s="1"/>
  <c r="H122" i="8" s="1"/>
  <c r="H123" i="8" s="1"/>
  <c r="H124" i="8" s="1"/>
  <c r="H126" i="8" s="1"/>
  <c r="H132" i="8" s="1"/>
  <c r="T103" i="8"/>
  <c r="T107" i="8" s="1"/>
  <c r="T108" i="8" s="1"/>
  <c r="T110" i="8" s="1"/>
  <c r="T122" i="8" s="1"/>
  <c r="T118" i="8"/>
  <c r="S118" i="8"/>
  <c r="S103" i="8"/>
  <c r="S107" i="8" s="1"/>
  <c r="S108" i="8" s="1"/>
  <c r="S110" i="8" s="1"/>
  <c r="S122" i="8" s="1"/>
  <c r="S123" i="8" s="1"/>
  <c r="S124" i="8" s="1"/>
  <c r="S126" i="8" s="1"/>
  <c r="S132" i="8" s="1"/>
  <c r="AA118" i="8"/>
  <c r="AA103" i="8"/>
  <c r="AA107" i="8" s="1"/>
  <c r="AA108" i="8" s="1"/>
  <c r="AA110" i="8" s="1"/>
  <c r="AA122" i="8" s="1"/>
  <c r="X118" i="8"/>
  <c r="X103" i="8"/>
  <c r="X107" i="8" s="1"/>
  <c r="X108" i="8" s="1"/>
  <c r="X110" i="8" s="1"/>
  <c r="X122" i="8" s="1"/>
  <c r="X123" i="8" s="1"/>
  <c r="X124" i="8" s="1"/>
  <c r="X126" i="8" s="1"/>
  <c r="X132" i="8" s="1"/>
  <c r="E118" i="8"/>
  <c r="E103" i="8"/>
  <c r="E107" i="8" s="1"/>
  <c r="E108" i="8" s="1"/>
  <c r="E110" i="8" s="1"/>
  <c r="E122" i="8" s="1"/>
  <c r="Q118" i="8"/>
  <c r="Q103" i="8"/>
  <c r="Q107" i="8" s="1"/>
  <c r="Q108" i="8" s="1"/>
  <c r="Q110" i="8" s="1"/>
  <c r="Q122" i="8" s="1"/>
  <c r="Q123" i="8" s="1"/>
  <c r="Q124" i="8" s="1"/>
  <c r="Q126" i="8" s="1"/>
  <c r="Q132" i="8" s="1"/>
  <c r="P118" i="8"/>
  <c r="P103" i="8"/>
  <c r="P107" i="8" s="1"/>
  <c r="P108" i="8" s="1"/>
  <c r="P110" i="8" s="1"/>
  <c r="P122" i="8" s="1"/>
  <c r="K118" i="8"/>
  <c r="K103" i="8"/>
  <c r="K107" i="8" s="1"/>
  <c r="K108" i="8" s="1"/>
  <c r="K110" i="8" s="1"/>
  <c r="K122" i="8" s="1"/>
  <c r="K123" i="8" s="1"/>
  <c r="K124" i="8" s="1"/>
  <c r="K126" i="8" s="1"/>
  <c r="K132" i="8" s="1"/>
  <c r="T123" i="8" l="1"/>
  <c r="T124" i="8" s="1"/>
  <c r="T126" i="8" s="1"/>
  <c r="T132" i="8" s="1"/>
  <c r="T134" i="8" s="1"/>
  <c r="W123" i="8"/>
  <c r="W124" i="8" s="1"/>
  <c r="W126" i="8" s="1"/>
  <c r="W132" i="8" s="1"/>
  <c r="T145" i="8"/>
  <c r="N134" i="8"/>
  <c r="N145" i="8"/>
  <c r="X134" i="8"/>
  <c r="X145" i="8"/>
  <c r="H134" i="8"/>
  <c r="H145" i="8"/>
  <c r="V134" i="8"/>
  <c r="V145" i="8"/>
  <c r="G123" i="8"/>
  <c r="G124" i="8" s="1"/>
  <c r="G126" i="8" s="1"/>
  <c r="G132" i="8" s="1"/>
  <c r="C113" i="8"/>
  <c r="C110" i="8"/>
  <c r="R123" i="8"/>
  <c r="R124" i="8" s="1"/>
  <c r="R126" i="8" s="1"/>
  <c r="R132" i="8" s="1"/>
  <c r="O123" i="8"/>
  <c r="O124" i="8" s="1"/>
  <c r="O126" i="8" s="1"/>
  <c r="O132" i="8" s="1"/>
  <c r="U134" i="8"/>
  <c r="U145" i="8"/>
  <c r="Q134" i="8"/>
  <c r="Q145" i="8"/>
  <c r="S134" i="8"/>
  <c r="S145" i="8"/>
  <c r="D123" i="8"/>
  <c r="D124" i="8" s="1"/>
  <c r="I134" i="8"/>
  <c r="I145" i="8"/>
  <c r="J134" i="8"/>
  <c r="J145" i="8"/>
  <c r="W134" i="8"/>
  <c r="W145" i="8"/>
  <c r="K134" i="8"/>
  <c r="K145" i="8"/>
  <c r="P123" i="8"/>
  <c r="P124" i="8" s="1"/>
  <c r="P126" i="8" s="1"/>
  <c r="P132" i="8" s="1"/>
  <c r="E123" i="8"/>
  <c r="E124" i="8" s="1"/>
  <c r="E126" i="8" s="1"/>
  <c r="E132" i="8" s="1"/>
  <c r="AA123" i="8"/>
  <c r="AA124" i="8" s="1"/>
  <c r="AA126" i="8" s="1"/>
  <c r="AA132" i="8" s="1"/>
  <c r="L123" i="8"/>
  <c r="L124" i="8" s="1"/>
  <c r="L126" i="8" s="1"/>
  <c r="L132" i="8" s="1"/>
  <c r="F123" i="8"/>
  <c r="F124" i="8" s="1"/>
  <c r="F126" i="8" s="1"/>
  <c r="F132" i="8" s="1"/>
  <c r="Y123" i="8"/>
  <c r="Y124" i="8" s="1"/>
  <c r="Y126" i="8" s="1"/>
  <c r="Y132" i="8" s="1"/>
  <c r="Z123" i="8"/>
  <c r="Z124" i="8" s="1"/>
  <c r="Z126" i="8" s="1"/>
  <c r="Z132" i="8" s="1"/>
  <c r="M123" i="8"/>
  <c r="M124" i="8" s="1"/>
  <c r="M126" i="8" s="1"/>
  <c r="M132" i="8" s="1"/>
  <c r="Y134" i="8" l="1"/>
  <c r="Y145" i="8"/>
  <c r="F134" i="8"/>
  <c r="F145" i="8"/>
  <c r="O134" i="8"/>
  <c r="O145" i="8"/>
  <c r="M134" i="8"/>
  <c r="M145" i="8"/>
  <c r="L134" i="8"/>
  <c r="L145" i="8"/>
  <c r="D126" i="8"/>
  <c r="D132" i="8" s="1"/>
  <c r="R134" i="8"/>
  <c r="R145" i="8"/>
  <c r="E134" i="8"/>
  <c r="E145" i="8"/>
  <c r="C122" i="8"/>
  <c r="C123" i="8" s="1"/>
  <c r="C124" i="8" s="1"/>
  <c r="C126" i="8" s="1"/>
  <c r="C129" i="8" s="1"/>
  <c r="P134" i="8"/>
  <c r="P145" i="8"/>
  <c r="G134" i="8"/>
  <c r="G145" i="8"/>
  <c r="Z134" i="8"/>
  <c r="Z145" i="8"/>
  <c r="AA145" i="8"/>
  <c r="AA134" i="8"/>
  <c r="D134" i="8" l="1"/>
  <c r="D145" i="8"/>
  <c r="C134" i="8"/>
  <c r="C145" i="8"/>
  <c r="C146" i="8" s="1"/>
  <c r="C147" i="8" s="1"/>
  <c r="E7" i="7"/>
  <c r="E8" i="7"/>
  <c r="D146" i="8" l="1"/>
  <c r="C140" i="8"/>
  <c r="C141" i="8" s="1"/>
  <c r="E9" i="7"/>
  <c r="D147" i="8" l="1"/>
  <c r="E146" i="8"/>
  <c r="D140" i="8"/>
  <c r="D141" i="8" l="1"/>
  <c r="E140" i="8"/>
  <c r="E147" i="8"/>
  <c r="F146" i="8"/>
  <c r="F147" i="8" l="1"/>
  <c r="G146" i="8"/>
  <c r="E141" i="8"/>
  <c r="F140" i="8"/>
  <c r="F141" i="8" l="1"/>
  <c r="G140" i="8"/>
  <c r="G147" i="8"/>
  <c r="H146" i="8"/>
  <c r="H147" i="8" l="1"/>
  <c r="I146" i="8"/>
  <c r="G141" i="8"/>
  <c r="H140" i="8"/>
  <c r="H141" i="8" l="1"/>
  <c r="I140" i="8"/>
  <c r="I147" i="8"/>
  <c r="J146" i="8"/>
  <c r="J147" i="8" l="1"/>
  <c r="K146" i="8"/>
  <c r="I141" i="8"/>
  <c r="J140" i="8"/>
  <c r="J141" i="8" l="1"/>
  <c r="K140" i="8"/>
  <c r="K147" i="8"/>
  <c r="L146" i="8"/>
  <c r="L147" i="8" l="1"/>
  <c r="M146" i="8"/>
  <c r="K141" i="8"/>
  <c r="L140" i="8"/>
  <c r="L141" i="8" l="1"/>
  <c r="M140" i="8"/>
  <c r="M147" i="8"/>
  <c r="N146" i="8"/>
  <c r="N147" i="8" l="1"/>
  <c r="O146" i="8"/>
  <c r="M141" i="8"/>
  <c r="N140" i="8"/>
  <c r="N141" i="8" l="1"/>
  <c r="O140" i="8"/>
  <c r="O147" i="8"/>
  <c r="P146" i="8"/>
  <c r="P147" i="8" l="1"/>
  <c r="Q146" i="8"/>
  <c r="O141" i="8"/>
  <c r="P140" i="8"/>
  <c r="P141" i="8" l="1"/>
  <c r="Q140" i="8"/>
  <c r="Q147" i="8"/>
  <c r="R146" i="8"/>
  <c r="R147" i="8" l="1"/>
  <c r="S146" i="8"/>
  <c r="Q141" i="8"/>
  <c r="R140" i="8"/>
  <c r="R141" i="8" l="1"/>
  <c r="S140" i="8"/>
  <c r="S147" i="8"/>
  <c r="T146" i="8"/>
  <c r="T147" i="8" l="1"/>
  <c r="U146" i="8"/>
  <c r="S141" i="8"/>
  <c r="T140" i="8"/>
  <c r="T141" i="8" l="1"/>
  <c r="U140" i="8"/>
  <c r="U147" i="8"/>
  <c r="V146" i="8"/>
  <c r="V147" i="8" l="1"/>
  <c r="W146" i="8"/>
  <c r="U141" i="8"/>
  <c r="V140" i="8"/>
  <c r="V141" i="8" l="1"/>
  <c r="W140" i="8"/>
  <c r="W147" i="8"/>
  <c r="X146" i="8"/>
  <c r="X147" i="8" l="1"/>
  <c r="Y146" i="8"/>
  <c r="W141" i="8"/>
  <c r="X140" i="8"/>
  <c r="X141" i="8" l="1"/>
  <c r="Y140" i="8"/>
  <c r="Y147" i="8"/>
  <c r="Z146" i="8"/>
  <c r="Y141" i="8" l="1"/>
  <c r="Z140" i="8"/>
  <c r="Z147" i="8"/>
  <c r="AA146" i="8"/>
  <c r="AA147" i="8" s="1"/>
  <c r="C148" i="8" s="1"/>
  <c r="E11" i="7" s="1"/>
  <c r="Z141" i="8" l="1"/>
  <c r="AA140" i="8"/>
  <c r="AA141" i="8" s="1"/>
  <c r="C142" i="8" s="1"/>
  <c r="E10" i="7" s="1"/>
  <c r="J218" i="8" l="1"/>
  <c r="J225" i="8" s="1"/>
  <c r="H225" i="8"/>
  <c r="L218" i="8"/>
  <c r="N161" i="8" s="1"/>
  <c r="O161" i="8" l="1"/>
  <c r="N168" i="8"/>
  <c r="L225" i="8"/>
  <c r="N218" i="8"/>
  <c r="O218" i="8" l="1"/>
  <c r="N225" i="8"/>
  <c r="Q161" i="8"/>
  <c r="O168" i="8"/>
  <c r="AL204" i="8" l="1"/>
  <c r="AL212" i="8" s="1"/>
  <c r="D204" i="8"/>
  <c r="D212" i="8" s="1"/>
  <c r="P204" i="8"/>
  <c r="P212" i="8" s="1"/>
  <c r="J204" i="8"/>
  <c r="J212" i="8" s="1"/>
  <c r="L204" i="8"/>
  <c r="L212" i="8" s="1"/>
  <c r="T204" i="8"/>
  <c r="T212" i="8" s="1"/>
  <c r="AM204" i="8"/>
  <c r="AM212" i="8" s="1"/>
  <c r="C204" i="8"/>
  <c r="M204" i="8"/>
  <c r="M212" i="8" s="1"/>
  <c r="S204" i="8"/>
  <c r="S212" i="8" s="1"/>
  <c r="AI204" i="8"/>
  <c r="AI212" i="8" s="1"/>
  <c r="H204" i="8"/>
  <c r="H212" i="8" s="1"/>
  <c r="AJ204" i="8"/>
  <c r="AJ212" i="8" s="1"/>
  <c r="F204" i="8"/>
  <c r="F212" i="8" s="1"/>
  <c r="AF204" i="8"/>
  <c r="AF212" i="8" s="1"/>
  <c r="AD204" i="8"/>
  <c r="AD212" i="8" s="1"/>
  <c r="O204" i="8"/>
  <c r="O212" i="8" s="1"/>
  <c r="U204" i="8"/>
  <c r="U212" i="8" s="1"/>
  <c r="E204" i="8"/>
  <c r="E212" i="8" s="1"/>
  <c r="Y204" i="8"/>
  <c r="Y212" i="8" s="1"/>
  <c r="AG204" i="8"/>
  <c r="AG212" i="8" s="1"/>
  <c r="Q168" i="8"/>
  <c r="AE204" i="8"/>
  <c r="AE212" i="8" s="1"/>
  <c r="G204" i="8"/>
  <c r="G212" i="8" s="1"/>
  <c r="AO204" i="8"/>
  <c r="AO212" i="8" s="1"/>
  <c r="AK204" i="8"/>
  <c r="AK212" i="8" s="1"/>
  <c r="AC204" i="8"/>
  <c r="AC212" i="8" s="1"/>
  <c r="I204" i="8"/>
  <c r="I212" i="8" s="1"/>
  <c r="Z204" i="8"/>
  <c r="Z212" i="8" s="1"/>
  <c r="X204" i="8"/>
  <c r="X212" i="8" s="1"/>
  <c r="AP204" i="8"/>
  <c r="AP212" i="8" s="1"/>
  <c r="AN204" i="8"/>
  <c r="AN212" i="8" s="1"/>
  <c r="AA204" i="8"/>
  <c r="AA212" i="8" s="1"/>
  <c r="V204" i="8"/>
  <c r="V212" i="8" s="1"/>
  <c r="K204" i="8"/>
  <c r="K212" i="8" s="1"/>
  <c r="AH204" i="8"/>
  <c r="AH212" i="8" s="1"/>
  <c r="Q204" i="8"/>
  <c r="Q212" i="8" s="1"/>
  <c r="N204" i="8"/>
  <c r="N212" i="8" s="1"/>
  <c r="R204" i="8"/>
  <c r="R212" i="8" s="1"/>
  <c r="W204" i="8"/>
  <c r="W212" i="8" s="1"/>
  <c r="AB204" i="8"/>
  <c r="AB212" i="8" s="1"/>
  <c r="Q218" i="8"/>
  <c r="O225" i="8"/>
  <c r="Q225" i="8" l="1"/>
  <c r="Q261" i="8"/>
  <c r="Q269" i="8" s="1"/>
  <c r="AK261" i="8"/>
  <c r="AK269" i="8" s="1"/>
  <c r="AL261" i="8"/>
  <c r="AL269" i="8" s="1"/>
  <c r="T261" i="8"/>
  <c r="T269" i="8" s="1"/>
  <c r="AN261" i="8"/>
  <c r="AN269" i="8" s="1"/>
  <c r="G261" i="8"/>
  <c r="G269" i="8" s="1"/>
  <c r="I261" i="8"/>
  <c r="I269" i="8" s="1"/>
  <c r="K261" i="8"/>
  <c r="K269" i="8" s="1"/>
  <c r="R261" i="8"/>
  <c r="R269" i="8" s="1"/>
  <c r="U261" i="8"/>
  <c r="U269" i="8" s="1"/>
  <c r="AA261" i="8"/>
  <c r="AA269" i="8" s="1"/>
  <c r="AB261" i="8"/>
  <c r="AB269" i="8" s="1"/>
  <c r="AC261" i="8"/>
  <c r="AC269" i="8" s="1"/>
  <c r="J261" i="8"/>
  <c r="J269" i="8" s="1"/>
  <c r="AE261" i="8"/>
  <c r="AE269" i="8" s="1"/>
  <c r="S261" i="8"/>
  <c r="S269" i="8" s="1"/>
  <c r="AM261" i="8"/>
  <c r="AM269" i="8" s="1"/>
  <c r="AO261" i="8"/>
  <c r="AO269" i="8" s="1"/>
  <c r="V261" i="8"/>
  <c r="V269" i="8" s="1"/>
  <c r="AP261" i="8"/>
  <c r="AP269" i="8" s="1"/>
  <c r="W261" i="8"/>
  <c r="W269" i="8" s="1"/>
  <c r="C261" i="8"/>
  <c r="D261" i="8"/>
  <c r="D269" i="8" s="1"/>
  <c r="X261" i="8"/>
  <c r="X269" i="8" s="1"/>
  <c r="E261" i="8"/>
  <c r="E269" i="8" s="1"/>
  <c r="Y261" i="8"/>
  <c r="Y269" i="8" s="1"/>
  <c r="F261" i="8"/>
  <c r="F269" i="8" s="1"/>
  <c r="Z261" i="8"/>
  <c r="Z269" i="8" s="1"/>
  <c r="H261" i="8"/>
  <c r="H269" i="8" s="1"/>
  <c r="AD261" i="8"/>
  <c r="AD269" i="8" s="1"/>
  <c r="L261" i="8"/>
  <c r="L269" i="8" s="1"/>
  <c r="M261" i="8"/>
  <c r="M269" i="8" s="1"/>
  <c r="N261" i="8"/>
  <c r="N269" i="8" s="1"/>
  <c r="P261" i="8"/>
  <c r="P269" i="8" s="1"/>
  <c r="AG261" i="8"/>
  <c r="AG269" i="8" s="1"/>
  <c r="AI261" i="8"/>
  <c r="AI269" i="8" s="1"/>
  <c r="AJ261" i="8"/>
  <c r="AJ269" i="8" s="1"/>
  <c r="O261" i="8"/>
  <c r="O269" i="8" s="1"/>
  <c r="AF261" i="8"/>
  <c r="AF269" i="8" s="1"/>
  <c r="AH261" i="8"/>
  <c r="AH269" i="8" s="1"/>
  <c r="B204" i="8" a="1"/>
  <c r="B204" i="8" s="1"/>
  <c r="C212" i="8"/>
  <c r="B212" i="8" s="1" a="1"/>
  <c r="B212" i="8" s="1"/>
  <c r="C269" i="8" l="1"/>
  <c r="B269" i="8" s="1" a="1"/>
  <c r="B269" i="8" s="1"/>
  <c r="B261" i="8" a="1"/>
  <c r="B261"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<sst xmlns="http://schemas.openxmlformats.org/spreadsheetml/2006/main" count="522" uniqueCount="315">
  <si>
    <t>Insurance</t>
  </si>
  <si>
    <t>Amount</t>
  </si>
  <si>
    <t>Federal</t>
  </si>
  <si>
    <t>State</t>
  </si>
  <si>
    <t>%</t>
  </si>
  <si>
    <t>Federal CBI</t>
  </si>
  <si>
    <t>State CBI</t>
  </si>
  <si>
    <t>Utility CBI</t>
  </si>
  <si>
    <t>Other CBI</t>
  </si>
  <si>
    <t>Maximum</t>
  </si>
  <si>
    <t>Fixed O&amp;M ($/kW-yr)</t>
  </si>
  <si>
    <t>Income Taxes</t>
  </si>
  <si>
    <t>Federal IBI</t>
  </si>
  <si>
    <t>State IBI</t>
  </si>
  <si>
    <t>Utility IBI</t>
  </si>
  <si>
    <t>Other IBI</t>
  </si>
  <si>
    <t>Federal PBI</t>
  </si>
  <si>
    <t>State PBI</t>
  </si>
  <si>
    <t>Utility PBI</t>
  </si>
  <si>
    <t>Other PBI</t>
  </si>
  <si>
    <t>Variable O&amp;M ($/MWh)</t>
  </si>
  <si>
    <t>Fixed (Annual) O&amp;M ($/yr)</t>
  </si>
  <si>
    <t>Nameplate capacity (kW)</t>
  </si>
  <si>
    <t>SYSTEM DESIGN</t>
  </si>
  <si>
    <t>SYSTEM COSTS</t>
  </si>
  <si>
    <t>Biomass power</t>
  </si>
  <si>
    <t>TAX AND INSURANCE RATES</t>
  </si>
  <si>
    <t>LOAN PARAMETERS</t>
  </si>
  <si>
    <t>ANALYSIS PARAMETERS</t>
  </si>
  <si>
    <t>KEY</t>
  </si>
  <si>
    <t>Calculated</t>
  </si>
  <si>
    <t>Input from SAM</t>
  </si>
  <si>
    <t>TAX CREDITS</t>
  </si>
  <si>
    <t>SALVAGE VALUE</t>
  </si>
  <si>
    <t>As fixed amount</t>
  </si>
  <si>
    <t>As percentage</t>
  </si>
  <si>
    <t>Federal ($/kWh)</t>
  </si>
  <si>
    <t>State ($/kWh)</t>
  </si>
  <si>
    <t>Federal ($)</t>
  </si>
  <si>
    <t>State ($)</t>
  </si>
  <si>
    <t>DIRECT CASH INCENTIVES</t>
  </si>
  <si>
    <t>Utility ($/kWh)</t>
  </si>
  <si>
    <t>Other ($/kWh)</t>
  </si>
  <si>
    <t>Term (years)</t>
  </si>
  <si>
    <t>Utility ($)</t>
  </si>
  <si>
    <t>Other ($)</t>
  </si>
  <si>
    <t>Federal ($/W)</t>
  </si>
  <si>
    <t>State  ($/W)</t>
  </si>
  <si>
    <t>Utility  ($/W)</t>
  </si>
  <si>
    <t>Other  ($/W)</t>
  </si>
  <si>
    <t>RESULTS</t>
  </si>
  <si>
    <t>Payback period, years</t>
  </si>
  <si>
    <t>Depreciation, Commercial only</t>
  </si>
  <si>
    <t>Operation and Maintenance (O&amp;M)</t>
  </si>
  <si>
    <t>Or from annual schedule</t>
  </si>
  <si>
    <t>Fuel</t>
  </si>
  <si>
    <t>Total operating expenses</t>
  </si>
  <si>
    <t>Residential and Commercial Cash Flow</t>
  </si>
  <si>
    <t>Property tax payments, Residential only</t>
  </si>
  <si>
    <t>Total deductible expenses</t>
  </si>
  <si>
    <t>Total</t>
  </si>
  <si>
    <t>Fixed annual cost in $</t>
  </si>
  <si>
    <t>Capacity cost in $/kW</t>
  </si>
  <si>
    <t>Variable cost in $/MWh</t>
  </si>
  <si>
    <t>Deductions</t>
  </si>
  <si>
    <t>Total taxable income before deductions</t>
  </si>
  <si>
    <t>Total operating expenses, Commercial only</t>
  </si>
  <si>
    <t>Income tax</t>
  </si>
  <si>
    <t>Deductible operating expenses</t>
  </si>
  <si>
    <t>Interest payment, Residential Mortgage and Commercial only</t>
  </si>
  <si>
    <t>Total deductions</t>
  </si>
  <si>
    <t>Investment-based incentives (IBI)</t>
  </si>
  <si>
    <t>Capacity-based incentives (CBI)</t>
  </si>
  <si>
    <t>Performance-based incentives (PBI)</t>
  </si>
  <si>
    <t>Equity</t>
  </si>
  <si>
    <t>Value of electricity savings ($)</t>
  </si>
  <si>
    <t>ANNUAL VALUES</t>
  </si>
  <si>
    <t>State tax savings/liability</t>
  </si>
  <si>
    <t>Federal tax savings/liability</t>
  </si>
  <si>
    <t>After-tax annual costs</t>
  </si>
  <si>
    <t>After-tax cash flow</t>
  </si>
  <si>
    <t>Federal (% of total installed cost)</t>
  </si>
  <si>
    <t>State (% of total installed cost)</t>
  </si>
  <si>
    <t>Utility (% of total installed cost)</t>
  </si>
  <si>
    <t>Other (% of total installed cost)</t>
  </si>
  <si>
    <t>Investment based incentive (IBI)</t>
  </si>
  <si>
    <t>Capacity based incentive (CBI)</t>
  </si>
  <si>
    <t>Amount ($/W)</t>
  </si>
  <si>
    <t>Amount ($)</t>
  </si>
  <si>
    <t>Maximum ($)</t>
  </si>
  <si>
    <t>Production based incentive (PBI)</t>
  </si>
  <si>
    <t>Amount ($/kWh)</t>
  </si>
  <si>
    <t>Escalation (%/year)</t>
  </si>
  <si>
    <t>Investment tax credit (ITC)</t>
  </si>
  <si>
    <t>Production tax credit (PTC)</t>
  </si>
  <si>
    <t>Escalation (%)</t>
  </si>
  <si>
    <t>Incentive is taxable</t>
  </si>
  <si>
    <t>Annual energy (kWh)</t>
  </si>
  <si>
    <t>Escalation rate (%/year)</t>
  </si>
  <si>
    <t>Debt fraction (% of total installed cost)</t>
  </si>
  <si>
    <t>Loan term (years)</t>
  </si>
  <si>
    <t>Loan rate (%/year)</t>
  </si>
  <si>
    <t>Analysis period (years)</t>
  </si>
  <si>
    <t>Inflation rate (%/year)</t>
  </si>
  <si>
    <t>Real discount rate (%/year)</t>
  </si>
  <si>
    <t>Nominal discount rate (%/year)</t>
  </si>
  <si>
    <t>Year 1 net energy (kWh/year)</t>
  </si>
  <si>
    <t>Total Installed Cost ($)</t>
  </si>
  <si>
    <t>Sales tax (% of direct costs)</t>
  </si>
  <si>
    <t>Insurance rate (%/year)</t>
  </si>
  <si>
    <t>Property Tax (%/year)</t>
  </si>
  <si>
    <t>Assessed value ($)</t>
  </si>
  <si>
    <t>Annual decline (%/year)</t>
  </si>
  <si>
    <t>Property tax rate (% of assessed value)</t>
  </si>
  <si>
    <t>Net Salvage Value (% of total installed cost)</t>
  </si>
  <si>
    <t>Salvage value</t>
  </si>
  <si>
    <t>Annual fuel usage (kWh)</t>
  </si>
  <si>
    <t>Fuel cost ($/MMBtu)</t>
  </si>
  <si>
    <t>Annual biomass feedstock usage (dry ton)</t>
  </si>
  <si>
    <t>Coal feedstock cost ($/dry ton)</t>
  </si>
  <si>
    <t>Biomass feedstock cost ($/dry ton)</t>
  </si>
  <si>
    <t>Property assesed value</t>
  </si>
  <si>
    <t>Property tax</t>
  </si>
  <si>
    <t>Coal feedstock, biopower only</t>
  </si>
  <si>
    <t>Biomass feedstock, biopower only</t>
  </si>
  <si>
    <t>Fuel cost, CSP and generic system only</t>
  </si>
  <si>
    <t>State PTC</t>
  </si>
  <si>
    <t>Federal PTC</t>
  </si>
  <si>
    <t>Total installed cost less IBI and CBI</t>
  </si>
  <si>
    <t>Coal feedstock usage (dry ton)</t>
  </si>
  <si>
    <t>CSP, generic system</t>
  </si>
  <si>
    <t>Heat rate, generic only (MMBTU/MWh)</t>
  </si>
  <si>
    <t>Assessed percentage (% of total installed cost)</t>
  </si>
  <si>
    <t>Yes</t>
  </si>
  <si>
    <t>No</t>
  </si>
  <si>
    <t>NPV</t>
  </si>
  <si>
    <t>Debt amount</t>
  </si>
  <si>
    <t>Debt sizing</t>
  </si>
  <si>
    <t>Debt payments</t>
  </si>
  <si>
    <t>Balance</t>
  </si>
  <si>
    <t>Interest</t>
  </si>
  <si>
    <t>Total P&amp;I Payment</t>
  </si>
  <si>
    <t>Principal</t>
  </si>
  <si>
    <t>Pre-tax cash flow</t>
  </si>
  <si>
    <t>Operating Year</t>
  </si>
  <si>
    <t>Savings</t>
  </si>
  <si>
    <t>Production</t>
  </si>
  <si>
    <t>Annual energy (AC kWh)</t>
  </si>
  <si>
    <t>Operating Expenses</t>
  </si>
  <si>
    <t>Tax Deductible Operating Expenses</t>
  </si>
  <si>
    <t>Project Debt</t>
  </si>
  <si>
    <t>Direct Cash Incentives</t>
  </si>
  <si>
    <t>State Income Tax</t>
  </si>
  <si>
    <t>Federal Income Tax</t>
  </si>
  <si>
    <r>
      <t xml:space="preserve">LCOE (nominal), </t>
    </r>
    <r>
      <rPr>
        <sz val="10"/>
        <rFont val="Calibri"/>
        <family val="2"/>
      </rPr>
      <t>¢/kWh</t>
    </r>
  </si>
  <si>
    <r>
      <t xml:space="preserve">LCOE (real) </t>
    </r>
    <r>
      <rPr>
        <sz val="10"/>
        <rFont val="Calibri"/>
        <family val="2"/>
      </rPr>
      <t>¢/kWh</t>
    </r>
  </si>
  <si>
    <t>Payback period</t>
  </si>
  <si>
    <t>Payback fraction</t>
  </si>
  <si>
    <t>Payback Period Calculation</t>
  </si>
  <si>
    <t>Cumulative cash flow</t>
  </si>
  <si>
    <t>Total taxable income less deductions</t>
  </si>
  <si>
    <t>State income tax</t>
  </si>
  <si>
    <t>Cash flow for payback calculation</t>
  </si>
  <si>
    <t>Initial investment</t>
  </si>
  <si>
    <t>After-tax value of energy generated by system</t>
  </si>
  <si>
    <t>Reduces depreciation and ITC basis</t>
  </si>
  <si>
    <t>Residential and Commercial Inputs</t>
  </si>
  <si>
    <t>Federal taxable</t>
  </si>
  <si>
    <t>State taxable</t>
  </si>
  <si>
    <t>Battery replacement cost ($)</t>
  </si>
  <si>
    <t>Battery replacement</t>
  </si>
  <si>
    <t>Battery capacity</t>
  </si>
  <si>
    <t>Battery replacement cost ($/kWh)</t>
  </si>
  <si>
    <t>Battery replacement cost escalation (%/year)</t>
  </si>
  <si>
    <t>Battery replacement option</t>
  </si>
  <si>
    <t>Battery replacements per year</t>
  </si>
  <si>
    <t>Battery replacement cost if required ($)</t>
  </si>
  <si>
    <t>Operation and maintenance costs specified as annual values</t>
  </si>
  <si>
    <t>Fixed rate per capacity ($/kW)</t>
  </si>
  <si>
    <t>Fixed cost  per capacity ($)</t>
  </si>
  <si>
    <t>Variable rate by production ($/MWh)</t>
  </si>
  <si>
    <t>Variable cost by production ($)</t>
  </si>
  <si>
    <t>Fixed cost ($)</t>
  </si>
  <si>
    <t>Income tax rates specified as annual values</t>
  </si>
  <si>
    <t>Federal income tax rate (%/year)</t>
  </si>
  <si>
    <t>State income tax rate (%/year)</t>
  </si>
  <si>
    <t>Income tax rate (%/year)</t>
  </si>
  <si>
    <t>Production Based Incentive (PBI) specified as annual values</t>
  </si>
  <si>
    <t>Utility</t>
  </si>
  <si>
    <t>Other</t>
  </si>
  <si>
    <t>Production Tax Credit (PTC) specified as annual values</t>
  </si>
  <si>
    <t>Cash flow for discounted payback calculation</t>
  </si>
  <si>
    <t>Discounted savings</t>
  </si>
  <si>
    <t>Discounted costs</t>
  </si>
  <si>
    <t>Cumulative discounted cash flow</t>
  </si>
  <si>
    <t>Discounted payback period</t>
  </si>
  <si>
    <t>Discounted payback fraction</t>
  </si>
  <si>
    <t>Discounted payback,yrs</t>
  </si>
  <si>
    <t>Effective tax rate factor</t>
  </si>
  <si>
    <t>5-yr MACRS</t>
  </si>
  <si>
    <t>Federal income tax rate in Year 1(%)</t>
  </si>
  <si>
    <t>State income tax rate in Year 1 (%)</t>
  </si>
  <si>
    <t>Battery replacements</t>
  </si>
  <si>
    <t>Battery replacement at specified schedule</t>
  </si>
  <si>
    <t>Battery replacements as calculated</t>
  </si>
  <si>
    <t>Annual values from SAM</t>
  </si>
  <si>
    <t>Investment Tax Credit (ITC) specified as annual values</t>
  </si>
  <si>
    <t>Federal ITC as fixed amount</t>
  </si>
  <si>
    <t>State ITC as fixed amount</t>
  </si>
  <si>
    <t>Federal ITC  percentage (%)</t>
  </si>
  <si>
    <t>Federal ITC as percentage maximum amount</t>
  </si>
  <si>
    <t>State ITC percentage (%)</t>
  </si>
  <si>
    <t>State ITC as percentage maximum amount</t>
  </si>
  <si>
    <t>Investment Tax Credit (ITC)</t>
  </si>
  <si>
    <t>ITC as fixed amount</t>
  </si>
  <si>
    <t>ITC  percentage (%)</t>
  </si>
  <si>
    <t>ITC as percentage maximum</t>
  </si>
  <si>
    <t>ITC as percentage amount</t>
  </si>
  <si>
    <t>ITC percentage (%)</t>
  </si>
  <si>
    <t>ITC basis</t>
  </si>
  <si>
    <t>State ITC</t>
  </si>
  <si>
    <t>Federal ITC</t>
  </si>
  <si>
    <t>Investment Tax Credit</t>
  </si>
  <si>
    <t>Operating costs specific to battery systems</t>
  </si>
  <si>
    <t>Battery fixed</t>
  </si>
  <si>
    <t>Battery capacity-based</t>
  </si>
  <si>
    <t>Battery variable</t>
  </si>
  <si>
    <t>Operating costs specific to fuel cell systems</t>
  </si>
  <si>
    <t>Fuel cell fixed</t>
  </si>
  <si>
    <t>Fuel cell capacity-based</t>
  </si>
  <si>
    <t>Fuel cell variable</t>
  </si>
  <si>
    <t>Fuel cell replacement</t>
  </si>
  <si>
    <t>Fuel cell fuel</t>
  </si>
  <si>
    <t>Battery operating costs</t>
  </si>
  <si>
    <t>Fixed</t>
  </si>
  <si>
    <t>Variable</t>
  </si>
  <si>
    <t>Fuel cell operating costs</t>
  </si>
  <si>
    <t>Capacity-based</t>
  </si>
  <si>
    <t>Replacement</t>
  </si>
  <si>
    <t>Value of thermal energy savings (fuel cell only) ($)</t>
  </si>
  <si>
    <t>Battery annual energy discharged (kWh)</t>
  </si>
  <si>
    <t>Energy generated without battery or curtailment (kWh)</t>
  </si>
  <si>
    <t>Fuel cell energy</t>
  </si>
  <si>
    <t>Battery energy</t>
  </si>
  <si>
    <t>Fuel cell annual energy discharged (kWh)</t>
  </si>
  <si>
    <t>DEPRECIATION</t>
  </si>
  <si>
    <t>Classes</t>
  </si>
  <si>
    <t>Allocations (%)</t>
  </si>
  <si>
    <t>Federal bonus</t>
  </si>
  <si>
    <t>State bonus</t>
  </si>
  <si>
    <t>Qual. for fed. ITC</t>
  </si>
  <si>
    <t>Qual. for state ITC</t>
  </si>
  <si>
    <t>15-yr MACRS</t>
  </si>
  <si>
    <t>5-yr SL</t>
  </si>
  <si>
    <t>15-yr SL</t>
  </si>
  <si>
    <t>20-yr SL</t>
  </si>
  <si>
    <t>39-yr SL</t>
  </si>
  <si>
    <t>Custom</t>
  </si>
  <si>
    <t>Non-depreciable</t>
  </si>
  <si>
    <t>Depreciation Schedules (Half Year)</t>
  </si>
  <si>
    <t>Year</t>
  </si>
  <si>
    <t>For additional information on depreciation schedules, see IRS publication 946.</t>
  </si>
  <si>
    <t>http://www.irs.gov/pub/irs-pdf/p946.pdf</t>
  </si>
  <si>
    <t>* Note custom schedule is defined on Inputs sheet around Row 180</t>
  </si>
  <si>
    <t>Depreciation</t>
  </si>
  <si>
    <t>Custom allocation (%/year)</t>
  </si>
  <si>
    <t>Basis for State and Federal Depreciation and ITC</t>
  </si>
  <si>
    <t>Total installed cost</t>
  </si>
  <si>
    <t>Other financing cost</t>
  </si>
  <si>
    <t>Construction financing</t>
  </si>
  <si>
    <t>Depreciable basis prior to allocation</t>
  </si>
  <si>
    <t>ITC basis prior to qualification</t>
  </si>
  <si>
    <t>State Depreciation and ITC</t>
  </si>
  <si>
    <t>State Depreciable Basis</t>
  </si>
  <si>
    <t>Depreciation Allocation</t>
  </si>
  <si>
    <t>Basis Reduction for IBI and CBI</t>
  </si>
  <si>
    <t>Basis Reduction for ITC as % of Qualifying Costs</t>
  </si>
  <si>
    <t>Red. for ITC as Fixed Amt.</t>
  </si>
  <si>
    <t>Basis Reduction for ITC</t>
  </si>
  <si>
    <t>Bonus</t>
  </si>
  <si>
    <t>State depreciation allocations</t>
  </si>
  <si>
    <t>% of Basis Prior to Allocation</t>
  </si>
  <si>
    <t>Gross Basis Allocations</t>
  </si>
  <si>
    <t>Basis Reduction for IBI</t>
  </si>
  <si>
    <t>Basis Reduction for CBI</t>
  </si>
  <si>
    <t>Basis After IBI and CBI Reductions</t>
  </si>
  <si>
    <t>ITC Qualifying Costs</t>
  </si>
  <si>
    <t>% of ITC Qualifying Costs</t>
  </si>
  <si>
    <t>ITC as Percentage Amount</t>
  </si>
  <si>
    <t>50% Basis Reduction for ITC as %</t>
  </si>
  <si>
    <t>ITC as Fixed Amount</t>
  </si>
  <si>
    <t>50% Basis Reduction for ITC as Fixed Amount</t>
  </si>
  <si>
    <t>State ITC Reduction</t>
  </si>
  <si>
    <t>Federal ITC Reduction</t>
  </si>
  <si>
    <t>Basis After ITC Reduction</t>
  </si>
  <si>
    <t>Bonus Depreciation Reduction</t>
  </si>
  <si>
    <t>State ITC qualifying costs</t>
  </si>
  <si>
    <t>Depreciable Basis Reduction for Income from Incentives</t>
  </si>
  <si>
    <t>Total basis reduction for IBI as fixed amount</t>
  </si>
  <si>
    <t>Total basis reduction for IBI as percentage</t>
  </si>
  <si>
    <t>Total basis reduction for CBI</t>
  </si>
  <si>
    <t>State Depreciation Amounts</t>
  </si>
  <si>
    <t>Deprecation of property purchased for installation</t>
  </si>
  <si>
    <t>Applicable %</t>
  </si>
  <si>
    <t>First Year Bonus Depreciation</t>
  </si>
  <si>
    <t>Federal Depreciation and ITC</t>
  </si>
  <si>
    <t>Federal Depreciable Basis</t>
  </si>
  <si>
    <t>Federal depreciation allocations</t>
  </si>
  <si>
    <t>50 % Basis Reduction for ITC as %</t>
  </si>
  <si>
    <t>50% Basis Reduction for ITC as Fixed Amt.</t>
  </si>
  <si>
    <t>Federal ITC qualifying costs</t>
  </si>
  <si>
    <t>Federal Depreciation Amounts</t>
  </si>
  <si>
    <t>Depreciation and ITC Basis Calculations (Commercial Only)</t>
  </si>
  <si>
    <t>Tax deductible debt interest?
 (Residential Mortgage and Commercial Only)</t>
  </si>
  <si>
    <t>Tax deductible operating expenses? (Commercial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</si>
</sst>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4" formatCode="_(&quot;$&quot;* #,##0.00_);_(&quot;$&quot;* \(#,##0.00\);_(&quot;$&quot;* &quot;-&quot;??_);_(@_)"/>
    <numFmt numFmtId="164" formatCode="&quot;$&quot;#,##0.00"/>
    <numFmt numFmtId="165" formatCode="#,##0.00000"/>
    <numFmt numFmtId="166" formatCode="#,##0.0"/>
    <numFmt numFmtId="167" formatCode="#,##0.000"/>
    <numFmt numFmtId="168" formatCode="#,##0.0000"/>
    <numFmt numFmtId="169" formatCode="0.0"/>
  </numFmts>
  <fonts count="38" x14ac:knownFonts="1">
    <font>
      <sz val="10"/>
      <name val="Arial"/>
    </font>
    <font>
      <sz val="11"/>
      <color theme="1"/>
      <name val="Calibri"/>
      <family val="2"/>
      <scheme val="minor"/>
    </font>
    <font>
      <sz val="10"/>
      <name val="Arial"/>
      <family val="2"/>
    </font>
    <font>
      <b/>
      <sz val="10"/>
      <name val="Arial"/>
      <family val="2"/>
    </font>
    <font>
      <sz val="10"/>
      <name val="Arial"/>
      <family val="2"/>
    </font>
    <font>
      <sz val="10"/>
      <name val="Times"/>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0"/>
      <name val="Arial"/>
      <family val="2"/>
    </font>
    <font>
      <sz val="10"/>
      <name val="Calibri"/>
      <family val="2"/>
      <scheme val="minor"/>
    </font>
    <font>
      <b/>
      <sz val="12"/>
      <name val="Calibri"/>
      <family val="2"/>
      <scheme val="minor"/>
    </font>
    <font>
      <b/>
      <sz val="10"/>
      <color indexed="9"/>
      <name val="Calibri"/>
      <family val="2"/>
      <scheme val="minor"/>
    </font>
    <font>
      <b/>
      <sz val="10"/>
      <name val="Calibri"/>
      <family val="2"/>
      <scheme val="minor"/>
    </font>
    <font>
      <b/>
      <sz val="10"/>
      <color theme="1"/>
      <name val="Calibri"/>
      <family val="2"/>
      <scheme val="minor"/>
    </font>
    <font>
      <sz val="10"/>
      <color theme="1"/>
      <name val="Calibri"/>
      <family val="2"/>
      <scheme val="minor"/>
    </font>
    <font>
      <sz val="10"/>
      <color indexed="9"/>
      <name val="Calibri"/>
      <family val="2"/>
      <scheme val="minor"/>
    </font>
    <font>
      <sz val="10"/>
      <color indexed="8"/>
      <name val="Calibri"/>
      <family val="2"/>
      <scheme val="minor"/>
    </font>
    <font>
      <b/>
      <sz val="14"/>
      <color theme="0"/>
      <name val="Segoe UI"/>
      <family val="2"/>
    </font>
    <font>
      <b/>
      <sz val="10"/>
      <color theme="0"/>
      <name val="Arial"/>
      <family val="2"/>
    </font>
    <font>
      <sz val="10"/>
      <name val="Calibri"/>
      <family val="2"/>
    </font>
    <font>
      <b/>
      <sz val="11"/>
      <color theme="1"/>
      <name val="Calibri"/>
      <family val="2"/>
      <scheme val="minor"/>
    </font>
    <font>
      <b/>
      <sz val="10"/>
      <color rgb="FFFF0000"/>
      <name val="Calibri"/>
      <family val="2"/>
      <scheme val="minor"/>
    </font>
    <font>
      <sz val="11"/>
      <name val="Calibri"/>
      <family val="2"/>
      <scheme val="minor"/>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0.34998626667073579"/>
        <bgColor indexed="64"/>
      </patternFill>
    </fill>
    <fill>
      <patternFill patternType="solid">
        <fgColor theme="1"/>
        <bgColor indexed="64"/>
      </patternFill>
    </fill>
    <fill>
      <patternFill patternType="lightDown"/>
    </fill>
    <fill>
      <patternFill patternType="solid">
        <fgColor theme="6" tint="0.39997558519241921"/>
        <bgColor indexed="64"/>
      </patternFill>
    </fill>
    <fill>
      <patternFill patternType="solid">
        <fgColor theme="6"/>
        <bgColor indexed="64"/>
      </patternFill>
    </fill>
  </fills>
  <borders count="4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8">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7" borderId="1" applyNumberFormat="0" applyAlignment="0" applyProtection="0"/>
    <xf numFmtId="0" fontId="17" fillId="0" borderId="6" applyNumberFormat="0" applyFill="0" applyAlignment="0" applyProtection="0"/>
    <xf numFmtId="0" fontId="18" fillId="22" borderId="0" applyNumberFormat="0" applyBorder="0" applyAlignment="0" applyProtection="0"/>
    <xf numFmtId="0" fontId="4" fillId="0" borderId="0"/>
    <xf numFmtId="0" fontId="4" fillId="0" borderId="0"/>
    <xf numFmtId="0" fontId="4" fillId="23" borderId="7" applyNumberFormat="0" applyFont="0" applyAlignment="0" applyProtection="0"/>
    <xf numFmtId="0" fontId="19" fillId="20" borderId="8" applyNumberFormat="0" applyAlignment="0" applyProtection="0"/>
    <xf numFmtId="9" fontId="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23" borderId="7"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 fillId="0" borderId="0"/>
    <xf numFmtId="44" fontId="1" fillId="0" borderId="0" applyFont="0" applyFill="0" applyBorder="0" applyAlignment="0" applyProtection="0"/>
    <xf numFmtId="0" fontId="9" fillId="20" borderId="45" applyNumberFormat="0" applyAlignment="0" applyProtection="0"/>
    <xf numFmtId="0" fontId="16" fillId="7" borderId="45" applyNumberFormat="0" applyAlignment="0" applyProtection="0"/>
    <xf numFmtId="0" fontId="2" fillId="23" borderId="46" applyNumberFormat="0" applyFont="0" applyAlignment="0" applyProtection="0"/>
    <xf numFmtId="0" fontId="19" fillId="20" borderId="47" applyNumberFormat="0" applyAlignment="0" applyProtection="0"/>
    <xf numFmtId="0" fontId="21" fillId="0" borderId="48" applyNumberFormat="0" applyFill="0" applyAlignment="0" applyProtection="0"/>
    <xf numFmtId="0" fontId="2" fillId="23" borderId="46" applyNumberFormat="0" applyFont="0" applyAlignment="0" applyProtection="0"/>
  </cellStyleXfs>
  <cellXfs count="354">
    <xf numFmtId="0" fontId="0" fillId="0" borderId="0" xfId="0"/>
    <xf numFmtId="4" fontId="0" fillId="0" borderId="0" xfId="0" applyNumberFormat="1"/>
    <xf numFmtId="0" fontId="5" fillId="0" borderId="0" xfId="0" applyFont="1"/>
    <xf numFmtId="0" fontId="0" fillId="0" borderId="0" xfId="0" applyAlignment="1">
      <alignment horizontal="right"/>
    </xf>
    <xf numFmtId="4" fontId="0" fillId="0" borderId="0" xfId="0" applyNumberFormat="1" applyAlignment="1">
      <alignment horizontal="right"/>
    </xf>
    <xf numFmtId="0" fontId="4" fillId="0" borderId="0" xfId="40" applyAlignment="1">
      <alignment horizontal="right"/>
    </xf>
    <xf numFmtId="4" fontId="4" fillId="0" borderId="0" xfId="40" applyNumberFormat="1" applyAlignment="1">
      <alignment horizontal="right"/>
    </xf>
    <xf numFmtId="0" fontId="3" fillId="0" borderId="0" xfId="40" applyFont="1" applyAlignment="1">
      <alignment horizontal="left"/>
    </xf>
    <xf numFmtId="0" fontId="3" fillId="0" borderId="0" xfId="40" applyFont="1" applyAlignment="1">
      <alignment horizontal="right"/>
    </xf>
    <xf numFmtId="0" fontId="4" fillId="0" borderId="0" xfId="40"/>
    <xf numFmtId="0" fontId="3" fillId="0" borderId="0" xfId="40" applyFont="1"/>
    <xf numFmtId="0" fontId="24" fillId="0" borderId="0" xfId="0" applyFont="1" applyAlignment="1">
      <alignment horizontal="center"/>
    </xf>
    <xf numFmtId="0" fontId="24" fillId="0" borderId="0" xfId="0" applyFont="1"/>
    <xf numFmtId="0" fontId="25" fillId="0" borderId="0" xfId="0" applyFont="1"/>
    <xf numFmtId="164" fontId="24" fillId="0" borderId="0" xfId="40" applyNumberFormat="1" applyFont="1" applyAlignment="1">
      <alignment horizontal="center"/>
    </xf>
    <xf numFmtId="0" fontId="24" fillId="0" borderId="0" xfId="40" applyFont="1" applyAlignment="1">
      <alignment horizontal="center"/>
    </xf>
    <xf numFmtId="0" fontId="24" fillId="0" borderId="0" xfId="40" applyFont="1" applyAlignment="1">
      <alignment horizontal="right"/>
    </xf>
    <xf numFmtId="0" fontId="24" fillId="0" borderId="0" xfId="40" applyFont="1"/>
    <xf numFmtId="0" fontId="26" fillId="0" borderId="0" xfId="40" applyFont="1" applyAlignment="1">
      <alignment horizontal="center"/>
    </xf>
    <xf numFmtId="0" fontId="26" fillId="0" borderId="0" xfId="40" applyFont="1"/>
    <xf numFmtId="0" fontId="27" fillId="0" borderId="0" xfId="40" applyFont="1"/>
    <xf numFmtId="0" fontId="27" fillId="0" borderId="0" xfId="40" applyFont="1" applyAlignment="1">
      <alignment horizontal="center"/>
    </xf>
    <xf numFmtId="0" fontId="24" fillId="0" borderId="13" xfId="40" applyFont="1" applyBorder="1" applyAlignment="1">
      <alignment horizontal="center"/>
    </xf>
    <xf numFmtId="0" fontId="24" fillId="0" borderId="13" xfId="40" applyFont="1" applyBorder="1" applyAlignment="1">
      <alignment horizontal="left"/>
    </xf>
    <xf numFmtId="0" fontId="24" fillId="0" borderId="16" xfId="40" applyFont="1" applyBorder="1" applyAlignment="1">
      <alignment horizontal="center"/>
    </xf>
    <xf numFmtId="0" fontId="27" fillId="25" borderId="10" xfId="40" applyFont="1" applyFill="1" applyBorder="1" applyAlignment="1">
      <alignment horizontal="left"/>
    </xf>
    <xf numFmtId="0" fontId="27" fillId="25" borderId="12" xfId="40" applyFont="1" applyFill="1" applyBorder="1" applyAlignment="1">
      <alignment horizontal="center"/>
    </xf>
    <xf numFmtId="0" fontId="24" fillId="0" borderId="0" xfId="40" applyFont="1" applyAlignment="1">
      <alignment horizontal="left"/>
    </xf>
    <xf numFmtId="0" fontId="24" fillId="0" borderId="13" xfId="40" applyFont="1" applyBorder="1" applyAlignment="1">
      <alignment horizontal="left" indent="1"/>
    </xf>
    <xf numFmtId="164" fontId="24" fillId="0" borderId="13" xfId="40" applyNumberFormat="1" applyFont="1" applyBorder="1" applyAlignment="1">
      <alignment horizontal="center"/>
    </xf>
    <xf numFmtId="0" fontId="24" fillId="0" borderId="13" xfId="40" applyFont="1" applyBorder="1" applyAlignment="1">
      <alignment horizontal="left" indent="2"/>
    </xf>
    <xf numFmtId="0" fontId="24" fillId="0" borderId="13" xfId="0" applyFont="1" applyBorder="1" applyAlignment="1">
      <alignment horizontal="left" indent="1"/>
    </xf>
    <xf numFmtId="0" fontId="24" fillId="0" borderId="13" xfId="40" applyFont="1" applyBorder="1" applyAlignment="1">
      <alignment horizontal="left" indent="3"/>
    </xf>
    <xf numFmtId="0" fontId="24" fillId="0" borderId="16" xfId="40" applyFont="1" applyBorder="1" applyAlignment="1">
      <alignment horizontal="left" indent="2"/>
    </xf>
    <xf numFmtId="0" fontId="24" fillId="0" borderId="10" xfId="0" applyFont="1" applyBorder="1" applyAlignment="1">
      <alignment horizontal="left" indent="1"/>
    </xf>
    <xf numFmtId="0" fontId="24" fillId="0" borderId="12" xfId="0" applyFont="1" applyBorder="1"/>
    <xf numFmtId="0" fontId="24" fillId="0" borderId="14" xfId="0" applyFont="1" applyBorder="1"/>
    <xf numFmtId="164" fontId="24" fillId="0" borderId="14" xfId="40" applyNumberFormat="1" applyFont="1" applyBorder="1" applyAlignment="1">
      <alignment horizontal="center"/>
    </xf>
    <xf numFmtId="0" fontId="24" fillId="0" borderId="16" xfId="40" applyFont="1" applyBorder="1" applyAlignment="1">
      <alignment horizontal="left" indent="1"/>
    </xf>
    <xf numFmtId="164" fontId="24" fillId="0" borderId="16" xfId="40" applyNumberFormat="1" applyFont="1" applyBorder="1" applyAlignment="1">
      <alignment horizontal="center"/>
    </xf>
    <xf numFmtId="0" fontId="27" fillId="0" borderId="10" xfId="0" applyFont="1" applyBorder="1"/>
    <xf numFmtId="0" fontId="24" fillId="0" borderId="0" xfId="0" applyFont="1" applyAlignment="1">
      <alignment horizontal="left"/>
    </xf>
    <xf numFmtId="0" fontId="27" fillId="25" borderId="17" xfId="40" applyFont="1" applyFill="1" applyBorder="1" applyAlignment="1">
      <alignment horizontal="left"/>
    </xf>
    <xf numFmtId="0" fontId="28" fillId="25" borderId="13" xfId="0" applyFont="1" applyFill="1" applyBorder="1"/>
    <xf numFmtId="0" fontId="29" fillId="24" borderId="13" xfId="0" applyFont="1" applyFill="1" applyBorder="1"/>
    <xf numFmtId="0" fontId="24" fillId="27" borderId="13" xfId="0" applyFont="1" applyFill="1" applyBorder="1"/>
    <xf numFmtId="165" fontId="0" fillId="0" borderId="0" xfId="0" applyNumberFormat="1" applyAlignment="1">
      <alignment horizontal="right"/>
    </xf>
    <xf numFmtId="164" fontId="24" fillId="0" borderId="0" xfId="40" applyNumberFormat="1" applyFont="1" applyAlignment="1">
      <alignment horizontal="left"/>
    </xf>
    <xf numFmtId="0" fontId="24" fillId="0" borderId="13" xfId="0" applyFont="1" applyBorder="1" applyAlignment="1">
      <alignment horizontal="left" indent="2"/>
    </xf>
    <xf numFmtId="164" fontId="24" fillId="0" borderId="13" xfId="40" applyNumberFormat="1" applyFont="1" applyBorder="1" applyAlignment="1">
      <alignment horizontal="left" indent="2"/>
    </xf>
    <xf numFmtId="0" fontId="24" fillId="27" borderId="13" xfId="40" applyFont="1" applyFill="1" applyBorder="1" applyAlignment="1">
      <alignment horizontal="center"/>
    </xf>
    <xf numFmtId="0" fontId="27" fillId="25" borderId="15" xfId="40" applyFont="1" applyFill="1" applyBorder="1" applyAlignment="1">
      <alignment horizontal="center"/>
    </xf>
    <xf numFmtId="0" fontId="24" fillId="0" borderId="11" xfId="40" applyFont="1" applyBorder="1" applyAlignment="1">
      <alignment horizontal="center"/>
    </xf>
    <xf numFmtId="0" fontId="2" fillId="0" borderId="0" xfId="40" applyFont="1"/>
    <xf numFmtId="0" fontId="2" fillId="0" borderId="0" xfId="40" applyFont="1" applyAlignment="1">
      <alignment horizontal="left"/>
    </xf>
    <xf numFmtId="0" fontId="0" fillId="28" borderId="11" xfId="0" applyFill="1" applyBorder="1"/>
    <xf numFmtId="4" fontId="0" fillId="28" borderId="11" xfId="0" applyNumberFormat="1" applyFill="1" applyBorder="1"/>
    <xf numFmtId="4" fontId="0" fillId="28" borderId="12" xfId="0" applyNumberFormat="1" applyFill="1" applyBorder="1"/>
    <xf numFmtId="0" fontId="3" fillId="28" borderId="10" xfId="40" applyFont="1" applyFill="1" applyBorder="1"/>
    <xf numFmtId="0" fontId="2" fillId="0" borderId="0" xfId="40" applyFont="1" applyAlignment="1">
      <alignment horizontal="left" indent="1"/>
    </xf>
    <xf numFmtId="0" fontId="2" fillId="0" borderId="0" xfId="40" applyFont="1" applyAlignment="1">
      <alignment horizontal="left" indent="2"/>
    </xf>
    <xf numFmtId="0" fontId="4" fillId="0" borderId="0" xfId="40" applyAlignment="1">
      <alignment horizontal="left" indent="1"/>
    </xf>
    <xf numFmtId="0" fontId="4" fillId="0" borderId="0" xfId="40" applyAlignment="1">
      <alignment horizontal="left"/>
    </xf>
    <xf numFmtId="0" fontId="4" fillId="0" borderId="11" xfId="40" applyBorder="1" applyAlignment="1">
      <alignment horizontal="right"/>
    </xf>
    <xf numFmtId="0" fontId="2" fillId="0" borderId="11" xfId="40" applyFont="1" applyBorder="1" applyAlignment="1">
      <alignment horizontal="left"/>
    </xf>
    <xf numFmtId="0" fontId="4" fillId="28" borderId="11" xfId="40" applyFill="1" applyBorder="1" applyAlignment="1">
      <alignment horizontal="right"/>
    </xf>
    <xf numFmtId="4" fontId="4" fillId="28" borderId="11" xfId="40" applyNumberFormat="1" applyFill="1" applyBorder="1" applyAlignment="1">
      <alignment horizontal="right"/>
    </xf>
    <xf numFmtId="4" fontId="4" fillId="28" borderId="12" xfId="40" applyNumberFormat="1" applyFill="1" applyBorder="1" applyAlignment="1">
      <alignment horizontal="right"/>
    </xf>
    <xf numFmtId="0" fontId="2" fillId="0" borderId="11" xfId="40" applyFont="1" applyBorder="1"/>
    <xf numFmtId="0" fontId="0" fillId="0" borderId="0" xfId="0" applyAlignment="1">
      <alignment horizontal="center"/>
    </xf>
    <xf numFmtId="0" fontId="23" fillId="28" borderId="11" xfId="40" applyFont="1" applyFill="1" applyBorder="1" applyAlignment="1">
      <alignment horizontal="right"/>
    </xf>
    <xf numFmtId="4" fontId="23" fillId="28" borderId="11" xfId="40" applyNumberFormat="1" applyFont="1" applyFill="1" applyBorder="1" applyAlignment="1">
      <alignment horizontal="right"/>
    </xf>
    <xf numFmtId="0" fontId="2" fillId="0" borderId="0" xfId="0" applyFont="1"/>
    <xf numFmtId="3" fontId="4" fillId="0" borderId="0" xfId="40" applyNumberFormat="1" applyAlignment="1">
      <alignment horizontal="right"/>
    </xf>
    <xf numFmtId="3" fontId="4" fillId="0" borderId="11" xfId="40" applyNumberFormat="1" applyBorder="1" applyAlignment="1">
      <alignment horizontal="right"/>
    </xf>
    <xf numFmtId="3" fontId="4" fillId="0" borderId="19" xfId="40" applyNumberFormat="1" applyBorder="1" applyAlignment="1">
      <alignment horizontal="right"/>
    </xf>
    <xf numFmtId="0" fontId="2" fillId="0" borderId="0" xfId="40" applyFont="1" applyAlignment="1">
      <alignment horizontal="right"/>
    </xf>
    <xf numFmtId="3" fontId="2" fillId="0" borderId="0" xfId="40" applyNumberFormat="1" applyFont="1" applyAlignment="1">
      <alignment horizontal="right"/>
    </xf>
    <xf numFmtId="3" fontId="2" fillId="0" borderId="0" xfId="40" applyNumberFormat="1" applyFont="1" applyAlignment="1">
      <alignment horizontal="left" indent="2"/>
    </xf>
    <xf numFmtId="3" fontId="2" fillId="0" borderId="0" xfId="40" applyNumberFormat="1" applyFont="1" applyAlignment="1">
      <alignment horizontal="left" indent="1"/>
    </xf>
    <xf numFmtId="3" fontId="2" fillId="0" borderId="0" xfId="40" applyNumberFormat="1" applyFont="1" applyAlignment="1">
      <alignment horizontal="left"/>
    </xf>
    <xf numFmtId="3" fontId="2" fillId="0" borderId="11" xfId="40" applyNumberFormat="1" applyFont="1" applyBorder="1" applyAlignment="1">
      <alignment horizontal="left"/>
    </xf>
    <xf numFmtId="3" fontId="2" fillId="0" borderId="19" xfId="0" applyNumberFormat="1" applyFont="1" applyBorder="1"/>
    <xf numFmtId="0" fontId="24" fillId="0" borderId="14" xfId="40" applyFont="1" applyBorder="1" applyAlignment="1">
      <alignment horizontal="center"/>
    </xf>
    <xf numFmtId="0" fontId="24" fillId="0" borderId="20" xfId="40" applyFont="1" applyBorder="1" applyAlignment="1">
      <alignment horizontal="center"/>
    </xf>
    <xf numFmtId="0" fontId="27" fillId="0" borderId="10" xfId="40" applyFont="1" applyBorder="1" applyAlignment="1">
      <alignment horizontal="left"/>
    </xf>
    <xf numFmtId="0" fontId="24" fillId="0" borderId="21" xfId="40" applyFont="1" applyBorder="1" applyAlignment="1">
      <alignment horizontal="left" indent="2"/>
    </xf>
    <xf numFmtId="0" fontId="24" fillId="0" borderId="21" xfId="40" applyFont="1" applyBorder="1" applyAlignment="1">
      <alignment horizontal="center"/>
    </xf>
    <xf numFmtId="0" fontId="27" fillId="0" borderId="18" xfId="40" applyFont="1" applyBorder="1" applyAlignment="1">
      <alignment horizontal="left"/>
    </xf>
    <xf numFmtId="0" fontId="27" fillId="0" borderId="16" xfId="0" applyFont="1" applyBorder="1"/>
    <xf numFmtId="164" fontId="24" fillId="0" borderId="23" xfId="40" applyNumberFormat="1" applyFont="1" applyBorder="1" applyAlignment="1">
      <alignment horizontal="center"/>
    </xf>
    <xf numFmtId="0" fontId="27" fillId="25" borderId="24" xfId="40" applyFont="1" applyFill="1" applyBorder="1" applyAlignment="1">
      <alignment horizontal="center"/>
    </xf>
    <xf numFmtId="0" fontId="24" fillId="0" borderId="18" xfId="40" applyFont="1" applyBorder="1" applyAlignment="1">
      <alignment horizontal="center"/>
    </xf>
    <xf numFmtId="164" fontId="24" fillId="0" borderId="22" xfId="40" applyNumberFormat="1" applyFont="1" applyBorder="1" applyAlignment="1">
      <alignment horizontal="center"/>
    </xf>
    <xf numFmtId="0" fontId="24" fillId="0" borderId="16" xfId="0" applyFont="1" applyBorder="1" applyAlignment="1">
      <alignment horizontal="left" indent="1"/>
    </xf>
    <xf numFmtId="0" fontId="24" fillId="0" borderId="16" xfId="0" applyFont="1" applyBorder="1" applyAlignment="1">
      <alignment horizontal="center"/>
    </xf>
    <xf numFmtId="164" fontId="24" fillId="0" borderId="14" xfId="40" applyNumberFormat="1" applyFont="1" applyBorder="1" applyAlignment="1">
      <alignment horizontal="left" indent="2"/>
    </xf>
    <xf numFmtId="164" fontId="24" fillId="0" borderId="16" xfId="40" applyNumberFormat="1" applyFont="1" applyBorder="1" applyAlignment="1">
      <alignment horizontal="left" indent="2"/>
    </xf>
    <xf numFmtId="164" fontId="24" fillId="0" borderId="10" xfId="40" applyNumberFormat="1" applyFont="1" applyBorder="1" applyAlignment="1">
      <alignment horizontal="center"/>
    </xf>
    <xf numFmtId="0" fontId="24" fillId="0" borderId="25" xfId="0" applyFont="1" applyBorder="1"/>
    <xf numFmtId="0" fontId="24" fillId="0" borderId="13" xfId="0" applyFont="1" applyBorder="1" applyAlignment="1">
      <alignment horizontal="center"/>
    </xf>
    <xf numFmtId="0" fontId="27" fillId="0" borderId="25" xfId="40" applyFont="1" applyBorder="1" applyAlignment="1">
      <alignment horizontal="center"/>
    </xf>
    <xf numFmtId="0" fontId="0" fillId="29" borderId="11" xfId="0" applyFill="1" applyBorder="1" applyAlignment="1">
      <alignment horizontal="right"/>
    </xf>
    <xf numFmtId="4" fontId="0" fillId="29" borderId="11" xfId="0" applyNumberFormat="1" applyFill="1" applyBorder="1" applyAlignment="1">
      <alignment horizontal="right"/>
    </xf>
    <xf numFmtId="4" fontId="0" fillId="29" borderId="12" xfId="0" applyNumberFormat="1" applyFill="1" applyBorder="1" applyAlignment="1">
      <alignment horizontal="right"/>
    </xf>
    <xf numFmtId="0" fontId="33" fillId="29" borderId="10" xfId="0" applyFont="1" applyFill="1" applyBorder="1"/>
    <xf numFmtId="0" fontId="24" fillId="0" borderId="21" xfId="0" applyFont="1" applyBorder="1" applyAlignment="1">
      <alignment horizontal="center"/>
    </xf>
    <xf numFmtId="0" fontId="24" fillId="0" borderId="12" xfId="40" applyFont="1" applyBorder="1" applyAlignment="1">
      <alignment horizontal="center"/>
    </xf>
    <xf numFmtId="0" fontId="24" fillId="0" borderId="10" xfId="0" applyFont="1" applyBorder="1" applyAlignment="1">
      <alignment horizontal="center"/>
    </xf>
    <xf numFmtId="0" fontId="27" fillId="0" borderId="17" xfId="0" applyFont="1" applyBorder="1"/>
    <xf numFmtId="4" fontId="24" fillId="0" borderId="24" xfId="46" applyNumberFormat="1" applyFont="1" applyBorder="1" applyAlignment="1">
      <alignment horizontal="center"/>
    </xf>
    <xf numFmtId="3" fontId="24" fillId="0" borderId="12" xfId="46" applyNumberFormat="1" applyFont="1" applyBorder="1" applyAlignment="1">
      <alignment horizontal="center"/>
    </xf>
    <xf numFmtId="3" fontId="4" fillId="0" borderId="0" xfId="40" applyNumberFormat="1"/>
    <xf numFmtId="164" fontId="24" fillId="0" borderId="0" xfId="40" applyNumberFormat="1" applyFont="1"/>
    <xf numFmtId="0" fontId="27" fillId="0" borderId="0" xfId="40" applyFont="1" applyAlignment="1">
      <alignment horizontal="left"/>
    </xf>
    <xf numFmtId="9" fontId="24" fillId="0" borderId="0" xfId="0" applyNumberFormat="1" applyFont="1" applyAlignment="1">
      <alignment horizontal="center"/>
    </xf>
    <xf numFmtId="0" fontId="3" fillId="28" borderId="27" xfId="40" applyFont="1" applyFill="1" applyBorder="1" applyAlignment="1">
      <alignment horizontal="right"/>
    </xf>
    <xf numFmtId="0" fontId="3" fillId="28" borderId="28" xfId="40" applyFont="1" applyFill="1" applyBorder="1" applyAlignment="1">
      <alignment horizontal="right"/>
    </xf>
    <xf numFmtId="0" fontId="3" fillId="28" borderId="29" xfId="40" applyFont="1" applyFill="1" applyBorder="1" applyAlignment="1">
      <alignment horizontal="right"/>
    </xf>
    <xf numFmtId="0" fontId="28" fillId="28" borderId="26" xfId="0" applyFont="1" applyFill="1" applyBorder="1"/>
    <xf numFmtId="3" fontId="4" fillId="28" borderId="28" xfId="40" applyNumberFormat="1" applyFill="1" applyBorder="1"/>
    <xf numFmtId="3" fontId="4" fillId="28" borderId="29" xfId="40" applyNumberFormat="1" applyFill="1" applyBorder="1"/>
    <xf numFmtId="0" fontId="30" fillId="0" borderId="0" xfId="40" applyFont="1" applyAlignment="1">
      <alignment horizontal="center"/>
    </xf>
    <xf numFmtId="0" fontId="24" fillId="0" borderId="0" xfId="0" applyFont="1" applyAlignment="1">
      <alignment horizontal="left" indent="1"/>
    </xf>
    <xf numFmtId="4" fontId="31" fillId="0" borderId="0" xfId="40" applyNumberFormat="1" applyFont="1" applyAlignment="1">
      <alignment horizontal="center"/>
    </xf>
    <xf numFmtId="0" fontId="24" fillId="0" borderId="10" xfId="0" applyFont="1" applyBorder="1" applyAlignment="1">
      <alignment horizontal="left"/>
    </xf>
    <xf numFmtId="0" fontId="24" fillId="0" borderId="26" xfId="0" applyFont="1" applyBorder="1"/>
    <xf numFmtId="2" fontId="31" fillId="24" borderId="13" xfId="40" applyNumberFormat="1" applyFont="1" applyFill="1" applyBorder="1" applyAlignment="1">
      <alignment horizontal="center"/>
    </xf>
    <xf numFmtId="3" fontId="31" fillId="24" borderId="13" xfId="40" applyNumberFormat="1" applyFont="1" applyFill="1" applyBorder="1" applyAlignment="1">
      <alignment horizontal="center"/>
    </xf>
    <xf numFmtId="4" fontId="31" fillId="24" borderId="26" xfId="40" applyNumberFormat="1" applyFont="1" applyFill="1" applyBorder="1" applyAlignment="1">
      <alignment horizontal="center"/>
    </xf>
    <xf numFmtId="10" fontId="24" fillId="0" borderId="0" xfId="40" applyNumberFormat="1" applyFont="1" applyAlignment="1">
      <alignment horizontal="center"/>
    </xf>
    <xf numFmtId="164" fontId="24" fillId="0" borderId="27" xfId="40" applyNumberFormat="1" applyFont="1" applyBorder="1" applyAlignment="1">
      <alignment horizontal="left"/>
    </xf>
    <xf numFmtId="0" fontId="24" fillId="0" borderId="29" xfId="40" applyFont="1" applyBorder="1" applyAlignment="1">
      <alignment horizontal="center"/>
    </xf>
    <xf numFmtId="0" fontId="24" fillId="0" borderId="29" xfId="0" applyFont="1" applyBorder="1"/>
    <xf numFmtId="164" fontId="24" fillId="0" borderId="31" xfId="40" applyNumberFormat="1" applyFont="1" applyBorder="1" applyAlignment="1">
      <alignment horizontal="left"/>
    </xf>
    <xf numFmtId="0" fontId="24" fillId="0" borderId="32" xfId="40" applyFont="1" applyBorder="1" applyAlignment="1">
      <alignment horizontal="center"/>
    </xf>
    <xf numFmtId="0" fontId="24" fillId="0" borderId="32" xfId="0" applyFont="1" applyBorder="1"/>
    <xf numFmtId="2" fontId="24" fillId="0" borderId="13" xfId="40" applyNumberFormat="1" applyFont="1" applyBorder="1" applyAlignment="1">
      <alignment horizontal="right"/>
    </xf>
    <xf numFmtId="0" fontId="24" fillId="0" borderId="13" xfId="40" applyFont="1" applyBorder="1" applyAlignment="1">
      <alignment horizontal="right"/>
    </xf>
    <xf numFmtId="2" fontId="24" fillId="26" borderId="13" xfId="44" applyNumberFormat="1" applyFont="1" applyFill="1" applyBorder="1" applyAlignment="1">
      <alignment horizontal="right"/>
    </xf>
    <xf numFmtId="2" fontId="24" fillId="26" borderId="13" xfId="40" applyNumberFormat="1" applyFont="1" applyFill="1" applyBorder="1" applyAlignment="1">
      <alignment horizontal="right"/>
    </xf>
    <xf numFmtId="3" fontId="24" fillId="26" borderId="13" xfId="40" applyNumberFormat="1" applyFont="1" applyFill="1" applyBorder="1" applyAlignment="1">
      <alignment horizontal="right"/>
    </xf>
    <xf numFmtId="1" fontId="24" fillId="0" borderId="13" xfId="40" applyNumberFormat="1" applyFont="1" applyBorder="1" applyAlignment="1">
      <alignment horizontal="right"/>
    </xf>
    <xf numFmtId="0" fontId="24" fillId="27" borderId="13" xfId="40" applyFont="1" applyFill="1" applyBorder="1" applyAlignment="1">
      <alignment horizontal="right"/>
    </xf>
    <xf numFmtId="0" fontId="24" fillId="0" borderId="16" xfId="40" applyFont="1" applyBorder="1" applyAlignment="1">
      <alignment horizontal="right"/>
    </xf>
    <xf numFmtId="0" fontId="24" fillId="0" borderId="10" xfId="40" applyFont="1" applyBorder="1" applyAlignment="1">
      <alignment horizontal="right"/>
    </xf>
    <xf numFmtId="0" fontId="24" fillId="0" borderId="21" xfId="40" applyFont="1" applyBorder="1" applyAlignment="1">
      <alignment horizontal="right"/>
    </xf>
    <xf numFmtId="0" fontId="24" fillId="0" borderId="26" xfId="40" applyFont="1" applyBorder="1" applyAlignment="1">
      <alignment horizontal="right"/>
    </xf>
    <xf numFmtId="3" fontId="24" fillId="0" borderId="26" xfId="40" applyNumberFormat="1" applyFont="1" applyBorder="1" applyAlignment="1">
      <alignment horizontal="right"/>
    </xf>
    <xf numFmtId="3" fontId="24" fillId="0" borderId="14" xfId="40" applyNumberFormat="1" applyFont="1" applyBorder="1" applyAlignment="1">
      <alignment horizontal="right"/>
    </xf>
    <xf numFmtId="3" fontId="24" fillId="0" borderId="13" xfId="29" applyNumberFormat="1" applyFont="1" applyBorder="1" applyAlignment="1">
      <alignment horizontal="right"/>
    </xf>
    <xf numFmtId="4" fontId="24" fillId="0" borderId="13" xfId="46" applyNumberFormat="1" applyFont="1" applyBorder="1" applyAlignment="1">
      <alignment horizontal="right"/>
    </xf>
    <xf numFmtId="3" fontId="24" fillId="0" borderId="13" xfId="40" applyNumberFormat="1" applyFont="1" applyBorder="1" applyAlignment="1">
      <alignment horizontal="right"/>
    </xf>
    <xf numFmtId="3" fontId="24" fillId="0" borderId="20" xfId="46" applyNumberFormat="1" applyFont="1" applyBorder="1" applyAlignment="1">
      <alignment horizontal="right"/>
    </xf>
    <xf numFmtId="166" fontId="24" fillId="0" borderId="13" xfId="40" applyNumberFormat="1" applyFont="1" applyBorder="1" applyAlignment="1">
      <alignment horizontal="right"/>
    </xf>
    <xf numFmtId="3" fontId="24" fillId="0" borderId="14" xfId="46" applyNumberFormat="1" applyFont="1" applyBorder="1" applyAlignment="1">
      <alignment horizontal="right"/>
    </xf>
    <xf numFmtId="4" fontId="24" fillId="0" borderId="14" xfId="46" applyNumberFormat="1" applyFont="1" applyBorder="1" applyAlignment="1">
      <alignment horizontal="right"/>
    </xf>
    <xf numFmtId="0" fontId="24" fillId="29" borderId="0" xfId="0" applyFont="1" applyFill="1"/>
    <xf numFmtId="0" fontId="24" fillId="0" borderId="14" xfId="40" applyFont="1" applyBorder="1" applyAlignment="1">
      <alignment horizontal="left"/>
    </xf>
    <xf numFmtId="2" fontId="24" fillId="0" borderId="14" xfId="40" applyNumberFormat="1" applyFont="1" applyBorder="1" applyAlignment="1">
      <alignment horizontal="right"/>
    </xf>
    <xf numFmtId="2" fontId="24" fillId="0" borderId="16" xfId="40" applyNumberFormat="1" applyFont="1" applyBorder="1" applyAlignment="1">
      <alignment horizontal="right"/>
    </xf>
    <xf numFmtId="0" fontId="24" fillId="0" borderId="27" xfId="40" applyFont="1" applyBorder="1" applyAlignment="1">
      <alignment horizontal="left"/>
    </xf>
    <xf numFmtId="0" fontId="27" fillId="0" borderId="29" xfId="40" applyFont="1" applyBorder="1" applyAlignment="1">
      <alignment horizontal="center"/>
    </xf>
    <xf numFmtId="0" fontId="32" fillId="29" borderId="33" xfId="40" applyFont="1" applyFill="1" applyBorder="1" applyAlignment="1">
      <alignment horizontal="left"/>
    </xf>
    <xf numFmtId="0" fontId="32" fillId="29" borderId="30" xfId="40" applyFont="1" applyFill="1" applyBorder="1" applyAlignment="1">
      <alignment horizontal="left"/>
    </xf>
    <xf numFmtId="11" fontId="24" fillId="0" borderId="13" xfId="40" applyNumberFormat="1" applyFont="1" applyBorder="1" applyAlignment="1">
      <alignment horizontal="right"/>
    </xf>
    <xf numFmtId="11" fontId="24" fillId="0" borderId="21" xfId="40" applyNumberFormat="1" applyFont="1" applyBorder="1" applyAlignment="1">
      <alignment horizontal="right"/>
    </xf>
    <xf numFmtId="11" fontId="24" fillId="0" borderId="14" xfId="40" applyNumberFormat="1" applyFont="1" applyBorder="1" applyAlignment="1">
      <alignment horizontal="right"/>
    </xf>
    <xf numFmtId="0" fontId="24" fillId="0" borderId="26" xfId="0" applyFont="1" applyBorder="1" applyAlignment="1">
      <alignment horizontal="left" indent="1"/>
    </xf>
    <xf numFmtId="4" fontId="24" fillId="24" borderId="26" xfId="0" applyNumberFormat="1" applyFont="1" applyFill="1" applyBorder="1"/>
    <xf numFmtId="4" fontId="24" fillId="30" borderId="13" xfId="0" applyNumberFormat="1" applyFont="1" applyFill="1" applyBorder="1"/>
    <xf numFmtId="0" fontId="27" fillId="0" borderId="27" xfId="0" applyFont="1" applyBorder="1" applyAlignment="1">
      <alignment horizontal="left"/>
    </xf>
    <xf numFmtId="4" fontId="24" fillId="30" borderId="14" xfId="0" applyNumberFormat="1" applyFont="1" applyFill="1" applyBorder="1"/>
    <xf numFmtId="4" fontId="24" fillId="24" borderId="14" xfId="0" applyNumberFormat="1" applyFont="1" applyFill="1" applyBorder="1"/>
    <xf numFmtId="4" fontId="24" fillId="30" borderId="16" xfId="0" applyNumberFormat="1" applyFont="1" applyFill="1" applyBorder="1"/>
    <xf numFmtId="4" fontId="24" fillId="0" borderId="28" xfId="0" applyNumberFormat="1" applyFont="1" applyBorder="1"/>
    <xf numFmtId="4" fontId="24" fillId="0" borderId="29" xfId="0" applyNumberFormat="1" applyFont="1" applyBorder="1"/>
    <xf numFmtId="1" fontId="24" fillId="0" borderId="24" xfId="46" applyNumberFormat="1" applyFont="1" applyBorder="1" applyAlignment="1">
      <alignment horizontal="right"/>
    </xf>
    <xf numFmtId="4" fontId="24" fillId="30" borderId="26" xfId="0" applyNumberFormat="1" applyFont="1" applyFill="1" applyBorder="1"/>
    <xf numFmtId="0" fontId="24" fillId="0" borderId="14" xfId="0" applyFont="1" applyBorder="1" applyAlignment="1">
      <alignment horizontal="left"/>
    </xf>
    <xf numFmtId="0" fontId="24" fillId="0" borderId="0" xfId="40" quotePrefix="1" applyFont="1"/>
    <xf numFmtId="0" fontId="29" fillId="0" borderId="0" xfId="0" applyFont="1"/>
    <xf numFmtId="3" fontId="28" fillId="0" borderId="27" xfId="0" applyNumberFormat="1" applyFont="1" applyBorder="1"/>
    <xf numFmtId="0" fontId="3" fillId="0" borderId="19" xfId="40" applyFont="1" applyBorder="1" applyAlignment="1">
      <alignment horizontal="left"/>
    </xf>
    <xf numFmtId="0" fontId="3" fillId="0" borderId="19" xfId="40" applyFont="1" applyBorder="1" applyAlignment="1">
      <alignment horizontal="right"/>
    </xf>
    <xf numFmtId="4" fontId="3" fillId="0" borderId="19" xfId="40" applyNumberFormat="1" applyFont="1" applyBorder="1" applyAlignment="1">
      <alignment horizontal="right"/>
    </xf>
    <xf numFmtId="4" fontId="4" fillId="0" borderId="19" xfId="40" applyNumberFormat="1" applyBorder="1" applyAlignment="1">
      <alignment horizontal="right"/>
    </xf>
    <xf numFmtId="4" fontId="2" fillId="0" borderId="0" xfId="54" applyNumberFormat="1" applyAlignment="1">
      <alignment horizontal="right"/>
    </xf>
    <xf numFmtId="3" fontId="2" fillId="0" borderId="0" xfId="54" applyNumberFormat="1" applyAlignment="1">
      <alignment horizontal="right"/>
    </xf>
    <xf numFmtId="0" fontId="2" fillId="0" borderId="0" xfId="54" applyAlignment="1">
      <alignment horizontal="left"/>
    </xf>
    <xf numFmtId="4" fontId="3" fillId="0" borderId="0" xfId="40" applyNumberFormat="1" applyFont="1" applyAlignment="1">
      <alignment horizontal="right"/>
    </xf>
    <xf numFmtId="0" fontId="3" fillId="0" borderId="0" xfId="54" applyFont="1" applyAlignment="1">
      <alignment horizontal="left"/>
    </xf>
    <xf numFmtId="0" fontId="24" fillId="0" borderId="18" xfId="0" applyFont="1" applyBorder="1" applyAlignment="1">
      <alignment horizontal="left" indent="1"/>
    </xf>
    <xf numFmtId="4" fontId="24" fillId="31" borderId="26" xfId="0" applyNumberFormat="1" applyFont="1" applyFill="1" applyBorder="1"/>
    <xf numFmtId="0" fontId="24" fillId="0" borderId="25" xfId="0" applyFont="1" applyBorder="1" applyAlignment="1">
      <alignment horizontal="left" indent="1"/>
    </xf>
    <xf numFmtId="1" fontId="24" fillId="27" borderId="13" xfId="40" applyNumberFormat="1" applyFont="1" applyFill="1" applyBorder="1" applyAlignment="1">
      <alignment horizontal="right"/>
    </xf>
    <xf numFmtId="1" fontId="24" fillId="0" borderId="14" xfId="40" applyNumberFormat="1" applyFont="1" applyBorder="1" applyAlignment="1">
      <alignment horizontal="right"/>
    </xf>
    <xf numFmtId="0" fontId="27" fillId="0" borderId="18" xfId="0" applyFont="1" applyBorder="1"/>
    <xf numFmtId="0" fontId="24" fillId="0" borderId="19" xfId="0" applyFont="1" applyBorder="1"/>
    <xf numFmtId="0" fontId="27" fillId="25" borderId="27" xfId="40" applyFont="1" applyFill="1" applyBorder="1" applyAlignment="1">
      <alignment horizontal="left"/>
    </xf>
    <xf numFmtId="0" fontId="27" fillId="25" borderId="28" xfId="40" applyFont="1" applyFill="1" applyBorder="1" applyAlignment="1">
      <alignment horizontal="center"/>
    </xf>
    <xf numFmtId="0" fontId="27" fillId="25" borderId="29" xfId="40" applyFont="1" applyFill="1" applyBorder="1" applyAlignment="1">
      <alignment horizontal="center"/>
    </xf>
    <xf numFmtId="0" fontId="3" fillId="28" borderId="27" xfId="40" applyFont="1" applyFill="1" applyBorder="1"/>
    <xf numFmtId="0" fontId="4" fillId="28" borderId="28" xfId="40" applyFill="1" applyBorder="1" applyAlignment="1">
      <alignment horizontal="right"/>
    </xf>
    <xf numFmtId="3" fontId="4" fillId="28" borderId="28" xfId="40" applyNumberFormat="1" applyFill="1" applyBorder="1" applyAlignment="1">
      <alignment horizontal="right"/>
    </xf>
    <xf numFmtId="3" fontId="4" fillId="28" borderId="29" xfId="40" applyNumberFormat="1" applyFill="1" applyBorder="1" applyAlignment="1">
      <alignment horizontal="right"/>
    </xf>
    <xf numFmtId="0" fontId="28" fillId="0" borderId="0" xfId="0" applyFont="1"/>
    <xf numFmtId="0" fontId="29" fillId="0" borderId="0" xfId="0" applyFont="1" applyAlignment="1">
      <alignment horizontal="left"/>
    </xf>
    <xf numFmtId="0" fontId="29" fillId="0" borderId="0" xfId="0" applyFont="1" applyAlignment="1">
      <alignment horizontal="left" indent="1"/>
    </xf>
    <xf numFmtId="0" fontId="29" fillId="0" borderId="0" xfId="0" applyFont="1" applyAlignment="1">
      <alignment horizontal="left" indent="2"/>
    </xf>
    <xf numFmtId="167" fontId="4" fillId="0" borderId="0" xfId="40" applyNumberFormat="1" applyAlignment="1">
      <alignment horizontal="right"/>
    </xf>
    <xf numFmtId="11" fontId="4" fillId="0" borderId="0" xfId="40" applyNumberFormat="1" applyAlignment="1">
      <alignment horizontal="right"/>
    </xf>
    <xf numFmtId="0" fontId="24" fillId="0" borderId="27" xfId="0" applyFont="1" applyBorder="1" applyAlignment="1">
      <alignment horizontal="left" indent="1"/>
    </xf>
    <xf numFmtId="0" fontId="24" fillId="0" borderId="17" xfId="0" applyFont="1" applyBorder="1" applyAlignment="1">
      <alignment horizontal="left" indent="1"/>
    </xf>
    <xf numFmtId="4" fontId="24" fillId="30" borderId="14" xfId="0" applyNumberFormat="1" applyFont="1" applyFill="1" applyBorder="1" applyAlignment="1">
      <alignment horizontal="right"/>
    </xf>
    <xf numFmtId="4" fontId="24" fillId="0" borderId="28" xfId="0" applyNumberFormat="1" applyFont="1" applyBorder="1" applyAlignment="1">
      <alignment horizontal="right"/>
    </xf>
    <xf numFmtId="4" fontId="24" fillId="0" borderId="29" xfId="0" applyNumberFormat="1" applyFont="1" applyBorder="1" applyAlignment="1">
      <alignment horizontal="right"/>
    </xf>
    <xf numFmtId="4" fontId="29" fillId="27" borderId="19" xfId="0" applyNumberFormat="1" applyFont="1" applyFill="1" applyBorder="1"/>
    <xf numFmtId="4" fontId="29" fillId="0" borderId="0" xfId="0" applyNumberFormat="1" applyFont="1"/>
    <xf numFmtId="4" fontId="29" fillId="27" borderId="28" xfId="0" applyNumberFormat="1" applyFont="1" applyFill="1" applyBorder="1"/>
    <xf numFmtId="4" fontId="29" fillId="0" borderId="28" xfId="0" applyNumberFormat="1" applyFont="1" applyBorder="1"/>
    <xf numFmtId="4" fontId="24" fillId="0" borderId="0" xfId="0" applyNumberFormat="1" applyFont="1"/>
    <xf numFmtId="168" fontId="24" fillId="30" borderId="26" xfId="0" applyNumberFormat="1" applyFont="1" applyFill="1" applyBorder="1"/>
    <xf numFmtId="168" fontId="24" fillId="30" borderId="13" xfId="0" applyNumberFormat="1" applyFont="1" applyFill="1" applyBorder="1"/>
    <xf numFmtId="3" fontId="0" fillId="0" borderId="0" xfId="0" applyNumberFormat="1"/>
    <xf numFmtId="4" fontId="24" fillId="30" borderId="15" xfId="0" applyNumberFormat="1" applyFont="1" applyFill="1" applyBorder="1" applyAlignment="1">
      <alignment horizontal="right"/>
    </xf>
    <xf numFmtId="4" fontId="24" fillId="32" borderId="14" xfId="0" applyNumberFormat="1" applyFont="1" applyFill="1" applyBorder="1" applyAlignment="1">
      <alignment horizontal="right"/>
    </xf>
    <xf numFmtId="4" fontId="24" fillId="32" borderId="26" xfId="0" applyNumberFormat="1" applyFont="1" applyFill="1" applyBorder="1" applyAlignment="1">
      <alignment horizontal="right"/>
    </xf>
    <xf numFmtId="4" fontId="24" fillId="32" borderId="16" xfId="0" applyNumberFormat="1" applyFont="1" applyFill="1" applyBorder="1"/>
    <xf numFmtId="4" fontId="24" fillId="32" borderId="14" xfId="0" applyNumberFormat="1" applyFont="1" applyFill="1" applyBorder="1"/>
    <xf numFmtId="168" fontId="24" fillId="32" borderId="26" xfId="0" applyNumberFormat="1" applyFont="1" applyFill="1" applyBorder="1"/>
    <xf numFmtId="4" fontId="24" fillId="32" borderId="13" xfId="0" applyNumberFormat="1" applyFont="1" applyFill="1" applyBorder="1"/>
    <xf numFmtId="4" fontId="24" fillId="32" borderId="16" xfId="40" applyNumberFormat="1" applyFont="1" applyFill="1" applyBorder="1" applyAlignment="1">
      <alignment horizontal="right"/>
    </xf>
    <xf numFmtId="4" fontId="24" fillId="32" borderId="13" xfId="40" applyNumberFormat="1" applyFont="1" applyFill="1" applyBorder="1" applyAlignment="1">
      <alignment horizontal="right"/>
    </xf>
    <xf numFmtId="168" fontId="24" fillId="32" borderId="13" xfId="40" applyNumberFormat="1" applyFont="1" applyFill="1" applyBorder="1" applyAlignment="1">
      <alignment horizontal="right"/>
    </xf>
    <xf numFmtId="4" fontId="24" fillId="32" borderId="24" xfId="0" applyNumberFormat="1" applyFont="1" applyFill="1" applyBorder="1"/>
    <xf numFmtId="4" fontId="24" fillId="32" borderId="26" xfId="0" applyNumberFormat="1" applyFont="1" applyFill="1" applyBorder="1"/>
    <xf numFmtId="168" fontId="24" fillId="32" borderId="13" xfId="0" applyNumberFormat="1" applyFont="1" applyFill="1" applyBorder="1"/>
    <xf numFmtId="4" fontId="29" fillId="32" borderId="16" xfId="0" applyNumberFormat="1" applyFont="1" applyFill="1" applyBorder="1"/>
    <xf numFmtId="4" fontId="29" fillId="32" borderId="26" xfId="0" applyNumberFormat="1" applyFont="1" applyFill="1" applyBorder="1"/>
    <xf numFmtId="4" fontId="29" fillId="32" borderId="14" xfId="0" applyNumberFormat="1" applyFont="1" applyFill="1" applyBorder="1"/>
    <xf numFmtId="0" fontId="27" fillId="28" borderId="27" xfId="0" applyFont="1" applyFill="1" applyBorder="1" applyAlignment="1">
      <alignment horizontal="left"/>
    </xf>
    <xf numFmtId="0" fontId="27" fillId="28" borderId="28" xfId="0" applyFont="1" applyFill="1" applyBorder="1" applyAlignment="1">
      <alignment horizontal="center"/>
    </xf>
    <xf numFmtId="0" fontId="27" fillId="28" borderId="29" xfId="0" applyFont="1" applyFill="1" applyBorder="1" applyAlignment="1">
      <alignment horizontal="center"/>
    </xf>
    <xf numFmtId="0" fontId="24" fillId="0" borderId="28" xfId="0" applyFont="1" applyBorder="1"/>
    <xf numFmtId="4" fontId="29" fillId="0" borderId="29" xfId="0" applyNumberFormat="1" applyFont="1" applyBorder="1"/>
    <xf numFmtId="4" fontId="24" fillId="30" borderId="20" xfId="0" applyNumberFormat="1" applyFont="1" applyFill="1" applyBorder="1" applyAlignment="1">
      <alignment horizontal="right"/>
    </xf>
    <xf numFmtId="4" fontId="24" fillId="32" borderId="20" xfId="0" applyNumberFormat="1" applyFont="1" applyFill="1" applyBorder="1" applyAlignment="1">
      <alignment horizontal="right"/>
    </xf>
    <xf numFmtId="0" fontId="28" fillId="25" borderId="27" xfId="0" applyFont="1" applyFill="1" applyBorder="1"/>
    <xf numFmtId="0" fontId="29" fillId="25" borderId="28" xfId="0" applyFont="1" applyFill="1" applyBorder="1"/>
    <xf numFmtId="0" fontId="29" fillId="25" borderId="29" xfId="0" applyFont="1" applyFill="1" applyBorder="1"/>
    <xf numFmtId="0" fontId="29" fillId="0" borderId="0" xfId="0" applyFont="1" applyAlignment="1">
      <alignment horizontal="center"/>
    </xf>
    <xf numFmtId="0" fontId="29" fillId="0" borderId="26" xfId="0" applyFont="1" applyBorder="1"/>
    <xf numFmtId="0" fontId="29" fillId="0" borderId="26" xfId="0" applyFont="1" applyBorder="1" applyAlignment="1">
      <alignment horizontal="center"/>
    </xf>
    <xf numFmtId="0" fontId="36" fillId="0" borderId="0" xfId="0" applyFont="1"/>
    <xf numFmtId="0" fontId="29" fillId="0" borderId="26" xfId="0" applyFont="1" applyBorder="1" applyAlignment="1">
      <alignment horizontal="left" indent="2"/>
    </xf>
    <xf numFmtId="2" fontId="24" fillId="0" borderId="26" xfId="44" applyNumberFormat="1" applyFont="1" applyFill="1" applyBorder="1"/>
    <xf numFmtId="0" fontId="24" fillId="0" borderId="29" xfId="0" applyFont="1" applyBorder="1" applyAlignment="1">
      <alignment horizontal="center"/>
    </xf>
    <xf numFmtId="0" fontId="24" fillId="0" borderId="26" xfId="0" applyFont="1" applyBorder="1" applyAlignment="1">
      <alignment horizontal="center"/>
    </xf>
    <xf numFmtId="0" fontId="24" fillId="0" borderId="14" xfId="0" applyFont="1" applyBorder="1" applyAlignment="1">
      <alignment horizontal="center"/>
    </xf>
    <xf numFmtId="2" fontId="24" fillId="0" borderId="27" xfId="44" applyNumberFormat="1" applyFont="1" applyFill="1" applyBorder="1"/>
    <xf numFmtId="2" fontId="24" fillId="24" borderId="27" xfId="44" applyNumberFormat="1" applyFont="1" applyFill="1" applyBorder="1"/>
    <xf numFmtId="2" fontId="29" fillId="0" borderId="26" xfId="44" applyNumberFormat="1" applyFont="1" applyFill="1" applyBorder="1" applyAlignment="1">
      <alignment horizontal="right"/>
    </xf>
    <xf numFmtId="0" fontId="29" fillId="0" borderId="15" xfId="0" applyFont="1" applyBorder="1"/>
    <xf numFmtId="0" fontId="29" fillId="0" borderId="25" xfId="0" applyFont="1" applyBorder="1"/>
    <xf numFmtId="0" fontId="29" fillId="0" borderId="0" xfId="0" applyFont="1" applyAlignment="1">
      <alignment horizontal="right"/>
    </xf>
    <xf numFmtId="0" fontId="32" fillId="29" borderId="33" xfId="54" applyFont="1" applyFill="1" applyBorder="1" applyAlignment="1">
      <alignment horizontal="left"/>
    </xf>
    <xf numFmtId="0" fontId="24" fillId="29" borderId="28" xfId="60" applyFont="1" applyFill="1" applyBorder="1" applyAlignment="1">
      <alignment horizontal="left"/>
    </xf>
    <xf numFmtId="41" fontId="24" fillId="29" borderId="28" xfId="61" applyNumberFormat="1" applyFont="1" applyFill="1" applyBorder="1" applyAlignment="1">
      <alignment horizontal="left"/>
    </xf>
    <xf numFmtId="0" fontId="24" fillId="0" borderId="28" xfId="60" applyFont="1" applyBorder="1" applyAlignment="1">
      <alignment horizontal="left"/>
    </xf>
    <xf numFmtId="0" fontId="24" fillId="0" borderId="0" xfId="60" applyFont="1" applyAlignment="1">
      <alignment horizontal="left"/>
    </xf>
    <xf numFmtId="0" fontId="24" fillId="0" borderId="0" xfId="60" applyFont="1"/>
    <xf numFmtId="0" fontId="24" fillId="0" borderId="25" xfId="60" applyFont="1" applyBorder="1" applyAlignment="1">
      <alignment horizontal="center"/>
    </xf>
    <xf numFmtId="0" fontId="27" fillId="0" borderId="26" xfId="60" applyFont="1" applyBorder="1" applyAlignment="1">
      <alignment horizontal="center"/>
    </xf>
    <xf numFmtId="0" fontId="24" fillId="0" borderId="14" xfId="60" applyFont="1" applyBorder="1" applyAlignment="1">
      <alignment horizontal="center"/>
    </xf>
    <xf numFmtId="2" fontId="24" fillId="0" borderId="14" xfId="60" applyNumberFormat="1" applyFont="1" applyBorder="1"/>
    <xf numFmtId="2" fontId="24" fillId="0" borderId="14" xfId="61" applyNumberFormat="1" applyFont="1" applyFill="1" applyBorder="1"/>
    <xf numFmtId="0" fontId="24" fillId="0" borderId="34" xfId="60" applyFont="1" applyBorder="1" applyAlignment="1">
      <alignment horizontal="center"/>
    </xf>
    <xf numFmtId="2" fontId="24" fillId="0" borderId="34" xfId="61" applyNumberFormat="1" applyFont="1" applyFill="1" applyBorder="1"/>
    <xf numFmtId="2" fontId="24" fillId="0" borderId="34" xfId="60" applyNumberFormat="1" applyFont="1" applyBorder="1"/>
    <xf numFmtId="2" fontId="24" fillId="0" borderId="34" xfId="60" applyNumberFormat="1" applyFont="1" applyBorder="1" applyAlignment="1">
      <alignment horizontal="right"/>
    </xf>
    <xf numFmtId="0" fontId="1" fillId="0" borderId="0" xfId="60"/>
    <xf numFmtId="0" fontId="24" fillId="0" borderId="35" xfId="60" applyFont="1" applyBorder="1" applyAlignment="1">
      <alignment horizontal="center"/>
    </xf>
    <xf numFmtId="2" fontId="24" fillId="0" borderId="35" xfId="60" applyNumberFormat="1" applyFont="1" applyBorder="1"/>
    <xf numFmtId="0" fontId="37" fillId="0" borderId="0" xfId="60" applyFont="1"/>
    <xf numFmtId="0" fontId="35" fillId="0" borderId="0" xfId="60" applyFont="1"/>
    <xf numFmtId="0" fontId="29" fillId="0" borderId="29" xfId="0" applyFont="1" applyBorder="1"/>
    <xf numFmtId="0" fontId="29" fillId="31" borderId="26" xfId="0" applyFont="1" applyFill="1" applyBorder="1"/>
    <xf numFmtId="0" fontId="28" fillId="25" borderId="36" xfId="0" applyFont="1" applyFill="1" applyBorder="1"/>
    <xf numFmtId="0" fontId="29" fillId="25" borderId="37" xfId="0" applyFont="1" applyFill="1" applyBorder="1"/>
    <xf numFmtId="37" fontId="29" fillId="0" borderId="0" xfId="0" applyNumberFormat="1" applyFont="1"/>
    <xf numFmtId="37" fontId="29" fillId="0" borderId="19" xfId="0" applyNumberFormat="1" applyFont="1" applyBorder="1"/>
    <xf numFmtId="0" fontId="28" fillId="0" borderId="36" xfId="0" applyFont="1" applyBorder="1" applyAlignment="1">
      <alignment horizontal="left"/>
    </xf>
    <xf numFmtId="0" fontId="28" fillId="0" borderId="36" xfId="0" applyFont="1" applyBorder="1" applyAlignment="1">
      <alignment horizontal="center"/>
    </xf>
    <xf numFmtId="0" fontId="29" fillId="0" borderId="36" xfId="0" applyFont="1" applyBorder="1" applyAlignment="1">
      <alignment horizontal="left" indent="1"/>
    </xf>
    <xf numFmtId="0" fontId="29" fillId="0" borderId="41" xfId="0" applyFont="1" applyBorder="1" applyAlignment="1">
      <alignment horizontal="center" wrapText="1"/>
    </xf>
    <xf numFmtId="0" fontId="29" fillId="0" borderId="37" xfId="0" applyFont="1" applyBorder="1" applyAlignment="1">
      <alignment horizontal="center" wrapText="1"/>
    </xf>
    <xf numFmtId="0" fontId="29" fillId="0" borderId="38" xfId="0" applyFont="1" applyBorder="1" applyAlignment="1">
      <alignment horizontal="center" wrapText="1"/>
    </xf>
    <xf numFmtId="0" fontId="29" fillId="0" borderId="39" xfId="0" applyFont="1" applyBorder="1" applyAlignment="1">
      <alignment horizontal="center" wrapText="1"/>
    </xf>
    <xf numFmtId="0" fontId="29" fillId="0" borderId="36" xfId="0" applyFont="1" applyBorder="1" applyAlignment="1">
      <alignment horizontal="center" wrapText="1"/>
    </xf>
    <xf numFmtId="0" fontId="29" fillId="0" borderId="43" xfId="0" applyFont="1" applyBorder="1" applyAlignment="1">
      <alignment horizontal="left" indent="2"/>
    </xf>
    <xf numFmtId="2" fontId="29" fillId="0" borderId="0" xfId="44" applyNumberFormat="1" applyFont="1" applyFill="1" applyBorder="1"/>
    <xf numFmtId="3" fontId="29" fillId="0" borderId="0" xfId="0" applyNumberFormat="1" applyFont="1"/>
    <xf numFmtId="3" fontId="29" fillId="0" borderId="25" xfId="0" applyNumberFormat="1" applyFont="1" applyBorder="1"/>
    <xf numFmtId="3" fontId="29" fillId="0" borderId="44" xfId="0" applyNumberFormat="1" applyFont="1" applyBorder="1"/>
    <xf numFmtId="1" fontId="29" fillId="0" borderId="0" xfId="44" applyNumberFormat="1" applyFont="1" applyFill="1" applyBorder="1"/>
    <xf numFmtId="3" fontId="29" fillId="0" borderId="38" xfId="0" applyNumberFormat="1" applyFont="1" applyBorder="1"/>
    <xf numFmtId="3" fontId="29" fillId="0" borderId="39" xfId="0" applyNumberFormat="1" applyFont="1" applyBorder="1"/>
    <xf numFmtId="3" fontId="29" fillId="0" borderId="43" xfId="0" applyNumberFormat="1" applyFont="1" applyBorder="1"/>
    <xf numFmtId="3" fontId="29" fillId="0" borderId="40" xfId="0" applyNumberFormat="1" applyFont="1" applyBorder="1"/>
    <xf numFmtId="3" fontId="29" fillId="0" borderId="20" xfId="0" applyNumberFormat="1" applyFont="1" applyBorder="1"/>
    <xf numFmtId="0" fontId="29" fillId="0" borderId="36" xfId="0" applyFont="1" applyBorder="1" applyAlignment="1">
      <alignment horizontal="left" indent="2"/>
    </xf>
    <xf numFmtId="2" fontId="29" fillId="0" borderId="18" xfId="44" applyNumberFormat="1" applyFont="1" applyFill="1" applyBorder="1"/>
    <xf numFmtId="3" fontId="29" fillId="0" borderId="37" xfId="0" applyNumberFormat="1" applyFont="1" applyBorder="1"/>
    <xf numFmtId="3" fontId="29" fillId="0" borderId="41" xfId="0" applyNumberFormat="1" applyFont="1" applyBorder="1"/>
    <xf numFmtId="3" fontId="29" fillId="0" borderId="42" xfId="0" applyNumberFormat="1" applyFont="1" applyBorder="1"/>
    <xf numFmtId="1" fontId="29" fillId="0" borderId="37" xfId="44" applyNumberFormat="1" applyFont="1" applyFill="1" applyBorder="1"/>
    <xf numFmtId="3" fontId="29" fillId="0" borderId="36" xfId="0" applyNumberFormat="1" applyFont="1" applyBorder="1"/>
    <xf numFmtId="4" fontId="29" fillId="0" borderId="0" xfId="44" applyNumberFormat="1" applyFont="1" applyFill="1" applyBorder="1"/>
    <xf numFmtId="0" fontId="29" fillId="0" borderId="0" xfId="0" applyFont="1" applyAlignment="1">
      <alignment horizontal="left" indent="3"/>
    </xf>
    <xf numFmtId="37" fontId="29" fillId="0" borderId="39" xfId="0" applyNumberFormat="1" applyFont="1" applyBorder="1"/>
    <xf numFmtId="0" fontId="29" fillId="0" borderId="0" xfId="0" applyFont="1" applyAlignment="1">
      <alignment horizontal="left" indent="4"/>
    </xf>
    <xf numFmtId="169" fontId="29" fillId="0" borderId="43" xfId="0" applyNumberFormat="1" applyFont="1" applyBorder="1"/>
    <xf numFmtId="169" fontId="29" fillId="0" borderId="0" xfId="44" applyNumberFormat="1" applyFont="1" applyBorder="1"/>
    <xf numFmtId="169" fontId="29" fillId="0" borderId="36" xfId="0" applyNumberFormat="1" applyFont="1" applyBorder="1"/>
    <xf numFmtId="41" fontId="29" fillId="0" borderId="0" xfId="0" applyNumberFormat="1" applyFont="1"/>
    <xf numFmtId="3" fontId="29" fillId="0" borderId="19" xfId="0" applyNumberFormat="1" applyFont="1" applyBorder="1"/>
    <xf numFmtId="0" fontId="28" fillId="0" borderId="36" xfId="0" applyFont="1" applyBorder="1"/>
    <xf numFmtId="0" fontId="29" fillId="0" borderId="42" xfId="0" applyFont="1" applyBorder="1" applyAlignment="1">
      <alignment horizontal="center" wrapText="1"/>
    </xf>
    <xf numFmtId="166" fontId="29" fillId="0" borderId="39" xfId="44" applyNumberFormat="1" applyFont="1" applyFill="1" applyBorder="1"/>
    <xf numFmtId="4" fontId="29" fillId="0" borderId="18" xfId="44" applyNumberFormat="1" applyFont="1" applyFill="1" applyBorder="1"/>
    <xf numFmtId="3" fontId="29" fillId="0" borderId="18" xfId="0" applyNumberFormat="1" applyFont="1" applyBorder="1"/>
    <xf numFmtId="3" fontId="29" fillId="0" borderId="22" xfId="0" applyNumberFormat="1" applyFont="1" applyBorder="1"/>
    <xf numFmtId="3" fontId="29" fillId="0" borderId="16" xfId="0" applyNumberFormat="1" applyFont="1" applyBorder="1"/>
    <xf numFmtId="166" fontId="29" fillId="0" borderId="37" xfId="44" applyNumberFormat="1" applyFont="1" applyFill="1" applyBorder="1"/>
    <xf numFmtId="0" fontId="27" fillId="0" borderId="0" xfId="54" applyFont="1"/>
    <xf numFmtId="0" fontId="27" fillId="0" borderId="0" xfId="54" applyFont="1" applyAlignment="1">
      <alignment horizontal="center"/>
    </xf>
    <xf numFmtId="164" fontId="24" fillId="0" borderId="36" xfId="54" applyNumberFormat="1" applyFont="1" applyBorder="1" applyAlignment="1">
      <alignment horizontal="center"/>
    </xf>
    <xf numFmtId="164" fontId="24" fillId="0" borderId="0" xfId="54" applyNumberFormat="1" applyFont="1" applyAlignment="1">
      <alignment horizontal="left"/>
    </xf>
    <xf numFmtId="0" fontId="24" fillId="0" borderId="36" xfId="54" applyFont="1" applyBorder="1" applyAlignment="1">
      <alignment horizontal="left" wrapText="1"/>
    </xf>
    <xf numFmtId="0" fontId="24" fillId="0" borderId="18" xfId="0" applyFont="1" applyBorder="1" applyAlignment="1">
      <alignment horizontal="center"/>
    </xf>
    <xf numFmtId="0" fontId="24" fillId="0" borderId="22" xfId="0" applyFont="1" applyBorder="1" applyAlignment="1">
      <alignment horizontal="center"/>
    </xf>
    <xf numFmtId="164" fontId="24" fillId="0" borderId="27" xfId="40" applyNumberFormat="1" applyFont="1" applyBorder="1" applyAlignment="1">
      <alignment horizontal="center"/>
    </xf>
    <xf numFmtId="164" fontId="24" fillId="0" borderId="29" xfId="40" applyNumberFormat="1" applyFont="1" applyBorder="1" applyAlignment="1">
      <alignment horizontal="center"/>
    </xf>
    <xf numFmtId="0" fontId="28" fillId="0" borderId="43" xfId="0" applyFont="1" applyBorder="1" applyAlignment="1">
      <alignment horizontal="center" wrapText="1"/>
    </xf>
    <xf numFmtId="0" fontId="28" fillId="0" borderId="16" xfId="0" applyFont="1" applyBorder="1" applyAlignment="1">
      <alignment horizontal="center" wrapText="1"/>
    </xf>
    <xf numFmtId="0" fontId="28" fillId="0" borderId="38" xfId="0" applyFont="1" applyBorder="1" applyAlignment="1">
      <alignment horizontal="center"/>
    </xf>
    <xf numFmtId="0" fontId="28" fillId="0" borderId="39" xfId="0" applyFont="1" applyBorder="1" applyAlignment="1">
      <alignment horizontal="center"/>
    </xf>
    <xf numFmtId="0" fontId="28" fillId="0" borderId="40" xfId="0" applyFont="1" applyBorder="1" applyAlignment="1">
      <alignment horizontal="center"/>
    </xf>
    <xf numFmtId="41" fontId="28" fillId="0" borderId="38" xfId="0" applyNumberFormat="1" applyFont="1" applyBorder="1" applyAlignment="1">
      <alignment horizontal="center"/>
    </xf>
    <xf numFmtId="41" fontId="28" fillId="0" borderId="40" xfId="0" applyNumberFormat="1" applyFont="1" applyBorder="1" applyAlignment="1">
      <alignment horizontal="center"/>
    </xf>
    <xf numFmtId="0" fontId="28" fillId="0" borderId="41" xfId="0" applyFont="1" applyBorder="1" applyAlignment="1">
      <alignment horizontal="center"/>
    </xf>
    <xf numFmtId="0" fontId="28" fillId="0" borderId="37" xfId="0" applyFont="1" applyBorder="1" applyAlignment="1">
      <alignment horizontal="center"/>
    </xf>
    <xf numFmtId="0" fontId="28" fillId="0" borderId="42" xfId="0" applyFont="1" applyBorder="1" applyAlignment="1">
      <alignment horizontal="center"/>
    </xf>
  </cellXfs>
  <cellStyles count="68">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alculation 2 2" xfId="62" xr:uid="{454A6379-FF25-4206-A492-91C56BEF6691}"/>
    <cellStyle name="Check Cell 2" xfId="27" xr:uid="{00000000-0005-0000-0000-00001A000000}"/>
    <cellStyle name="Currency 2" xfId="28" xr:uid="{00000000-0005-0000-0000-00001B000000}"/>
    <cellStyle name="Currency 2 2" xfId="29" xr:uid="{00000000-0005-0000-0000-00001C000000}"/>
    <cellStyle name="Currency 2 2 2" xfId="52" xr:uid="{00000000-0005-0000-0000-00001C000000}"/>
    <cellStyle name="Currency 2 3" xfId="51" xr:uid="{00000000-0005-0000-0000-00001B000000}"/>
    <cellStyle name="Currency 3" xfId="30" xr:uid="{00000000-0005-0000-0000-00001D000000}"/>
    <cellStyle name="Currency 3 2" xfId="53" xr:uid="{00000000-0005-0000-0000-00001D000000}"/>
    <cellStyle name="Currency 4" xfId="61" xr:uid="{E9526E69-16F9-411E-A0B2-7D49207E0F25}"/>
    <cellStyle name="Explanatory Text 2" xfId="31" xr:uid="{00000000-0005-0000-0000-00001E000000}"/>
    <cellStyle name="Good 2" xfId="32" xr:uid="{00000000-0005-0000-0000-00001F000000}"/>
    <cellStyle name="Heading 1 2" xfId="33" xr:uid="{00000000-0005-0000-0000-000020000000}"/>
    <cellStyle name="Heading 2 2" xfId="34" xr:uid="{00000000-0005-0000-0000-000021000000}"/>
    <cellStyle name="Heading 3 2" xfId="35" xr:uid="{00000000-0005-0000-0000-000022000000}"/>
    <cellStyle name="Heading 4 2" xfId="36" xr:uid="{00000000-0005-0000-0000-000023000000}"/>
    <cellStyle name="Input 2" xfId="37" xr:uid="{00000000-0005-0000-0000-000024000000}"/>
    <cellStyle name="Input 2 2" xfId="63" xr:uid="{A72426EE-0090-4B5D-B135-DC610902487C}"/>
    <cellStyle name="Linked Cell 2" xfId="38" xr:uid="{00000000-0005-0000-0000-000025000000}"/>
    <cellStyle name="Neutral 2" xfId="39" xr:uid="{00000000-0005-0000-0000-000026000000}"/>
    <cellStyle name="Normal" xfId="0" builtinId="0"/>
    <cellStyle name="Normal 2" xfId="40" xr:uid="{00000000-0005-0000-0000-000028000000}"/>
    <cellStyle name="Normal 2 2" xfId="54" xr:uid="{00000000-0005-0000-0000-000028000000}"/>
    <cellStyle name="Normal 3" xfId="41" xr:uid="{00000000-0005-0000-0000-000029000000}"/>
    <cellStyle name="Normal 3 2" xfId="55" xr:uid="{00000000-0005-0000-0000-000029000000}"/>
    <cellStyle name="Normal 4" xfId="60" xr:uid="{F75D2916-0274-4465-9108-FA6376792125}"/>
    <cellStyle name="Note 2" xfId="42" xr:uid="{00000000-0005-0000-0000-00002A000000}"/>
    <cellStyle name="Note 2 2" xfId="56" xr:uid="{00000000-0005-0000-0000-00002A000000}"/>
    <cellStyle name="Note 2 2 2" xfId="67" xr:uid="{DC3D8D55-AFA8-45E5-941A-4AEA3A586F84}"/>
    <cellStyle name="Note 2 3" xfId="64" xr:uid="{1C1295E8-B3FB-49DB-A356-65F7BE6F8E82}"/>
    <cellStyle name="Output 2" xfId="43" xr:uid="{00000000-0005-0000-0000-00002B000000}"/>
    <cellStyle name="Output 2 2" xfId="65" xr:uid="{2AE75856-A4AD-4F58-BC84-1EE0E014BB14}"/>
    <cellStyle name="Percent" xfId="44" builtinId="5"/>
    <cellStyle name="Percent 2" xfId="45" xr:uid="{00000000-0005-0000-0000-00002D000000}"/>
    <cellStyle name="Percent 2 2" xfId="46" xr:uid="{00000000-0005-0000-0000-00002E000000}"/>
    <cellStyle name="Percent 2 2 2" xfId="58" xr:uid="{00000000-0005-0000-0000-00002E000000}"/>
    <cellStyle name="Percent 2 3" xfId="57" xr:uid="{00000000-0005-0000-0000-00002D000000}"/>
    <cellStyle name="Percent 3" xfId="47" xr:uid="{00000000-0005-0000-0000-00002F000000}"/>
    <cellStyle name="Percent 3 2" xfId="59" xr:uid="{00000000-0005-0000-0000-00002F000000}"/>
    <cellStyle name="Title 2" xfId="48" xr:uid="{00000000-0005-0000-0000-000030000000}"/>
    <cellStyle name="Total 2" xfId="49" xr:uid="{00000000-0005-0000-0000-000031000000}"/>
    <cellStyle name="Total 2 2" xfId="66" xr:uid="{F30274CF-FFFF-47A3-BE64-6979E9983784}"/>
    <cellStyle name="Warning Text 2" xfId="50" xr:uid="{00000000-0005-0000-0000-000032000000}"/>
  </cellStyles>
  <dxfs count="6">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76200</xdr:colOff>
      <xdr:row>41</xdr:row>
      <xdr:rowOff>9524</xdr:rowOff>
    </xdr:from>
    <xdr:to>
      <xdr:col>4</xdr:col>
      <xdr:colOff>1234019</xdr:colOff>
      <xdr:row>50</xdr:row>
      <xdr:rowOff>104774</xdr:rowOff>
    </xdr:to>
    <xdr:sp macro="" textlink="">
      <xdr:nvSpPr>
        <xdr:cNvPr id="3" name="TextBox 2">
          <a:extLst>
            <a:ext uri="{FF2B5EF4-FFF2-40B4-BE49-F238E27FC236}">
              <a16:creationId xmlns:a16="http://schemas.microsoft.com/office/drawing/2014/main" id="{54347F10-3423-495A-9924-8A4A8617F3FC}"/>
            </a:ext>
          </a:extLst>
        </xdr:cNvPr>
        <xdr:cNvSpPr txBox="1"/>
      </xdr:nvSpPr>
      <xdr:spPr>
        <a:xfrm>
          <a:off x="4257675" y="6734174"/>
          <a:ext cx="3424769" cy="1552575"/>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Cash flow reads the annual income tax rate from the table under </a:t>
          </a:r>
          <a:r>
            <a:rPr lang="en-US" sz="1100" baseline="0"/>
            <a:t>"ANNUAL VALUES" below. Year 1 tax rates are shown here for reference.</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System Costs input page.</a:t>
          </a:r>
          <a:endParaRPr lang="en-US">
            <a:effectLst/>
          </a:endParaRPr>
        </a:p>
        <a:p>
          <a:endParaRPr lang="en-US" sz="1100"/>
        </a:p>
      </xdr:txBody>
    </xdr:sp>
    <xdr:clientData/>
  </xdr:twoCellAnchor>
  <xdr:twoCellAnchor>
    <xdr:from>
      <xdr:col>0</xdr:col>
      <xdr:colOff>1704975</xdr:colOff>
      <xdr:row>8</xdr:row>
      <xdr:rowOff>114300</xdr:rowOff>
    </xdr:from>
    <xdr:to>
      <xdr:col>0</xdr:col>
      <xdr:colOff>3171825</xdr:colOff>
      <xdr:row>13</xdr:row>
      <xdr:rowOff>45510</xdr:rowOff>
    </xdr:to>
    <xdr:sp macro="" textlink="">
      <xdr:nvSpPr>
        <xdr:cNvPr id="4" name="TextBox 3">
          <a:extLst>
            <a:ext uri="{FF2B5EF4-FFF2-40B4-BE49-F238E27FC236}">
              <a16:creationId xmlns:a16="http://schemas.microsoft.com/office/drawing/2014/main" id="{511BF068-3FCD-4099-9D27-21A1A6D0CF58}"/>
            </a:ext>
          </a:extLst>
        </xdr:cNvPr>
        <xdr:cNvSpPr txBox="1"/>
      </xdr:nvSpPr>
      <xdr:spPr>
        <a:xfrm>
          <a:off x="1704975" y="1514475"/>
          <a:ext cx="1466850" cy="74083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indicates O&amp;M costs entered as annual values. </a:t>
          </a:r>
          <a:r>
            <a:rPr lang="en-US" sz="1100" baseline="0"/>
            <a:t>See "ANNUAL VALUES" below.</a:t>
          </a:r>
          <a:endParaRPr lang="en-US" sz="1100"/>
        </a:p>
      </xdr:txBody>
    </xdr:sp>
    <xdr:clientData/>
  </xdr:twoCellAnchor>
  <xdr:twoCellAnchor>
    <xdr:from>
      <xdr:col>4</xdr:col>
      <xdr:colOff>57149</xdr:colOff>
      <xdr:row>62</xdr:row>
      <xdr:rowOff>47624</xdr:rowOff>
    </xdr:from>
    <xdr:to>
      <xdr:col>5</xdr:col>
      <xdr:colOff>923924</xdr:colOff>
      <xdr:row>65</xdr:row>
      <xdr:rowOff>114300</xdr:rowOff>
    </xdr:to>
    <xdr:sp macro="" textlink="">
      <xdr:nvSpPr>
        <xdr:cNvPr id="6" name="TextBox 5">
          <a:extLst>
            <a:ext uri="{FF2B5EF4-FFF2-40B4-BE49-F238E27FC236}">
              <a16:creationId xmlns:a16="http://schemas.microsoft.com/office/drawing/2014/main" id="{8313D132-22BC-41F4-B152-7BEF4521CCB4}"/>
            </a:ext>
          </a:extLst>
        </xdr:cNvPr>
        <xdr:cNvSpPr txBox="1"/>
      </xdr:nvSpPr>
      <xdr:spPr>
        <a:xfrm>
          <a:off x="6505574" y="10172699"/>
          <a:ext cx="2181225" cy="552451"/>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PTC amount indicates amounts entered as annual values. </a:t>
          </a:r>
          <a:r>
            <a:rPr lang="en-US" sz="1100" baseline="0"/>
            <a:t>See "ANNUAL VALUES" below.</a:t>
          </a:r>
          <a:endParaRPr lang="en-US" sz="1100"/>
        </a:p>
      </xdr:txBody>
    </xdr:sp>
    <xdr:clientData/>
  </xdr:twoCellAnchor>
  <xdr:twoCellAnchor>
    <xdr:from>
      <xdr:col>0</xdr:col>
      <xdr:colOff>1209675</xdr:colOff>
      <xdr:row>84</xdr:row>
      <xdr:rowOff>66675</xdr:rowOff>
    </xdr:from>
    <xdr:to>
      <xdr:col>0</xdr:col>
      <xdr:colOff>3190875</xdr:colOff>
      <xdr:row>88</xdr:row>
      <xdr:rowOff>104775</xdr:rowOff>
    </xdr:to>
    <xdr:sp macro="" textlink="">
      <xdr:nvSpPr>
        <xdr:cNvPr id="7" name="TextBox 6">
          <a:extLst>
            <a:ext uri="{FF2B5EF4-FFF2-40B4-BE49-F238E27FC236}">
              <a16:creationId xmlns:a16="http://schemas.microsoft.com/office/drawing/2014/main" id="{46F97119-C887-40DF-9B94-4D345230FB7B}"/>
            </a:ext>
          </a:extLst>
        </xdr:cNvPr>
        <xdr:cNvSpPr txBox="1"/>
      </xdr:nvSpPr>
      <xdr:spPr>
        <a:xfrm>
          <a:off x="1209675" y="13754100"/>
          <a:ext cx="1981200" cy="685800"/>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amount indicates amounts entered as annual values. </a:t>
          </a:r>
          <a:r>
            <a:rPr lang="en-US" sz="1100" baseline="0"/>
            <a:t>See "ANNUAL VALUES" below.</a:t>
          </a:r>
          <a:endParaRPr lang="en-US" sz="1100"/>
        </a:p>
      </xdr:txBody>
    </xdr:sp>
    <xdr:clientData/>
  </xdr:twoCellAnchor>
  <xdr:twoCellAnchor>
    <xdr:from>
      <xdr:col>5</xdr:col>
      <xdr:colOff>47624</xdr:colOff>
      <xdr:row>55</xdr:row>
      <xdr:rowOff>28574</xdr:rowOff>
    </xdr:from>
    <xdr:to>
      <xdr:col>6</xdr:col>
      <xdr:colOff>914399</xdr:colOff>
      <xdr:row>59</xdr:row>
      <xdr:rowOff>104775</xdr:rowOff>
    </xdr:to>
    <xdr:sp macro="" textlink="">
      <xdr:nvSpPr>
        <xdr:cNvPr id="2" name="TextBox 1">
          <a:extLst>
            <a:ext uri="{FF2B5EF4-FFF2-40B4-BE49-F238E27FC236}">
              <a16:creationId xmlns:a16="http://schemas.microsoft.com/office/drawing/2014/main" id="{2D43DA59-E355-43BF-B8AE-86B8F0705C8B}"/>
            </a:ext>
          </a:extLst>
        </xdr:cNvPr>
        <xdr:cNvSpPr txBox="1"/>
      </xdr:nvSpPr>
      <xdr:spPr>
        <a:xfrm>
          <a:off x="7810499" y="9020174"/>
          <a:ext cx="2181225" cy="723901"/>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 years, see "ANNUAL VALUES" below: Values here are shown as sums of annual values for reference.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CX176"/>
  <sheetViews>
    <sheetView tabSelected="1" zoomScaleNormal="100" workbookViewId="0"/>
  </sheetViews>
  <sheetFormatPr defaultColWidth="15.6640625" defaultRowHeight="13.8" x14ac:dyDescent="0.3"/>
  <cols>
    <col min="1" max="1" width="48.44140625" style="11" customWidth="1"/>
    <col min="2" max="2" width="14.33203125" style="12" customWidth="1"/>
    <col min="3" max="3" width="14.33203125" style="11" customWidth="1"/>
    <col min="4" max="5" width="19.6640625" style="12" customWidth="1"/>
    <col min="6" max="6" width="19.6640625" style="11" customWidth="1"/>
    <col min="7" max="7" width="19.6640625" style="12" customWidth="1"/>
    <col min="8" max="8" width="14.44140625" style="12" customWidth="1"/>
    <col min="9" max="9" width="15.44140625" style="12" customWidth="1"/>
    <col min="10" max="10" width="21.88671875" style="12" customWidth="1"/>
    <col min="11" max="33" width="16" style="12" customWidth="1"/>
    <col min="34" max="34" width="15.6640625" style="12" customWidth="1"/>
    <col min="35" max="16384" width="15.6640625" style="12"/>
  </cols>
  <sheetData>
    <row r="1" spans="1:13" ht="21" thickBot="1" x14ac:dyDescent="0.5">
      <c r="A1" s="163" t="s">
        <v>166</v>
      </c>
      <c r="B1" s="157"/>
      <c r="D1" s="43" t="s">
        <v>29</v>
      </c>
    </row>
    <row r="2" spans="1:13" x14ac:dyDescent="0.3">
      <c r="A2" s="25" t="s">
        <v>23</v>
      </c>
      <c r="B2" s="26"/>
      <c r="C2" s="12"/>
      <c r="D2" s="44" t="s">
        <v>30</v>
      </c>
      <c r="F2" s="12"/>
    </row>
    <row r="3" spans="1:13" x14ac:dyDescent="0.3">
      <c r="A3" s="126" t="s">
        <v>22</v>
      </c>
      <c r="B3" s="147">
        <v>0</v>
      </c>
      <c r="C3" s="12"/>
      <c r="D3" s="45" t="s">
        <v>31</v>
      </c>
      <c r="F3" s="12"/>
    </row>
    <row r="4" spans="1:13" x14ac:dyDescent="0.3">
      <c r="A4" s="126" t="s">
        <v>106</v>
      </c>
      <c r="B4" s="148">
        <v>0</v>
      </c>
      <c r="C4" s="12"/>
      <c r="D4" s="193" t="s">
        <v>205</v>
      </c>
      <c r="F4" s="12"/>
    </row>
    <row r="5" spans="1:13" x14ac:dyDescent="0.3">
      <c r="A5" s="27"/>
      <c r="B5" s="130"/>
      <c r="C5" s="12"/>
      <c r="F5" s="12"/>
    </row>
    <row r="6" spans="1:13" x14ac:dyDescent="0.3">
      <c r="A6" s="25" t="s">
        <v>24</v>
      </c>
      <c r="B6" s="26"/>
      <c r="C6" s="12"/>
      <c r="D6" s="25" t="s">
        <v>50</v>
      </c>
      <c r="E6" s="26"/>
      <c r="F6" s="12"/>
      <c r="G6" s="114"/>
      <c r="H6" s="21"/>
    </row>
    <row r="7" spans="1:13" x14ac:dyDescent="0.3">
      <c r="A7" s="36" t="s">
        <v>107</v>
      </c>
      <c r="B7" s="149">
        <v>0</v>
      </c>
      <c r="C7" s="12"/>
      <c r="D7" s="125" t="s">
        <v>155</v>
      </c>
      <c r="E7" s="127" t="e">
        <f>(-'Cash Flow'!B132-NPV(NominalDiscountRate/100,'Cash Flow'!C132:CX132))/NPV(real_discount_rate/100,'Cash Flow'!C5:CX5)*100</f>
        <v>#DIV/0!</v>
      </c>
      <c r="F7" s="12"/>
      <c r="H7" s="115"/>
    </row>
    <row r="8" spans="1:13" x14ac:dyDescent="0.3">
      <c r="A8" s="40" t="s">
        <v>53</v>
      </c>
      <c r="B8" s="35"/>
      <c r="C8" s="12"/>
      <c r="D8" s="125" t="s">
        <v>154</v>
      </c>
      <c r="E8" s="127" t="e">
        <f>(-'Cash Flow'!B132-NPV(NominalDiscountRate/100,'Cash Flow'!C132:CX132))/NPV(NominalDiscountRate/100,'Cash Flow'!C5:CX5)*100</f>
        <v>#DIV/0!</v>
      </c>
      <c r="F8" s="12"/>
      <c r="H8" s="14"/>
    </row>
    <row r="9" spans="1:13" x14ac:dyDescent="0.3">
      <c r="A9" s="28" t="s">
        <v>21</v>
      </c>
      <c r="B9" s="150">
        <v>0</v>
      </c>
      <c r="C9" s="12"/>
      <c r="D9" s="125" t="s">
        <v>135</v>
      </c>
      <c r="E9" s="128">
        <f>'Cash Flow'!B134+NPV(NominalDiscountRate/100,'Cash Flow'!C134:CX134)</f>
        <v>0</v>
      </c>
      <c r="F9" s="12"/>
      <c r="H9" s="14"/>
    </row>
    <row r="10" spans="1:13" x14ac:dyDescent="0.3">
      <c r="A10" s="30" t="s">
        <v>98</v>
      </c>
      <c r="B10" s="151">
        <v>0</v>
      </c>
      <c r="C10" s="12"/>
      <c r="D10" s="126" t="s">
        <v>51</v>
      </c>
      <c r="E10" s="129" t="str">
        <f>IF('Cash Flow'!C142&gt;analysis_period,"&gt; analysis period",'Cash Flow'!C142)</f>
        <v>&gt; analysis period</v>
      </c>
      <c r="F10" s="12"/>
      <c r="H10" s="14"/>
    </row>
    <row r="11" spans="1:13" x14ac:dyDescent="0.3">
      <c r="A11" s="28" t="s">
        <v>10</v>
      </c>
      <c r="B11" s="152">
        <v>0</v>
      </c>
      <c r="C11" s="12"/>
      <c r="D11" s="126" t="s">
        <v>197</v>
      </c>
      <c r="E11" s="129" t="str">
        <f>IF('Cash Flow'!C148&gt;analysis_period,"&gt; analysis period",'Cash Flow'!C148)</f>
        <v>&gt; analysis period</v>
      </c>
      <c r="F11" s="12"/>
      <c r="H11" s="14"/>
    </row>
    <row r="12" spans="1:13" x14ac:dyDescent="0.3">
      <c r="A12" s="30" t="s">
        <v>98</v>
      </c>
      <c r="B12" s="151">
        <v>0</v>
      </c>
      <c r="C12" s="12"/>
      <c r="E12" s="122"/>
      <c r="F12" s="12"/>
      <c r="H12" s="14"/>
    </row>
    <row r="13" spans="1:13" x14ac:dyDescent="0.3">
      <c r="A13" s="28" t="s">
        <v>20</v>
      </c>
      <c r="B13" s="150">
        <v>0</v>
      </c>
      <c r="C13" s="12"/>
      <c r="D13" s="123"/>
      <c r="F13" s="12"/>
      <c r="H13" s="14"/>
    </row>
    <row r="14" spans="1:13" ht="12" customHeight="1" x14ac:dyDescent="0.3">
      <c r="A14" s="30" t="s">
        <v>98</v>
      </c>
      <c r="B14" s="151">
        <v>0</v>
      </c>
      <c r="C14" s="12"/>
      <c r="D14" s="123"/>
      <c r="E14" s="124"/>
      <c r="F14" s="12"/>
      <c r="H14" s="14"/>
      <c r="M14" s="13"/>
    </row>
    <row r="15" spans="1:13" ht="12" customHeight="1" x14ac:dyDescent="0.3">
      <c r="A15" s="28" t="s">
        <v>202</v>
      </c>
      <c r="B15" s="177" t="str">
        <f>IF(batt_replacement_option=0,"None",IF(batt_replacement_option=1,"Calculated","See Ann. Val. below"))</f>
        <v>None</v>
      </c>
      <c r="C15" s="12"/>
      <c r="D15" s="123"/>
      <c r="E15" s="124"/>
      <c r="F15" s="12"/>
      <c r="H15" s="14"/>
      <c r="M15" s="13"/>
    </row>
    <row r="16" spans="1:13" x14ac:dyDescent="0.3">
      <c r="A16" s="109" t="s">
        <v>55</v>
      </c>
      <c r="B16" s="110"/>
      <c r="C16" s="12"/>
      <c r="E16" s="14"/>
      <c r="F16" s="12"/>
      <c r="G16" s="16"/>
      <c r="H16" s="113"/>
    </row>
    <row r="17" spans="1:6" x14ac:dyDescent="0.3">
      <c r="A17" s="34" t="s">
        <v>130</v>
      </c>
      <c r="B17" s="111"/>
      <c r="C17" s="12"/>
      <c r="F17" s="12"/>
    </row>
    <row r="18" spans="1:6" x14ac:dyDescent="0.3">
      <c r="A18" s="33" t="s">
        <v>116</v>
      </c>
      <c r="B18" s="153">
        <v>0</v>
      </c>
      <c r="C18" s="12"/>
      <c r="F18" s="12"/>
    </row>
    <row r="19" spans="1:6" x14ac:dyDescent="0.3">
      <c r="A19" s="30" t="s">
        <v>131</v>
      </c>
      <c r="B19" s="154">
        <v>0</v>
      </c>
      <c r="C19" s="12"/>
      <c r="F19" s="12"/>
    </row>
    <row r="20" spans="1:6" x14ac:dyDescent="0.3">
      <c r="A20" s="30" t="s">
        <v>117</v>
      </c>
      <c r="B20" s="155">
        <v>0</v>
      </c>
      <c r="C20" s="12"/>
      <c r="F20" s="12"/>
    </row>
    <row r="21" spans="1:6" x14ac:dyDescent="0.3">
      <c r="A21" s="32" t="s">
        <v>98</v>
      </c>
      <c r="B21" s="151">
        <v>0</v>
      </c>
      <c r="C21" s="12"/>
      <c r="F21" s="12"/>
    </row>
    <row r="22" spans="1:6" x14ac:dyDescent="0.3">
      <c r="A22" s="34" t="s">
        <v>25</v>
      </c>
      <c r="B22" s="35"/>
      <c r="C22" s="12"/>
      <c r="F22" s="12"/>
    </row>
    <row r="23" spans="1:6" x14ac:dyDescent="0.3">
      <c r="A23" s="33" t="s">
        <v>118</v>
      </c>
      <c r="B23" s="155">
        <v>0</v>
      </c>
      <c r="C23" s="12"/>
      <c r="F23" s="12"/>
    </row>
    <row r="24" spans="1:6" x14ac:dyDescent="0.3">
      <c r="A24" s="30" t="s">
        <v>120</v>
      </c>
      <c r="B24" s="155">
        <v>0</v>
      </c>
      <c r="C24" s="12"/>
      <c r="F24" s="12"/>
    </row>
    <row r="25" spans="1:6" x14ac:dyDescent="0.3">
      <c r="A25" s="32" t="s">
        <v>98</v>
      </c>
      <c r="B25" s="156">
        <v>0</v>
      </c>
      <c r="C25" s="12"/>
      <c r="F25" s="12"/>
    </row>
    <row r="26" spans="1:6" x14ac:dyDescent="0.3">
      <c r="A26" s="30" t="s">
        <v>129</v>
      </c>
      <c r="B26" s="155">
        <v>0</v>
      </c>
      <c r="C26" s="12"/>
      <c r="F26" s="12"/>
    </row>
    <row r="27" spans="1:6" x14ac:dyDescent="0.3">
      <c r="A27" s="30" t="s">
        <v>119</v>
      </c>
      <c r="B27" s="155">
        <v>0</v>
      </c>
      <c r="C27" s="17"/>
      <c r="F27" s="12"/>
    </row>
    <row r="28" spans="1:6" x14ac:dyDescent="0.3">
      <c r="A28" s="32" t="s">
        <v>98</v>
      </c>
      <c r="B28" s="151">
        <v>0</v>
      </c>
      <c r="C28" s="17"/>
      <c r="F28" s="12"/>
    </row>
    <row r="29" spans="1:6" x14ac:dyDescent="0.3">
      <c r="A29" s="16"/>
      <c r="B29" s="16"/>
      <c r="C29" s="17"/>
      <c r="F29" s="12"/>
    </row>
    <row r="30" spans="1:6" x14ac:dyDescent="0.3">
      <c r="A30" s="25" t="s">
        <v>27</v>
      </c>
      <c r="B30" s="26"/>
      <c r="C30" s="17"/>
      <c r="F30" s="12"/>
    </row>
    <row r="31" spans="1:6" x14ac:dyDescent="0.3">
      <c r="A31" s="23" t="s">
        <v>99</v>
      </c>
      <c r="B31" s="137">
        <v>0</v>
      </c>
      <c r="C31" s="17"/>
      <c r="F31" s="12"/>
    </row>
    <row r="32" spans="1:6" x14ac:dyDescent="0.3">
      <c r="A32" s="23" t="s">
        <v>100</v>
      </c>
      <c r="B32" s="138">
        <v>0</v>
      </c>
      <c r="C32" s="17"/>
      <c r="F32" s="12"/>
    </row>
    <row r="33" spans="1:5" s="12" customFormat="1" x14ac:dyDescent="0.3">
      <c r="A33" s="23" t="s">
        <v>101</v>
      </c>
      <c r="B33" s="137">
        <v>0</v>
      </c>
      <c r="C33" s="17"/>
    </row>
    <row r="34" spans="1:5" s="12" customFormat="1" x14ac:dyDescent="0.3">
      <c r="C34" s="17"/>
    </row>
    <row r="35" spans="1:5" s="12" customFormat="1" x14ac:dyDescent="0.3">
      <c r="A35" s="25" t="s">
        <v>28</v>
      </c>
      <c r="B35" s="26"/>
      <c r="C35" s="17"/>
    </row>
    <row r="36" spans="1:5" s="12" customFormat="1" x14ac:dyDescent="0.3">
      <c r="A36" s="23" t="s">
        <v>102</v>
      </c>
      <c r="B36" s="138">
        <v>0</v>
      </c>
      <c r="C36" s="17"/>
      <c r="D36" s="16"/>
      <c r="E36" s="15"/>
    </row>
    <row r="37" spans="1:5" s="12" customFormat="1" x14ac:dyDescent="0.3">
      <c r="A37" s="23" t="s">
        <v>103</v>
      </c>
      <c r="B37" s="137">
        <v>0</v>
      </c>
      <c r="D37" s="16"/>
      <c r="E37" s="15"/>
    </row>
    <row r="38" spans="1:5" s="12" customFormat="1" x14ac:dyDescent="0.3">
      <c r="A38" s="23" t="s">
        <v>104</v>
      </c>
      <c r="B38" s="137">
        <v>0</v>
      </c>
      <c r="C38" s="17"/>
    </row>
    <row r="39" spans="1:5" s="12" customFormat="1" x14ac:dyDescent="0.3">
      <c r="A39" s="23" t="s">
        <v>105</v>
      </c>
      <c r="B39" s="139">
        <f>((inflation_rate/100+1)*(real_discount_rate/100+1)-1)*100</f>
        <v>0</v>
      </c>
      <c r="C39" s="17"/>
    </row>
    <row r="40" spans="1:5" s="12" customFormat="1" x14ac:dyDescent="0.3">
      <c r="A40" s="41"/>
      <c r="C40" s="17"/>
    </row>
    <row r="41" spans="1:5" s="12" customFormat="1" x14ac:dyDescent="0.3">
      <c r="A41" s="25" t="s">
        <v>26</v>
      </c>
      <c r="B41" s="26"/>
      <c r="C41" s="17"/>
    </row>
    <row r="42" spans="1:5" s="12" customFormat="1" x14ac:dyDescent="0.3">
      <c r="A42" s="23" t="s">
        <v>200</v>
      </c>
      <c r="B42" s="140">
        <f>AnnualTaxFederal</f>
        <v>0</v>
      </c>
      <c r="C42" s="180"/>
    </row>
    <row r="43" spans="1:5" s="12" customFormat="1" x14ac:dyDescent="0.3">
      <c r="A43" s="23" t="s">
        <v>201</v>
      </c>
      <c r="B43" s="140">
        <f>AnnualTaxState</f>
        <v>0</v>
      </c>
      <c r="C43" s="17"/>
      <c r="D43" s="16"/>
      <c r="E43" s="15"/>
    </row>
    <row r="44" spans="1:5" s="12" customFormat="1" x14ac:dyDescent="0.3">
      <c r="A44" s="23" t="s">
        <v>108</v>
      </c>
      <c r="B44" s="159">
        <v>0</v>
      </c>
      <c r="C44" s="17"/>
      <c r="D44" s="16"/>
      <c r="E44" s="15"/>
    </row>
    <row r="45" spans="1:5" s="12" customFormat="1" x14ac:dyDescent="0.3">
      <c r="A45" s="158" t="s">
        <v>109</v>
      </c>
      <c r="B45" s="159">
        <v>0</v>
      </c>
      <c r="C45" s="17"/>
      <c r="D45" s="16"/>
      <c r="E45" s="15"/>
    </row>
    <row r="46" spans="1:5" s="12" customFormat="1" x14ac:dyDescent="0.3">
      <c r="A46" s="161" t="s">
        <v>110</v>
      </c>
      <c r="B46" s="162"/>
      <c r="C46" s="17"/>
      <c r="D46" s="16"/>
      <c r="E46" s="15"/>
    </row>
    <row r="47" spans="1:5" s="12" customFormat="1" x14ac:dyDescent="0.3">
      <c r="A47" s="38" t="s">
        <v>132</v>
      </c>
      <c r="B47" s="160">
        <v>0</v>
      </c>
      <c r="C47" s="17"/>
      <c r="D47" s="16"/>
      <c r="E47" s="15"/>
    </row>
    <row r="48" spans="1:5" s="12" customFormat="1" x14ac:dyDescent="0.3">
      <c r="A48" s="28" t="s">
        <v>111</v>
      </c>
      <c r="B48" s="141">
        <f>prop_tax_cost_assessed_percent/100*total_installed_cost</f>
        <v>0</v>
      </c>
      <c r="C48" s="17"/>
      <c r="D48" s="16"/>
      <c r="E48" s="15"/>
    </row>
    <row r="49" spans="1:12" x14ac:dyDescent="0.3">
      <c r="A49" s="28" t="s">
        <v>112</v>
      </c>
      <c r="B49" s="142">
        <v>0</v>
      </c>
      <c r="C49" s="17"/>
      <c r="D49" s="16"/>
      <c r="E49" s="15"/>
      <c r="F49" s="12"/>
    </row>
    <row r="50" spans="1:12" x14ac:dyDescent="0.3">
      <c r="A50" s="28" t="s">
        <v>113</v>
      </c>
      <c r="B50" s="142">
        <v>0</v>
      </c>
      <c r="C50" s="17"/>
      <c r="D50" s="16"/>
      <c r="E50" s="15"/>
      <c r="F50" s="12"/>
    </row>
    <row r="51" spans="1:12" x14ac:dyDescent="0.3">
      <c r="A51" s="12"/>
      <c r="C51" s="17"/>
      <c r="D51" s="16"/>
      <c r="E51" s="15"/>
      <c r="F51" s="12"/>
    </row>
    <row r="52" spans="1:12" x14ac:dyDescent="0.3">
      <c r="A52" s="25" t="s">
        <v>33</v>
      </c>
      <c r="B52" s="26"/>
      <c r="C52" s="17"/>
      <c r="D52" s="16"/>
      <c r="E52" s="15"/>
      <c r="F52" s="12"/>
    </row>
    <row r="53" spans="1:12" x14ac:dyDescent="0.3">
      <c r="A53" s="23" t="s">
        <v>114</v>
      </c>
      <c r="B53" s="137">
        <v>0</v>
      </c>
      <c r="C53" s="17"/>
      <c r="D53" s="16"/>
      <c r="E53" s="15"/>
      <c r="F53" s="12"/>
    </row>
    <row r="54" spans="1:12" x14ac:dyDescent="0.3">
      <c r="A54" s="12"/>
      <c r="C54" s="17"/>
      <c r="D54" s="16"/>
      <c r="E54" s="15"/>
      <c r="F54" s="12"/>
    </row>
    <row r="55" spans="1:12" x14ac:dyDescent="0.3">
      <c r="A55" s="199" t="s">
        <v>32</v>
      </c>
      <c r="B55" s="200"/>
      <c r="C55" s="200"/>
      <c r="D55" s="200"/>
      <c r="E55" s="201"/>
      <c r="F55" s="12"/>
    </row>
    <row r="56" spans="1:12" x14ac:dyDescent="0.3">
      <c r="A56" s="197" t="s">
        <v>93</v>
      </c>
      <c r="B56" s="198"/>
      <c r="C56" s="12"/>
      <c r="D56" s="340" t="s">
        <v>165</v>
      </c>
      <c r="E56" s="341"/>
      <c r="F56" s="101"/>
    </row>
    <row r="57" spans="1:12" x14ac:dyDescent="0.3">
      <c r="A57" s="94" t="s">
        <v>34</v>
      </c>
      <c r="B57" s="95" t="s">
        <v>1</v>
      </c>
      <c r="C57" s="12"/>
      <c r="D57" s="37" t="s">
        <v>2</v>
      </c>
      <c r="E57" s="83" t="s">
        <v>3</v>
      </c>
      <c r="F57" s="12"/>
    </row>
    <row r="58" spans="1:12" x14ac:dyDescent="0.3">
      <c r="A58" s="48" t="s">
        <v>38</v>
      </c>
      <c r="B58" s="195">
        <f>SUM(C139:CX139)</f>
        <v>0</v>
      </c>
      <c r="C58" s="12"/>
      <c r="D58" s="100" t="s">
        <v>133</v>
      </c>
      <c r="E58" s="100" t="s">
        <v>133</v>
      </c>
      <c r="F58" s="12"/>
    </row>
    <row r="59" spans="1:12" x14ac:dyDescent="0.3">
      <c r="A59" s="48" t="s">
        <v>39</v>
      </c>
      <c r="B59" s="195">
        <f>SUM(C140:CX140)</f>
        <v>0</v>
      </c>
      <c r="C59" s="12"/>
      <c r="D59" s="100" t="s">
        <v>134</v>
      </c>
      <c r="E59" s="22" t="s">
        <v>134</v>
      </c>
      <c r="F59" s="12"/>
    </row>
    <row r="60" spans="1:12" x14ac:dyDescent="0.3">
      <c r="A60" s="31" t="s">
        <v>35</v>
      </c>
      <c r="B60" s="100" t="s">
        <v>4</v>
      </c>
      <c r="C60" s="100" t="s">
        <v>9</v>
      </c>
      <c r="D60" s="108"/>
      <c r="E60" s="107"/>
      <c r="F60" s="12"/>
    </row>
    <row r="61" spans="1:12" ht="12.75" customHeight="1" x14ac:dyDescent="0.3">
      <c r="A61" s="49" t="s">
        <v>2</v>
      </c>
      <c r="B61" s="142">
        <f>SUM(C141:CX141)</f>
        <v>0</v>
      </c>
      <c r="C61" s="165">
        <f>SUM(C142:CX142)</f>
        <v>0</v>
      </c>
      <c r="D61" s="100" t="s">
        <v>133</v>
      </c>
      <c r="E61" s="100" t="s">
        <v>133</v>
      </c>
      <c r="F61" s="15"/>
      <c r="G61" s="20"/>
      <c r="H61" s="15"/>
      <c r="I61" s="17"/>
      <c r="J61" s="15"/>
      <c r="K61" s="17"/>
      <c r="L61" s="21"/>
    </row>
    <row r="62" spans="1:12" ht="12.75" customHeight="1" x14ac:dyDescent="0.3">
      <c r="A62" s="96" t="s">
        <v>3</v>
      </c>
      <c r="B62" s="196">
        <f>SUM(C143:CX143)</f>
        <v>0</v>
      </c>
      <c r="C62" s="167">
        <f>SUM(C144:CX144)</f>
        <v>0</v>
      </c>
      <c r="D62" s="100" t="s">
        <v>134</v>
      </c>
      <c r="E62" s="100" t="s">
        <v>134</v>
      </c>
      <c r="G62" s="47"/>
      <c r="H62" s="47"/>
      <c r="I62" s="14"/>
      <c r="J62" s="14"/>
      <c r="K62" s="19"/>
      <c r="L62" s="18"/>
    </row>
    <row r="63" spans="1:12" ht="12.75" customHeight="1" x14ac:dyDescent="0.3">
      <c r="A63" s="40" t="s">
        <v>94</v>
      </c>
      <c r="B63" s="29" t="s">
        <v>91</v>
      </c>
      <c r="C63" s="100" t="s">
        <v>43</v>
      </c>
      <c r="D63" s="98" t="s">
        <v>95</v>
      </c>
      <c r="E63" s="99"/>
      <c r="G63" s="47"/>
      <c r="H63" s="47"/>
      <c r="I63" s="14"/>
      <c r="J63" s="14"/>
      <c r="K63" s="19"/>
      <c r="L63" s="18"/>
    </row>
    <row r="64" spans="1:12" ht="12.75" customHeight="1" x14ac:dyDescent="0.3">
      <c r="A64" s="97" t="s">
        <v>36</v>
      </c>
      <c r="B64" s="144">
        <v>0</v>
      </c>
      <c r="C64" s="144">
        <v>0</v>
      </c>
      <c r="D64" s="144">
        <v>0</v>
      </c>
      <c r="F64" s="15"/>
      <c r="G64" s="47"/>
      <c r="H64" s="47"/>
      <c r="I64" s="14"/>
      <c r="J64" s="14"/>
      <c r="K64" s="19"/>
      <c r="L64" s="18"/>
    </row>
    <row r="65" spans="1:12" ht="12.75" customHeight="1" x14ac:dyDescent="0.3">
      <c r="A65" s="49" t="s">
        <v>37</v>
      </c>
      <c r="B65" s="138">
        <v>0</v>
      </c>
      <c r="C65" s="138">
        <v>0</v>
      </c>
      <c r="D65" s="138">
        <v>0</v>
      </c>
      <c r="E65" s="15"/>
      <c r="F65" s="47"/>
      <c r="G65" s="47"/>
      <c r="H65" s="47"/>
      <c r="I65" s="14"/>
      <c r="J65" s="14"/>
      <c r="K65" s="19"/>
      <c r="L65" s="18"/>
    </row>
    <row r="66" spans="1:12" ht="12.75" customHeight="1" x14ac:dyDescent="0.3">
      <c r="F66" s="47"/>
      <c r="G66" s="47"/>
      <c r="H66" s="47"/>
      <c r="I66" s="14"/>
      <c r="J66" s="14"/>
      <c r="K66" s="19"/>
      <c r="L66" s="18"/>
    </row>
    <row r="67" spans="1:12" ht="12.75" customHeight="1" x14ac:dyDescent="0.3">
      <c r="A67" s="42" t="s">
        <v>40</v>
      </c>
      <c r="B67" s="51"/>
      <c r="C67" s="51"/>
      <c r="D67" s="51"/>
      <c r="E67" s="51"/>
      <c r="F67" s="51"/>
      <c r="G67" s="91"/>
      <c r="H67" s="47"/>
      <c r="I67" s="14"/>
      <c r="J67" s="14"/>
      <c r="K67" s="19"/>
      <c r="L67" s="18"/>
    </row>
    <row r="68" spans="1:12" ht="12.75" customHeight="1" x14ac:dyDescent="0.3">
      <c r="A68" s="85" t="s">
        <v>85</v>
      </c>
      <c r="B68" s="52"/>
      <c r="C68" s="52"/>
      <c r="D68" s="342" t="s">
        <v>96</v>
      </c>
      <c r="E68" s="343"/>
      <c r="F68" s="342" t="s">
        <v>165</v>
      </c>
      <c r="G68" s="343"/>
      <c r="H68" s="14"/>
      <c r="I68" s="14"/>
      <c r="J68" s="15"/>
      <c r="K68" s="19"/>
      <c r="L68" s="18"/>
    </row>
    <row r="69" spans="1:12" ht="12.75" customHeight="1" x14ac:dyDescent="0.3">
      <c r="A69" s="38" t="s">
        <v>34</v>
      </c>
      <c r="B69" s="92" t="s">
        <v>88</v>
      </c>
      <c r="C69" s="84"/>
      <c r="D69" s="93" t="s">
        <v>2</v>
      </c>
      <c r="E69" s="24" t="s">
        <v>3</v>
      </c>
      <c r="F69" s="39" t="s">
        <v>2</v>
      </c>
      <c r="G69" s="39" t="s">
        <v>3</v>
      </c>
      <c r="H69" s="47"/>
      <c r="I69" s="14"/>
      <c r="J69" s="14"/>
      <c r="K69" s="19"/>
      <c r="L69" s="18"/>
    </row>
    <row r="70" spans="1:12" ht="12.75" customHeight="1" x14ac:dyDescent="0.3">
      <c r="A70" s="30" t="s">
        <v>38</v>
      </c>
      <c r="B70" s="145">
        <v>0</v>
      </c>
      <c r="C70" s="84"/>
      <c r="D70" s="100" t="s">
        <v>133</v>
      </c>
      <c r="E70" s="22" t="s">
        <v>133</v>
      </c>
      <c r="F70" s="22" t="s">
        <v>134</v>
      </c>
      <c r="G70" s="22" t="s">
        <v>134</v>
      </c>
      <c r="H70" s="47"/>
      <c r="I70" s="14"/>
      <c r="J70" s="14"/>
      <c r="K70" s="19"/>
      <c r="L70" s="18"/>
    </row>
    <row r="71" spans="1:12" ht="12.75" customHeight="1" x14ac:dyDescent="0.3">
      <c r="A71" s="30" t="s">
        <v>39</v>
      </c>
      <c r="B71" s="145">
        <v>0</v>
      </c>
      <c r="C71" s="84"/>
      <c r="D71" s="100" t="s">
        <v>133</v>
      </c>
      <c r="E71" s="22" t="s">
        <v>133</v>
      </c>
      <c r="F71" s="22" t="s">
        <v>134</v>
      </c>
      <c r="G71" s="22" t="s">
        <v>134</v>
      </c>
      <c r="H71" s="47"/>
      <c r="I71" s="14"/>
      <c r="J71" s="14"/>
      <c r="K71" s="19"/>
      <c r="L71" s="18"/>
    </row>
    <row r="72" spans="1:12" ht="12.75" customHeight="1" x14ac:dyDescent="0.3">
      <c r="A72" s="30" t="s">
        <v>44</v>
      </c>
      <c r="B72" s="145">
        <v>0</v>
      </c>
      <c r="C72" s="84"/>
      <c r="D72" s="100" t="s">
        <v>133</v>
      </c>
      <c r="E72" s="22" t="s">
        <v>133</v>
      </c>
      <c r="F72" s="22" t="s">
        <v>134</v>
      </c>
      <c r="G72" s="22" t="s">
        <v>134</v>
      </c>
      <c r="H72" s="47"/>
      <c r="I72" s="14"/>
      <c r="J72" s="14"/>
      <c r="K72" s="19"/>
      <c r="L72" s="18"/>
    </row>
    <row r="73" spans="1:12" ht="12.75" customHeight="1" x14ac:dyDescent="0.3">
      <c r="A73" s="30" t="s">
        <v>45</v>
      </c>
      <c r="B73" s="145">
        <v>0</v>
      </c>
      <c r="C73" s="24"/>
      <c r="D73" s="107" t="s">
        <v>133</v>
      </c>
      <c r="E73" s="22" t="s">
        <v>133</v>
      </c>
      <c r="F73" s="22" t="s">
        <v>134</v>
      </c>
      <c r="G73" s="22" t="s">
        <v>134</v>
      </c>
      <c r="H73" s="47"/>
      <c r="I73" s="14"/>
      <c r="J73" s="14"/>
      <c r="K73" s="20"/>
      <c r="L73" s="21"/>
    </row>
    <row r="74" spans="1:12" ht="12.75" customHeight="1" x14ac:dyDescent="0.3">
      <c r="A74" s="28" t="s">
        <v>35</v>
      </c>
      <c r="B74" s="22" t="s">
        <v>4</v>
      </c>
      <c r="C74" s="24" t="s">
        <v>89</v>
      </c>
      <c r="D74" s="131"/>
      <c r="E74" s="132"/>
      <c r="F74" s="131"/>
      <c r="G74" s="133"/>
      <c r="H74" s="47"/>
      <c r="I74" s="14"/>
      <c r="J74" s="14"/>
      <c r="K74" s="17"/>
      <c r="L74" s="15"/>
    </row>
    <row r="75" spans="1:12" ht="12.75" customHeight="1" x14ac:dyDescent="0.3">
      <c r="A75" s="30" t="s">
        <v>81</v>
      </c>
      <c r="B75" s="138">
        <v>0</v>
      </c>
      <c r="C75" s="165">
        <v>9.9999996802856906E+37</v>
      </c>
      <c r="D75" s="22" t="s">
        <v>133</v>
      </c>
      <c r="E75" s="22" t="s">
        <v>133</v>
      </c>
      <c r="F75" s="100" t="s">
        <v>134</v>
      </c>
      <c r="G75" s="22" t="s">
        <v>134</v>
      </c>
      <c r="H75" s="47"/>
      <c r="I75" s="14"/>
      <c r="J75" s="14"/>
      <c r="K75" s="17"/>
      <c r="L75" s="15"/>
    </row>
    <row r="76" spans="1:12" ht="12.75" customHeight="1" x14ac:dyDescent="0.3">
      <c r="A76" s="30" t="s">
        <v>82</v>
      </c>
      <c r="B76" s="138">
        <v>0</v>
      </c>
      <c r="C76" s="165">
        <v>9.9999996802856906E+37</v>
      </c>
      <c r="D76" s="22" t="s">
        <v>133</v>
      </c>
      <c r="E76" s="22" t="s">
        <v>133</v>
      </c>
      <c r="F76" s="100" t="s">
        <v>134</v>
      </c>
      <c r="G76" s="22" t="s">
        <v>134</v>
      </c>
      <c r="H76" s="47"/>
      <c r="I76" s="14"/>
      <c r="J76" s="14"/>
      <c r="K76" s="17"/>
      <c r="L76" s="15"/>
    </row>
    <row r="77" spans="1:12" ht="12.75" customHeight="1" x14ac:dyDescent="0.3">
      <c r="A77" s="30" t="s">
        <v>83</v>
      </c>
      <c r="B77" s="138">
        <v>0</v>
      </c>
      <c r="C77" s="165">
        <v>9.9999996802856906E+37</v>
      </c>
      <c r="D77" s="22" t="s">
        <v>133</v>
      </c>
      <c r="E77" s="22" t="s">
        <v>133</v>
      </c>
      <c r="F77" s="100" t="s">
        <v>134</v>
      </c>
      <c r="G77" s="22" t="s">
        <v>134</v>
      </c>
      <c r="H77" s="47"/>
      <c r="I77" s="14"/>
      <c r="J77" s="14"/>
      <c r="K77" s="17"/>
      <c r="L77" s="15"/>
    </row>
    <row r="78" spans="1:12" ht="12.75" customHeight="1" thickBot="1" x14ac:dyDescent="0.35">
      <c r="A78" s="86" t="s">
        <v>84</v>
      </c>
      <c r="B78" s="146">
        <v>0</v>
      </c>
      <c r="C78" s="166">
        <v>9.9999996802856906E+37</v>
      </c>
      <c r="D78" s="87" t="s">
        <v>133</v>
      </c>
      <c r="E78" s="87" t="s">
        <v>133</v>
      </c>
      <c r="F78" s="106" t="s">
        <v>134</v>
      </c>
      <c r="G78" s="87" t="s">
        <v>134</v>
      </c>
      <c r="H78" s="47"/>
      <c r="I78" s="14"/>
      <c r="J78" s="14"/>
      <c r="K78" s="17"/>
      <c r="L78" s="15"/>
    </row>
    <row r="79" spans="1:12" ht="12.75" customHeight="1" x14ac:dyDescent="0.3">
      <c r="A79" s="88" t="s">
        <v>86</v>
      </c>
      <c r="B79" s="24" t="s">
        <v>87</v>
      </c>
      <c r="C79" s="24" t="s">
        <v>89</v>
      </c>
      <c r="D79" s="134"/>
      <c r="E79" s="135"/>
      <c r="F79" s="134"/>
      <c r="G79" s="136"/>
      <c r="H79" s="47"/>
      <c r="I79" s="14"/>
      <c r="J79" s="14"/>
      <c r="K79" s="17"/>
      <c r="L79" s="15"/>
    </row>
    <row r="80" spans="1:12" ht="12.75" customHeight="1" x14ac:dyDescent="0.3">
      <c r="A80" s="30" t="s">
        <v>46</v>
      </c>
      <c r="B80" s="138">
        <v>0</v>
      </c>
      <c r="C80" s="165">
        <v>9.9999996802856906E+37</v>
      </c>
      <c r="D80" s="22" t="s">
        <v>133</v>
      </c>
      <c r="E80" s="22" t="s">
        <v>133</v>
      </c>
      <c r="F80" s="100" t="s">
        <v>134</v>
      </c>
      <c r="G80" s="22" t="s">
        <v>134</v>
      </c>
      <c r="H80" s="47"/>
      <c r="I80" s="14"/>
      <c r="J80" s="14"/>
      <c r="K80" s="17"/>
      <c r="L80" s="15"/>
    </row>
    <row r="81" spans="1:12" ht="12.75" customHeight="1" x14ac:dyDescent="0.3">
      <c r="A81" s="30" t="s">
        <v>47</v>
      </c>
      <c r="B81" s="138">
        <v>0</v>
      </c>
      <c r="C81" s="165">
        <v>9.9999996802856906E+37</v>
      </c>
      <c r="D81" s="22" t="s">
        <v>133</v>
      </c>
      <c r="E81" s="22" t="s">
        <v>133</v>
      </c>
      <c r="F81" s="100" t="s">
        <v>134</v>
      </c>
      <c r="G81" s="22" t="s">
        <v>134</v>
      </c>
      <c r="H81" s="11"/>
      <c r="I81" s="14"/>
      <c r="J81" s="14"/>
      <c r="K81" s="17"/>
      <c r="L81" s="15"/>
    </row>
    <row r="82" spans="1:12" ht="12.75" customHeight="1" x14ac:dyDescent="0.3">
      <c r="A82" s="30" t="s">
        <v>48</v>
      </c>
      <c r="B82" s="138">
        <v>0</v>
      </c>
      <c r="C82" s="165">
        <v>9.9999996802856906E+37</v>
      </c>
      <c r="D82" s="22" t="s">
        <v>133</v>
      </c>
      <c r="E82" s="22" t="s">
        <v>133</v>
      </c>
      <c r="F82" s="100" t="s">
        <v>134</v>
      </c>
      <c r="G82" s="22" t="s">
        <v>134</v>
      </c>
      <c r="H82" s="14"/>
      <c r="I82" s="14"/>
      <c r="J82" s="14"/>
      <c r="K82" s="17"/>
      <c r="L82" s="15"/>
    </row>
    <row r="83" spans="1:12" ht="12.75" customHeight="1" thickBot="1" x14ac:dyDescent="0.35">
      <c r="A83" s="86" t="s">
        <v>49</v>
      </c>
      <c r="B83" s="146">
        <v>0</v>
      </c>
      <c r="C83" s="166">
        <v>9.9999996802856906E+37</v>
      </c>
      <c r="D83" s="87" t="s">
        <v>133</v>
      </c>
      <c r="E83" s="87" t="s">
        <v>133</v>
      </c>
      <c r="F83" s="106" t="s">
        <v>134</v>
      </c>
      <c r="G83" s="22" t="s">
        <v>134</v>
      </c>
      <c r="H83" s="14"/>
      <c r="I83" s="14"/>
      <c r="J83" s="14"/>
      <c r="K83" s="17"/>
      <c r="L83" s="15"/>
    </row>
    <row r="84" spans="1:12" ht="12.75" customHeight="1" x14ac:dyDescent="0.3">
      <c r="A84" s="89" t="s">
        <v>90</v>
      </c>
      <c r="B84" s="39" t="s">
        <v>91</v>
      </c>
      <c r="C84" s="39" t="s">
        <v>43</v>
      </c>
      <c r="D84" s="39" t="s">
        <v>92</v>
      </c>
      <c r="E84" s="39" t="s">
        <v>167</v>
      </c>
      <c r="F84" s="90" t="s">
        <v>168</v>
      </c>
      <c r="G84" s="15"/>
      <c r="H84" s="14"/>
      <c r="I84" s="14"/>
      <c r="J84" s="14"/>
      <c r="K84" s="17"/>
      <c r="L84" s="15"/>
    </row>
    <row r="85" spans="1:12" ht="12.75" customHeight="1" x14ac:dyDescent="0.3">
      <c r="A85" s="49" t="s">
        <v>36</v>
      </c>
      <c r="B85" s="143">
        <v>0</v>
      </c>
      <c r="C85" s="143">
        <v>0</v>
      </c>
      <c r="D85" s="143">
        <v>0</v>
      </c>
      <c r="E85" s="50" t="s">
        <v>133</v>
      </c>
      <c r="F85" s="50" t="s">
        <v>133</v>
      </c>
      <c r="G85" s="15"/>
      <c r="H85" s="14"/>
      <c r="I85" s="14"/>
      <c r="J85" s="14"/>
      <c r="K85" s="17"/>
      <c r="L85" s="15"/>
    </row>
    <row r="86" spans="1:12" ht="12.75" customHeight="1" x14ac:dyDescent="0.3">
      <c r="A86" s="49" t="s">
        <v>37</v>
      </c>
      <c r="B86" s="143">
        <v>0</v>
      </c>
      <c r="C86" s="143">
        <v>0</v>
      </c>
      <c r="D86" s="143">
        <v>0</v>
      </c>
      <c r="E86" s="50" t="s">
        <v>133</v>
      </c>
      <c r="F86" s="50" t="s">
        <v>133</v>
      </c>
      <c r="G86" s="15"/>
      <c r="H86" s="14"/>
      <c r="I86" s="14"/>
      <c r="J86" s="14"/>
      <c r="K86" s="17"/>
      <c r="L86" s="15"/>
    </row>
    <row r="87" spans="1:12" ht="12.75" customHeight="1" x14ac:dyDescent="0.3">
      <c r="A87" s="49" t="s">
        <v>41</v>
      </c>
      <c r="B87" s="143">
        <v>0</v>
      </c>
      <c r="C87" s="143">
        <v>0</v>
      </c>
      <c r="D87" s="143">
        <v>0</v>
      </c>
      <c r="E87" s="50" t="s">
        <v>133</v>
      </c>
      <c r="F87" s="50" t="s">
        <v>133</v>
      </c>
      <c r="G87" s="15"/>
      <c r="H87" s="14"/>
      <c r="I87" s="14"/>
      <c r="J87" s="14"/>
      <c r="K87" s="17"/>
      <c r="L87" s="15"/>
    </row>
    <row r="88" spans="1:12" ht="12.75" customHeight="1" x14ac:dyDescent="0.3">
      <c r="A88" s="49" t="s">
        <v>42</v>
      </c>
      <c r="B88" s="143">
        <v>0</v>
      </c>
      <c r="C88" s="143">
        <v>0</v>
      </c>
      <c r="D88" s="143">
        <v>0</v>
      </c>
      <c r="E88" s="50" t="s">
        <v>133</v>
      </c>
      <c r="F88" s="50" t="s">
        <v>133</v>
      </c>
      <c r="G88" s="15"/>
      <c r="H88" s="14"/>
      <c r="I88" s="14"/>
      <c r="J88" s="14"/>
      <c r="K88" s="17"/>
      <c r="L88" s="15"/>
    </row>
    <row r="89" spans="1:12" ht="12.75" customHeight="1" x14ac:dyDescent="0.3">
      <c r="H89" s="14"/>
      <c r="I89" s="14"/>
      <c r="J89" s="14"/>
      <c r="K89" s="17"/>
      <c r="L89" s="15"/>
    </row>
    <row r="90" spans="1:12" s="181" customFormat="1" x14ac:dyDescent="0.3">
      <c r="A90" s="248" t="s">
        <v>245</v>
      </c>
      <c r="B90" s="249"/>
      <c r="C90" s="249"/>
      <c r="D90" s="249"/>
      <c r="E90" s="249"/>
      <c r="F90" s="250"/>
      <c r="H90" s="251"/>
    </row>
    <row r="91" spans="1:12" s="181" customFormat="1" ht="12.75" customHeight="1" x14ac:dyDescent="0.3">
      <c r="A91" s="252" t="s">
        <v>246</v>
      </c>
      <c r="B91" s="253" t="s">
        <v>247</v>
      </c>
      <c r="C91" s="253" t="s">
        <v>248</v>
      </c>
      <c r="D91" s="253" t="s">
        <v>249</v>
      </c>
      <c r="E91" s="253" t="s">
        <v>250</v>
      </c>
      <c r="F91" s="253" t="s">
        <v>251</v>
      </c>
      <c r="H91" s="251"/>
      <c r="I91" s="254"/>
    </row>
    <row r="92" spans="1:12" s="181" customFormat="1" x14ac:dyDescent="0.3">
      <c r="A92" s="255" t="s">
        <v>199</v>
      </c>
      <c r="B92" s="256">
        <v>0</v>
      </c>
      <c r="C92" s="257" t="s">
        <v>134</v>
      </c>
      <c r="D92" s="257" t="s">
        <v>134</v>
      </c>
      <c r="E92" s="257" t="s">
        <v>134</v>
      </c>
      <c r="F92" s="257" t="s">
        <v>134</v>
      </c>
      <c r="H92" s="12"/>
    </row>
    <row r="93" spans="1:12" s="181" customFormat="1" ht="12.75" customHeight="1" x14ac:dyDescent="0.3">
      <c r="A93" s="255" t="s">
        <v>252</v>
      </c>
      <c r="B93" s="256">
        <v>0</v>
      </c>
      <c r="C93" s="257" t="s">
        <v>134</v>
      </c>
      <c r="D93" s="258" t="s">
        <v>134</v>
      </c>
      <c r="E93" s="258" t="s">
        <v>134</v>
      </c>
      <c r="F93" s="258" t="s">
        <v>134</v>
      </c>
      <c r="H93" s="12"/>
    </row>
    <row r="94" spans="1:12" s="181" customFormat="1" x14ac:dyDescent="0.3">
      <c r="A94" s="255" t="s">
        <v>253</v>
      </c>
      <c r="B94" s="256">
        <v>0</v>
      </c>
      <c r="C94" s="257" t="s">
        <v>134</v>
      </c>
      <c r="D94" s="258" t="s">
        <v>134</v>
      </c>
      <c r="E94" s="258" t="s">
        <v>134</v>
      </c>
      <c r="F94" s="258" t="s">
        <v>134</v>
      </c>
      <c r="H94" s="12"/>
    </row>
    <row r="95" spans="1:12" s="181" customFormat="1" x14ac:dyDescent="0.3">
      <c r="A95" s="255" t="s">
        <v>254</v>
      </c>
      <c r="B95" s="256">
        <v>0</v>
      </c>
      <c r="C95" s="258" t="s">
        <v>134</v>
      </c>
      <c r="D95" s="258" t="s">
        <v>134</v>
      </c>
      <c r="E95" s="258" t="s">
        <v>134</v>
      </c>
      <c r="F95" s="258" t="s">
        <v>134</v>
      </c>
      <c r="H95" s="12"/>
    </row>
    <row r="96" spans="1:12" s="181" customFormat="1" x14ac:dyDescent="0.3">
      <c r="A96" s="255" t="s">
        <v>255</v>
      </c>
      <c r="B96" s="256">
        <v>0</v>
      </c>
      <c r="C96" s="258" t="s">
        <v>134</v>
      </c>
      <c r="D96" s="258" t="s">
        <v>134</v>
      </c>
      <c r="E96" s="258" t="s">
        <v>134</v>
      </c>
      <c r="F96" s="258" t="s">
        <v>134</v>
      </c>
      <c r="H96" s="12"/>
    </row>
    <row r="97" spans="1:102" s="181" customFormat="1" x14ac:dyDescent="0.3">
      <c r="A97" s="255" t="s">
        <v>256</v>
      </c>
      <c r="B97" s="256">
        <v>0</v>
      </c>
      <c r="C97" s="259" t="s">
        <v>134</v>
      </c>
      <c r="D97" s="259" t="s">
        <v>134</v>
      </c>
      <c r="E97" s="259" t="s">
        <v>134</v>
      </c>
      <c r="F97" s="259" t="s">
        <v>134</v>
      </c>
      <c r="H97" s="12"/>
    </row>
    <row r="98" spans="1:102" s="181" customFormat="1" x14ac:dyDescent="0.3">
      <c r="A98" s="255" t="s">
        <v>257</v>
      </c>
      <c r="B98" s="260">
        <v>0</v>
      </c>
      <c r="C98" s="259" t="s">
        <v>134</v>
      </c>
      <c r="D98" s="259" t="s">
        <v>134</v>
      </c>
      <c r="E98" s="258" t="s">
        <v>134</v>
      </c>
      <c r="F98" s="258" t="s">
        <v>134</v>
      </c>
      <c r="H98" s="12"/>
    </row>
    <row r="99" spans="1:102" s="181" customFormat="1" ht="12" customHeight="1" x14ac:dyDescent="0.3">
      <c r="A99" s="255" t="s">
        <v>258</v>
      </c>
      <c r="B99" s="261">
        <f>100-B100</f>
        <v>100</v>
      </c>
      <c r="C99" s="262">
        <v>0</v>
      </c>
      <c r="D99" s="262">
        <v>0</v>
      </c>
      <c r="E99" s="263"/>
      <c r="F99" s="263"/>
      <c r="H99" s="12"/>
    </row>
    <row r="100" spans="1:102" s="181" customFormat="1" x14ac:dyDescent="0.3">
      <c r="A100" s="255" t="s">
        <v>60</v>
      </c>
      <c r="B100" s="261">
        <f>SUM(B92:B98)</f>
        <v>0</v>
      </c>
      <c r="D100" s="264"/>
      <c r="G100" s="265"/>
      <c r="H100" s="12"/>
    </row>
    <row r="101" spans="1:102" s="181" customFormat="1" ht="27.6" x14ac:dyDescent="0.3">
      <c r="A101" s="339" t="s">
        <v>313</v>
      </c>
      <c r="B101" s="337" t="s">
        <v>133</v>
      </c>
      <c r="C101"/>
      <c r="D101"/>
      <c r="E101"/>
      <c r="F101"/>
      <c r="G101"/>
      <c r="H101" s="338"/>
      <c r="I101"/>
      <c r="J101"/>
      <c r="K101" s="335"/>
      <c r="L101" s="336"/>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row>
    <row r="102" spans="1:102" s="181" customFormat="1" x14ac:dyDescent="0.3">
      <c r="A102" s="339" t="s">
        <v>314</v>
      </c>
      <c r="B102" s="337" t="s">
        <v>133</v>
      </c>
      <c r="C102"/>
      <c r="D102"/>
      <c r="E102"/>
      <c r="F102"/>
      <c r="G102"/>
      <c r="H102" s="338"/>
      <c r="I102"/>
      <c r="J102"/>
      <c r="K102" s="335"/>
      <c r="L102" s="336"/>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row>
    <row r="103" spans="1:102" ht="12.75" customHeight="1" x14ac:dyDescent="0.3">
      <c r="H103" s="47"/>
      <c r="K103" s="20"/>
      <c r="L103" s="21"/>
    </row>
    <row r="104" spans="1:102" x14ac:dyDescent="0.3">
      <c r="A104" s="241" t="s">
        <v>76</v>
      </c>
      <c r="B104" s="242">
        <v>0</v>
      </c>
      <c r="C104" s="242">
        <f>B104+1</f>
        <v>1</v>
      </c>
      <c r="D104" s="242">
        <f t="shared" ref="D104:BO104" si="0">C104+1</f>
        <v>2</v>
      </c>
      <c r="E104" s="242">
        <f t="shared" si="0"/>
        <v>3</v>
      </c>
      <c r="F104" s="242">
        <f t="shared" si="0"/>
        <v>4</v>
      </c>
      <c r="G104" s="242">
        <f t="shared" si="0"/>
        <v>5</v>
      </c>
      <c r="H104" s="242">
        <f t="shared" si="0"/>
        <v>6</v>
      </c>
      <c r="I104" s="242">
        <f t="shared" si="0"/>
        <v>7</v>
      </c>
      <c r="J104" s="242">
        <f t="shared" si="0"/>
        <v>8</v>
      </c>
      <c r="K104" s="242">
        <f t="shared" si="0"/>
        <v>9</v>
      </c>
      <c r="L104" s="242">
        <f t="shared" si="0"/>
        <v>10</v>
      </c>
      <c r="M104" s="242">
        <f t="shared" si="0"/>
        <v>11</v>
      </c>
      <c r="N104" s="242">
        <f t="shared" si="0"/>
        <v>12</v>
      </c>
      <c r="O104" s="242">
        <f t="shared" si="0"/>
        <v>13</v>
      </c>
      <c r="P104" s="242">
        <f t="shared" si="0"/>
        <v>14</v>
      </c>
      <c r="Q104" s="242">
        <f t="shared" si="0"/>
        <v>15</v>
      </c>
      <c r="R104" s="242">
        <f t="shared" si="0"/>
        <v>16</v>
      </c>
      <c r="S104" s="242">
        <f t="shared" si="0"/>
        <v>17</v>
      </c>
      <c r="T104" s="242">
        <f t="shared" si="0"/>
        <v>18</v>
      </c>
      <c r="U104" s="242">
        <f t="shared" si="0"/>
        <v>19</v>
      </c>
      <c r="V104" s="242">
        <f t="shared" si="0"/>
        <v>20</v>
      </c>
      <c r="W104" s="242">
        <f t="shared" si="0"/>
        <v>21</v>
      </c>
      <c r="X104" s="242">
        <f t="shared" si="0"/>
        <v>22</v>
      </c>
      <c r="Y104" s="242">
        <f t="shared" si="0"/>
        <v>23</v>
      </c>
      <c r="Z104" s="242">
        <f t="shared" si="0"/>
        <v>24</v>
      </c>
      <c r="AA104" s="242">
        <f t="shared" si="0"/>
        <v>25</v>
      </c>
      <c r="AB104" s="242">
        <f t="shared" si="0"/>
        <v>26</v>
      </c>
      <c r="AC104" s="242">
        <f t="shared" si="0"/>
        <v>27</v>
      </c>
      <c r="AD104" s="242">
        <f t="shared" si="0"/>
        <v>28</v>
      </c>
      <c r="AE104" s="242">
        <f t="shared" si="0"/>
        <v>29</v>
      </c>
      <c r="AF104" s="242">
        <f t="shared" si="0"/>
        <v>30</v>
      </c>
      <c r="AG104" s="242">
        <f t="shared" si="0"/>
        <v>31</v>
      </c>
      <c r="AH104" s="242">
        <f t="shared" si="0"/>
        <v>32</v>
      </c>
      <c r="AI104" s="242">
        <f t="shared" si="0"/>
        <v>33</v>
      </c>
      <c r="AJ104" s="242">
        <f t="shared" si="0"/>
        <v>34</v>
      </c>
      <c r="AK104" s="242">
        <f t="shared" si="0"/>
        <v>35</v>
      </c>
      <c r="AL104" s="242">
        <f t="shared" si="0"/>
        <v>36</v>
      </c>
      <c r="AM104" s="242">
        <f t="shared" si="0"/>
        <v>37</v>
      </c>
      <c r="AN104" s="242">
        <f t="shared" si="0"/>
        <v>38</v>
      </c>
      <c r="AO104" s="242">
        <f t="shared" si="0"/>
        <v>39</v>
      </c>
      <c r="AP104" s="242">
        <f t="shared" si="0"/>
        <v>40</v>
      </c>
      <c r="AQ104" s="242">
        <f t="shared" si="0"/>
        <v>41</v>
      </c>
      <c r="AR104" s="242">
        <f t="shared" si="0"/>
        <v>42</v>
      </c>
      <c r="AS104" s="242">
        <f t="shared" si="0"/>
        <v>43</v>
      </c>
      <c r="AT104" s="242">
        <f t="shared" si="0"/>
        <v>44</v>
      </c>
      <c r="AU104" s="242">
        <f t="shared" si="0"/>
        <v>45</v>
      </c>
      <c r="AV104" s="242">
        <f t="shared" si="0"/>
        <v>46</v>
      </c>
      <c r="AW104" s="242">
        <f t="shared" si="0"/>
        <v>47</v>
      </c>
      <c r="AX104" s="242">
        <f t="shared" si="0"/>
        <v>48</v>
      </c>
      <c r="AY104" s="242">
        <f t="shared" si="0"/>
        <v>49</v>
      </c>
      <c r="AZ104" s="242">
        <f t="shared" si="0"/>
        <v>50</v>
      </c>
      <c r="BA104" s="242">
        <f t="shared" si="0"/>
        <v>51</v>
      </c>
      <c r="BB104" s="242">
        <f t="shared" si="0"/>
        <v>52</v>
      </c>
      <c r="BC104" s="242">
        <f t="shared" si="0"/>
        <v>53</v>
      </c>
      <c r="BD104" s="242">
        <f t="shared" si="0"/>
        <v>54</v>
      </c>
      <c r="BE104" s="242">
        <f t="shared" si="0"/>
        <v>55</v>
      </c>
      <c r="BF104" s="242">
        <f t="shared" si="0"/>
        <v>56</v>
      </c>
      <c r="BG104" s="242">
        <f t="shared" si="0"/>
        <v>57</v>
      </c>
      <c r="BH104" s="242">
        <f t="shared" si="0"/>
        <v>58</v>
      </c>
      <c r="BI104" s="242">
        <f t="shared" si="0"/>
        <v>59</v>
      </c>
      <c r="BJ104" s="242">
        <f t="shared" si="0"/>
        <v>60</v>
      </c>
      <c r="BK104" s="242">
        <f t="shared" si="0"/>
        <v>61</v>
      </c>
      <c r="BL104" s="242">
        <f t="shared" si="0"/>
        <v>62</v>
      </c>
      <c r="BM104" s="242">
        <f t="shared" si="0"/>
        <v>63</v>
      </c>
      <c r="BN104" s="242">
        <f t="shared" si="0"/>
        <v>64</v>
      </c>
      <c r="BO104" s="242">
        <f t="shared" si="0"/>
        <v>65</v>
      </c>
      <c r="BP104" s="242">
        <f t="shared" ref="BP104:CX104" si="1">BO104+1</f>
        <v>66</v>
      </c>
      <c r="BQ104" s="242">
        <f t="shared" si="1"/>
        <v>67</v>
      </c>
      <c r="BR104" s="242">
        <f t="shared" si="1"/>
        <v>68</v>
      </c>
      <c r="BS104" s="242">
        <f t="shared" si="1"/>
        <v>69</v>
      </c>
      <c r="BT104" s="242">
        <f t="shared" si="1"/>
        <v>70</v>
      </c>
      <c r="BU104" s="242">
        <f t="shared" si="1"/>
        <v>71</v>
      </c>
      <c r="BV104" s="242">
        <f t="shared" si="1"/>
        <v>72</v>
      </c>
      <c r="BW104" s="242">
        <f t="shared" si="1"/>
        <v>73</v>
      </c>
      <c r="BX104" s="242">
        <f t="shared" si="1"/>
        <v>74</v>
      </c>
      <c r="BY104" s="242">
        <f t="shared" si="1"/>
        <v>75</v>
      </c>
      <c r="BZ104" s="242">
        <f t="shared" si="1"/>
        <v>76</v>
      </c>
      <c r="CA104" s="242">
        <f t="shared" si="1"/>
        <v>77</v>
      </c>
      <c r="CB104" s="242">
        <f t="shared" si="1"/>
        <v>78</v>
      </c>
      <c r="CC104" s="242">
        <f t="shared" si="1"/>
        <v>79</v>
      </c>
      <c r="CD104" s="242">
        <f t="shared" si="1"/>
        <v>80</v>
      </c>
      <c r="CE104" s="242">
        <f t="shared" si="1"/>
        <v>81</v>
      </c>
      <c r="CF104" s="242">
        <f t="shared" si="1"/>
        <v>82</v>
      </c>
      <c r="CG104" s="242">
        <f t="shared" si="1"/>
        <v>83</v>
      </c>
      <c r="CH104" s="242">
        <f t="shared" si="1"/>
        <v>84</v>
      </c>
      <c r="CI104" s="242">
        <f t="shared" si="1"/>
        <v>85</v>
      </c>
      <c r="CJ104" s="242">
        <f t="shared" si="1"/>
        <v>86</v>
      </c>
      <c r="CK104" s="242">
        <f t="shared" si="1"/>
        <v>87</v>
      </c>
      <c r="CL104" s="242">
        <f t="shared" si="1"/>
        <v>88</v>
      </c>
      <c r="CM104" s="242">
        <f t="shared" si="1"/>
        <v>89</v>
      </c>
      <c r="CN104" s="242">
        <f t="shared" si="1"/>
        <v>90</v>
      </c>
      <c r="CO104" s="242">
        <f t="shared" si="1"/>
        <v>91</v>
      </c>
      <c r="CP104" s="242">
        <f t="shared" si="1"/>
        <v>92</v>
      </c>
      <c r="CQ104" s="242">
        <f t="shared" si="1"/>
        <v>93</v>
      </c>
      <c r="CR104" s="242">
        <f t="shared" si="1"/>
        <v>94</v>
      </c>
      <c r="CS104" s="242">
        <f t="shared" si="1"/>
        <v>95</v>
      </c>
      <c r="CT104" s="242">
        <f t="shared" si="1"/>
        <v>96</v>
      </c>
      <c r="CU104" s="242">
        <f t="shared" si="1"/>
        <v>97</v>
      </c>
      <c r="CV104" s="242">
        <f t="shared" si="1"/>
        <v>98</v>
      </c>
      <c r="CW104" s="242">
        <f t="shared" si="1"/>
        <v>99</v>
      </c>
      <c r="CX104" s="243">
        <f t="shared" si="1"/>
        <v>100</v>
      </c>
    </row>
    <row r="105" spans="1:102" x14ac:dyDescent="0.3">
      <c r="A105" s="179" t="s">
        <v>97</v>
      </c>
      <c r="B105" s="214"/>
      <c r="C105" s="226"/>
      <c r="D105" s="226"/>
      <c r="E105" s="226"/>
      <c r="F105" s="226"/>
      <c r="G105" s="226"/>
      <c r="H105" s="226"/>
      <c r="I105" s="226"/>
      <c r="J105" s="226"/>
      <c r="K105" s="226"/>
      <c r="L105" s="226"/>
      <c r="M105" s="226"/>
      <c r="N105" s="226"/>
      <c r="O105" s="226"/>
      <c r="P105" s="226"/>
      <c r="Q105" s="226"/>
      <c r="R105" s="226"/>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c r="AP105" s="226"/>
      <c r="AQ105" s="226"/>
      <c r="AR105" s="226"/>
      <c r="AS105" s="226"/>
      <c r="AT105" s="226"/>
      <c r="AU105" s="226"/>
      <c r="AV105" s="226"/>
      <c r="AW105" s="226"/>
      <c r="AX105" s="226"/>
      <c r="AY105" s="226"/>
      <c r="AZ105" s="226"/>
      <c r="BA105" s="226"/>
      <c r="BB105" s="226"/>
      <c r="BC105" s="226"/>
      <c r="BD105" s="226"/>
      <c r="BE105" s="226"/>
      <c r="BF105" s="226"/>
      <c r="BG105" s="226"/>
      <c r="BH105" s="226"/>
      <c r="BI105" s="226"/>
      <c r="BJ105" s="226"/>
      <c r="BK105" s="226"/>
      <c r="BL105" s="226"/>
      <c r="BM105" s="226"/>
      <c r="BN105" s="226"/>
      <c r="BO105" s="226"/>
      <c r="BP105" s="226"/>
      <c r="BQ105" s="226"/>
      <c r="BR105" s="226"/>
      <c r="BS105" s="226"/>
      <c r="BT105" s="226"/>
      <c r="BU105" s="226"/>
      <c r="BV105" s="226"/>
      <c r="BW105" s="226"/>
      <c r="BX105" s="226"/>
      <c r="BY105" s="226"/>
      <c r="BZ105" s="226"/>
      <c r="CA105" s="226"/>
      <c r="CB105" s="226"/>
      <c r="CC105" s="226"/>
      <c r="CD105" s="226"/>
      <c r="CE105" s="226"/>
      <c r="CF105" s="226"/>
      <c r="CG105" s="226"/>
      <c r="CH105" s="226"/>
      <c r="CI105" s="226"/>
      <c r="CJ105" s="226"/>
      <c r="CK105" s="226"/>
      <c r="CL105" s="226"/>
      <c r="CM105" s="226"/>
      <c r="CN105" s="226"/>
      <c r="CO105" s="226"/>
      <c r="CP105" s="226"/>
      <c r="CQ105" s="226"/>
      <c r="CR105" s="226"/>
      <c r="CS105" s="226"/>
      <c r="CT105" s="226"/>
      <c r="CU105" s="226"/>
      <c r="CV105" s="226"/>
      <c r="CW105" s="226"/>
      <c r="CX105" s="226"/>
    </row>
    <row r="106" spans="1:102" x14ac:dyDescent="0.3">
      <c r="A106" s="171" t="s">
        <v>145</v>
      </c>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c r="AA106" s="215"/>
      <c r="AB106" s="215"/>
      <c r="AC106" s="215"/>
      <c r="AD106" s="215"/>
      <c r="AE106" s="215"/>
      <c r="AF106" s="215"/>
      <c r="AG106" s="215"/>
      <c r="AH106" s="215"/>
      <c r="AI106" s="215"/>
      <c r="AJ106" s="215"/>
      <c r="AK106" s="215"/>
      <c r="AL106" s="215"/>
      <c r="AM106" s="215"/>
      <c r="AN106" s="215"/>
      <c r="AO106" s="215"/>
      <c r="AP106" s="215"/>
      <c r="AQ106" s="215"/>
      <c r="AR106" s="215"/>
      <c r="AS106" s="215"/>
      <c r="AT106" s="215"/>
      <c r="AU106" s="215"/>
      <c r="AV106" s="215"/>
      <c r="AW106" s="215"/>
      <c r="AX106" s="215"/>
      <c r="AY106" s="215"/>
      <c r="AZ106" s="215"/>
      <c r="BA106" s="215"/>
      <c r="BB106" s="215"/>
      <c r="BC106" s="215"/>
      <c r="BD106" s="215"/>
      <c r="BE106" s="215"/>
      <c r="BF106" s="215"/>
      <c r="BG106" s="215"/>
      <c r="BH106" s="215"/>
      <c r="BI106" s="215"/>
      <c r="BJ106" s="215"/>
      <c r="BK106" s="215"/>
      <c r="BL106" s="215"/>
      <c r="BM106" s="215"/>
      <c r="BN106" s="215"/>
      <c r="BO106" s="215"/>
      <c r="BP106" s="215"/>
      <c r="BQ106" s="215"/>
      <c r="BR106" s="215"/>
      <c r="BS106" s="215"/>
      <c r="BT106" s="215"/>
      <c r="BU106" s="215"/>
      <c r="BV106" s="215"/>
      <c r="BW106" s="215"/>
      <c r="BX106" s="215"/>
      <c r="BY106" s="215"/>
      <c r="BZ106" s="215"/>
      <c r="CA106" s="215"/>
      <c r="CB106" s="215"/>
      <c r="CC106" s="215"/>
      <c r="CD106" s="215"/>
      <c r="CE106" s="215"/>
      <c r="CF106" s="215"/>
      <c r="CG106" s="215"/>
      <c r="CH106" s="215"/>
      <c r="CI106" s="215"/>
      <c r="CJ106" s="215"/>
      <c r="CK106" s="215"/>
      <c r="CL106" s="215"/>
      <c r="CM106" s="215"/>
      <c r="CN106" s="215"/>
      <c r="CO106" s="215"/>
      <c r="CP106" s="215"/>
      <c r="CQ106" s="215"/>
      <c r="CR106" s="215"/>
      <c r="CS106" s="215"/>
      <c r="CT106" s="215"/>
      <c r="CU106" s="215"/>
      <c r="CV106" s="215"/>
      <c r="CW106" s="215"/>
      <c r="CX106" s="216"/>
    </row>
    <row r="107" spans="1:102" x14ac:dyDescent="0.3">
      <c r="A107" s="94" t="s">
        <v>75</v>
      </c>
      <c r="B107" s="246"/>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c r="AA107" s="247"/>
      <c r="AB107" s="247"/>
      <c r="AC107" s="247"/>
      <c r="AD107" s="247"/>
      <c r="AE107" s="247"/>
      <c r="AF107" s="247"/>
      <c r="AG107" s="247"/>
      <c r="AH107" s="247"/>
      <c r="AI107" s="247"/>
      <c r="AJ107" s="247"/>
      <c r="AK107" s="247"/>
      <c r="AL107" s="247"/>
      <c r="AM107" s="247"/>
      <c r="AN107" s="247"/>
      <c r="AO107" s="247"/>
      <c r="AP107" s="247"/>
      <c r="AQ107" s="247"/>
      <c r="AR107" s="247"/>
      <c r="AS107" s="247"/>
      <c r="AT107" s="247"/>
      <c r="AU107" s="247"/>
      <c r="AV107" s="247"/>
      <c r="AW107" s="247"/>
      <c r="AX107" s="247"/>
      <c r="AY107" s="247"/>
      <c r="AZ107" s="247"/>
      <c r="BA107" s="247"/>
      <c r="BB107" s="247"/>
      <c r="BC107" s="247"/>
      <c r="BD107" s="247"/>
      <c r="BE107" s="247"/>
      <c r="BF107" s="247"/>
      <c r="BG107" s="247"/>
      <c r="BH107" s="247"/>
      <c r="BI107" s="247"/>
      <c r="BJ107" s="247"/>
      <c r="BK107" s="247"/>
      <c r="BL107" s="247"/>
      <c r="BM107" s="247"/>
      <c r="BN107" s="247"/>
      <c r="BO107" s="247"/>
      <c r="BP107" s="247"/>
      <c r="BQ107" s="247"/>
      <c r="BR107" s="247"/>
      <c r="BS107" s="247"/>
      <c r="BT107" s="247"/>
      <c r="BU107" s="247"/>
      <c r="BV107" s="247"/>
      <c r="BW107" s="247"/>
      <c r="BX107" s="247"/>
      <c r="BY107" s="247"/>
      <c r="BZ107" s="247"/>
      <c r="CA107" s="247"/>
      <c r="CB107" s="247"/>
      <c r="CC107" s="247"/>
      <c r="CD107" s="247"/>
      <c r="CE107" s="247"/>
      <c r="CF107" s="247"/>
      <c r="CG107" s="247"/>
      <c r="CH107" s="247"/>
      <c r="CI107" s="247"/>
      <c r="CJ107" s="247"/>
      <c r="CK107" s="247"/>
      <c r="CL107" s="247"/>
      <c r="CM107" s="247"/>
      <c r="CN107" s="247"/>
      <c r="CO107" s="247"/>
      <c r="CP107" s="247"/>
      <c r="CQ107" s="247"/>
      <c r="CR107" s="247"/>
      <c r="CS107" s="247"/>
      <c r="CT107" s="247"/>
      <c r="CU107" s="247"/>
      <c r="CV107" s="247"/>
      <c r="CW107" s="247"/>
      <c r="CX107" s="247"/>
    </row>
    <row r="108" spans="1:102" x14ac:dyDescent="0.3">
      <c r="A108" s="94" t="s">
        <v>239</v>
      </c>
      <c r="B108" s="225"/>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c r="AA108" s="227"/>
      <c r="AB108" s="227"/>
      <c r="AC108" s="227"/>
      <c r="AD108" s="227"/>
      <c r="AE108" s="227"/>
      <c r="AF108" s="227"/>
      <c r="AG108" s="227"/>
      <c r="AH108" s="227"/>
      <c r="AI108" s="227"/>
      <c r="AJ108" s="227"/>
      <c r="AK108" s="227"/>
      <c r="AL108" s="227"/>
      <c r="AM108" s="227"/>
      <c r="AN108" s="227"/>
      <c r="AO108" s="227"/>
      <c r="AP108" s="227"/>
      <c r="AQ108" s="227"/>
      <c r="AR108" s="227"/>
      <c r="AS108" s="227"/>
      <c r="AT108" s="227"/>
      <c r="AU108" s="227"/>
      <c r="AV108" s="227"/>
      <c r="AW108" s="227"/>
      <c r="AX108" s="227"/>
      <c r="AY108" s="227"/>
      <c r="AZ108" s="227"/>
      <c r="BA108" s="227"/>
      <c r="BB108" s="227"/>
      <c r="BC108" s="227"/>
      <c r="BD108" s="227"/>
      <c r="BE108" s="227"/>
      <c r="BF108" s="227"/>
      <c r="BG108" s="227"/>
      <c r="BH108" s="227"/>
      <c r="BI108" s="227"/>
      <c r="BJ108" s="227"/>
      <c r="BK108" s="227"/>
      <c r="BL108" s="227"/>
      <c r="BM108" s="227"/>
      <c r="BN108" s="227"/>
      <c r="BO108" s="227"/>
      <c r="BP108" s="227"/>
      <c r="BQ108" s="227"/>
      <c r="BR108" s="227"/>
      <c r="BS108" s="227"/>
      <c r="BT108" s="227"/>
      <c r="BU108" s="227"/>
      <c r="BV108" s="227"/>
      <c r="BW108" s="227"/>
      <c r="BX108" s="227"/>
      <c r="BY108" s="227"/>
      <c r="BZ108" s="227"/>
      <c r="CA108" s="227"/>
      <c r="CB108" s="227"/>
      <c r="CC108" s="227"/>
      <c r="CD108" s="227"/>
      <c r="CE108" s="227"/>
      <c r="CF108" s="227"/>
      <c r="CG108" s="227"/>
      <c r="CH108" s="227"/>
      <c r="CI108" s="227"/>
      <c r="CJ108" s="227"/>
      <c r="CK108" s="227"/>
      <c r="CL108" s="227"/>
      <c r="CM108" s="227"/>
      <c r="CN108" s="227"/>
      <c r="CO108" s="227"/>
      <c r="CP108" s="227"/>
      <c r="CQ108" s="227"/>
      <c r="CR108" s="227"/>
      <c r="CS108" s="227"/>
      <c r="CT108" s="227"/>
      <c r="CU108" s="227"/>
      <c r="CV108" s="227"/>
      <c r="CW108" s="227"/>
      <c r="CX108" s="227"/>
    </row>
    <row r="109" spans="1:102" x14ac:dyDescent="0.3">
      <c r="A109" s="171" t="s">
        <v>183</v>
      </c>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5"/>
      <c r="BS109" s="175"/>
      <c r="BT109" s="175"/>
      <c r="BU109" s="175"/>
      <c r="BV109" s="175"/>
      <c r="BW109" s="175"/>
      <c r="BX109" s="175"/>
      <c r="BY109" s="175"/>
      <c r="BZ109" s="175"/>
      <c r="CA109" s="175"/>
      <c r="CB109" s="175"/>
      <c r="CC109" s="175"/>
      <c r="CD109" s="175"/>
      <c r="CE109" s="175"/>
      <c r="CF109" s="175"/>
      <c r="CG109" s="175"/>
      <c r="CH109" s="175"/>
      <c r="CI109" s="175"/>
      <c r="CJ109" s="175"/>
      <c r="CK109" s="175"/>
      <c r="CL109" s="175"/>
      <c r="CM109" s="175"/>
      <c r="CN109" s="175"/>
      <c r="CO109" s="175"/>
      <c r="CP109" s="175"/>
      <c r="CQ109" s="175"/>
      <c r="CR109" s="175"/>
      <c r="CS109" s="175"/>
      <c r="CT109" s="175"/>
      <c r="CU109" s="175"/>
      <c r="CV109" s="175"/>
      <c r="CW109" s="175"/>
      <c r="CX109" s="176"/>
    </row>
    <row r="110" spans="1:102" x14ac:dyDescent="0.3">
      <c r="A110" s="168" t="s">
        <v>185</v>
      </c>
      <c r="B110" s="222"/>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c r="AB110" s="230"/>
      <c r="AC110" s="230"/>
      <c r="AD110" s="230"/>
      <c r="AE110" s="230"/>
      <c r="AF110" s="230"/>
      <c r="AG110" s="230"/>
      <c r="AH110" s="230"/>
      <c r="AI110" s="230"/>
      <c r="AJ110" s="230"/>
      <c r="AK110" s="230"/>
      <c r="AL110" s="230"/>
      <c r="AM110" s="230"/>
      <c r="AN110" s="230"/>
      <c r="AO110" s="230"/>
      <c r="AP110" s="230"/>
      <c r="AQ110" s="230"/>
      <c r="AR110" s="230"/>
      <c r="AS110" s="230"/>
      <c r="AT110" s="230"/>
      <c r="AU110" s="230"/>
      <c r="AV110" s="230"/>
      <c r="AW110" s="230"/>
      <c r="AX110" s="230"/>
      <c r="AY110" s="230"/>
      <c r="AZ110" s="230"/>
      <c r="BA110" s="230"/>
      <c r="BB110" s="230"/>
      <c r="BC110" s="230"/>
      <c r="BD110" s="230"/>
      <c r="BE110" s="230"/>
      <c r="BF110" s="230"/>
      <c r="BG110" s="230"/>
      <c r="BH110" s="230"/>
      <c r="BI110" s="230"/>
      <c r="BJ110" s="230"/>
      <c r="BK110" s="230"/>
      <c r="BL110" s="230"/>
      <c r="BM110" s="230"/>
      <c r="BN110" s="230"/>
      <c r="BO110" s="230"/>
      <c r="BP110" s="230"/>
      <c r="BQ110" s="230"/>
      <c r="BR110" s="230"/>
      <c r="BS110" s="230"/>
      <c r="BT110" s="230"/>
      <c r="BU110" s="230"/>
      <c r="BV110" s="230"/>
      <c r="BW110" s="230"/>
      <c r="BX110" s="230"/>
      <c r="BY110" s="230"/>
      <c r="BZ110" s="230"/>
      <c r="CA110" s="230"/>
      <c r="CB110" s="230"/>
      <c r="CC110" s="230"/>
      <c r="CD110" s="230"/>
      <c r="CE110" s="230"/>
      <c r="CF110" s="230"/>
      <c r="CG110" s="230"/>
      <c r="CH110" s="230"/>
      <c r="CI110" s="230"/>
      <c r="CJ110" s="230"/>
      <c r="CK110" s="230"/>
      <c r="CL110" s="230"/>
      <c r="CM110" s="230"/>
      <c r="CN110" s="230"/>
      <c r="CO110" s="230"/>
      <c r="CP110" s="230"/>
      <c r="CQ110" s="230"/>
      <c r="CR110" s="230"/>
      <c r="CS110" s="230"/>
      <c r="CT110" s="230"/>
      <c r="CU110" s="230"/>
      <c r="CV110" s="230"/>
      <c r="CW110" s="230"/>
      <c r="CX110" s="230"/>
    </row>
    <row r="111" spans="1:102" x14ac:dyDescent="0.3">
      <c r="A111" s="168" t="s">
        <v>184</v>
      </c>
      <c r="B111" s="222"/>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c r="AA111" s="230"/>
      <c r="AB111" s="230"/>
      <c r="AC111" s="230"/>
      <c r="AD111" s="230"/>
      <c r="AE111" s="230"/>
      <c r="AF111" s="230"/>
      <c r="AG111" s="230"/>
      <c r="AH111" s="230"/>
      <c r="AI111" s="230"/>
      <c r="AJ111" s="230"/>
      <c r="AK111" s="230"/>
      <c r="AL111" s="230"/>
      <c r="AM111" s="230"/>
      <c r="AN111" s="230"/>
      <c r="AO111" s="230"/>
      <c r="AP111" s="230"/>
      <c r="AQ111" s="230"/>
      <c r="AR111" s="230"/>
      <c r="AS111" s="230"/>
      <c r="AT111" s="230"/>
      <c r="AU111" s="230"/>
      <c r="AV111" s="230"/>
      <c r="AW111" s="230"/>
      <c r="AX111" s="230"/>
      <c r="AY111" s="230"/>
      <c r="AZ111" s="230"/>
      <c r="BA111" s="230"/>
      <c r="BB111" s="230"/>
      <c r="BC111" s="230"/>
      <c r="BD111" s="230"/>
      <c r="BE111" s="230"/>
      <c r="BF111" s="230"/>
      <c r="BG111" s="230"/>
      <c r="BH111" s="230"/>
      <c r="BI111" s="230"/>
      <c r="BJ111" s="230"/>
      <c r="BK111" s="230"/>
      <c r="BL111" s="230"/>
      <c r="BM111" s="230"/>
      <c r="BN111" s="230"/>
      <c r="BO111" s="230"/>
      <c r="BP111" s="230"/>
      <c r="BQ111" s="230"/>
      <c r="BR111" s="230"/>
      <c r="BS111" s="230"/>
      <c r="BT111" s="230"/>
      <c r="BU111" s="230"/>
      <c r="BV111" s="230"/>
      <c r="BW111" s="230"/>
      <c r="BX111" s="230"/>
      <c r="BY111" s="230"/>
      <c r="BZ111" s="230"/>
      <c r="CA111" s="230"/>
      <c r="CB111" s="230"/>
      <c r="CC111" s="230"/>
      <c r="CD111" s="230"/>
      <c r="CE111" s="230"/>
      <c r="CF111" s="230"/>
      <c r="CG111" s="230"/>
      <c r="CH111" s="230"/>
      <c r="CI111" s="230"/>
      <c r="CJ111" s="230"/>
      <c r="CK111" s="230"/>
      <c r="CL111" s="230"/>
      <c r="CM111" s="230"/>
      <c r="CN111" s="230"/>
      <c r="CO111" s="230"/>
      <c r="CP111" s="230"/>
      <c r="CQ111" s="230"/>
      <c r="CR111" s="230"/>
      <c r="CS111" s="230"/>
      <c r="CT111" s="230"/>
      <c r="CU111" s="230"/>
      <c r="CV111" s="230"/>
      <c r="CW111" s="230"/>
      <c r="CX111" s="230"/>
    </row>
    <row r="112" spans="1:102" x14ac:dyDescent="0.3">
      <c r="A112" s="171" t="s">
        <v>177</v>
      </c>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c r="BR112" s="175"/>
      <c r="BS112" s="175"/>
      <c r="BT112" s="175"/>
      <c r="BU112" s="175"/>
      <c r="BV112" s="175"/>
      <c r="BW112" s="175"/>
      <c r="BX112" s="175"/>
      <c r="BY112" s="175"/>
      <c r="BZ112" s="175"/>
      <c r="CA112" s="175"/>
      <c r="CB112" s="175"/>
      <c r="CC112" s="175"/>
      <c r="CD112" s="175"/>
      <c r="CE112" s="175"/>
      <c r="CF112" s="175"/>
      <c r="CG112" s="175"/>
      <c r="CH112" s="175"/>
      <c r="CI112" s="175"/>
      <c r="CJ112" s="175"/>
      <c r="CK112" s="175"/>
      <c r="CL112" s="175"/>
      <c r="CM112" s="175"/>
      <c r="CN112" s="175"/>
      <c r="CO112" s="175"/>
      <c r="CP112" s="175"/>
      <c r="CQ112" s="175"/>
      <c r="CR112" s="175"/>
      <c r="CS112" s="175"/>
      <c r="CT112" s="175"/>
      <c r="CU112" s="175"/>
      <c r="CV112" s="175"/>
      <c r="CW112" s="175"/>
      <c r="CX112" s="176"/>
    </row>
    <row r="113" spans="1:102" x14ac:dyDescent="0.3">
      <c r="A113" s="123" t="s">
        <v>182</v>
      </c>
      <c r="B113" s="174"/>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c r="AA113" s="228"/>
      <c r="AB113" s="228"/>
      <c r="AC113" s="228"/>
      <c r="AD113" s="228"/>
      <c r="AE113" s="228"/>
      <c r="AF113" s="228"/>
      <c r="AG113" s="228"/>
      <c r="AH113" s="228"/>
      <c r="AI113" s="228"/>
      <c r="AJ113" s="228"/>
      <c r="AK113" s="228"/>
      <c r="AL113" s="228"/>
      <c r="AM113" s="228"/>
      <c r="AN113" s="228"/>
      <c r="AO113" s="228"/>
      <c r="AP113" s="228"/>
      <c r="AQ113" s="228"/>
      <c r="AR113" s="228"/>
      <c r="AS113" s="228"/>
      <c r="AT113" s="228"/>
      <c r="AU113" s="228"/>
      <c r="AV113" s="228"/>
      <c r="AW113" s="228"/>
      <c r="AX113" s="228"/>
      <c r="AY113" s="228"/>
      <c r="AZ113" s="228"/>
      <c r="BA113" s="228"/>
      <c r="BB113" s="228"/>
      <c r="BC113" s="228"/>
      <c r="BD113" s="228"/>
      <c r="BE113" s="228"/>
      <c r="BF113" s="228"/>
      <c r="BG113" s="228"/>
      <c r="BH113" s="228"/>
      <c r="BI113" s="228"/>
      <c r="BJ113" s="228"/>
      <c r="BK113" s="228"/>
      <c r="BL113" s="228"/>
      <c r="BM113" s="228"/>
      <c r="BN113" s="228"/>
      <c r="BO113" s="228"/>
      <c r="BP113" s="228"/>
      <c r="BQ113" s="228"/>
      <c r="BR113" s="228"/>
      <c r="BS113" s="228"/>
      <c r="BT113" s="228"/>
      <c r="BU113" s="228"/>
      <c r="BV113" s="228"/>
      <c r="BW113" s="228"/>
      <c r="BX113" s="228"/>
      <c r="BY113" s="228"/>
      <c r="BZ113" s="228"/>
      <c r="CA113" s="228"/>
      <c r="CB113" s="228"/>
      <c r="CC113" s="228"/>
      <c r="CD113" s="228"/>
      <c r="CE113" s="228"/>
      <c r="CF113" s="228"/>
      <c r="CG113" s="228"/>
      <c r="CH113" s="228"/>
      <c r="CI113" s="228"/>
      <c r="CJ113" s="228"/>
      <c r="CK113" s="228"/>
      <c r="CL113" s="228"/>
      <c r="CM113" s="228"/>
      <c r="CN113" s="228"/>
      <c r="CO113" s="228"/>
      <c r="CP113" s="228"/>
      <c r="CQ113" s="228"/>
      <c r="CR113" s="228"/>
      <c r="CS113" s="228"/>
      <c r="CT113" s="228"/>
      <c r="CU113" s="228"/>
      <c r="CV113" s="228"/>
      <c r="CW113" s="228"/>
      <c r="CX113" s="228"/>
    </row>
    <row r="114" spans="1:102" x14ac:dyDescent="0.3">
      <c r="A114" s="31" t="s">
        <v>178</v>
      </c>
      <c r="B114" s="170"/>
      <c r="C114" s="231"/>
      <c r="D114" s="231"/>
      <c r="E114" s="231"/>
      <c r="F114" s="231"/>
      <c r="G114" s="231"/>
      <c r="H114" s="231"/>
      <c r="I114" s="231"/>
      <c r="J114" s="231"/>
      <c r="K114" s="231"/>
      <c r="L114" s="231"/>
      <c r="M114" s="231"/>
      <c r="N114" s="231"/>
      <c r="O114" s="231"/>
      <c r="P114" s="231"/>
      <c r="Q114" s="231"/>
      <c r="R114" s="231"/>
      <c r="S114" s="231"/>
      <c r="T114" s="231"/>
      <c r="U114" s="231"/>
      <c r="V114" s="231"/>
      <c r="W114" s="231"/>
      <c r="X114" s="231"/>
      <c r="Y114" s="231"/>
      <c r="Z114" s="231"/>
      <c r="AA114" s="231"/>
      <c r="AB114" s="231"/>
      <c r="AC114" s="231"/>
      <c r="AD114" s="231"/>
      <c r="AE114" s="231"/>
      <c r="AF114" s="231"/>
      <c r="AG114" s="231"/>
      <c r="AH114" s="231"/>
      <c r="AI114" s="231"/>
      <c r="AJ114" s="231"/>
      <c r="AK114" s="231"/>
      <c r="AL114" s="231"/>
      <c r="AM114" s="231"/>
      <c r="AN114" s="231"/>
      <c r="AO114" s="231"/>
      <c r="AP114" s="231"/>
      <c r="AQ114" s="231"/>
      <c r="AR114" s="231"/>
      <c r="AS114" s="231"/>
      <c r="AT114" s="231"/>
      <c r="AU114" s="231"/>
      <c r="AV114" s="231"/>
      <c r="AW114" s="231"/>
      <c r="AX114" s="231"/>
      <c r="AY114" s="231"/>
      <c r="AZ114" s="231"/>
      <c r="BA114" s="231"/>
      <c r="BB114" s="231"/>
      <c r="BC114" s="231"/>
      <c r="BD114" s="231"/>
      <c r="BE114" s="231"/>
      <c r="BF114" s="231"/>
      <c r="BG114" s="231"/>
      <c r="BH114" s="231"/>
      <c r="BI114" s="231"/>
      <c r="BJ114" s="231"/>
      <c r="BK114" s="231"/>
      <c r="BL114" s="231"/>
      <c r="BM114" s="231"/>
      <c r="BN114" s="231"/>
      <c r="BO114" s="231"/>
      <c r="BP114" s="231"/>
      <c r="BQ114" s="231"/>
      <c r="BR114" s="231"/>
      <c r="BS114" s="231"/>
      <c r="BT114" s="231"/>
      <c r="BU114" s="231"/>
      <c r="BV114" s="231"/>
      <c r="BW114" s="231"/>
      <c r="BX114" s="231"/>
      <c r="BY114" s="231"/>
      <c r="BZ114" s="231"/>
      <c r="CA114" s="231"/>
      <c r="CB114" s="231"/>
      <c r="CC114" s="231"/>
      <c r="CD114" s="231"/>
      <c r="CE114" s="231"/>
      <c r="CF114" s="231"/>
      <c r="CG114" s="231"/>
      <c r="CH114" s="231"/>
      <c r="CI114" s="231"/>
      <c r="CJ114" s="231"/>
      <c r="CK114" s="231"/>
      <c r="CL114" s="231"/>
      <c r="CM114" s="231"/>
      <c r="CN114" s="231"/>
      <c r="CO114" s="231"/>
      <c r="CP114" s="231"/>
      <c r="CQ114" s="231"/>
      <c r="CR114" s="231"/>
      <c r="CS114" s="231"/>
      <c r="CT114" s="231"/>
      <c r="CU114" s="231"/>
      <c r="CV114" s="231"/>
      <c r="CW114" s="231"/>
      <c r="CX114" s="231"/>
    </row>
    <row r="115" spans="1:102" x14ac:dyDescent="0.3">
      <c r="A115" s="168" t="s">
        <v>179</v>
      </c>
      <c r="B115" s="170"/>
      <c r="C115" s="169">
        <f t="shared" ref="C115:AH115" si="2">C114*system_capacity</f>
        <v>0</v>
      </c>
      <c r="D115" s="169">
        <f t="shared" si="2"/>
        <v>0</v>
      </c>
      <c r="E115" s="169">
        <f t="shared" si="2"/>
        <v>0</v>
      </c>
      <c r="F115" s="169">
        <f t="shared" si="2"/>
        <v>0</v>
      </c>
      <c r="G115" s="169">
        <f t="shared" si="2"/>
        <v>0</v>
      </c>
      <c r="H115" s="169">
        <f t="shared" si="2"/>
        <v>0</v>
      </c>
      <c r="I115" s="169">
        <f t="shared" si="2"/>
        <v>0</v>
      </c>
      <c r="J115" s="169">
        <f t="shared" si="2"/>
        <v>0</v>
      </c>
      <c r="K115" s="169">
        <f t="shared" si="2"/>
        <v>0</v>
      </c>
      <c r="L115" s="169">
        <f t="shared" si="2"/>
        <v>0</v>
      </c>
      <c r="M115" s="169">
        <f t="shared" si="2"/>
        <v>0</v>
      </c>
      <c r="N115" s="169">
        <f t="shared" si="2"/>
        <v>0</v>
      </c>
      <c r="O115" s="169">
        <f t="shared" si="2"/>
        <v>0</v>
      </c>
      <c r="P115" s="169">
        <f t="shared" si="2"/>
        <v>0</v>
      </c>
      <c r="Q115" s="169">
        <f t="shared" si="2"/>
        <v>0</v>
      </c>
      <c r="R115" s="169">
        <f t="shared" si="2"/>
        <v>0</v>
      </c>
      <c r="S115" s="169">
        <f t="shared" si="2"/>
        <v>0</v>
      </c>
      <c r="T115" s="169">
        <f t="shared" si="2"/>
        <v>0</v>
      </c>
      <c r="U115" s="169">
        <f t="shared" si="2"/>
        <v>0</v>
      </c>
      <c r="V115" s="169">
        <f t="shared" si="2"/>
        <v>0</v>
      </c>
      <c r="W115" s="169">
        <f t="shared" si="2"/>
        <v>0</v>
      </c>
      <c r="X115" s="169">
        <f t="shared" si="2"/>
        <v>0</v>
      </c>
      <c r="Y115" s="169">
        <f t="shared" si="2"/>
        <v>0</v>
      </c>
      <c r="Z115" s="169">
        <f t="shared" si="2"/>
        <v>0</v>
      </c>
      <c r="AA115" s="169">
        <f t="shared" si="2"/>
        <v>0</v>
      </c>
      <c r="AB115" s="169">
        <f t="shared" si="2"/>
        <v>0</v>
      </c>
      <c r="AC115" s="169">
        <f t="shared" si="2"/>
        <v>0</v>
      </c>
      <c r="AD115" s="169">
        <f t="shared" si="2"/>
        <v>0</v>
      </c>
      <c r="AE115" s="169">
        <f t="shared" si="2"/>
        <v>0</v>
      </c>
      <c r="AF115" s="169">
        <f t="shared" si="2"/>
        <v>0</v>
      </c>
      <c r="AG115" s="169">
        <f t="shared" si="2"/>
        <v>0</v>
      </c>
      <c r="AH115" s="169">
        <f t="shared" si="2"/>
        <v>0</v>
      </c>
      <c r="AI115" s="169">
        <f t="shared" ref="AI115:BN115" si="3">AI114*system_capacity</f>
        <v>0</v>
      </c>
      <c r="AJ115" s="169">
        <f t="shared" si="3"/>
        <v>0</v>
      </c>
      <c r="AK115" s="169">
        <f t="shared" si="3"/>
        <v>0</v>
      </c>
      <c r="AL115" s="169">
        <f t="shared" si="3"/>
        <v>0</v>
      </c>
      <c r="AM115" s="169">
        <f t="shared" si="3"/>
        <v>0</v>
      </c>
      <c r="AN115" s="169">
        <f t="shared" si="3"/>
        <v>0</v>
      </c>
      <c r="AO115" s="169">
        <f t="shared" si="3"/>
        <v>0</v>
      </c>
      <c r="AP115" s="169">
        <f t="shared" si="3"/>
        <v>0</v>
      </c>
      <c r="AQ115" s="169">
        <f t="shared" si="3"/>
        <v>0</v>
      </c>
      <c r="AR115" s="169">
        <f t="shared" si="3"/>
        <v>0</v>
      </c>
      <c r="AS115" s="169">
        <f t="shared" si="3"/>
        <v>0</v>
      </c>
      <c r="AT115" s="169">
        <f t="shared" si="3"/>
        <v>0</v>
      </c>
      <c r="AU115" s="169">
        <f t="shared" si="3"/>
        <v>0</v>
      </c>
      <c r="AV115" s="169">
        <f t="shared" si="3"/>
        <v>0</v>
      </c>
      <c r="AW115" s="169">
        <f t="shared" si="3"/>
        <v>0</v>
      </c>
      <c r="AX115" s="169">
        <f t="shared" si="3"/>
        <v>0</v>
      </c>
      <c r="AY115" s="169">
        <f t="shared" si="3"/>
        <v>0</v>
      </c>
      <c r="AZ115" s="169">
        <f t="shared" si="3"/>
        <v>0</v>
      </c>
      <c r="BA115" s="169">
        <f t="shared" si="3"/>
        <v>0</v>
      </c>
      <c r="BB115" s="169">
        <f t="shared" si="3"/>
        <v>0</v>
      </c>
      <c r="BC115" s="169">
        <f t="shared" si="3"/>
        <v>0</v>
      </c>
      <c r="BD115" s="169">
        <f t="shared" si="3"/>
        <v>0</v>
      </c>
      <c r="BE115" s="169">
        <f t="shared" si="3"/>
        <v>0</v>
      </c>
      <c r="BF115" s="169">
        <f t="shared" si="3"/>
        <v>0</v>
      </c>
      <c r="BG115" s="169">
        <f t="shared" si="3"/>
        <v>0</v>
      </c>
      <c r="BH115" s="169">
        <f t="shared" si="3"/>
        <v>0</v>
      </c>
      <c r="BI115" s="169">
        <f t="shared" si="3"/>
        <v>0</v>
      </c>
      <c r="BJ115" s="169">
        <f t="shared" si="3"/>
        <v>0</v>
      </c>
      <c r="BK115" s="169">
        <f t="shared" si="3"/>
        <v>0</v>
      </c>
      <c r="BL115" s="169">
        <f t="shared" si="3"/>
        <v>0</v>
      </c>
      <c r="BM115" s="169">
        <f t="shared" si="3"/>
        <v>0</v>
      </c>
      <c r="BN115" s="169">
        <f t="shared" si="3"/>
        <v>0</v>
      </c>
      <c r="BO115" s="169">
        <f t="shared" ref="BO115:CT115" si="4">BO114*system_capacity</f>
        <v>0</v>
      </c>
      <c r="BP115" s="169">
        <f t="shared" si="4"/>
        <v>0</v>
      </c>
      <c r="BQ115" s="169">
        <f t="shared" si="4"/>
        <v>0</v>
      </c>
      <c r="BR115" s="169">
        <f t="shared" si="4"/>
        <v>0</v>
      </c>
      <c r="BS115" s="169">
        <f t="shared" si="4"/>
        <v>0</v>
      </c>
      <c r="BT115" s="169">
        <f t="shared" si="4"/>
        <v>0</v>
      </c>
      <c r="BU115" s="169">
        <f t="shared" si="4"/>
        <v>0</v>
      </c>
      <c r="BV115" s="169">
        <f t="shared" si="4"/>
        <v>0</v>
      </c>
      <c r="BW115" s="169">
        <f t="shared" si="4"/>
        <v>0</v>
      </c>
      <c r="BX115" s="169">
        <f t="shared" si="4"/>
        <v>0</v>
      </c>
      <c r="BY115" s="169">
        <f t="shared" si="4"/>
        <v>0</v>
      </c>
      <c r="BZ115" s="169">
        <f t="shared" si="4"/>
        <v>0</v>
      </c>
      <c r="CA115" s="169">
        <f t="shared" si="4"/>
        <v>0</v>
      </c>
      <c r="CB115" s="169">
        <f t="shared" si="4"/>
        <v>0</v>
      </c>
      <c r="CC115" s="169">
        <f t="shared" si="4"/>
        <v>0</v>
      </c>
      <c r="CD115" s="169">
        <f t="shared" si="4"/>
        <v>0</v>
      </c>
      <c r="CE115" s="169">
        <f t="shared" si="4"/>
        <v>0</v>
      </c>
      <c r="CF115" s="169">
        <f t="shared" si="4"/>
        <v>0</v>
      </c>
      <c r="CG115" s="169">
        <f t="shared" si="4"/>
        <v>0</v>
      </c>
      <c r="CH115" s="169">
        <f t="shared" si="4"/>
        <v>0</v>
      </c>
      <c r="CI115" s="169">
        <f t="shared" si="4"/>
        <v>0</v>
      </c>
      <c r="CJ115" s="169">
        <f t="shared" si="4"/>
        <v>0</v>
      </c>
      <c r="CK115" s="169">
        <f t="shared" si="4"/>
        <v>0</v>
      </c>
      <c r="CL115" s="169">
        <f t="shared" si="4"/>
        <v>0</v>
      </c>
      <c r="CM115" s="169">
        <f t="shared" si="4"/>
        <v>0</v>
      </c>
      <c r="CN115" s="169">
        <f t="shared" si="4"/>
        <v>0</v>
      </c>
      <c r="CO115" s="169">
        <f t="shared" si="4"/>
        <v>0</v>
      </c>
      <c r="CP115" s="169">
        <f t="shared" si="4"/>
        <v>0</v>
      </c>
      <c r="CQ115" s="169">
        <f t="shared" si="4"/>
        <v>0</v>
      </c>
      <c r="CR115" s="169">
        <f t="shared" si="4"/>
        <v>0</v>
      </c>
      <c r="CS115" s="169">
        <f t="shared" si="4"/>
        <v>0</v>
      </c>
      <c r="CT115" s="169">
        <f t="shared" si="4"/>
        <v>0</v>
      </c>
      <c r="CU115" s="169">
        <f t="shared" ref="CU115:CX115" si="5">CU114*system_capacity</f>
        <v>0</v>
      </c>
      <c r="CV115" s="169">
        <f t="shared" si="5"/>
        <v>0</v>
      </c>
      <c r="CW115" s="169">
        <f t="shared" si="5"/>
        <v>0</v>
      </c>
      <c r="CX115" s="169">
        <f t="shared" si="5"/>
        <v>0</v>
      </c>
    </row>
    <row r="116" spans="1:102" x14ac:dyDescent="0.3">
      <c r="A116" s="31" t="s">
        <v>180</v>
      </c>
      <c r="B116" s="170"/>
      <c r="C116" s="231"/>
      <c r="D116" s="231"/>
      <c r="E116" s="231"/>
      <c r="F116" s="231"/>
      <c r="G116" s="231"/>
      <c r="H116" s="231"/>
      <c r="I116" s="231"/>
      <c r="J116" s="231"/>
      <c r="K116" s="231"/>
      <c r="L116" s="231"/>
      <c r="M116" s="231"/>
      <c r="N116" s="231"/>
      <c r="O116" s="231"/>
      <c r="P116" s="231"/>
      <c r="Q116" s="231"/>
      <c r="R116" s="231"/>
      <c r="S116" s="231"/>
      <c r="T116" s="231"/>
      <c r="U116" s="231"/>
      <c r="V116" s="231"/>
      <c r="W116" s="231"/>
      <c r="X116" s="231"/>
      <c r="Y116" s="231"/>
      <c r="Z116" s="231"/>
      <c r="AA116" s="231"/>
      <c r="AB116" s="231"/>
      <c r="AC116" s="231"/>
      <c r="AD116" s="231"/>
      <c r="AE116" s="231"/>
      <c r="AF116" s="231"/>
      <c r="AG116" s="231"/>
      <c r="AH116" s="231"/>
      <c r="AI116" s="231"/>
      <c r="AJ116" s="231"/>
      <c r="AK116" s="231"/>
      <c r="AL116" s="231"/>
      <c r="AM116" s="231"/>
      <c r="AN116" s="231"/>
      <c r="AO116" s="231"/>
      <c r="AP116" s="231"/>
      <c r="AQ116" s="231"/>
      <c r="AR116" s="231"/>
      <c r="AS116" s="231"/>
      <c r="AT116" s="231"/>
      <c r="AU116" s="231"/>
      <c r="AV116" s="231"/>
      <c r="AW116" s="231"/>
      <c r="AX116" s="231"/>
      <c r="AY116" s="231"/>
      <c r="AZ116" s="231"/>
      <c r="BA116" s="231"/>
      <c r="BB116" s="231"/>
      <c r="BC116" s="231"/>
      <c r="BD116" s="231"/>
      <c r="BE116" s="231"/>
      <c r="BF116" s="231"/>
      <c r="BG116" s="231"/>
      <c r="BH116" s="231"/>
      <c r="BI116" s="231"/>
      <c r="BJ116" s="231"/>
      <c r="BK116" s="231"/>
      <c r="BL116" s="231"/>
      <c r="BM116" s="231"/>
      <c r="BN116" s="231"/>
      <c r="BO116" s="231"/>
      <c r="BP116" s="231"/>
      <c r="BQ116" s="231"/>
      <c r="BR116" s="231"/>
      <c r="BS116" s="231"/>
      <c r="BT116" s="231"/>
      <c r="BU116" s="231"/>
      <c r="BV116" s="231"/>
      <c r="BW116" s="231"/>
      <c r="BX116" s="231"/>
      <c r="BY116" s="231"/>
      <c r="BZ116" s="231"/>
      <c r="CA116" s="231"/>
      <c r="CB116" s="231"/>
      <c r="CC116" s="231"/>
      <c r="CD116" s="231"/>
      <c r="CE116" s="231"/>
      <c r="CF116" s="231"/>
      <c r="CG116" s="231"/>
      <c r="CH116" s="231"/>
      <c r="CI116" s="231"/>
      <c r="CJ116" s="231"/>
      <c r="CK116" s="231"/>
      <c r="CL116" s="231"/>
      <c r="CM116" s="231"/>
      <c r="CN116" s="231"/>
      <c r="CO116" s="231"/>
      <c r="CP116" s="231"/>
      <c r="CQ116" s="231"/>
      <c r="CR116" s="231"/>
      <c r="CS116" s="231"/>
      <c r="CT116" s="231"/>
      <c r="CU116" s="231"/>
      <c r="CV116" s="231"/>
      <c r="CW116" s="231"/>
      <c r="CX116" s="231"/>
    </row>
    <row r="117" spans="1:102" x14ac:dyDescent="0.3">
      <c r="A117" s="31" t="s">
        <v>181</v>
      </c>
      <c r="B117" s="172"/>
      <c r="C117" s="173">
        <f t="shared" ref="C117:AH117" si="6">C116*C105/1000</f>
        <v>0</v>
      </c>
      <c r="D117" s="173">
        <f t="shared" si="6"/>
        <v>0</v>
      </c>
      <c r="E117" s="173">
        <f t="shared" si="6"/>
        <v>0</v>
      </c>
      <c r="F117" s="173">
        <f t="shared" si="6"/>
        <v>0</v>
      </c>
      <c r="G117" s="173">
        <f t="shared" si="6"/>
        <v>0</v>
      </c>
      <c r="H117" s="173">
        <f t="shared" si="6"/>
        <v>0</v>
      </c>
      <c r="I117" s="173">
        <f t="shared" si="6"/>
        <v>0</v>
      </c>
      <c r="J117" s="173">
        <f t="shared" si="6"/>
        <v>0</v>
      </c>
      <c r="K117" s="173">
        <f t="shared" si="6"/>
        <v>0</v>
      </c>
      <c r="L117" s="173">
        <f t="shared" si="6"/>
        <v>0</v>
      </c>
      <c r="M117" s="173">
        <f t="shared" si="6"/>
        <v>0</v>
      </c>
      <c r="N117" s="173">
        <f t="shared" si="6"/>
        <v>0</v>
      </c>
      <c r="O117" s="173">
        <f t="shared" si="6"/>
        <v>0</v>
      </c>
      <c r="P117" s="173">
        <f t="shared" si="6"/>
        <v>0</v>
      </c>
      <c r="Q117" s="173">
        <f t="shared" si="6"/>
        <v>0</v>
      </c>
      <c r="R117" s="173">
        <f t="shared" si="6"/>
        <v>0</v>
      </c>
      <c r="S117" s="173">
        <f t="shared" si="6"/>
        <v>0</v>
      </c>
      <c r="T117" s="173">
        <f t="shared" si="6"/>
        <v>0</v>
      </c>
      <c r="U117" s="173">
        <f t="shared" si="6"/>
        <v>0</v>
      </c>
      <c r="V117" s="173">
        <f t="shared" si="6"/>
        <v>0</v>
      </c>
      <c r="W117" s="173">
        <f t="shared" si="6"/>
        <v>0</v>
      </c>
      <c r="X117" s="173">
        <f t="shared" si="6"/>
        <v>0</v>
      </c>
      <c r="Y117" s="173">
        <f t="shared" si="6"/>
        <v>0</v>
      </c>
      <c r="Z117" s="173">
        <f t="shared" si="6"/>
        <v>0</v>
      </c>
      <c r="AA117" s="173">
        <f t="shared" si="6"/>
        <v>0</v>
      </c>
      <c r="AB117" s="173">
        <f t="shared" si="6"/>
        <v>0</v>
      </c>
      <c r="AC117" s="173">
        <f t="shared" si="6"/>
        <v>0</v>
      </c>
      <c r="AD117" s="173">
        <f t="shared" si="6"/>
        <v>0</v>
      </c>
      <c r="AE117" s="173">
        <f t="shared" si="6"/>
        <v>0</v>
      </c>
      <c r="AF117" s="173">
        <f t="shared" si="6"/>
        <v>0</v>
      </c>
      <c r="AG117" s="173">
        <f t="shared" si="6"/>
        <v>0</v>
      </c>
      <c r="AH117" s="173">
        <f t="shared" si="6"/>
        <v>0</v>
      </c>
      <c r="AI117" s="173">
        <f t="shared" ref="AI117:BN117" si="7">AI116*AI105/1000</f>
        <v>0</v>
      </c>
      <c r="AJ117" s="173">
        <f t="shared" si="7"/>
        <v>0</v>
      </c>
      <c r="AK117" s="173">
        <f t="shared" si="7"/>
        <v>0</v>
      </c>
      <c r="AL117" s="173">
        <f t="shared" si="7"/>
        <v>0</v>
      </c>
      <c r="AM117" s="173">
        <f t="shared" si="7"/>
        <v>0</v>
      </c>
      <c r="AN117" s="173">
        <f t="shared" si="7"/>
        <v>0</v>
      </c>
      <c r="AO117" s="173">
        <f t="shared" si="7"/>
        <v>0</v>
      </c>
      <c r="AP117" s="173">
        <f t="shared" si="7"/>
        <v>0</v>
      </c>
      <c r="AQ117" s="173">
        <f t="shared" si="7"/>
        <v>0</v>
      </c>
      <c r="AR117" s="173">
        <f t="shared" si="7"/>
        <v>0</v>
      </c>
      <c r="AS117" s="173">
        <f t="shared" si="7"/>
        <v>0</v>
      </c>
      <c r="AT117" s="173">
        <f t="shared" si="7"/>
        <v>0</v>
      </c>
      <c r="AU117" s="173">
        <f t="shared" si="7"/>
        <v>0</v>
      </c>
      <c r="AV117" s="173">
        <f t="shared" si="7"/>
        <v>0</v>
      </c>
      <c r="AW117" s="173">
        <f t="shared" si="7"/>
        <v>0</v>
      </c>
      <c r="AX117" s="173">
        <f t="shared" si="7"/>
        <v>0</v>
      </c>
      <c r="AY117" s="173">
        <f t="shared" si="7"/>
        <v>0</v>
      </c>
      <c r="AZ117" s="173">
        <f t="shared" si="7"/>
        <v>0</v>
      </c>
      <c r="BA117" s="173">
        <f t="shared" si="7"/>
        <v>0</v>
      </c>
      <c r="BB117" s="173">
        <f t="shared" si="7"/>
        <v>0</v>
      </c>
      <c r="BC117" s="173">
        <f t="shared" si="7"/>
        <v>0</v>
      </c>
      <c r="BD117" s="173">
        <f t="shared" si="7"/>
        <v>0</v>
      </c>
      <c r="BE117" s="173">
        <f t="shared" si="7"/>
        <v>0</v>
      </c>
      <c r="BF117" s="173">
        <f t="shared" si="7"/>
        <v>0</v>
      </c>
      <c r="BG117" s="173">
        <f t="shared" si="7"/>
        <v>0</v>
      </c>
      <c r="BH117" s="173">
        <f t="shared" si="7"/>
        <v>0</v>
      </c>
      <c r="BI117" s="173">
        <f t="shared" si="7"/>
        <v>0</v>
      </c>
      <c r="BJ117" s="173">
        <f t="shared" si="7"/>
        <v>0</v>
      </c>
      <c r="BK117" s="173">
        <f t="shared" si="7"/>
        <v>0</v>
      </c>
      <c r="BL117" s="173">
        <f t="shared" si="7"/>
        <v>0</v>
      </c>
      <c r="BM117" s="173">
        <f t="shared" si="7"/>
        <v>0</v>
      </c>
      <c r="BN117" s="173">
        <f t="shared" si="7"/>
        <v>0</v>
      </c>
      <c r="BO117" s="173">
        <f t="shared" ref="BO117:CT117" si="8">BO116*BO105/1000</f>
        <v>0</v>
      </c>
      <c r="BP117" s="173">
        <f t="shared" si="8"/>
        <v>0</v>
      </c>
      <c r="BQ117" s="173">
        <f t="shared" si="8"/>
        <v>0</v>
      </c>
      <c r="BR117" s="173">
        <f t="shared" si="8"/>
        <v>0</v>
      </c>
      <c r="BS117" s="173">
        <f t="shared" si="8"/>
        <v>0</v>
      </c>
      <c r="BT117" s="173">
        <f t="shared" si="8"/>
        <v>0</v>
      </c>
      <c r="BU117" s="173">
        <f t="shared" si="8"/>
        <v>0</v>
      </c>
      <c r="BV117" s="173">
        <f t="shared" si="8"/>
        <v>0</v>
      </c>
      <c r="BW117" s="173">
        <f t="shared" si="8"/>
        <v>0</v>
      </c>
      <c r="BX117" s="173">
        <f t="shared" si="8"/>
        <v>0</v>
      </c>
      <c r="BY117" s="173">
        <f t="shared" si="8"/>
        <v>0</v>
      </c>
      <c r="BZ117" s="173">
        <f t="shared" si="8"/>
        <v>0</v>
      </c>
      <c r="CA117" s="173">
        <f t="shared" si="8"/>
        <v>0</v>
      </c>
      <c r="CB117" s="173">
        <f t="shared" si="8"/>
        <v>0</v>
      </c>
      <c r="CC117" s="173">
        <f t="shared" si="8"/>
        <v>0</v>
      </c>
      <c r="CD117" s="173">
        <f t="shared" si="8"/>
        <v>0</v>
      </c>
      <c r="CE117" s="173">
        <f t="shared" si="8"/>
        <v>0</v>
      </c>
      <c r="CF117" s="173">
        <f t="shared" si="8"/>
        <v>0</v>
      </c>
      <c r="CG117" s="173">
        <f t="shared" si="8"/>
        <v>0</v>
      </c>
      <c r="CH117" s="173">
        <f t="shared" si="8"/>
        <v>0</v>
      </c>
      <c r="CI117" s="173">
        <f t="shared" si="8"/>
        <v>0</v>
      </c>
      <c r="CJ117" s="173">
        <f t="shared" si="8"/>
        <v>0</v>
      </c>
      <c r="CK117" s="173">
        <f t="shared" si="8"/>
        <v>0</v>
      </c>
      <c r="CL117" s="173">
        <f t="shared" si="8"/>
        <v>0</v>
      </c>
      <c r="CM117" s="173">
        <f t="shared" si="8"/>
        <v>0</v>
      </c>
      <c r="CN117" s="173">
        <f t="shared" si="8"/>
        <v>0</v>
      </c>
      <c r="CO117" s="173">
        <f t="shared" si="8"/>
        <v>0</v>
      </c>
      <c r="CP117" s="173">
        <f t="shared" si="8"/>
        <v>0</v>
      </c>
      <c r="CQ117" s="173">
        <f t="shared" si="8"/>
        <v>0</v>
      </c>
      <c r="CR117" s="173">
        <f t="shared" si="8"/>
        <v>0</v>
      </c>
      <c r="CS117" s="173">
        <f t="shared" si="8"/>
        <v>0</v>
      </c>
      <c r="CT117" s="173">
        <f t="shared" si="8"/>
        <v>0</v>
      </c>
      <c r="CU117" s="173">
        <f t="shared" ref="CU117:CX117" si="9">CU116*CU105/1000</f>
        <v>0</v>
      </c>
      <c r="CV117" s="173">
        <f t="shared" si="9"/>
        <v>0</v>
      </c>
      <c r="CW117" s="173">
        <f t="shared" si="9"/>
        <v>0</v>
      </c>
      <c r="CX117" s="173">
        <f t="shared" si="9"/>
        <v>0</v>
      </c>
    </row>
    <row r="118" spans="1:102" x14ac:dyDescent="0.3">
      <c r="A118" s="171" t="s">
        <v>203</v>
      </c>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c r="BR118" s="175"/>
      <c r="BS118" s="175"/>
      <c r="BT118" s="175"/>
      <c r="BU118" s="175"/>
      <c r="BV118" s="175"/>
      <c r="BW118" s="175"/>
      <c r="BX118" s="175"/>
      <c r="BY118" s="175"/>
      <c r="BZ118" s="175"/>
      <c r="CA118" s="175"/>
      <c r="CB118" s="175"/>
      <c r="CC118" s="175"/>
      <c r="CD118" s="175"/>
      <c r="CE118" s="175"/>
      <c r="CF118" s="175"/>
      <c r="CG118" s="175"/>
      <c r="CH118" s="175"/>
      <c r="CI118" s="175"/>
      <c r="CJ118" s="175"/>
      <c r="CK118" s="175"/>
      <c r="CL118" s="175"/>
      <c r="CM118" s="175"/>
      <c r="CN118" s="175"/>
      <c r="CO118" s="175"/>
      <c r="CP118" s="175"/>
      <c r="CQ118" s="175"/>
      <c r="CR118" s="175"/>
      <c r="CS118" s="175"/>
      <c r="CT118" s="175"/>
      <c r="CU118" s="175"/>
      <c r="CV118" s="175"/>
      <c r="CW118" s="175"/>
      <c r="CX118" s="176"/>
    </row>
    <row r="119" spans="1:102" x14ac:dyDescent="0.3">
      <c r="A119" s="31" t="s">
        <v>171</v>
      </c>
      <c r="B119" s="232"/>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c r="CD119" s="174"/>
      <c r="CE119" s="174"/>
      <c r="CF119" s="174"/>
      <c r="CG119" s="174"/>
      <c r="CH119" s="174"/>
      <c r="CI119" s="174"/>
      <c r="CJ119" s="174"/>
      <c r="CK119" s="174"/>
      <c r="CL119" s="174"/>
      <c r="CM119" s="174"/>
      <c r="CN119" s="174"/>
      <c r="CO119" s="174"/>
      <c r="CP119" s="174"/>
      <c r="CQ119" s="174"/>
      <c r="CR119" s="174"/>
      <c r="CS119" s="174"/>
      <c r="CT119" s="174"/>
      <c r="CU119" s="174"/>
      <c r="CV119" s="174"/>
      <c r="CW119" s="174"/>
      <c r="CX119" s="174"/>
    </row>
    <row r="120" spans="1:102" x14ac:dyDescent="0.3">
      <c r="A120" s="168" t="s">
        <v>174</v>
      </c>
      <c r="B120" s="233"/>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c r="AT120" s="170"/>
      <c r="AU120" s="170"/>
      <c r="AV120" s="170"/>
      <c r="AW120" s="170"/>
      <c r="AX120" s="170"/>
      <c r="AY120" s="170"/>
      <c r="AZ120" s="170"/>
      <c r="BA120" s="170"/>
      <c r="BB120" s="170"/>
      <c r="BC120" s="170"/>
      <c r="BD120" s="170"/>
      <c r="BE120" s="170"/>
      <c r="BF120" s="170"/>
      <c r="BG120" s="170"/>
      <c r="BH120" s="170"/>
      <c r="BI120" s="170"/>
      <c r="BJ120" s="170"/>
      <c r="BK120" s="170"/>
      <c r="BL120" s="170"/>
      <c r="BM120" s="170"/>
      <c r="BN120" s="170"/>
      <c r="BO120" s="170"/>
      <c r="BP120" s="170"/>
      <c r="BQ120" s="170"/>
      <c r="BR120" s="170"/>
      <c r="BS120" s="170"/>
      <c r="BT120" s="170"/>
      <c r="BU120" s="170"/>
      <c r="BV120" s="170"/>
      <c r="BW120" s="170"/>
      <c r="BX120" s="170"/>
      <c r="BY120" s="170"/>
      <c r="BZ120" s="170"/>
      <c r="CA120" s="170"/>
      <c r="CB120" s="170"/>
      <c r="CC120" s="170"/>
      <c r="CD120" s="170"/>
      <c r="CE120" s="170"/>
      <c r="CF120" s="170"/>
      <c r="CG120" s="170"/>
      <c r="CH120" s="170"/>
      <c r="CI120" s="170"/>
      <c r="CJ120" s="170"/>
      <c r="CK120" s="170"/>
      <c r="CL120" s="170"/>
      <c r="CM120" s="170"/>
      <c r="CN120" s="170"/>
      <c r="CO120" s="170"/>
      <c r="CP120" s="170"/>
      <c r="CQ120" s="170"/>
      <c r="CR120" s="170"/>
      <c r="CS120" s="170"/>
      <c r="CT120" s="170"/>
      <c r="CU120" s="170"/>
      <c r="CV120" s="170"/>
      <c r="CW120" s="170"/>
      <c r="CX120" s="170"/>
    </row>
    <row r="121" spans="1:102" x14ac:dyDescent="0.3">
      <c r="A121" s="31" t="s">
        <v>172</v>
      </c>
      <c r="B121" s="233"/>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c r="AA121" s="170"/>
      <c r="AB121" s="170"/>
      <c r="AC121" s="170"/>
      <c r="AD121" s="170"/>
      <c r="AE121" s="170"/>
      <c r="AF121" s="170"/>
      <c r="AG121" s="170"/>
      <c r="AH121" s="170"/>
      <c r="AI121" s="170"/>
      <c r="AJ121" s="170"/>
      <c r="AK121" s="170"/>
      <c r="AL121" s="170"/>
      <c r="AM121" s="170"/>
      <c r="AN121" s="170"/>
      <c r="AO121" s="170"/>
      <c r="AP121" s="170"/>
      <c r="AQ121" s="170"/>
      <c r="AR121" s="170"/>
      <c r="AS121" s="170"/>
      <c r="AT121" s="170"/>
      <c r="AU121" s="170"/>
      <c r="AV121" s="170"/>
      <c r="AW121" s="170"/>
      <c r="AX121" s="170"/>
      <c r="AY121" s="170"/>
      <c r="AZ121" s="170"/>
      <c r="BA121" s="170"/>
      <c r="BB121" s="170"/>
      <c r="BC121" s="170"/>
      <c r="BD121" s="170"/>
      <c r="BE121" s="170"/>
      <c r="BF121" s="170"/>
      <c r="BG121" s="170"/>
      <c r="BH121" s="170"/>
      <c r="BI121" s="170"/>
      <c r="BJ121" s="170"/>
      <c r="BK121" s="170"/>
      <c r="BL121" s="170"/>
      <c r="BM121" s="170"/>
      <c r="BN121" s="170"/>
      <c r="BO121" s="170"/>
      <c r="BP121" s="170"/>
      <c r="BQ121" s="170"/>
      <c r="BR121" s="170"/>
      <c r="BS121" s="170"/>
      <c r="BT121" s="170"/>
      <c r="BU121" s="170"/>
      <c r="BV121" s="170"/>
      <c r="BW121" s="170"/>
      <c r="BX121" s="170"/>
      <c r="BY121" s="170"/>
      <c r="BZ121" s="170"/>
      <c r="CA121" s="170"/>
      <c r="CB121" s="170"/>
      <c r="CC121" s="170"/>
      <c r="CD121" s="170"/>
      <c r="CE121" s="170"/>
      <c r="CF121" s="170"/>
      <c r="CG121" s="170"/>
      <c r="CH121" s="170"/>
      <c r="CI121" s="170"/>
      <c r="CJ121" s="170"/>
      <c r="CK121" s="170"/>
      <c r="CL121" s="170"/>
      <c r="CM121" s="170"/>
      <c r="CN121" s="170"/>
      <c r="CO121" s="170"/>
      <c r="CP121" s="170"/>
      <c r="CQ121" s="170"/>
      <c r="CR121" s="170"/>
      <c r="CS121" s="170"/>
      <c r="CT121" s="170"/>
      <c r="CU121" s="170"/>
      <c r="CV121" s="170"/>
      <c r="CW121" s="170"/>
      <c r="CX121" s="170"/>
    </row>
    <row r="122" spans="1:102" x14ac:dyDescent="0.3">
      <c r="A122" s="31" t="s">
        <v>173</v>
      </c>
      <c r="B122" s="234"/>
      <c r="C122" s="223"/>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223"/>
      <c r="AS122" s="223"/>
      <c r="AT122" s="223"/>
      <c r="AU122" s="223"/>
      <c r="AV122" s="223"/>
      <c r="AW122" s="223"/>
      <c r="AX122" s="223"/>
      <c r="AY122" s="223"/>
      <c r="AZ122" s="223"/>
      <c r="BA122" s="223"/>
      <c r="BB122" s="223"/>
      <c r="BC122" s="223"/>
      <c r="BD122" s="223"/>
      <c r="BE122" s="223"/>
      <c r="BF122" s="223"/>
      <c r="BG122" s="223"/>
      <c r="BH122" s="223"/>
      <c r="BI122" s="223"/>
      <c r="BJ122" s="223"/>
      <c r="BK122" s="223"/>
      <c r="BL122" s="223"/>
      <c r="BM122" s="223"/>
      <c r="BN122" s="223"/>
      <c r="BO122" s="223"/>
      <c r="BP122" s="223"/>
      <c r="BQ122" s="223"/>
      <c r="BR122" s="223"/>
      <c r="BS122" s="223"/>
      <c r="BT122" s="223"/>
      <c r="BU122" s="223"/>
      <c r="BV122" s="223"/>
      <c r="BW122" s="223"/>
      <c r="BX122" s="223"/>
      <c r="BY122" s="223"/>
      <c r="BZ122" s="223"/>
      <c r="CA122" s="223"/>
      <c r="CB122" s="223"/>
      <c r="CC122" s="223"/>
      <c r="CD122" s="223"/>
      <c r="CE122" s="223"/>
      <c r="CF122" s="223"/>
      <c r="CG122" s="223"/>
      <c r="CH122" s="223"/>
      <c r="CI122" s="223"/>
      <c r="CJ122" s="223"/>
      <c r="CK122" s="223"/>
      <c r="CL122" s="223"/>
      <c r="CM122" s="223"/>
      <c r="CN122" s="223"/>
      <c r="CO122" s="223"/>
      <c r="CP122" s="223"/>
      <c r="CQ122" s="223"/>
      <c r="CR122" s="223"/>
      <c r="CS122" s="223"/>
      <c r="CT122" s="223"/>
      <c r="CU122" s="223"/>
      <c r="CV122" s="223"/>
      <c r="CW122" s="223"/>
      <c r="CX122" s="223"/>
    </row>
    <row r="123" spans="1:102" x14ac:dyDescent="0.3">
      <c r="A123" s="168" t="s">
        <v>176</v>
      </c>
      <c r="B123" s="233"/>
      <c r="C123" s="169">
        <f t="shared" ref="C123:AH123" si="10">batt_computed_bank_capacity*batt_replacement_cost*(1+batt_replacement_cost_escal/100+inflation_rate/100)^(C104-1)</f>
        <v>0</v>
      </c>
      <c r="D123" s="169">
        <f t="shared" si="10"/>
        <v>0</v>
      </c>
      <c r="E123" s="169">
        <f t="shared" si="10"/>
        <v>0</v>
      </c>
      <c r="F123" s="169">
        <f t="shared" si="10"/>
        <v>0</v>
      </c>
      <c r="G123" s="169">
        <f t="shared" si="10"/>
        <v>0</v>
      </c>
      <c r="H123" s="169">
        <f t="shared" si="10"/>
        <v>0</v>
      </c>
      <c r="I123" s="169">
        <f t="shared" si="10"/>
        <v>0</v>
      </c>
      <c r="J123" s="169">
        <f t="shared" si="10"/>
        <v>0</v>
      </c>
      <c r="K123" s="169">
        <f t="shared" si="10"/>
        <v>0</v>
      </c>
      <c r="L123" s="169">
        <f t="shared" si="10"/>
        <v>0</v>
      </c>
      <c r="M123" s="169">
        <f t="shared" si="10"/>
        <v>0</v>
      </c>
      <c r="N123" s="169">
        <f t="shared" si="10"/>
        <v>0</v>
      </c>
      <c r="O123" s="169">
        <f t="shared" si="10"/>
        <v>0</v>
      </c>
      <c r="P123" s="169">
        <f t="shared" si="10"/>
        <v>0</v>
      </c>
      <c r="Q123" s="169">
        <f t="shared" si="10"/>
        <v>0</v>
      </c>
      <c r="R123" s="169">
        <f t="shared" si="10"/>
        <v>0</v>
      </c>
      <c r="S123" s="169">
        <f t="shared" si="10"/>
        <v>0</v>
      </c>
      <c r="T123" s="169">
        <f t="shared" si="10"/>
        <v>0</v>
      </c>
      <c r="U123" s="169">
        <f t="shared" si="10"/>
        <v>0</v>
      </c>
      <c r="V123" s="169">
        <f t="shared" si="10"/>
        <v>0</v>
      </c>
      <c r="W123" s="169">
        <f t="shared" si="10"/>
        <v>0</v>
      </c>
      <c r="X123" s="169">
        <f t="shared" si="10"/>
        <v>0</v>
      </c>
      <c r="Y123" s="169">
        <f t="shared" si="10"/>
        <v>0</v>
      </c>
      <c r="Z123" s="169">
        <f t="shared" si="10"/>
        <v>0</v>
      </c>
      <c r="AA123" s="169">
        <f t="shared" si="10"/>
        <v>0</v>
      </c>
      <c r="AB123" s="169">
        <f t="shared" si="10"/>
        <v>0</v>
      </c>
      <c r="AC123" s="169">
        <f t="shared" si="10"/>
        <v>0</v>
      </c>
      <c r="AD123" s="169">
        <f t="shared" si="10"/>
        <v>0</v>
      </c>
      <c r="AE123" s="169">
        <f t="shared" si="10"/>
        <v>0</v>
      </c>
      <c r="AF123" s="169">
        <f t="shared" si="10"/>
        <v>0</v>
      </c>
      <c r="AG123" s="169">
        <f t="shared" si="10"/>
        <v>0</v>
      </c>
      <c r="AH123" s="169">
        <f t="shared" si="10"/>
        <v>0</v>
      </c>
      <c r="AI123" s="169">
        <f t="shared" ref="AI123:BN123" si="11">batt_computed_bank_capacity*batt_replacement_cost*(1+batt_replacement_cost_escal/100+inflation_rate/100)^(AI104-1)</f>
        <v>0</v>
      </c>
      <c r="AJ123" s="169">
        <f t="shared" si="11"/>
        <v>0</v>
      </c>
      <c r="AK123" s="169">
        <f t="shared" si="11"/>
        <v>0</v>
      </c>
      <c r="AL123" s="169">
        <f t="shared" si="11"/>
        <v>0</v>
      </c>
      <c r="AM123" s="169">
        <f t="shared" si="11"/>
        <v>0</v>
      </c>
      <c r="AN123" s="169">
        <f t="shared" si="11"/>
        <v>0</v>
      </c>
      <c r="AO123" s="169">
        <f t="shared" si="11"/>
        <v>0</v>
      </c>
      <c r="AP123" s="169">
        <f t="shared" si="11"/>
        <v>0</v>
      </c>
      <c r="AQ123" s="169">
        <f t="shared" si="11"/>
        <v>0</v>
      </c>
      <c r="AR123" s="169">
        <f t="shared" si="11"/>
        <v>0</v>
      </c>
      <c r="AS123" s="169">
        <f t="shared" si="11"/>
        <v>0</v>
      </c>
      <c r="AT123" s="169">
        <f t="shared" si="11"/>
        <v>0</v>
      </c>
      <c r="AU123" s="169">
        <f t="shared" si="11"/>
        <v>0</v>
      </c>
      <c r="AV123" s="169">
        <f t="shared" si="11"/>
        <v>0</v>
      </c>
      <c r="AW123" s="169">
        <f t="shared" si="11"/>
        <v>0</v>
      </c>
      <c r="AX123" s="169">
        <f t="shared" si="11"/>
        <v>0</v>
      </c>
      <c r="AY123" s="169">
        <f t="shared" si="11"/>
        <v>0</v>
      </c>
      <c r="AZ123" s="169">
        <f t="shared" si="11"/>
        <v>0</v>
      </c>
      <c r="BA123" s="169">
        <f t="shared" si="11"/>
        <v>0</v>
      </c>
      <c r="BB123" s="169">
        <f t="shared" si="11"/>
        <v>0</v>
      </c>
      <c r="BC123" s="169">
        <f t="shared" si="11"/>
        <v>0</v>
      </c>
      <c r="BD123" s="169">
        <f t="shared" si="11"/>
        <v>0</v>
      </c>
      <c r="BE123" s="169">
        <f t="shared" si="11"/>
        <v>0</v>
      </c>
      <c r="BF123" s="169">
        <f t="shared" si="11"/>
        <v>0</v>
      </c>
      <c r="BG123" s="169">
        <f t="shared" si="11"/>
        <v>0</v>
      </c>
      <c r="BH123" s="169">
        <f t="shared" si="11"/>
        <v>0</v>
      </c>
      <c r="BI123" s="169">
        <f t="shared" si="11"/>
        <v>0</v>
      </c>
      <c r="BJ123" s="169">
        <f t="shared" si="11"/>
        <v>0</v>
      </c>
      <c r="BK123" s="169">
        <f t="shared" si="11"/>
        <v>0</v>
      </c>
      <c r="BL123" s="169">
        <f t="shared" si="11"/>
        <v>0</v>
      </c>
      <c r="BM123" s="169">
        <f t="shared" si="11"/>
        <v>0</v>
      </c>
      <c r="BN123" s="169">
        <f t="shared" si="11"/>
        <v>0</v>
      </c>
      <c r="BO123" s="169">
        <f t="shared" ref="BO123:CX123" si="12">batt_computed_bank_capacity*batt_replacement_cost*(1+batt_replacement_cost_escal/100+inflation_rate/100)^(BO104-1)</f>
        <v>0</v>
      </c>
      <c r="BP123" s="169">
        <f t="shared" si="12"/>
        <v>0</v>
      </c>
      <c r="BQ123" s="169">
        <f t="shared" si="12"/>
        <v>0</v>
      </c>
      <c r="BR123" s="169">
        <f t="shared" si="12"/>
        <v>0</v>
      </c>
      <c r="BS123" s="169">
        <f t="shared" si="12"/>
        <v>0</v>
      </c>
      <c r="BT123" s="169">
        <f t="shared" si="12"/>
        <v>0</v>
      </c>
      <c r="BU123" s="169">
        <f t="shared" si="12"/>
        <v>0</v>
      </c>
      <c r="BV123" s="169">
        <f t="shared" si="12"/>
        <v>0</v>
      </c>
      <c r="BW123" s="169">
        <f t="shared" si="12"/>
        <v>0</v>
      </c>
      <c r="BX123" s="169">
        <f t="shared" si="12"/>
        <v>0</v>
      </c>
      <c r="BY123" s="169">
        <f t="shared" si="12"/>
        <v>0</v>
      </c>
      <c r="BZ123" s="169">
        <f t="shared" si="12"/>
        <v>0</v>
      </c>
      <c r="CA123" s="169">
        <f t="shared" si="12"/>
        <v>0</v>
      </c>
      <c r="CB123" s="169">
        <f t="shared" si="12"/>
        <v>0</v>
      </c>
      <c r="CC123" s="169">
        <f t="shared" si="12"/>
        <v>0</v>
      </c>
      <c r="CD123" s="169">
        <f t="shared" si="12"/>
        <v>0</v>
      </c>
      <c r="CE123" s="169">
        <f t="shared" si="12"/>
        <v>0</v>
      </c>
      <c r="CF123" s="169">
        <f t="shared" si="12"/>
        <v>0</v>
      </c>
      <c r="CG123" s="169">
        <f t="shared" si="12"/>
        <v>0</v>
      </c>
      <c r="CH123" s="169">
        <f t="shared" si="12"/>
        <v>0</v>
      </c>
      <c r="CI123" s="169">
        <f t="shared" si="12"/>
        <v>0</v>
      </c>
      <c r="CJ123" s="169">
        <f t="shared" si="12"/>
        <v>0</v>
      </c>
      <c r="CK123" s="169">
        <f t="shared" si="12"/>
        <v>0</v>
      </c>
      <c r="CL123" s="169">
        <f t="shared" si="12"/>
        <v>0</v>
      </c>
      <c r="CM123" s="169">
        <f t="shared" si="12"/>
        <v>0</v>
      </c>
      <c r="CN123" s="169">
        <f t="shared" si="12"/>
        <v>0</v>
      </c>
      <c r="CO123" s="169">
        <f t="shared" si="12"/>
        <v>0</v>
      </c>
      <c r="CP123" s="169">
        <f t="shared" si="12"/>
        <v>0</v>
      </c>
      <c r="CQ123" s="169">
        <f t="shared" si="12"/>
        <v>0</v>
      </c>
      <c r="CR123" s="169">
        <f t="shared" si="12"/>
        <v>0</v>
      </c>
      <c r="CS123" s="169">
        <f t="shared" si="12"/>
        <v>0</v>
      </c>
      <c r="CT123" s="169">
        <f t="shared" si="12"/>
        <v>0</v>
      </c>
      <c r="CU123" s="169">
        <f t="shared" si="12"/>
        <v>0</v>
      </c>
      <c r="CV123" s="169">
        <f t="shared" si="12"/>
        <v>0</v>
      </c>
      <c r="CW123" s="169">
        <f t="shared" si="12"/>
        <v>0</v>
      </c>
      <c r="CX123" s="169">
        <f t="shared" si="12"/>
        <v>0</v>
      </c>
    </row>
    <row r="124" spans="1:102" x14ac:dyDescent="0.3">
      <c r="A124" s="31" t="s">
        <v>175</v>
      </c>
      <c r="B124" s="170"/>
      <c r="C124" s="231"/>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c r="Z124" s="231"/>
      <c r="AA124" s="231"/>
      <c r="AB124" s="231"/>
      <c r="AC124" s="231"/>
      <c r="AD124" s="231"/>
      <c r="AE124" s="231"/>
      <c r="AF124" s="231"/>
      <c r="AG124" s="231"/>
      <c r="AH124" s="231"/>
      <c r="AI124" s="231"/>
      <c r="AJ124" s="231"/>
      <c r="AK124" s="231"/>
      <c r="AL124" s="231"/>
      <c r="AM124" s="231"/>
      <c r="AN124" s="231"/>
      <c r="AO124" s="231"/>
      <c r="AP124" s="231"/>
      <c r="AQ124" s="231"/>
      <c r="AR124" s="231"/>
      <c r="AS124" s="231"/>
      <c r="AT124" s="231"/>
      <c r="AU124" s="231"/>
      <c r="AV124" s="231"/>
      <c r="AW124" s="231"/>
      <c r="AX124" s="231"/>
      <c r="AY124" s="231"/>
      <c r="AZ124" s="231"/>
      <c r="BA124" s="231"/>
      <c r="BB124" s="231"/>
      <c r="BC124" s="231"/>
      <c r="BD124" s="231"/>
      <c r="BE124" s="231"/>
      <c r="BF124" s="231"/>
      <c r="BG124" s="231"/>
      <c r="BH124" s="231"/>
      <c r="BI124" s="231"/>
      <c r="BJ124" s="231"/>
      <c r="BK124" s="231"/>
      <c r="BL124" s="231"/>
      <c r="BM124" s="231"/>
      <c r="BN124" s="231"/>
      <c r="BO124" s="231"/>
      <c r="BP124" s="231"/>
      <c r="BQ124" s="231"/>
      <c r="BR124" s="231"/>
      <c r="BS124" s="231"/>
      <c r="BT124" s="231"/>
      <c r="BU124" s="231"/>
      <c r="BV124" s="231"/>
      <c r="BW124" s="231"/>
      <c r="BX124" s="231"/>
      <c r="BY124" s="231"/>
      <c r="BZ124" s="231"/>
      <c r="CA124" s="231"/>
      <c r="CB124" s="231"/>
      <c r="CC124" s="231"/>
      <c r="CD124" s="231"/>
      <c r="CE124" s="231"/>
      <c r="CF124" s="231"/>
      <c r="CG124" s="231"/>
      <c r="CH124" s="231"/>
      <c r="CI124" s="231"/>
      <c r="CJ124" s="231"/>
      <c r="CK124" s="231"/>
      <c r="CL124" s="231"/>
      <c r="CM124" s="231"/>
      <c r="CN124" s="231"/>
      <c r="CO124" s="231"/>
      <c r="CP124" s="231"/>
      <c r="CQ124" s="231"/>
      <c r="CR124" s="231"/>
      <c r="CS124" s="231"/>
      <c r="CT124" s="231"/>
      <c r="CU124" s="231"/>
      <c r="CV124" s="231"/>
      <c r="CW124" s="231"/>
      <c r="CX124" s="231"/>
    </row>
    <row r="125" spans="1:102" x14ac:dyDescent="0.3">
      <c r="A125" s="31" t="s">
        <v>169</v>
      </c>
      <c r="B125" s="170"/>
      <c r="C125" s="169">
        <f>C123*C124</f>
        <v>0</v>
      </c>
      <c r="D125" s="169">
        <f t="shared" ref="D125:BO125" si="13">D123*D124</f>
        <v>0</v>
      </c>
      <c r="E125" s="169">
        <f t="shared" si="13"/>
        <v>0</v>
      </c>
      <c r="F125" s="169">
        <f t="shared" si="13"/>
        <v>0</v>
      </c>
      <c r="G125" s="169">
        <f t="shared" si="13"/>
        <v>0</v>
      </c>
      <c r="H125" s="169">
        <f t="shared" si="13"/>
        <v>0</v>
      </c>
      <c r="I125" s="169">
        <f t="shared" si="13"/>
        <v>0</v>
      </c>
      <c r="J125" s="169">
        <f t="shared" si="13"/>
        <v>0</v>
      </c>
      <c r="K125" s="169">
        <f t="shared" si="13"/>
        <v>0</v>
      </c>
      <c r="L125" s="169">
        <f t="shared" si="13"/>
        <v>0</v>
      </c>
      <c r="M125" s="169">
        <f t="shared" si="13"/>
        <v>0</v>
      </c>
      <c r="N125" s="169">
        <f t="shared" si="13"/>
        <v>0</v>
      </c>
      <c r="O125" s="169">
        <f t="shared" si="13"/>
        <v>0</v>
      </c>
      <c r="P125" s="169">
        <f t="shared" si="13"/>
        <v>0</v>
      </c>
      <c r="Q125" s="169">
        <f t="shared" si="13"/>
        <v>0</v>
      </c>
      <c r="R125" s="169">
        <f t="shared" si="13"/>
        <v>0</v>
      </c>
      <c r="S125" s="169">
        <f t="shared" si="13"/>
        <v>0</v>
      </c>
      <c r="T125" s="169">
        <f t="shared" si="13"/>
        <v>0</v>
      </c>
      <c r="U125" s="169">
        <f t="shared" si="13"/>
        <v>0</v>
      </c>
      <c r="V125" s="169">
        <f t="shared" si="13"/>
        <v>0</v>
      </c>
      <c r="W125" s="169">
        <f t="shared" si="13"/>
        <v>0</v>
      </c>
      <c r="X125" s="169">
        <f t="shared" si="13"/>
        <v>0</v>
      </c>
      <c r="Y125" s="169">
        <f t="shared" si="13"/>
        <v>0</v>
      </c>
      <c r="Z125" s="169">
        <f t="shared" si="13"/>
        <v>0</v>
      </c>
      <c r="AA125" s="169">
        <f t="shared" si="13"/>
        <v>0</v>
      </c>
      <c r="AB125" s="169">
        <f t="shared" si="13"/>
        <v>0</v>
      </c>
      <c r="AC125" s="169">
        <f t="shared" si="13"/>
        <v>0</v>
      </c>
      <c r="AD125" s="169">
        <f t="shared" si="13"/>
        <v>0</v>
      </c>
      <c r="AE125" s="169">
        <f t="shared" si="13"/>
        <v>0</v>
      </c>
      <c r="AF125" s="169">
        <f t="shared" si="13"/>
        <v>0</v>
      </c>
      <c r="AG125" s="169">
        <f t="shared" si="13"/>
        <v>0</v>
      </c>
      <c r="AH125" s="169">
        <f t="shared" si="13"/>
        <v>0</v>
      </c>
      <c r="AI125" s="169">
        <f t="shared" si="13"/>
        <v>0</v>
      </c>
      <c r="AJ125" s="169">
        <f t="shared" si="13"/>
        <v>0</v>
      </c>
      <c r="AK125" s="169">
        <f t="shared" si="13"/>
        <v>0</v>
      </c>
      <c r="AL125" s="169">
        <f t="shared" si="13"/>
        <v>0</v>
      </c>
      <c r="AM125" s="169">
        <f t="shared" si="13"/>
        <v>0</v>
      </c>
      <c r="AN125" s="169">
        <f t="shared" si="13"/>
        <v>0</v>
      </c>
      <c r="AO125" s="169">
        <f t="shared" si="13"/>
        <v>0</v>
      </c>
      <c r="AP125" s="169">
        <f t="shared" si="13"/>
        <v>0</v>
      </c>
      <c r="AQ125" s="169">
        <f t="shared" si="13"/>
        <v>0</v>
      </c>
      <c r="AR125" s="169">
        <f t="shared" si="13"/>
        <v>0</v>
      </c>
      <c r="AS125" s="169">
        <f t="shared" si="13"/>
        <v>0</v>
      </c>
      <c r="AT125" s="169">
        <f t="shared" si="13"/>
        <v>0</v>
      </c>
      <c r="AU125" s="169">
        <f t="shared" si="13"/>
        <v>0</v>
      </c>
      <c r="AV125" s="169">
        <f t="shared" si="13"/>
        <v>0</v>
      </c>
      <c r="AW125" s="169">
        <f t="shared" si="13"/>
        <v>0</v>
      </c>
      <c r="AX125" s="169">
        <f t="shared" si="13"/>
        <v>0</v>
      </c>
      <c r="AY125" s="169">
        <f t="shared" si="13"/>
        <v>0</v>
      </c>
      <c r="AZ125" s="169">
        <f t="shared" si="13"/>
        <v>0</v>
      </c>
      <c r="BA125" s="169">
        <f t="shared" si="13"/>
        <v>0</v>
      </c>
      <c r="BB125" s="169">
        <f t="shared" si="13"/>
        <v>0</v>
      </c>
      <c r="BC125" s="169">
        <f t="shared" si="13"/>
        <v>0</v>
      </c>
      <c r="BD125" s="169">
        <f t="shared" si="13"/>
        <v>0</v>
      </c>
      <c r="BE125" s="169">
        <f t="shared" si="13"/>
        <v>0</v>
      </c>
      <c r="BF125" s="169">
        <f t="shared" si="13"/>
        <v>0</v>
      </c>
      <c r="BG125" s="169">
        <f t="shared" si="13"/>
        <v>0</v>
      </c>
      <c r="BH125" s="169">
        <f t="shared" si="13"/>
        <v>0</v>
      </c>
      <c r="BI125" s="169">
        <f t="shared" si="13"/>
        <v>0</v>
      </c>
      <c r="BJ125" s="169">
        <f t="shared" si="13"/>
        <v>0</v>
      </c>
      <c r="BK125" s="169">
        <f t="shared" si="13"/>
        <v>0</v>
      </c>
      <c r="BL125" s="169">
        <f t="shared" si="13"/>
        <v>0</v>
      </c>
      <c r="BM125" s="169">
        <f t="shared" si="13"/>
        <v>0</v>
      </c>
      <c r="BN125" s="169">
        <f t="shared" si="13"/>
        <v>0</v>
      </c>
      <c r="BO125" s="169">
        <f t="shared" si="13"/>
        <v>0</v>
      </c>
      <c r="BP125" s="169">
        <f t="shared" ref="BP125:CX125" si="14">BP123*BP124</f>
        <v>0</v>
      </c>
      <c r="BQ125" s="169">
        <f t="shared" si="14"/>
        <v>0</v>
      </c>
      <c r="BR125" s="169">
        <f t="shared" si="14"/>
        <v>0</v>
      </c>
      <c r="BS125" s="169">
        <f t="shared" si="14"/>
        <v>0</v>
      </c>
      <c r="BT125" s="169">
        <f t="shared" si="14"/>
        <v>0</v>
      </c>
      <c r="BU125" s="169">
        <f t="shared" si="14"/>
        <v>0</v>
      </c>
      <c r="BV125" s="169">
        <f t="shared" si="14"/>
        <v>0</v>
      </c>
      <c r="BW125" s="169">
        <f t="shared" si="14"/>
        <v>0</v>
      </c>
      <c r="BX125" s="169">
        <f t="shared" si="14"/>
        <v>0</v>
      </c>
      <c r="BY125" s="169">
        <f t="shared" si="14"/>
        <v>0</v>
      </c>
      <c r="BZ125" s="169">
        <f t="shared" si="14"/>
        <v>0</v>
      </c>
      <c r="CA125" s="169">
        <f t="shared" si="14"/>
        <v>0</v>
      </c>
      <c r="CB125" s="169">
        <f t="shared" si="14"/>
        <v>0</v>
      </c>
      <c r="CC125" s="169">
        <f t="shared" si="14"/>
        <v>0</v>
      </c>
      <c r="CD125" s="169">
        <f t="shared" si="14"/>
        <v>0</v>
      </c>
      <c r="CE125" s="169">
        <f t="shared" si="14"/>
        <v>0</v>
      </c>
      <c r="CF125" s="169">
        <f t="shared" si="14"/>
        <v>0</v>
      </c>
      <c r="CG125" s="169">
        <f t="shared" si="14"/>
        <v>0</v>
      </c>
      <c r="CH125" s="169">
        <f t="shared" si="14"/>
        <v>0</v>
      </c>
      <c r="CI125" s="169">
        <f t="shared" si="14"/>
        <v>0</v>
      </c>
      <c r="CJ125" s="169">
        <f t="shared" si="14"/>
        <v>0</v>
      </c>
      <c r="CK125" s="169">
        <f t="shared" si="14"/>
        <v>0</v>
      </c>
      <c r="CL125" s="169">
        <f t="shared" si="14"/>
        <v>0</v>
      </c>
      <c r="CM125" s="169">
        <f t="shared" si="14"/>
        <v>0</v>
      </c>
      <c r="CN125" s="169">
        <f t="shared" si="14"/>
        <v>0</v>
      </c>
      <c r="CO125" s="169">
        <f t="shared" si="14"/>
        <v>0</v>
      </c>
      <c r="CP125" s="169">
        <f t="shared" si="14"/>
        <v>0</v>
      </c>
      <c r="CQ125" s="169">
        <f t="shared" si="14"/>
        <v>0</v>
      </c>
      <c r="CR125" s="169">
        <f t="shared" si="14"/>
        <v>0</v>
      </c>
      <c r="CS125" s="169">
        <f t="shared" si="14"/>
        <v>0</v>
      </c>
      <c r="CT125" s="169">
        <f t="shared" si="14"/>
        <v>0</v>
      </c>
      <c r="CU125" s="169">
        <f t="shared" si="14"/>
        <v>0</v>
      </c>
      <c r="CV125" s="169">
        <f t="shared" si="14"/>
        <v>0</v>
      </c>
      <c r="CW125" s="169">
        <f t="shared" si="14"/>
        <v>0</v>
      </c>
      <c r="CX125" s="169">
        <f t="shared" si="14"/>
        <v>0</v>
      </c>
    </row>
    <row r="126" spans="1:102" x14ac:dyDescent="0.3">
      <c r="A126" s="171" t="s">
        <v>204</v>
      </c>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5"/>
      <c r="BS126" s="175"/>
      <c r="BT126" s="175"/>
      <c r="BU126" s="175"/>
      <c r="BV126" s="175"/>
      <c r="BW126" s="175"/>
      <c r="BX126" s="175"/>
      <c r="BY126" s="175"/>
      <c r="BZ126" s="175"/>
      <c r="CA126" s="175"/>
      <c r="CB126" s="175"/>
      <c r="CC126" s="175"/>
      <c r="CD126" s="175"/>
      <c r="CE126" s="175"/>
      <c r="CF126" s="175"/>
      <c r="CG126" s="175"/>
      <c r="CH126" s="175"/>
      <c r="CI126" s="175"/>
      <c r="CJ126" s="175"/>
      <c r="CK126" s="175"/>
      <c r="CL126" s="175"/>
      <c r="CM126" s="175"/>
      <c r="CN126" s="175"/>
      <c r="CO126" s="175"/>
      <c r="CP126" s="175"/>
      <c r="CQ126" s="175"/>
      <c r="CR126" s="175"/>
      <c r="CS126" s="175"/>
      <c r="CT126" s="175"/>
      <c r="CU126" s="175"/>
      <c r="CV126" s="175"/>
      <c r="CW126" s="175"/>
      <c r="CX126" s="176"/>
    </row>
    <row r="127" spans="1:102" x14ac:dyDescent="0.3">
      <c r="A127" s="194" t="s">
        <v>169</v>
      </c>
      <c r="B127" s="172"/>
      <c r="C127" s="235"/>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c r="AA127" s="229"/>
      <c r="AB127" s="229"/>
      <c r="AC127" s="229"/>
      <c r="AD127" s="229"/>
      <c r="AE127" s="229"/>
      <c r="AF127" s="229"/>
      <c r="AG127" s="229"/>
      <c r="AH127" s="229"/>
      <c r="AI127" s="229"/>
      <c r="AJ127" s="229"/>
      <c r="AK127" s="229"/>
      <c r="AL127" s="229"/>
      <c r="AM127" s="229"/>
      <c r="AN127" s="229"/>
      <c r="AO127" s="229"/>
      <c r="AP127" s="229"/>
      <c r="AQ127" s="229"/>
      <c r="AR127" s="229"/>
      <c r="AS127" s="229"/>
      <c r="AT127" s="229"/>
      <c r="AU127" s="229"/>
      <c r="AV127" s="229"/>
      <c r="AW127" s="229"/>
      <c r="AX127" s="229"/>
      <c r="AY127" s="229"/>
      <c r="AZ127" s="229"/>
      <c r="BA127" s="229"/>
      <c r="BB127" s="229"/>
      <c r="BC127" s="229"/>
      <c r="BD127" s="229"/>
      <c r="BE127" s="229"/>
      <c r="BF127" s="229"/>
      <c r="BG127" s="229"/>
      <c r="BH127" s="229"/>
      <c r="BI127" s="229"/>
      <c r="BJ127" s="229"/>
      <c r="BK127" s="229"/>
      <c r="BL127" s="229"/>
      <c r="BM127" s="229"/>
      <c r="BN127" s="229"/>
      <c r="BO127" s="229"/>
      <c r="BP127" s="229"/>
      <c r="BQ127" s="229"/>
      <c r="BR127" s="229"/>
      <c r="BS127" s="229"/>
      <c r="BT127" s="229"/>
      <c r="BU127" s="229"/>
      <c r="BV127" s="229"/>
      <c r="BW127" s="229"/>
      <c r="BX127" s="229"/>
      <c r="BY127" s="229"/>
      <c r="BZ127" s="229"/>
      <c r="CA127" s="229"/>
      <c r="CB127" s="229"/>
      <c r="CC127" s="229"/>
      <c r="CD127" s="229"/>
      <c r="CE127" s="229"/>
      <c r="CF127" s="229"/>
      <c r="CG127" s="229"/>
      <c r="CH127" s="229"/>
      <c r="CI127" s="229"/>
      <c r="CJ127" s="229"/>
      <c r="CK127" s="229"/>
      <c r="CL127" s="229"/>
      <c r="CM127" s="229"/>
      <c r="CN127" s="229"/>
      <c r="CO127" s="229"/>
      <c r="CP127" s="229"/>
      <c r="CQ127" s="229"/>
      <c r="CR127" s="229"/>
      <c r="CS127" s="229"/>
      <c r="CT127" s="229"/>
      <c r="CU127" s="229"/>
      <c r="CV127" s="229"/>
      <c r="CW127" s="229"/>
      <c r="CX127" s="229"/>
    </row>
    <row r="128" spans="1:102" x14ac:dyDescent="0.3">
      <c r="A128" s="171" t="s">
        <v>223</v>
      </c>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5"/>
      <c r="BS128" s="175"/>
      <c r="BT128" s="175"/>
      <c r="BU128" s="175"/>
      <c r="BV128" s="175"/>
      <c r="BW128" s="175"/>
      <c r="BX128" s="175"/>
      <c r="BY128" s="175"/>
      <c r="BZ128" s="175"/>
      <c r="CA128" s="175"/>
      <c r="CB128" s="175"/>
      <c r="CC128" s="175"/>
      <c r="CD128" s="175"/>
      <c r="CE128" s="175"/>
      <c r="CF128" s="175"/>
      <c r="CG128" s="175"/>
      <c r="CH128" s="175"/>
      <c r="CI128" s="175"/>
      <c r="CJ128" s="175"/>
      <c r="CK128" s="175"/>
      <c r="CL128" s="175"/>
      <c r="CM128" s="175"/>
      <c r="CN128" s="175"/>
      <c r="CO128" s="175"/>
      <c r="CP128" s="175"/>
      <c r="CQ128" s="175"/>
      <c r="CR128" s="175"/>
      <c r="CS128" s="175"/>
      <c r="CT128" s="175"/>
      <c r="CU128" s="175"/>
      <c r="CV128" s="175"/>
      <c r="CW128" s="175"/>
      <c r="CX128" s="176"/>
    </row>
    <row r="129" spans="1:102" x14ac:dyDescent="0.3">
      <c r="A129" s="192" t="s">
        <v>224</v>
      </c>
      <c r="B129" s="174"/>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c r="AP129" s="236"/>
      <c r="AQ129" s="236"/>
      <c r="AR129" s="236"/>
      <c r="AS129" s="236"/>
      <c r="AT129" s="236"/>
      <c r="AU129" s="236"/>
      <c r="AV129" s="236"/>
      <c r="AW129" s="236"/>
      <c r="AX129" s="236"/>
      <c r="AY129" s="236"/>
      <c r="AZ129" s="236"/>
      <c r="BA129" s="236"/>
      <c r="BB129" s="236"/>
      <c r="BC129" s="236"/>
      <c r="BD129" s="236"/>
      <c r="BE129" s="236"/>
      <c r="BF129" s="236"/>
      <c r="BG129" s="236"/>
      <c r="BH129" s="236"/>
      <c r="BI129" s="236"/>
      <c r="BJ129" s="236"/>
      <c r="BK129" s="236"/>
      <c r="BL129" s="236"/>
      <c r="BM129" s="236"/>
      <c r="BN129" s="236"/>
      <c r="BO129" s="236"/>
      <c r="BP129" s="236"/>
      <c r="BQ129" s="236"/>
      <c r="BR129" s="236"/>
      <c r="BS129" s="236"/>
      <c r="BT129" s="236"/>
      <c r="BU129" s="236"/>
      <c r="BV129" s="236"/>
      <c r="BW129" s="236"/>
      <c r="BX129" s="236"/>
      <c r="BY129" s="236"/>
      <c r="BZ129" s="236"/>
      <c r="CA129" s="236"/>
      <c r="CB129" s="236"/>
      <c r="CC129" s="236"/>
      <c r="CD129" s="236"/>
      <c r="CE129" s="236"/>
      <c r="CF129" s="236"/>
      <c r="CG129" s="236"/>
      <c r="CH129" s="236"/>
      <c r="CI129" s="236"/>
      <c r="CJ129" s="236"/>
      <c r="CK129" s="236"/>
      <c r="CL129" s="236"/>
      <c r="CM129" s="236"/>
      <c r="CN129" s="236"/>
      <c r="CO129" s="236"/>
      <c r="CP129" s="236"/>
      <c r="CQ129" s="236"/>
      <c r="CR129" s="236"/>
      <c r="CS129" s="236"/>
      <c r="CT129" s="236"/>
      <c r="CU129" s="236"/>
      <c r="CV129" s="236"/>
      <c r="CW129" s="236"/>
      <c r="CX129" s="236"/>
    </row>
    <row r="130" spans="1:102" x14ac:dyDescent="0.3">
      <c r="A130" s="212" t="s">
        <v>225</v>
      </c>
      <c r="B130" s="178"/>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c r="AP130" s="236"/>
      <c r="AQ130" s="236"/>
      <c r="AR130" s="236"/>
      <c r="AS130" s="236"/>
      <c r="AT130" s="236"/>
      <c r="AU130" s="236"/>
      <c r="AV130" s="236"/>
      <c r="AW130" s="236"/>
      <c r="AX130" s="236"/>
      <c r="AY130" s="236"/>
      <c r="AZ130" s="236"/>
      <c r="BA130" s="236"/>
      <c r="BB130" s="236"/>
      <c r="BC130" s="236"/>
      <c r="BD130" s="236"/>
      <c r="BE130" s="236"/>
      <c r="BF130" s="236"/>
      <c r="BG130" s="236"/>
      <c r="BH130" s="236"/>
      <c r="BI130" s="236"/>
      <c r="BJ130" s="236"/>
      <c r="BK130" s="236"/>
      <c r="BL130" s="236"/>
      <c r="BM130" s="236"/>
      <c r="BN130" s="236"/>
      <c r="BO130" s="236"/>
      <c r="BP130" s="236"/>
      <c r="BQ130" s="236"/>
      <c r="BR130" s="236"/>
      <c r="BS130" s="236"/>
      <c r="BT130" s="236"/>
      <c r="BU130" s="236"/>
      <c r="BV130" s="236"/>
      <c r="BW130" s="236"/>
      <c r="BX130" s="236"/>
      <c r="BY130" s="236"/>
      <c r="BZ130" s="236"/>
      <c r="CA130" s="236"/>
      <c r="CB130" s="236"/>
      <c r="CC130" s="236"/>
      <c r="CD130" s="236"/>
      <c r="CE130" s="236"/>
      <c r="CF130" s="236"/>
      <c r="CG130" s="236"/>
      <c r="CH130" s="236"/>
      <c r="CI130" s="236"/>
      <c r="CJ130" s="236"/>
      <c r="CK130" s="236"/>
      <c r="CL130" s="236"/>
      <c r="CM130" s="236"/>
      <c r="CN130" s="236"/>
      <c r="CO130" s="236"/>
      <c r="CP130" s="236"/>
      <c r="CQ130" s="236"/>
      <c r="CR130" s="236"/>
      <c r="CS130" s="236"/>
      <c r="CT130" s="236"/>
      <c r="CU130" s="236"/>
      <c r="CV130" s="236"/>
      <c r="CW130" s="236"/>
      <c r="CX130" s="236"/>
    </row>
    <row r="131" spans="1:102" x14ac:dyDescent="0.3">
      <c r="A131" s="213" t="s">
        <v>226</v>
      </c>
      <c r="B131" s="172"/>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c r="AP131" s="236"/>
      <c r="AQ131" s="236"/>
      <c r="AR131" s="236"/>
      <c r="AS131" s="236"/>
      <c r="AT131" s="236"/>
      <c r="AU131" s="236"/>
      <c r="AV131" s="236"/>
      <c r="AW131" s="236"/>
      <c r="AX131" s="236"/>
      <c r="AY131" s="236"/>
      <c r="AZ131" s="236"/>
      <c r="BA131" s="236"/>
      <c r="BB131" s="236"/>
      <c r="BC131" s="236"/>
      <c r="BD131" s="236"/>
      <c r="BE131" s="236"/>
      <c r="BF131" s="236"/>
      <c r="BG131" s="236"/>
      <c r="BH131" s="236"/>
      <c r="BI131" s="236"/>
      <c r="BJ131" s="236"/>
      <c r="BK131" s="236"/>
      <c r="BL131" s="236"/>
      <c r="BM131" s="236"/>
      <c r="BN131" s="236"/>
      <c r="BO131" s="236"/>
      <c r="BP131" s="236"/>
      <c r="BQ131" s="236"/>
      <c r="BR131" s="236"/>
      <c r="BS131" s="236"/>
      <c r="BT131" s="236"/>
      <c r="BU131" s="236"/>
      <c r="BV131" s="236"/>
      <c r="BW131" s="236"/>
      <c r="BX131" s="236"/>
      <c r="BY131" s="236"/>
      <c r="BZ131" s="236"/>
      <c r="CA131" s="236"/>
      <c r="CB131" s="236"/>
      <c r="CC131" s="236"/>
      <c r="CD131" s="236"/>
      <c r="CE131" s="236"/>
      <c r="CF131" s="236"/>
      <c r="CG131" s="236"/>
      <c r="CH131" s="236"/>
      <c r="CI131" s="236"/>
      <c r="CJ131" s="236"/>
      <c r="CK131" s="236"/>
      <c r="CL131" s="236"/>
      <c r="CM131" s="236"/>
      <c r="CN131" s="236"/>
      <c r="CO131" s="236"/>
      <c r="CP131" s="236"/>
      <c r="CQ131" s="236"/>
      <c r="CR131" s="236"/>
      <c r="CS131" s="236"/>
      <c r="CT131" s="236"/>
      <c r="CU131" s="236"/>
      <c r="CV131" s="236"/>
      <c r="CW131" s="236"/>
      <c r="CX131" s="236"/>
    </row>
    <row r="132" spans="1:102" x14ac:dyDescent="0.3">
      <c r="A132" s="171" t="s">
        <v>227</v>
      </c>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c r="BR132" s="175"/>
      <c r="BS132" s="175"/>
      <c r="BT132" s="175"/>
      <c r="BU132" s="175"/>
      <c r="BV132" s="175"/>
      <c r="BW132" s="175"/>
      <c r="BX132" s="175"/>
      <c r="BY132" s="175"/>
      <c r="BZ132" s="175"/>
      <c r="CA132" s="175"/>
      <c r="CB132" s="175"/>
      <c r="CC132" s="175"/>
      <c r="CD132" s="175"/>
      <c r="CE132" s="175"/>
      <c r="CF132" s="175"/>
      <c r="CG132" s="175"/>
      <c r="CH132" s="175"/>
      <c r="CI132" s="175"/>
      <c r="CJ132" s="175"/>
      <c r="CK132" s="175"/>
      <c r="CL132" s="175"/>
      <c r="CM132" s="175"/>
      <c r="CN132" s="175"/>
      <c r="CO132" s="175"/>
      <c r="CP132" s="175"/>
      <c r="CQ132" s="175"/>
      <c r="CR132" s="175"/>
      <c r="CS132" s="175"/>
      <c r="CT132" s="175"/>
      <c r="CU132" s="175"/>
      <c r="CV132" s="175"/>
      <c r="CW132" s="175"/>
      <c r="CX132" s="176"/>
    </row>
    <row r="133" spans="1:102" x14ac:dyDescent="0.3">
      <c r="A133" s="192" t="s">
        <v>228</v>
      </c>
      <c r="B133" s="174"/>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c r="AP133" s="236"/>
      <c r="AQ133" s="236"/>
      <c r="AR133" s="236"/>
      <c r="AS133" s="236"/>
      <c r="AT133" s="236"/>
      <c r="AU133" s="236"/>
      <c r="AV133" s="236"/>
      <c r="AW133" s="236"/>
      <c r="AX133" s="236"/>
      <c r="AY133" s="236"/>
      <c r="AZ133" s="236"/>
      <c r="BA133" s="236"/>
      <c r="BB133" s="236"/>
      <c r="BC133" s="236"/>
      <c r="BD133" s="236"/>
      <c r="BE133" s="236"/>
      <c r="BF133" s="236"/>
      <c r="BG133" s="236"/>
      <c r="BH133" s="236"/>
      <c r="BI133" s="236"/>
      <c r="BJ133" s="236"/>
      <c r="BK133" s="236"/>
      <c r="BL133" s="236"/>
      <c r="BM133" s="236"/>
      <c r="BN133" s="236"/>
      <c r="BO133" s="236"/>
      <c r="BP133" s="236"/>
      <c r="BQ133" s="236"/>
      <c r="BR133" s="236"/>
      <c r="BS133" s="236"/>
      <c r="BT133" s="236"/>
      <c r="BU133" s="236"/>
      <c r="BV133" s="236"/>
      <c r="BW133" s="236"/>
      <c r="BX133" s="236"/>
      <c r="BY133" s="236"/>
      <c r="BZ133" s="236"/>
      <c r="CA133" s="236"/>
      <c r="CB133" s="236"/>
      <c r="CC133" s="236"/>
      <c r="CD133" s="236"/>
      <c r="CE133" s="236"/>
      <c r="CF133" s="236"/>
      <c r="CG133" s="236"/>
      <c r="CH133" s="236"/>
      <c r="CI133" s="236"/>
      <c r="CJ133" s="236"/>
      <c r="CK133" s="236"/>
      <c r="CL133" s="236"/>
      <c r="CM133" s="236"/>
      <c r="CN133" s="236"/>
      <c r="CO133" s="236"/>
      <c r="CP133" s="236"/>
      <c r="CQ133" s="236"/>
      <c r="CR133" s="236"/>
      <c r="CS133" s="236"/>
      <c r="CT133" s="236"/>
      <c r="CU133" s="236"/>
      <c r="CV133" s="236"/>
      <c r="CW133" s="236"/>
      <c r="CX133" s="236"/>
    </row>
    <row r="134" spans="1:102" x14ac:dyDescent="0.3">
      <c r="A134" s="212" t="s">
        <v>229</v>
      </c>
      <c r="B134" s="178"/>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c r="AP134" s="236"/>
      <c r="AQ134" s="236"/>
      <c r="AR134" s="236"/>
      <c r="AS134" s="236"/>
      <c r="AT134" s="236"/>
      <c r="AU134" s="236"/>
      <c r="AV134" s="236"/>
      <c r="AW134" s="236"/>
      <c r="AX134" s="236"/>
      <c r="AY134" s="236"/>
      <c r="AZ134" s="236"/>
      <c r="BA134" s="236"/>
      <c r="BB134" s="236"/>
      <c r="BC134" s="236"/>
      <c r="BD134" s="236"/>
      <c r="BE134" s="236"/>
      <c r="BF134" s="236"/>
      <c r="BG134" s="236"/>
      <c r="BH134" s="236"/>
      <c r="BI134" s="236"/>
      <c r="BJ134" s="236"/>
      <c r="BK134" s="236"/>
      <c r="BL134" s="236"/>
      <c r="BM134" s="236"/>
      <c r="BN134" s="236"/>
      <c r="BO134" s="236"/>
      <c r="BP134" s="236"/>
      <c r="BQ134" s="236"/>
      <c r="BR134" s="236"/>
      <c r="BS134" s="236"/>
      <c r="BT134" s="236"/>
      <c r="BU134" s="236"/>
      <c r="BV134" s="236"/>
      <c r="BW134" s="236"/>
      <c r="BX134" s="236"/>
      <c r="BY134" s="236"/>
      <c r="BZ134" s="236"/>
      <c r="CA134" s="236"/>
      <c r="CB134" s="236"/>
      <c r="CC134" s="236"/>
      <c r="CD134" s="236"/>
      <c r="CE134" s="236"/>
      <c r="CF134" s="236"/>
      <c r="CG134" s="236"/>
      <c r="CH134" s="236"/>
      <c r="CI134" s="236"/>
      <c r="CJ134" s="236"/>
      <c r="CK134" s="236"/>
      <c r="CL134" s="236"/>
      <c r="CM134" s="236"/>
      <c r="CN134" s="236"/>
      <c r="CO134" s="236"/>
      <c r="CP134" s="236"/>
      <c r="CQ134" s="236"/>
      <c r="CR134" s="236"/>
      <c r="CS134" s="236"/>
      <c r="CT134" s="236"/>
      <c r="CU134" s="236"/>
      <c r="CV134" s="236"/>
      <c r="CW134" s="236"/>
      <c r="CX134" s="236"/>
    </row>
    <row r="135" spans="1:102" x14ac:dyDescent="0.3">
      <c r="A135" s="212" t="s">
        <v>230</v>
      </c>
      <c r="B135" s="178"/>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c r="AP135" s="236"/>
      <c r="AQ135" s="236"/>
      <c r="AR135" s="236"/>
      <c r="AS135" s="236"/>
      <c r="AT135" s="236"/>
      <c r="AU135" s="236"/>
      <c r="AV135" s="236"/>
      <c r="AW135" s="236"/>
      <c r="AX135" s="236"/>
      <c r="AY135" s="236"/>
      <c r="AZ135" s="236"/>
      <c r="BA135" s="236"/>
      <c r="BB135" s="236"/>
      <c r="BC135" s="236"/>
      <c r="BD135" s="236"/>
      <c r="BE135" s="236"/>
      <c r="BF135" s="236"/>
      <c r="BG135" s="236"/>
      <c r="BH135" s="236"/>
      <c r="BI135" s="236"/>
      <c r="BJ135" s="236"/>
      <c r="BK135" s="236"/>
      <c r="BL135" s="236"/>
      <c r="BM135" s="236"/>
      <c r="BN135" s="236"/>
      <c r="BO135" s="236"/>
      <c r="BP135" s="236"/>
      <c r="BQ135" s="236"/>
      <c r="BR135" s="236"/>
      <c r="BS135" s="236"/>
      <c r="BT135" s="236"/>
      <c r="BU135" s="236"/>
      <c r="BV135" s="236"/>
      <c r="BW135" s="236"/>
      <c r="BX135" s="236"/>
      <c r="BY135" s="236"/>
      <c r="BZ135" s="236"/>
      <c r="CA135" s="236"/>
      <c r="CB135" s="236"/>
      <c r="CC135" s="236"/>
      <c r="CD135" s="236"/>
      <c r="CE135" s="236"/>
      <c r="CF135" s="236"/>
      <c r="CG135" s="236"/>
      <c r="CH135" s="236"/>
      <c r="CI135" s="236"/>
      <c r="CJ135" s="236"/>
      <c r="CK135" s="236"/>
      <c r="CL135" s="236"/>
      <c r="CM135" s="236"/>
      <c r="CN135" s="236"/>
      <c r="CO135" s="236"/>
      <c r="CP135" s="236"/>
      <c r="CQ135" s="236"/>
      <c r="CR135" s="236"/>
      <c r="CS135" s="236"/>
      <c r="CT135" s="236"/>
      <c r="CU135" s="236"/>
      <c r="CV135" s="236"/>
      <c r="CW135" s="236"/>
      <c r="CX135" s="236"/>
    </row>
    <row r="136" spans="1:102" x14ac:dyDescent="0.3">
      <c r="A136" s="212" t="s">
        <v>231</v>
      </c>
      <c r="B136" s="178"/>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c r="AP136" s="236"/>
      <c r="AQ136" s="236"/>
      <c r="AR136" s="236"/>
      <c r="AS136" s="236"/>
      <c r="AT136" s="236"/>
      <c r="AU136" s="236"/>
      <c r="AV136" s="236"/>
      <c r="AW136" s="236"/>
      <c r="AX136" s="236"/>
      <c r="AY136" s="236"/>
      <c r="AZ136" s="236"/>
      <c r="BA136" s="236"/>
      <c r="BB136" s="236"/>
      <c r="BC136" s="236"/>
      <c r="BD136" s="236"/>
      <c r="BE136" s="236"/>
      <c r="BF136" s="236"/>
      <c r="BG136" s="236"/>
      <c r="BH136" s="236"/>
      <c r="BI136" s="236"/>
      <c r="BJ136" s="236"/>
      <c r="BK136" s="236"/>
      <c r="BL136" s="236"/>
      <c r="BM136" s="236"/>
      <c r="BN136" s="236"/>
      <c r="BO136" s="236"/>
      <c r="BP136" s="236"/>
      <c r="BQ136" s="236"/>
      <c r="BR136" s="236"/>
      <c r="BS136" s="236"/>
      <c r="BT136" s="236"/>
      <c r="BU136" s="236"/>
      <c r="BV136" s="236"/>
      <c r="BW136" s="236"/>
      <c r="BX136" s="236"/>
      <c r="BY136" s="236"/>
      <c r="BZ136" s="236"/>
      <c r="CA136" s="236"/>
      <c r="CB136" s="236"/>
      <c r="CC136" s="236"/>
      <c r="CD136" s="236"/>
      <c r="CE136" s="236"/>
      <c r="CF136" s="236"/>
      <c r="CG136" s="236"/>
      <c r="CH136" s="236"/>
      <c r="CI136" s="236"/>
      <c r="CJ136" s="236"/>
      <c r="CK136" s="236"/>
      <c r="CL136" s="236"/>
      <c r="CM136" s="236"/>
      <c r="CN136" s="236"/>
      <c r="CO136" s="236"/>
      <c r="CP136" s="236"/>
      <c r="CQ136" s="236"/>
      <c r="CR136" s="236"/>
      <c r="CS136" s="236"/>
      <c r="CT136" s="236"/>
      <c r="CU136" s="236"/>
      <c r="CV136" s="236"/>
      <c r="CW136" s="236"/>
      <c r="CX136" s="236"/>
    </row>
    <row r="137" spans="1:102" x14ac:dyDescent="0.3">
      <c r="A137" s="213" t="s">
        <v>232</v>
      </c>
      <c r="B137" s="178"/>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c r="AP137" s="236"/>
      <c r="AQ137" s="236"/>
      <c r="AR137" s="236"/>
      <c r="AS137" s="236"/>
      <c r="AT137" s="236"/>
      <c r="AU137" s="236"/>
      <c r="AV137" s="236"/>
      <c r="AW137" s="236"/>
      <c r="AX137" s="236"/>
      <c r="AY137" s="236"/>
      <c r="AZ137" s="236"/>
      <c r="BA137" s="236"/>
      <c r="BB137" s="236"/>
      <c r="BC137" s="236"/>
      <c r="BD137" s="236"/>
      <c r="BE137" s="236"/>
      <c r="BF137" s="236"/>
      <c r="BG137" s="236"/>
      <c r="BH137" s="236"/>
      <c r="BI137" s="236"/>
      <c r="BJ137" s="236"/>
      <c r="BK137" s="236"/>
      <c r="BL137" s="236"/>
      <c r="BM137" s="236"/>
      <c r="BN137" s="236"/>
      <c r="BO137" s="236"/>
      <c r="BP137" s="236"/>
      <c r="BQ137" s="236"/>
      <c r="BR137" s="236"/>
      <c r="BS137" s="236"/>
      <c r="BT137" s="236"/>
      <c r="BU137" s="236"/>
      <c r="BV137" s="236"/>
      <c r="BW137" s="236"/>
      <c r="BX137" s="236"/>
      <c r="BY137" s="236"/>
      <c r="BZ137" s="236"/>
      <c r="CA137" s="236"/>
      <c r="CB137" s="236"/>
      <c r="CC137" s="236"/>
      <c r="CD137" s="236"/>
      <c r="CE137" s="236"/>
      <c r="CF137" s="236"/>
      <c r="CG137" s="236"/>
      <c r="CH137" s="236"/>
      <c r="CI137" s="236"/>
      <c r="CJ137" s="236"/>
      <c r="CK137" s="236"/>
      <c r="CL137" s="236"/>
      <c r="CM137" s="236"/>
      <c r="CN137" s="236"/>
      <c r="CO137" s="236"/>
      <c r="CP137" s="236"/>
      <c r="CQ137" s="236"/>
      <c r="CR137" s="236"/>
      <c r="CS137" s="236"/>
      <c r="CT137" s="236"/>
      <c r="CU137" s="236"/>
      <c r="CV137" s="236"/>
      <c r="CW137" s="236"/>
      <c r="CX137" s="236"/>
    </row>
    <row r="138" spans="1:102" x14ac:dyDescent="0.3">
      <c r="A138" s="182" t="s">
        <v>206</v>
      </c>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c r="BR138" s="175"/>
      <c r="BS138" s="175"/>
      <c r="BT138" s="175"/>
      <c r="BU138" s="175"/>
      <c r="BV138" s="175"/>
      <c r="BW138" s="175"/>
      <c r="BX138" s="175"/>
      <c r="BY138" s="175"/>
      <c r="BZ138" s="175"/>
      <c r="CA138" s="175"/>
      <c r="CB138" s="175"/>
      <c r="CC138" s="175"/>
      <c r="CD138" s="175"/>
      <c r="CE138" s="175"/>
      <c r="CF138" s="175"/>
      <c r="CG138" s="175"/>
      <c r="CH138" s="175"/>
      <c r="CI138" s="175"/>
      <c r="CJ138" s="175"/>
      <c r="CK138" s="175"/>
      <c r="CL138" s="175"/>
      <c r="CM138" s="175"/>
      <c r="CN138" s="175"/>
      <c r="CO138" s="175"/>
      <c r="CP138" s="175"/>
      <c r="CQ138" s="175"/>
      <c r="CR138" s="175"/>
      <c r="CS138" s="175"/>
      <c r="CT138" s="175"/>
      <c r="CU138" s="175"/>
      <c r="CV138" s="175"/>
      <c r="CW138" s="175"/>
      <c r="CX138" s="176"/>
    </row>
    <row r="139" spans="1:102" x14ac:dyDescent="0.3">
      <c r="A139" s="192" t="s">
        <v>207</v>
      </c>
      <c r="B139" s="174"/>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c r="AA139" s="228"/>
      <c r="AB139" s="228"/>
      <c r="AC139" s="228"/>
      <c r="AD139" s="228"/>
      <c r="AE139" s="228"/>
      <c r="AF139" s="228"/>
      <c r="AG139" s="228"/>
      <c r="AH139" s="228"/>
      <c r="AI139" s="228"/>
      <c r="AJ139" s="228"/>
      <c r="AK139" s="228"/>
      <c r="AL139" s="228"/>
      <c r="AM139" s="228"/>
      <c r="AN139" s="228"/>
      <c r="AO139" s="228"/>
      <c r="AP139" s="228"/>
      <c r="AQ139" s="228"/>
      <c r="AR139" s="228"/>
      <c r="AS139" s="228"/>
      <c r="AT139" s="228"/>
      <c r="AU139" s="228"/>
      <c r="AV139" s="228"/>
      <c r="AW139" s="228"/>
      <c r="AX139" s="228"/>
      <c r="AY139" s="228"/>
      <c r="AZ139" s="228"/>
      <c r="BA139" s="228"/>
      <c r="BB139" s="228"/>
      <c r="BC139" s="228"/>
      <c r="BD139" s="228"/>
      <c r="BE139" s="228"/>
      <c r="BF139" s="228"/>
      <c r="BG139" s="228"/>
      <c r="BH139" s="228"/>
      <c r="BI139" s="228"/>
      <c r="BJ139" s="228"/>
      <c r="BK139" s="228"/>
      <c r="BL139" s="228"/>
      <c r="BM139" s="228"/>
      <c r="BN139" s="228"/>
      <c r="BO139" s="228"/>
      <c r="BP139" s="228"/>
      <c r="BQ139" s="228"/>
      <c r="BR139" s="228"/>
      <c r="BS139" s="228"/>
      <c r="BT139" s="228"/>
      <c r="BU139" s="228"/>
      <c r="BV139" s="228"/>
      <c r="BW139" s="228"/>
      <c r="BX139" s="228"/>
      <c r="BY139" s="228"/>
      <c r="BZ139" s="228"/>
      <c r="CA139" s="228"/>
      <c r="CB139" s="228"/>
      <c r="CC139" s="228"/>
      <c r="CD139" s="228"/>
      <c r="CE139" s="228"/>
      <c r="CF139" s="228"/>
      <c r="CG139" s="228"/>
      <c r="CH139" s="228"/>
      <c r="CI139" s="228"/>
      <c r="CJ139" s="228"/>
      <c r="CK139" s="228"/>
      <c r="CL139" s="228"/>
      <c r="CM139" s="228"/>
      <c r="CN139" s="228"/>
      <c r="CO139" s="228"/>
      <c r="CP139" s="228"/>
      <c r="CQ139" s="228"/>
      <c r="CR139" s="228"/>
      <c r="CS139" s="228"/>
      <c r="CT139" s="228"/>
      <c r="CU139" s="228"/>
      <c r="CV139" s="228"/>
      <c r="CW139" s="228"/>
      <c r="CX139" s="228"/>
    </row>
    <row r="140" spans="1:102" x14ac:dyDescent="0.3">
      <c r="A140" s="192" t="s">
        <v>208</v>
      </c>
      <c r="B140" s="170"/>
      <c r="C140" s="231"/>
      <c r="D140" s="231"/>
      <c r="E140" s="231"/>
      <c r="F140" s="231"/>
      <c r="G140" s="231"/>
      <c r="H140" s="231"/>
      <c r="I140" s="231"/>
      <c r="J140" s="231"/>
      <c r="K140" s="231"/>
      <c r="L140" s="231"/>
      <c r="M140" s="231"/>
      <c r="N140" s="231"/>
      <c r="O140" s="231"/>
      <c r="P140" s="231"/>
      <c r="Q140" s="231"/>
      <c r="R140" s="231"/>
      <c r="S140" s="231"/>
      <c r="T140" s="231"/>
      <c r="U140" s="231"/>
      <c r="V140" s="231"/>
      <c r="W140" s="231"/>
      <c r="X140" s="231"/>
      <c r="Y140" s="231"/>
      <c r="Z140" s="231"/>
      <c r="AA140" s="231"/>
      <c r="AB140" s="231"/>
      <c r="AC140" s="231"/>
      <c r="AD140" s="231"/>
      <c r="AE140" s="231"/>
      <c r="AF140" s="231"/>
      <c r="AG140" s="231"/>
      <c r="AH140" s="231"/>
      <c r="AI140" s="231"/>
      <c r="AJ140" s="231"/>
      <c r="AK140" s="231"/>
      <c r="AL140" s="231"/>
      <c r="AM140" s="231"/>
      <c r="AN140" s="231"/>
      <c r="AO140" s="231"/>
      <c r="AP140" s="231"/>
      <c r="AQ140" s="231"/>
      <c r="AR140" s="231"/>
      <c r="AS140" s="231"/>
      <c r="AT140" s="231"/>
      <c r="AU140" s="231"/>
      <c r="AV140" s="231"/>
      <c r="AW140" s="231"/>
      <c r="AX140" s="231"/>
      <c r="AY140" s="231"/>
      <c r="AZ140" s="231"/>
      <c r="BA140" s="231"/>
      <c r="BB140" s="231"/>
      <c r="BC140" s="231"/>
      <c r="BD140" s="231"/>
      <c r="BE140" s="231"/>
      <c r="BF140" s="231"/>
      <c r="BG140" s="231"/>
      <c r="BH140" s="231"/>
      <c r="BI140" s="231"/>
      <c r="BJ140" s="231"/>
      <c r="BK140" s="231"/>
      <c r="BL140" s="231"/>
      <c r="BM140" s="231"/>
      <c r="BN140" s="231"/>
      <c r="BO140" s="231"/>
      <c r="BP140" s="231"/>
      <c r="BQ140" s="231"/>
      <c r="BR140" s="231"/>
      <c r="BS140" s="231"/>
      <c r="BT140" s="231"/>
      <c r="BU140" s="231"/>
      <c r="BV140" s="231"/>
      <c r="BW140" s="231"/>
      <c r="BX140" s="231"/>
      <c r="BY140" s="231"/>
      <c r="BZ140" s="231"/>
      <c r="CA140" s="231"/>
      <c r="CB140" s="231"/>
      <c r="CC140" s="231"/>
      <c r="CD140" s="231"/>
      <c r="CE140" s="231"/>
      <c r="CF140" s="231"/>
      <c r="CG140" s="231"/>
      <c r="CH140" s="231"/>
      <c r="CI140" s="231"/>
      <c r="CJ140" s="231"/>
      <c r="CK140" s="231"/>
      <c r="CL140" s="231"/>
      <c r="CM140" s="231"/>
      <c r="CN140" s="231"/>
      <c r="CO140" s="231"/>
      <c r="CP140" s="231"/>
      <c r="CQ140" s="231"/>
      <c r="CR140" s="231"/>
      <c r="CS140" s="231"/>
      <c r="CT140" s="231"/>
      <c r="CU140" s="231"/>
      <c r="CV140" s="231"/>
      <c r="CW140" s="231"/>
      <c r="CX140" s="231"/>
    </row>
    <row r="141" spans="1:102" x14ac:dyDescent="0.3">
      <c r="A141" s="192" t="s">
        <v>209</v>
      </c>
      <c r="B141" s="223"/>
      <c r="C141" s="237"/>
      <c r="D141" s="237"/>
      <c r="E141" s="237"/>
      <c r="F141" s="237"/>
      <c r="G141" s="237"/>
      <c r="H141" s="237"/>
      <c r="I141" s="237"/>
      <c r="J141" s="237"/>
      <c r="K141" s="237"/>
      <c r="L141" s="237"/>
      <c r="M141" s="237"/>
      <c r="N141" s="237"/>
      <c r="O141" s="237"/>
      <c r="P141" s="237"/>
      <c r="Q141" s="237"/>
      <c r="R141" s="237"/>
      <c r="S141" s="237"/>
      <c r="T141" s="237"/>
      <c r="U141" s="237"/>
      <c r="V141" s="237"/>
      <c r="W141" s="237"/>
      <c r="X141" s="237"/>
      <c r="Y141" s="237"/>
      <c r="Z141" s="237"/>
      <c r="AA141" s="237"/>
      <c r="AB141" s="237"/>
      <c r="AC141" s="237"/>
      <c r="AD141" s="237"/>
      <c r="AE141" s="237"/>
      <c r="AF141" s="237"/>
      <c r="AG141" s="237"/>
      <c r="AH141" s="237"/>
      <c r="AI141" s="237"/>
      <c r="AJ141" s="237"/>
      <c r="AK141" s="237"/>
      <c r="AL141" s="237"/>
      <c r="AM141" s="237"/>
      <c r="AN141" s="237"/>
      <c r="AO141" s="237"/>
      <c r="AP141" s="237"/>
      <c r="AQ141" s="237"/>
      <c r="AR141" s="237"/>
      <c r="AS141" s="237"/>
      <c r="AT141" s="237"/>
      <c r="AU141" s="237"/>
      <c r="AV141" s="237"/>
      <c r="AW141" s="237"/>
      <c r="AX141" s="237"/>
      <c r="AY141" s="237"/>
      <c r="AZ141" s="237"/>
      <c r="BA141" s="237"/>
      <c r="BB141" s="237"/>
      <c r="BC141" s="237"/>
      <c r="BD141" s="237"/>
      <c r="BE141" s="237"/>
      <c r="BF141" s="237"/>
      <c r="BG141" s="237"/>
      <c r="BH141" s="237"/>
      <c r="BI141" s="237"/>
      <c r="BJ141" s="237"/>
      <c r="BK141" s="237"/>
      <c r="BL141" s="237"/>
      <c r="BM141" s="237"/>
      <c r="BN141" s="237"/>
      <c r="BO141" s="237"/>
      <c r="BP141" s="237"/>
      <c r="BQ141" s="237"/>
      <c r="BR141" s="237"/>
      <c r="BS141" s="237"/>
      <c r="BT141" s="237"/>
      <c r="BU141" s="237"/>
      <c r="BV141" s="237"/>
      <c r="BW141" s="237"/>
      <c r="BX141" s="237"/>
      <c r="BY141" s="237"/>
      <c r="BZ141" s="237"/>
      <c r="CA141" s="237"/>
      <c r="CB141" s="237"/>
      <c r="CC141" s="237"/>
      <c r="CD141" s="237"/>
      <c r="CE141" s="237"/>
      <c r="CF141" s="237"/>
      <c r="CG141" s="237"/>
      <c r="CH141" s="237"/>
      <c r="CI141" s="237"/>
      <c r="CJ141" s="237"/>
      <c r="CK141" s="237"/>
      <c r="CL141" s="237"/>
      <c r="CM141" s="237"/>
      <c r="CN141" s="237"/>
      <c r="CO141" s="237"/>
      <c r="CP141" s="237"/>
      <c r="CQ141" s="237"/>
      <c r="CR141" s="237"/>
      <c r="CS141" s="237"/>
      <c r="CT141" s="237"/>
      <c r="CU141" s="237"/>
      <c r="CV141" s="237"/>
      <c r="CW141" s="237"/>
      <c r="CX141" s="237"/>
    </row>
    <row r="142" spans="1:102" x14ac:dyDescent="0.3">
      <c r="A142" s="192" t="s">
        <v>210</v>
      </c>
      <c r="B142" s="170"/>
      <c r="C142" s="231"/>
      <c r="D142" s="231"/>
      <c r="E142" s="231"/>
      <c r="F142" s="231"/>
      <c r="G142" s="231"/>
      <c r="H142" s="231"/>
      <c r="I142" s="231"/>
      <c r="J142" s="231"/>
      <c r="K142" s="231"/>
      <c r="L142" s="231"/>
      <c r="M142" s="231"/>
      <c r="N142" s="231"/>
      <c r="O142" s="231"/>
      <c r="P142" s="231"/>
      <c r="Q142" s="231"/>
      <c r="R142" s="231"/>
      <c r="S142" s="231"/>
      <c r="T142" s="231"/>
      <c r="U142" s="231"/>
      <c r="V142" s="231"/>
      <c r="W142" s="231"/>
      <c r="X142" s="231"/>
      <c r="Y142" s="231"/>
      <c r="Z142" s="231"/>
      <c r="AA142" s="231"/>
      <c r="AB142" s="231"/>
      <c r="AC142" s="231"/>
      <c r="AD142" s="231"/>
      <c r="AE142" s="231"/>
      <c r="AF142" s="231"/>
      <c r="AG142" s="231"/>
      <c r="AH142" s="231"/>
      <c r="AI142" s="231"/>
      <c r="AJ142" s="231"/>
      <c r="AK142" s="231"/>
      <c r="AL142" s="231"/>
      <c r="AM142" s="231"/>
      <c r="AN142" s="231"/>
      <c r="AO142" s="231"/>
      <c r="AP142" s="231"/>
      <c r="AQ142" s="231"/>
      <c r="AR142" s="231"/>
      <c r="AS142" s="231"/>
      <c r="AT142" s="231"/>
      <c r="AU142" s="231"/>
      <c r="AV142" s="231"/>
      <c r="AW142" s="231"/>
      <c r="AX142" s="231"/>
      <c r="AY142" s="231"/>
      <c r="AZ142" s="231"/>
      <c r="BA142" s="231"/>
      <c r="BB142" s="231"/>
      <c r="BC142" s="231"/>
      <c r="BD142" s="231"/>
      <c r="BE142" s="231"/>
      <c r="BF142" s="231"/>
      <c r="BG142" s="231"/>
      <c r="BH142" s="231"/>
      <c r="BI142" s="231"/>
      <c r="BJ142" s="231"/>
      <c r="BK142" s="231"/>
      <c r="BL142" s="231"/>
      <c r="BM142" s="231"/>
      <c r="BN142" s="231"/>
      <c r="BO142" s="231"/>
      <c r="BP142" s="231"/>
      <c r="BQ142" s="231"/>
      <c r="BR142" s="231"/>
      <c r="BS142" s="231"/>
      <c r="BT142" s="231"/>
      <c r="BU142" s="231"/>
      <c r="BV142" s="231"/>
      <c r="BW142" s="231"/>
      <c r="BX142" s="231"/>
      <c r="BY142" s="231"/>
      <c r="BZ142" s="231"/>
      <c r="CA142" s="231"/>
      <c r="CB142" s="231"/>
      <c r="CC142" s="231"/>
      <c r="CD142" s="231"/>
      <c r="CE142" s="231"/>
      <c r="CF142" s="231"/>
      <c r="CG142" s="231"/>
      <c r="CH142" s="231"/>
      <c r="CI142" s="231"/>
      <c r="CJ142" s="231"/>
      <c r="CK142" s="231"/>
      <c r="CL142" s="231"/>
      <c r="CM142" s="231"/>
      <c r="CN142" s="231"/>
      <c r="CO142" s="231"/>
      <c r="CP142" s="231"/>
      <c r="CQ142" s="231"/>
      <c r="CR142" s="231"/>
      <c r="CS142" s="231"/>
      <c r="CT142" s="231"/>
      <c r="CU142" s="231"/>
      <c r="CV142" s="231"/>
      <c r="CW142" s="231"/>
      <c r="CX142" s="231"/>
    </row>
    <row r="143" spans="1:102" x14ac:dyDescent="0.3">
      <c r="A143" s="192" t="s">
        <v>211</v>
      </c>
      <c r="B143" s="223"/>
      <c r="C143" s="237"/>
      <c r="D143" s="237"/>
      <c r="E143" s="237"/>
      <c r="F143" s="237"/>
      <c r="G143" s="237"/>
      <c r="H143" s="237"/>
      <c r="I143" s="237"/>
      <c r="J143" s="237"/>
      <c r="K143" s="237"/>
      <c r="L143" s="237"/>
      <c r="M143" s="237"/>
      <c r="N143" s="237"/>
      <c r="O143" s="237"/>
      <c r="P143" s="237"/>
      <c r="Q143" s="237"/>
      <c r="R143" s="237"/>
      <c r="S143" s="237"/>
      <c r="T143" s="237"/>
      <c r="U143" s="237"/>
      <c r="V143" s="237"/>
      <c r="W143" s="237"/>
      <c r="X143" s="237"/>
      <c r="Y143" s="237"/>
      <c r="Z143" s="237"/>
      <c r="AA143" s="237"/>
      <c r="AB143" s="237"/>
      <c r="AC143" s="237"/>
      <c r="AD143" s="237"/>
      <c r="AE143" s="237"/>
      <c r="AF143" s="237"/>
      <c r="AG143" s="237"/>
      <c r="AH143" s="237"/>
      <c r="AI143" s="237"/>
      <c r="AJ143" s="237"/>
      <c r="AK143" s="237"/>
      <c r="AL143" s="237"/>
      <c r="AM143" s="237"/>
      <c r="AN143" s="237"/>
      <c r="AO143" s="237"/>
      <c r="AP143" s="237"/>
      <c r="AQ143" s="237"/>
      <c r="AR143" s="237"/>
      <c r="AS143" s="237"/>
      <c r="AT143" s="237"/>
      <c r="AU143" s="237"/>
      <c r="AV143" s="237"/>
      <c r="AW143" s="237"/>
      <c r="AX143" s="237"/>
      <c r="AY143" s="237"/>
      <c r="AZ143" s="237"/>
      <c r="BA143" s="237"/>
      <c r="BB143" s="237"/>
      <c r="BC143" s="237"/>
      <c r="BD143" s="237"/>
      <c r="BE143" s="237"/>
      <c r="BF143" s="237"/>
      <c r="BG143" s="237"/>
      <c r="BH143" s="237"/>
      <c r="BI143" s="237"/>
      <c r="BJ143" s="237"/>
      <c r="BK143" s="237"/>
      <c r="BL143" s="237"/>
      <c r="BM143" s="237"/>
      <c r="BN143" s="237"/>
      <c r="BO143" s="237"/>
      <c r="BP143" s="237"/>
      <c r="BQ143" s="237"/>
      <c r="BR143" s="237"/>
      <c r="BS143" s="237"/>
      <c r="BT143" s="237"/>
      <c r="BU143" s="237"/>
      <c r="BV143" s="237"/>
      <c r="BW143" s="237"/>
      <c r="BX143" s="237"/>
      <c r="BY143" s="237"/>
      <c r="BZ143" s="237"/>
      <c r="CA143" s="237"/>
      <c r="CB143" s="237"/>
      <c r="CC143" s="237"/>
      <c r="CD143" s="237"/>
      <c r="CE143" s="237"/>
      <c r="CF143" s="237"/>
      <c r="CG143" s="237"/>
      <c r="CH143" s="237"/>
      <c r="CI143" s="237"/>
      <c r="CJ143" s="237"/>
      <c r="CK143" s="237"/>
      <c r="CL143" s="237"/>
      <c r="CM143" s="237"/>
      <c r="CN143" s="237"/>
      <c r="CO143" s="237"/>
      <c r="CP143" s="237"/>
      <c r="CQ143" s="237"/>
      <c r="CR143" s="237"/>
      <c r="CS143" s="237"/>
      <c r="CT143" s="237"/>
      <c r="CU143" s="237"/>
      <c r="CV143" s="237"/>
      <c r="CW143" s="237"/>
      <c r="CX143" s="237"/>
    </row>
    <row r="144" spans="1:102" x14ac:dyDescent="0.3">
      <c r="A144" s="192" t="s">
        <v>212</v>
      </c>
      <c r="B144" s="170"/>
      <c r="C144" s="231"/>
      <c r="D144" s="231"/>
      <c r="E144" s="231"/>
      <c r="F144" s="231"/>
      <c r="G144" s="231"/>
      <c r="H144" s="231"/>
      <c r="I144" s="231"/>
      <c r="J144" s="231"/>
      <c r="K144" s="231"/>
      <c r="L144" s="231"/>
      <c r="M144" s="231"/>
      <c r="N144" s="231"/>
      <c r="O144" s="231"/>
      <c r="P144" s="231"/>
      <c r="Q144" s="231"/>
      <c r="R144" s="231"/>
      <c r="S144" s="231"/>
      <c r="T144" s="231"/>
      <c r="U144" s="231"/>
      <c r="V144" s="231"/>
      <c r="W144" s="231"/>
      <c r="X144" s="231"/>
      <c r="Y144" s="231"/>
      <c r="Z144" s="231"/>
      <c r="AA144" s="231"/>
      <c r="AB144" s="231"/>
      <c r="AC144" s="231"/>
      <c r="AD144" s="231"/>
      <c r="AE144" s="231"/>
      <c r="AF144" s="231"/>
      <c r="AG144" s="231"/>
      <c r="AH144" s="231"/>
      <c r="AI144" s="231"/>
      <c r="AJ144" s="231"/>
      <c r="AK144" s="231"/>
      <c r="AL144" s="231"/>
      <c r="AM144" s="231"/>
      <c r="AN144" s="231"/>
      <c r="AO144" s="231"/>
      <c r="AP144" s="231"/>
      <c r="AQ144" s="231"/>
      <c r="AR144" s="231"/>
      <c r="AS144" s="231"/>
      <c r="AT144" s="231"/>
      <c r="AU144" s="231"/>
      <c r="AV144" s="231"/>
      <c r="AW144" s="231"/>
      <c r="AX144" s="231"/>
      <c r="AY144" s="231"/>
      <c r="AZ144" s="231"/>
      <c r="BA144" s="231"/>
      <c r="BB144" s="231"/>
      <c r="BC144" s="231"/>
      <c r="BD144" s="231"/>
      <c r="BE144" s="231"/>
      <c r="BF144" s="231"/>
      <c r="BG144" s="231"/>
      <c r="BH144" s="231"/>
      <c r="BI144" s="231"/>
      <c r="BJ144" s="231"/>
      <c r="BK144" s="231"/>
      <c r="BL144" s="231"/>
      <c r="BM144" s="231"/>
      <c r="BN144" s="231"/>
      <c r="BO144" s="231"/>
      <c r="BP144" s="231"/>
      <c r="BQ144" s="231"/>
      <c r="BR144" s="231"/>
      <c r="BS144" s="231"/>
      <c r="BT144" s="231"/>
      <c r="BU144" s="231"/>
      <c r="BV144" s="231"/>
      <c r="BW144" s="231"/>
      <c r="BX144" s="231"/>
      <c r="BY144" s="231"/>
      <c r="BZ144" s="231"/>
      <c r="CA144" s="231"/>
      <c r="CB144" s="231"/>
      <c r="CC144" s="231"/>
      <c r="CD144" s="231"/>
      <c r="CE144" s="231"/>
      <c r="CF144" s="231"/>
      <c r="CG144" s="231"/>
      <c r="CH144" s="231"/>
      <c r="CI144" s="231"/>
      <c r="CJ144" s="231"/>
      <c r="CK144" s="231"/>
      <c r="CL144" s="231"/>
      <c r="CM144" s="231"/>
      <c r="CN144" s="231"/>
      <c r="CO144" s="231"/>
      <c r="CP144" s="231"/>
      <c r="CQ144" s="231"/>
      <c r="CR144" s="231"/>
      <c r="CS144" s="231"/>
      <c r="CT144" s="231"/>
      <c r="CU144" s="231"/>
      <c r="CV144" s="231"/>
      <c r="CW144" s="231"/>
      <c r="CX144" s="231"/>
    </row>
    <row r="145" spans="1:102" s="181" customFormat="1" x14ac:dyDescent="0.3">
      <c r="A145" s="182" t="s">
        <v>187</v>
      </c>
      <c r="B145" s="217"/>
      <c r="C145" s="217"/>
      <c r="D145" s="217"/>
      <c r="E145" s="217"/>
      <c r="F145" s="217"/>
      <c r="G145" s="217"/>
      <c r="H145" s="217"/>
      <c r="I145" s="217"/>
      <c r="J145" s="217"/>
      <c r="K145" s="217"/>
      <c r="L145" s="217"/>
      <c r="M145" s="217"/>
      <c r="N145" s="217"/>
      <c r="O145" s="217"/>
      <c r="P145" s="217"/>
      <c r="Q145" s="217"/>
      <c r="R145" s="217"/>
      <c r="S145" s="217"/>
      <c r="T145" s="217"/>
      <c r="U145" s="217"/>
      <c r="V145" s="217"/>
      <c r="W145" s="217"/>
      <c r="X145" s="217"/>
      <c r="Y145" s="217"/>
      <c r="Z145" s="217"/>
      <c r="AA145" s="217"/>
      <c r="AB145" s="217"/>
      <c r="AC145" s="217"/>
      <c r="AD145" s="217"/>
      <c r="AE145" s="217"/>
      <c r="AF145" s="217"/>
      <c r="AG145" s="217"/>
      <c r="AH145" s="217"/>
      <c r="AI145" s="217"/>
      <c r="AJ145" s="217"/>
      <c r="AK145" s="217"/>
      <c r="AL145" s="217"/>
      <c r="AM145" s="217"/>
      <c r="AN145" s="217"/>
      <c r="AO145" s="217"/>
      <c r="AP145" s="217"/>
      <c r="AQ145" s="218"/>
      <c r="AR145" s="218"/>
      <c r="AS145" s="218"/>
      <c r="AT145" s="218"/>
      <c r="AU145" s="218"/>
      <c r="AV145" s="218"/>
      <c r="AW145" s="218"/>
      <c r="AX145" s="218"/>
      <c r="AY145" s="218"/>
      <c r="AZ145" s="218"/>
      <c r="BA145" s="218"/>
      <c r="BB145" s="218"/>
      <c r="BC145" s="218"/>
      <c r="BD145" s="218"/>
      <c r="BE145" s="218"/>
      <c r="BF145" s="218"/>
      <c r="BG145" s="218"/>
      <c r="BH145" s="218"/>
      <c r="BI145" s="218"/>
      <c r="BJ145" s="218"/>
      <c r="BK145" s="218"/>
      <c r="BL145" s="218"/>
      <c r="BM145" s="218"/>
      <c r="BN145" s="218"/>
      <c r="BO145" s="218"/>
      <c r="BP145" s="218"/>
      <c r="BQ145" s="218"/>
      <c r="BR145" s="218"/>
      <c r="BS145" s="218"/>
      <c r="BT145" s="218"/>
      <c r="BU145" s="218"/>
      <c r="BV145" s="218"/>
      <c r="BW145" s="218"/>
      <c r="BX145" s="218"/>
      <c r="BY145" s="218"/>
      <c r="BZ145" s="218"/>
      <c r="CA145" s="218"/>
      <c r="CB145" s="218"/>
      <c r="CC145" s="218"/>
      <c r="CD145" s="218"/>
      <c r="CE145" s="218"/>
      <c r="CF145" s="218"/>
      <c r="CG145" s="218"/>
      <c r="CH145" s="218"/>
      <c r="CI145" s="218"/>
      <c r="CJ145" s="218"/>
      <c r="CK145" s="218"/>
      <c r="CL145" s="218"/>
      <c r="CM145" s="218"/>
      <c r="CN145" s="218"/>
      <c r="CO145" s="218"/>
      <c r="CP145" s="218"/>
      <c r="CQ145" s="218"/>
      <c r="CR145" s="218"/>
      <c r="CS145" s="218"/>
      <c r="CT145" s="218"/>
      <c r="CU145" s="218"/>
      <c r="CV145" s="218"/>
      <c r="CW145" s="218"/>
      <c r="CX145" s="245"/>
    </row>
    <row r="146" spans="1:102" s="181" customFormat="1" x14ac:dyDescent="0.3">
      <c r="A146" s="192" t="s">
        <v>2</v>
      </c>
      <c r="B146" s="170"/>
      <c r="C146" s="238"/>
      <c r="D146" s="238"/>
      <c r="E146" s="238"/>
      <c r="F146" s="238"/>
      <c r="G146" s="238"/>
      <c r="H146" s="238"/>
      <c r="I146" s="238"/>
      <c r="J146" s="238"/>
      <c r="K146" s="238"/>
      <c r="L146" s="238"/>
      <c r="M146" s="238"/>
      <c r="N146" s="238"/>
      <c r="O146" s="238"/>
      <c r="P146" s="238"/>
      <c r="Q146" s="238"/>
      <c r="R146" s="238"/>
      <c r="S146" s="238"/>
      <c r="T146" s="238"/>
      <c r="U146" s="238"/>
      <c r="V146" s="238"/>
      <c r="W146" s="238"/>
      <c r="X146" s="238"/>
      <c r="Y146" s="238"/>
      <c r="Z146" s="238"/>
      <c r="AA146" s="238"/>
      <c r="AB146" s="238"/>
      <c r="AC146" s="238"/>
      <c r="AD146" s="238"/>
      <c r="AE146" s="238"/>
      <c r="AF146" s="238"/>
      <c r="AG146" s="238"/>
      <c r="AH146" s="238"/>
      <c r="AI146" s="238"/>
      <c r="AJ146" s="238"/>
      <c r="AK146" s="238"/>
      <c r="AL146" s="238"/>
      <c r="AM146" s="238"/>
      <c r="AN146" s="238"/>
      <c r="AO146" s="238"/>
      <c r="AP146" s="238"/>
      <c r="AQ146" s="239"/>
      <c r="AR146" s="239"/>
      <c r="AS146" s="239"/>
      <c r="AT146" s="239"/>
      <c r="AU146" s="239"/>
      <c r="AV146" s="239"/>
      <c r="AW146" s="239"/>
      <c r="AX146" s="239"/>
      <c r="AY146" s="239"/>
      <c r="AZ146" s="239"/>
      <c r="BA146" s="239"/>
      <c r="BB146" s="239"/>
      <c r="BC146" s="239"/>
      <c r="BD146" s="239"/>
      <c r="BE146" s="239"/>
      <c r="BF146" s="239"/>
      <c r="BG146" s="239"/>
      <c r="BH146" s="239"/>
      <c r="BI146" s="239"/>
      <c r="BJ146" s="239"/>
      <c r="BK146" s="239"/>
      <c r="BL146" s="239"/>
      <c r="BM146" s="239"/>
      <c r="BN146" s="239"/>
      <c r="BO146" s="239"/>
      <c r="BP146" s="239"/>
      <c r="BQ146" s="239"/>
      <c r="BR146" s="239"/>
      <c r="BS146" s="239"/>
      <c r="BT146" s="239"/>
      <c r="BU146" s="239"/>
      <c r="BV146" s="239"/>
      <c r="BW146" s="239"/>
      <c r="BX146" s="239"/>
      <c r="BY146" s="239"/>
      <c r="BZ146" s="239"/>
      <c r="CA146" s="239"/>
      <c r="CB146" s="239"/>
      <c r="CC146" s="239"/>
      <c r="CD146" s="239"/>
      <c r="CE146" s="239"/>
      <c r="CF146" s="239"/>
      <c r="CG146" s="239"/>
      <c r="CH146" s="239"/>
      <c r="CI146" s="239"/>
      <c r="CJ146" s="239"/>
      <c r="CK146" s="239"/>
      <c r="CL146" s="239"/>
      <c r="CM146" s="239"/>
      <c r="CN146" s="239"/>
      <c r="CO146" s="239"/>
      <c r="CP146" s="239"/>
      <c r="CQ146" s="239"/>
      <c r="CR146" s="239"/>
      <c r="CS146" s="239"/>
      <c r="CT146" s="239"/>
      <c r="CU146" s="239"/>
      <c r="CV146" s="239"/>
      <c r="CW146" s="239"/>
      <c r="CX146" s="239"/>
    </row>
    <row r="147" spans="1:102" s="181" customFormat="1" x14ac:dyDescent="0.3">
      <c r="A147" s="192" t="s">
        <v>3</v>
      </c>
      <c r="B147" s="170"/>
      <c r="C147" s="239"/>
      <c r="D147" s="239"/>
      <c r="E147" s="239"/>
      <c r="F147" s="239"/>
      <c r="G147" s="239"/>
      <c r="H147" s="239"/>
      <c r="I147" s="239"/>
      <c r="J147" s="239"/>
      <c r="K147" s="239"/>
      <c r="L147" s="239"/>
      <c r="M147" s="239"/>
      <c r="N147" s="239"/>
      <c r="O147" s="239"/>
      <c r="P147" s="239"/>
      <c r="Q147" s="239"/>
      <c r="R147" s="239"/>
      <c r="S147" s="239"/>
      <c r="T147" s="239"/>
      <c r="U147" s="239"/>
      <c r="V147" s="239"/>
      <c r="W147" s="239"/>
      <c r="X147" s="239"/>
      <c r="Y147" s="239"/>
      <c r="Z147" s="239"/>
      <c r="AA147" s="239"/>
      <c r="AB147" s="239"/>
      <c r="AC147" s="239"/>
      <c r="AD147" s="239"/>
      <c r="AE147" s="239"/>
      <c r="AF147" s="239"/>
      <c r="AG147" s="239"/>
      <c r="AH147" s="239"/>
      <c r="AI147" s="239"/>
      <c r="AJ147" s="239"/>
      <c r="AK147" s="239"/>
      <c r="AL147" s="239"/>
      <c r="AM147" s="239"/>
      <c r="AN147" s="239"/>
      <c r="AO147" s="239"/>
      <c r="AP147" s="239"/>
      <c r="AQ147" s="239"/>
      <c r="AR147" s="239"/>
      <c r="AS147" s="239"/>
      <c r="AT147" s="239"/>
      <c r="AU147" s="239"/>
      <c r="AV147" s="239"/>
      <c r="AW147" s="239"/>
      <c r="AX147" s="239"/>
      <c r="AY147" s="239"/>
      <c r="AZ147" s="239"/>
      <c r="BA147" s="239"/>
      <c r="BB147" s="239"/>
      <c r="BC147" s="239"/>
      <c r="BD147" s="239"/>
      <c r="BE147" s="239"/>
      <c r="BF147" s="239"/>
      <c r="BG147" s="239"/>
      <c r="BH147" s="239"/>
      <c r="BI147" s="239"/>
      <c r="BJ147" s="239"/>
      <c r="BK147" s="239"/>
      <c r="BL147" s="239"/>
      <c r="BM147" s="239"/>
      <c r="BN147" s="239"/>
      <c r="BO147" s="239"/>
      <c r="BP147" s="239"/>
      <c r="BQ147" s="239"/>
      <c r="BR147" s="239"/>
      <c r="BS147" s="239"/>
      <c r="BT147" s="239"/>
      <c r="BU147" s="239"/>
      <c r="BV147" s="239"/>
      <c r="BW147" s="239"/>
      <c r="BX147" s="239"/>
      <c r="BY147" s="239"/>
      <c r="BZ147" s="239"/>
      <c r="CA147" s="239"/>
      <c r="CB147" s="239"/>
      <c r="CC147" s="239"/>
      <c r="CD147" s="239"/>
      <c r="CE147" s="239"/>
      <c r="CF147" s="239"/>
      <c r="CG147" s="239"/>
      <c r="CH147" s="239"/>
      <c r="CI147" s="239"/>
      <c r="CJ147" s="239"/>
      <c r="CK147" s="239"/>
      <c r="CL147" s="239"/>
      <c r="CM147" s="239"/>
      <c r="CN147" s="239"/>
      <c r="CO147" s="239"/>
      <c r="CP147" s="239"/>
      <c r="CQ147" s="239"/>
      <c r="CR147" s="239"/>
      <c r="CS147" s="239"/>
      <c r="CT147" s="239"/>
      <c r="CU147" s="239"/>
      <c r="CV147" s="239"/>
      <c r="CW147" s="239"/>
      <c r="CX147" s="239"/>
    </row>
    <row r="148" spans="1:102" x14ac:dyDescent="0.3">
      <c r="A148" s="192" t="s">
        <v>188</v>
      </c>
      <c r="B148" s="170"/>
      <c r="C148" s="239"/>
      <c r="D148" s="239"/>
      <c r="E148" s="239"/>
      <c r="F148" s="239"/>
      <c r="G148" s="239"/>
      <c r="H148" s="239"/>
      <c r="I148" s="239"/>
      <c r="J148" s="239"/>
      <c r="K148" s="239"/>
      <c r="L148" s="239"/>
      <c r="M148" s="239"/>
      <c r="N148" s="239"/>
      <c r="O148" s="239"/>
      <c r="P148" s="239"/>
      <c r="Q148" s="239"/>
      <c r="R148" s="239"/>
      <c r="S148" s="239"/>
      <c r="T148" s="239"/>
      <c r="U148" s="239"/>
      <c r="V148" s="239"/>
      <c r="W148" s="239"/>
      <c r="X148" s="239"/>
      <c r="Y148" s="239"/>
      <c r="Z148" s="239"/>
      <c r="AA148" s="239"/>
      <c r="AB148" s="239"/>
      <c r="AC148" s="239"/>
      <c r="AD148" s="239"/>
      <c r="AE148" s="239"/>
      <c r="AF148" s="239"/>
      <c r="AG148" s="239"/>
      <c r="AH148" s="239"/>
      <c r="AI148" s="239"/>
      <c r="AJ148" s="239"/>
      <c r="AK148" s="239"/>
      <c r="AL148" s="239"/>
      <c r="AM148" s="239"/>
      <c r="AN148" s="239"/>
      <c r="AO148" s="239"/>
      <c r="AP148" s="239"/>
      <c r="AQ148" s="239"/>
      <c r="AR148" s="239"/>
      <c r="AS148" s="239"/>
      <c r="AT148" s="239"/>
      <c r="AU148" s="239"/>
      <c r="AV148" s="239"/>
      <c r="AW148" s="239"/>
      <c r="AX148" s="239"/>
      <c r="AY148" s="239"/>
      <c r="AZ148" s="239"/>
      <c r="BA148" s="239"/>
      <c r="BB148" s="239"/>
      <c r="BC148" s="239"/>
      <c r="BD148" s="239"/>
      <c r="BE148" s="239"/>
      <c r="BF148" s="239"/>
      <c r="BG148" s="239"/>
      <c r="BH148" s="239"/>
      <c r="BI148" s="239"/>
      <c r="BJ148" s="239"/>
      <c r="BK148" s="239"/>
      <c r="BL148" s="239"/>
      <c r="BM148" s="239"/>
      <c r="BN148" s="239"/>
      <c r="BO148" s="239"/>
      <c r="BP148" s="239"/>
      <c r="BQ148" s="239"/>
      <c r="BR148" s="239"/>
      <c r="BS148" s="239"/>
      <c r="BT148" s="239"/>
      <c r="BU148" s="239"/>
      <c r="BV148" s="239"/>
      <c r="BW148" s="239"/>
      <c r="BX148" s="239"/>
      <c r="BY148" s="239"/>
      <c r="BZ148" s="239"/>
      <c r="CA148" s="239"/>
      <c r="CB148" s="239"/>
      <c r="CC148" s="239"/>
      <c r="CD148" s="239"/>
      <c r="CE148" s="239"/>
      <c r="CF148" s="239"/>
      <c r="CG148" s="239"/>
      <c r="CH148" s="239"/>
      <c r="CI148" s="239"/>
      <c r="CJ148" s="239"/>
      <c r="CK148" s="239"/>
      <c r="CL148" s="239"/>
      <c r="CM148" s="239"/>
      <c r="CN148" s="239"/>
      <c r="CO148" s="239"/>
      <c r="CP148" s="239"/>
      <c r="CQ148" s="239"/>
      <c r="CR148" s="239"/>
      <c r="CS148" s="239"/>
      <c r="CT148" s="239"/>
      <c r="CU148" s="239"/>
      <c r="CV148" s="239"/>
      <c r="CW148" s="239"/>
      <c r="CX148" s="239"/>
    </row>
    <row r="149" spans="1:102" x14ac:dyDescent="0.3">
      <c r="A149" s="192" t="s">
        <v>189</v>
      </c>
      <c r="B149" s="170"/>
      <c r="C149" s="240"/>
      <c r="D149" s="240"/>
      <c r="E149" s="240"/>
      <c r="F149" s="240"/>
      <c r="G149" s="240"/>
      <c r="H149" s="240"/>
      <c r="I149" s="240"/>
      <c r="J149" s="240"/>
      <c r="K149" s="240"/>
      <c r="L149" s="240"/>
      <c r="M149" s="240"/>
      <c r="N149" s="240"/>
      <c r="O149" s="240"/>
      <c r="P149" s="240"/>
      <c r="Q149" s="240"/>
      <c r="R149" s="240"/>
      <c r="S149" s="240"/>
      <c r="T149" s="240"/>
      <c r="U149" s="240"/>
      <c r="V149" s="240"/>
      <c r="W149" s="240"/>
      <c r="X149" s="240"/>
      <c r="Y149" s="240"/>
      <c r="Z149" s="240"/>
      <c r="AA149" s="240"/>
      <c r="AB149" s="240"/>
      <c r="AC149" s="240"/>
      <c r="AD149" s="240"/>
      <c r="AE149" s="240"/>
      <c r="AF149" s="240"/>
      <c r="AG149" s="240"/>
      <c r="AH149" s="240"/>
      <c r="AI149" s="240"/>
      <c r="AJ149" s="240"/>
      <c r="AK149" s="240"/>
      <c r="AL149" s="240"/>
      <c r="AM149" s="240"/>
      <c r="AN149" s="240"/>
      <c r="AO149" s="240"/>
      <c r="AP149" s="240"/>
      <c r="AQ149" s="239"/>
      <c r="AR149" s="239"/>
      <c r="AS149" s="239"/>
      <c r="AT149" s="239"/>
      <c r="AU149" s="239"/>
      <c r="AV149" s="239"/>
      <c r="AW149" s="239"/>
      <c r="AX149" s="239"/>
      <c r="AY149" s="239"/>
      <c r="AZ149" s="239"/>
      <c r="BA149" s="239"/>
      <c r="BB149" s="239"/>
      <c r="BC149" s="239"/>
      <c r="BD149" s="239"/>
      <c r="BE149" s="239"/>
      <c r="BF149" s="239"/>
      <c r="BG149" s="239"/>
      <c r="BH149" s="239"/>
      <c r="BI149" s="239"/>
      <c r="BJ149" s="239"/>
      <c r="BK149" s="239"/>
      <c r="BL149" s="239"/>
      <c r="BM149" s="239"/>
      <c r="BN149" s="239"/>
      <c r="BO149" s="239"/>
      <c r="BP149" s="239"/>
      <c r="BQ149" s="239"/>
      <c r="BR149" s="239"/>
      <c r="BS149" s="239"/>
      <c r="BT149" s="239"/>
      <c r="BU149" s="239"/>
      <c r="BV149" s="239"/>
      <c r="BW149" s="239"/>
      <c r="BX149" s="239"/>
      <c r="BY149" s="239"/>
      <c r="BZ149" s="239"/>
      <c r="CA149" s="239"/>
      <c r="CB149" s="239"/>
      <c r="CC149" s="239"/>
      <c r="CD149" s="239"/>
      <c r="CE149" s="239"/>
      <c r="CF149" s="239"/>
      <c r="CG149" s="239"/>
      <c r="CH149" s="239"/>
      <c r="CI149" s="239"/>
      <c r="CJ149" s="239"/>
      <c r="CK149" s="239"/>
      <c r="CL149" s="239"/>
      <c r="CM149" s="239"/>
      <c r="CN149" s="239"/>
      <c r="CO149" s="239"/>
      <c r="CP149" s="239"/>
      <c r="CQ149" s="239"/>
      <c r="CR149" s="239"/>
      <c r="CS149" s="239"/>
      <c r="CT149" s="239"/>
      <c r="CU149" s="239"/>
      <c r="CV149" s="239"/>
      <c r="CW149" s="239"/>
      <c r="CX149" s="239"/>
    </row>
    <row r="150" spans="1:102" x14ac:dyDescent="0.3">
      <c r="A150" s="182" t="s">
        <v>190</v>
      </c>
      <c r="B150" s="219"/>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c r="AA150" s="220"/>
      <c r="AB150" s="220"/>
      <c r="AC150" s="220"/>
      <c r="AD150" s="220"/>
      <c r="AE150" s="220"/>
      <c r="AF150" s="220"/>
      <c r="AG150" s="220"/>
      <c r="AH150" s="220"/>
      <c r="AI150" s="220"/>
      <c r="AJ150" s="220"/>
      <c r="AK150" s="220"/>
      <c r="AL150" s="220"/>
      <c r="AM150" s="220"/>
      <c r="AN150" s="220"/>
      <c r="AO150" s="220"/>
      <c r="AP150" s="219"/>
      <c r="AQ150" s="221"/>
      <c r="AR150" s="221"/>
      <c r="AS150" s="221"/>
      <c r="AT150" s="221"/>
      <c r="AU150" s="221"/>
      <c r="AV150" s="221"/>
      <c r="AW150" s="221"/>
      <c r="AX150" s="221"/>
      <c r="AY150" s="221"/>
      <c r="AZ150" s="221"/>
      <c r="BA150" s="221"/>
      <c r="BB150" s="221"/>
      <c r="BC150" s="221"/>
      <c r="BD150" s="221"/>
      <c r="BE150" s="221"/>
      <c r="BF150" s="221"/>
      <c r="BG150" s="221"/>
      <c r="BH150" s="221"/>
      <c r="BI150" s="221"/>
      <c r="BJ150" s="221"/>
      <c r="BK150" s="221"/>
      <c r="BL150" s="221"/>
      <c r="BM150" s="221"/>
      <c r="BN150" s="221"/>
      <c r="BO150" s="221"/>
      <c r="BP150" s="221"/>
      <c r="BQ150" s="221"/>
      <c r="BR150" s="221"/>
      <c r="BS150" s="221"/>
      <c r="BT150" s="221"/>
      <c r="BU150" s="221"/>
      <c r="BV150" s="221"/>
      <c r="BW150" s="221"/>
      <c r="BX150" s="221"/>
      <c r="BY150" s="221"/>
      <c r="BZ150" s="221"/>
      <c r="CA150" s="221"/>
      <c r="CB150" s="221"/>
      <c r="CC150" s="221"/>
      <c r="CD150" s="221"/>
      <c r="CE150" s="221"/>
      <c r="CF150" s="221"/>
      <c r="CG150" s="221"/>
      <c r="CH150" s="221"/>
      <c r="CI150" s="221"/>
      <c r="CJ150" s="221"/>
      <c r="CK150" s="221"/>
      <c r="CL150" s="221"/>
      <c r="CM150" s="221"/>
      <c r="CN150" s="221"/>
      <c r="CO150" s="221"/>
      <c r="CP150" s="221"/>
      <c r="CQ150" s="221"/>
      <c r="CR150" s="221"/>
      <c r="CS150" s="221"/>
      <c r="CT150" s="221"/>
      <c r="CU150" s="221"/>
      <c r="CV150" s="221"/>
      <c r="CW150" s="221"/>
      <c r="CX150" s="176"/>
    </row>
    <row r="151" spans="1:102" x14ac:dyDescent="0.3">
      <c r="A151" s="192" t="s">
        <v>2</v>
      </c>
      <c r="B151" s="170"/>
      <c r="C151" s="238"/>
      <c r="D151" s="238"/>
      <c r="E151" s="238"/>
      <c r="F151" s="238"/>
      <c r="G151" s="238"/>
      <c r="H151" s="238"/>
      <c r="I151" s="238"/>
      <c r="J151" s="238"/>
      <c r="K151" s="238"/>
      <c r="L151" s="238"/>
      <c r="M151" s="238"/>
      <c r="N151" s="238"/>
      <c r="O151" s="238"/>
      <c r="P151" s="238"/>
      <c r="Q151" s="238"/>
      <c r="R151" s="238"/>
      <c r="S151" s="238"/>
      <c r="T151" s="238"/>
      <c r="U151" s="238"/>
      <c r="V151" s="238"/>
      <c r="W151" s="238"/>
      <c r="X151" s="238"/>
      <c r="Y151" s="238"/>
      <c r="Z151" s="238"/>
      <c r="AA151" s="238"/>
      <c r="AB151" s="238"/>
      <c r="AC151" s="238"/>
      <c r="AD151" s="238"/>
      <c r="AE151" s="238"/>
      <c r="AF151" s="238"/>
      <c r="AG151" s="238"/>
      <c r="AH151" s="238"/>
      <c r="AI151" s="238"/>
      <c r="AJ151" s="238"/>
      <c r="AK151" s="238"/>
      <c r="AL151" s="238"/>
      <c r="AM151" s="238"/>
      <c r="AN151" s="238"/>
      <c r="AO151" s="238"/>
      <c r="AP151" s="238"/>
      <c r="AQ151" s="239"/>
      <c r="AR151" s="239"/>
      <c r="AS151" s="239"/>
      <c r="AT151" s="239"/>
      <c r="AU151" s="239"/>
      <c r="AV151" s="239"/>
      <c r="AW151" s="239"/>
      <c r="AX151" s="239"/>
      <c r="AY151" s="239"/>
      <c r="AZ151" s="239"/>
      <c r="BA151" s="239"/>
      <c r="BB151" s="239"/>
      <c r="BC151" s="239"/>
      <c r="BD151" s="239"/>
      <c r="BE151" s="239"/>
      <c r="BF151" s="239"/>
      <c r="BG151" s="239"/>
      <c r="BH151" s="239"/>
      <c r="BI151" s="239"/>
      <c r="BJ151" s="239"/>
      <c r="BK151" s="239"/>
      <c r="BL151" s="239"/>
      <c r="BM151" s="239"/>
      <c r="BN151" s="239"/>
      <c r="BO151" s="239"/>
      <c r="BP151" s="239"/>
      <c r="BQ151" s="239"/>
      <c r="BR151" s="239"/>
      <c r="BS151" s="239"/>
      <c r="BT151" s="239"/>
      <c r="BU151" s="239"/>
      <c r="BV151" s="239"/>
      <c r="BW151" s="239"/>
      <c r="BX151" s="239"/>
      <c r="BY151" s="239"/>
      <c r="BZ151" s="239"/>
      <c r="CA151" s="239"/>
      <c r="CB151" s="239"/>
      <c r="CC151" s="239"/>
      <c r="CD151" s="239"/>
      <c r="CE151" s="239"/>
      <c r="CF151" s="239"/>
      <c r="CG151" s="239"/>
      <c r="CH151" s="239"/>
      <c r="CI151" s="239"/>
      <c r="CJ151" s="239"/>
      <c r="CK151" s="239"/>
      <c r="CL151" s="239"/>
      <c r="CM151" s="239"/>
      <c r="CN151" s="239"/>
      <c r="CO151" s="239"/>
      <c r="CP151" s="239"/>
      <c r="CQ151" s="239"/>
      <c r="CR151" s="239"/>
      <c r="CS151" s="239"/>
      <c r="CT151" s="239"/>
      <c r="CU151" s="239"/>
      <c r="CV151" s="239"/>
      <c r="CW151" s="239"/>
      <c r="CX151" s="239"/>
    </row>
    <row r="152" spans="1:102" x14ac:dyDescent="0.3">
      <c r="A152" s="192" t="s">
        <v>3</v>
      </c>
      <c r="B152" s="170"/>
      <c r="C152" s="239"/>
      <c r="D152" s="239"/>
      <c r="E152" s="239"/>
      <c r="F152" s="239"/>
      <c r="G152" s="239"/>
      <c r="H152" s="239"/>
      <c r="I152" s="239"/>
      <c r="J152" s="239"/>
      <c r="K152" s="239"/>
      <c r="L152" s="239"/>
      <c r="M152" s="239"/>
      <c r="N152" s="239"/>
      <c r="O152" s="239"/>
      <c r="P152" s="239"/>
      <c r="Q152" s="239"/>
      <c r="R152" s="239"/>
      <c r="S152" s="239"/>
      <c r="T152" s="239"/>
      <c r="U152" s="239"/>
      <c r="V152" s="239"/>
      <c r="W152" s="239"/>
      <c r="X152" s="239"/>
      <c r="Y152" s="239"/>
      <c r="Z152" s="239"/>
      <c r="AA152" s="239"/>
      <c r="AB152" s="239"/>
      <c r="AC152" s="239"/>
      <c r="AD152" s="239"/>
      <c r="AE152" s="239"/>
      <c r="AF152" s="239"/>
      <c r="AG152" s="239"/>
      <c r="AH152" s="239"/>
      <c r="AI152" s="239"/>
      <c r="AJ152" s="239"/>
      <c r="AK152" s="239"/>
      <c r="AL152" s="239"/>
      <c r="AM152" s="239"/>
      <c r="AN152" s="239"/>
      <c r="AO152" s="239"/>
      <c r="AP152" s="239"/>
      <c r="AQ152" s="239"/>
      <c r="AR152" s="239"/>
      <c r="AS152" s="239"/>
      <c r="AT152" s="239"/>
      <c r="AU152" s="239"/>
      <c r="AV152" s="239"/>
      <c r="AW152" s="239"/>
      <c r="AX152" s="239"/>
      <c r="AY152" s="239"/>
      <c r="AZ152" s="239"/>
      <c r="BA152" s="239"/>
      <c r="BB152" s="239"/>
      <c r="BC152" s="239"/>
      <c r="BD152" s="239"/>
      <c r="BE152" s="239"/>
      <c r="BF152" s="239"/>
      <c r="BG152" s="239"/>
      <c r="BH152" s="239"/>
      <c r="BI152" s="239"/>
      <c r="BJ152" s="239"/>
      <c r="BK152" s="239"/>
      <c r="BL152" s="239"/>
      <c r="BM152" s="239"/>
      <c r="BN152" s="239"/>
      <c r="BO152" s="239"/>
      <c r="BP152" s="239"/>
      <c r="BQ152" s="239"/>
      <c r="BR152" s="239"/>
      <c r="BS152" s="239"/>
      <c r="BT152" s="239"/>
      <c r="BU152" s="239"/>
      <c r="BV152" s="239"/>
      <c r="BW152" s="239"/>
      <c r="BX152" s="239"/>
      <c r="BY152" s="239"/>
      <c r="BZ152" s="239"/>
      <c r="CA152" s="239"/>
      <c r="CB152" s="239"/>
      <c r="CC152" s="239"/>
      <c r="CD152" s="239"/>
      <c r="CE152" s="239"/>
      <c r="CF152" s="239"/>
      <c r="CG152" s="239"/>
      <c r="CH152" s="239"/>
      <c r="CI152" s="239"/>
      <c r="CJ152" s="239"/>
      <c r="CK152" s="239"/>
      <c r="CL152" s="239"/>
      <c r="CM152" s="239"/>
      <c r="CN152" s="239"/>
      <c r="CO152" s="239"/>
      <c r="CP152" s="239"/>
      <c r="CQ152" s="239"/>
      <c r="CR152" s="239"/>
      <c r="CS152" s="239"/>
      <c r="CT152" s="239"/>
      <c r="CU152" s="239"/>
      <c r="CV152" s="239"/>
      <c r="CW152" s="239"/>
      <c r="CX152" s="239"/>
    </row>
    <row r="153" spans="1:102" x14ac:dyDescent="0.3">
      <c r="A153" s="182" t="s">
        <v>243</v>
      </c>
      <c r="C153" s="12"/>
      <c r="F153" s="12"/>
      <c r="CX153" s="133"/>
    </row>
    <row r="154" spans="1:102" x14ac:dyDescent="0.3">
      <c r="A154" s="192" t="s">
        <v>241</v>
      </c>
      <c r="B154" s="170"/>
      <c r="C154" s="238"/>
      <c r="D154" s="238"/>
      <c r="E154" s="238"/>
      <c r="F154" s="238"/>
      <c r="G154" s="238"/>
      <c r="H154" s="238"/>
      <c r="I154" s="238"/>
      <c r="J154" s="238"/>
      <c r="K154" s="238"/>
      <c r="L154" s="238"/>
      <c r="M154" s="238"/>
      <c r="N154" s="238"/>
      <c r="O154" s="238"/>
      <c r="P154" s="238"/>
      <c r="Q154" s="238"/>
      <c r="R154" s="238"/>
      <c r="S154" s="238"/>
      <c r="T154" s="238"/>
      <c r="U154" s="238"/>
      <c r="V154" s="238"/>
      <c r="W154" s="238"/>
      <c r="X154" s="238"/>
      <c r="Y154" s="238"/>
      <c r="Z154" s="238"/>
      <c r="AA154" s="238"/>
      <c r="AB154" s="238"/>
      <c r="AC154" s="238"/>
      <c r="AD154" s="238"/>
      <c r="AE154" s="238"/>
      <c r="AF154" s="238"/>
      <c r="AG154" s="238"/>
      <c r="AH154" s="238"/>
      <c r="AI154" s="238"/>
      <c r="AJ154" s="238"/>
      <c r="AK154" s="238"/>
      <c r="AL154" s="238"/>
      <c r="AM154" s="238"/>
      <c r="AN154" s="238"/>
      <c r="AO154" s="238"/>
      <c r="AP154" s="238"/>
      <c r="AQ154" s="239"/>
      <c r="AR154" s="239"/>
      <c r="AS154" s="239"/>
      <c r="AT154" s="239"/>
      <c r="AU154" s="239"/>
      <c r="AV154" s="239"/>
      <c r="AW154" s="239"/>
      <c r="AX154" s="239"/>
      <c r="AY154" s="239"/>
      <c r="AZ154" s="239"/>
      <c r="BA154" s="239"/>
      <c r="BB154" s="239"/>
      <c r="BC154" s="239"/>
      <c r="BD154" s="239"/>
      <c r="BE154" s="239"/>
      <c r="BF154" s="239"/>
      <c r="BG154" s="239"/>
      <c r="BH154" s="239"/>
      <c r="BI154" s="239"/>
      <c r="BJ154" s="239"/>
      <c r="BK154" s="239"/>
      <c r="BL154" s="239"/>
      <c r="BM154" s="239"/>
      <c r="BN154" s="239"/>
      <c r="BO154" s="239"/>
      <c r="BP154" s="239"/>
      <c r="BQ154" s="239"/>
      <c r="BR154" s="239"/>
      <c r="BS154" s="239"/>
      <c r="BT154" s="239"/>
      <c r="BU154" s="239"/>
      <c r="BV154" s="239"/>
      <c r="BW154" s="239"/>
      <c r="BX154" s="239"/>
      <c r="BY154" s="239"/>
      <c r="BZ154" s="239"/>
      <c r="CA154" s="239"/>
      <c r="CB154" s="239"/>
      <c r="CC154" s="239"/>
      <c r="CD154" s="239"/>
      <c r="CE154" s="239"/>
      <c r="CF154" s="239"/>
      <c r="CG154" s="239"/>
      <c r="CH154" s="239"/>
      <c r="CI154" s="239"/>
      <c r="CJ154" s="239"/>
      <c r="CK154" s="239"/>
      <c r="CL154" s="239"/>
      <c r="CM154" s="239"/>
      <c r="CN154" s="239"/>
      <c r="CO154" s="239"/>
      <c r="CP154" s="239"/>
      <c r="CQ154" s="239"/>
      <c r="CR154" s="239"/>
      <c r="CS154" s="239"/>
      <c r="CT154" s="239"/>
      <c r="CU154" s="239"/>
      <c r="CV154" s="239"/>
      <c r="CW154" s="239"/>
      <c r="CX154" s="239"/>
    </row>
    <row r="155" spans="1:102" x14ac:dyDescent="0.3">
      <c r="A155" s="192" t="s">
        <v>240</v>
      </c>
      <c r="B155" s="170"/>
      <c r="C155" s="239"/>
      <c r="D155" s="239"/>
      <c r="E155" s="239"/>
      <c r="F155" s="239"/>
      <c r="G155" s="239"/>
      <c r="H155" s="239"/>
      <c r="I155" s="239"/>
      <c r="J155" s="239"/>
      <c r="K155" s="239"/>
      <c r="L155" s="239"/>
      <c r="M155" s="239"/>
      <c r="N155" s="239"/>
      <c r="O155" s="239"/>
      <c r="P155" s="239"/>
      <c r="Q155" s="239"/>
      <c r="R155" s="239"/>
      <c r="S155" s="239"/>
      <c r="T155" s="239"/>
      <c r="U155" s="239"/>
      <c r="V155" s="239"/>
      <c r="W155" s="239"/>
      <c r="X155" s="239"/>
      <c r="Y155" s="239"/>
      <c r="Z155" s="239"/>
      <c r="AA155" s="239"/>
      <c r="AB155" s="239"/>
      <c r="AC155" s="239"/>
      <c r="AD155" s="239"/>
      <c r="AE155" s="239"/>
      <c r="AF155" s="239"/>
      <c r="AG155" s="239"/>
      <c r="AH155" s="239"/>
      <c r="AI155" s="239"/>
      <c r="AJ155" s="239"/>
      <c r="AK155" s="239"/>
      <c r="AL155" s="239"/>
      <c r="AM155" s="239"/>
      <c r="AN155" s="239"/>
      <c r="AO155" s="239"/>
      <c r="AP155" s="239"/>
      <c r="AQ155" s="239"/>
      <c r="AR155" s="239"/>
      <c r="AS155" s="239"/>
      <c r="AT155" s="239"/>
      <c r="AU155" s="239"/>
      <c r="AV155" s="239"/>
      <c r="AW155" s="239"/>
      <c r="AX155" s="239"/>
      <c r="AY155" s="239"/>
      <c r="AZ155" s="239"/>
      <c r="BA155" s="239"/>
      <c r="BB155" s="239"/>
      <c r="BC155" s="239"/>
      <c r="BD155" s="239"/>
      <c r="BE155" s="239"/>
      <c r="BF155" s="239"/>
      <c r="BG155" s="239"/>
      <c r="BH155" s="239"/>
      <c r="BI155" s="239"/>
      <c r="BJ155" s="239"/>
      <c r="BK155" s="239"/>
      <c r="BL155" s="239"/>
      <c r="BM155" s="239"/>
      <c r="BN155" s="239"/>
      <c r="BO155" s="239"/>
      <c r="BP155" s="239"/>
      <c r="BQ155" s="239"/>
      <c r="BR155" s="239"/>
      <c r="BS155" s="239"/>
      <c r="BT155" s="239"/>
      <c r="BU155" s="239"/>
      <c r="BV155" s="239"/>
      <c r="BW155" s="239"/>
      <c r="BX155" s="239"/>
      <c r="BY155" s="239"/>
      <c r="BZ155" s="239"/>
      <c r="CA155" s="239"/>
      <c r="CB155" s="239"/>
      <c r="CC155" s="239"/>
      <c r="CD155" s="239"/>
      <c r="CE155" s="239"/>
      <c r="CF155" s="239"/>
      <c r="CG155" s="239"/>
      <c r="CH155" s="239"/>
      <c r="CI155" s="239"/>
      <c r="CJ155" s="239"/>
      <c r="CK155" s="239"/>
      <c r="CL155" s="239"/>
      <c r="CM155" s="239"/>
      <c r="CN155" s="239"/>
      <c r="CO155" s="239"/>
      <c r="CP155" s="239"/>
      <c r="CQ155" s="239"/>
      <c r="CR155" s="239"/>
      <c r="CS155" s="239"/>
      <c r="CT155" s="239"/>
      <c r="CU155" s="239"/>
      <c r="CV155" s="239"/>
      <c r="CW155" s="239"/>
      <c r="CX155" s="239"/>
    </row>
    <row r="156" spans="1:102" x14ac:dyDescent="0.3">
      <c r="A156" s="182" t="s">
        <v>242</v>
      </c>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c r="AA156" s="244"/>
      <c r="AB156" s="244"/>
      <c r="AC156" s="244"/>
      <c r="AD156" s="244"/>
      <c r="AE156" s="244"/>
      <c r="AF156" s="244"/>
      <c r="AG156" s="244"/>
      <c r="AH156" s="244"/>
      <c r="AI156" s="244"/>
      <c r="AJ156" s="244"/>
      <c r="AK156" s="244"/>
      <c r="AL156" s="244"/>
      <c r="AM156" s="244"/>
      <c r="AN156" s="244"/>
      <c r="AO156" s="244"/>
      <c r="AP156" s="244"/>
      <c r="AQ156" s="244"/>
      <c r="AR156" s="244"/>
      <c r="AS156" s="244"/>
      <c r="AT156" s="244"/>
      <c r="AU156" s="244"/>
      <c r="AV156" s="244"/>
      <c r="AW156" s="244"/>
      <c r="AX156" s="244"/>
      <c r="AY156" s="244"/>
      <c r="AZ156" s="244"/>
      <c r="BA156" s="244"/>
      <c r="BB156" s="244"/>
      <c r="BC156" s="244"/>
      <c r="BD156" s="244"/>
      <c r="BE156" s="244"/>
      <c r="BF156" s="244"/>
      <c r="BG156" s="244"/>
      <c r="BH156" s="244"/>
      <c r="BI156" s="244"/>
      <c r="BJ156" s="244"/>
      <c r="BK156" s="244"/>
      <c r="BL156" s="244"/>
      <c r="BM156" s="244"/>
      <c r="BN156" s="244"/>
      <c r="BO156" s="244"/>
      <c r="BP156" s="244"/>
      <c r="BQ156" s="244"/>
      <c r="BR156" s="244"/>
      <c r="BS156" s="244"/>
      <c r="BT156" s="244"/>
      <c r="BU156" s="244"/>
      <c r="BV156" s="244"/>
      <c r="BW156" s="244"/>
      <c r="BX156" s="244"/>
      <c r="BY156" s="244"/>
      <c r="BZ156" s="244"/>
      <c r="CA156" s="244"/>
      <c r="CB156" s="244"/>
      <c r="CC156" s="244"/>
      <c r="CD156" s="244"/>
      <c r="CE156" s="244"/>
      <c r="CF156" s="244"/>
      <c r="CG156" s="244"/>
      <c r="CH156" s="244"/>
      <c r="CI156" s="244"/>
      <c r="CJ156" s="244"/>
      <c r="CK156" s="244"/>
      <c r="CL156" s="244"/>
      <c r="CM156" s="244"/>
      <c r="CN156" s="244"/>
      <c r="CO156" s="244"/>
      <c r="CP156" s="244"/>
      <c r="CQ156" s="244"/>
      <c r="CR156" s="244"/>
      <c r="CS156" s="244"/>
      <c r="CT156" s="244"/>
      <c r="CU156" s="244"/>
      <c r="CV156" s="244"/>
      <c r="CW156" s="244"/>
      <c r="CX156" s="133"/>
    </row>
    <row r="157" spans="1:102" x14ac:dyDescent="0.3">
      <c r="A157" s="192" t="s">
        <v>244</v>
      </c>
      <c r="B157" s="170"/>
      <c r="C157" s="239"/>
      <c r="D157" s="239"/>
      <c r="E157" s="239"/>
      <c r="F157" s="239"/>
      <c r="G157" s="239"/>
      <c r="H157" s="239"/>
      <c r="I157" s="239"/>
      <c r="J157" s="239"/>
      <c r="K157" s="239"/>
      <c r="L157" s="239"/>
      <c r="M157" s="239"/>
      <c r="N157" s="239"/>
      <c r="O157" s="239"/>
      <c r="P157" s="239"/>
      <c r="Q157" s="239"/>
      <c r="R157" s="239"/>
      <c r="S157" s="239"/>
      <c r="T157" s="239"/>
      <c r="U157" s="239"/>
      <c r="V157" s="239"/>
      <c r="W157" s="239"/>
      <c r="X157" s="239"/>
      <c r="Y157" s="239"/>
      <c r="Z157" s="239"/>
      <c r="AA157" s="239"/>
      <c r="AB157" s="239"/>
      <c r="AC157" s="239"/>
      <c r="AD157" s="239"/>
      <c r="AE157" s="239"/>
      <c r="AF157" s="239"/>
      <c r="AG157" s="239"/>
      <c r="AH157" s="239"/>
      <c r="AI157" s="239"/>
      <c r="AJ157" s="239"/>
      <c r="AK157" s="239"/>
      <c r="AL157" s="239"/>
      <c r="AM157" s="239"/>
      <c r="AN157" s="239"/>
      <c r="AO157" s="239"/>
      <c r="AP157" s="239"/>
      <c r="AQ157" s="239"/>
      <c r="AR157" s="239"/>
      <c r="AS157" s="239"/>
      <c r="AT157" s="239"/>
      <c r="AU157" s="239"/>
      <c r="AV157" s="239"/>
      <c r="AW157" s="239"/>
      <c r="AX157" s="239"/>
      <c r="AY157" s="239"/>
      <c r="AZ157" s="239"/>
      <c r="BA157" s="239"/>
      <c r="BB157" s="239"/>
      <c r="BC157" s="239"/>
      <c r="BD157" s="239"/>
      <c r="BE157" s="239"/>
      <c r="BF157" s="239"/>
      <c r="BG157" s="239"/>
      <c r="BH157" s="239"/>
      <c r="BI157" s="239"/>
      <c r="BJ157" s="239"/>
      <c r="BK157" s="239"/>
      <c r="BL157" s="239"/>
      <c r="BM157" s="239"/>
      <c r="BN157" s="239"/>
      <c r="BO157" s="239"/>
      <c r="BP157" s="239"/>
      <c r="BQ157" s="239"/>
      <c r="BR157" s="239"/>
      <c r="BS157" s="239"/>
      <c r="BT157" s="239"/>
      <c r="BU157" s="239"/>
      <c r="BV157" s="239"/>
      <c r="BW157" s="239"/>
      <c r="BX157" s="239"/>
      <c r="BY157" s="239"/>
      <c r="BZ157" s="239"/>
      <c r="CA157" s="239"/>
      <c r="CB157" s="239"/>
      <c r="CC157" s="239"/>
      <c r="CD157" s="239"/>
      <c r="CE157" s="239"/>
      <c r="CF157" s="239"/>
      <c r="CG157" s="239"/>
      <c r="CH157" s="239"/>
      <c r="CI157" s="239"/>
      <c r="CJ157" s="239"/>
      <c r="CK157" s="239"/>
      <c r="CL157" s="239"/>
      <c r="CM157" s="239"/>
      <c r="CN157" s="239"/>
      <c r="CO157" s="239"/>
      <c r="CP157" s="239"/>
      <c r="CQ157" s="239"/>
      <c r="CR157" s="239"/>
      <c r="CS157" s="239"/>
      <c r="CT157" s="239"/>
      <c r="CU157" s="239"/>
      <c r="CV157" s="239"/>
      <c r="CW157" s="239"/>
      <c r="CX157" s="239"/>
    </row>
    <row r="158" spans="1:102" s="181" customFormat="1" x14ac:dyDescent="0.3">
      <c r="A158" s="171" t="s">
        <v>264</v>
      </c>
      <c r="AP158" s="286"/>
    </row>
    <row r="159" spans="1:102" s="181" customFormat="1" x14ac:dyDescent="0.3">
      <c r="A159" s="168" t="s">
        <v>265</v>
      </c>
      <c r="B159" s="170"/>
      <c r="C159" s="287"/>
      <c r="D159" s="287"/>
      <c r="E159" s="287"/>
      <c r="F159" s="287"/>
      <c r="G159" s="287"/>
      <c r="H159" s="287"/>
      <c r="I159" s="287"/>
      <c r="J159" s="287"/>
      <c r="K159" s="287"/>
      <c r="L159" s="287"/>
      <c r="M159" s="287"/>
      <c r="N159" s="287"/>
      <c r="O159" s="287"/>
      <c r="P159" s="287"/>
      <c r="Q159" s="287"/>
      <c r="R159" s="287"/>
      <c r="S159" s="287"/>
      <c r="T159" s="287"/>
      <c r="U159" s="287"/>
      <c r="V159" s="287"/>
      <c r="W159" s="287"/>
      <c r="X159" s="287"/>
      <c r="Y159" s="287"/>
      <c r="Z159" s="287"/>
      <c r="AA159" s="287"/>
      <c r="AB159" s="287"/>
      <c r="AC159" s="287"/>
      <c r="AD159" s="287"/>
      <c r="AE159" s="287"/>
      <c r="AF159" s="287"/>
      <c r="AG159" s="287"/>
      <c r="AH159" s="287"/>
      <c r="AI159" s="287"/>
      <c r="AJ159" s="287"/>
      <c r="AK159" s="287"/>
      <c r="AL159" s="287"/>
      <c r="AM159" s="287"/>
      <c r="AN159" s="287"/>
      <c r="AO159" s="287"/>
      <c r="AP159" s="287"/>
    </row>
    <row r="160" spans="1:102" x14ac:dyDescent="0.3">
      <c r="C160" s="12"/>
      <c r="F160" s="12"/>
    </row>
    <row r="161" spans="3:6" x14ac:dyDescent="0.3">
      <c r="C161" s="12"/>
      <c r="F161" s="12"/>
    </row>
    <row r="162" spans="3:6" x14ac:dyDescent="0.3">
      <c r="C162" s="12"/>
      <c r="F162" s="12"/>
    </row>
    <row r="163" spans="3:6" x14ac:dyDescent="0.3">
      <c r="C163" s="12"/>
      <c r="F163" s="12"/>
    </row>
    <row r="164" spans="3:6" x14ac:dyDescent="0.3">
      <c r="C164" s="12"/>
      <c r="F164" s="12"/>
    </row>
    <row r="165" spans="3:6" x14ac:dyDescent="0.3">
      <c r="C165" s="12"/>
      <c r="F165" s="12"/>
    </row>
    <row r="166" spans="3:6" x14ac:dyDescent="0.3">
      <c r="C166" s="12"/>
      <c r="F166" s="12"/>
    </row>
    <row r="167" spans="3:6" x14ac:dyDescent="0.3">
      <c r="C167" s="12"/>
      <c r="F167" s="12"/>
    </row>
    <row r="168" spans="3:6" x14ac:dyDescent="0.3">
      <c r="C168" s="12"/>
      <c r="F168" s="12"/>
    </row>
    <row r="169" spans="3:6" x14ac:dyDescent="0.3">
      <c r="C169" s="12"/>
      <c r="F169" s="12"/>
    </row>
    <row r="170" spans="3:6" x14ac:dyDescent="0.3">
      <c r="C170" s="12"/>
      <c r="F170" s="12"/>
    </row>
    <row r="171" spans="3:6" x14ac:dyDescent="0.3">
      <c r="C171" s="12"/>
      <c r="F171" s="12"/>
    </row>
    <row r="172" spans="3:6" x14ac:dyDescent="0.3">
      <c r="C172" s="12"/>
      <c r="F172" s="12"/>
    </row>
    <row r="173" spans="3:6" x14ac:dyDescent="0.3">
      <c r="C173" s="12"/>
      <c r="F173" s="12"/>
    </row>
    <row r="174" spans="3:6" x14ac:dyDescent="0.3">
      <c r="C174" s="12"/>
      <c r="F174" s="12"/>
    </row>
    <row r="175" spans="3:6" x14ac:dyDescent="0.3">
      <c r="C175" s="12"/>
      <c r="F175" s="12"/>
    </row>
    <row r="176" spans="3:6" x14ac:dyDescent="0.3">
      <c r="C176" s="12"/>
      <c r="F176" s="12"/>
    </row>
  </sheetData>
  <mergeCells count="3">
    <mergeCell ref="D56:E56"/>
    <mergeCell ref="D68:E68"/>
    <mergeCell ref="F68:G68"/>
  </mergeCells>
  <phoneticPr fontId="0" type="noConversion"/>
  <conditionalFormatting sqref="B61:B62">
    <cfRule type="expression" dxfId="5" priority="28" stopIfTrue="1">
      <formula>#REF!="Fixed"</formula>
    </cfRule>
  </conditionalFormatting>
  <conditionalFormatting sqref="B70:B73">
    <cfRule type="expression" dxfId="4" priority="17" stopIfTrue="1">
      <formula>#REF!="Fixed"</formula>
    </cfRule>
  </conditionalFormatting>
  <conditionalFormatting sqref="B75">
    <cfRule type="expression" dxfId="3" priority="24" stopIfTrue="1">
      <formula>$H$82="Fixed"</formula>
    </cfRule>
  </conditionalFormatting>
  <conditionalFormatting sqref="B76">
    <cfRule type="expression" dxfId="2" priority="25" stopIfTrue="1">
      <formula>$H$83="Fixed"</formula>
    </cfRule>
  </conditionalFormatting>
  <conditionalFormatting sqref="B77">
    <cfRule type="expression" dxfId="1" priority="26" stopIfTrue="1">
      <formula>$H$84="Fixed"</formula>
    </cfRule>
  </conditionalFormatting>
  <conditionalFormatting sqref="B78">
    <cfRule type="expression" dxfId="0" priority="27" stopIfTrue="1">
      <formula>$H$85="Fixed"</formula>
    </cfRule>
  </conditionalFormatting>
  <dataValidations xWindow="416" yWindow="680" count="2">
    <dataValidation type="list" allowBlank="1" showInputMessage="1" showErrorMessage="1" sqref="C92:F98" xr:uid="{00000000-0002-0000-0000-000002000000}">
      <formula1>"Yes,No"</formula1>
    </dataValidation>
    <dataValidation type="list" allowBlank="1" showInputMessage="1" showErrorMessage="1" sqref="B101:B102" xr:uid="{32939D7F-D152-409B-958B-1C902C03BB93}">
      <formula1>"Yes;No"</formula1>
    </dataValidation>
  </dataValidation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D438"/>
  <sheetViews>
    <sheetView zoomScaleNormal="100" workbookViewId="0">
      <pane xSplit="1" ySplit="2" topLeftCell="B3" activePane="bottomRight" state="frozen"/>
      <selection pane="topRight" activeCell="C1" sqref="C1"/>
      <selection pane="bottomLeft" activeCell="A7" sqref="A7"/>
      <selection pane="bottomRight"/>
    </sheetView>
  </sheetViews>
  <sheetFormatPr defaultRowHeight="13.2" x14ac:dyDescent="0.25"/>
  <cols>
    <col min="1" max="1" width="54.44140625" customWidth="1"/>
    <col min="2" max="102" width="15.6640625" customWidth="1"/>
  </cols>
  <sheetData>
    <row r="1" spans="1:102" ht="20.399999999999999" x14ac:dyDescent="0.45">
      <c r="A1" s="164" t="s">
        <v>57</v>
      </c>
      <c r="B1" s="3"/>
      <c r="C1" s="4"/>
      <c r="D1" s="46"/>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row>
    <row r="2" spans="1:102" ht="13.8" x14ac:dyDescent="0.3">
      <c r="A2" s="119" t="s">
        <v>144</v>
      </c>
      <c r="B2" s="117">
        <v>0</v>
      </c>
      <c r="C2" s="117" t="str">
        <f t="shared" ref="C2:AH2" si="0">IF(( (COLUMN(C1) - COLUMN($B1)) &lt;= analysis_period), (COLUMN(C1) - COLUMN($B1)), "")</f>
        <v/>
      </c>
      <c r="D2" s="117" t="str">
        <f t="shared" si="0"/>
        <v/>
      </c>
      <c r="E2" s="117" t="str">
        <f t="shared" si="0"/>
        <v/>
      </c>
      <c r="F2" s="117" t="str">
        <f t="shared" si="0"/>
        <v/>
      </c>
      <c r="G2" s="117" t="str">
        <f t="shared" si="0"/>
        <v/>
      </c>
      <c r="H2" s="117" t="str">
        <f t="shared" si="0"/>
        <v/>
      </c>
      <c r="I2" s="117" t="str">
        <f t="shared" si="0"/>
        <v/>
      </c>
      <c r="J2" s="117" t="str">
        <f t="shared" si="0"/>
        <v/>
      </c>
      <c r="K2" s="117" t="str">
        <f t="shared" si="0"/>
        <v/>
      </c>
      <c r="L2" s="117" t="str">
        <f t="shared" si="0"/>
        <v/>
      </c>
      <c r="M2" s="117" t="str">
        <f t="shared" si="0"/>
        <v/>
      </c>
      <c r="N2" s="117" t="str">
        <f t="shared" si="0"/>
        <v/>
      </c>
      <c r="O2" s="117" t="str">
        <f t="shared" si="0"/>
        <v/>
      </c>
      <c r="P2" s="117" t="str">
        <f t="shared" si="0"/>
        <v/>
      </c>
      <c r="Q2" s="117" t="str">
        <f t="shared" si="0"/>
        <v/>
      </c>
      <c r="R2" s="117" t="str">
        <f t="shared" si="0"/>
        <v/>
      </c>
      <c r="S2" s="117" t="str">
        <f t="shared" si="0"/>
        <v/>
      </c>
      <c r="T2" s="117" t="str">
        <f t="shared" si="0"/>
        <v/>
      </c>
      <c r="U2" s="117" t="str">
        <f t="shared" si="0"/>
        <v/>
      </c>
      <c r="V2" s="117" t="str">
        <f t="shared" si="0"/>
        <v/>
      </c>
      <c r="W2" s="117" t="str">
        <f t="shared" si="0"/>
        <v/>
      </c>
      <c r="X2" s="117" t="str">
        <f t="shared" si="0"/>
        <v/>
      </c>
      <c r="Y2" s="117" t="str">
        <f t="shared" si="0"/>
        <v/>
      </c>
      <c r="Z2" s="117" t="str">
        <f t="shared" si="0"/>
        <v/>
      </c>
      <c r="AA2" s="117" t="str">
        <f t="shared" si="0"/>
        <v/>
      </c>
      <c r="AB2" s="117" t="str">
        <f t="shared" si="0"/>
        <v/>
      </c>
      <c r="AC2" s="117" t="str">
        <f t="shared" si="0"/>
        <v/>
      </c>
      <c r="AD2" s="117" t="str">
        <f t="shared" si="0"/>
        <v/>
      </c>
      <c r="AE2" s="117" t="str">
        <f t="shared" si="0"/>
        <v/>
      </c>
      <c r="AF2" s="117" t="str">
        <f t="shared" si="0"/>
        <v/>
      </c>
      <c r="AG2" s="117" t="str">
        <f t="shared" si="0"/>
        <v/>
      </c>
      <c r="AH2" s="117" t="str">
        <f t="shared" si="0"/>
        <v/>
      </c>
      <c r="AI2" s="117" t="str">
        <f t="shared" ref="AI2:BN2" si="1">IF(( (COLUMN(AI1) - COLUMN($B1)) &lt;= analysis_period), (COLUMN(AI1) - COLUMN($B1)), "")</f>
        <v/>
      </c>
      <c r="AJ2" s="117" t="str">
        <f t="shared" si="1"/>
        <v/>
      </c>
      <c r="AK2" s="117" t="str">
        <f t="shared" si="1"/>
        <v/>
      </c>
      <c r="AL2" s="117" t="str">
        <f t="shared" si="1"/>
        <v/>
      </c>
      <c r="AM2" s="117" t="str">
        <f t="shared" si="1"/>
        <v/>
      </c>
      <c r="AN2" s="117" t="str">
        <f t="shared" si="1"/>
        <v/>
      </c>
      <c r="AO2" s="117" t="str">
        <f t="shared" si="1"/>
        <v/>
      </c>
      <c r="AP2" s="117" t="str">
        <f t="shared" si="1"/>
        <v/>
      </c>
      <c r="AQ2" s="117" t="str">
        <f t="shared" si="1"/>
        <v/>
      </c>
      <c r="AR2" s="117" t="str">
        <f t="shared" si="1"/>
        <v/>
      </c>
      <c r="AS2" s="117" t="str">
        <f t="shared" si="1"/>
        <v/>
      </c>
      <c r="AT2" s="117" t="str">
        <f t="shared" si="1"/>
        <v/>
      </c>
      <c r="AU2" s="117" t="str">
        <f t="shared" si="1"/>
        <v/>
      </c>
      <c r="AV2" s="117" t="str">
        <f t="shared" si="1"/>
        <v/>
      </c>
      <c r="AW2" s="117" t="str">
        <f t="shared" si="1"/>
        <v/>
      </c>
      <c r="AX2" s="117" t="str">
        <f t="shared" si="1"/>
        <v/>
      </c>
      <c r="AY2" s="117" t="str">
        <f t="shared" si="1"/>
        <v/>
      </c>
      <c r="AZ2" s="117" t="str">
        <f t="shared" si="1"/>
        <v/>
      </c>
      <c r="BA2" s="117" t="str">
        <f t="shared" si="1"/>
        <v/>
      </c>
      <c r="BB2" s="117" t="str">
        <f t="shared" si="1"/>
        <v/>
      </c>
      <c r="BC2" s="117" t="str">
        <f t="shared" si="1"/>
        <v/>
      </c>
      <c r="BD2" s="117" t="str">
        <f t="shared" si="1"/>
        <v/>
      </c>
      <c r="BE2" s="117" t="str">
        <f t="shared" si="1"/>
        <v/>
      </c>
      <c r="BF2" s="117" t="str">
        <f t="shared" si="1"/>
        <v/>
      </c>
      <c r="BG2" s="117" t="str">
        <f t="shared" si="1"/>
        <v/>
      </c>
      <c r="BH2" s="117" t="str">
        <f t="shared" si="1"/>
        <v/>
      </c>
      <c r="BI2" s="117" t="str">
        <f t="shared" si="1"/>
        <v/>
      </c>
      <c r="BJ2" s="117" t="str">
        <f t="shared" si="1"/>
        <v/>
      </c>
      <c r="BK2" s="117" t="str">
        <f t="shared" si="1"/>
        <v/>
      </c>
      <c r="BL2" s="117" t="str">
        <f t="shared" si="1"/>
        <v/>
      </c>
      <c r="BM2" s="117" t="str">
        <f t="shared" si="1"/>
        <v/>
      </c>
      <c r="BN2" s="117" t="str">
        <f t="shared" si="1"/>
        <v/>
      </c>
      <c r="BO2" s="117" t="str">
        <f t="shared" ref="BO2:CT2" si="2">IF(( (COLUMN(BO1) - COLUMN($B1)) &lt;= analysis_period), (COLUMN(BO1) - COLUMN($B1)), "")</f>
        <v/>
      </c>
      <c r="BP2" s="117" t="str">
        <f t="shared" si="2"/>
        <v/>
      </c>
      <c r="BQ2" s="117" t="str">
        <f t="shared" si="2"/>
        <v/>
      </c>
      <c r="BR2" s="117" t="str">
        <f t="shared" si="2"/>
        <v/>
      </c>
      <c r="BS2" s="117" t="str">
        <f t="shared" si="2"/>
        <v/>
      </c>
      <c r="BT2" s="117" t="str">
        <f t="shared" si="2"/>
        <v/>
      </c>
      <c r="BU2" s="117" t="str">
        <f t="shared" si="2"/>
        <v/>
      </c>
      <c r="BV2" s="117" t="str">
        <f t="shared" si="2"/>
        <v/>
      </c>
      <c r="BW2" s="117" t="str">
        <f t="shared" si="2"/>
        <v/>
      </c>
      <c r="BX2" s="117" t="str">
        <f t="shared" si="2"/>
        <v/>
      </c>
      <c r="BY2" s="117" t="str">
        <f t="shared" si="2"/>
        <v/>
      </c>
      <c r="BZ2" s="117" t="str">
        <f t="shared" si="2"/>
        <v/>
      </c>
      <c r="CA2" s="117" t="str">
        <f t="shared" si="2"/>
        <v/>
      </c>
      <c r="CB2" s="117" t="str">
        <f t="shared" si="2"/>
        <v/>
      </c>
      <c r="CC2" s="117" t="str">
        <f t="shared" si="2"/>
        <v/>
      </c>
      <c r="CD2" s="117" t="str">
        <f t="shared" si="2"/>
        <v/>
      </c>
      <c r="CE2" s="117" t="str">
        <f t="shared" si="2"/>
        <v/>
      </c>
      <c r="CF2" s="117" t="str">
        <f t="shared" si="2"/>
        <v/>
      </c>
      <c r="CG2" s="117" t="str">
        <f t="shared" si="2"/>
        <v/>
      </c>
      <c r="CH2" s="117" t="str">
        <f t="shared" si="2"/>
        <v/>
      </c>
      <c r="CI2" s="117" t="str">
        <f t="shared" si="2"/>
        <v/>
      </c>
      <c r="CJ2" s="117" t="str">
        <f t="shared" si="2"/>
        <v/>
      </c>
      <c r="CK2" s="117" t="str">
        <f t="shared" si="2"/>
        <v/>
      </c>
      <c r="CL2" s="117" t="str">
        <f t="shared" si="2"/>
        <v/>
      </c>
      <c r="CM2" s="117" t="str">
        <f t="shared" si="2"/>
        <v/>
      </c>
      <c r="CN2" s="117" t="str">
        <f t="shared" si="2"/>
        <v/>
      </c>
      <c r="CO2" s="117" t="str">
        <f t="shared" si="2"/>
        <v/>
      </c>
      <c r="CP2" s="117" t="str">
        <f t="shared" si="2"/>
        <v/>
      </c>
      <c r="CQ2" s="117" t="str">
        <f t="shared" si="2"/>
        <v/>
      </c>
      <c r="CR2" s="117" t="str">
        <f t="shared" si="2"/>
        <v/>
      </c>
      <c r="CS2" s="117" t="str">
        <f t="shared" si="2"/>
        <v/>
      </c>
      <c r="CT2" s="117" t="str">
        <f t="shared" si="2"/>
        <v/>
      </c>
      <c r="CU2" s="117" t="str">
        <f>IF(( (COLUMN(CU1) - COLUMN($B1)) &lt;= analysis_period), (COLUMN(CU1) - COLUMN($B1)), "")</f>
        <v/>
      </c>
      <c r="CV2" s="117" t="str">
        <f>IF(( (COLUMN(CV1) - COLUMN($B1)) &lt;= analysis_period), (COLUMN(CV1) - COLUMN($B1)), "")</f>
        <v/>
      </c>
      <c r="CW2" s="117" t="str">
        <f>IF(( (COLUMN(CW1) - COLUMN($B1)) &lt;= analysis_period), (COLUMN(CW1) - COLUMN($B1)), "")</f>
        <v/>
      </c>
      <c r="CX2" s="118" t="str">
        <f>IF(( (COLUMN(CX1) - COLUMN($B1)) &lt;= analysis_period), (COLUMN(CX1) - COLUMN($B1)), "")</f>
        <v/>
      </c>
    </row>
    <row r="3" spans="1:102"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row>
    <row r="4" spans="1:102" ht="13.8" x14ac:dyDescent="0.3">
      <c r="A4" s="119" t="s">
        <v>146</v>
      </c>
      <c r="B4" s="116"/>
      <c r="C4" s="117"/>
      <c r="D4" s="117"/>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17"/>
      <c r="BU4" s="117"/>
      <c r="BV4" s="117"/>
      <c r="BW4" s="117"/>
      <c r="BX4" s="117"/>
      <c r="BY4" s="117"/>
      <c r="BZ4" s="117"/>
      <c r="CA4" s="117"/>
      <c r="CB4" s="117"/>
      <c r="CC4" s="117"/>
      <c r="CD4" s="117"/>
      <c r="CE4" s="117"/>
      <c r="CF4" s="117"/>
      <c r="CG4" s="117"/>
      <c r="CH4" s="117"/>
      <c r="CI4" s="117"/>
      <c r="CJ4" s="117"/>
      <c r="CK4" s="117"/>
      <c r="CL4" s="117"/>
      <c r="CM4" s="117"/>
      <c r="CN4" s="117"/>
      <c r="CO4" s="117"/>
      <c r="CP4" s="117"/>
      <c r="CQ4" s="117"/>
      <c r="CR4" s="117"/>
      <c r="CS4" s="117"/>
      <c r="CT4" s="117"/>
      <c r="CU4" s="117"/>
      <c r="CV4" s="117"/>
      <c r="CW4" s="117"/>
      <c r="CX4" s="118"/>
    </row>
    <row r="5" spans="1:102" x14ac:dyDescent="0.25">
      <c r="A5" s="53" t="s">
        <v>147</v>
      </c>
      <c r="B5" s="112">
        <f t="array" ref="B5:CX5">'Inputs and Outputs'!B105:CX105</f>
        <v>0</v>
      </c>
      <c r="C5" s="112">
        <v>0</v>
      </c>
      <c r="D5" s="112">
        <v>0</v>
      </c>
      <c r="E5" s="112">
        <v>0</v>
      </c>
      <c r="F5" s="112">
        <v>0</v>
      </c>
      <c r="G5" s="112">
        <v>0</v>
      </c>
      <c r="H5" s="112">
        <v>0</v>
      </c>
      <c r="I5" s="112">
        <v>0</v>
      </c>
      <c r="J5" s="112">
        <v>0</v>
      </c>
      <c r="K5" s="112">
        <v>0</v>
      </c>
      <c r="L5" s="112">
        <v>0</v>
      </c>
      <c r="M5" s="112">
        <v>0</v>
      </c>
      <c r="N5" s="112">
        <v>0</v>
      </c>
      <c r="O5" s="112">
        <v>0</v>
      </c>
      <c r="P5" s="112">
        <v>0</v>
      </c>
      <c r="Q5" s="112">
        <v>0</v>
      </c>
      <c r="R5" s="112">
        <v>0</v>
      </c>
      <c r="S5" s="112">
        <v>0</v>
      </c>
      <c r="T5" s="112">
        <v>0</v>
      </c>
      <c r="U5" s="112">
        <v>0</v>
      </c>
      <c r="V5" s="112">
        <v>0</v>
      </c>
      <c r="W5" s="112">
        <v>0</v>
      </c>
      <c r="X5" s="112">
        <v>0</v>
      </c>
      <c r="Y5" s="112">
        <v>0</v>
      </c>
      <c r="Z5" s="112">
        <v>0</v>
      </c>
      <c r="AA5" s="112">
        <v>0</v>
      </c>
      <c r="AB5" s="112">
        <v>0</v>
      </c>
      <c r="AC5" s="112">
        <v>0</v>
      </c>
      <c r="AD5" s="112">
        <v>0</v>
      </c>
      <c r="AE5" s="112">
        <v>0</v>
      </c>
      <c r="AF5" s="112">
        <v>0</v>
      </c>
      <c r="AG5" s="112">
        <v>0</v>
      </c>
      <c r="AH5" s="112">
        <v>0</v>
      </c>
      <c r="AI5" s="112">
        <v>0</v>
      </c>
      <c r="AJ5" s="112">
        <v>0</v>
      </c>
      <c r="AK5" s="112">
        <v>0</v>
      </c>
      <c r="AL5" s="112">
        <v>0</v>
      </c>
      <c r="AM5" s="112">
        <v>0</v>
      </c>
      <c r="AN5" s="112">
        <v>0</v>
      </c>
      <c r="AO5" s="112">
        <v>0</v>
      </c>
      <c r="AP5" s="112">
        <v>0</v>
      </c>
      <c r="AQ5" s="112">
        <v>0</v>
      </c>
      <c r="AR5" s="112">
        <v>0</v>
      </c>
      <c r="AS5" s="112">
        <v>0</v>
      </c>
      <c r="AT5" s="112">
        <v>0</v>
      </c>
      <c r="AU5" s="112">
        <v>0</v>
      </c>
      <c r="AV5" s="112">
        <v>0</v>
      </c>
      <c r="AW5" s="112">
        <v>0</v>
      </c>
      <c r="AX5" s="112">
        <v>0</v>
      </c>
      <c r="AY5" s="112">
        <v>0</v>
      </c>
      <c r="AZ5" s="112">
        <v>0</v>
      </c>
      <c r="BA5" s="112">
        <v>0</v>
      </c>
      <c r="BB5" s="112">
        <v>0</v>
      </c>
      <c r="BC5" s="112">
        <v>0</v>
      </c>
      <c r="BD5" s="112">
        <v>0</v>
      </c>
      <c r="BE5" s="112">
        <v>0</v>
      </c>
      <c r="BF5" s="112">
        <v>0</v>
      </c>
      <c r="BG5" s="112">
        <v>0</v>
      </c>
      <c r="BH5" s="112">
        <v>0</v>
      </c>
      <c r="BI5" s="112">
        <v>0</v>
      </c>
      <c r="BJ5" s="112">
        <v>0</v>
      </c>
      <c r="BK5" s="112">
        <v>0</v>
      </c>
      <c r="BL5" s="112">
        <v>0</v>
      </c>
      <c r="BM5" s="112">
        <v>0</v>
      </c>
      <c r="BN5" s="112">
        <v>0</v>
      </c>
      <c r="BO5" s="112">
        <v>0</v>
      </c>
      <c r="BP5" s="112">
        <v>0</v>
      </c>
      <c r="BQ5" s="112">
        <v>0</v>
      </c>
      <c r="BR5" s="112">
        <v>0</v>
      </c>
      <c r="BS5" s="112">
        <v>0</v>
      </c>
      <c r="BT5" s="112">
        <v>0</v>
      </c>
      <c r="BU5" s="112">
        <v>0</v>
      </c>
      <c r="BV5" s="112">
        <v>0</v>
      </c>
      <c r="BW5" s="112">
        <v>0</v>
      </c>
      <c r="BX5" s="112">
        <v>0</v>
      </c>
      <c r="BY5" s="112">
        <v>0</v>
      </c>
      <c r="BZ5" s="112">
        <v>0</v>
      </c>
      <c r="CA5" s="112">
        <v>0</v>
      </c>
      <c r="CB5" s="112">
        <v>0</v>
      </c>
      <c r="CC5" s="112">
        <v>0</v>
      </c>
      <c r="CD5" s="112">
        <v>0</v>
      </c>
      <c r="CE5" s="112">
        <v>0</v>
      </c>
      <c r="CF5" s="112">
        <v>0</v>
      </c>
      <c r="CG5" s="112">
        <v>0</v>
      </c>
      <c r="CH5" s="112">
        <v>0</v>
      </c>
      <c r="CI5" s="112">
        <v>0</v>
      </c>
      <c r="CJ5" s="112">
        <v>0</v>
      </c>
      <c r="CK5" s="112">
        <v>0</v>
      </c>
      <c r="CL5" s="112">
        <v>0</v>
      </c>
      <c r="CM5" s="112">
        <v>0</v>
      </c>
      <c r="CN5" s="112">
        <v>0</v>
      </c>
      <c r="CO5" s="112">
        <v>0</v>
      </c>
      <c r="CP5" s="112">
        <v>0</v>
      </c>
      <c r="CQ5" s="112">
        <v>0</v>
      </c>
      <c r="CR5" s="112">
        <v>0</v>
      </c>
      <c r="CS5" s="112">
        <v>0</v>
      </c>
      <c r="CT5" s="112">
        <v>0</v>
      </c>
      <c r="CU5" s="112">
        <v>0</v>
      </c>
      <c r="CV5" s="112">
        <v>0</v>
      </c>
      <c r="CW5" s="112">
        <v>0</v>
      </c>
      <c r="CX5" s="112">
        <v>0</v>
      </c>
    </row>
    <row r="6" spans="1:102" x14ac:dyDescent="0.25">
      <c r="A6" s="53" t="s">
        <v>241</v>
      </c>
      <c r="B6" s="112">
        <f t="array" ref="B6:CX6">'Inputs and Outputs'!B107:CX107</f>
        <v>0</v>
      </c>
      <c r="C6" s="112">
        <v>0</v>
      </c>
      <c r="D6" s="112">
        <v>0</v>
      </c>
      <c r="E6" s="112">
        <v>0</v>
      </c>
      <c r="F6" s="112">
        <v>0</v>
      </c>
      <c r="G6" s="112">
        <v>0</v>
      </c>
      <c r="H6" s="112">
        <v>0</v>
      </c>
      <c r="I6" s="112">
        <v>0</v>
      </c>
      <c r="J6" s="112">
        <v>0</v>
      </c>
      <c r="K6" s="112">
        <v>0</v>
      </c>
      <c r="L6" s="112">
        <v>0</v>
      </c>
      <c r="M6" s="112">
        <v>0</v>
      </c>
      <c r="N6" s="112">
        <v>0</v>
      </c>
      <c r="O6" s="112">
        <v>0</v>
      </c>
      <c r="P6" s="112">
        <v>0</v>
      </c>
      <c r="Q6" s="112">
        <v>0</v>
      </c>
      <c r="R6" s="112">
        <v>0</v>
      </c>
      <c r="S6" s="112">
        <v>0</v>
      </c>
      <c r="T6" s="112">
        <v>0</v>
      </c>
      <c r="U6" s="112">
        <v>0</v>
      </c>
      <c r="V6" s="112">
        <v>0</v>
      </c>
      <c r="W6" s="112">
        <v>0</v>
      </c>
      <c r="X6" s="112">
        <v>0</v>
      </c>
      <c r="Y6" s="112">
        <v>0</v>
      </c>
      <c r="Z6" s="112">
        <v>0</v>
      </c>
      <c r="AA6" s="112">
        <v>0</v>
      </c>
      <c r="AB6" s="112">
        <v>0</v>
      </c>
      <c r="AC6" s="112">
        <v>0</v>
      </c>
      <c r="AD6" s="112">
        <v>0</v>
      </c>
      <c r="AE6" s="112">
        <v>0</v>
      </c>
      <c r="AF6" s="112">
        <v>0</v>
      </c>
      <c r="AG6" s="112">
        <v>0</v>
      </c>
      <c r="AH6" s="112">
        <v>0</v>
      </c>
      <c r="AI6" s="112">
        <v>0</v>
      </c>
      <c r="AJ6" s="112">
        <v>0</v>
      </c>
      <c r="AK6" s="112">
        <v>0</v>
      </c>
      <c r="AL6" s="112">
        <v>0</v>
      </c>
      <c r="AM6" s="112">
        <v>0</v>
      </c>
      <c r="AN6" s="112">
        <v>0</v>
      </c>
      <c r="AO6" s="112">
        <v>0</v>
      </c>
      <c r="AP6" s="112">
        <v>0</v>
      </c>
      <c r="AQ6" s="112">
        <v>0</v>
      </c>
      <c r="AR6" s="112">
        <v>0</v>
      </c>
      <c r="AS6" s="112">
        <v>0</v>
      </c>
      <c r="AT6" s="112">
        <v>0</v>
      </c>
      <c r="AU6" s="112">
        <v>0</v>
      </c>
      <c r="AV6" s="112">
        <v>0</v>
      </c>
      <c r="AW6" s="112">
        <v>0</v>
      </c>
      <c r="AX6" s="112">
        <v>0</v>
      </c>
      <c r="AY6" s="112">
        <v>0</v>
      </c>
      <c r="AZ6" s="112">
        <v>0</v>
      </c>
      <c r="BA6" s="112">
        <v>0</v>
      </c>
      <c r="BB6" s="112">
        <v>0</v>
      </c>
      <c r="BC6" s="112">
        <v>0</v>
      </c>
      <c r="BD6" s="112">
        <v>0</v>
      </c>
      <c r="BE6" s="112">
        <v>0</v>
      </c>
      <c r="BF6" s="112">
        <v>0</v>
      </c>
      <c r="BG6" s="112">
        <v>0</v>
      </c>
      <c r="BH6" s="112">
        <v>0</v>
      </c>
      <c r="BI6" s="112">
        <v>0</v>
      </c>
      <c r="BJ6" s="112">
        <v>0</v>
      </c>
      <c r="BK6" s="112">
        <v>0</v>
      </c>
      <c r="BL6" s="112">
        <v>0</v>
      </c>
      <c r="BM6" s="112">
        <v>0</v>
      </c>
      <c r="BN6" s="112">
        <v>0</v>
      </c>
      <c r="BO6" s="112">
        <v>0</v>
      </c>
      <c r="BP6" s="112">
        <v>0</v>
      </c>
      <c r="BQ6" s="112">
        <v>0</v>
      </c>
      <c r="BR6" s="112">
        <v>0</v>
      </c>
      <c r="BS6" s="112">
        <v>0</v>
      </c>
      <c r="BT6" s="112">
        <v>0</v>
      </c>
      <c r="BU6" s="112">
        <v>0</v>
      </c>
      <c r="BV6" s="112">
        <v>0</v>
      </c>
      <c r="BW6" s="112">
        <v>0</v>
      </c>
      <c r="BX6" s="112">
        <v>0</v>
      </c>
      <c r="BY6" s="112">
        <v>0</v>
      </c>
      <c r="BZ6" s="112">
        <v>0</v>
      </c>
      <c r="CA6" s="112">
        <v>0</v>
      </c>
      <c r="CB6" s="112">
        <v>0</v>
      </c>
      <c r="CC6" s="112">
        <v>0</v>
      </c>
      <c r="CD6" s="112">
        <v>0</v>
      </c>
      <c r="CE6" s="112">
        <v>0</v>
      </c>
      <c r="CF6" s="112">
        <v>0</v>
      </c>
      <c r="CG6" s="112">
        <v>0</v>
      </c>
      <c r="CH6" s="112">
        <v>0</v>
      </c>
      <c r="CI6" s="112">
        <v>0</v>
      </c>
      <c r="CJ6" s="112">
        <v>0</v>
      </c>
      <c r="CK6" s="112">
        <v>0</v>
      </c>
      <c r="CL6" s="112">
        <v>0</v>
      </c>
      <c r="CM6" s="112">
        <v>0</v>
      </c>
      <c r="CN6" s="112">
        <v>0</v>
      </c>
      <c r="CO6" s="112">
        <v>0</v>
      </c>
      <c r="CP6" s="112">
        <v>0</v>
      </c>
      <c r="CQ6" s="112">
        <v>0</v>
      </c>
      <c r="CR6" s="112">
        <v>0</v>
      </c>
      <c r="CS6" s="112">
        <v>0</v>
      </c>
      <c r="CT6" s="112">
        <v>0</v>
      </c>
      <c r="CU6" s="112">
        <v>0</v>
      </c>
      <c r="CV6" s="112">
        <v>0</v>
      </c>
      <c r="CW6" s="112">
        <v>0</v>
      </c>
      <c r="CX6" s="112">
        <v>0</v>
      </c>
    </row>
    <row r="7" spans="1:102" x14ac:dyDescent="0.25">
      <c r="A7" s="53" t="s">
        <v>240</v>
      </c>
      <c r="B7" s="112">
        <f t="array" ref="B7:CX7">'Inputs and Outputs'!B108:CX108</f>
        <v>0</v>
      </c>
      <c r="C7" s="112">
        <v>0</v>
      </c>
      <c r="D7" s="112">
        <v>0</v>
      </c>
      <c r="E7" s="112">
        <v>0</v>
      </c>
      <c r="F7" s="112">
        <v>0</v>
      </c>
      <c r="G7" s="112">
        <v>0</v>
      </c>
      <c r="H7" s="112">
        <v>0</v>
      </c>
      <c r="I7" s="112">
        <v>0</v>
      </c>
      <c r="J7" s="112">
        <v>0</v>
      </c>
      <c r="K7" s="112">
        <v>0</v>
      </c>
      <c r="L7" s="112">
        <v>0</v>
      </c>
      <c r="M7" s="112">
        <v>0</v>
      </c>
      <c r="N7" s="112">
        <v>0</v>
      </c>
      <c r="O7" s="112">
        <v>0</v>
      </c>
      <c r="P7" s="112">
        <v>0</v>
      </c>
      <c r="Q7" s="112">
        <v>0</v>
      </c>
      <c r="R7" s="112">
        <v>0</v>
      </c>
      <c r="S7" s="112">
        <v>0</v>
      </c>
      <c r="T7" s="112">
        <v>0</v>
      </c>
      <c r="U7" s="112">
        <v>0</v>
      </c>
      <c r="V7" s="112">
        <v>0</v>
      </c>
      <c r="W7" s="112">
        <v>0</v>
      </c>
      <c r="X7" s="112">
        <v>0</v>
      </c>
      <c r="Y7" s="112">
        <v>0</v>
      </c>
      <c r="Z7" s="112">
        <v>0</v>
      </c>
      <c r="AA7" s="112">
        <v>0</v>
      </c>
      <c r="AB7" s="112">
        <v>0</v>
      </c>
      <c r="AC7" s="112">
        <v>0</v>
      </c>
      <c r="AD7" s="112">
        <v>0</v>
      </c>
      <c r="AE7" s="112">
        <v>0</v>
      </c>
      <c r="AF7" s="112">
        <v>0</v>
      </c>
      <c r="AG7" s="112">
        <v>0</v>
      </c>
      <c r="AH7" s="112">
        <v>0</v>
      </c>
      <c r="AI7" s="112">
        <v>0</v>
      </c>
      <c r="AJ7" s="112">
        <v>0</v>
      </c>
      <c r="AK7" s="112">
        <v>0</v>
      </c>
      <c r="AL7" s="112">
        <v>0</v>
      </c>
      <c r="AM7" s="112">
        <v>0</v>
      </c>
      <c r="AN7" s="112">
        <v>0</v>
      </c>
      <c r="AO7" s="112">
        <v>0</v>
      </c>
      <c r="AP7" s="112">
        <v>0</v>
      </c>
      <c r="AQ7" s="112">
        <v>0</v>
      </c>
      <c r="AR7" s="112">
        <v>0</v>
      </c>
      <c r="AS7" s="112">
        <v>0</v>
      </c>
      <c r="AT7" s="112">
        <v>0</v>
      </c>
      <c r="AU7" s="112">
        <v>0</v>
      </c>
      <c r="AV7" s="112">
        <v>0</v>
      </c>
      <c r="AW7" s="112">
        <v>0</v>
      </c>
      <c r="AX7" s="112">
        <v>0</v>
      </c>
      <c r="AY7" s="112">
        <v>0</v>
      </c>
      <c r="AZ7" s="112">
        <v>0</v>
      </c>
      <c r="BA7" s="112">
        <v>0</v>
      </c>
      <c r="BB7" s="112">
        <v>0</v>
      </c>
      <c r="BC7" s="112">
        <v>0</v>
      </c>
      <c r="BD7" s="112">
        <v>0</v>
      </c>
      <c r="BE7" s="112">
        <v>0</v>
      </c>
      <c r="BF7" s="112">
        <v>0</v>
      </c>
      <c r="BG7" s="112">
        <v>0</v>
      </c>
      <c r="BH7" s="112">
        <v>0</v>
      </c>
      <c r="BI7" s="112">
        <v>0</v>
      </c>
      <c r="BJ7" s="112">
        <v>0</v>
      </c>
      <c r="BK7" s="112">
        <v>0</v>
      </c>
      <c r="BL7" s="112">
        <v>0</v>
      </c>
      <c r="BM7" s="112">
        <v>0</v>
      </c>
      <c r="BN7" s="112">
        <v>0</v>
      </c>
      <c r="BO7" s="112">
        <v>0</v>
      </c>
      <c r="BP7" s="112">
        <v>0</v>
      </c>
      <c r="BQ7" s="112">
        <v>0</v>
      </c>
      <c r="BR7" s="112">
        <v>0</v>
      </c>
      <c r="BS7" s="112">
        <v>0</v>
      </c>
      <c r="BT7" s="112">
        <v>0</v>
      </c>
      <c r="BU7" s="112">
        <v>0</v>
      </c>
      <c r="BV7" s="112">
        <v>0</v>
      </c>
      <c r="BW7" s="112">
        <v>0</v>
      </c>
      <c r="BX7" s="112">
        <v>0</v>
      </c>
      <c r="BY7" s="112">
        <v>0</v>
      </c>
      <c r="BZ7" s="112">
        <v>0</v>
      </c>
      <c r="CA7" s="112">
        <v>0</v>
      </c>
      <c r="CB7" s="112">
        <v>0</v>
      </c>
      <c r="CC7" s="112">
        <v>0</v>
      </c>
      <c r="CD7" s="112">
        <v>0</v>
      </c>
      <c r="CE7" s="112">
        <v>0</v>
      </c>
      <c r="CF7" s="112">
        <v>0</v>
      </c>
      <c r="CG7" s="112">
        <v>0</v>
      </c>
      <c r="CH7" s="112">
        <v>0</v>
      </c>
      <c r="CI7" s="112">
        <v>0</v>
      </c>
      <c r="CJ7" s="112">
        <v>0</v>
      </c>
      <c r="CK7" s="112">
        <v>0</v>
      </c>
      <c r="CL7" s="112">
        <v>0</v>
      </c>
      <c r="CM7" s="112">
        <v>0</v>
      </c>
      <c r="CN7" s="112">
        <v>0</v>
      </c>
      <c r="CO7" s="112">
        <v>0</v>
      </c>
      <c r="CP7" s="112">
        <v>0</v>
      </c>
      <c r="CQ7" s="112">
        <v>0</v>
      </c>
      <c r="CR7" s="112">
        <v>0</v>
      </c>
      <c r="CS7" s="112">
        <v>0</v>
      </c>
      <c r="CT7" s="112">
        <v>0</v>
      </c>
      <c r="CU7" s="112">
        <v>0</v>
      </c>
      <c r="CV7" s="112">
        <v>0</v>
      </c>
      <c r="CW7" s="112">
        <v>0</v>
      </c>
      <c r="CX7" s="112">
        <v>0</v>
      </c>
    </row>
    <row r="8" spans="1:102" x14ac:dyDescent="0.25">
      <c r="A8" s="53" t="s">
        <v>244</v>
      </c>
      <c r="B8" s="112">
        <f t="array" ref="B8:CX8">'Inputs and Outputs'!B157:CX157</f>
        <v>0</v>
      </c>
      <c r="C8" s="112">
        <v>0</v>
      </c>
      <c r="D8" s="112">
        <v>0</v>
      </c>
      <c r="E8" s="112">
        <v>0</v>
      </c>
      <c r="F8" s="112">
        <v>0</v>
      </c>
      <c r="G8" s="112">
        <v>0</v>
      </c>
      <c r="H8" s="112">
        <v>0</v>
      </c>
      <c r="I8" s="112">
        <v>0</v>
      </c>
      <c r="J8" s="112">
        <v>0</v>
      </c>
      <c r="K8" s="112">
        <v>0</v>
      </c>
      <c r="L8" s="112">
        <v>0</v>
      </c>
      <c r="M8" s="112">
        <v>0</v>
      </c>
      <c r="N8" s="112">
        <v>0</v>
      </c>
      <c r="O8" s="112">
        <v>0</v>
      </c>
      <c r="P8" s="112">
        <v>0</v>
      </c>
      <c r="Q8" s="112">
        <v>0</v>
      </c>
      <c r="R8" s="112">
        <v>0</v>
      </c>
      <c r="S8" s="112">
        <v>0</v>
      </c>
      <c r="T8" s="112">
        <v>0</v>
      </c>
      <c r="U8" s="112">
        <v>0</v>
      </c>
      <c r="V8" s="112">
        <v>0</v>
      </c>
      <c r="W8" s="112">
        <v>0</v>
      </c>
      <c r="X8" s="112">
        <v>0</v>
      </c>
      <c r="Y8" s="112">
        <v>0</v>
      </c>
      <c r="Z8" s="112">
        <v>0</v>
      </c>
      <c r="AA8" s="112">
        <v>0</v>
      </c>
      <c r="AB8" s="112">
        <v>0</v>
      </c>
      <c r="AC8" s="112">
        <v>0</v>
      </c>
      <c r="AD8" s="112">
        <v>0</v>
      </c>
      <c r="AE8" s="112">
        <v>0</v>
      </c>
      <c r="AF8" s="112">
        <v>0</v>
      </c>
      <c r="AG8" s="112">
        <v>0</v>
      </c>
      <c r="AH8" s="112">
        <v>0</v>
      </c>
      <c r="AI8" s="112">
        <v>0</v>
      </c>
      <c r="AJ8" s="112">
        <v>0</v>
      </c>
      <c r="AK8" s="112">
        <v>0</v>
      </c>
      <c r="AL8" s="112">
        <v>0</v>
      </c>
      <c r="AM8" s="112">
        <v>0</v>
      </c>
      <c r="AN8" s="112">
        <v>0</v>
      </c>
      <c r="AO8" s="112">
        <v>0</v>
      </c>
      <c r="AP8" s="112">
        <v>0</v>
      </c>
      <c r="AQ8" s="112">
        <v>0</v>
      </c>
      <c r="AR8" s="112">
        <v>0</v>
      </c>
      <c r="AS8" s="112">
        <v>0</v>
      </c>
      <c r="AT8" s="112">
        <v>0</v>
      </c>
      <c r="AU8" s="112">
        <v>0</v>
      </c>
      <c r="AV8" s="112">
        <v>0</v>
      </c>
      <c r="AW8" s="112">
        <v>0</v>
      </c>
      <c r="AX8" s="112">
        <v>0</v>
      </c>
      <c r="AY8" s="112">
        <v>0</v>
      </c>
      <c r="AZ8" s="112">
        <v>0</v>
      </c>
      <c r="BA8" s="112">
        <v>0</v>
      </c>
      <c r="BB8" s="112">
        <v>0</v>
      </c>
      <c r="BC8" s="112">
        <v>0</v>
      </c>
      <c r="BD8" s="112">
        <v>0</v>
      </c>
      <c r="BE8" s="112">
        <v>0</v>
      </c>
      <c r="BF8" s="112">
        <v>0</v>
      </c>
      <c r="BG8" s="112">
        <v>0</v>
      </c>
      <c r="BH8" s="112">
        <v>0</v>
      </c>
      <c r="BI8" s="112">
        <v>0</v>
      </c>
      <c r="BJ8" s="112">
        <v>0</v>
      </c>
      <c r="BK8" s="112">
        <v>0</v>
      </c>
      <c r="BL8" s="112">
        <v>0</v>
      </c>
      <c r="BM8" s="112">
        <v>0</v>
      </c>
      <c r="BN8" s="112">
        <v>0</v>
      </c>
      <c r="BO8" s="112">
        <v>0</v>
      </c>
      <c r="BP8" s="112">
        <v>0</v>
      </c>
      <c r="BQ8" s="112">
        <v>0</v>
      </c>
      <c r="BR8" s="112">
        <v>0</v>
      </c>
      <c r="BS8" s="112">
        <v>0</v>
      </c>
      <c r="BT8" s="112">
        <v>0</v>
      </c>
      <c r="BU8" s="112">
        <v>0</v>
      </c>
      <c r="BV8" s="112">
        <v>0</v>
      </c>
      <c r="BW8" s="112">
        <v>0</v>
      </c>
      <c r="BX8" s="112">
        <v>0</v>
      </c>
      <c r="BY8" s="112">
        <v>0</v>
      </c>
      <c r="BZ8" s="112">
        <v>0</v>
      </c>
      <c r="CA8" s="112">
        <v>0</v>
      </c>
      <c r="CB8" s="112">
        <v>0</v>
      </c>
      <c r="CC8" s="112">
        <v>0</v>
      </c>
      <c r="CD8" s="112">
        <v>0</v>
      </c>
      <c r="CE8" s="112">
        <v>0</v>
      </c>
      <c r="CF8" s="112">
        <v>0</v>
      </c>
      <c r="CG8" s="112">
        <v>0</v>
      </c>
      <c r="CH8" s="112">
        <v>0</v>
      </c>
      <c r="CI8" s="112">
        <v>0</v>
      </c>
      <c r="CJ8" s="112">
        <v>0</v>
      </c>
      <c r="CK8" s="112">
        <v>0</v>
      </c>
      <c r="CL8" s="112">
        <v>0</v>
      </c>
      <c r="CM8" s="112">
        <v>0</v>
      </c>
      <c r="CN8" s="112">
        <v>0</v>
      </c>
      <c r="CO8" s="112">
        <v>0</v>
      </c>
      <c r="CP8" s="112">
        <v>0</v>
      </c>
      <c r="CQ8" s="112">
        <v>0</v>
      </c>
      <c r="CR8" s="112">
        <v>0</v>
      </c>
      <c r="CS8" s="112">
        <v>0</v>
      </c>
      <c r="CT8" s="112">
        <v>0</v>
      </c>
      <c r="CU8" s="112">
        <v>0</v>
      </c>
      <c r="CV8" s="112">
        <v>0</v>
      </c>
      <c r="CW8" s="112">
        <v>0</v>
      </c>
      <c r="CX8" s="112">
        <v>0</v>
      </c>
    </row>
    <row r="9" spans="1:102" x14ac:dyDescent="0.25">
      <c r="A9" s="53"/>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c r="CM9" s="112"/>
      <c r="CN9" s="112"/>
      <c r="CO9" s="112"/>
      <c r="CP9" s="112"/>
      <c r="CQ9" s="112"/>
      <c r="CR9" s="112"/>
      <c r="CS9" s="112"/>
      <c r="CT9" s="112"/>
      <c r="CU9" s="112"/>
      <c r="CV9" s="112"/>
      <c r="CW9" s="112"/>
      <c r="CX9" s="112"/>
    </row>
    <row r="10" spans="1:102" ht="13.8" x14ac:dyDescent="0.3">
      <c r="A10" s="119" t="s">
        <v>145</v>
      </c>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0"/>
      <c r="CP10" s="120"/>
      <c r="CQ10" s="120"/>
      <c r="CR10" s="120"/>
      <c r="CS10" s="120"/>
      <c r="CT10" s="120"/>
      <c r="CU10" s="120"/>
      <c r="CV10" s="120"/>
      <c r="CW10" s="120"/>
      <c r="CX10" s="121"/>
    </row>
    <row r="11" spans="1:102" x14ac:dyDescent="0.25">
      <c r="A11" s="54" t="s">
        <v>75</v>
      </c>
      <c r="B11" s="73">
        <f t="array" ref="B11:CX11">'Inputs and Outputs'!B107:CX107</f>
        <v>0</v>
      </c>
      <c r="C11" s="73">
        <v>0</v>
      </c>
      <c r="D11" s="73">
        <v>0</v>
      </c>
      <c r="E11" s="73">
        <v>0</v>
      </c>
      <c r="F11" s="73">
        <v>0</v>
      </c>
      <c r="G11" s="73">
        <v>0</v>
      </c>
      <c r="H11" s="73">
        <v>0</v>
      </c>
      <c r="I11" s="73">
        <v>0</v>
      </c>
      <c r="J11" s="73">
        <v>0</v>
      </c>
      <c r="K11" s="73">
        <v>0</v>
      </c>
      <c r="L11" s="73">
        <v>0</v>
      </c>
      <c r="M11" s="73">
        <v>0</v>
      </c>
      <c r="N11" s="73">
        <v>0</v>
      </c>
      <c r="O11" s="73">
        <v>0</v>
      </c>
      <c r="P11" s="73">
        <v>0</v>
      </c>
      <c r="Q11" s="73">
        <v>0</v>
      </c>
      <c r="R11" s="73">
        <v>0</v>
      </c>
      <c r="S11" s="73">
        <v>0</v>
      </c>
      <c r="T11" s="73">
        <v>0</v>
      </c>
      <c r="U11" s="73">
        <v>0</v>
      </c>
      <c r="V11" s="73">
        <v>0</v>
      </c>
      <c r="W11" s="73">
        <v>0</v>
      </c>
      <c r="X11" s="73">
        <v>0</v>
      </c>
      <c r="Y11" s="73">
        <v>0</v>
      </c>
      <c r="Z11" s="73">
        <v>0</v>
      </c>
      <c r="AA11" s="73">
        <v>0</v>
      </c>
      <c r="AB11" s="73">
        <v>0</v>
      </c>
      <c r="AC11" s="73">
        <v>0</v>
      </c>
      <c r="AD11" s="73">
        <v>0</v>
      </c>
      <c r="AE11" s="73">
        <v>0</v>
      </c>
      <c r="AF11" s="73">
        <v>0</v>
      </c>
      <c r="AG11" s="73">
        <v>0</v>
      </c>
      <c r="AH11" s="73">
        <v>0</v>
      </c>
      <c r="AI11" s="73">
        <v>0</v>
      </c>
      <c r="AJ11" s="73">
        <v>0</v>
      </c>
      <c r="AK11" s="73">
        <v>0</v>
      </c>
      <c r="AL11" s="73">
        <v>0</v>
      </c>
      <c r="AM11" s="73">
        <v>0</v>
      </c>
      <c r="AN11" s="73">
        <v>0</v>
      </c>
      <c r="AO11" s="73">
        <v>0</v>
      </c>
      <c r="AP11" s="73">
        <v>0</v>
      </c>
      <c r="AQ11" s="73">
        <v>0</v>
      </c>
      <c r="AR11" s="73">
        <v>0</v>
      </c>
      <c r="AS11" s="73">
        <v>0</v>
      </c>
      <c r="AT11" s="73">
        <v>0</v>
      </c>
      <c r="AU11" s="73">
        <v>0</v>
      </c>
      <c r="AV11" s="73">
        <v>0</v>
      </c>
      <c r="AW11" s="73">
        <v>0</v>
      </c>
      <c r="AX11" s="73">
        <v>0</v>
      </c>
      <c r="AY11" s="73">
        <v>0</v>
      </c>
      <c r="AZ11" s="73">
        <v>0</v>
      </c>
      <c r="BA11" s="73">
        <v>0</v>
      </c>
      <c r="BB11" s="73">
        <v>0</v>
      </c>
      <c r="BC11" s="73">
        <v>0</v>
      </c>
      <c r="BD11" s="73">
        <v>0</v>
      </c>
      <c r="BE11" s="73">
        <v>0</v>
      </c>
      <c r="BF11" s="73">
        <v>0</v>
      </c>
      <c r="BG11" s="73">
        <v>0</v>
      </c>
      <c r="BH11" s="73">
        <v>0</v>
      </c>
      <c r="BI11" s="73">
        <v>0</v>
      </c>
      <c r="BJ11" s="73">
        <v>0</v>
      </c>
      <c r="BK11" s="73">
        <v>0</v>
      </c>
      <c r="BL11" s="73">
        <v>0</v>
      </c>
      <c r="BM11" s="73">
        <v>0</v>
      </c>
      <c r="BN11" s="73">
        <v>0</v>
      </c>
      <c r="BO11" s="73">
        <v>0</v>
      </c>
      <c r="BP11" s="73">
        <v>0</v>
      </c>
      <c r="BQ11" s="73">
        <v>0</v>
      </c>
      <c r="BR11" s="73">
        <v>0</v>
      </c>
      <c r="BS11" s="73">
        <v>0</v>
      </c>
      <c r="BT11" s="73">
        <v>0</v>
      </c>
      <c r="BU11" s="73">
        <v>0</v>
      </c>
      <c r="BV11" s="73">
        <v>0</v>
      </c>
      <c r="BW11" s="73">
        <v>0</v>
      </c>
      <c r="BX11" s="73">
        <v>0</v>
      </c>
      <c r="BY11" s="73">
        <v>0</v>
      </c>
      <c r="BZ11" s="73">
        <v>0</v>
      </c>
      <c r="CA11" s="73">
        <v>0</v>
      </c>
      <c r="CB11" s="73">
        <v>0</v>
      </c>
      <c r="CC11" s="73">
        <v>0</v>
      </c>
      <c r="CD11" s="73">
        <v>0</v>
      </c>
      <c r="CE11" s="73">
        <v>0</v>
      </c>
      <c r="CF11" s="73">
        <v>0</v>
      </c>
      <c r="CG11" s="73">
        <v>0</v>
      </c>
      <c r="CH11" s="73">
        <v>0</v>
      </c>
      <c r="CI11" s="73">
        <v>0</v>
      </c>
      <c r="CJ11" s="73">
        <v>0</v>
      </c>
      <c r="CK11" s="73">
        <v>0</v>
      </c>
      <c r="CL11" s="73">
        <v>0</v>
      </c>
      <c r="CM11" s="73">
        <v>0</v>
      </c>
      <c r="CN11" s="73">
        <v>0</v>
      </c>
      <c r="CO11" s="73">
        <v>0</v>
      </c>
      <c r="CP11" s="73">
        <v>0</v>
      </c>
      <c r="CQ11" s="73">
        <v>0</v>
      </c>
      <c r="CR11" s="73">
        <v>0</v>
      </c>
      <c r="CS11" s="73">
        <v>0</v>
      </c>
      <c r="CT11" s="73">
        <v>0</v>
      </c>
      <c r="CU11" s="73">
        <v>0</v>
      </c>
      <c r="CV11" s="73">
        <v>0</v>
      </c>
      <c r="CW11" s="73">
        <v>0</v>
      </c>
      <c r="CX11" s="73">
        <v>0</v>
      </c>
    </row>
    <row r="12" spans="1:102" x14ac:dyDescent="0.25">
      <c r="A12" s="54" t="s">
        <v>239</v>
      </c>
      <c r="B12" s="73">
        <f t="array" ref="B12:CX12">'Inputs and Outputs'!B108:CX108</f>
        <v>0</v>
      </c>
      <c r="C12" s="73">
        <v>0</v>
      </c>
      <c r="D12" s="73">
        <v>0</v>
      </c>
      <c r="E12" s="73">
        <v>0</v>
      </c>
      <c r="F12" s="73">
        <v>0</v>
      </c>
      <c r="G12" s="73">
        <v>0</v>
      </c>
      <c r="H12" s="73">
        <v>0</v>
      </c>
      <c r="I12" s="73">
        <v>0</v>
      </c>
      <c r="J12" s="73">
        <v>0</v>
      </c>
      <c r="K12" s="73">
        <v>0</v>
      </c>
      <c r="L12" s="73">
        <v>0</v>
      </c>
      <c r="M12" s="73">
        <v>0</v>
      </c>
      <c r="N12" s="73">
        <v>0</v>
      </c>
      <c r="O12" s="73">
        <v>0</v>
      </c>
      <c r="P12" s="73">
        <v>0</v>
      </c>
      <c r="Q12" s="73">
        <v>0</v>
      </c>
      <c r="R12" s="73">
        <v>0</v>
      </c>
      <c r="S12" s="73">
        <v>0</v>
      </c>
      <c r="T12" s="73">
        <v>0</v>
      </c>
      <c r="U12" s="73">
        <v>0</v>
      </c>
      <c r="V12" s="73">
        <v>0</v>
      </c>
      <c r="W12" s="73">
        <v>0</v>
      </c>
      <c r="X12" s="73">
        <v>0</v>
      </c>
      <c r="Y12" s="73">
        <v>0</v>
      </c>
      <c r="Z12" s="73">
        <v>0</v>
      </c>
      <c r="AA12" s="73">
        <v>0</v>
      </c>
      <c r="AB12" s="73">
        <v>0</v>
      </c>
      <c r="AC12" s="73">
        <v>0</v>
      </c>
      <c r="AD12" s="73">
        <v>0</v>
      </c>
      <c r="AE12" s="73">
        <v>0</v>
      </c>
      <c r="AF12" s="73">
        <v>0</v>
      </c>
      <c r="AG12" s="73">
        <v>0</v>
      </c>
      <c r="AH12" s="73">
        <v>0</v>
      </c>
      <c r="AI12" s="73">
        <v>0</v>
      </c>
      <c r="AJ12" s="73">
        <v>0</v>
      </c>
      <c r="AK12" s="73">
        <v>0</v>
      </c>
      <c r="AL12" s="73">
        <v>0</v>
      </c>
      <c r="AM12" s="73">
        <v>0</v>
      </c>
      <c r="AN12" s="73">
        <v>0</v>
      </c>
      <c r="AO12" s="73">
        <v>0</v>
      </c>
      <c r="AP12" s="73">
        <v>0</v>
      </c>
      <c r="AQ12" s="73">
        <v>0</v>
      </c>
      <c r="AR12" s="73">
        <v>0</v>
      </c>
      <c r="AS12" s="73">
        <v>0</v>
      </c>
      <c r="AT12" s="73">
        <v>0</v>
      </c>
      <c r="AU12" s="73">
        <v>0</v>
      </c>
      <c r="AV12" s="73">
        <v>0</v>
      </c>
      <c r="AW12" s="73">
        <v>0</v>
      </c>
      <c r="AX12" s="73">
        <v>0</v>
      </c>
      <c r="AY12" s="73">
        <v>0</v>
      </c>
      <c r="AZ12" s="73">
        <v>0</v>
      </c>
      <c r="BA12" s="73">
        <v>0</v>
      </c>
      <c r="BB12" s="73">
        <v>0</v>
      </c>
      <c r="BC12" s="73">
        <v>0</v>
      </c>
      <c r="BD12" s="73">
        <v>0</v>
      </c>
      <c r="BE12" s="73">
        <v>0</v>
      </c>
      <c r="BF12" s="73">
        <v>0</v>
      </c>
      <c r="BG12" s="73">
        <v>0</v>
      </c>
      <c r="BH12" s="73">
        <v>0</v>
      </c>
      <c r="BI12" s="73">
        <v>0</v>
      </c>
      <c r="BJ12" s="73">
        <v>0</v>
      </c>
      <c r="BK12" s="73">
        <v>0</v>
      </c>
      <c r="BL12" s="73">
        <v>0</v>
      </c>
      <c r="BM12" s="73">
        <v>0</v>
      </c>
      <c r="BN12" s="73">
        <v>0</v>
      </c>
      <c r="BO12" s="73">
        <v>0</v>
      </c>
      <c r="BP12" s="73">
        <v>0</v>
      </c>
      <c r="BQ12" s="73">
        <v>0</v>
      </c>
      <c r="BR12" s="73">
        <v>0</v>
      </c>
      <c r="BS12" s="73">
        <v>0</v>
      </c>
      <c r="BT12" s="73">
        <v>0</v>
      </c>
      <c r="BU12" s="73">
        <v>0</v>
      </c>
      <c r="BV12" s="73">
        <v>0</v>
      </c>
      <c r="BW12" s="73">
        <v>0</v>
      </c>
      <c r="BX12" s="73">
        <v>0</v>
      </c>
      <c r="BY12" s="73">
        <v>0</v>
      </c>
      <c r="BZ12" s="73">
        <v>0</v>
      </c>
      <c r="CA12" s="73">
        <v>0</v>
      </c>
      <c r="CB12" s="73">
        <v>0</v>
      </c>
      <c r="CC12" s="73">
        <v>0</v>
      </c>
      <c r="CD12" s="73">
        <v>0</v>
      </c>
      <c r="CE12" s="73">
        <v>0</v>
      </c>
      <c r="CF12" s="73">
        <v>0</v>
      </c>
      <c r="CG12" s="73">
        <v>0</v>
      </c>
      <c r="CH12" s="73">
        <v>0</v>
      </c>
      <c r="CI12" s="73">
        <v>0</v>
      </c>
      <c r="CJ12" s="73">
        <v>0</v>
      </c>
      <c r="CK12" s="73">
        <v>0</v>
      </c>
      <c r="CL12" s="73">
        <v>0</v>
      </c>
      <c r="CM12" s="73">
        <v>0</v>
      </c>
      <c r="CN12" s="73">
        <v>0</v>
      </c>
      <c r="CO12" s="73">
        <v>0</v>
      </c>
      <c r="CP12" s="73">
        <v>0</v>
      </c>
      <c r="CQ12" s="73">
        <v>0</v>
      </c>
      <c r="CR12" s="73">
        <v>0</v>
      </c>
      <c r="CS12" s="73">
        <v>0</v>
      </c>
      <c r="CT12" s="73">
        <v>0</v>
      </c>
      <c r="CU12" s="73">
        <v>0</v>
      </c>
      <c r="CV12" s="73">
        <v>0</v>
      </c>
      <c r="CW12" s="73">
        <v>0</v>
      </c>
      <c r="CX12" s="73">
        <v>0</v>
      </c>
    </row>
    <row r="13" spans="1:102" x14ac:dyDescent="0.25">
      <c r="A13" s="2"/>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row>
    <row r="14" spans="1:102" x14ac:dyDescent="0.25">
      <c r="A14" s="58" t="s">
        <v>148</v>
      </c>
      <c r="B14" s="55"/>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7"/>
    </row>
    <row r="15" spans="1:102" x14ac:dyDescent="0.25">
      <c r="A15" s="53" t="s">
        <v>53</v>
      </c>
      <c r="B15" s="224"/>
      <c r="C15" s="224"/>
      <c r="D15" s="224"/>
      <c r="E15" s="224"/>
      <c r="F15" s="224"/>
      <c r="G15" s="224"/>
      <c r="H15" s="224"/>
      <c r="I15" s="224"/>
      <c r="J15" s="224"/>
      <c r="K15" s="224"/>
      <c r="L15" s="224"/>
      <c r="M15" s="224"/>
      <c r="N15" s="224"/>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4"/>
      <c r="BD15" s="224"/>
      <c r="BE15" s="224"/>
      <c r="BF15" s="224"/>
      <c r="BG15" s="224"/>
      <c r="BH15" s="224"/>
      <c r="BI15" s="224"/>
      <c r="BJ15" s="224"/>
      <c r="BK15" s="224"/>
      <c r="BL15" s="224"/>
      <c r="BM15" s="224"/>
      <c r="BN15" s="224"/>
      <c r="BO15" s="224"/>
      <c r="BP15" s="224"/>
      <c r="BQ15" s="224"/>
      <c r="BR15" s="224"/>
      <c r="BS15" s="224"/>
      <c r="BT15" s="224"/>
      <c r="BU15" s="224"/>
      <c r="BV15" s="224"/>
      <c r="BW15" s="224"/>
      <c r="BX15" s="224"/>
      <c r="BY15" s="224"/>
      <c r="BZ15" s="224"/>
      <c r="CA15" s="224"/>
      <c r="CB15" s="224"/>
      <c r="CC15" s="224"/>
      <c r="CD15" s="224"/>
      <c r="CE15" s="224"/>
      <c r="CF15" s="224"/>
      <c r="CG15" s="224"/>
      <c r="CH15" s="224"/>
      <c r="CI15" s="224"/>
      <c r="CJ15" s="224"/>
      <c r="CK15" s="224"/>
      <c r="CL15" s="224"/>
      <c r="CM15" s="224"/>
      <c r="CN15" s="224"/>
      <c r="CO15" s="224"/>
      <c r="CP15" s="224"/>
      <c r="CQ15" s="224"/>
      <c r="CR15" s="224"/>
      <c r="CS15" s="224"/>
      <c r="CT15" s="224"/>
      <c r="CU15" s="224"/>
      <c r="CV15" s="224"/>
      <c r="CW15" s="224"/>
      <c r="CX15" s="224"/>
    </row>
    <row r="16" spans="1:102" x14ac:dyDescent="0.25">
      <c r="A16" s="59" t="s">
        <v>61</v>
      </c>
      <c r="B16" s="73"/>
      <c r="C16" s="73" t="str">
        <f t="shared" ref="C16:AH16" si="3">IF(AND(ISNUMBER(outYear),ISNUMBER(om_fixed)),om_fixed*(1+inflation_rate/100+om_fixed_escal/100)^B2,"")</f>
        <v/>
      </c>
      <c r="D16" s="73" t="str">
        <f t="shared" si="3"/>
        <v/>
      </c>
      <c r="E16" s="73" t="str">
        <f t="shared" si="3"/>
        <v/>
      </c>
      <c r="F16" s="73" t="str">
        <f t="shared" si="3"/>
        <v/>
      </c>
      <c r="G16" s="73" t="str">
        <f t="shared" si="3"/>
        <v/>
      </c>
      <c r="H16" s="73" t="str">
        <f t="shared" si="3"/>
        <v/>
      </c>
      <c r="I16" s="73" t="str">
        <f t="shared" si="3"/>
        <v/>
      </c>
      <c r="J16" s="73" t="str">
        <f t="shared" si="3"/>
        <v/>
      </c>
      <c r="K16" s="73" t="str">
        <f t="shared" si="3"/>
        <v/>
      </c>
      <c r="L16" s="73" t="str">
        <f t="shared" si="3"/>
        <v/>
      </c>
      <c r="M16" s="73" t="str">
        <f t="shared" si="3"/>
        <v/>
      </c>
      <c r="N16" s="73" t="str">
        <f t="shared" si="3"/>
        <v/>
      </c>
      <c r="O16" s="73" t="str">
        <f t="shared" si="3"/>
        <v/>
      </c>
      <c r="P16" s="73" t="str">
        <f t="shared" si="3"/>
        <v/>
      </c>
      <c r="Q16" s="73" t="str">
        <f t="shared" si="3"/>
        <v/>
      </c>
      <c r="R16" s="73" t="str">
        <f t="shared" si="3"/>
        <v/>
      </c>
      <c r="S16" s="73" t="str">
        <f t="shared" si="3"/>
        <v/>
      </c>
      <c r="T16" s="73" t="str">
        <f t="shared" si="3"/>
        <v/>
      </c>
      <c r="U16" s="73" t="str">
        <f t="shared" si="3"/>
        <v/>
      </c>
      <c r="V16" s="73" t="str">
        <f t="shared" si="3"/>
        <v/>
      </c>
      <c r="W16" s="73" t="str">
        <f t="shared" si="3"/>
        <v/>
      </c>
      <c r="X16" s="73" t="str">
        <f t="shared" si="3"/>
        <v/>
      </c>
      <c r="Y16" s="73" t="str">
        <f t="shared" si="3"/>
        <v/>
      </c>
      <c r="Z16" s="73" t="str">
        <f t="shared" si="3"/>
        <v/>
      </c>
      <c r="AA16" s="73" t="str">
        <f t="shared" si="3"/>
        <v/>
      </c>
      <c r="AB16" s="73" t="str">
        <f t="shared" si="3"/>
        <v/>
      </c>
      <c r="AC16" s="73" t="str">
        <f t="shared" si="3"/>
        <v/>
      </c>
      <c r="AD16" s="73" t="str">
        <f t="shared" si="3"/>
        <v/>
      </c>
      <c r="AE16" s="73" t="str">
        <f t="shared" si="3"/>
        <v/>
      </c>
      <c r="AF16" s="73" t="str">
        <f t="shared" si="3"/>
        <v/>
      </c>
      <c r="AG16" s="73" t="str">
        <f t="shared" si="3"/>
        <v/>
      </c>
      <c r="AH16" s="73" t="str">
        <f t="shared" si="3"/>
        <v/>
      </c>
      <c r="AI16" s="73" t="str">
        <f t="shared" ref="AI16:BN16" si="4">IF(AND(ISNUMBER(outYear),ISNUMBER(om_fixed)),om_fixed*(1+inflation_rate/100+om_fixed_escal/100)^AH2,"")</f>
        <v/>
      </c>
      <c r="AJ16" s="73" t="str">
        <f t="shared" si="4"/>
        <v/>
      </c>
      <c r="AK16" s="73" t="str">
        <f t="shared" si="4"/>
        <v/>
      </c>
      <c r="AL16" s="73" t="str">
        <f t="shared" si="4"/>
        <v/>
      </c>
      <c r="AM16" s="73" t="str">
        <f t="shared" si="4"/>
        <v/>
      </c>
      <c r="AN16" s="73" t="str">
        <f t="shared" si="4"/>
        <v/>
      </c>
      <c r="AO16" s="73" t="str">
        <f t="shared" si="4"/>
        <v/>
      </c>
      <c r="AP16" s="73" t="str">
        <f t="shared" si="4"/>
        <v/>
      </c>
      <c r="AQ16" s="73" t="str">
        <f t="shared" si="4"/>
        <v/>
      </c>
      <c r="AR16" s="73" t="str">
        <f t="shared" si="4"/>
        <v/>
      </c>
      <c r="AS16" s="73" t="str">
        <f t="shared" si="4"/>
        <v/>
      </c>
      <c r="AT16" s="73" t="str">
        <f t="shared" si="4"/>
        <v/>
      </c>
      <c r="AU16" s="73" t="str">
        <f t="shared" si="4"/>
        <v/>
      </c>
      <c r="AV16" s="73" t="str">
        <f t="shared" si="4"/>
        <v/>
      </c>
      <c r="AW16" s="73" t="str">
        <f t="shared" si="4"/>
        <v/>
      </c>
      <c r="AX16" s="73" t="str">
        <f t="shared" si="4"/>
        <v/>
      </c>
      <c r="AY16" s="73" t="str">
        <f t="shared" si="4"/>
        <v/>
      </c>
      <c r="AZ16" s="73" t="str">
        <f t="shared" si="4"/>
        <v/>
      </c>
      <c r="BA16" s="73" t="str">
        <f t="shared" si="4"/>
        <v/>
      </c>
      <c r="BB16" s="73" t="str">
        <f t="shared" si="4"/>
        <v/>
      </c>
      <c r="BC16" s="73" t="str">
        <f t="shared" si="4"/>
        <v/>
      </c>
      <c r="BD16" s="73" t="str">
        <f t="shared" si="4"/>
        <v/>
      </c>
      <c r="BE16" s="73" t="str">
        <f t="shared" si="4"/>
        <v/>
      </c>
      <c r="BF16" s="73" t="str">
        <f t="shared" si="4"/>
        <v/>
      </c>
      <c r="BG16" s="73" t="str">
        <f t="shared" si="4"/>
        <v/>
      </c>
      <c r="BH16" s="73" t="str">
        <f t="shared" si="4"/>
        <v/>
      </c>
      <c r="BI16" s="73" t="str">
        <f t="shared" si="4"/>
        <v/>
      </c>
      <c r="BJ16" s="73" t="str">
        <f t="shared" si="4"/>
        <v/>
      </c>
      <c r="BK16" s="73" t="str">
        <f t="shared" si="4"/>
        <v/>
      </c>
      <c r="BL16" s="73" t="str">
        <f t="shared" si="4"/>
        <v/>
      </c>
      <c r="BM16" s="73" t="str">
        <f t="shared" si="4"/>
        <v/>
      </c>
      <c r="BN16" s="73" t="str">
        <f t="shared" si="4"/>
        <v/>
      </c>
      <c r="BO16" s="73" t="str">
        <f t="shared" ref="BO16:CX16" si="5">IF(AND(ISNUMBER(outYear),ISNUMBER(om_fixed)),om_fixed*(1+inflation_rate/100+om_fixed_escal/100)^BN2,"")</f>
        <v/>
      </c>
      <c r="BP16" s="73" t="str">
        <f t="shared" si="5"/>
        <v/>
      </c>
      <c r="BQ16" s="73" t="str">
        <f t="shared" si="5"/>
        <v/>
      </c>
      <c r="BR16" s="73" t="str">
        <f t="shared" si="5"/>
        <v/>
      </c>
      <c r="BS16" s="73" t="str">
        <f t="shared" si="5"/>
        <v/>
      </c>
      <c r="BT16" s="73" t="str">
        <f t="shared" si="5"/>
        <v/>
      </c>
      <c r="BU16" s="73" t="str">
        <f t="shared" si="5"/>
        <v/>
      </c>
      <c r="BV16" s="73" t="str">
        <f t="shared" si="5"/>
        <v/>
      </c>
      <c r="BW16" s="73" t="str">
        <f t="shared" si="5"/>
        <v/>
      </c>
      <c r="BX16" s="73" t="str">
        <f t="shared" si="5"/>
        <v/>
      </c>
      <c r="BY16" s="73" t="str">
        <f t="shared" si="5"/>
        <v/>
      </c>
      <c r="BZ16" s="73" t="str">
        <f t="shared" si="5"/>
        <v/>
      </c>
      <c r="CA16" s="73" t="str">
        <f t="shared" si="5"/>
        <v/>
      </c>
      <c r="CB16" s="73" t="str">
        <f t="shared" si="5"/>
        <v/>
      </c>
      <c r="CC16" s="73" t="str">
        <f t="shared" si="5"/>
        <v/>
      </c>
      <c r="CD16" s="73" t="str">
        <f t="shared" si="5"/>
        <v/>
      </c>
      <c r="CE16" s="73" t="str">
        <f t="shared" si="5"/>
        <v/>
      </c>
      <c r="CF16" s="73" t="str">
        <f t="shared" si="5"/>
        <v/>
      </c>
      <c r="CG16" s="73" t="str">
        <f t="shared" si="5"/>
        <v/>
      </c>
      <c r="CH16" s="73" t="str">
        <f t="shared" si="5"/>
        <v/>
      </c>
      <c r="CI16" s="73" t="str">
        <f t="shared" si="5"/>
        <v/>
      </c>
      <c r="CJ16" s="73" t="str">
        <f t="shared" si="5"/>
        <v/>
      </c>
      <c r="CK16" s="73" t="str">
        <f t="shared" si="5"/>
        <v/>
      </c>
      <c r="CL16" s="73" t="str">
        <f t="shared" si="5"/>
        <v/>
      </c>
      <c r="CM16" s="73" t="str">
        <f t="shared" si="5"/>
        <v/>
      </c>
      <c r="CN16" s="73" t="str">
        <f t="shared" si="5"/>
        <v/>
      </c>
      <c r="CO16" s="73" t="str">
        <f t="shared" si="5"/>
        <v/>
      </c>
      <c r="CP16" s="73" t="str">
        <f t="shared" si="5"/>
        <v/>
      </c>
      <c r="CQ16" s="73" t="str">
        <f t="shared" si="5"/>
        <v/>
      </c>
      <c r="CR16" s="73" t="str">
        <f t="shared" si="5"/>
        <v/>
      </c>
      <c r="CS16" s="73" t="str">
        <f t="shared" si="5"/>
        <v/>
      </c>
      <c r="CT16" s="73" t="str">
        <f t="shared" si="5"/>
        <v/>
      </c>
      <c r="CU16" s="73" t="str">
        <f t="shared" si="5"/>
        <v/>
      </c>
      <c r="CV16" s="73" t="str">
        <f t="shared" si="5"/>
        <v/>
      </c>
      <c r="CW16" s="73" t="str">
        <f t="shared" si="5"/>
        <v/>
      </c>
      <c r="CX16" s="73" t="str">
        <f t="shared" si="5"/>
        <v/>
      </c>
    </row>
    <row r="17" spans="1:102" x14ac:dyDescent="0.25">
      <c r="A17" s="60" t="s">
        <v>54</v>
      </c>
      <c r="B17" s="73"/>
      <c r="C17" s="73">
        <f t="array" ref="C17:CX17">'Inputs and Outputs'!C113:CX113</f>
        <v>0</v>
      </c>
      <c r="D17" s="73">
        <v>0</v>
      </c>
      <c r="E17" s="73">
        <v>0</v>
      </c>
      <c r="F17" s="73">
        <v>0</v>
      </c>
      <c r="G17" s="73">
        <v>0</v>
      </c>
      <c r="H17" s="73">
        <v>0</v>
      </c>
      <c r="I17" s="73">
        <v>0</v>
      </c>
      <c r="J17" s="73">
        <v>0</v>
      </c>
      <c r="K17" s="73">
        <v>0</v>
      </c>
      <c r="L17" s="73">
        <v>0</v>
      </c>
      <c r="M17" s="73">
        <v>0</v>
      </c>
      <c r="N17" s="73">
        <v>0</v>
      </c>
      <c r="O17" s="73">
        <v>0</v>
      </c>
      <c r="P17" s="73">
        <v>0</v>
      </c>
      <c r="Q17" s="73">
        <v>0</v>
      </c>
      <c r="R17" s="73">
        <v>0</v>
      </c>
      <c r="S17" s="73">
        <v>0</v>
      </c>
      <c r="T17" s="73">
        <v>0</v>
      </c>
      <c r="U17" s="73">
        <v>0</v>
      </c>
      <c r="V17" s="73">
        <v>0</v>
      </c>
      <c r="W17" s="73">
        <v>0</v>
      </c>
      <c r="X17" s="73">
        <v>0</v>
      </c>
      <c r="Y17" s="73">
        <v>0</v>
      </c>
      <c r="Z17" s="73">
        <v>0</v>
      </c>
      <c r="AA17" s="73">
        <v>0</v>
      </c>
      <c r="AB17" s="73">
        <v>0</v>
      </c>
      <c r="AC17" s="73">
        <v>0</v>
      </c>
      <c r="AD17" s="73">
        <v>0</v>
      </c>
      <c r="AE17" s="73">
        <v>0</v>
      </c>
      <c r="AF17" s="73">
        <v>0</v>
      </c>
      <c r="AG17" s="73">
        <v>0</v>
      </c>
      <c r="AH17" s="73">
        <v>0</v>
      </c>
      <c r="AI17" s="73">
        <v>0</v>
      </c>
      <c r="AJ17" s="73">
        <v>0</v>
      </c>
      <c r="AK17" s="73">
        <v>0</v>
      </c>
      <c r="AL17" s="73">
        <v>0</v>
      </c>
      <c r="AM17" s="73">
        <v>0</v>
      </c>
      <c r="AN17" s="73">
        <v>0</v>
      </c>
      <c r="AO17" s="73">
        <v>0</v>
      </c>
      <c r="AP17" s="73">
        <v>0</v>
      </c>
      <c r="AQ17" s="73">
        <v>0</v>
      </c>
      <c r="AR17" s="73">
        <v>0</v>
      </c>
      <c r="AS17" s="73">
        <v>0</v>
      </c>
      <c r="AT17" s="73">
        <v>0</v>
      </c>
      <c r="AU17" s="73">
        <v>0</v>
      </c>
      <c r="AV17" s="73">
        <v>0</v>
      </c>
      <c r="AW17" s="73">
        <v>0</v>
      </c>
      <c r="AX17" s="73">
        <v>0</v>
      </c>
      <c r="AY17" s="73">
        <v>0</v>
      </c>
      <c r="AZ17" s="73">
        <v>0</v>
      </c>
      <c r="BA17" s="73">
        <v>0</v>
      </c>
      <c r="BB17" s="73">
        <v>0</v>
      </c>
      <c r="BC17" s="73">
        <v>0</v>
      </c>
      <c r="BD17" s="73">
        <v>0</v>
      </c>
      <c r="BE17" s="73">
        <v>0</v>
      </c>
      <c r="BF17" s="73">
        <v>0</v>
      </c>
      <c r="BG17" s="73">
        <v>0</v>
      </c>
      <c r="BH17" s="73">
        <v>0</v>
      </c>
      <c r="BI17" s="73">
        <v>0</v>
      </c>
      <c r="BJ17" s="73">
        <v>0</v>
      </c>
      <c r="BK17" s="73">
        <v>0</v>
      </c>
      <c r="BL17" s="73">
        <v>0</v>
      </c>
      <c r="BM17" s="73">
        <v>0</v>
      </c>
      <c r="BN17" s="73">
        <v>0</v>
      </c>
      <c r="BO17" s="73">
        <v>0</v>
      </c>
      <c r="BP17" s="73">
        <v>0</v>
      </c>
      <c r="BQ17" s="73">
        <v>0</v>
      </c>
      <c r="BR17" s="73">
        <v>0</v>
      </c>
      <c r="BS17" s="73">
        <v>0</v>
      </c>
      <c r="BT17" s="73">
        <v>0</v>
      </c>
      <c r="BU17" s="73">
        <v>0</v>
      </c>
      <c r="BV17" s="73">
        <v>0</v>
      </c>
      <c r="BW17" s="73">
        <v>0</v>
      </c>
      <c r="BX17" s="73">
        <v>0</v>
      </c>
      <c r="BY17" s="73">
        <v>0</v>
      </c>
      <c r="BZ17" s="73">
        <v>0</v>
      </c>
      <c r="CA17" s="73">
        <v>0</v>
      </c>
      <c r="CB17" s="73">
        <v>0</v>
      </c>
      <c r="CC17" s="73">
        <v>0</v>
      </c>
      <c r="CD17" s="73">
        <v>0</v>
      </c>
      <c r="CE17" s="73">
        <v>0</v>
      </c>
      <c r="CF17" s="73">
        <v>0</v>
      </c>
      <c r="CG17" s="73">
        <v>0</v>
      </c>
      <c r="CH17" s="73">
        <v>0</v>
      </c>
      <c r="CI17" s="73">
        <v>0</v>
      </c>
      <c r="CJ17" s="73">
        <v>0</v>
      </c>
      <c r="CK17" s="73">
        <v>0</v>
      </c>
      <c r="CL17" s="73">
        <v>0</v>
      </c>
      <c r="CM17" s="73">
        <v>0</v>
      </c>
      <c r="CN17" s="73">
        <v>0</v>
      </c>
      <c r="CO17" s="73">
        <v>0</v>
      </c>
      <c r="CP17" s="73">
        <v>0</v>
      </c>
      <c r="CQ17" s="73">
        <v>0</v>
      </c>
      <c r="CR17" s="73">
        <v>0</v>
      </c>
      <c r="CS17" s="73">
        <v>0</v>
      </c>
      <c r="CT17" s="73">
        <v>0</v>
      </c>
      <c r="CU17" s="73">
        <v>0</v>
      </c>
      <c r="CV17" s="73">
        <v>0</v>
      </c>
      <c r="CW17" s="73">
        <v>0</v>
      </c>
      <c r="CX17" s="73">
        <v>0</v>
      </c>
    </row>
    <row r="18" spans="1:102" x14ac:dyDescent="0.25">
      <c r="A18" s="59" t="s">
        <v>62</v>
      </c>
      <c r="B18" s="73"/>
      <c r="C18" s="73" t="str">
        <f t="shared" ref="C18:AH18" si="6">IF(AND(ISNUMBER(outYear),ISNUMBER(om_capacity)),om_capacity*(1+inflation_rate/100+om_capacity_escal/100)^B2*system_capacity,"")</f>
        <v/>
      </c>
      <c r="D18" s="73" t="str">
        <f t="shared" si="6"/>
        <v/>
      </c>
      <c r="E18" s="73" t="str">
        <f t="shared" si="6"/>
        <v/>
      </c>
      <c r="F18" s="73" t="str">
        <f t="shared" si="6"/>
        <v/>
      </c>
      <c r="G18" s="73" t="str">
        <f t="shared" si="6"/>
        <v/>
      </c>
      <c r="H18" s="73" t="str">
        <f t="shared" si="6"/>
        <v/>
      </c>
      <c r="I18" s="73" t="str">
        <f t="shared" si="6"/>
        <v/>
      </c>
      <c r="J18" s="73" t="str">
        <f t="shared" si="6"/>
        <v/>
      </c>
      <c r="K18" s="73" t="str">
        <f t="shared" si="6"/>
        <v/>
      </c>
      <c r="L18" s="73" t="str">
        <f t="shared" si="6"/>
        <v/>
      </c>
      <c r="M18" s="73" t="str">
        <f t="shared" si="6"/>
        <v/>
      </c>
      <c r="N18" s="73" t="str">
        <f t="shared" si="6"/>
        <v/>
      </c>
      <c r="O18" s="73" t="str">
        <f t="shared" si="6"/>
        <v/>
      </c>
      <c r="P18" s="73" t="str">
        <f t="shared" si="6"/>
        <v/>
      </c>
      <c r="Q18" s="73" t="str">
        <f t="shared" si="6"/>
        <v/>
      </c>
      <c r="R18" s="73" t="str">
        <f t="shared" si="6"/>
        <v/>
      </c>
      <c r="S18" s="73" t="str">
        <f t="shared" si="6"/>
        <v/>
      </c>
      <c r="T18" s="73" t="str">
        <f t="shared" si="6"/>
        <v/>
      </c>
      <c r="U18" s="73" t="str">
        <f t="shared" si="6"/>
        <v/>
      </c>
      <c r="V18" s="73" t="str">
        <f t="shared" si="6"/>
        <v/>
      </c>
      <c r="W18" s="73" t="str">
        <f t="shared" si="6"/>
        <v/>
      </c>
      <c r="X18" s="73" t="str">
        <f t="shared" si="6"/>
        <v/>
      </c>
      <c r="Y18" s="73" t="str">
        <f t="shared" si="6"/>
        <v/>
      </c>
      <c r="Z18" s="73" t="str">
        <f t="shared" si="6"/>
        <v/>
      </c>
      <c r="AA18" s="73" t="str">
        <f t="shared" si="6"/>
        <v/>
      </c>
      <c r="AB18" s="73" t="str">
        <f t="shared" si="6"/>
        <v/>
      </c>
      <c r="AC18" s="73" t="str">
        <f t="shared" si="6"/>
        <v/>
      </c>
      <c r="AD18" s="73" t="str">
        <f t="shared" si="6"/>
        <v/>
      </c>
      <c r="AE18" s="73" t="str">
        <f t="shared" si="6"/>
        <v/>
      </c>
      <c r="AF18" s="73" t="str">
        <f t="shared" si="6"/>
        <v/>
      </c>
      <c r="AG18" s="73" t="str">
        <f t="shared" si="6"/>
        <v/>
      </c>
      <c r="AH18" s="73" t="str">
        <f t="shared" si="6"/>
        <v/>
      </c>
      <c r="AI18" s="73" t="str">
        <f t="shared" ref="AI18:BN18" si="7">IF(AND(ISNUMBER(outYear),ISNUMBER(om_capacity)),om_capacity*(1+inflation_rate/100+om_capacity_escal/100)^AH2*system_capacity,"")</f>
        <v/>
      </c>
      <c r="AJ18" s="73" t="str">
        <f t="shared" si="7"/>
        <v/>
      </c>
      <c r="AK18" s="73" t="str">
        <f t="shared" si="7"/>
        <v/>
      </c>
      <c r="AL18" s="73" t="str">
        <f t="shared" si="7"/>
        <v/>
      </c>
      <c r="AM18" s="73" t="str">
        <f t="shared" si="7"/>
        <v/>
      </c>
      <c r="AN18" s="73" t="str">
        <f t="shared" si="7"/>
        <v/>
      </c>
      <c r="AO18" s="73" t="str">
        <f t="shared" si="7"/>
        <v/>
      </c>
      <c r="AP18" s="73" t="str">
        <f t="shared" si="7"/>
        <v/>
      </c>
      <c r="AQ18" s="73" t="str">
        <f t="shared" si="7"/>
        <v/>
      </c>
      <c r="AR18" s="73" t="str">
        <f t="shared" si="7"/>
        <v/>
      </c>
      <c r="AS18" s="73" t="str">
        <f t="shared" si="7"/>
        <v/>
      </c>
      <c r="AT18" s="73" t="str">
        <f t="shared" si="7"/>
        <v/>
      </c>
      <c r="AU18" s="73" t="str">
        <f t="shared" si="7"/>
        <v/>
      </c>
      <c r="AV18" s="73" t="str">
        <f t="shared" si="7"/>
        <v/>
      </c>
      <c r="AW18" s="73" t="str">
        <f t="shared" si="7"/>
        <v/>
      </c>
      <c r="AX18" s="73" t="str">
        <f t="shared" si="7"/>
        <v/>
      </c>
      <c r="AY18" s="73" t="str">
        <f t="shared" si="7"/>
        <v/>
      </c>
      <c r="AZ18" s="73" t="str">
        <f t="shared" si="7"/>
        <v/>
      </c>
      <c r="BA18" s="73" t="str">
        <f t="shared" si="7"/>
        <v/>
      </c>
      <c r="BB18" s="73" t="str">
        <f t="shared" si="7"/>
        <v/>
      </c>
      <c r="BC18" s="73" t="str">
        <f t="shared" si="7"/>
        <v/>
      </c>
      <c r="BD18" s="73" t="str">
        <f t="shared" si="7"/>
        <v/>
      </c>
      <c r="BE18" s="73" t="str">
        <f t="shared" si="7"/>
        <v/>
      </c>
      <c r="BF18" s="73" t="str">
        <f t="shared" si="7"/>
        <v/>
      </c>
      <c r="BG18" s="73" t="str">
        <f t="shared" si="7"/>
        <v/>
      </c>
      <c r="BH18" s="73" t="str">
        <f t="shared" si="7"/>
        <v/>
      </c>
      <c r="BI18" s="73" t="str">
        <f t="shared" si="7"/>
        <v/>
      </c>
      <c r="BJ18" s="73" t="str">
        <f t="shared" si="7"/>
        <v/>
      </c>
      <c r="BK18" s="73" t="str">
        <f t="shared" si="7"/>
        <v/>
      </c>
      <c r="BL18" s="73" t="str">
        <f t="shared" si="7"/>
        <v/>
      </c>
      <c r="BM18" s="73" t="str">
        <f t="shared" si="7"/>
        <v/>
      </c>
      <c r="BN18" s="73" t="str">
        <f t="shared" si="7"/>
        <v/>
      </c>
      <c r="BO18" s="73" t="str">
        <f t="shared" ref="BO18:CX18" si="8">IF(AND(ISNUMBER(outYear),ISNUMBER(om_capacity)),om_capacity*(1+inflation_rate/100+om_capacity_escal/100)^BN2*system_capacity,"")</f>
        <v/>
      </c>
      <c r="BP18" s="73" t="str">
        <f t="shared" si="8"/>
        <v/>
      </c>
      <c r="BQ18" s="73" t="str">
        <f t="shared" si="8"/>
        <v/>
      </c>
      <c r="BR18" s="73" t="str">
        <f t="shared" si="8"/>
        <v/>
      </c>
      <c r="BS18" s="73" t="str">
        <f t="shared" si="8"/>
        <v/>
      </c>
      <c r="BT18" s="73" t="str">
        <f t="shared" si="8"/>
        <v/>
      </c>
      <c r="BU18" s="73" t="str">
        <f t="shared" si="8"/>
        <v/>
      </c>
      <c r="BV18" s="73" t="str">
        <f t="shared" si="8"/>
        <v/>
      </c>
      <c r="BW18" s="73" t="str">
        <f t="shared" si="8"/>
        <v/>
      </c>
      <c r="BX18" s="73" t="str">
        <f t="shared" si="8"/>
        <v/>
      </c>
      <c r="BY18" s="73" t="str">
        <f t="shared" si="8"/>
        <v/>
      </c>
      <c r="BZ18" s="73" t="str">
        <f t="shared" si="8"/>
        <v/>
      </c>
      <c r="CA18" s="73" t="str">
        <f t="shared" si="8"/>
        <v/>
      </c>
      <c r="CB18" s="73" t="str">
        <f t="shared" si="8"/>
        <v/>
      </c>
      <c r="CC18" s="73" t="str">
        <f t="shared" si="8"/>
        <v/>
      </c>
      <c r="CD18" s="73" t="str">
        <f t="shared" si="8"/>
        <v/>
      </c>
      <c r="CE18" s="73" t="str">
        <f t="shared" si="8"/>
        <v/>
      </c>
      <c r="CF18" s="73" t="str">
        <f t="shared" si="8"/>
        <v/>
      </c>
      <c r="CG18" s="73" t="str">
        <f t="shared" si="8"/>
        <v/>
      </c>
      <c r="CH18" s="73" t="str">
        <f t="shared" si="8"/>
        <v/>
      </c>
      <c r="CI18" s="73" t="str">
        <f t="shared" si="8"/>
        <v/>
      </c>
      <c r="CJ18" s="73" t="str">
        <f t="shared" si="8"/>
        <v/>
      </c>
      <c r="CK18" s="73" t="str">
        <f t="shared" si="8"/>
        <v/>
      </c>
      <c r="CL18" s="73" t="str">
        <f t="shared" si="8"/>
        <v/>
      </c>
      <c r="CM18" s="73" t="str">
        <f t="shared" si="8"/>
        <v/>
      </c>
      <c r="CN18" s="73" t="str">
        <f t="shared" si="8"/>
        <v/>
      </c>
      <c r="CO18" s="73" t="str">
        <f t="shared" si="8"/>
        <v/>
      </c>
      <c r="CP18" s="73" t="str">
        <f t="shared" si="8"/>
        <v/>
      </c>
      <c r="CQ18" s="73" t="str">
        <f t="shared" si="8"/>
        <v/>
      </c>
      <c r="CR18" s="73" t="str">
        <f t="shared" si="8"/>
        <v/>
      </c>
      <c r="CS18" s="73" t="str">
        <f t="shared" si="8"/>
        <v/>
      </c>
      <c r="CT18" s="73" t="str">
        <f t="shared" si="8"/>
        <v/>
      </c>
      <c r="CU18" s="73" t="str">
        <f t="shared" si="8"/>
        <v/>
      </c>
      <c r="CV18" s="73" t="str">
        <f t="shared" si="8"/>
        <v/>
      </c>
      <c r="CW18" s="73" t="str">
        <f t="shared" si="8"/>
        <v/>
      </c>
      <c r="CX18" s="73" t="str">
        <f t="shared" si="8"/>
        <v/>
      </c>
    </row>
    <row r="19" spans="1:102" x14ac:dyDescent="0.25">
      <c r="A19" s="60" t="s">
        <v>54</v>
      </c>
      <c r="B19" s="73"/>
      <c r="C19" s="73">
        <f t="array" ref="C19:CX19">'Inputs and Outputs'!C115:CX115</f>
        <v>0</v>
      </c>
      <c r="D19" s="73">
        <v>0</v>
      </c>
      <c r="E19" s="73">
        <v>0</v>
      </c>
      <c r="F19" s="73">
        <v>0</v>
      </c>
      <c r="G19" s="73">
        <v>0</v>
      </c>
      <c r="H19" s="73">
        <v>0</v>
      </c>
      <c r="I19" s="73">
        <v>0</v>
      </c>
      <c r="J19" s="73">
        <v>0</v>
      </c>
      <c r="K19" s="73">
        <v>0</v>
      </c>
      <c r="L19" s="73">
        <v>0</v>
      </c>
      <c r="M19" s="73">
        <v>0</v>
      </c>
      <c r="N19" s="73">
        <v>0</v>
      </c>
      <c r="O19" s="73">
        <v>0</v>
      </c>
      <c r="P19" s="73">
        <v>0</v>
      </c>
      <c r="Q19" s="73">
        <v>0</v>
      </c>
      <c r="R19" s="73">
        <v>0</v>
      </c>
      <c r="S19" s="73">
        <v>0</v>
      </c>
      <c r="T19" s="73">
        <v>0</v>
      </c>
      <c r="U19" s="73">
        <v>0</v>
      </c>
      <c r="V19" s="73">
        <v>0</v>
      </c>
      <c r="W19" s="73">
        <v>0</v>
      </c>
      <c r="X19" s="73">
        <v>0</v>
      </c>
      <c r="Y19" s="73">
        <v>0</v>
      </c>
      <c r="Z19" s="73">
        <v>0</v>
      </c>
      <c r="AA19" s="73">
        <v>0</v>
      </c>
      <c r="AB19" s="73">
        <v>0</v>
      </c>
      <c r="AC19" s="73">
        <v>0</v>
      </c>
      <c r="AD19" s="73">
        <v>0</v>
      </c>
      <c r="AE19" s="73">
        <v>0</v>
      </c>
      <c r="AF19" s="73">
        <v>0</v>
      </c>
      <c r="AG19" s="73">
        <v>0</v>
      </c>
      <c r="AH19" s="73">
        <v>0</v>
      </c>
      <c r="AI19" s="73">
        <v>0</v>
      </c>
      <c r="AJ19" s="73">
        <v>0</v>
      </c>
      <c r="AK19" s="73">
        <v>0</v>
      </c>
      <c r="AL19" s="73">
        <v>0</v>
      </c>
      <c r="AM19" s="73">
        <v>0</v>
      </c>
      <c r="AN19" s="73">
        <v>0</v>
      </c>
      <c r="AO19" s="73">
        <v>0</v>
      </c>
      <c r="AP19" s="73">
        <v>0</v>
      </c>
      <c r="AQ19" s="73">
        <v>0</v>
      </c>
      <c r="AR19" s="73">
        <v>0</v>
      </c>
      <c r="AS19" s="73">
        <v>0</v>
      </c>
      <c r="AT19" s="73">
        <v>0</v>
      </c>
      <c r="AU19" s="73">
        <v>0</v>
      </c>
      <c r="AV19" s="73">
        <v>0</v>
      </c>
      <c r="AW19" s="73">
        <v>0</v>
      </c>
      <c r="AX19" s="73">
        <v>0</v>
      </c>
      <c r="AY19" s="73">
        <v>0</v>
      </c>
      <c r="AZ19" s="73">
        <v>0</v>
      </c>
      <c r="BA19" s="73">
        <v>0</v>
      </c>
      <c r="BB19" s="73">
        <v>0</v>
      </c>
      <c r="BC19" s="73">
        <v>0</v>
      </c>
      <c r="BD19" s="73">
        <v>0</v>
      </c>
      <c r="BE19" s="73">
        <v>0</v>
      </c>
      <c r="BF19" s="73">
        <v>0</v>
      </c>
      <c r="BG19" s="73">
        <v>0</v>
      </c>
      <c r="BH19" s="73">
        <v>0</v>
      </c>
      <c r="BI19" s="73">
        <v>0</v>
      </c>
      <c r="BJ19" s="73">
        <v>0</v>
      </c>
      <c r="BK19" s="73">
        <v>0</v>
      </c>
      <c r="BL19" s="73">
        <v>0</v>
      </c>
      <c r="BM19" s="73">
        <v>0</v>
      </c>
      <c r="BN19" s="73">
        <v>0</v>
      </c>
      <c r="BO19" s="73">
        <v>0</v>
      </c>
      <c r="BP19" s="73">
        <v>0</v>
      </c>
      <c r="BQ19" s="73">
        <v>0</v>
      </c>
      <c r="BR19" s="73">
        <v>0</v>
      </c>
      <c r="BS19" s="73">
        <v>0</v>
      </c>
      <c r="BT19" s="73">
        <v>0</v>
      </c>
      <c r="BU19" s="73">
        <v>0</v>
      </c>
      <c r="BV19" s="73">
        <v>0</v>
      </c>
      <c r="BW19" s="73">
        <v>0</v>
      </c>
      <c r="BX19" s="73">
        <v>0</v>
      </c>
      <c r="BY19" s="73">
        <v>0</v>
      </c>
      <c r="BZ19" s="73">
        <v>0</v>
      </c>
      <c r="CA19" s="73">
        <v>0</v>
      </c>
      <c r="CB19" s="73">
        <v>0</v>
      </c>
      <c r="CC19" s="73">
        <v>0</v>
      </c>
      <c r="CD19" s="73">
        <v>0</v>
      </c>
      <c r="CE19" s="73">
        <v>0</v>
      </c>
      <c r="CF19" s="73">
        <v>0</v>
      </c>
      <c r="CG19" s="73">
        <v>0</v>
      </c>
      <c r="CH19" s="73">
        <v>0</v>
      </c>
      <c r="CI19" s="73">
        <v>0</v>
      </c>
      <c r="CJ19" s="73">
        <v>0</v>
      </c>
      <c r="CK19" s="73">
        <v>0</v>
      </c>
      <c r="CL19" s="73">
        <v>0</v>
      </c>
      <c r="CM19" s="73">
        <v>0</v>
      </c>
      <c r="CN19" s="73">
        <v>0</v>
      </c>
      <c r="CO19" s="73">
        <v>0</v>
      </c>
      <c r="CP19" s="73">
        <v>0</v>
      </c>
      <c r="CQ19" s="73">
        <v>0</v>
      </c>
      <c r="CR19" s="73">
        <v>0</v>
      </c>
      <c r="CS19" s="73">
        <v>0</v>
      </c>
      <c r="CT19" s="73">
        <v>0</v>
      </c>
      <c r="CU19" s="73">
        <v>0</v>
      </c>
      <c r="CV19" s="73">
        <v>0</v>
      </c>
      <c r="CW19" s="73">
        <v>0</v>
      </c>
      <c r="CX19" s="73">
        <v>0</v>
      </c>
    </row>
    <row r="20" spans="1:102" x14ac:dyDescent="0.25">
      <c r="A20" s="59" t="s">
        <v>63</v>
      </c>
      <c r="B20" s="73"/>
      <c r="C20" s="73" t="str">
        <f t="shared" ref="C20:AH20" si="9">IF(AND(ISNUMBER(outYear),ISNUMBER(om_production)),om_production*(C5/1000)*(1+inflation_rate/100+om_production_escal/100)^B2,"")</f>
        <v/>
      </c>
      <c r="D20" s="73" t="str">
        <f t="shared" si="9"/>
        <v/>
      </c>
      <c r="E20" s="73" t="str">
        <f t="shared" si="9"/>
        <v/>
      </c>
      <c r="F20" s="73" t="str">
        <f t="shared" si="9"/>
        <v/>
      </c>
      <c r="G20" s="73" t="str">
        <f t="shared" si="9"/>
        <v/>
      </c>
      <c r="H20" s="73" t="str">
        <f t="shared" si="9"/>
        <v/>
      </c>
      <c r="I20" s="73" t="str">
        <f t="shared" si="9"/>
        <v/>
      </c>
      <c r="J20" s="73" t="str">
        <f t="shared" si="9"/>
        <v/>
      </c>
      <c r="K20" s="73" t="str">
        <f t="shared" si="9"/>
        <v/>
      </c>
      <c r="L20" s="73" t="str">
        <f t="shared" si="9"/>
        <v/>
      </c>
      <c r="M20" s="73" t="str">
        <f t="shared" si="9"/>
        <v/>
      </c>
      <c r="N20" s="73" t="str">
        <f t="shared" si="9"/>
        <v/>
      </c>
      <c r="O20" s="73" t="str">
        <f t="shared" si="9"/>
        <v/>
      </c>
      <c r="P20" s="73" t="str">
        <f t="shared" si="9"/>
        <v/>
      </c>
      <c r="Q20" s="73" t="str">
        <f t="shared" si="9"/>
        <v/>
      </c>
      <c r="R20" s="73" t="str">
        <f t="shared" si="9"/>
        <v/>
      </c>
      <c r="S20" s="73" t="str">
        <f t="shared" si="9"/>
        <v/>
      </c>
      <c r="T20" s="73" t="str">
        <f t="shared" si="9"/>
        <v/>
      </c>
      <c r="U20" s="73" t="str">
        <f t="shared" si="9"/>
        <v/>
      </c>
      <c r="V20" s="73" t="str">
        <f t="shared" si="9"/>
        <v/>
      </c>
      <c r="W20" s="73" t="str">
        <f t="shared" si="9"/>
        <v/>
      </c>
      <c r="X20" s="73" t="str">
        <f t="shared" si="9"/>
        <v/>
      </c>
      <c r="Y20" s="73" t="str">
        <f t="shared" si="9"/>
        <v/>
      </c>
      <c r="Z20" s="73" t="str">
        <f t="shared" si="9"/>
        <v/>
      </c>
      <c r="AA20" s="73" t="str">
        <f t="shared" si="9"/>
        <v/>
      </c>
      <c r="AB20" s="73" t="str">
        <f t="shared" si="9"/>
        <v/>
      </c>
      <c r="AC20" s="73" t="str">
        <f t="shared" si="9"/>
        <v/>
      </c>
      <c r="AD20" s="73" t="str">
        <f t="shared" si="9"/>
        <v/>
      </c>
      <c r="AE20" s="73" t="str">
        <f t="shared" si="9"/>
        <v/>
      </c>
      <c r="AF20" s="73" t="str">
        <f t="shared" si="9"/>
        <v/>
      </c>
      <c r="AG20" s="73" t="str">
        <f t="shared" si="9"/>
        <v/>
      </c>
      <c r="AH20" s="73" t="str">
        <f t="shared" si="9"/>
        <v/>
      </c>
      <c r="AI20" s="73" t="str">
        <f t="shared" ref="AI20:BN20" si="10">IF(AND(ISNUMBER(outYear),ISNUMBER(om_production)),om_production*(AI5/1000)*(1+inflation_rate/100+om_production_escal/100)^AH2,"")</f>
        <v/>
      </c>
      <c r="AJ20" s="73" t="str">
        <f t="shared" si="10"/>
        <v/>
      </c>
      <c r="AK20" s="73" t="str">
        <f t="shared" si="10"/>
        <v/>
      </c>
      <c r="AL20" s="73" t="str">
        <f t="shared" si="10"/>
        <v/>
      </c>
      <c r="AM20" s="73" t="str">
        <f t="shared" si="10"/>
        <v/>
      </c>
      <c r="AN20" s="73" t="str">
        <f t="shared" si="10"/>
        <v/>
      </c>
      <c r="AO20" s="73" t="str">
        <f t="shared" si="10"/>
        <v/>
      </c>
      <c r="AP20" s="73" t="str">
        <f t="shared" si="10"/>
        <v/>
      </c>
      <c r="AQ20" s="73" t="str">
        <f t="shared" si="10"/>
        <v/>
      </c>
      <c r="AR20" s="73" t="str">
        <f t="shared" si="10"/>
        <v/>
      </c>
      <c r="AS20" s="73" t="str">
        <f t="shared" si="10"/>
        <v/>
      </c>
      <c r="AT20" s="73" t="str">
        <f t="shared" si="10"/>
        <v/>
      </c>
      <c r="AU20" s="73" t="str">
        <f t="shared" si="10"/>
        <v/>
      </c>
      <c r="AV20" s="73" t="str">
        <f t="shared" si="10"/>
        <v/>
      </c>
      <c r="AW20" s="73" t="str">
        <f t="shared" si="10"/>
        <v/>
      </c>
      <c r="AX20" s="73" t="str">
        <f t="shared" si="10"/>
        <v/>
      </c>
      <c r="AY20" s="73" t="str">
        <f t="shared" si="10"/>
        <v/>
      </c>
      <c r="AZ20" s="73" t="str">
        <f t="shared" si="10"/>
        <v/>
      </c>
      <c r="BA20" s="73" t="str">
        <f t="shared" si="10"/>
        <v/>
      </c>
      <c r="BB20" s="73" t="str">
        <f t="shared" si="10"/>
        <v/>
      </c>
      <c r="BC20" s="73" t="str">
        <f t="shared" si="10"/>
        <v/>
      </c>
      <c r="BD20" s="73" t="str">
        <f t="shared" si="10"/>
        <v/>
      </c>
      <c r="BE20" s="73" t="str">
        <f t="shared" si="10"/>
        <v/>
      </c>
      <c r="BF20" s="73" t="str">
        <f t="shared" si="10"/>
        <v/>
      </c>
      <c r="BG20" s="73" t="str">
        <f t="shared" si="10"/>
        <v/>
      </c>
      <c r="BH20" s="73" t="str">
        <f t="shared" si="10"/>
        <v/>
      </c>
      <c r="BI20" s="73" t="str">
        <f t="shared" si="10"/>
        <v/>
      </c>
      <c r="BJ20" s="73" t="str">
        <f t="shared" si="10"/>
        <v/>
      </c>
      <c r="BK20" s="73" t="str">
        <f t="shared" si="10"/>
        <v/>
      </c>
      <c r="BL20" s="73" t="str">
        <f t="shared" si="10"/>
        <v/>
      </c>
      <c r="BM20" s="73" t="str">
        <f t="shared" si="10"/>
        <v/>
      </c>
      <c r="BN20" s="73" t="str">
        <f t="shared" si="10"/>
        <v/>
      </c>
      <c r="BO20" s="73" t="str">
        <f t="shared" ref="BO20:CX20" si="11">IF(AND(ISNUMBER(outYear),ISNUMBER(om_production)),om_production*(BO5/1000)*(1+inflation_rate/100+om_production_escal/100)^BN2,"")</f>
        <v/>
      </c>
      <c r="BP20" s="73" t="str">
        <f t="shared" si="11"/>
        <v/>
      </c>
      <c r="BQ20" s="73" t="str">
        <f t="shared" si="11"/>
        <v/>
      </c>
      <c r="BR20" s="73" t="str">
        <f t="shared" si="11"/>
        <v/>
      </c>
      <c r="BS20" s="73" t="str">
        <f t="shared" si="11"/>
        <v/>
      </c>
      <c r="BT20" s="73" t="str">
        <f t="shared" si="11"/>
        <v/>
      </c>
      <c r="BU20" s="73" t="str">
        <f t="shared" si="11"/>
        <v/>
      </c>
      <c r="BV20" s="73" t="str">
        <f t="shared" si="11"/>
        <v/>
      </c>
      <c r="BW20" s="73" t="str">
        <f t="shared" si="11"/>
        <v/>
      </c>
      <c r="BX20" s="73" t="str">
        <f t="shared" si="11"/>
        <v/>
      </c>
      <c r="BY20" s="73" t="str">
        <f t="shared" si="11"/>
        <v/>
      </c>
      <c r="BZ20" s="73" t="str">
        <f t="shared" si="11"/>
        <v/>
      </c>
      <c r="CA20" s="73" t="str">
        <f t="shared" si="11"/>
        <v/>
      </c>
      <c r="CB20" s="73" t="str">
        <f t="shared" si="11"/>
        <v/>
      </c>
      <c r="CC20" s="73" t="str">
        <f t="shared" si="11"/>
        <v/>
      </c>
      <c r="CD20" s="73" t="str">
        <f t="shared" si="11"/>
        <v/>
      </c>
      <c r="CE20" s="73" t="str">
        <f t="shared" si="11"/>
        <v/>
      </c>
      <c r="CF20" s="73" t="str">
        <f t="shared" si="11"/>
        <v/>
      </c>
      <c r="CG20" s="73" t="str">
        <f t="shared" si="11"/>
        <v/>
      </c>
      <c r="CH20" s="73" t="str">
        <f t="shared" si="11"/>
        <v/>
      </c>
      <c r="CI20" s="73" t="str">
        <f t="shared" si="11"/>
        <v/>
      </c>
      <c r="CJ20" s="73" t="str">
        <f t="shared" si="11"/>
        <v/>
      </c>
      <c r="CK20" s="73" t="str">
        <f t="shared" si="11"/>
        <v/>
      </c>
      <c r="CL20" s="73" t="str">
        <f t="shared" si="11"/>
        <v/>
      </c>
      <c r="CM20" s="73" t="str">
        <f t="shared" si="11"/>
        <v/>
      </c>
      <c r="CN20" s="73" t="str">
        <f t="shared" si="11"/>
        <v/>
      </c>
      <c r="CO20" s="73" t="str">
        <f t="shared" si="11"/>
        <v/>
      </c>
      <c r="CP20" s="73" t="str">
        <f t="shared" si="11"/>
        <v/>
      </c>
      <c r="CQ20" s="73" t="str">
        <f t="shared" si="11"/>
        <v/>
      </c>
      <c r="CR20" s="73" t="str">
        <f t="shared" si="11"/>
        <v/>
      </c>
      <c r="CS20" s="73" t="str">
        <f t="shared" si="11"/>
        <v/>
      </c>
      <c r="CT20" s="73" t="str">
        <f t="shared" si="11"/>
        <v/>
      </c>
      <c r="CU20" s="73" t="str">
        <f t="shared" si="11"/>
        <v/>
      </c>
      <c r="CV20" s="73" t="str">
        <f t="shared" si="11"/>
        <v/>
      </c>
      <c r="CW20" s="73" t="str">
        <f t="shared" si="11"/>
        <v/>
      </c>
      <c r="CX20" s="73" t="str">
        <f t="shared" si="11"/>
        <v/>
      </c>
    </row>
    <row r="21" spans="1:102" x14ac:dyDescent="0.25">
      <c r="A21" s="60" t="s">
        <v>54</v>
      </c>
      <c r="B21" s="73"/>
      <c r="C21" s="73">
        <f t="array" ref="C21:CX21">'Inputs and Outputs'!C117:CX117</f>
        <v>0</v>
      </c>
      <c r="D21" s="73">
        <v>0</v>
      </c>
      <c r="E21" s="73">
        <v>0</v>
      </c>
      <c r="F21" s="73">
        <v>0</v>
      </c>
      <c r="G21" s="73">
        <v>0</v>
      </c>
      <c r="H21" s="73">
        <v>0</v>
      </c>
      <c r="I21" s="73">
        <v>0</v>
      </c>
      <c r="J21" s="73">
        <v>0</v>
      </c>
      <c r="K21" s="73">
        <v>0</v>
      </c>
      <c r="L21" s="73">
        <v>0</v>
      </c>
      <c r="M21" s="73">
        <v>0</v>
      </c>
      <c r="N21" s="73">
        <v>0</v>
      </c>
      <c r="O21" s="73">
        <v>0</v>
      </c>
      <c r="P21" s="73">
        <v>0</v>
      </c>
      <c r="Q21" s="73">
        <v>0</v>
      </c>
      <c r="R21" s="73">
        <v>0</v>
      </c>
      <c r="S21" s="73">
        <v>0</v>
      </c>
      <c r="T21" s="73">
        <v>0</v>
      </c>
      <c r="U21" s="73">
        <v>0</v>
      </c>
      <c r="V21" s="73">
        <v>0</v>
      </c>
      <c r="W21" s="73">
        <v>0</v>
      </c>
      <c r="X21" s="73">
        <v>0</v>
      </c>
      <c r="Y21" s="73">
        <v>0</v>
      </c>
      <c r="Z21" s="73">
        <v>0</v>
      </c>
      <c r="AA21" s="73">
        <v>0</v>
      </c>
      <c r="AB21" s="73">
        <v>0</v>
      </c>
      <c r="AC21" s="73">
        <v>0</v>
      </c>
      <c r="AD21" s="73">
        <v>0</v>
      </c>
      <c r="AE21" s="73">
        <v>0</v>
      </c>
      <c r="AF21" s="73">
        <v>0</v>
      </c>
      <c r="AG21" s="73">
        <v>0</v>
      </c>
      <c r="AH21" s="73">
        <v>0</v>
      </c>
      <c r="AI21" s="73">
        <v>0</v>
      </c>
      <c r="AJ21" s="73">
        <v>0</v>
      </c>
      <c r="AK21" s="73">
        <v>0</v>
      </c>
      <c r="AL21" s="73">
        <v>0</v>
      </c>
      <c r="AM21" s="73">
        <v>0</v>
      </c>
      <c r="AN21" s="73">
        <v>0</v>
      </c>
      <c r="AO21" s="73">
        <v>0</v>
      </c>
      <c r="AP21" s="73">
        <v>0</v>
      </c>
      <c r="AQ21" s="73">
        <v>0</v>
      </c>
      <c r="AR21" s="73">
        <v>0</v>
      </c>
      <c r="AS21" s="73">
        <v>0</v>
      </c>
      <c r="AT21" s="73">
        <v>0</v>
      </c>
      <c r="AU21" s="73">
        <v>0</v>
      </c>
      <c r="AV21" s="73">
        <v>0</v>
      </c>
      <c r="AW21" s="73">
        <v>0</v>
      </c>
      <c r="AX21" s="73">
        <v>0</v>
      </c>
      <c r="AY21" s="73">
        <v>0</v>
      </c>
      <c r="AZ21" s="73">
        <v>0</v>
      </c>
      <c r="BA21" s="73">
        <v>0</v>
      </c>
      <c r="BB21" s="73">
        <v>0</v>
      </c>
      <c r="BC21" s="73">
        <v>0</v>
      </c>
      <c r="BD21" s="73">
        <v>0</v>
      </c>
      <c r="BE21" s="73">
        <v>0</v>
      </c>
      <c r="BF21" s="73">
        <v>0</v>
      </c>
      <c r="BG21" s="73">
        <v>0</v>
      </c>
      <c r="BH21" s="73">
        <v>0</v>
      </c>
      <c r="BI21" s="73">
        <v>0</v>
      </c>
      <c r="BJ21" s="73">
        <v>0</v>
      </c>
      <c r="BK21" s="73">
        <v>0</v>
      </c>
      <c r="BL21" s="73">
        <v>0</v>
      </c>
      <c r="BM21" s="73">
        <v>0</v>
      </c>
      <c r="BN21" s="73">
        <v>0</v>
      </c>
      <c r="BO21" s="73">
        <v>0</v>
      </c>
      <c r="BP21" s="73">
        <v>0</v>
      </c>
      <c r="BQ21" s="73">
        <v>0</v>
      </c>
      <c r="BR21" s="73">
        <v>0</v>
      </c>
      <c r="BS21" s="73">
        <v>0</v>
      </c>
      <c r="BT21" s="73">
        <v>0</v>
      </c>
      <c r="BU21" s="73">
        <v>0</v>
      </c>
      <c r="BV21" s="73">
        <v>0</v>
      </c>
      <c r="BW21" s="73">
        <v>0</v>
      </c>
      <c r="BX21" s="73">
        <v>0</v>
      </c>
      <c r="BY21" s="73">
        <v>0</v>
      </c>
      <c r="BZ21" s="73">
        <v>0</v>
      </c>
      <c r="CA21" s="73">
        <v>0</v>
      </c>
      <c r="CB21" s="73">
        <v>0</v>
      </c>
      <c r="CC21" s="73">
        <v>0</v>
      </c>
      <c r="CD21" s="73">
        <v>0</v>
      </c>
      <c r="CE21" s="73">
        <v>0</v>
      </c>
      <c r="CF21" s="73">
        <v>0</v>
      </c>
      <c r="CG21" s="73">
        <v>0</v>
      </c>
      <c r="CH21" s="73">
        <v>0</v>
      </c>
      <c r="CI21" s="73">
        <v>0</v>
      </c>
      <c r="CJ21" s="73">
        <v>0</v>
      </c>
      <c r="CK21" s="73">
        <v>0</v>
      </c>
      <c r="CL21" s="73">
        <v>0</v>
      </c>
      <c r="CM21" s="73">
        <v>0</v>
      </c>
      <c r="CN21" s="73">
        <v>0</v>
      </c>
      <c r="CO21" s="73">
        <v>0</v>
      </c>
      <c r="CP21" s="73">
        <v>0</v>
      </c>
      <c r="CQ21" s="73">
        <v>0</v>
      </c>
      <c r="CR21" s="73">
        <v>0</v>
      </c>
      <c r="CS21" s="73">
        <v>0</v>
      </c>
      <c r="CT21" s="73">
        <v>0</v>
      </c>
      <c r="CU21" s="73">
        <v>0</v>
      </c>
      <c r="CV21" s="73">
        <v>0</v>
      </c>
      <c r="CW21" s="73">
        <v>0</v>
      </c>
      <c r="CX21" s="73">
        <v>0</v>
      </c>
    </row>
    <row r="22" spans="1:102" x14ac:dyDescent="0.25">
      <c r="A22" s="59" t="s">
        <v>170</v>
      </c>
      <c r="B22" s="73">
        <f t="array" ref="B22:CX22">'Inputs and Outputs'!B127:CX127</f>
        <v>0</v>
      </c>
      <c r="C22" s="73">
        <v>0</v>
      </c>
      <c r="D22" s="73">
        <v>0</v>
      </c>
      <c r="E22" s="73">
        <v>0</v>
      </c>
      <c r="F22" s="73">
        <v>0</v>
      </c>
      <c r="G22" s="73">
        <v>0</v>
      </c>
      <c r="H22" s="73">
        <v>0</v>
      </c>
      <c r="I22" s="73">
        <v>0</v>
      </c>
      <c r="J22" s="73">
        <v>0</v>
      </c>
      <c r="K22" s="73">
        <v>0</v>
      </c>
      <c r="L22" s="73">
        <v>0</v>
      </c>
      <c r="M22" s="73">
        <v>0</v>
      </c>
      <c r="N22" s="73">
        <v>0</v>
      </c>
      <c r="O22" s="73">
        <v>0</v>
      </c>
      <c r="P22" s="73">
        <v>0</v>
      </c>
      <c r="Q22" s="73">
        <v>0</v>
      </c>
      <c r="R22" s="73">
        <v>0</v>
      </c>
      <c r="S22" s="73">
        <v>0</v>
      </c>
      <c r="T22" s="73">
        <v>0</v>
      </c>
      <c r="U22" s="73">
        <v>0</v>
      </c>
      <c r="V22" s="73">
        <v>0</v>
      </c>
      <c r="W22" s="73">
        <v>0</v>
      </c>
      <c r="X22" s="73">
        <v>0</v>
      </c>
      <c r="Y22" s="73">
        <v>0</v>
      </c>
      <c r="Z22" s="73">
        <v>0</v>
      </c>
      <c r="AA22" s="73">
        <v>0</v>
      </c>
      <c r="AB22" s="73">
        <v>0</v>
      </c>
      <c r="AC22" s="73">
        <v>0</v>
      </c>
      <c r="AD22" s="73">
        <v>0</v>
      </c>
      <c r="AE22" s="73">
        <v>0</v>
      </c>
      <c r="AF22" s="73">
        <v>0</v>
      </c>
      <c r="AG22" s="73">
        <v>0</v>
      </c>
      <c r="AH22" s="73">
        <v>0</v>
      </c>
      <c r="AI22" s="73">
        <v>0</v>
      </c>
      <c r="AJ22" s="73">
        <v>0</v>
      </c>
      <c r="AK22" s="73">
        <v>0</v>
      </c>
      <c r="AL22" s="73">
        <v>0</v>
      </c>
      <c r="AM22" s="73">
        <v>0</v>
      </c>
      <c r="AN22" s="73">
        <v>0</v>
      </c>
      <c r="AO22" s="73">
        <v>0</v>
      </c>
      <c r="AP22" s="73">
        <v>0</v>
      </c>
      <c r="AQ22" s="73">
        <v>0</v>
      </c>
      <c r="AR22" s="73">
        <v>0</v>
      </c>
      <c r="AS22" s="73">
        <v>0</v>
      </c>
      <c r="AT22" s="73">
        <v>0</v>
      </c>
      <c r="AU22" s="73">
        <v>0</v>
      </c>
      <c r="AV22" s="73">
        <v>0</v>
      </c>
      <c r="AW22" s="73">
        <v>0</v>
      </c>
      <c r="AX22" s="73">
        <v>0</v>
      </c>
      <c r="AY22" s="73">
        <v>0</v>
      </c>
      <c r="AZ22" s="73">
        <v>0</v>
      </c>
      <c r="BA22" s="73">
        <v>0</v>
      </c>
      <c r="BB22" s="73">
        <v>0</v>
      </c>
      <c r="BC22" s="73">
        <v>0</v>
      </c>
      <c r="BD22" s="73">
        <v>0</v>
      </c>
      <c r="BE22" s="73">
        <v>0</v>
      </c>
      <c r="BF22" s="73">
        <v>0</v>
      </c>
      <c r="BG22" s="73">
        <v>0</v>
      </c>
      <c r="BH22" s="73">
        <v>0</v>
      </c>
      <c r="BI22" s="73">
        <v>0</v>
      </c>
      <c r="BJ22" s="73">
        <v>0</v>
      </c>
      <c r="BK22" s="73">
        <v>0</v>
      </c>
      <c r="BL22" s="73">
        <v>0</v>
      </c>
      <c r="BM22" s="73">
        <v>0</v>
      </c>
      <c r="BN22" s="73">
        <v>0</v>
      </c>
      <c r="BO22" s="73">
        <v>0</v>
      </c>
      <c r="BP22" s="73">
        <v>0</v>
      </c>
      <c r="BQ22" s="73">
        <v>0</v>
      </c>
      <c r="BR22" s="73">
        <v>0</v>
      </c>
      <c r="BS22" s="73">
        <v>0</v>
      </c>
      <c r="BT22" s="73">
        <v>0</v>
      </c>
      <c r="BU22" s="73">
        <v>0</v>
      </c>
      <c r="BV22" s="73">
        <v>0</v>
      </c>
      <c r="BW22" s="73">
        <v>0</v>
      </c>
      <c r="BX22" s="73">
        <v>0</v>
      </c>
      <c r="BY22" s="73">
        <v>0</v>
      </c>
      <c r="BZ22" s="73">
        <v>0</v>
      </c>
      <c r="CA22" s="73">
        <v>0</v>
      </c>
      <c r="CB22" s="73">
        <v>0</v>
      </c>
      <c r="CC22" s="73">
        <v>0</v>
      </c>
      <c r="CD22" s="73">
        <v>0</v>
      </c>
      <c r="CE22" s="73">
        <v>0</v>
      </c>
      <c r="CF22" s="73">
        <v>0</v>
      </c>
      <c r="CG22" s="73">
        <v>0</v>
      </c>
      <c r="CH22" s="73">
        <v>0</v>
      </c>
      <c r="CI22" s="73">
        <v>0</v>
      </c>
      <c r="CJ22" s="73">
        <v>0</v>
      </c>
      <c r="CK22" s="73">
        <v>0</v>
      </c>
      <c r="CL22" s="73">
        <v>0</v>
      </c>
      <c r="CM22" s="73">
        <v>0</v>
      </c>
      <c r="CN22" s="73">
        <v>0</v>
      </c>
      <c r="CO22" s="73">
        <v>0</v>
      </c>
      <c r="CP22" s="73">
        <v>0</v>
      </c>
      <c r="CQ22" s="73">
        <v>0</v>
      </c>
      <c r="CR22" s="73">
        <v>0</v>
      </c>
      <c r="CS22" s="73">
        <v>0</v>
      </c>
      <c r="CT22" s="73">
        <v>0</v>
      </c>
      <c r="CU22" s="73">
        <v>0</v>
      </c>
      <c r="CV22" s="73">
        <v>0</v>
      </c>
      <c r="CW22" s="73">
        <v>0</v>
      </c>
      <c r="CX22" s="73">
        <v>0</v>
      </c>
    </row>
    <row r="23" spans="1:102" x14ac:dyDescent="0.25">
      <c r="A23" s="59" t="s">
        <v>233</v>
      </c>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c r="CC23" s="73"/>
      <c r="CD23" s="73"/>
      <c r="CE23" s="73"/>
      <c r="CF23" s="73"/>
      <c r="CG23" s="73"/>
      <c r="CH23" s="73"/>
      <c r="CI23" s="73"/>
      <c r="CJ23" s="73"/>
      <c r="CK23" s="73"/>
      <c r="CL23" s="73"/>
      <c r="CM23" s="73"/>
      <c r="CN23" s="73"/>
      <c r="CO23" s="73"/>
      <c r="CP23" s="73"/>
      <c r="CQ23" s="73"/>
      <c r="CR23" s="73"/>
      <c r="CS23" s="73"/>
      <c r="CT23" s="73"/>
      <c r="CU23" s="73"/>
      <c r="CV23" s="73"/>
      <c r="CW23" s="73"/>
      <c r="CX23" s="73"/>
    </row>
    <row r="24" spans="1:102" x14ac:dyDescent="0.25">
      <c r="A24" s="60" t="s">
        <v>234</v>
      </c>
      <c r="B24" s="73">
        <f t="array" ref="B24:CX24">'Inputs and Outputs'!B129:CX129</f>
        <v>0</v>
      </c>
      <c r="C24" s="73">
        <v>0</v>
      </c>
      <c r="D24" s="73">
        <v>0</v>
      </c>
      <c r="E24" s="73">
        <v>0</v>
      </c>
      <c r="F24" s="73">
        <v>0</v>
      </c>
      <c r="G24" s="73">
        <v>0</v>
      </c>
      <c r="H24" s="73">
        <v>0</v>
      </c>
      <c r="I24" s="73">
        <v>0</v>
      </c>
      <c r="J24" s="73">
        <v>0</v>
      </c>
      <c r="K24" s="73">
        <v>0</v>
      </c>
      <c r="L24" s="73">
        <v>0</v>
      </c>
      <c r="M24" s="73">
        <v>0</v>
      </c>
      <c r="N24" s="73">
        <v>0</v>
      </c>
      <c r="O24" s="73">
        <v>0</v>
      </c>
      <c r="P24" s="73">
        <v>0</v>
      </c>
      <c r="Q24" s="73">
        <v>0</v>
      </c>
      <c r="R24" s="73">
        <v>0</v>
      </c>
      <c r="S24" s="73">
        <v>0</v>
      </c>
      <c r="T24" s="73">
        <v>0</v>
      </c>
      <c r="U24" s="73">
        <v>0</v>
      </c>
      <c r="V24" s="73">
        <v>0</v>
      </c>
      <c r="W24" s="73">
        <v>0</v>
      </c>
      <c r="X24" s="73">
        <v>0</v>
      </c>
      <c r="Y24" s="73">
        <v>0</v>
      </c>
      <c r="Z24" s="73">
        <v>0</v>
      </c>
      <c r="AA24" s="73">
        <v>0</v>
      </c>
      <c r="AB24" s="73">
        <v>0</v>
      </c>
      <c r="AC24" s="73">
        <v>0</v>
      </c>
      <c r="AD24" s="73">
        <v>0</v>
      </c>
      <c r="AE24" s="73">
        <v>0</v>
      </c>
      <c r="AF24" s="73">
        <v>0</v>
      </c>
      <c r="AG24" s="73">
        <v>0</v>
      </c>
      <c r="AH24" s="73">
        <v>0</v>
      </c>
      <c r="AI24" s="73">
        <v>0</v>
      </c>
      <c r="AJ24" s="73">
        <v>0</v>
      </c>
      <c r="AK24" s="73">
        <v>0</v>
      </c>
      <c r="AL24" s="73">
        <v>0</v>
      </c>
      <c r="AM24" s="73">
        <v>0</v>
      </c>
      <c r="AN24" s="73">
        <v>0</v>
      </c>
      <c r="AO24" s="73">
        <v>0</v>
      </c>
      <c r="AP24" s="73">
        <v>0</v>
      </c>
      <c r="AQ24" s="73">
        <v>0</v>
      </c>
      <c r="AR24" s="73">
        <v>0</v>
      </c>
      <c r="AS24" s="73">
        <v>0</v>
      </c>
      <c r="AT24" s="73">
        <v>0</v>
      </c>
      <c r="AU24" s="73">
        <v>0</v>
      </c>
      <c r="AV24" s="73">
        <v>0</v>
      </c>
      <c r="AW24" s="73">
        <v>0</v>
      </c>
      <c r="AX24" s="73">
        <v>0</v>
      </c>
      <c r="AY24" s="73">
        <v>0</v>
      </c>
      <c r="AZ24" s="73">
        <v>0</v>
      </c>
      <c r="BA24" s="73">
        <v>0</v>
      </c>
      <c r="BB24" s="73">
        <v>0</v>
      </c>
      <c r="BC24" s="73">
        <v>0</v>
      </c>
      <c r="BD24" s="73">
        <v>0</v>
      </c>
      <c r="BE24" s="73">
        <v>0</v>
      </c>
      <c r="BF24" s="73">
        <v>0</v>
      </c>
      <c r="BG24" s="73">
        <v>0</v>
      </c>
      <c r="BH24" s="73">
        <v>0</v>
      </c>
      <c r="BI24" s="73">
        <v>0</v>
      </c>
      <c r="BJ24" s="73">
        <v>0</v>
      </c>
      <c r="BK24" s="73">
        <v>0</v>
      </c>
      <c r="BL24" s="73">
        <v>0</v>
      </c>
      <c r="BM24" s="73">
        <v>0</v>
      </c>
      <c r="BN24" s="73">
        <v>0</v>
      </c>
      <c r="BO24" s="73">
        <v>0</v>
      </c>
      <c r="BP24" s="73">
        <v>0</v>
      </c>
      <c r="BQ24" s="73">
        <v>0</v>
      </c>
      <c r="BR24" s="73">
        <v>0</v>
      </c>
      <c r="BS24" s="73">
        <v>0</v>
      </c>
      <c r="BT24" s="73">
        <v>0</v>
      </c>
      <c r="BU24" s="73">
        <v>0</v>
      </c>
      <c r="BV24" s="73">
        <v>0</v>
      </c>
      <c r="BW24" s="73">
        <v>0</v>
      </c>
      <c r="BX24" s="73">
        <v>0</v>
      </c>
      <c r="BY24" s="73">
        <v>0</v>
      </c>
      <c r="BZ24" s="73">
        <v>0</v>
      </c>
      <c r="CA24" s="73">
        <v>0</v>
      </c>
      <c r="CB24" s="73">
        <v>0</v>
      </c>
      <c r="CC24" s="73">
        <v>0</v>
      </c>
      <c r="CD24" s="73">
        <v>0</v>
      </c>
      <c r="CE24" s="73">
        <v>0</v>
      </c>
      <c r="CF24" s="73">
        <v>0</v>
      </c>
      <c r="CG24" s="73">
        <v>0</v>
      </c>
      <c r="CH24" s="73">
        <v>0</v>
      </c>
      <c r="CI24" s="73">
        <v>0</v>
      </c>
      <c r="CJ24" s="73">
        <v>0</v>
      </c>
      <c r="CK24" s="73">
        <v>0</v>
      </c>
      <c r="CL24" s="73">
        <v>0</v>
      </c>
      <c r="CM24" s="73">
        <v>0</v>
      </c>
      <c r="CN24" s="73">
        <v>0</v>
      </c>
      <c r="CO24" s="73">
        <v>0</v>
      </c>
      <c r="CP24" s="73">
        <v>0</v>
      </c>
      <c r="CQ24" s="73">
        <v>0</v>
      </c>
      <c r="CR24" s="73">
        <v>0</v>
      </c>
      <c r="CS24" s="73">
        <v>0</v>
      </c>
      <c r="CT24" s="73">
        <v>0</v>
      </c>
      <c r="CU24" s="73">
        <v>0</v>
      </c>
      <c r="CV24" s="73">
        <v>0</v>
      </c>
      <c r="CW24" s="73">
        <v>0</v>
      </c>
      <c r="CX24" s="73">
        <v>0</v>
      </c>
    </row>
    <row r="25" spans="1:102" x14ac:dyDescent="0.25">
      <c r="A25" s="60" t="s">
        <v>237</v>
      </c>
      <c r="B25" s="73">
        <f t="array" ref="B25:CX25">'Inputs and Outputs'!B130:CX130</f>
        <v>0</v>
      </c>
      <c r="C25" s="73">
        <v>0</v>
      </c>
      <c r="D25" s="73">
        <v>0</v>
      </c>
      <c r="E25" s="73">
        <v>0</v>
      </c>
      <c r="F25" s="73">
        <v>0</v>
      </c>
      <c r="G25" s="73">
        <v>0</v>
      </c>
      <c r="H25" s="73">
        <v>0</v>
      </c>
      <c r="I25" s="73">
        <v>0</v>
      </c>
      <c r="J25" s="73">
        <v>0</v>
      </c>
      <c r="K25" s="73">
        <v>0</v>
      </c>
      <c r="L25" s="73">
        <v>0</v>
      </c>
      <c r="M25" s="73">
        <v>0</v>
      </c>
      <c r="N25" s="73">
        <v>0</v>
      </c>
      <c r="O25" s="73">
        <v>0</v>
      </c>
      <c r="P25" s="73">
        <v>0</v>
      </c>
      <c r="Q25" s="73">
        <v>0</v>
      </c>
      <c r="R25" s="73">
        <v>0</v>
      </c>
      <c r="S25" s="73">
        <v>0</v>
      </c>
      <c r="T25" s="73">
        <v>0</v>
      </c>
      <c r="U25" s="73">
        <v>0</v>
      </c>
      <c r="V25" s="73">
        <v>0</v>
      </c>
      <c r="W25" s="73">
        <v>0</v>
      </c>
      <c r="X25" s="73">
        <v>0</v>
      </c>
      <c r="Y25" s="73">
        <v>0</v>
      </c>
      <c r="Z25" s="73">
        <v>0</v>
      </c>
      <c r="AA25" s="73">
        <v>0</v>
      </c>
      <c r="AB25" s="73">
        <v>0</v>
      </c>
      <c r="AC25" s="73">
        <v>0</v>
      </c>
      <c r="AD25" s="73">
        <v>0</v>
      </c>
      <c r="AE25" s="73">
        <v>0</v>
      </c>
      <c r="AF25" s="73">
        <v>0</v>
      </c>
      <c r="AG25" s="73">
        <v>0</v>
      </c>
      <c r="AH25" s="73">
        <v>0</v>
      </c>
      <c r="AI25" s="73">
        <v>0</v>
      </c>
      <c r="AJ25" s="73">
        <v>0</v>
      </c>
      <c r="AK25" s="73">
        <v>0</v>
      </c>
      <c r="AL25" s="73">
        <v>0</v>
      </c>
      <c r="AM25" s="73">
        <v>0</v>
      </c>
      <c r="AN25" s="73">
        <v>0</v>
      </c>
      <c r="AO25" s="73">
        <v>0</v>
      </c>
      <c r="AP25" s="73">
        <v>0</v>
      </c>
      <c r="AQ25" s="73">
        <v>0</v>
      </c>
      <c r="AR25" s="73">
        <v>0</v>
      </c>
      <c r="AS25" s="73">
        <v>0</v>
      </c>
      <c r="AT25" s="73">
        <v>0</v>
      </c>
      <c r="AU25" s="73">
        <v>0</v>
      </c>
      <c r="AV25" s="73">
        <v>0</v>
      </c>
      <c r="AW25" s="73">
        <v>0</v>
      </c>
      <c r="AX25" s="73">
        <v>0</v>
      </c>
      <c r="AY25" s="73">
        <v>0</v>
      </c>
      <c r="AZ25" s="73">
        <v>0</v>
      </c>
      <c r="BA25" s="73">
        <v>0</v>
      </c>
      <c r="BB25" s="73">
        <v>0</v>
      </c>
      <c r="BC25" s="73">
        <v>0</v>
      </c>
      <c r="BD25" s="73">
        <v>0</v>
      </c>
      <c r="BE25" s="73">
        <v>0</v>
      </c>
      <c r="BF25" s="73">
        <v>0</v>
      </c>
      <c r="BG25" s="73">
        <v>0</v>
      </c>
      <c r="BH25" s="73">
        <v>0</v>
      </c>
      <c r="BI25" s="73">
        <v>0</v>
      </c>
      <c r="BJ25" s="73">
        <v>0</v>
      </c>
      <c r="BK25" s="73">
        <v>0</v>
      </c>
      <c r="BL25" s="73">
        <v>0</v>
      </c>
      <c r="BM25" s="73">
        <v>0</v>
      </c>
      <c r="BN25" s="73">
        <v>0</v>
      </c>
      <c r="BO25" s="73">
        <v>0</v>
      </c>
      <c r="BP25" s="73">
        <v>0</v>
      </c>
      <c r="BQ25" s="73">
        <v>0</v>
      </c>
      <c r="BR25" s="73">
        <v>0</v>
      </c>
      <c r="BS25" s="73">
        <v>0</v>
      </c>
      <c r="BT25" s="73">
        <v>0</v>
      </c>
      <c r="BU25" s="73">
        <v>0</v>
      </c>
      <c r="BV25" s="73">
        <v>0</v>
      </c>
      <c r="BW25" s="73">
        <v>0</v>
      </c>
      <c r="BX25" s="73">
        <v>0</v>
      </c>
      <c r="BY25" s="73">
        <v>0</v>
      </c>
      <c r="BZ25" s="73">
        <v>0</v>
      </c>
      <c r="CA25" s="73">
        <v>0</v>
      </c>
      <c r="CB25" s="73">
        <v>0</v>
      </c>
      <c r="CC25" s="73">
        <v>0</v>
      </c>
      <c r="CD25" s="73">
        <v>0</v>
      </c>
      <c r="CE25" s="73">
        <v>0</v>
      </c>
      <c r="CF25" s="73">
        <v>0</v>
      </c>
      <c r="CG25" s="73">
        <v>0</v>
      </c>
      <c r="CH25" s="73">
        <v>0</v>
      </c>
      <c r="CI25" s="73">
        <v>0</v>
      </c>
      <c r="CJ25" s="73">
        <v>0</v>
      </c>
      <c r="CK25" s="73">
        <v>0</v>
      </c>
      <c r="CL25" s="73">
        <v>0</v>
      </c>
      <c r="CM25" s="73">
        <v>0</v>
      </c>
      <c r="CN25" s="73">
        <v>0</v>
      </c>
      <c r="CO25" s="73">
        <v>0</v>
      </c>
      <c r="CP25" s="73">
        <v>0</v>
      </c>
      <c r="CQ25" s="73">
        <v>0</v>
      </c>
      <c r="CR25" s="73">
        <v>0</v>
      </c>
      <c r="CS25" s="73">
        <v>0</v>
      </c>
      <c r="CT25" s="73">
        <v>0</v>
      </c>
      <c r="CU25" s="73">
        <v>0</v>
      </c>
      <c r="CV25" s="73">
        <v>0</v>
      </c>
      <c r="CW25" s="73">
        <v>0</v>
      </c>
      <c r="CX25" s="73">
        <v>0</v>
      </c>
    </row>
    <row r="26" spans="1:102" x14ac:dyDescent="0.25">
      <c r="A26" s="60" t="s">
        <v>235</v>
      </c>
      <c r="B26" s="73">
        <f t="array" ref="B26:CX26">'Inputs and Outputs'!B131:CX131</f>
        <v>0</v>
      </c>
      <c r="C26" s="73">
        <v>0</v>
      </c>
      <c r="D26" s="73">
        <v>0</v>
      </c>
      <c r="E26" s="73">
        <v>0</v>
      </c>
      <c r="F26" s="73">
        <v>0</v>
      </c>
      <c r="G26" s="73">
        <v>0</v>
      </c>
      <c r="H26" s="73">
        <v>0</v>
      </c>
      <c r="I26" s="73">
        <v>0</v>
      </c>
      <c r="J26" s="73">
        <v>0</v>
      </c>
      <c r="K26" s="73">
        <v>0</v>
      </c>
      <c r="L26" s="73">
        <v>0</v>
      </c>
      <c r="M26" s="73">
        <v>0</v>
      </c>
      <c r="N26" s="73">
        <v>0</v>
      </c>
      <c r="O26" s="73">
        <v>0</v>
      </c>
      <c r="P26" s="73">
        <v>0</v>
      </c>
      <c r="Q26" s="73">
        <v>0</v>
      </c>
      <c r="R26" s="73">
        <v>0</v>
      </c>
      <c r="S26" s="73">
        <v>0</v>
      </c>
      <c r="T26" s="73">
        <v>0</v>
      </c>
      <c r="U26" s="73">
        <v>0</v>
      </c>
      <c r="V26" s="73">
        <v>0</v>
      </c>
      <c r="W26" s="73">
        <v>0</v>
      </c>
      <c r="X26" s="73">
        <v>0</v>
      </c>
      <c r="Y26" s="73">
        <v>0</v>
      </c>
      <c r="Z26" s="73">
        <v>0</v>
      </c>
      <c r="AA26" s="73">
        <v>0</v>
      </c>
      <c r="AB26" s="73">
        <v>0</v>
      </c>
      <c r="AC26" s="73">
        <v>0</v>
      </c>
      <c r="AD26" s="73">
        <v>0</v>
      </c>
      <c r="AE26" s="73">
        <v>0</v>
      </c>
      <c r="AF26" s="73">
        <v>0</v>
      </c>
      <c r="AG26" s="73">
        <v>0</v>
      </c>
      <c r="AH26" s="73">
        <v>0</v>
      </c>
      <c r="AI26" s="73">
        <v>0</v>
      </c>
      <c r="AJ26" s="73">
        <v>0</v>
      </c>
      <c r="AK26" s="73">
        <v>0</v>
      </c>
      <c r="AL26" s="73">
        <v>0</v>
      </c>
      <c r="AM26" s="73">
        <v>0</v>
      </c>
      <c r="AN26" s="73">
        <v>0</v>
      </c>
      <c r="AO26" s="73">
        <v>0</v>
      </c>
      <c r="AP26" s="73">
        <v>0</v>
      </c>
      <c r="AQ26" s="73">
        <v>0</v>
      </c>
      <c r="AR26" s="73">
        <v>0</v>
      </c>
      <c r="AS26" s="73">
        <v>0</v>
      </c>
      <c r="AT26" s="73">
        <v>0</v>
      </c>
      <c r="AU26" s="73">
        <v>0</v>
      </c>
      <c r="AV26" s="73">
        <v>0</v>
      </c>
      <c r="AW26" s="73">
        <v>0</v>
      </c>
      <c r="AX26" s="73">
        <v>0</v>
      </c>
      <c r="AY26" s="73">
        <v>0</v>
      </c>
      <c r="AZ26" s="73">
        <v>0</v>
      </c>
      <c r="BA26" s="73">
        <v>0</v>
      </c>
      <c r="BB26" s="73">
        <v>0</v>
      </c>
      <c r="BC26" s="73">
        <v>0</v>
      </c>
      <c r="BD26" s="73">
        <v>0</v>
      </c>
      <c r="BE26" s="73">
        <v>0</v>
      </c>
      <c r="BF26" s="73">
        <v>0</v>
      </c>
      <c r="BG26" s="73">
        <v>0</v>
      </c>
      <c r="BH26" s="73">
        <v>0</v>
      </c>
      <c r="BI26" s="73">
        <v>0</v>
      </c>
      <c r="BJ26" s="73">
        <v>0</v>
      </c>
      <c r="BK26" s="73">
        <v>0</v>
      </c>
      <c r="BL26" s="73">
        <v>0</v>
      </c>
      <c r="BM26" s="73">
        <v>0</v>
      </c>
      <c r="BN26" s="73">
        <v>0</v>
      </c>
      <c r="BO26" s="73">
        <v>0</v>
      </c>
      <c r="BP26" s="73">
        <v>0</v>
      </c>
      <c r="BQ26" s="73">
        <v>0</v>
      </c>
      <c r="BR26" s="73">
        <v>0</v>
      </c>
      <c r="BS26" s="73">
        <v>0</v>
      </c>
      <c r="BT26" s="73">
        <v>0</v>
      </c>
      <c r="BU26" s="73">
        <v>0</v>
      </c>
      <c r="BV26" s="73">
        <v>0</v>
      </c>
      <c r="BW26" s="73">
        <v>0</v>
      </c>
      <c r="BX26" s="73">
        <v>0</v>
      </c>
      <c r="BY26" s="73">
        <v>0</v>
      </c>
      <c r="BZ26" s="73">
        <v>0</v>
      </c>
      <c r="CA26" s="73">
        <v>0</v>
      </c>
      <c r="CB26" s="73">
        <v>0</v>
      </c>
      <c r="CC26" s="73">
        <v>0</v>
      </c>
      <c r="CD26" s="73">
        <v>0</v>
      </c>
      <c r="CE26" s="73">
        <v>0</v>
      </c>
      <c r="CF26" s="73">
        <v>0</v>
      </c>
      <c r="CG26" s="73">
        <v>0</v>
      </c>
      <c r="CH26" s="73">
        <v>0</v>
      </c>
      <c r="CI26" s="73">
        <v>0</v>
      </c>
      <c r="CJ26" s="73">
        <v>0</v>
      </c>
      <c r="CK26" s="73">
        <v>0</v>
      </c>
      <c r="CL26" s="73">
        <v>0</v>
      </c>
      <c r="CM26" s="73">
        <v>0</v>
      </c>
      <c r="CN26" s="73">
        <v>0</v>
      </c>
      <c r="CO26" s="73">
        <v>0</v>
      </c>
      <c r="CP26" s="73">
        <v>0</v>
      </c>
      <c r="CQ26" s="73">
        <v>0</v>
      </c>
      <c r="CR26" s="73">
        <v>0</v>
      </c>
      <c r="CS26" s="73">
        <v>0</v>
      </c>
      <c r="CT26" s="73">
        <v>0</v>
      </c>
      <c r="CU26" s="73">
        <v>0</v>
      </c>
      <c r="CV26" s="73">
        <v>0</v>
      </c>
      <c r="CW26" s="73">
        <v>0</v>
      </c>
      <c r="CX26" s="73">
        <v>0</v>
      </c>
    </row>
    <row r="27" spans="1:102" x14ac:dyDescent="0.25">
      <c r="A27" s="59" t="s">
        <v>236</v>
      </c>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c r="CC27" s="73"/>
      <c r="CD27" s="73"/>
      <c r="CE27" s="73"/>
      <c r="CF27" s="73"/>
      <c r="CG27" s="73"/>
      <c r="CH27" s="73"/>
      <c r="CI27" s="73"/>
      <c r="CJ27" s="73"/>
      <c r="CK27" s="73"/>
      <c r="CL27" s="73"/>
      <c r="CM27" s="73"/>
      <c r="CN27" s="73"/>
      <c r="CO27" s="73"/>
      <c r="CP27" s="73"/>
      <c r="CQ27" s="73"/>
      <c r="CR27" s="73"/>
      <c r="CS27" s="73"/>
      <c r="CT27" s="73"/>
      <c r="CU27" s="73"/>
      <c r="CV27" s="73"/>
      <c r="CW27" s="73"/>
      <c r="CX27" s="73"/>
    </row>
    <row r="28" spans="1:102" x14ac:dyDescent="0.25">
      <c r="A28" s="60" t="s">
        <v>234</v>
      </c>
      <c r="B28" s="73">
        <f t="array" ref="B28:CX28">'Inputs and Outputs'!B133:CX133</f>
        <v>0</v>
      </c>
      <c r="C28" s="73">
        <v>0</v>
      </c>
      <c r="D28" s="73">
        <v>0</v>
      </c>
      <c r="E28" s="73">
        <v>0</v>
      </c>
      <c r="F28" s="73">
        <v>0</v>
      </c>
      <c r="G28" s="73">
        <v>0</v>
      </c>
      <c r="H28" s="73">
        <v>0</v>
      </c>
      <c r="I28" s="73">
        <v>0</v>
      </c>
      <c r="J28" s="73">
        <v>0</v>
      </c>
      <c r="K28" s="73">
        <v>0</v>
      </c>
      <c r="L28" s="73">
        <v>0</v>
      </c>
      <c r="M28" s="73">
        <v>0</v>
      </c>
      <c r="N28" s="73">
        <v>0</v>
      </c>
      <c r="O28" s="73">
        <v>0</v>
      </c>
      <c r="P28" s="73">
        <v>0</v>
      </c>
      <c r="Q28" s="73">
        <v>0</v>
      </c>
      <c r="R28" s="73">
        <v>0</v>
      </c>
      <c r="S28" s="73">
        <v>0</v>
      </c>
      <c r="T28" s="73">
        <v>0</v>
      </c>
      <c r="U28" s="73">
        <v>0</v>
      </c>
      <c r="V28" s="73">
        <v>0</v>
      </c>
      <c r="W28" s="73">
        <v>0</v>
      </c>
      <c r="X28" s="73">
        <v>0</v>
      </c>
      <c r="Y28" s="73">
        <v>0</v>
      </c>
      <c r="Z28" s="73">
        <v>0</v>
      </c>
      <c r="AA28" s="73">
        <v>0</v>
      </c>
      <c r="AB28" s="73">
        <v>0</v>
      </c>
      <c r="AC28" s="73">
        <v>0</v>
      </c>
      <c r="AD28" s="73">
        <v>0</v>
      </c>
      <c r="AE28" s="73">
        <v>0</v>
      </c>
      <c r="AF28" s="73">
        <v>0</v>
      </c>
      <c r="AG28" s="73">
        <v>0</v>
      </c>
      <c r="AH28" s="73">
        <v>0</v>
      </c>
      <c r="AI28" s="73">
        <v>0</v>
      </c>
      <c r="AJ28" s="73">
        <v>0</v>
      </c>
      <c r="AK28" s="73">
        <v>0</v>
      </c>
      <c r="AL28" s="73">
        <v>0</v>
      </c>
      <c r="AM28" s="73">
        <v>0</v>
      </c>
      <c r="AN28" s="73">
        <v>0</v>
      </c>
      <c r="AO28" s="73">
        <v>0</v>
      </c>
      <c r="AP28" s="73">
        <v>0</v>
      </c>
      <c r="AQ28" s="73">
        <v>0</v>
      </c>
      <c r="AR28" s="73">
        <v>0</v>
      </c>
      <c r="AS28" s="73">
        <v>0</v>
      </c>
      <c r="AT28" s="73">
        <v>0</v>
      </c>
      <c r="AU28" s="73">
        <v>0</v>
      </c>
      <c r="AV28" s="73">
        <v>0</v>
      </c>
      <c r="AW28" s="73">
        <v>0</v>
      </c>
      <c r="AX28" s="73">
        <v>0</v>
      </c>
      <c r="AY28" s="73">
        <v>0</v>
      </c>
      <c r="AZ28" s="73">
        <v>0</v>
      </c>
      <c r="BA28" s="73">
        <v>0</v>
      </c>
      <c r="BB28" s="73">
        <v>0</v>
      </c>
      <c r="BC28" s="73">
        <v>0</v>
      </c>
      <c r="BD28" s="73">
        <v>0</v>
      </c>
      <c r="BE28" s="73">
        <v>0</v>
      </c>
      <c r="BF28" s="73">
        <v>0</v>
      </c>
      <c r="BG28" s="73">
        <v>0</v>
      </c>
      <c r="BH28" s="73">
        <v>0</v>
      </c>
      <c r="BI28" s="73">
        <v>0</v>
      </c>
      <c r="BJ28" s="73">
        <v>0</v>
      </c>
      <c r="BK28" s="73">
        <v>0</v>
      </c>
      <c r="BL28" s="73">
        <v>0</v>
      </c>
      <c r="BM28" s="73">
        <v>0</v>
      </c>
      <c r="BN28" s="73">
        <v>0</v>
      </c>
      <c r="BO28" s="73">
        <v>0</v>
      </c>
      <c r="BP28" s="73">
        <v>0</v>
      </c>
      <c r="BQ28" s="73">
        <v>0</v>
      </c>
      <c r="BR28" s="73">
        <v>0</v>
      </c>
      <c r="BS28" s="73">
        <v>0</v>
      </c>
      <c r="BT28" s="73">
        <v>0</v>
      </c>
      <c r="BU28" s="73">
        <v>0</v>
      </c>
      <c r="BV28" s="73">
        <v>0</v>
      </c>
      <c r="BW28" s="73">
        <v>0</v>
      </c>
      <c r="BX28" s="73">
        <v>0</v>
      </c>
      <c r="BY28" s="73">
        <v>0</v>
      </c>
      <c r="BZ28" s="73">
        <v>0</v>
      </c>
      <c r="CA28" s="73">
        <v>0</v>
      </c>
      <c r="CB28" s="73">
        <v>0</v>
      </c>
      <c r="CC28" s="73">
        <v>0</v>
      </c>
      <c r="CD28" s="73">
        <v>0</v>
      </c>
      <c r="CE28" s="73">
        <v>0</v>
      </c>
      <c r="CF28" s="73">
        <v>0</v>
      </c>
      <c r="CG28" s="73">
        <v>0</v>
      </c>
      <c r="CH28" s="73">
        <v>0</v>
      </c>
      <c r="CI28" s="73">
        <v>0</v>
      </c>
      <c r="CJ28" s="73">
        <v>0</v>
      </c>
      <c r="CK28" s="73">
        <v>0</v>
      </c>
      <c r="CL28" s="73">
        <v>0</v>
      </c>
      <c r="CM28" s="73">
        <v>0</v>
      </c>
      <c r="CN28" s="73">
        <v>0</v>
      </c>
      <c r="CO28" s="73">
        <v>0</v>
      </c>
      <c r="CP28" s="73">
        <v>0</v>
      </c>
      <c r="CQ28" s="73">
        <v>0</v>
      </c>
      <c r="CR28" s="73">
        <v>0</v>
      </c>
      <c r="CS28" s="73">
        <v>0</v>
      </c>
      <c r="CT28" s="73">
        <v>0</v>
      </c>
      <c r="CU28" s="73">
        <v>0</v>
      </c>
      <c r="CV28" s="73">
        <v>0</v>
      </c>
      <c r="CW28" s="73">
        <v>0</v>
      </c>
      <c r="CX28" s="73">
        <v>0</v>
      </c>
    </row>
    <row r="29" spans="1:102" x14ac:dyDescent="0.25">
      <c r="A29" s="60" t="s">
        <v>237</v>
      </c>
      <c r="B29" s="73">
        <f t="array" ref="B29:CX29">'Inputs and Outputs'!B134:CX134</f>
        <v>0</v>
      </c>
      <c r="C29" s="73">
        <v>0</v>
      </c>
      <c r="D29" s="73">
        <v>0</v>
      </c>
      <c r="E29" s="73">
        <v>0</v>
      </c>
      <c r="F29" s="73">
        <v>0</v>
      </c>
      <c r="G29" s="73">
        <v>0</v>
      </c>
      <c r="H29" s="73">
        <v>0</v>
      </c>
      <c r="I29" s="73">
        <v>0</v>
      </c>
      <c r="J29" s="73">
        <v>0</v>
      </c>
      <c r="K29" s="73">
        <v>0</v>
      </c>
      <c r="L29" s="73">
        <v>0</v>
      </c>
      <c r="M29" s="73">
        <v>0</v>
      </c>
      <c r="N29" s="73">
        <v>0</v>
      </c>
      <c r="O29" s="73">
        <v>0</v>
      </c>
      <c r="P29" s="73">
        <v>0</v>
      </c>
      <c r="Q29" s="73">
        <v>0</v>
      </c>
      <c r="R29" s="73">
        <v>0</v>
      </c>
      <c r="S29" s="73">
        <v>0</v>
      </c>
      <c r="T29" s="73">
        <v>0</v>
      </c>
      <c r="U29" s="73">
        <v>0</v>
      </c>
      <c r="V29" s="73">
        <v>0</v>
      </c>
      <c r="W29" s="73">
        <v>0</v>
      </c>
      <c r="X29" s="73">
        <v>0</v>
      </c>
      <c r="Y29" s="73">
        <v>0</v>
      </c>
      <c r="Z29" s="73">
        <v>0</v>
      </c>
      <c r="AA29" s="73">
        <v>0</v>
      </c>
      <c r="AB29" s="73">
        <v>0</v>
      </c>
      <c r="AC29" s="73">
        <v>0</v>
      </c>
      <c r="AD29" s="73">
        <v>0</v>
      </c>
      <c r="AE29" s="73">
        <v>0</v>
      </c>
      <c r="AF29" s="73">
        <v>0</v>
      </c>
      <c r="AG29" s="73">
        <v>0</v>
      </c>
      <c r="AH29" s="73">
        <v>0</v>
      </c>
      <c r="AI29" s="73">
        <v>0</v>
      </c>
      <c r="AJ29" s="73">
        <v>0</v>
      </c>
      <c r="AK29" s="73">
        <v>0</v>
      </c>
      <c r="AL29" s="73">
        <v>0</v>
      </c>
      <c r="AM29" s="73">
        <v>0</v>
      </c>
      <c r="AN29" s="73">
        <v>0</v>
      </c>
      <c r="AO29" s="73">
        <v>0</v>
      </c>
      <c r="AP29" s="73">
        <v>0</v>
      </c>
      <c r="AQ29" s="73">
        <v>0</v>
      </c>
      <c r="AR29" s="73">
        <v>0</v>
      </c>
      <c r="AS29" s="73">
        <v>0</v>
      </c>
      <c r="AT29" s="73">
        <v>0</v>
      </c>
      <c r="AU29" s="73">
        <v>0</v>
      </c>
      <c r="AV29" s="73">
        <v>0</v>
      </c>
      <c r="AW29" s="73">
        <v>0</v>
      </c>
      <c r="AX29" s="73">
        <v>0</v>
      </c>
      <c r="AY29" s="73">
        <v>0</v>
      </c>
      <c r="AZ29" s="73">
        <v>0</v>
      </c>
      <c r="BA29" s="73">
        <v>0</v>
      </c>
      <c r="BB29" s="73">
        <v>0</v>
      </c>
      <c r="BC29" s="73">
        <v>0</v>
      </c>
      <c r="BD29" s="73">
        <v>0</v>
      </c>
      <c r="BE29" s="73">
        <v>0</v>
      </c>
      <c r="BF29" s="73">
        <v>0</v>
      </c>
      <c r="BG29" s="73">
        <v>0</v>
      </c>
      <c r="BH29" s="73">
        <v>0</v>
      </c>
      <c r="BI29" s="73">
        <v>0</v>
      </c>
      <c r="BJ29" s="73">
        <v>0</v>
      </c>
      <c r="BK29" s="73">
        <v>0</v>
      </c>
      <c r="BL29" s="73">
        <v>0</v>
      </c>
      <c r="BM29" s="73">
        <v>0</v>
      </c>
      <c r="BN29" s="73">
        <v>0</v>
      </c>
      <c r="BO29" s="73">
        <v>0</v>
      </c>
      <c r="BP29" s="73">
        <v>0</v>
      </c>
      <c r="BQ29" s="73">
        <v>0</v>
      </c>
      <c r="BR29" s="73">
        <v>0</v>
      </c>
      <c r="BS29" s="73">
        <v>0</v>
      </c>
      <c r="BT29" s="73">
        <v>0</v>
      </c>
      <c r="BU29" s="73">
        <v>0</v>
      </c>
      <c r="BV29" s="73">
        <v>0</v>
      </c>
      <c r="BW29" s="73">
        <v>0</v>
      </c>
      <c r="BX29" s="73">
        <v>0</v>
      </c>
      <c r="BY29" s="73">
        <v>0</v>
      </c>
      <c r="BZ29" s="73">
        <v>0</v>
      </c>
      <c r="CA29" s="73">
        <v>0</v>
      </c>
      <c r="CB29" s="73">
        <v>0</v>
      </c>
      <c r="CC29" s="73">
        <v>0</v>
      </c>
      <c r="CD29" s="73">
        <v>0</v>
      </c>
      <c r="CE29" s="73">
        <v>0</v>
      </c>
      <c r="CF29" s="73">
        <v>0</v>
      </c>
      <c r="CG29" s="73">
        <v>0</v>
      </c>
      <c r="CH29" s="73">
        <v>0</v>
      </c>
      <c r="CI29" s="73">
        <v>0</v>
      </c>
      <c r="CJ29" s="73">
        <v>0</v>
      </c>
      <c r="CK29" s="73">
        <v>0</v>
      </c>
      <c r="CL29" s="73">
        <v>0</v>
      </c>
      <c r="CM29" s="73">
        <v>0</v>
      </c>
      <c r="CN29" s="73">
        <v>0</v>
      </c>
      <c r="CO29" s="73">
        <v>0</v>
      </c>
      <c r="CP29" s="73">
        <v>0</v>
      </c>
      <c r="CQ29" s="73">
        <v>0</v>
      </c>
      <c r="CR29" s="73">
        <v>0</v>
      </c>
      <c r="CS29" s="73">
        <v>0</v>
      </c>
      <c r="CT29" s="73">
        <v>0</v>
      </c>
      <c r="CU29" s="73">
        <v>0</v>
      </c>
      <c r="CV29" s="73">
        <v>0</v>
      </c>
      <c r="CW29" s="73">
        <v>0</v>
      </c>
      <c r="CX29" s="73">
        <v>0</v>
      </c>
    </row>
    <row r="30" spans="1:102" x14ac:dyDescent="0.25">
      <c r="A30" s="60" t="s">
        <v>235</v>
      </c>
      <c r="B30" s="73">
        <f t="array" ref="B30:CX30">'Inputs and Outputs'!B135:CX135</f>
        <v>0</v>
      </c>
      <c r="C30" s="73">
        <v>0</v>
      </c>
      <c r="D30" s="73">
        <v>0</v>
      </c>
      <c r="E30" s="73">
        <v>0</v>
      </c>
      <c r="F30" s="73">
        <v>0</v>
      </c>
      <c r="G30" s="73">
        <v>0</v>
      </c>
      <c r="H30" s="73">
        <v>0</v>
      </c>
      <c r="I30" s="73">
        <v>0</v>
      </c>
      <c r="J30" s="73">
        <v>0</v>
      </c>
      <c r="K30" s="73">
        <v>0</v>
      </c>
      <c r="L30" s="73">
        <v>0</v>
      </c>
      <c r="M30" s="73">
        <v>0</v>
      </c>
      <c r="N30" s="73">
        <v>0</v>
      </c>
      <c r="O30" s="73">
        <v>0</v>
      </c>
      <c r="P30" s="73">
        <v>0</v>
      </c>
      <c r="Q30" s="73">
        <v>0</v>
      </c>
      <c r="R30" s="73">
        <v>0</v>
      </c>
      <c r="S30" s="73">
        <v>0</v>
      </c>
      <c r="T30" s="73">
        <v>0</v>
      </c>
      <c r="U30" s="73">
        <v>0</v>
      </c>
      <c r="V30" s="73">
        <v>0</v>
      </c>
      <c r="W30" s="73">
        <v>0</v>
      </c>
      <c r="X30" s="73">
        <v>0</v>
      </c>
      <c r="Y30" s="73">
        <v>0</v>
      </c>
      <c r="Z30" s="73">
        <v>0</v>
      </c>
      <c r="AA30" s="73">
        <v>0</v>
      </c>
      <c r="AB30" s="73">
        <v>0</v>
      </c>
      <c r="AC30" s="73">
        <v>0</v>
      </c>
      <c r="AD30" s="73">
        <v>0</v>
      </c>
      <c r="AE30" s="73">
        <v>0</v>
      </c>
      <c r="AF30" s="73">
        <v>0</v>
      </c>
      <c r="AG30" s="73">
        <v>0</v>
      </c>
      <c r="AH30" s="73">
        <v>0</v>
      </c>
      <c r="AI30" s="73">
        <v>0</v>
      </c>
      <c r="AJ30" s="73">
        <v>0</v>
      </c>
      <c r="AK30" s="73">
        <v>0</v>
      </c>
      <c r="AL30" s="73">
        <v>0</v>
      </c>
      <c r="AM30" s="73">
        <v>0</v>
      </c>
      <c r="AN30" s="73">
        <v>0</v>
      </c>
      <c r="AO30" s="73">
        <v>0</v>
      </c>
      <c r="AP30" s="73">
        <v>0</v>
      </c>
      <c r="AQ30" s="73">
        <v>0</v>
      </c>
      <c r="AR30" s="73">
        <v>0</v>
      </c>
      <c r="AS30" s="73">
        <v>0</v>
      </c>
      <c r="AT30" s="73">
        <v>0</v>
      </c>
      <c r="AU30" s="73">
        <v>0</v>
      </c>
      <c r="AV30" s="73">
        <v>0</v>
      </c>
      <c r="AW30" s="73">
        <v>0</v>
      </c>
      <c r="AX30" s="73">
        <v>0</v>
      </c>
      <c r="AY30" s="73">
        <v>0</v>
      </c>
      <c r="AZ30" s="73">
        <v>0</v>
      </c>
      <c r="BA30" s="73">
        <v>0</v>
      </c>
      <c r="BB30" s="73">
        <v>0</v>
      </c>
      <c r="BC30" s="73">
        <v>0</v>
      </c>
      <c r="BD30" s="73">
        <v>0</v>
      </c>
      <c r="BE30" s="73">
        <v>0</v>
      </c>
      <c r="BF30" s="73">
        <v>0</v>
      </c>
      <c r="BG30" s="73">
        <v>0</v>
      </c>
      <c r="BH30" s="73">
        <v>0</v>
      </c>
      <c r="BI30" s="73">
        <v>0</v>
      </c>
      <c r="BJ30" s="73">
        <v>0</v>
      </c>
      <c r="BK30" s="73">
        <v>0</v>
      </c>
      <c r="BL30" s="73">
        <v>0</v>
      </c>
      <c r="BM30" s="73">
        <v>0</v>
      </c>
      <c r="BN30" s="73">
        <v>0</v>
      </c>
      <c r="BO30" s="73">
        <v>0</v>
      </c>
      <c r="BP30" s="73">
        <v>0</v>
      </c>
      <c r="BQ30" s="73">
        <v>0</v>
      </c>
      <c r="BR30" s="73">
        <v>0</v>
      </c>
      <c r="BS30" s="73">
        <v>0</v>
      </c>
      <c r="BT30" s="73">
        <v>0</v>
      </c>
      <c r="BU30" s="73">
        <v>0</v>
      </c>
      <c r="BV30" s="73">
        <v>0</v>
      </c>
      <c r="BW30" s="73">
        <v>0</v>
      </c>
      <c r="BX30" s="73">
        <v>0</v>
      </c>
      <c r="BY30" s="73">
        <v>0</v>
      </c>
      <c r="BZ30" s="73">
        <v>0</v>
      </c>
      <c r="CA30" s="73">
        <v>0</v>
      </c>
      <c r="CB30" s="73">
        <v>0</v>
      </c>
      <c r="CC30" s="73">
        <v>0</v>
      </c>
      <c r="CD30" s="73">
        <v>0</v>
      </c>
      <c r="CE30" s="73">
        <v>0</v>
      </c>
      <c r="CF30" s="73">
        <v>0</v>
      </c>
      <c r="CG30" s="73">
        <v>0</v>
      </c>
      <c r="CH30" s="73">
        <v>0</v>
      </c>
      <c r="CI30" s="73">
        <v>0</v>
      </c>
      <c r="CJ30" s="73">
        <v>0</v>
      </c>
      <c r="CK30" s="73">
        <v>0</v>
      </c>
      <c r="CL30" s="73">
        <v>0</v>
      </c>
      <c r="CM30" s="73">
        <v>0</v>
      </c>
      <c r="CN30" s="73">
        <v>0</v>
      </c>
      <c r="CO30" s="73">
        <v>0</v>
      </c>
      <c r="CP30" s="73">
        <v>0</v>
      </c>
      <c r="CQ30" s="73">
        <v>0</v>
      </c>
      <c r="CR30" s="73">
        <v>0</v>
      </c>
      <c r="CS30" s="73">
        <v>0</v>
      </c>
      <c r="CT30" s="73">
        <v>0</v>
      </c>
      <c r="CU30" s="73">
        <v>0</v>
      </c>
      <c r="CV30" s="73">
        <v>0</v>
      </c>
      <c r="CW30" s="73">
        <v>0</v>
      </c>
      <c r="CX30" s="73">
        <v>0</v>
      </c>
    </row>
    <row r="31" spans="1:102" x14ac:dyDescent="0.25">
      <c r="A31" s="60" t="s">
        <v>238</v>
      </c>
      <c r="B31" s="73">
        <f t="array" ref="B31:CX31">'Inputs and Outputs'!B136:CX136</f>
        <v>0</v>
      </c>
      <c r="C31" s="73">
        <v>0</v>
      </c>
      <c r="D31" s="73">
        <v>0</v>
      </c>
      <c r="E31" s="73">
        <v>0</v>
      </c>
      <c r="F31" s="73">
        <v>0</v>
      </c>
      <c r="G31" s="73">
        <v>0</v>
      </c>
      <c r="H31" s="73">
        <v>0</v>
      </c>
      <c r="I31" s="73">
        <v>0</v>
      </c>
      <c r="J31" s="73">
        <v>0</v>
      </c>
      <c r="K31" s="73">
        <v>0</v>
      </c>
      <c r="L31" s="73">
        <v>0</v>
      </c>
      <c r="M31" s="73">
        <v>0</v>
      </c>
      <c r="N31" s="73">
        <v>0</v>
      </c>
      <c r="O31" s="73">
        <v>0</v>
      </c>
      <c r="P31" s="73">
        <v>0</v>
      </c>
      <c r="Q31" s="73">
        <v>0</v>
      </c>
      <c r="R31" s="73">
        <v>0</v>
      </c>
      <c r="S31" s="73">
        <v>0</v>
      </c>
      <c r="T31" s="73">
        <v>0</v>
      </c>
      <c r="U31" s="73">
        <v>0</v>
      </c>
      <c r="V31" s="73">
        <v>0</v>
      </c>
      <c r="W31" s="73">
        <v>0</v>
      </c>
      <c r="X31" s="73">
        <v>0</v>
      </c>
      <c r="Y31" s="73">
        <v>0</v>
      </c>
      <c r="Z31" s="73">
        <v>0</v>
      </c>
      <c r="AA31" s="73">
        <v>0</v>
      </c>
      <c r="AB31" s="73">
        <v>0</v>
      </c>
      <c r="AC31" s="73">
        <v>0</v>
      </c>
      <c r="AD31" s="73">
        <v>0</v>
      </c>
      <c r="AE31" s="73">
        <v>0</v>
      </c>
      <c r="AF31" s="73">
        <v>0</v>
      </c>
      <c r="AG31" s="73">
        <v>0</v>
      </c>
      <c r="AH31" s="73">
        <v>0</v>
      </c>
      <c r="AI31" s="73">
        <v>0</v>
      </c>
      <c r="AJ31" s="73">
        <v>0</v>
      </c>
      <c r="AK31" s="73">
        <v>0</v>
      </c>
      <c r="AL31" s="73">
        <v>0</v>
      </c>
      <c r="AM31" s="73">
        <v>0</v>
      </c>
      <c r="AN31" s="73">
        <v>0</v>
      </c>
      <c r="AO31" s="73">
        <v>0</v>
      </c>
      <c r="AP31" s="73">
        <v>0</v>
      </c>
      <c r="AQ31" s="73">
        <v>0</v>
      </c>
      <c r="AR31" s="73">
        <v>0</v>
      </c>
      <c r="AS31" s="73">
        <v>0</v>
      </c>
      <c r="AT31" s="73">
        <v>0</v>
      </c>
      <c r="AU31" s="73">
        <v>0</v>
      </c>
      <c r="AV31" s="73">
        <v>0</v>
      </c>
      <c r="AW31" s="73">
        <v>0</v>
      </c>
      <c r="AX31" s="73">
        <v>0</v>
      </c>
      <c r="AY31" s="73">
        <v>0</v>
      </c>
      <c r="AZ31" s="73">
        <v>0</v>
      </c>
      <c r="BA31" s="73">
        <v>0</v>
      </c>
      <c r="BB31" s="73">
        <v>0</v>
      </c>
      <c r="BC31" s="73">
        <v>0</v>
      </c>
      <c r="BD31" s="73">
        <v>0</v>
      </c>
      <c r="BE31" s="73">
        <v>0</v>
      </c>
      <c r="BF31" s="73">
        <v>0</v>
      </c>
      <c r="BG31" s="73">
        <v>0</v>
      </c>
      <c r="BH31" s="73">
        <v>0</v>
      </c>
      <c r="BI31" s="73">
        <v>0</v>
      </c>
      <c r="BJ31" s="73">
        <v>0</v>
      </c>
      <c r="BK31" s="73">
        <v>0</v>
      </c>
      <c r="BL31" s="73">
        <v>0</v>
      </c>
      <c r="BM31" s="73">
        <v>0</v>
      </c>
      <c r="BN31" s="73">
        <v>0</v>
      </c>
      <c r="BO31" s="73">
        <v>0</v>
      </c>
      <c r="BP31" s="73">
        <v>0</v>
      </c>
      <c r="BQ31" s="73">
        <v>0</v>
      </c>
      <c r="BR31" s="73">
        <v>0</v>
      </c>
      <c r="BS31" s="73">
        <v>0</v>
      </c>
      <c r="BT31" s="73">
        <v>0</v>
      </c>
      <c r="BU31" s="73">
        <v>0</v>
      </c>
      <c r="BV31" s="73">
        <v>0</v>
      </c>
      <c r="BW31" s="73">
        <v>0</v>
      </c>
      <c r="BX31" s="73">
        <v>0</v>
      </c>
      <c r="BY31" s="73">
        <v>0</v>
      </c>
      <c r="BZ31" s="73">
        <v>0</v>
      </c>
      <c r="CA31" s="73">
        <v>0</v>
      </c>
      <c r="CB31" s="73">
        <v>0</v>
      </c>
      <c r="CC31" s="73">
        <v>0</v>
      </c>
      <c r="CD31" s="73">
        <v>0</v>
      </c>
      <c r="CE31" s="73">
        <v>0</v>
      </c>
      <c r="CF31" s="73">
        <v>0</v>
      </c>
      <c r="CG31" s="73">
        <v>0</v>
      </c>
      <c r="CH31" s="73">
        <v>0</v>
      </c>
      <c r="CI31" s="73">
        <v>0</v>
      </c>
      <c r="CJ31" s="73">
        <v>0</v>
      </c>
      <c r="CK31" s="73">
        <v>0</v>
      </c>
      <c r="CL31" s="73">
        <v>0</v>
      </c>
      <c r="CM31" s="73">
        <v>0</v>
      </c>
      <c r="CN31" s="73">
        <v>0</v>
      </c>
      <c r="CO31" s="73">
        <v>0</v>
      </c>
      <c r="CP31" s="73">
        <v>0</v>
      </c>
      <c r="CQ31" s="73">
        <v>0</v>
      </c>
      <c r="CR31" s="73">
        <v>0</v>
      </c>
      <c r="CS31" s="73">
        <v>0</v>
      </c>
      <c r="CT31" s="73">
        <v>0</v>
      </c>
      <c r="CU31" s="73">
        <v>0</v>
      </c>
      <c r="CV31" s="73">
        <v>0</v>
      </c>
      <c r="CW31" s="73">
        <v>0</v>
      </c>
      <c r="CX31" s="73">
        <v>0</v>
      </c>
    </row>
    <row r="32" spans="1:102" x14ac:dyDescent="0.25">
      <c r="A32" s="60" t="s">
        <v>55</v>
      </c>
      <c r="B32" s="73">
        <f t="array" ref="B32:CX32">'Inputs and Outputs'!B137:CX137</f>
        <v>0</v>
      </c>
      <c r="C32" s="73">
        <v>0</v>
      </c>
      <c r="D32" s="73">
        <v>0</v>
      </c>
      <c r="E32" s="73">
        <v>0</v>
      </c>
      <c r="F32" s="73">
        <v>0</v>
      </c>
      <c r="G32" s="73">
        <v>0</v>
      </c>
      <c r="H32" s="73">
        <v>0</v>
      </c>
      <c r="I32" s="73">
        <v>0</v>
      </c>
      <c r="J32" s="73">
        <v>0</v>
      </c>
      <c r="K32" s="73">
        <v>0</v>
      </c>
      <c r="L32" s="73">
        <v>0</v>
      </c>
      <c r="M32" s="73">
        <v>0</v>
      </c>
      <c r="N32" s="73">
        <v>0</v>
      </c>
      <c r="O32" s="73">
        <v>0</v>
      </c>
      <c r="P32" s="73">
        <v>0</v>
      </c>
      <c r="Q32" s="73">
        <v>0</v>
      </c>
      <c r="R32" s="73">
        <v>0</v>
      </c>
      <c r="S32" s="73">
        <v>0</v>
      </c>
      <c r="T32" s="73">
        <v>0</v>
      </c>
      <c r="U32" s="73">
        <v>0</v>
      </c>
      <c r="V32" s="73">
        <v>0</v>
      </c>
      <c r="W32" s="73">
        <v>0</v>
      </c>
      <c r="X32" s="73">
        <v>0</v>
      </c>
      <c r="Y32" s="73">
        <v>0</v>
      </c>
      <c r="Z32" s="73">
        <v>0</v>
      </c>
      <c r="AA32" s="73">
        <v>0</v>
      </c>
      <c r="AB32" s="73">
        <v>0</v>
      </c>
      <c r="AC32" s="73">
        <v>0</v>
      </c>
      <c r="AD32" s="73">
        <v>0</v>
      </c>
      <c r="AE32" s="73">
        <v>0</v>
      </c>
      <c r="AF32" s="73">
        <v>0</v>
      </c>
      <c r="AG32" s="73">
        <v>0</v>
      </c>
      <c r="AH32" s="73">
        <v>0</v>
      </c>
      <c r="AI32" s="73">
        <v>0</v>
      </c>
      <c r="AJ32" s="73">
        <v>0</v>
      </c>
      <c r="AK32" s="73">
        <v>0</v>
      </c>
      <c r="AL32" s="73">
        <v>0</v>
      </c>
      <c r="AM32" s="73">
        <v>0</v>
      </c>
      <c r="AN32" s="73">
        <v>0</v>
      </c>
      <c r="AO32" s="73">
        <v>0</v>
      </c>
      <c r="AP32" s="73">
        <v>0</v>
      </c>
      <c r="AQ32" s="73">
        <v>0</v>
      </c>
      <c r="AR32" s="73">
        <v>0</v>
      </c>
      <c r="AS32" s="73">
        <v>0</v>
      </c>
      <c r="AT32" s="73">
        <v>0</v>
      </c>
      <c r="AU32" s="73">
        <v>0</v>
      </c>
      <c r="AV32" s="73">
        <v>0</v>
      </c>
      <c r="AW32" s="73">
        <v>0</v>
      </c>
      <c r="AX32" s="73">
        <v>0</v>
      </c>
      <c r="AY32" s="73">
        <v>0</v>
      </c>
      <c r="AZ32" s="73">
        <v>0</v>
      </c>
      <c r="BA32" s="73">
        <v>0</v>
      </c>
      <c r="BB32" s="73">
        <v>0</v>
      </c>
      <c r="BC32" s="73">
        <v>0</v>
      </c>
      <c r="BD32" s="73">
        <v>0</v>
      </c>
      <c r="BE32" s="73">
        <v>0</v>
      </c>
      <c r="BF32" s="73">
        <v>0</v>
      </c>
      <c r="BG32" s="73">
        <v>0</v>
      </c>
      <c r="BH32" s="73">
        <v>0</v>
      </c>
      <c r="BI32" s="73">
        <v>0</v>
      </c>
      <c r="BJ32" s="73">
        <v>0</v>
      </c>
      <c r="BK32" s="73">
        <v>0</v>
      </c>
      <c r="BL32" s="73">
        <v>0</v>
      </c>
      <c r="BM32" s="73">
        <v>0</v>
      </c>
      <c r="BN32" s="73">
        <v>0</v>
      </c>
      <c r="BO32" s="73">
        <v>0</v>
      </c>
      <c r="BP32" s="73">
        <v>0</v>
      </c>
      <c r="BQ32" s="73">
        <v>0</v>
      </c>
      <c r="BR32" s="73">
        <v>0</v>
      </c>
      <c r="BS32" s="73">
        <v>0</v>
      </c>
      <c r="BT32" s="73">
        <v>0</v>
      </c>
      <c r="BU32" s="73">
        <v>0</v>
      </c>
      <c r="BV32" s="73">
        <v>0</v>
      </c>
      <c r="BW32" s="73">
        <v>0</v>
      </c>
      <c r="BX32" s="73">
        <v>0</v>
      </c>
      <c r="BY32" s="73">
        <v>0</v>
      </c>
      <c r="BZ32" s="73">
        <v>0</v>
      </c>
      <c r="CA32" s="73">
        <v>0</v>
      </c>
      <c r="CB32" s="73">
        <v>0</v>
      </c>
      <c r="CC32" s="73">
        <v>0</v>
      </c>
      <c r="CD32" s="73">
        <v>0</v>
      </c>
      <c r="CE32" s="73">
        <v>0</v>
      </c>
      <c r="CF32" s="73">
        <v>0</v>
      </c>
      <c r="CG32" s="73">
        <v>0</v>
      </c>
      <c r="CH32" s="73">
        <v>0</v>
      </c>
      <c r="CI32" s="73">
        <v>0</v>
      </c>
      <c r="CJ32" s="73">
        <v>0</v>
      </c>
      <c r="CK32" s="73">
        <v>0</v>
      </c>
      <c r="CL32" s="73">
        <v>0</v>
      </c>
      <c r="CM32" s="73">
        <v>0</v>
      </c>
      <c r="CN32" s="73">
        <v>0</v>
      </c>
      <c r="CO32" s="73">
        <v>0</v>
      </c>
      <c r="CP32" s="73">
        <v>0</v>
      </c>
      <c r="CQ32" s="73">
        <v>0</v>
      </c>
      <c r="CR32" s="73">
        <v>0</v>
      </c>
      <c r="CS32" s="73">
        <v>0</v>
      </c>
      <c r="CT32" s="73">
        <v>0</v>
      </c>
      <c r="CU32" s="73">
        <v>0</v>
      </c>
      <c r="CV32" s="73">
        <v>0</v>
      </c>
      <c r="CW32" s="73">
        <v>0</v>
      </c>
      <c r="CX32" s="73">
        <v>0</v>
      </c>
    </row>
    <row r="33" spans="1:102" x14ac:dyDescent="0.25">
      <c r="A33" s="54" t="s">
        <v>55</v>
      </c>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c r="CC33" s="73"/>
      <c r="CD33" s="73"/>
      <c r="CE33" s="73"/>
      <c r="CF33" s="73"/>
      <c r="CG33" s="73"/>
      <c r="CH33" s="73"/>
      <c r="CI33" s="73"/>
      <c r="CJ33" s="73"/>
      <c r="CK33" s="73"/>
      <c r="CL33" s="73"/>
      <c r="CM33" s="73"/>
      <c r="CN33" s="73"/>
      <c r="CO33" s="73"/>
      <c r="CP33" s="73"/>
      <c r="CQ33" s="73"/>
      <c r="CR33" s="73"/>
      <c r="CS33" s="73"/>
      <c r="CT33" s="73"/>
      <c r="CU33" s="73"/>
      <c r="CV33" s="73"/>
      <c r="CW33" s="73"/>
      <c r="CX33" s="73"/>
    </row>
    <row r="34" spans="1:102" x14ac:dyDescent="0.25">
      <c r="A34" s="59" t="s">
        <v>125</v>
      </c>
      <c r="B34" s="73"/>
      <c r="C34" s="73" t="str">
        <f t="shared" ref="C34:AH34" si="12">IF(ISNUMBER(outYear),om_fuel_cost*system_heat_rate*(annual_fuel_usage/1000)*(1+inflation_rate/100+om_fuel_cost_escal/100)^B2,"")</f>
        <v/>
      </c>
      <c r="D34" s="73" t="str">
        <f t="shared" si="12"/>
        <v/>
      </c>
      <c r="E34" s="73" t="str">
        <f t="shared" si="12"/>
        <v/>
      </c>
      <c r="F34" s="73" t="str">
        <f t="shared" si="12"/>
        <v/>
      </c>
      <c r="G34" s="73" t="str">
        <f t="shared" si="12"/>
        <v/>
      </c>
      <c r="H34" s="73" t="str">
        <f t="shared" si="12"/>
        <v/>
      </c>
      <c r="I34" s="73" t="str">
        <f t="shared" si="12"/>
        <v/>
      </c>
      <c r="J34" s="73" t="str">
        <f t="shared" si="12"/>
        <v/>
      </c>
      <c r="K34" s="73" t="str">
        <f t="shared" si="12"/>
        <v/>
      </c>
      <c r="L34" s="73" t="str">
        <f t="shared" si="12"/>
        <v/>
      </c>
      <c r="M34" s="73" t="str">
        <f t="shared" si="12"/>
        <v/>
      </c>
      <c r="N34" s="73" t="str">
        <f t="shared" si="12"/>
        <v/>
      </c>
      <c r="O34" s="73" t="str">
        <f t="shared" si="12"/>
        <v/>
      </c>
      <c r="P34" s="73" t="str">
        <f t="shared" si="12"/>
        <v/>
      </c>
      <c r="Q34" s="73" t="str">
        <f t="shared" si="12"/>
        <v/>
      </c>
      <c r="R34" s="73" t="str">
        <f t="shared" si="12"/>
        <v/>
      </c>
      <c r="S34" s="73" t="str">
        <f t="shared" si="12"/>
        <v/>
      </c>
      <c r="T34" s="73" t="str">
        <f t="shared" si="12"/>
        <v/>
      </c>
      <c r="U34" s="73" t="str">
        <f t="shared" si="12"/>
        <v/>
      </c>
      <c r="V34" s="73" t="str">
        <f t="shared" si="12"/>
        <v/>
      </c>
      <c r="W34" s="73" t="str">
        <f t="shared" si="12"/>
        <v/>
      </c>
      <c r="X34" s="73" t="str">
        <f t="shared" si="12"/>
        <v/>
      </c>
      <c r="Y34" s="73" t="str">
        <f t="shared" si="12"/>
        <v/>
      </c>
      <c r="Z34" s="73" t="str">
        <f t="shared" si="12"/>
        <v/>
      </c>
      <c r="AA34" s="73" t="str">
        <f t="shared" si="12"/>
        <v/>
      </c>
      <c r="AB34" s="73" t="str">
        <f t="shared" si="12"/>
        <v/>
      </c>
      <c r="AC34" s="73" t="str">
        <f t="shared" si="12"/>
        <v/>
      </c>
      <c r="AD34" s="73" t="str">
        <f t="shared" si="12"/>
        <v/>
      </c>
      <c r="AE34" s="73" t="str">
        <f t="shared" si="12"/>
        <v/>
      </c>
      <c r="AF34" s="73" t="str">
        <f t="shared" si="12"/>
        <v/>
      </c>
      <c r="AG34" s="73" t="str">
        <f t="shared" si="12"/>
        <v/>
      </c>
      <c r="AH34" s="73" t="str">
        <f t="shared" si="12"/>
        <v/>
      </c>
      <c r="AI34" s="73" t="str">
        <f t="shared" ref="AI34:BN34" si="13">IF(ISNUMBER(outYear),om_fuel_cost*system_heat_rate*(annual_fuel_usage/1000)*(1+inflation_rate/100+om_fuel_cost_escal/100)^AH2,"")</f>
        <v/>
      </c>
      <c r="AJ34" s="73" t="str">
        <f t="shared" si="13"/>
        <v/>
      </c>
      <c r="AK34" s="73" t="str">
        <f t="shared" si="13"/>
        <v/>
      </c>
      <c r="AL34" s="73" t="str">
        <f t="shared" si="13"/>
        <v/>
      </c>
      <c r="AM34" s="73" t="str">
        <f t="shared" si="13"/>
        <v/>
      </c>
      <c r="AN34" s="73" t="str">
        <f t="shared" si="13"/>
        <v/>
      </c>
      <c r="AO34" s="73" t="str">
        <f t="shared" si="13"/>
        <v/>
      </c>
      <c r="AP34" s="73" t="str">
        <f t="shared" si="13"/>
        <v/>
      </c>
      <c r="AQ34" s="73" t="str">
        <f t="shared" si="13"/>
        <v/>
      </c>
      <c r="AR34" s="73" t="str">
        <f t="shared" si="13"/>
        <v/>
      </c>
      <c r="AS34" s="73" t="str">
        <f t="shared" si="13"/>
        <v/>
      </c>
      <c r="AT34" s="73" t="str">
        <f t="shared" si="13"/>
        <v/>
      </c>
      <c r="AU34" s="73" t="str">
        <f t="shared" si="13"/>
        <v/>
      </c>
      <c r="AV34" s="73" t="str">
        <f t="shared" si="13"/>
        <v/>
      </c>
      <c r="AW34" s="73" t="str">
        <f t="shared" si="13"/>
        <v/>
      </c>
      <c r="AX34" s="73" t="str">
        <f t="shared" si="13"/>
        <v/>
      </c>
      <c r="AY34" s="73" t="str">
        <f t="shared" si="13"/>
        <v/>
      </c>
      <c r="AZ34" s="73" t="str">
        <f t="shared" si="13"/>
        <v/>
      </c>
      <c r="BA34" s="73" t="str">
        <f t="shared" si="13"/>
        <v/>
      </c>
      <c r="BB34" s="73" t="str">
        <f t="shared" si="13"/>
        <v/>
      </c>
      <c r="BC34" s="73" t="str">
        <f t="shared" si="13"/>
        <v/>
      </c>
      <c r="BD34" s="73" t="str">
        <f t="shared" si="13"/>
        <v/>
      </c>
      <c r="BE34" s="73" t="str">
        <f t="shared" si="13"/>
        <v/>
      </c>
      <c r="BF34" s="73" t="str">
        <f t="shared" si="13"/>
        <v/>
      </c>
      <c r="BG34" s="73" t="str">
        <f t="shared" si="13"/>
        <v/>
      </c>
      <c r="BH34" s="73" t="str">
        <f t="shared" si="13"/>
        <v/>
      </c>
      <c r="BI34" s="73" t="str">
        <f t="shared" si="13"/>
        <v/>
      </c>
      <c r="BJ34" s="73" t="str">
        <f t="shared" si="13"/>
        <v/>
      </c>
      <c r="BK34" s="73" t="str">
        <f t="shared" si="13"/>
        <v/>
      </c>
      <c r="BL34" s="73" t="str">
        <f t="shared" si="13"/>
        <v/>
      </c>
      <c r="BM34" s="73" t="str">
        <f t="shared" si="13"/>
        <v/>
      </c>
      <c r="BN34" s="73" t="str">
        <f t="shared" si="13"/>
        <v/>
      </c>
      <c r="BO34" s="73" t="str">
        <f t="shared" ref="BO34:CX34" si="14">IF(ISNUMBER(outYear),om_fuel_cost*system_heat_rate*(annual_fuel_usage/1000)*(1+inflation_rate/100+om_fuel_cost_escal/100)^BN2,"")</f>
        <v/>
      </c>
      <c r="BP34" s="73" t="str">
        <f t="shared" si="14"/>
        <v/>
      </c>
      <c r="BQ34" s="73" t="str">
        <f t="shared" si="14"/>
        <v/>
      </c>
      <c r="BR34" s="73" t="str">
        <f t="shared" si="14"/>
        <v/>
      </c>
      <c r="BS34" s="73" t="str">
        <f t="shared" si="14"/>
        <v/>
      </c>
      <c r="BT34" s="73" t="str">
        <f t="shared" si="14"/>
        <v/>
      </c>
      <c r="BU34" s="73" t="str">
        <f t="shared" si="14"/>
        <v/>
      </c>
      <c r="BV34" s="73" t="str">
        <f t="shared" si="14"/>
        <v/>
      </c>
      <c r="BW34" s="73" t="str">
        <f t="shared" si="14"/>
        <v/>
      </c>
      <c r="BX34" s="73" t="str">
        <f t="shared" si="14"/>
        <v/>
      </c>
      <c r="BY34" s="73" t="str">
        <f t="shared" si="14"/>
        <v/>
      </c>
      <c r="BZ34" s="73" t="str">
        <f t="shared" si="14"/>
        <v/>
      </c>
      <c r="CA34" s="73" t="str">
        <f t="shared" si="14"/>
        <v/>
      </c>
      <c r="CB34" s="73" t="str">
        <f t="shared" si="14"/>
        <v/>
      </c>
      <c r="CC34" s="73" t="str">
        <f t="shared" si="14"/>
        <v/>
      </c>
      <c r="CD34" s="73" t="str">
        <f t="shared" si="14"/>
        <v/>
      </c>
      <c r="CE34" s="73" t="str">
        <f t="shared" si="14"/>
        <v/>
      </c>
      <c r="CF34" s="73" t="str">
        <f t="shared" si="14"/>
        <v/>
      </c>
      <c r="CG34" s="73" t="str">
        <f t="shared" si="14"/>
        <v/>
      </c>
      <c r="CH34" s="73" t="str">
        <f t="shared" si="14"/>
        <v/>
      </c>
      <c r="CI34" s="73" t="str">
        <f t="shared" si="14"/>
        <v/>
      </c>
      <c r="CJ34" s="73" t="str">
        <f t="shared" si="14"/>
        <v/>
      </c>
      <c r="CK34" s="73" t="str">
        <f t="shared" si="14"/>
        <v/>
      </c>
      <c r="CL34" s="73" t="str">
        <f t="shared" si="14"/>
        <v/>
      </c>
      <c r="CM34" s="73" t="str">
        <f t="shared" si="14"/>
        <v/>
      </c>
      <c r="CN34" s="73" t="str">
        <f t="shared" si="14"/>
        <v/>
      </c>
      <c r="CO34" s="73" t="str">
        <f t="shared" si="14"/>
        <v/>
      </c>
      <c r="CP34" s="73" t="str">
        <f t="shared" si="14"/>
        <v/>
      </c>
      <c r="CQ34" s="73" t="str">
        <f t="shared" si="14"/>
        <v/>
      </c>
      <c r="CR34" s="73" t="str">
        <f t="shared" si="14"/>
        <v/>
      </c>
      <c r="CS34" s="73" t="str">
        <f t="shared" si="14"/>
        <v/>
      </c>
      <c r="CT34" s="73" t="str">
        <f t="shared" si="14"/>
        <v/>
      </c>
      <c r="CU34" s="73" t="str">
        <f t="shared" si="14"/>
        <v/>
      </c>
      <c r="CV34" s="73" t="str">
        <f t="shared" si="14"/>
        <v/>
      </c>
      <c r="CW34" s="73" t="str">
        <f t="shared" si="14"/>
        <v/>
      </c>
      <c r="CX34" s="73" t="str">
        <f t="shared" si="14"/>
        <v/>
      </c>
    </row>
    <row r="35" spans="1:102" x14ac:dyDescent="0.25">
      <c r="A35" s="60" t="s">
        <v>54</v>
      </c>
      <c r="B35" s="73"/>
      <c r="C35" s="73">
        <v>0</v>
      </c>
      <c r="D35" s="73">
        <v>0</v>
      </c>
      <c r="E35" s="73">
        <v>0</v>
      </c>
      <c r="F35" s="73">
        <v>0</v>
      </c>
      <c r="G35" s="73">
        <v>0</v>
      </c>
      <c r="H35" s="73">
        <v>0</v>
      </c>
      <c r="I35" s="73">
        <v>0</v>
      </c>
      <c r="J35" s="73">
        <v>0</v>
      </c>
      <c r="K35" s="73">
        <v>0</v>
      </c>
      <c r="L35" s="73">
        <v>0</v>
      </c>
      <c r="M35" s="73">
        <v>0</v>
      </c>
      <c r="N35" s="73">
        <v>0</v>
      </c>
      <c r="O35" s="73">
        <v>0</v>
      </c>
      <c r="P35" s="73">
        <v>0</v>
      </c>
      <c r="Q35" s="73">
        <v>0</v>
      </c>
      <c r="R35" s="73">
        <v>0</v>
      </c>
      <c r="S35" s="73">
        <v>0</v>
      </c>
      <c r="T35" s="73">
        <v>0</v>
      </c>
      <c r="U35" s="73">
        <v>0</v>
      </c>
      <c r="V35" s="73">
        <v>0</v>
      </c>
      <c r="W35" s="73">
        <v>0</v>
      </c>
      <c r="X35" s="73">
        <v>0</v>
      </c>
      <c r="Y35" s="73">
        <v>0</v>
      </c>
      <c r="Z35" s="73">
        <v>0</v>
      </c>
      <c r="AA35" s="73">
        <v>0</v>
      </c>
      <c r="AB35" s="73">
        <v>0</v>
      </c>
      <c r="AC35" s="73">
        <v>0</v>
      </c>
      <c r="AD35" s="73">
        <v>0</v>
      </c>
      <c r="AE35" s="73">
        <v>0</v>
      </c>
      <c r="AF35" s="73">
        <v>0</v>
      </c>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c r="CC35" s="73"/>
      <c r="CD35" s="73"/>
      <c r="CE35" s="73"/>
      <c r="CF35" s="73"/>
      <c r="CG35" s="73"/>
      <c r="CH35" s="73"/>
      <c r="CI35" s="73"/>
      <c r="CJ35" s="73"/>
      <c r="CK35" s="73"/>
      <c r="CL35" s="73"/>
      <c r="CM35" s="73"/>
      <c r="CN35" s="73"/>
      <c r="CO35" s="73"/>
      <c r="CP35" s="73"/>
      <c r="CQ35" s="73"/>
      <c r="CR35" s="73"/>
      <c r="CS35" s="73"/>
      <c r="CT35" s="73"/>
      <c r="CU35" s="73"/>
      <c r="CV35" s="73"/>
      <c r="CW35" s="73"/>
      <c r="CX35" s="73"/>
    </row>
    <row r="36" spans="1:102" x14ac:dyDescent="0.25">
      <c r="A36" s="59" t="s">
        <v>124</v>
      </c>
      <c r="B36" s="73"/>
      <c r="C36" s="73" t="str">
        <f t="shared" ref="C36:AH36" si="15">IF(ISNUMBER(outYear),om_opt_fuel_1_cost*om_opt_fuel_1_usage*(1+inflation_rate/100+om_opt_fuel_1_cost_escal/100)^B2,"")</f>
        <v/>
      </c>
      <c r="D36" s="73" t="str">
        <f t="shared" si="15"/>
        <v/>
      </c>
      <c r="E36" s="73" t="str">
        <f t="shared" si="15"/>
        <v/>
      </c>
      <c r="F36" s="73" t="str">
        <f t="shared" si="15"/>
        <v/>
      </c>
      <c r="G36" s="73" t="str">
        <f t="shared" si="15"/>
        <v/>
      </c>
      <c r="H36" s="73" t="str">
        <f t="shared" si="15"/>
        <v/>
      </c>
      <c r="I36" s="73" t="str">
        <f t="shared" si="15"/>
        <v/>
      </c>
      <c r="J36" s="73" t="str">
        <f t="shared" si="15"/>
        <v/>
      </c>
      <c r="K36" s="73" t="str">
        <f t="shared" si="15"/>
        <v/>
      </c>
      <c r="L36" s="73" t="str">
        <f t="shared" si="15"/>
        <v/>
      </c>
      <c r="M36" s="73" t="str">
        <f t="shared" si="15"/>
        <v/>
      </c>
      <c r="N36" s="73" t="str">
        <f t="shared" si="15"/>
        <v/>
      </c>
      <c r="O36" s="73" t="str">
        <f t="shared" si="15"/>
        <v/>
      </c>
      <c r="P36" s="73" t="str">
        <f t="shared" si="15"/>
        <v/>
      </c>
      <c r="Q36" s="73" t="str">
        <f t="shared" si="15"/>
        <v/>
      </c>
      <c r="R36" s="73" t="str">
        <f t="shared" si="15"/>
        <v/>
      </c>
      <c r="S36" s="73" t="str">
        <f t="shared" si="15"/>
        <v/>
      </c>
      <c r="T36" s="73" t="str">
        <f t="shared" si="15"/>
        <v/>
      </c>
      <c r="U36" s="73" t="str">
        <f t="shared" si="15"/>
        <v/>
      </c>
      <c r="V36" s="73" t="str">
        <f t="shared" si="15"/>
        <v/>
      </c>
      <c r="W36" s="73" t="str">
        <f t="shared" si="15"/>
        <v/>
      </c>
      <c r="X36" s="73" t="str">
        <f t="shared" si="15"/>
        <v/>
      </c>
      <c r="Y36" s="73" t="str">
        <f t="shared" si="15"/>
        <v/>
      </c>
      <c r="Z36" s="73" t="str">
        <f t="shared" si="15"/>
        <v/>
      </c>
      <c r="AA36" s="73" t="str">
        <f t="shared" si="15"/>
        <v/>
      </c>
      <c r="AB36" s="73" t="str">
        <f t="shared" si="15"/>
        <v/>
      </c>
      <c r="AC36" s="73" t="str">
        <f t="shared" si="15"/>
        <v/>
      </c>
      <c r="AD36" s="73" t="str">
        <f t="shared" si="15"/>
        <v/>
      </c>
      <c r="AE36" s="73" t="str">
        <f t="shared" si="15"/>
        <v/>
      </c>
      <c r="AF36" s="73" t="str">
        <f t="shared" si="15"/>
        <v/>
      </c>
      <c r="AG36" s="73" t="str">
        <f t="shared" si="15"/>
        <v/>
      </c>
      <c r="AH36" s="73" t="str">
        <f t="shared" si="15"/>
        <v/>
      </c>
      <c r="AI36" s="73" t="str">
        <f t="shared" ref="AI36:BN36" si="16">IF(ISNUMBER(outYear),om_opt_fuel_1_cost*om_opt_fuel_1_usage*(1+inflation_rate/100+om_opt_fuel_1_cost_escal/100)^AH2,"")</f>
        <v/>
      </c>
      <c r="AJ36" s="73" t="str">
        <f t="shared" si="16"/>
        <v/>
      </c>
      <c r="AK36" s="73" t="str">
        <f t="shared" si="16"/>
        <v/>
      </c>
      <c r="AL36" s="73" t="str">
        <f t="shared" si="16"/>
        <v/>
      </c>
      <c r="AM36" s="73" t="str">
        <f t="shared" si="16"/>
        <v/>
      </c>
      <c r="AN36" s="73" t="str">
        <f t="shared" si="16"/>
        <v/>
      </c>
      <c r="AO36" s="73" t="str">
        <f t="shared" si="16"/>
        <v/>
      </c>
      <c r="AP36" s="73" t="str">
        <f t="shared" si="16"/>
        <v/>
      </c>
      <c r="AQ36" s="73" t="str">
        <f t="shared" si="16"/>
        <v/>
      </c>
      <c r="AR36" s="73" t="str">
        <f t="shared" si="16"/>
        <v/>
      </c>
      <c r="AS36" s="73" t="str">
        <f t="shared" si="16"/>
        <v/>
      </c>
      <c r="AT36" s="73" t="str">
        <f t="shared" si="16"/>
        <v/>
      </c>
      <c r="AU36" s="73" t="str">
        <f t="shared" si="16"/>
        <v/>
      </c>
      <c r="AV36" s="73" t="str">
        <f t="shared" si="16"/>
        <v/>
      </c>
      <c r="AW36" s="73" t="str">
        <f t="shared" si="16"/>
        <v/>
      </c>
      <c r="AX36" s="73" t="str">
        <f t="shared" si="16"/>
        <v/>
      </c>
      <c r="AY36" s="73" t="str">
        <f t="shared" si="16"/>
        <v/>
      </c>
      <c r="AZ36" s="73" t="str">
        <f t="shared" si="16"/>
        <v/>
      </c>
      <c r="BA36" s="73" t="str">
        <f t="shared" si="16"/>
        <v/>
      </c>
      <c r="BB36" s="73" t="str">
        <f t="shared" si="16"/>
        <v/>
      </c>
      <c r="BC36" s="73" t="str">
        <f t="shared" si="16"/>
        <v/>
      </c>
      <c r="BD36" s="73" t="str">
        <f t="shared" si="16"/>
        <v/>
      </c>
      <c r="BE36" s="73" t="str">
        <f t="shared" si="16"/>
        <v/>
      </c>
      <c r="BF36" s="73" t="str">
        <f t="shared" si="16"/>
        <v/>
      </c>
      <c r="BG36" s="73" t="str">
        <f t="shared" si="16"/>
        <v/>
      </c>
      <c r="BH36" s="73" t="str">
        <f t="shared" si="16"/>
        <v/>
      </c>
      <c r="BI36" s="73" t="str">
        <f t="shared" si="16"/>
        <v/>
      </c>
      <c r="BJ36" s="73" t="str">
        <f t="shared" si="16"/>
        <v/>
      </c>
      <c r="BK36" s="73" t="str">
        <f t="shared" si="16"/>
        <v/>
      </c>
      <c r="BL36" s="73" t="str">
        <f t="shared" si="16"/>
        <v/>
      </c>
      <c r="BM36" s="73" t="str">
        <f t="shared" si="16"/>
        <v/>
      </c>
      <c r="BN36" s="73" t="str">
        <f t="shared" si="16"/>
        <v/>
      </c>
      <c r="BO36" s="73" t="str">
        <f t="shared" ref="BO36:CX36" si="17">IF(ISNUMBER(outYear),om_opt_fuel_1_cost*om_opt_fuel_1_usage*(1+inflation_rate/100+om_opt_fuel_1_cost_escal/100)^BN2,"")</f>
        <v/>
      </c>
      <c r="BP36" s="73" t="str">
        <f t="shared" si="17"/>
        <v/>
      </c>
      <c r="BQ36" s="73" t="str">
        <f t="shared" si="17"/>
        <v/>
      </c>
      <c r="BR36" s="73" t="str">
        <f t="shared" si="17"/>
        <v/>
      </c>
      <c r="BS36" s="73" t="str">
        <f t="shared" si="17"/>
        <v/>
      </c>
      <c r="BT36" s="73" t="str">
        <f t="shared" si="17"/>
        <v/>
      </c>
      <c r="BU36" s="73" t="str">
        <f t="shared" si="17"/>
        <v/>
      </c>
      <c r="BV36" s="73" t="str">
        <f t="shared" si="17"/>
        <v/>
      </c>
      <c r="BW36" s="73" t="str">
        <f t="shared" si="17"/>
        <v/>
      </c>
      <c r="BX36" s="73" t="str">
        <f t="shared" si="17"/>
        <v/>
      </c>
      <c r="BY36" s="73" t="str">
        <f t="shared" si="17"/>
        <v/>
      </c>
      <c r="BZ36" s="73" t="str">
        <f t="shared" si="17"/>
        <v/>
      </c>
      <c r="CA36" s="73" t="str">
        <f t="shared" si="17"/>
        <v/>
      </c>
      <c r="CB36" s="73" t="str">
        <f t="shared" si="17"/>
        <v/>
      </c>
      <c r="CC36" s="73" t="str">
        <f t="shared" si="17"/>
        <v/>
      </c>
      <c r="CD36" s="73" t="str">
        <f t="shared" si="17"/>
        <v/>
      </c>
      <c r="CE36" s="73" t="str">
        <f t="shared" si="17"/>
        <v/>
      </c>
      <c r="CF36" s="73" t="str">
        <f t="shared" si="17"/>
        <v/>
      </c>
      <c r="CG36" s="73" t="str">
        <f t="shared" si="17"/>
        <v/>
      </c>
      <c r="CH36" s="73" t="str">
        <f t="shared" si="17"/>
        <v/>
      </c>
      <c r="CI36" s="73" t="str">
        <f t="shared" si="17"/>
        <v/>
      </c>
      <c r="CJ36" s="73" t="str">
        <f t="shared" si="17"/>
        <v/>
      </c>
      <c r="CK36" s="73" t="str">
        <f t="shared" si="17"/>
        <v/>
      </c>
      <c r="CL36" s="73" t="str">
        <f t="shared" si="17"/>
        <v/>
      </c>
      <c r="CM36" s="73" t="str">
        <f t="shared" si="17"/>
        <v/>
      </c>
      <c r="CN36" s="73" t="str">
        <f t="shared" si="17"/>
        <v/>
      </c>
      <c r="CO36" s="73" t="str">
        <f t="shared" si="17"/>
        <v/>
      </c>
      <c r="CP36" s="73" t="str">
        <f t="shared" si="17"/>
        <v/>
      </c>
      <c r="CQ36" s="73" t="str">
        <f t="shared" si="17"/>
        <v/>
      </c>
      <c r="CR36" s="73" t="str">
        <f t="shared" si="17"/>
        <v/>
      </c>
      <c r="CS36" s="73" t="str">
        <f t="shared" si="17"/>
        <v/>
      </c>
      <c r="CT36" s="73" t="str">
        <f t="shared" si="17"/>
        <v/>
      </c>
      <c r="CU36" s="73" t="str">
        <f t="shared" si="17"/>
        <v/>
      </c>
      <c r="CV36" s="73" t="str">
        <f t="shared" si="17"/>
        <v/>
      </c>
      <c r="CW36" s="73" t="str">
        <f t="shared" si="17"/>
        <v/>
      </c>
      <c r="CX36" s="73" t="str">
        <f t="shared" si="17"/>
        <v/>
      </c>
    </row>
    <row r="37" spans="1:102" x14ac:dyDescent="0.25">
      <c r="A37" s="59" t="s">
        <v>123</v>
      </c>
      <c r="B37" s="73"/>
      <c r="C37" s="73" t="str">
        <f t="shared" ref="C37:AH37" si="18">IF(ISNUMBER(outYear),om_opt_fuel_2_cost*om_opt_fuel_2_usage*(1+inflation_rate/100+om_opt_fuel_2_cost_escal/100)^B2,"")</f>
        <v/>
      </c>
      <c r="D37" s="73" t="str">
        <f t="shared" si="18"/>
        <v/>
      </c>
      <c r="E37" s="73" t="str">
        <f t="shared" si="18"/>
        <v/>
      </c>
      <c r="F37" s="73" t="str">
        <f t="shared" si="18"/>
        <v/>
      </c>
      <c r="G37" s="73" t="str">
        <f t="shared" si="18"/>
        <v/>
      </c>
      <c r="H37" s="73" t="str">
        <f t="shared" si="18"/>
        <v/>
      </c>
      <c r="I37" s="73" t="str">
        <f t="shared" si="18"/>
        <v/>
      </c>
      <c r="J37" s="73" t="str">
        <f t="shared" si="18"/>
        <v/>
      </c>
      <c r="K37" s="73" t="str">
        <f t="shared" si="18"/>
        <v/>
      </c>
      <c r="L37" s="73" t="str">
        <f t="shared" si="18"/>
        <v/>
      </c>
      <c r="M37" s="73" t="str">
        <f t="shared" si="18"/>
        <v/>
      </c>
      <c r="N37" s="73" t="str">
        <f t="shared" si="18"/>
        <v/>
      </c>
      <c r="O37" s="73" t="str">
        <f t="shared" si="18"/>
        <v/>
      </c>
      <c r="P37" s="73" t="str">
        <f t="shared" si="18"/>
        <v/>
      </c>
      <c r="Q37" s="73" t="str">
        <f t="shared" si="18"/>
        <v/>
      </c>
      <c r="R37" s="73" t="str">
        <f t="shared" si="18"/>
        <v/>
      </c>
      <c r="S37" s="73" t="str">
        <f t="shared" si="18"/>
        <v/>
      </c>
      <c r="T37" s="73" t="str">
        <f t="shared" si="18"/>
        <v/>
      </c>
      <c r="U37" s="73" t="str">
        <f t="shared" si="18"/>
        <v/>
      </c>
      <c r="V37" s="73" t="str">
        <f t="shared" si="18"/>
        <v/>
      </c>
      <c r="W37" s="73" t="str">
        <f t="shared" si="18"/>
        <v/>
      </c>
      <c r="X37" s="73" t="str">
        <f t="shared" si="18"/>
        <v/>
      </c>
      <c r="Y37" s="73" t="str">
        <f t="shared" si="18"/>
        <v/>
      </c>
      <c r="Z37" s="73" t="str">
        <f t="shared" si="18"/>
        <v/>
      </c>
      <c r="AA37" s="73" t="str">
        <f t="shared" si="18"/>
        <v/>
      </c>
      <c r="AB37" s="73" t="str">
        <f t="shared" si="18"/>
        <v/>
      </c>
      <c r="AC37" s="73" t="str">
        <f t="shared" si="18"/>
        <v/>
      </c>
      <c r="AD37" s="73" t="str">
        <f t="shared" si="18"/>
        <v/>
      </c>
      <c r="AE37" s="73" t="str">
        <f t="shared" si="18"/>
        <v/>
      </c>
      <c r="AF37" s="73" t="str">
        <f t="shared" si="18"/>
        <v/>
      </c>
      <c r="AG37" s="73" t="str">
        <f t="shared" si="18"/>
        <v/>
      </c>
      <c r="AH37" s="73" t="str">
        <f t="shared" si="18"/>
        <v/>
      </c>
      <c r="AI37" s="73" t="str">
        <f t="shared" ref="AI37:BN37" si="19">IF(ISNUMBER(outYear),om_opt_fuel_2_cost*om_opt_fuel_2_usage*(1+inflation_rate/100+om_opt_fuel_2_cost_escal/100)^AH2,"")</f>
        <v/>
      </c>
      <c r="AJ37" s="73" t="str">
        <f t="shared" si="19"/>
        <v/>
      </c>
      <c r="AK37" s="73" t="str">
        <f t="shared" si="19"/>
        <v/>
      </c>
      <c r="AL37" s="73" t="str">
        <f t="shared" si="19"/>
        <v/>
      </c>
      <c r="AM37" s="73" t="str">
        <f t="shared" si="19"/>
        <v/>
      </c>
      <c r="AN37" s="73" t="str">
        <f t="shared" si="19"/>
        <v/>
      </c>
      <c r="AO37" s="73" t="str">
        <f t="shared" si="19"/>
        <v/>
      </c>
      <c r="AP37" s="73" t="str">
        <f t="shared" si="19"/>
        <v/>
      </c>
      <c r="AQ37" s="73" t="str">
        <f t="shared" si="19"/>
        <v/>
      </c>
      <c r="AR37" s="73" t="str">
        <f t="shared" si="19"/>
        <v/>
      </c>
      <c r="AS37" s="73" t="str">
        <f t="shared" si="19"/>
        <v/>
      </c>
      <c r="AT37" s="73" t="str">
        <f t="shared" si="19"/>
        <v/>
      </c>
      <c r="AU37" s="73" t="str">
        <f t="shared" si="19"/>
        <v/>
      </c>
      <c r="AV37" s="73" t="str">
        <f t="shared" si="19"/>
        <v/>
      </c>
      <c r="AW37" s="73" t="str">
        <f t="shared" si="19"/>
        <v/>
      </c>
      <c r="AX37" s="73" t="str">
        <f t="shared" si="19"/>
        <v/>
      </c>
      <c r="AY37" s="73" t="str">
        <f t="shared" si="19"/>
        <v/>
      </c>
      <c r="AZ37" s="73" t="str">
        <f t="shared" si="19"/>
        <v/>
      </c>
      <c r="BA37" s="73" t="str">
        <f t="shared" si="19"/>
        <v/>
      </c>
      <c r="BB37" s="73" t="str">
        <f t="shared" si="19"/>
        <v/>
      </c>
      <c r="BC37" s="73" t="str">
        <f t="shared" si="19"/>
        <v/>
      </c>
      <c r="BD37" s="73" t="str">
        <f t="shared" si="19"/>
        <v/>
      </c>
      <c r="BE37" s="73" t="str">
        <f t="shared" si="19"/>
        <v/>
      </c>
      <c r="BF37" s="73" t="str">
        <f t="shared" si="19"/>
        <v/>
      </c>
      <c r="BG37" s="73" t="str">
        <f t="shared" si="19"/>
        <v/>
      </c>
      <c r="BH37" s="73" t="str">
        <f t="shared" si="19"/>
        <v/>
      </c>
      <c r="BI37" s="73" t="str">
        <f t="shared" si="19"/>
        <v/>
      </c>
      <c r="BJ37" s="73" t="str">
        <f t="shared" si="19"/>
        <v/>
      </c>
      <c r="BK37" s="73" t="str">
        <f t="shared" si="19"/>
        <v/>
      </c>
      <c r="BL37" s="73" t="str">
        <f t="shared" si="19"/>
        <v/>
      </c>
      <c r="BM37" s="73" t="str">
        <f t="shared" si="19"/>
        <v/>
      </c>
      <c r="BN37" s="73" t="str">
        <f t="shared" si="19"/>
        <v/>
      </c>
      <c r="BO37" s="73" t="str">
        <f t="shared" ref="BO37:CX37" si="20">IF(ISNUMBER(outYear),om_opt_fuel_2_cost*om_opt_fuel_2_usage*(1+inflation_rate/100+om_opt_fuel_2_cost_escal/100)^BN2,"")</f>
        <v/>
      </c>
      <c r="BP37" s="73" t="str">
        <f t="shared" si="20"/>
        <v/>
      </c>
      <c r="BQ37" s="73" t="str">
        <f t="shared" si="20"/>
        <v/>
      </c>
      <c r="BR37" s="73" t="str">
        <f t="shared" si="20"/>
        <v/>
      </c>
      <c r="BS37" s="73" t="str">
        <f t="shared" si="20"/>
        <v/>
      </c>
      <c r="BT37" s="73" t="str">
        <f t="shared" si="20"/>
        <v/>
      </c>
      <c r="BU37" s="73" t="str">
        <f t="shared" si="20"/>
        <v/>
      </c>
      <c r="BV37" s="73" t="str">
        <f t="shared" si="20"/>
        <v/>
      </c>
      <c r="BW37" s="73" t="str">
        <f t="shared" si="20"/>
        <v/>
      </c>
      <c r="BX37" s="73" t="str">
        <f t="shared" si="20"/>
        <v/>
      </c>
      <c r="BY37" s="73" t="str">
        <f t="shared" si="20"/>
        <v/>
      </c>
      <c r="BZ37" s="73" t="str">
        <f t="shared" si="20"/>
        <v/>
      </c>
      <c r="CA37" s="73" t="str">
        <f t="shared" si="20"/>
        <v/>
      </c>
      <c r="CB37" s="73" t="str">
        <f t="shared" si="20"/>
        <v/>
      </c>
      <c r="CC37" s="73" t="str">
        <f t="shared" si="20"/>
        <v/>
      </c>
      <c r="CD37" s="73" t="str">
        <f t="shared" si="20"/>
        <v/>
      </c>
      <c r="CE37" s="73" t="str">
        <f t="shared" si="20"/>
        <v/>
      </c>
      <c r="CF37" s="73" t="str">
        <f t="shared" si="20"/>
        <v/>
      </c>
      <c r="CG37" s="73" t="str">
        <f t="shared" si="20"/>
        <v/>
      </c>
      <c r="CH37" s="73" t="str">
        <f t="shared" si="20"/>
        <v/>
      </c>
      <c r="CI37" s="73" t="str">
        <f t="shared" si="20"/>
        <v/>
      </c>
      <c r="CJ37" s="73" t="str">
        <f t="shared" si="20"/>
        <v/>
      </c>
      <c r="CK37" s="73" t="str">
        <f t="shared" si="20"/>
        <v/>
      </c>
      <c r="CL37" s="73" t="str">
        <f t="shared" si="20"/>
        <v/>
      </c>
      <c r="CM37" s="73" t="str">
        <f t="shared" si="20"/>
        <v/>
      </c>
      <c r="CN37" s="73" t="str">
        <f t="shared" si="20"/>
        <v/>
      </c>
      <c r="CO37" s="73" t="str">
        <f t="shared" si="20"/>
        <v/>
      </c>
      <c r="CP37" s="73" t="str">
        <f t="shared" si="20"/>
        <v/>
      </c>
      <c r="CQ37" s="73" t="str">
        <f t="shared" si="20"/>
        <v/>
      </c>
      <c r="CR37" s="73" t="str">
        <f t="shared" si="20"/>
        <v/>
      </c>
      <c r="CS37" s="73" t="str">
        <f t="shared" si="20"/>
        <v/>
      </c>
      <c r="CT37" s="73" t="str">
        <f t="shared" si="20"/>
        <v/>
      </c>
      <c r="CU37" s="73" t="str">
        <f t="shared" si="20"/>
        <v/>
      </c>
      <c r="CV37" s="73" t="str">
        <f t="shared" si="20"/>
        <v/>
      </c>
      <c r="CW37" s="73" t="str">
        <f t="shared" si="20"/>
        <v/>
      </c>
      <c r="CX37" s="73" t="str">
        <f t="shared" si="20"/>
        <v/>
      </c>
    </row>
    <row r="38" spans="1:102" x14ac:dyDescent="0.25">
      <c r="A38" s="62" t="s">
        <v>0</v>
      </c>
      <c r="B38" s="73"/>
      <c r="C38" s="73" t="str">
        <f t="shared" ref="C38:AH38" si="21">IF(ISNUMBER(outYear),total_installed_cost*insurance_rate/100*(1+inflation_rate/100)^B2,"")</f>
        <v/>
      </c>
      <c r="D38" s="73" t="str">
        <f t="shared" si="21"/>
        <v/>
      </c>
      <c r="E38" s="73" t="str">
        <f t="shared" si="21"/>
        <v/>
      </c>
      <c r="F38" s="73" t="str">
        <f t="shared" si="21"/>
        <v/>
      </c>
      <c r="G38" s="73" t="str">
        <f t="shared" si="21"/>
        <v/>
      </c>
      <c r="H38" s="73" t="str">
        <f t="shared" si="21"/>
        <v/>
      </c>
      <c r="I38" s="73" t="str">
        <f t="shared" si="21"/>
        <v/>
      </c>
      <c r="J38" s="73" t="str">
        <f t="shared" si="21"/>
        <v/>
      </c>
      <c r="K38" s="73" t="str">
        <f t="shared" si="21"/>
        <v/>
      </c>
      <c r="L38" s="73" t="str">
        <f t="shared" si="21"/>
        <v/>
      </c>
      <c r="M38" s="73" t="str">
        <f t="shared" si="21"/>
        <v/>
      </c>
      <c r="N38" s="73" t="str">
        <f t="shared" si="21"/>
        <v/>
      </c>
      <c r="O38" s="73" t="str">
        <f t="shared" si="21"/>
        <v/>
      </c>
      <c r="P38" s="73" t="str">
        <f t="shared" si="21"/>
        <v/>
      </c>
      <c r="Q38" s="73" t="str">
        <f t="shared" si="21"/>
        <v/>
      </c>
      <c r="R38" s="73" t="str">
        <f t="shared" si="21"/>
        <v/>
      </c>
      <c r="S38" s="73" t="str">
        <f t="shared" si="21"/>
        <v/>
      </c>
      <c r="T38" s="73" t="str">
        <f t="shared" si="21"/>
        <v/>
      </c>
      <c r="U38" s="73" t="str">
        <f t="shared" si="21"/>
        <v/>
      </c>
      <c r="V38" s="73" t="str">
        <f t="shared" si="21"/>
        <v/>
      </c>
      <c r="W38" s="73" t="str">
        <f t="shared" si="21"/>
        <v/>
      </c>
      <c r="X38" s="73" t="str">
        <f t="shared" si="21"/>
        <v/>
      </c>
      <c r="Y38" s="73" t="str">
        <f t="shared" si="21"/>
        <v/>
      </c>
      <c r="Z38" s="73" t="str">
        <f t="shared" si="21"/>
        <v/>
      </c>
      <c r="AA38" s="73" t="str">
        <f t="shared" si="21"/>
        <v/>
      </c>
      <c r="AB38" s="73" t="str">
        <f t="shared" si="21"/>
        <v/>
      </c>
      <c r="AC38" s="73" t="str">
        <f t="shared" si="21"/>
        <v/>
      </c>
      <c r="AD38" s="73" t="str">
        <f t="shared" si="21"/>
        <v/>
      </c>
      <c r="AE38" s="73" t="str">
        <f t="shared" si="21"/>
        <v/>
      </c>
      <c r="AF38" s="73" t="str">
        <f t="shared" si="21"/>
        <v/>
      </c>
      <c r="AG38" s="73" t="str">
        <f t="shared" si="21"/>
        <v/>
      </c>
      <c r="AH38" s="73" t="str">
        <f t="shared" si="21"/>
        <v/>
      </c>
      <c r="AI38" s="73" t="str">
        <f t="shared" ref="AI38:BN38" si="22">IF(ISNUMBER(outYear),total_installed_cost*insurance_rate/100*(1+inflation_rate/100)^AH2,"")</f>
        <v/>
      </c>
      <c r="AJ38" s="73" t="str">
        <f t="shared" si="22"/>
        <v/>
      </c>
      <c r="AK38" s="73" t="str">
        <f t="shared" si="22"/>
        <v/>
      </c>
      <c r="AL38" s="73" t="str">
        <f t="shared" si="22"/>
        <v/>
      </c>
      <c r="AM38" s="73" t="str">
        <f t="shared" si="22"/>
        <v/>
      </c>
      <c r="AN38" s="73" t="str">
        <f t="shared" si="22"/>
        <v/>
      </c>
      <c r="AO38" s="73" t="str">
        <f t="shared" si="22"/>
        <v/>
      </c>
      <c r="AP38" s="73" t="str">
        <f t="shared" si="22"/>
        <v/>
      </c>
      <c r="AQ38" s="73" t="str">
        <f t="shared" si="22"/>
        <v/>
      </c>
      <c r="AR38" s="73" t="str">
        <f t="shared" si="22"/>
        <v/>
      </c>
      <c r="AS38" s="73" t="str">
        <f t="shared" si="22"/>
        <v/>
      </c>
      <c r="AT38" s="73" t="str">
        <f t="shared" si="22"/>
        <v/>
      </c>
      <c r="AU38" s="73" t="str">
        <f t="shared" si="22"/>
        <v/>
      </c>
      <c r="AV38" s="73" t="str">
        <f t="shared" si="22"/>
        <v/>
      </c>
      <c r="AW38" s="73" t="str">
        <f t="shared" si="22"/>
        <v/>
      </c>
      <c r="AX38" s="73" t="str">
        <f t="shared" si="22"/>
        <v/>
      </c>
      <c r="AY38" s="73" t="str">
        <f t="shared" si="22"/>
        <v/>
      </c>
      <c r="AZ38" s="73" t="str">
        <f t="shared" si="22"/>
        <v/>
      </c>
      <c r="BA38" s="73" t="str">
        <f t="shared" si="22"/>
        <v/>
      </c>
      <c r="BB38" s="73" t="str">
        <f t="shared" si="22"/>
        <v/>
      </c>
      <c r="BC38" s="73" t="str">
        <f t="shared" si="22"/>
        <v/>
      </c>
      <c r="BD38" s="73" t="str">
        <f t="shared" si="22"/>
        <v/>
      </c>
      <c r="BE38" s="73" t="str">
        <f t="shared" si="22"/>
        <v/>
      </c>
      <c r="BF38" s="73" t="str">
        <f t="shared" si="22"/>
        <v/>
      </c>
      <c r="BG38" s="73" t="str">
        <f t="shared" si="22"/>
        <v/>
      </c>
      <c r="BH38" s="73" t="str">
        <f t="shared" si="22"/>
        <v/>
      </c>
      <c r="BI38" s="73" t="str">
        <f t="shared" si="22"/>
        <v/>
      </c>
      <c r="BJ38" s="73" t="str">
        <f t="shared" si="22"/>
        <v/>
      </c>
      <c r="BK38" s="73" t="str">
        <f t="shared" si="22"/>
        <v/>
      </c>
      <c r="BL38" s="73" t="str">
        <f t="shared" si="22"/>
        <v/>
      </c>
      <c r="BM38" s="73" t="str">
        <f t="shared" si="22"/>
        <v/>
      </c>
      <c r="BN38" s="73" t="str">
        <f t="shared" si="22"/>
        <v/>
      </c>
      <c r="BO38" s="73" t="str">
        <f t="shared" ref="BO38:CX38" si="23">IF(ISNUMBER(outYear),total_installed_cost*insurance_rate/100*(1+inflation_rate/100)^BN2,"")</f>
        <v/>
      </c>
      <c r="BP38" s="73" t="str">
        <f t="shared" si="23"/>
        <v/>
      </c>
      <c r="BQ38" s="73" t="str">
        <f t="shared" si="23"/>
        <v/>
      </c>
      <c r="BR38" s="73" t="str">
        <f t="shared" si="23"/>
        <v/>
      </c>
      <c r="BS38" s="73" t="str">
        <f t="shared" si="23"/>
        <v/>
      </c>
      <c r="BT38" s="73" t="str">
        <f t="shared" si="23"/>
        <v/>
      </c>
      <c r="BU38" s="73" t="str">
        <f t="shared" si="23"/>
        <v/>
      </c>
      <c r="BV38" s="73" t="str">
        <f t="shared" si="23"/>
        <v/>
      </c>
      <c r="BW38" s="73" t="str">
        <f t="shared" si="23"/>
        <v/>
      </c>
      <c r="BX38" s="73" t="str">
        <f t="shared" si="23"/>
        <v/>
      </c>
      <c r="BY38" s="73" t="str">
        <f t="shared" si="23"/>
        <v/>
      </c>
      <c r="BZ38" s="73" t="str">
        <f t="shared" si="23"/>
        <v/>
      </c>
      <c r="CA38" s="73" t="str">
        <f t="shared" si="23"/>
        <v/>
      </c>
      <c r="CB38" s="73" t="str">
        <f t="shared" si="23"/>
        <v/>
      </c>
      <c r="CC38" s="73" t="str">
        <f t="shared" si="23"/>
        <v/>
      </c>
      <c r="CD38" s="73" t="str">
        <f t="shared" si="23"/>
        <v/>
      </c>
      <c r="CE38" s="73" t="str">
        <f t="shared" si="23"/>
        <v/>
      </c>
      <c r="CF38" s="73" t="str">
        <f t="shared" si="23"/>
        <v/>
      </c>
      <c r="CG38" s="73" t="str">
        <f t="shared" si="23"/>
        <v/>
      </c>
      <c r="CH38" s="73" t="str">
        <f t="shared" si="23"/>
        <v/>
      </c>
      <c r="CI38" s="73" t="str">
        <f t="shared" si="23"/>
        <v/>
      </c>
      <c r="CJ38" s="73" t="str">
        <f t="shared" si="23"/>
        <v/>
      </c>
      <c r="CK38" s="73" t="str">
        <f t="shared" si="23"/>
        <v/>
      </c>
      <c r="CL38" s="73" t="str">
        <f t="shared" si="23"/>
        <v/>
      </c>
      <c r="CM38" s="73" t="str">
        <f t="shared" si="23"/>
        <v/>
      </c>
      <c r="CN38" s="73" t="str">
        <f t="shared" si="23"/>
        <v/>
      </c>
      <c r="CO38" s="73" t="str">
        <f t="shared" si="23"/>
        <v/>
      </c>
      <c r="CP38" s="73" t="str">
        <f t="shared" si="23"/>
        <v/>
      </c>
      <c r="CQ38" s="73" t="str">
        <f t="shared" si="23"/>
        <v/>
      </c>
      <c r="CR38" s="73" t="str">
        <f t="shared" si="23"/>
        <v/>
      </c>
      <c r="CS38" s="73" t="str">
        <f t="shared" si="23"/>
        <v/>
      </c>
      <c r="CT38" s="73" t="str">
        <f t="shared" si="23"/>
        <v/>
      </c>
      <c r="CU38" s="73" t="str">
        <f t="shared" si="23"/>
        <v/>
      </c>
      <c r="CV38" s="73" t="str">
        <f t="shared" si="23"/>
        <v/>
      </c>
      <c r="CW38" s="73" t="str">
        <f t="shared" si="23"/>
        <v/>
      </c>
      <c r="CX38" s="73" t="str">
        <f t="shared" si="23"/>
        <v/>
      </c>
    </row>
    <row r="39" spans="1:102" x14ac:dyDescent="0.25">
      <c r="A39" s="54" t="s">
        <v>122</v>
      </c>
      <c r="B39" s="73"/>
      <c r="C39" s="73" t="str">
        <f t="shared" ref="C39:AH39" si="24">IF(ISNUMBER(outYear),C43*property_tax_rate/100,"")</f>
        <v/>
      </c>
      <c r="D39" s="73" t="str">
        <f t="shared" si="24"/>
        <v/>
      </c>
      <c r="E39" s="73" t="str">
        <f t="shared" si="24"/>
        <v/>
      </c>
      <c r="F39" s="73" t="str">
        <f t="shared" si="24"/>
        <v/>
      </c>
      <c r="G39" s="73" t="str">
        <f t="shared" si="24"/>
        <v/>
      </c>
      <c r="H39" s="73" t="str">
        <f t="shared" si="24"/>
        <v/>
      </c>
      <c r="I39" s="73" t="str">
        <f t="shared" si="24"/>
        <v/>
      </c>
      <c r="J39" s="73" t="str">
        <f t="shared" si="24"/>
        <v/>
      </c>
      <c r="K39" s="73" t="str">
        <f t="shared" si="24"/>
        <v/>
      </c>
      <c r="L39" s="73" t="str">
        <f t="shared" si="24"/>
        <v/>
      </c>
      <c r="M39" s="73" t="str">
        <f t="shared" si="24"/>
        <v/>
      </c>
      <c r="N39" s="73" t="str">
        <f t="shared" si="24"/>
        <v/>
      </c>
      <c r="O39" s="73" t="str">
        <f t="shared" si="24"/>
        <v/>
      </c>
      <c r="P39" s="73" t="str">
        <f t="shared" si="24"/>
        <v/>
      </c>
      <c r="Q39" s="73" t="str">
        <f t="shared" si="24"/>
        <v/>
      </c>
      <c r="R39" s="73" t="str">
        <f t="shared" si="24"/>
        <v/>
      </c>
      <c r="S39" s="73" t="str">
        <f t="shared" si="24"/>
        <v/>
      </c>
      <c r="T39" s="73" t="str">
        <f t="shared" si="24"/>
        <v/>
      </c>
      <c r="U39" s="73" t="str">
        <f t="shared" si="24"/>
        <v/>
      </c>
      <c r="V39" s="73" t="str">
        <f t="shared" si="24"/>
        <v/>
      </c>
      <c r="W39" s="73" t="str">
        <f t="shared" si="24"/>
        <v/>
      </c>
      <c r="X39" s="73" t="str">
        <f t="shared" si="24"/>
        <v/>
      </c>
      <c r="Y39" s="73" t="str">
        <f t="shared" si="24"/>
        <v/>
      </c>
      <c r="Z39" s="73" t="str">
        <f t="shared" si="24"/>
        <v/>
      </c>
      <c r="AA39" s="73" t="str">
        <f t="shared" si="24"/>
        <v/>
      </c>
      <c r="AB39" s="73" t="str">
        <f t="shared" si="24"/>
        <v/>
      </c>
      <c r="AC39" s="73" t="str">
        <f t="shared" si="24"/>
        <v/>
      </c>
      <c r="AD39" s="73" t="str">
        <f t="shared" si="24"/>
        <v/>
      </c>
      <c r="AE39" s="73" t="str">
        <f t="shared" si="24"/>
        <v/>
      </c>
      <c r="AF39" s="73" t="str">
        <f t="shared" si="24"/>
        <v/>
      </c>
      <c r="AG39" s="73" t="str">
        <f t="shared" si="24"/>
        <v/>
      </c>
      <c r="AH39" s="73" t="str">
        <f t="shared" si="24"/>
        <v/>
      </c>
      <c r="AI39" s="73" t="str">
        <f t="shared" ref="AI39:BN39" si="25">IF(ISNUMBER(outYear),AI43*property_tax_rate/100,"")</f>
        <v/>
      </c>
      <c r="AJ39" s="73" t="str">
        <f t="shared" si="25"/>
        <v/>
      </c>
      <c r="AK39" s="73" t="str">
        <f t="shared" si="25"/>
        <v/>
      </c>
      <c r="AL39" s="73" t="str">
        <f t="shared" si="25"/>
        <v/>
      </c>
      <c r="AM39" s="73" t="str">
        <f t="shared" si="25"/>
        <v/>
      </c>
      <c r="AN39" s="73" t="str">
        <f t="shared" si="25"/>
        <v/>
      </c>
      <c r="AO39" s="73" t="str">
        <f t="shared" si="25"/>
        <v/>
      </c>
      <c r="AP39" s="73" t="str">
        <f t="shared" si="25"/>
        <v/>
      </c>
      <c r="AQ39" s="73" t="str">
        <f t="shared" si="25"/>
        <v/>
      </c>
      <c r="AR39" s="73" t="str">
        <f t="shared" si="25"/>
        <v/>
      </c>
      <c r="AS39" s="73" t="str">
        <f t="shared" si="25"/>
        <v/>
      </c>
      <c r="AT39" s="73" t="str">
        <f t="shared" si="25"/>
        <v/>
      </c>
      <c r="AU39" s="73" t="str">
        <f t="shared" si="25"/>
        <v/>
      </c>
      <c r="AV39" s="73" t="str">
        <f t="shared" si="25"/>
        <v/>
      </c>
      <c r="AW39" s="73" t="str">
        <f t="shared" si="25"/>
        <v/>
      </c>
      <c r="AX39" s="73" t="str">
        <f t="shared" si="25"/>
        <v/>
      </c>
      <c r="AY39" s="73" t="str">
        <f t="shared" si="25"/>
        <v/>
      </c>
      <c r="AZ39" s="73" t="str">
        <f t="shared" si="25"/>
        <v/>
      </c>
      <c r="BA39" s="73" t="str">
        <f t="shared" si="25"/>
        <v/>
      </c>
      <c r="BB39" s="73" t="str">
        <f t="shared" si="25"/>
        <v/>
      </c>
      <c r="BC39" s="73" t="str">
        <f t="shared" si="25"/>
        <v/>
      </c>
      <c r="BD39" s="73" t="str">
        <f t="shared" si="25"/>
        <v/>
      </c>
      <c r="BE39" s="73" t="str">
        <f t="shared" si="25"/>
        <v/>
      </c>
      <c r="BF39" s="73" t="str">
        <f t="shared" si="25"/>
        <v/>
      </c>
      <c r="BG39" s="73" t="str">
        <f t="shared" si="25"/>
        <v/>
      </c>
      <c r="BH39" s="73" t="str">
        <f t="shared" si="25"/>
        <v/>
      </c>
      <c r="BI39" s="73" t="str">
        <f t="shared" si="25"/>
        <v/>
      </c>
      <c r="BJ39" s="73" t="str">
        <f t="shared" si="25"/>
        <v/>
      </c>
      <c r="BK39" s="73" t="str">
        <f t="shared" si="25"/>
        <v/>
      </c>
      <c r="BL39" s="73" t="str">
        <f t="shared" si="25"/>
        <v/>
      </c>
      <c r="BM39" s="73" t="str">
        <f t="shared" si="25"/>
        <v/>
      </c>
      <c r="BN39" s="73" t="str">
        <f t="shared" si="25"/>
        <v/>
      </c>
      <c r="BO39" s="73" t="str">
        <f t="shared" ref="BO39:CX39" si="26">IF(ISNUMBER(outYear),BO43*property_tax_rate/100,"")</f>
        <v/>
      </c>
      <c r="BP39" s="73" t="str">
        <f t="shared" si="26"/>
        <v/>
      </c>
      <c r="BQ39" s="73" t="str">
        <f t="shared" si="26"/>
        <v/>
      </c>
      <c r="BR39" s="73" t="str">
        <f t="shared" si="26"/>
        <v/>
      </c>
      <c r="BS39" s="73" t="str">
        <f t="shared" si="26"/>
        <v/>
      </c>
      <c r="BT39" s="73" t="str">
        <f t="shared" si="26"/>
        <v/>
      </c>
      <c r="BU39" s="73" t="str">
        <f t="shared" si="26"/>
        <v/>
      </c>
      <c r="BV39" s="73" t="str">
        <f t="shared" si="26"/>
        <v/>
      </c>
      <c r="BW39" s="73" t="str">
        <f t="shared" si="26"/>
        <v/>
      </c>
      <c r="BX39" s="73" t="str">
        <f t="shared" si="26"/>
        <v/>
      </c>
      <c r="BY39" s="73" t="str">
        <f t="shared" si="26"/>
        <v/>
      </c>
      <c r="BZ39" s="73" t="str">
        <f t="shared" si="26"/>
        <v/>
      </c>
      <c r="CA39" s="73" t="str">
        <f t="shared" si="26"/>
        <v/>
      </c>
      <c r="CB39" s="73" t="str">
        <f t="shared" si="26"/>
        <v/>
      </c>
      <c r="CC39" s="73" t="str">
        <f t="shared" si="26"/>
        <v/>
      </c>
      <c r="CD39" s="73" t="str">
        <f t="shared" si="26"/>
        <v/>
      </c>
      <c r="CE39" s="73" t="str">
        <f t="shared" si="26"/>
        <v/>
      </c>
      <c r="CF39" s="73" t="str">
        <f t="shared" si="26"/>
        <v/>
      </c>
      <c r="CG39" s="73" t="str">
        <f t="shared" si="26"/>
        <v/>
      </c>
      <c r="CH39" s="73" t="str">
        <f t="shared" si="26"/>
        <v/>
      </c>
      <c r="CI39" s="73" t="str">
        <f t="shared" si="26"/>
        <v/>
      </c>
      <c r="CJ39" s="73" t="str">
        <f t="shared" si="26"/>
        <v/>
      </c>
      <c r="CK39" s="73" t="str">
        <f t="shared" si="26"/>
        <v/>
      </c>
      <c r="CL39" s="73" t="str">
        <f t="shared" si="26"/>
        <v/>
      </c>
      <c r="CM39" s="73" t="str">
        <f t="shared" si="26"/>
        <v/>
      </c>
      <c r="CN39" s="73" t="str">
        <f t="shared" si="26"/>
        <v/>
      </c>
      <c r="CO39" s="73" t="str">
        <f t="shared" si="26"/>
        <v/>
      </c>
      <c r="CP39" s="73" t="str">
        <f t="shared" si="26"/>
        <v/>
      </c>
      <c r="CQ39" s="73" t="str">
        <f t="shared" si="26"/>
        <v/>
      </c>
      <c r="CR39" s="73" t="str">
        <f t="shared" si="26"/>
        <v/>
      </c>
      <c r="CS39" s="73" t="str">
        <f t="shared" si="26"/>
        <v/>
      </c>
      <c r="CT39" s="73" t="str">
        <f t="shared" si="26"/>
        <v/>
      </c>
      <c r="CU39" s="73" t="str">
        <f t="shared" si="26"/>
        <v/>
      </c>
      <c r="CV39" s="73" t="str">
        <f t="shared" si="26"/>
        <v/>
      </c>
      <c r="CW39" s="73" t="str">
        <f t="shared" si="26"/>
        <v/>
      </c>
      <c r="CX39" s="73" t="str">
        <f t="shared" si="26"/>
        <v/>
      </c>
    </row>
    <row r="40" spans="1:102" x14ac:dyDescent="0.25">
      <c r="A40" s="54" t="s">
        <v>115</v>
      </c>
      <c r="B40" s="73"/>
      <c r="C40" s="73" t="str">
        <f t="shared" ref="C40:AH40" si="27">IF(ISNUMBER(outYear),IF((outYear=analysis_period),total_installed_cost*salvage_percentage/100,0),"")</f>
        <v/>
      </c>
      <c r="D40" s="73" t="str">
        <f t="shared" si="27"/>
        <v/>
      </c>
      <c r="E40" s="73" t="str">
        <f t="shared" si="27"/>
        <v/>
      </c>
      <c r="F40" s="73" t="str">
        <f t="shared" si="27"/>
        <v/>
      </c>
      <c r="G40" s="73" t="str">
        <f t="shared" si="27"/>
        <v/>
      </c>
      <c r="H40" s="73" t="str">
        <f t="shared" si="27"/>
        <v/>
      </c>
      <c r="I40" s="73" t="str">
        <f t="shared" si="27"/>
        <v/>
      </c>
      <c r="J40" s="73" t="str">
        <f t="shared" si="27"/>
        <v/>
      </c>
      <c r="K40" s="73" t="str">
        <f t="shared" si="27"/>
        <v/>
      </c>
      <c r="L40" s="73" t="str">
        <f t="shared" si="27"/>
        <v/>
      </c>
      <c r="M40" s="73" t="str">
        <f t="shared" si="27"/>
        <v/>
      </c>
      <c r="N40" s="73" t="str">
        <f t="shared" si="27"/>
        <v/>
      </c>
      <c r="O40" s="73" t="str">
        <f t="shared" si="27"/>
        <v/>
      </c>
      <c r="P40" s="73" t="str">
        <f t="shared" si="27"/>
        <v/>
      </c>
      <c r="Q40" s="73" t="str">
        <f t="shared" si="27"/>
        <v/>
      </c>
      <c r="R40" s="73" t="str">
        <f t="shared" si="27"/>
        <v/>
      </c>
      <c r="S40" s="73" t="str">
        <f t="shared" si="27"/>
        <v/>
      </c>
      <c r="T40" s="73" t="str">
        <f t="shared" si="27"/>
        <v/>
      </c>
      <c r="U40" s="73" t="str">
        <f t="shared" si="27"/>
        <v/>
      </c>
      <c r="V40" s="73" t="str">
        <f t="shared" si="27"/>
        <v/>
      </c>
      <c r="W40" s="73" t="str">
        <f t="shared" si="27"/>
        <v/>
      </c>
      <c r="X40" s="73" t="str">
        <f t="shared" si="27"/>
        <v/>
      </c>
      <c r="Y40" s="73" t="str">
        <f t="shared" si="27"/>
        <v/>
      </c>
      <c r="Z40" s="73" t="str">
        <f t="shared" si="27"/>
        <v/>
      </c>
      <c r="AA40" s="73" t="str">
        <f t="shared" si="27"/>
        <v/>
      </c>
      <c r="AB40" s="73" t="str">
        <f t="shared" si="27"/>
        <v/>
      </c>
      <c r="AC40" s="73" t="str">
        <f t="shared" si="27"/>
        <v/>
      </c>
      <c r="AD40" s="73" t="str">
        <f t="shared" si="27"/>
        <v/>
      </c>
      <c r="AE40" s="73" t="str">
        <f t="shared" si="27"/>
        <v/>
      </c>
      <c r="AF40" s="73" t="str">
        <f t="shared" si="27"/>
        <v/>
      </c>
      <c r="AG40" s="73" t="str">
        <f t="shared" si="27"/>
        <v/>
      </c>
      <c r="AH40" s="73" t="str">
        <f t="shared" si="27"/>
        <v/>
      </c>
      <c r="AI40" s="73" t="str">
        <f t="shared" ref="AI40:BN40" si="28">IF(ISNUMBER(outYear),IF((outYear=analysis_period),total_installed_cost*salvage_percentage/100,0),"")</f>
        <v/>
      </c>
      <c r="AJ40" s="73" t="str">
        <f t="shared" si="28"/>
        <v/>
      </c>
      <c r="AK40" s="73" t="str">
        <f t="shared" si="28"/>
        <v/>
      </c>
      <c r="AL40" s="73" t="str">
        <f t="shared" si="28"/>
        <v/>
      </c>
      <c r="AM40" s="73" t="str">
        <f t="shared" si="28"/>
        <v/>
      </c>
      <c r="AN40" s="73" t="str">
        <f t="shared" si="28"/>
        <v/>
      </c>
      <c r="AO40" s="73" t="str">
        <f t="shared" si="28"/>
        <v/>
      </c>
      <c r="AP40" s="73" t="str">
        <f t="shared" si="28"/>
        <v/>
      </c>
      <c r="AQ40" s="73" t="str">
        <f t="shared" si="28"/>
        <v/>
      </c>
      <c r="AR40" s="73" t="str">
        <f t="shared" si="28"/>
        <v/>
      </c>
      <c r="AS40" s="73" t="str">
        <f t="shared" si="28"/>
        <v/>
      </c>
      <c r="AT40" s="73" t="str">
        <f t="shared" si="28"/>
        <v/>
      </c>
      <c r="AU40" s="73" t="str">
        <f t="shared" si="28"/>
        <v/>
      </c>
      <c r="AV40" s="73" t="str">
        <f t="shared" si="28"/>
        <v/>
      </c>
      <c r="AW40" s="73" t="str">
        <f t="shared" si="28"/>
        <v/>
      </c>
      <c r="AX40" s="73" t="str">
        <f t="shared" si="28"/>
        <v/>
      </c>
      <c r="AY40" s="73" t="str">
        <f t="shared" si="28"/>
        <v/>
      </c>
      <c r="AZ40" s="73" t="str">
        <f t="shared" si="28"/>
        <v/>
      </c>
      <c r="BA40" s="73" t="str">
        <f t="shared" si="28"/>
        <v/>
      </c>
      <c r="BB40" s="73" t="str">
        <f t="shared" si="28"/>
        <v/>
      </c>
      <c r="BC40" s="73" t="str">
        <f t="shared" si="28"/>
        <v/>
      </c>
      <c r="BD40" s="73" t="str">
        <f t="shared" si="28"/>
        <v/>
      </c>
      <c r="BE40" s="73" t="str">
        <f t="shared" si="28"/>
        <v/>
      </c>
      <c r="BF40" s="73" t="str">
        <f t="shared" si="28"/>
        <v/>
      </c>
      <c r="BG40" s="73" t="str">
        <f t="shared" si="28"/>
        <v/>
      </c>
      <c r="BH40" s="73" t="str">
        <f t="shared" si="28"/>
        <v/>
      </c>
      <c r="BI40" s="73" t="str">
        <f t="shared" si="28"/>
        <v/>
      </c>
      <c r="BJ40" s="73" t="str">
        <f t="shared" si="28"/>
        <v/>
      </c>
      <c r="BK40" s="73" t="str">
        <f t="shared" si="28"/>
        <v/>
      </c>
      <c r="BL40" s="73" t="str">
        <f t="shared" si="28"/>
        <v/>
      </c>
      <c r="BM40" s="73" t="str">
        <f t="shared" si="28"/>
        <v/>
      </c>
      <c r="BN40" s="73" t="str">
        <f t="shared" si="28"/>
        <v/>
      </c>
      <c r="BO40" s="73" t="str">
        <f t="shared" ref="BO40:CX40" si="29">IF(ISNUMBER(outYear),IF((outYear=analysis_period),total_installed_cost*salvage_percentage/100,0),"")</f>
        <v/>
      </c>
      <c r="BP40" s="73" t="str">
        <f t="shared" si="29"/>
        <v/>
      </c>
      <c r="BQ40" s="73" t="str">
        <f t="shared" si="29"/>
        <v/>
      </c>
      <c r="BR40" s="73" t="str">
        <f t="shared" si="29"/>
        <v/>
      </c>
      <c r="BS40" s="73" t="str">
        <f t="shared" si="29"/>
        <v/>
      </c>
      <c r="BT40" s="73" t="str">
        <f t="shared" si="29"/>
        <v/>
      </c>
      <c r="BU40" s="73" t="str">
        <f t="shared" si="29"/>
        <v/>
      </c>
      <c r="BV40" s="73" t="str">
        <f t="shared" si="29"/>
        <v/>
      </c>
      <c r="BW40" s="73" t="str">
        <f t="shared" si="29"/>
        <v/>
      </c>
      <c r="BX40" s="73" t="str">
        <f t="shared" si="29"/>
        <v/>
      </c>
      <c r="BY40" s="73" t="str">
        <f t="shared" si="29"/>
        <v/>
      </c>
      <c r="BZ40" s="73" t="str">
        <f t="shared" si="29"/>
        <v/>
      </c>
      <c r="CA40" s="73" t="str">
        <f t="shared" si="29"/>
        <v/>
      </c>
      <c r="CB40" s="73" t="str">
        <f t="shared" si="29"/>
        <v/>
      </c>
      <c r="CC40" s="73" t="str">
        <f t="shared" si="29"/>
        <v/>
      </c>
      <c r="CD40" s="73" t="str">
        <f t="shared" si="29"/>
        <v/>
      </c>
      <c r="CE40" s="73" t="str">
        <f t="shared" si="29"/>
        <v/>
      </c>
      <c r="CF40" s="73" t="str">
        <f t="shared" si="29"/>
        <v/>
      </c>
      <c r="CG40" s="73" t="str">
        <f t="shared" si="29"/>
        <v/>
      </c>
      <c r="CH40" s="73" t="str">
        <f t="shared" si="29"/>
        <v/>
      </c>
      <c r="CI40" s="73" t="str">
        <f t="shared" si="29"/>
        <v/>
      </c>
      <c r="CJ40" s="73" t="str">
        <f t="shared" si="29"/>
        <v/>
      </c>
      <c r="CK40" s="73" t="str">
        <f t="shared" si="29"/>
        <v/>
      </c>
      <c r="CL40" s="73" t="str">
        <f t="shared" si="29"/>
        <v/>
      </c>
      <c r="CM40" s="73" t="str">
        <f t="shared" si="29"/>
        <v/>
      </c>
      <c r="CN40" s="73" t="str">
        <f t="shared" si="29"/>
        <v/>
      </c>
      <c r="CO40" s="73" t="str">
        <f t="shared" si="29"/>
        <v/>
      </c>
      <c r="CP40" s="73" t="str">
        <f t="shared" si="29"/>
        <v/>
      </c>
      <c r="CQ40" s="73" t="str">
        <f t="shared" si="29"/>
        <v/>
      </c>
      <c r="CR40" s="73" t="str">
        <f t="shared" si="29"/>
        <v/>
      </c>
      <c r="CS40" s="73" t="str">
        <f t="shared" si="29"/>
        <v/>
      </c>
      <c r="CT40" s="73" t="str">
        <f t="shared" si="29"/>
        <v/>
      </c>
      <c r="CU40" s="73" t="str">
        <f t="shared" si="29"/>
        <v/>
      </c>
      <c r="CV40" s="73" t="str">
        <f t="shared" si="29"/>
        <v/>
      </c>
      <c r="CW40" s="73" t="str">
        <f t="shared" si="29"/>
        <v/>
      </c>
      <c r="CX40" s="73" t="str">
        <f t="shared" si="29"/>
        <v/>
      </c>
    </row>
    <row r="41" spans="1:102" x14ac:dyDescent="0.25">
      <c r="A41" s="64" t="s">
        <v>56</v>
      </c>
      <c r="B41" s="74"/>
      <c r="C41" s="74" t="str">
        <f t="shared" ref="C41:AH41" si="30">IF(ISNUMBER(outYear),SUM(C16:C39)-C40,"")</f>
        <v/>
      </c>
      <c r="D41" s="74" t="str">
        <f t="shared" si="30"/>
        <v/>
      </c>
      <c r="E41" s="74" t="str">
        <f t="shared" si="30"/>
        <v/>
      </c>
      <c r="F41" s="74" t="str">
        <f t="shared" si="30"/>
        <v/>
      </c>
      <c r="G41" s="74" t="str">
        <f t="shared" si="30"/>
        <v/>
      </c>
      <c r="H41" s="74" t="str">
        <f t="shared" si="30"/>
        <v/>
      </c>
      <c r="I41" s="74" t="str">
        <f t="shared" si="30"/>
        <v/>
      </c>
      <c r="J41" s="74" t="str">
        <f t="shared" si="30"/>
        <v/>
      </c>
      <c r="K41" s="74" t="str">
        <f t="shared" si="30"/>
        <v/>
      </c>
      <c r="L41" s="74" t="str">
        <f t="shared" si="30"/>
        <v/>
      </c>
      <c r="M41" s="74" t="str">
        <f t="shared" si="30"/>
        <v/>
      </c>
      <c r="N41" s="74" t="str">
        <f t="shared" si="30"/>
        <v/>
      </c>
      <c r="O41" s="74" t="str">
        <f t="shared" si="30"/>
        <v/>
      </c>
      <c r="P41" s="74" t="str">
        <f t="shared" si="30"/>
        <v/>
      </c>
      <c r="Q41" s="74" t="str">
        <f t="shared" si="30"/>
        <v/>
      </c>
      <c r="R41" s="74" t="str">
        <f t="shared" si="30"/>
        <v/>
      </c>
      <c r="S41" s="74" t="str">
        <f t="shared" si="30"/>
        <v/>
      </c>
      <c r="T41" s="74" t="str">
        <f t="shared" si="30"/>
        <v/>
      </c>
      <c r="U41" s="74" t="str">
        <f t="shared" si="30"/>
        <v/>
      </c>
      <c r="V41" s="74" t="str">
        <f t="shared" si="30"/>
        <v/>
      </c>
      <c r="W41" s="74" t="str">
        <f t="shared" si="30"/>
        <v/>
      </c>
      <c r="X41" s="74" t="str">
        <f t="shared" si="30"/>
        <v/>
      </c>
      <c r="Y41" s="74" t="str">
        <f t="shared" si="30"/>
        <v/>
      </c>
      <c r="Z41" s="74" t="str">
        <f t="shared" si="30"/>
        <v/>
      </c>
      <c r="AA41" s="74" t="str">
        <f t="shared" si="30"/>
        <v/>
      </c>
      <c r="AB41" s="74" t="str">
        <f t="shared" si="30"/>
        <v/>
      </c>
      <c r="AC41" s="74" t="str">
        <f t="shared" si="30"/>
        <v/>
      </c>
      <c r="AD41" s="74" t="str">
        <f t="shared" si="30"/>
        <v/>
      </c>
      <c r="AE41" s="74" t="str">
        <f t="shared" si="30"/>
        <v/>
      </c>
      <c r="AF41" s="74" t="str">
        <f t="shared" si="30"/>
        <v/>
      </c>
      <c r="AG41" s="74" t="str">
        <f t="shared" si="30"/>
        <v/>
      </c>
      <c r="AH41" s="74" t="str">
        <f t="shared" si="30"/>
        <v/>
      </c>
      <c r="AI41" s="74" t="str">
        <f t="shared" ref="AI41:BN41" si="31">IF(ISNUMBER(outYear),SUM(AI16:AI39)-AI40,"")</f>
        <v/>
      </c>
      <c r="AJ41" s="74" t="str">
        <f t="shared" si="31"/>
        <v/>
      </c>
      <c r="AK41" s="74" t="str">
        <f t="shared" si="31"/>
        <v/>
      </c>
      <c r="AL41" s="74" t="str">
        <f t="shared" si="31"/>
        <v/>
      </c>
      <c r="AM41" s="74" t="str">
        <f t="shared" si="31"/>
        <v/>
      </c>
      <c r="AN41" s="74" t="str">
        <f t="shared" si="31"/>
        <v/>
      </c>
      <c r="AO41" s="74" t="str">
        <f t="shared" si="31"/>
        <v/>
      </c>
      <c r="AP41" s="74" t="str">
        <f t="shared" si="31"/>
        <v/>
      </c>
      <c r="AQ41" s="74" t="str">
        <f t="shared" si="31"/>
        <v/>
      </c>
      <c r="AR41" s="74" t="str">
        <f t="shared" si="31"/>
        <v/>
      </c>
      <c r="AS41" s="74" t="str">
        <f t="shared" si="31"/>
        <v/>
      </c>
      <c r="AT41" s="74" t="str">
        <f t="shared" si="31"/>
        <v/>
      </c>
      <c r="AU41" s="74" t="str">
        <f t="shared" si="31"/>
        <v/>
      </c>
      <c r="AV41" s="74" t="str">
        <f t="shared" si="31"/>
        <v/>
      </c>
      <c r="AW41" s="74" t="str">
        <f t="shared" si="31"/>
        <v/>
      </c>
      <c r="AX41" s="74" t="str">
        <f t="shared" si="31"/>
        <v/>
      </c>
      <c r="AY41" s="74" t="str">
        <f t="shared" si="31"/>
        <v/>
      </c>
      <c r="AZ41" s="74" t="str">
        <f t="shared" si="31"/>
        <v/>
      </c>
      <c r="BA41" s="74" t="str">
        <f t="shared" si="31"/>
        <v/>
      </c>
      <c r="BB41" s="74" t="str">
        <f t="shared" si="31"/>
        <v/>
      </c>
      <c r="BC41" s="74" t="str">
        <f t="shared" si="31"/>
        <v/>
      </c>
      <c r="BD41" s="74" t="str">
        <f t="shared" si="31"/>
        <v/>
      </c>
      <c r="BE41" s="74" t="str">
        <f t="shared" si="31"/>
        <v/>
      </c>
      <c r="BF41" s="74" t="str">
        <f t="shared" si="31"/>
        <v/>
      </c>
      <c r="BG41" s="74" t="str">
        <f t="shared" si="31"/>
        <v/>
      </c>
      <c r="BH41" s="74" t="str">
        <f t="shared" si="31"/>
        <v/>
      </c>
      <c r="BI41" s="74" t="str">
        <f t="shared" si="31"/>
        <v/>
      </c>
      <c r="BJ41" s="74" t="str">
        <f t="shared" si="31"/>
        <v/>
      </c>
      <c r="BK41" s="74" t="str">
        <f t="shared" si="31"/>
        <v/>
      </c>
      <c r="BL41" s="74" t="str">
        <f t="shared" si="31"/>
        <v/>
      </c>
      <c r="BM41" s="74" t="str">
        <f t="shared" si="31"/>
        <v/>
      </c>
      <c r="BN41" s="74" t="str">
        <f t="shared" si="31"/>
        <v/>
      </c>
      <c r="BO41" s="74" t="str">
        <f t="shared" ref="BO41:CT41" si="32">IF(ISNUMBER(outYear),SUM(BO16:BO39)-BO40,"")</f>
        <v/>
      </c>
      <c r="BP41" s="74" t="str">
        <f t="shared" si="32"/>
        <v/>
      </c>
      <c r="BQ41" s="74" t="str">
        <f t="shared" si="32"/>
        <v/>
      </c>
      <c r="BR41" s="74" t="str">
        <f t="shared" si="32"/>
        <v/>
      </c>
      <c r="BS41" s="74" t="str">
        <f t="shared" si="32"/>
        <v/>
      </c>
      <c r="BT41" s="74" t="str">
        <f t="shared" si="32"/>
        <v/>
      </c>
      <c r="BU41" s="74" t="str">
        <f t="shared" si="32"/>
        <v/>
      </c>
      <c r="BV41" s="74" t="str">
        <f t="shared" si="32"/>
        <v/>
      </c>
      <c r="BW41" s="74" t="str">
        <f t="shared" si="32"/>
        <v/>
      </c>
      <c r="BX41" s="74" t="str">
        <f t="shared" si="32"/>
        <v/>
      </c>
      <c r="BY41" s="74" t="str">
        <f t="shared" si="32"/>
        <v/>
      </c>
      <c r="BZ41" s="74" t="str">
        <f t="shared" si="32"/>
        <v/>
      </c>
      <c r="CA41" s="74" t="str">
        <f t="shared" si="32"/>
        <v/>
      </c>
      <c r="CB41" s="74" t="str">
        <f t="shared" si="32"/>
        <v/>
      </c>
      <c r="CC41" s="74" t="str">
        <f t="shared" si="32"/>
        <v/>
      </c>
      <c r="CD41" s="74" t="str">
        <f t="shared" si="32"/>
        <v/>
      </c>
      <c r="CE41" s="74" t="str">
        <f t="shared" si="32"/>
        <v/>
      </c>
      <c r="CF41" s="74" t="str">
        <f t="shared" si="32"/>
        <v/>
      </c>
      <c r="CG41" s="74" t="str">
        <f t="shared" si="32"/>
        <v/>
      </c>
      <c r="CH41" s="74" t="str">
        <f t="shared" si="32"/>
        <v/>
      </c>
      <c r="CI41" s="74" t="str">
        <f t="shared" si="32"/>
        <v/>
      </c>
      <c r="CJ41" s="74" t="str">
        <f t="shared" si="32"/>
        <v/>
      </c>
      <c r="CK41" s="74" t="str">
        <f t="shared" si="32"/>
        <v/>
      </c>
      <c r="CL41" s="74" t="str">
        <f t="shared" si="32"/>
        <v/>
      </c>
      <c r="CM41" s="74" t="str">
        <f t="shared" si="32"/>
        <v/>
      </c>
      <c r="CN41" s="74" t="str">
        <f t="shared" si="32"/>
        <v/>
      </c>
      <c r="CO41" s="74" t="str">
        <f t="shared" si="32"/>
        <v/>
      </c>
      <c r="CP41" s="74" t="str">
        <f t="shared" si="32"/>
        <v/>
      </c>
      <c r="CQ41" s="74" t="str">
        <f t="shared" si="32"/>
        <v/>
      </c>
      <c r="CR41" s="74" t="str">
        <f t="shared" si="32"/>
        <v/>
      </c>
      <c r="CS41" s="74" t="str">
        <f t="shared" si="32"/>
        <v/>
      </c>
      <c r="CT41" s="74" t="str">
        <f t="shared" si="32"/>
        <v/>
      </c>
      <c r="CU41" s="74" t="str">
        <f t="shared" ref="CU41:CX41" si="33">IF(ISNUMBER(outYear),SUM(CU16:CU39)-CU40,"")</f>
        <v/>
      </c>
      <c r="CV41" s="74" t="str">
        <f t="shared" si="33"/>
        <v/>
      </c>
      <c r="CW41" s="74" t="str">
        <f t="shared" si="33"/>
        <v/>
      </c>
      <c r="CX41" s="74" t="str">
        <f t="shared" si="33"/>
        <v/>
      </c>
    </row>
    <row r="42" spans="1:102" x14ac:dyDescent="0.25">
      <c r="A42" s="54"/>
      <c r="B42" s="5"/>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x14ac:dyDescent="0.25">
      <c r="A43" s="54" t="s">
        <v>121</v>
      </c>
      <c r="B43" s="5"/>
      <c r="C43" s="73" t="str">
        <f t="shared" ref="C43:AH43" si="34">IF(ISNUMBER(outYear),IF( (1-(outYear-1)*prop_tax_assessed_decline/100)&gt;0,(1-(outYear-1)*prop_tax_assessed_decline/100)*total_installed_cost*prop_tax_cost_assessed_percent/100,0 ),"")</f>
        <v/>
      </c>
      <c r="D43" s="73" t="str">
        <f t="shared" si="34"/>
        <v/>
      </c>
      <c r="E43" s="73" t="str">
        <f t="shared" si="34"/>
        <v/>
      </c>
      <c r="F43" s="73" t="str">
        <f t="shared" si="34"/>
        <v/>
      </c>
      <c r="G43" s="73" t="str">
        <f t="shared" si="34"/>
        <v/>
      </c>
      <c r="H43" s="73" t="str">
        <f t="shared" si="34"/>
        <v/>
      </c>
      <c r="I43" s="73" t="str">
        <f t="shared" si="34"/>
        <v/>
      </c>
      <c r="J43" s="73" t="str">
        <f t="shared" si="34"/>
        <v/>
      </c>
      <c r="K43" s="73" t="str">
        <f t="shared" si="34"/>
        <v/>
      </c>
      <c r="L43" s="73" t="str">
        <f t="shared" si="34"/>
        <v/>
      </c>
      <c r="M43" s="73" t="str">
        <f t="shared" si="34"/>
        <v/>
      </c>
      <c r="N43" s="73" t="str">
        <f t="shared" si="34"/>
        <v/>
      </c>
      <c r="O43" s="73" t="str">
        <f t="shared" si="34"/>
        <v/>
      </c>
      <c r="P43" s="73" t="str">
        <f t="shared" si="34"/>
        <v/>
      </c>
      <c r="Q43" s="73" t="str">
        <f t="shared" si="34"/>
        <v/>
      </c>
      <c r="R43" s="73" t="str">
        <f t="shared" si="34"/>
        <v/>
      </c>
      <c r="S43" s="73" t="str">
        <f t="shared" si="34"/>
        <v/>
      </c>
      <c r="T43" s="73" t="str">
        <f t="shared" si="34"/>
        <v/>
      </c>
      <c r="U43" s="73" t="str">
        <f t="shared" si="34"/>
        <v/>
      </c>
      <c r="V43" s="73" t="str">
        <f t="shared" si="34"/>
        <v/>
      </c>
      <c r="W43" s="73" t="str">
        <f t="shared" si="34"/>
        <v/>
      </c>
      <c r="X43" s="73" t="str">
        <f t="shared" si="34"/>
        <v/>
      </c>
      <c r="Y43" s="73" t="str">
        <f t="shared" si="34"/>
        <v/>
      </c>
      <c r="Z43" s="73" t="str">
        <f t="shared" si="34"/>
        <v/>
      </c>
      <c r="AA43" s="73" t="str">
        <f t="shared" si="34"/>
        <v/>
      </c>
      <c r="AB43" s="73" t="str">
        <f t="shared" si="34"/>
        <v/>
      </c>
      <c r="AC43" s="73" t="str">
        <f t="shared" si="34"/>
        <v/>
      </c>
      <c r="AD43" s="73" t="str">
        <f t="shared" si="34"/>
        <v/>
      </c>
      <c r="AE43" s="73" t="str">
        <f t="shared" si="34"/>
        <v/>
      </c>
      <c r="AF43" s="73" t="str">
        <f t="shared" si="34"/>
        <v/>
      </c>
      <c r="AG43" s="73" t="str">
        <f t="shared" si="34"/>
        <v/>
      </c>
      <c r="AH43" s="73" t="str">
        <f t="shared" si="34"/>
        <v/>
      </c>
      <c r="AI43" s="73" t="str">
        <f t="shared" ref="AI43:BN43" si="35">IF(ISNUMBER(outYear),IF( (1-(outYear-1)*prop_tax_assessed_decline/100)&gt;0,(1-(outYear-1)*prop_tax_assessed_decline/100)*total_installed_cost*prop_tax_cost_assessed_percent/100,0 ),"")</f>
        <v/>
      </c>
      <c r="AJ43" s="73" t="str">
        <f t="shared" si="35"/>
        <v/>
      </c>
      <c r="AK43" s="73" t="str">
        <f t="shared" si="35"/>
        <v/>
      </c>
      <c r="AL43" s="73" t="str">
        <f t="shared" si="35"/>
        <v/>
      </c>
      <c r="AM43" s="73" t="str">
        <f t="shared" si="35"/>
        <v/>
      </c>
      <c r="AN43" s="73" t="str">
        <f t="shared" si="35"/>
        <v/>
      </c>
      <c r="AO43" s="73" t="str">
        <f t="shared" si="35"/>
        <v/>
      </c>
      <c r="AP43" s="73" t="str">
        <f t="shared" si="35"/>
        <v/>
      </c>
      <c r="AQ43" s="73" t="str">
        <f t="shared" si="35"/>
        <v/>
      </c>
      <c r="AR43" s="73" t="str">
        <f t="shared" si="35"/>
        <v/>
      </c>
      <c r="AS43" s="73" t="str">
        <f t="shared" si="35"/>
        <v/>
      </c>
      <c r="AT43" s="73" t="str">
        <f t="shared" si="35"/>
        <v/>
      </c>
      <c r="AU43" s="73" t="str">
        <f t="shared" si="35"/>
        <v/>
      </c>
      <c r="AV43" s="73" t="str">
        <f t="shared" si="35"/>
        <v/>
      </c>
      <c r="AW43" s="73" t="str">
        <f t="shared" si="35"/>
        <v/>
      </c>
      <c r="AX43" s="73" t="str">
        <f t="shared" si="35"/>
        <v/>
      </c>
      <c r="AY43" s="73" t="str">
        <f t="shared" si="35"/>
        <v/>
      </c>
      <c r="AZ43" s="73" t="str">
        <f t="shared" si="35"/>
        <v/>
      </c>
      <c r="BA43" s="73" t="str">
        <f t="shared" si="35"/>
        <v/>
      </c>
      <c r="BB43" s="73" t="str">
        <f t="shared" si="35"/>
        <v/>
      </c>
      <c r="BC43" s="73" t="str">
        <f t="shared" si="35"/>
        <v/>
      </c>
      <c r="BD43" s="73" t="str">
        <f t="shared" si="35"/>
        <v/>
      </c>
      <c r="BE43" s="73" t="str">
        <f t="shared" si="35"/>
        <v/>
      </c>
      <c r="BF43" s="73" t="str">
        <f t="shared" si="35"/>
        <v/>
      </c>
      <c r="BG43" s="73" t="str">
        <f t="shared" si="35"/>
        <v/>
      </c>
      <c r="BH43" s="73" t="str">
        <f t="shared" si="35"/>
        <v/>
      </c>
      <c r="BI43" s="73" t="str">
        <f t="shared" si="35"/>
        <v/>
      </c>
      <c r="BJ43" s="73" t="str">
        <f t="shared" si="35"/>
        <v/>
      </c>
      <c r="BK43" s="73" t="str">
        <f t="shared" si="35"/>
        <v/>
      </c>
      <c r="BL43" s="73" t="str">
        <f t="shared" si="35"/>
        <v/>
      </c>
      <c r="BM43" s="73" t="str">
        <f t="shared" si="35"/>
        <v/>
      </c>
      <c r="BN43" s="73" t="str">
        <f t="shared" si="35"/>
        <v/>
      </c>
      <c r="BO43" s="73" t="str">
        <f t="shared" ref="BO43:CX43" si="36">IF(ISNUMBER(outYear),IF( (1-(outYear-1)*prop_tax_assessed_decline/100)&gt;0,(1-(outYear-1)*prop_tax_assessed_decline/100)*total_installed_cost*prop_tax_cost_assessed_percent/100,0 ),"")</f>
        <v/>
      </c>
      <c r="BP43" s="73" t="str">
        <f t="shared" si="36"/>
        <v/>
      </c>
      <c r="BQ43" s="73" t="str">
        <f t="shared" si="36"/>
        <v/>
      </c>
      <c r="BR43" s="73" t="str">
        <f t="shared" si="36"/>
        <v/>
      </c>
      <c r="BS43" s="73" t="str">
        <f t="shared" si="36"/>
        <v/>
      </c>
      <c r="BT43" s="73" t="str">
        <f t="shared" si="36"/>
        <v/>
      </c>
      <c r="BU43" s="73" t="str">
        <f t="shared" si="36"/>
        <v/>
      </c>
      <c r="BV43" s="73" t="str">
        <f t="shared" si="36"/>
        <v/>
      </c>
      <c r="BW43" s="73" t="str">
        <f t="shared" si="36"/>
        <v/>
      </c>
      <c r="BX43" s="73" t="str">
        <f t="shared" si="36"/>
        <v/>
      </c>
      <c r="BY43" s="73" t="str">
        <f t="shared" si="36"/>
        <v/>
      </c>
      <c r="BZ43" s="73" t="str">
        <f t="shared" si="36"/>
        <v/>
      </c>
      <c r="CA43" s="73" t="str">
        <f t="shared" si="36"/>
        <v/>
      </c>
      <c r="CB43" s="73" t="str">
        <f t="shared" si="36"/>
        <v/>
      </c>
      <c r="CC43" s="73" t="str">
        <f t="shared" si="36"/>
        <v/>
      </c>
      <c r="CD43" s="73" t="str">
        <f t="shared" si="36"/>
        <v/>
      </c>
      <c r="CE43" s="73" t="str">
        <f t="shared" si="36"/>
        <v/>
      </c>
      <c r="CF43" s="73" t="str">
        <f t="shared" si="36"/>
        <v/>
      </c>
      <c r="CG43" s="73" t="str">
        <f t="shared" si="36"/>
        <v/>
      </c>
      <c r="CH43" s="73" t="str">
        <f t="shared" si="36"/>
        <v/>
      </c>
      <c r="CI43" s="73" t="str">
        <f t="shared" si="36"/>
        <v/>
      </c>
      <c r="CJ43" s="73" t="str">
        <f t="shared" si="36"/>
        <v/>
      </c>
      <c r="CK43" s="73" t="str">
        <f t="shared" si="36"/>
        <v/>
      </c>
      <c r="CL43" s="73" t="str">
        <f t="shared" si="36"/>
        <v/>
      </c>
      <c r="CM43" s="73" t="str">
        <f t="shared" si="36"/>
        <v/>
      </c>
      <c r="CN43" s="73" t="str">
        <f t="shared" si="36"/>
        <v/>
      </c>
      <c r="CO43" s="73" t="str">
        <f t="shared" si="36"/>
        <v/>
      </c>
      <c r="CP43" s="73" t="str">
        <f t="shared" si="36"/>
        <v/>
      </c>
      <c r="CQ43" s="73" t="str">
        <f t="shared" si="36"/>
        <v/>
      </c>
      <c r="CR43" s="73" t="str">
        <f t="shared" si="36"/>
        <v/>
      </c>
      <c r="CS43" s="73" t="str">
        <f t="shared" si="36"/>
        <v/>
      </c>
      <c r="CT43" s="73" t="str">
        <f t="shared" si="36"/>
        <v/>
      </c>
      <c r="CU43" s="73" t="str">
        <f t="shared" si="36"/>
        <v/>
      </c>
      <c r="CV43" s="73" t="str">
        <f t="shared" si="36"/>
        <v/>
      </c>
      <c r="CW43" s="73" t="str">
        <f t="shared" si="36"/>
        <v/>
      </c>
      <c r="CX43" s="73" t="str">
        <f t="shared" si="36"/>
        <v/>
      </c>
    </row>
    <row r="44" spans="1:102" x14ac:dyDescent="0.25">
      <c r="A44" s="9"/>
      <c r="B44" s="3"/>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row>
    <row r="45" spans="1:102" x14ac:dyDescent="0.25">
      <c r="A45" s="58" t="s">
        <v>149</v>
      </c>
      <c r="B45" s="65"/>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7"/>
    </row>
    <row r="46" spans="1:102" x14ac:dyDescent="0.25">
      <c r="A46" s="59" t="s">
        <v>66</v>
      </c>
      <c r="C46" s="73" t="str">
        <f t="shared" ref="C46:AH46" si="37">IF(ISNUMBER(_xlfn.SINGLE(outYear)),IF(_xlfn.SINGLE(UseTaxDeductableOpEx)="Yes",C41,0),"")</f>
        <v/>
      </c>
      <c r="D46" s="73" t="str">
        <f t="shared" si="37"/>
        <v/>
      </c>
      <c r="E46" s="73" t="str">
        <f t="shared" si="37"/>
        <v/>
      </c>
      <c r="F46" s="73" t="str">
        <f t="shared" si="37"/>
        <v/>
      </c>
      <c r="G46" s="73" t="str">
        <f t="shared" si="37"/>
        <v/>
      </c>
      <c r="H46" s="73" t="str">
        <f t="shared" si="37"/>
        <v/>
      </c>
      <c r="I46" s="73" t="str">
        <f t="shared" si="37"/>
        <v/>
      </c>
      <c r="J46" s="73" t="str">
        <f t="shared" si="37"/>
        <v/>
      </c>
      <c r="K46" s="73" t="str">
        <f t="shared" si="37"/>
        <v/>
      </c>
      <c r="L46" s="73" t="str">
        <f t="shared" si="37"/>
        <v/>
      </c>
      <c r="M46" s="73" t="str">
        <f t="shared" si="37"/>
        <v/>
      </c>
      <c r="N46" s="73" t="str">
        <f t="shared" si="37"/>
        <v/>
      </c>
      <c r="O46" s="73" t="str">
        <f t="shared" si="37"/>
        <v/>
      </c>
      <c r="P46" s="73" t="str">
        <f t="shared" si="37"/>
        <v/>
      </c>
      <c r="Q46" s="73" t="str">
        <f t="shared" si="37"/>
        <v/>
      </c>
      <c r="R46" s="73" t="str">
        <f t="shared" si="37"/>
        <v/>
      </c>
      <c r="S46" s="73" t="str">
        <f t="shared" si="37"/>
        <v/>
      </c>
      <c r="T46" s="73" t="str">
        <f t="shared" si="37"/>
        <v/>
      </c>
      <c r="U46" s="73" t="str">
        <f t="shared" si="37"/>
        <v/>
      </c>
      <c r="V46" s="73" t="str">
        <f t="shared" si="37"/>
        <v/>
      </c>
      <c r="W46" s="73" t="str">
        <f t="shared" si="37"/>
        <v/>
      </c>
      <c r="X46" s="73" t="str">
        <f t="shared" si="37"/>
        <v/>
      </c>
      <c r="Y46" s="73" t="str">
        <f t="shared" si="37"/>
        <v/>
      </c>
      <c r="Z46" s="73" t="str">
        <f t="shared" si="37"/>
        <v/>
      </c>
      <c r="AA46" s="73" t="str">
        <f t="shared" si="37"/>
        <v/>
      </c>
      <c r="AB46" s="73" t="str">
        <f t="shared" si="37"/>
        <v/>
      </c>
      <c r="AC46" s="73" t="str">
        <f t="shared" si="37"/>
        <v/>
      </c>
      <c r="AD46" s="73" t="str">
        <f t="shared" si="37"/>
        <v/>
      </c>
      <c r="AE46" s="73" t="str">
        <f t="shared" si="37"/>
        <v/>
      </c>
      <c r="AF46" s="73" t="str">
        <f t="shared" si="37"/>
        <v/>
      </c>
      <c r="AG46" s="73" t="str">
        <f t="shared" si="37"/>
        <v/>
      </c>
      <c r="AH46" s="73" t="str">
        <f t="shared" si="37"/>
        <v/>
      </c>
      <c r="AI46" s="73" t="str">
        <f t="shared" ref="AI46:BN46" si="38">IF(ISNUMBER(_xlfn.SINGLE(outYear)),IF(_xlfn.SINGLE(UseTaxDeductableOpEx)="Yes",AI41,0),"")</f>
        <v/>
      </c>
      <c r="AJ46" s="73" t="str">
        <f t="shared" si="38"/>
        <v/>
      </c>
      <c r="AK46" s="73" t="str">
        <f t="shared" si="38"/>
        <v/>
      </c>
      <c r="AL46" s="73" t="str">
        <f t="shared" si="38"/>
        <v/>
      </c>
      <c r="AM46" s="73" t="str">
        <f t="shared" si="38"/>
        <v/>
      </c>
      <c r="AN46" s="73" t="str">
        <f t="shared" si="38"/>
        <v/>
      </c>
      <c r="AO46" s="73" t="str">
        <f t="shared" si="38"/>
        <v/>
      </c>
      <c r="AP46" s="73" t="str">
        <f t="shared" si="38"/>
        <v/>
      </c>
      <c r="AQ46" s="73" t="str">
        <f t="shared" si="38"/>
        <v/>
      </c>
      <c r="AR46" s="73" t="str">
        <f t="shared" si="38"/>
        <v/>
      </c>
      <c r="AS46" s="73" t="str">
        <f t="shared" si="38"/>
        <v/>
      </c>
      <c r="AT46" s="73" t="str">
        <f t="shared" si="38"/>
        <v/>
      </c>
      <c r="AU46" s="73" t="str">
        <f t="shared" si="38"/>
        <v/>
      </c>
      <c r="AV46" s="73" t="str">
        <f t="shared" si="38"/>
        <v/>
      </c>
      <c r="AW46" s="73" t="str">
        <f t="shared" si="38"/>
        <v/>
      </c>
      <c r="AX46" s="73" t="str">
        <f t="shared" si="38"/>
        <v/>
      </c>
      <c r="AY46" s="73" t="str">
        <f t="shared" si="38"/>
        <v/>
      </c>
      <c r="AZ46" s="73" t="str">
        <f t="shared" si="38"/>
        <v/>
      </c>
      <c r="BA46" s="73" t="str">
        <f t="shared" si="38"/>
        <v/>
      </c>
      <c r="BB46" s="73" t="str">
        <f t="shared" si="38"/>
        <v/>
      </c>
      <c r="BC46" s="73" t="str">
        <f t="shared" si="38"/>
        <v/>
      </c>
      <c r="BD46" s="73" t="str">
        <f t="shared" si="38"/>
        <v/>
      </c>
      <c r="BE46" s="73" t="str">
        <f t="shared" si="38"/>
        <v/>
      </c>
      <c r="BF46" s="73" t="str">
        <f t="shared" si="38"/>
        <v/>
      </c>
      <c r="BG46" s="73" t="str">
        <f t="shared" si="38"/>
        <v/>
      </c>
      <c r="BH46" s="73" t="str">
        <f t="shared" si="38"/>
        <v/>
      </c>
      <c r="BI46" s="73" t="str">
        <f t="shared" si="38"/>
        <v/>
      </c>
      <c r="BJ46" s="73" t="str">
        <f t="shared" si="38"/>
        <v/>
      </c>
      <c r="BK46" s="73" t="str">
        <f t="shared" si="38"/>
        <v/>
      </c>
      <c r="BL46" s="73" t="str">
        <f t="shared" si="38"/>
        <v/>
      </c>
      <c r="BM46" s="73" t="str">
        <f t="shared" si="38"/>
        <v/>
      </c>
      <c r="BN46" s="73" t="str">
        <f t="shared" si="38"/>
        <v/>
      </c>
      <c r="BO46" s="73" t="str">
        <f t="shared" ref="BO46:CX46" si="39">IF(ISNUMBER(_xlfn.SINGLE(outYear)),IF(_xlfn.SINGLE(UseTaxDeductableOpEx)="Yes",BO41,0),"")</f>
        <v/>
      </c>
      <c r="BP46" s="73" t="str">
        <f t="shared" si="39"/>
        <v/>
      </c>
      <c r="BQ46" s="73" t="str">
        <f t="shared" si="39"/>
        <v/>
      </c>
      <c r="BR46" s="73" t="str">
        <f t="shared" si="39"/>
        <v/>
      </c>
      <c r="BS46" s="73" t="str">
        <f t="shared" si="39"/>
        <v/>
      </c>
      <c r="BT46" s="73" t="str">
        <f t="shared" si="39"/>
        <v/>
      </c>
      <c r="BU46" s="73" t="str">
        <f t="shared" si="39"/>
        <v/>
      </c>
      <c r="BV46" s="73" t="str">
        <f t="shared" si="39"/>
        <v/>
      </c>
      <c r="BW46" s="73" t="str">
        <f t="shared" si="39"/>
        <v/>
      </c>
      <c r="BX46" s="73" t="str">
        <f t="shared" si="39"/>
        <v/>
      </c>
      <c r="BY46" s="73" t="str">
        <f t="shared" si="39"/>
        <v/>
      </c>
      <c r="BZ46" s="73" t="str">
        <f t="shared" si="39"/>
        <v/>
      </c>
      <c r="CA46" s="73" t="str">
        <f t="shared" si="39"/>
        <v/>
      </c>
      <c r="CB46" s="73" t="str">
        <f t="shared" si="39"/>
        <v/>
      </c>
      <c r="CC46" s="73" t="str">
        <f t="shared" si="39"/>
        <v/>
      </c>
      <c r="CD46" s="73" t="str">
        <f t="shared" si="39"/>
        <v/>
      </c>
      <c r="CE46" s="73" t="str">
        <f t="shared" si="39"/>
        <v/>
      </c>
      <c r="CF46" s="73" t="str">
        <f t="shared" si="39"/>
        <v/>
      </c>
      <c r="CG46" s="73" t="str">
        <f t="shared" si="39"/>
        <v/>
      </c>
      <c r="CH46" s="73" t="str">
        <f t="shared" si="39"/>
        <v/>
      </c>
      <c r="CI46" s="73" t="str">
        <f t="shared" si="39"/>
        <v/>
      </c>
      <c r="CJ46" s="73" t="str">
        <f t="shared" si="39"/>
        <v/>
      </c>
      <c r="CK46" s="73" t="str">
        <f t="shared" si="39"/>
        <v/>
      </c>
      <c r="CL46" s="73" t="str">
        <f t="shared" si="39"/>
        <v/>
      </c>
      <c r="CM46" s="73" t="str">
        <f t="shared" si="39"/>
        <v/>
      </c>
      <c r="CN46" s="73" t="str">
        <f t="shared" si="39"/>
        <v/>
      </c>
      <c r="CO46" s="73" t="str">
        <f t="shared" si="39"/>
        <v/>
      </c>
      <c r="CP46" s="73" t="str">
        <f t="shared" si="39"/>
        <v/>
      </c>
      <c r="CQ46" s="73" t="str">
        <f t="shared" si="39"/>
        <v/>
      </c>
      <c r="CR46" s="73" t="str">
        <f t="shared" si="39"/>
        <v/>
      </c>
      <c r="CS46" s="73" t="str">
        <f t="shared" si="39"/>
        <v/>
      </c>
      <c r="CT46" s="73" t="str">
        <f t="shared" si="39"/>
        <v/>
      </c>
      <c r="CU46" s="73" t="str">
        <f t="shared" si="39"/>
        <v/>
      </c>
      <c r="CV46" s="73" t="str">
        <f t="shared" si="39"/>
        <v/>
      </c>
      <c r="CW46" s="73" t="str">
        <f t="shared" si="39"/>
        <v/>
      </c>
      <c r="CX46" s="73" t="str">
        <f t="shared" si="39"/>
        <v/>
      </c>
    </row>
    <row r="47" spans="1:102" x14ac:dyDescent="0.25">
      <c r="A47" s="59" t="s">
        <v>58</v>
      </c>
      <c r="B47" s="5"/>
      <c r="C47" s="73" t="str">
        <f t="shared" ref="C47:AH47" si="40">IF(ISNUMBER(_xlfn.SINGLE(outYear)),IF(_xlfn.SINGLE(UseTaxDeductableOpEx)="No",C39,0),"")</f>
        <v/>
      </c>
      <c r="D47" s="73" t="str">
        <f t="shared" si="40"/>
        <v/>
      </c>
      <c r="E47" s="73" t="str">
        <f t="shared" si="40"/>
        <v/>
      </c>
      <c r="F47" s="73" t="str">
        <f t="shared" si="40"/>
        <v/>
      </c>
      <c r="G47" s="73" t="str">
        <f t="shared" si="40"/>
        <v/>
      </c>
      <c r="H47" s="73" t="str">
        <f t="shared" si="40"/>
        <v/>
      </c>
      <c r="I47" s="73" t="str">
        <f t="shared" si="40"/>
        <v/>
      </c>
      <c r="J47" s="73" t="str">
        <f t="shared" si="40"/>
        <v/>
      </c>
      <c r="K47" s="73" t="str">
        <f t="shared" si="40"/>
        <v/>
      </c>
      <c r="L47" s="73" t="str">
        <f t="shared" si="40"/>
        <v/>
      </c>
      <c r="M47" s="73" t="str">
        <f t="shared" si="40"/>
        <v/>
      </c>
      <c r="N47" s="73" t="str">
        <f t="shared" si="40"/>
        <v/>
      </c>
      <c r="O47" s="73" t="str">
        <f t="shared" si="40"/>
        <v/>
      </c>
      <c r="P47" s="73" t="str">
        <f t="shared" si="40"/>
        <v/>
      </c>
      <c r="Q47" s="73" t="str">
        <f t="shared" si="40"/>
        <v/>
      </c>
      <c r="R47" s="73" t="str">
        <f t="shared" si="40"/>
        <v/>
      </c>
      <c r="S47" s="73" t="str">
        <f t="shared" si="40"/>
        <v/>
      </c>
      <c r="T47" s="73" t="str">
        <f t="shared" si="40"/>
        <v/>
      </c>
      <c r="U47" s="73" t="str">
        <f t="shared" si="40"/>
        <v/>
      </c>
      <c r="V47" s="73" t="str">
        <f t="shared" si="40"/>
        <v/>
      </c>
      <c r="W47" s="73" t="str">
        <f t="shared" si="40"/>
        <v/>
      </c>
      <c r="X47" s="73" t="str">
        <f t="shared" si="40"/>
        <v/>
      </c>
      <c r="Y47" s="73" t="str">
        <f t="shared" si="40"/>
        <v/>
      </c>
      <c r="Z47" s="73" t="str">
        <f t="shared" si="40"/>
        <v/>
      </c>
      <c r="AA47" s="73" t="str">
        <f t="shared" si="40"/>
        <v/>
      </c>
      <c r="AB47" s="73" t="str">
        <f t="shared" si="40"/>
        <v/>
      </c>
      <c r="AC47" s="73" t="str">
        <f t="shared" si="40"/>
        <v/>
      </c>
      <c r="AD47" s="73" t="str">
        <f t="shared" si="40"/>
        <v/>
      </c>
      <c r="AE47" s="73" t="str">
        <f t="shared" si="40"/>
        <v/>
      </c>
      <c r="AF47" s="73" t="str">
        <f t="shared" si="40"/>
        <v/>
      </c>
      <c r="AG47" s="73" t="str">
        <f t="shared" si="40"/>
        <v/>
      </c>
      <c r="AH47" s="73" t="str">
        <f t="shared" si="40"/>
        <v/>
      </c>
      <c r="AI47" s="73" t="str">
        <f t="shared" ref="AI47:BN47" si="41">IF(ISNUMBER(_xlfn.SINGLE(outYear)),IF(_xlfn.SINGLE(UseTaxDeductableOpEx)="No",AI39,0),"")</f>
        <v/>
      </c>
      <c r="AJ47" s="73" t="str">
        <f t="shared" si="41"/>
        <v/>
      </c>
      <c r="AK47" s="73" t="str">
        <f t="shared" si="41"/>
        <v/>
      </c>
      <c r="AL47" s="73" t="str">
        <f t="shared" si="41"/>
        <v/>
      </c>
      <c r="AM47" s="73" t="str">
        <f t="shared" si="41"/>
        <v/>
      </c>
      <c r="AN47" s="73" t="str">
        <f t="shared" si="41"/>
        <v/>
      </c>
      <c r="AO47" s="73" t="str">
        <f t="shared" si="41"/>
        <v/>
      </c>
      <c r="AP47" s="73" t="str">
        <f t="shared" si="41"/>
        <v/>
      </c>
      <c r="AQ47" s="73" t="str">
        <f t="shared" si="41"/>
        <v/>
      </c>
      <c r="AR47" s="73" t="str">
        <f t="shared" si="41"/>
        <v/>
      </c>
      <c r="AS47" s="73" t="str">
        <f t="shared" si="41"/>
        <v/>
      </c>
      <c r="AT47" s="73" t="str">
        <f t="shared" si="41"/>
        <v/>
      </c>
      <c r="AU47" s="73" t="str">
        <f t="shared" si="41"/>
        <v/>
      </c>
      <c r="AV47" s="73" t="str">
        <f t="shared" si="41"/>
        <v/>
      </c>
      <c r="AW47" s="73" t="str">
        <f t="shared" si="41"/>
        <v/>
      </c>
      <c r="AX47" s="73" t="str">
        <f t="shared" si="41"/>
        <v/>
      </c>
      <c r="AY47" s="73" t="str">
        <f t="shared" si="41"/>
        <v/>
      </c>
      <c r="AZ47" s="73" t="str">
        <f t="shared" si="41"/>
        <v/>
      </c>
      <c r="BA47" s="73" t="str">
        <f t="shared" si="41"/>
        <v/>
      </c>
      <c r="BB47" s="73" t="str">
        <f t="shared" si="41"/>
        <v/>
      </c>
      <c r="BC47" s="73" t="str">
        <f t="shared" si="41"/>
        <v/>
      </c>
      <c r="BD47" s="73" t="str">
        <f t="shared" si="41"/>
        <v/>
      </c>
      <c r="BE47" s="73" t="str">
        <f t="shared" si="41"/>
        <v/>
      </c>
      <c r="BF47" s="73" t="str">
        <f t="shared" si="41"/>
        <v/>
      </c>
      <c r="BG47" s="73" t="str">
        <f t="shared" si="41"/>
        <v/>
      </c>
      <c r="BH47" s="73" t="str">
        <f t="shared" si="41"/>
        <v/>
      </c>
      <c r="BI47" s="73" t="str">
        <f t="shared" si="41"/>
        <v/>
      </c>
      <c r="BJ47" s="73" t="str">
        <f t="shared" si="41"/>
        <v/>
      </c>
      <c r="BK47" s="73" t="str">
        <f t="shared" si="41"/>
        <v/>
      </c>
      <c r="BL47" s="73" t="str">
        <f t="shared" si="41"/>
        <v/>
      </c>
      <c r="BM47" s="73" t="str">
        <f t="shared" si="41"/>
        <v/>
      </c>
      <c r="BN47" s="73" t="str">
        <f t="shared" si="41"/>
        <v/>
      </c>
      <c r="BO47" s="73" t="str">
        <f t="shared" ref="BO47:CX47" si="42">IF(ISNUMBER(_xlfn.SINGLE(outYear)),IF(_xlfn.SINGLE(UseTaxDeductableOpEx)="No",BO39,0),"")</f>
        <v/>
      </c>
      <c r="BP47" s="73" t="str">
        <f t="shared" si="42"/>
        <v/>
      </c>
      <c r="BQ47" s="73" t="str">
        <f t="shared" si="42"/>
        <v/>
      </c>
      <c r="BR47" s="73" t="str">
        <f t="shared" si="42"/>
        <v/>
      </c>
      <c r="BS47" s="73" t="str">
        <f t="shared" si="42"/>
        <v/>
      </c>
      <c r="BT47" s="73" t="str">
        <f t="shared" si="42"/>
        <v/>
      </c>
      <c r="BU47" s="73" t="str">
        <f t="shared" si="42"/>
        <v/>
      </c>
      <c r="BV47" s="73" t="str">
        <f t="shared" si="42"/>
        <v/>
      </c>
      <c r="BW47" s="73" t="str">
        <f t="shared" si="42"/>
        <v/>
      </c>
      <c r="BX47" s="73" t="str">
        <f t="shared" si="42"/>
        <v/>
      </c>
      <c r="BY47" s="73" t="str">
        <f t="shared" si="42"/>
        <v/>
      </c>
      <c r="BZ47" s="73" t="str">
        <f t="shared" si="42"/>
        <v/>
      </c>
      <c r="CA47" s="73" t="str">
        <f t="shared" si="42"/>
        <v/>
      </c>
      <c r="CB47" s="73" t="str">
        <f t="shared" si="42"/>
        <v/>
      </c>
      <c r="CC47" s="73" t="str">
        <f t="shared" si="42"/>
        <v/>
      </c>
      <c r="CD47" s="73" t="str">
        <f t="shared" si="42"/>
        <v/>
      </c>
      <c r="CE47" s="73" t="str">
        <f t="shared" si="42"/>
        <v/>
      </c>
      <c r="CF47" s="73" t="str">
        <f t="shared" si="42"/>
        <v/>
      </c>
      <c r="CG47" s="73" t="str">
        <f t="shared" si="42"/>
        <v/>
      </c>
      <c r="CH47" s="73" t="str">
        <f t="shared" si="42"/>
        <v/>
      </c>
      <c r="CI47" s="73" t="str">
        <f t="shared" si="42"/>
        <v/>
      </c>
      <c r="CJ47" s="73" t="str">
        <f t="shared" si="42"/>
        <v/>
      </c>
      <c r="CK47" s="73" t="str">
        <f t="shared" si="42"/>
        <v/>
      </c>
      <c r="CL47" s="73" t="str">
        <f t="shared" si="42"/>
        <v/>
      </c>
      <c r="CM47" s="73" t="str">
        <f t="shared" si="42"/>
        <v/>
      </c>
      <c r="CN47" s="73" t="str">
        <f t="shared" si="42"/>
        <v/>
      </c>
      <c r="CO47" s="73" t="str">
        <f t="shared" si="42"/>
        <v/>
      </c>
      <c r="CP47" s="73" t="str">
        <f t="shared" si="42"/>
        <v/>
      </c>
      <c r="CQ47" s="73" t="str">
        <f t="shared" si="42"/>
        <v/>
      </c>
      <c r="CR47" s="73" t="str">
        <f t="shared" si="42"/>
        <v/>
      </c>
      <c r="CS47" s="73" t="str">
        <f t="shared" si="42"/>
        <v/>
      </c>
      <c r="CT47" s="73" t="str">
        <f t="shared" si="42"/>
        <v/>
      </c>
      <c r="CU47" s="73" t="str">
        <f t="shared" si="42"/>
        <v/>
      </c>
      <c r="CV47" s="73" t="str">
        <f t="shared" si="42"/>
        <v/>
      </c>
      <c r="CW47" s="73" t="str">
        <f t="shared" si="42"/>
        <v/>
      </c>
      <c r="CX47" s="73" t="str">
        <f t="shared" si="42"/>
        <v/>
      </c>
    </row>
    <row r="48" spans="1:102" x14ac:dyDescent="0.25">
      <c r="A48" s="68" t="s">
        <v>59</v>
      </c>
      <c r="B48" s="63"/>
      <c r="C48" s="74" t="str">
        <f t="shared" ref="C48:AH48" si="43">IF(ISNUMBER(C2),C46+C47,"")</f>
        <v/>
      </c>
      <c r="D48" s="74" t="str">
        <f t="shared" si="43"/>
        <v/>
      </c>
      <c r="E48" s="74" t="str">
        <f t="shared" si="43"/>
        <v/>
      </c>
      <c r="F48" s="74" t="str">
        <f t="shared" si="43"/>
        <v/>
      </c>
      <c r="G48" s="74" t="str">
        <f t="shared" si="43"/>
        <v/>
      </c>
      <c r="H48" s="74" t="str">
        <f t="shared" si="43"/>
        <v/>
      </c>
      <c r="I48" s="74" t="str">
        <f t="shared" si="43"/>
        <v/>
      </c>
      <c r="J48" s="74" t="str">
        <f t="shared" si="43"/>
        <v/>
      </c>
      <c r="K48" s="74" t="str">
        <f t="shared" si="43"/>
        <v/>
      </c>
      <c r="L48" s="74" t="str">
        <f t="shared" si="43"/>
        <v/>
      </c>
      <c r="M48" s="74" t="str">
        <f t="shared" si="43"/>
        <v/>
      </c>
      <c r="N48" s="74" t="str">
        <f t="shared" si="43"/>
        <v/>
      </c>
      <c r="O48" s="74" t="str">
        <f t="shared" si="43"/>
        <v/>
      </c>
      <c r="P48" s="74" t="str">
        <f t="shared" si="43"/>
        <v/>
      </c>
      <c r="Q48" s="74" t="str">
        <f t="shared" si="43"/>
        <v/>
      </c>
      <c r="R48" s="74" t="str">
        <f t="shared" si="43"/>
        <v/>
      </c>
      <c r="S48" s="74" t="str">
        <f t="shared" si="43"/>
        <v/>
      </c>
      <c r="T48" s="74" t="str">
        <f t="shared" si="43"/>
        <v/>
      </c>
      <c r="U48" s="74" t="str">
        <f t="shared" si="43"/>
        <v/>
      </c>
      <c r="V48" s="74" t="str">
        <f t="shared" si="43"/>
        <v/>
      </c>
      <c r="W48" s="74" t="str">
        <f t="shared" si="43"/>
        <v/>
      </c>
      <c r="X48" s="74" t="str">
        <f t="shared" si="43"/>
        <v/>
      </c>
      <c r="Y48" s="74" t="str">
        <f t="shared" si="43"/>
        <v/>
      </c>
      <c r="Z48" s="74" t="str">
        <f t="shared" si="43"/>
        <v/>
      </c>
      <c r="AA48" s="74" t="str">
        <f t="shared" si="43"/>
        <v/>
      </c>
      <c r="AB48" s="74" t="str">
        <f t="shared" si="43"/>
        <v/>
      </c>
      <c r="AC48" s="74" t="str">
        <f t="shared" si="43"/>
        <v/>
      </c>
      <c r="AD48" s="74" t="str">
        <f t="shared" si="43"/>
        <v/>
      </c>
      <c r="AE48" s="74" t="str">
        <f t="shared" si="43"/>
        <v/>
      </c>
      <c r="AF48" s="74" t="str">
        <f t="shared" si="43"/>
        <v/>
      </c>
      <c r="AG48" s="74" t="str">
        <f t="shared" si="43"/>
        <v/>
      </c>
      <c r="AH48" s="74" t="str">
        <f t="shared" si="43"/>
        <v/>
      </c>
      <c r="AI48" s="74" t="str">
        <f t="shared" ref="AI48:BN48" si="44">IF(ISNUMBER(AI2),AI46+AI47,"")</f>
        <v/>
      </c>
      <c r="AJ48" s="74" t="str">
        <f t="shared" si="44"/>
        <v/>
      </c>
      <c r="AK48" s="74" t="str">
        <f t="shared" si="44"/>
        <v/>
      </c>
      <c r="AL48" s="74" t="str">
        <f t="shared" si="44"/>
        <v/>
      </c>
      <c r="AM48" s="74" t="str">
        <f t="shared" si="44"/>
        <v/>
      </c>
      <c r="AN48" s="74" t="str">
        <f t="shared" si="44"/>
        <v/>
      </c>
      <c r="AO48" s="74" t="str">
        <f t="shared" si="44"/>
        <v/>
      </c>
      <c r="AP48" s="74" t="str">
        <f t="shared" si="44"/>
        <v/>
      </c>
      <c r="AQ48" s="74" t="str">
        <f t="shared" si="44"/>
        <v/>
      </c>
      <c r="AR48" s="74" t="str">
        <f t="shared" si="44"/>
        <v/>
      </c>
      <c r="AS48" s="74" t="str">
        <f t="shared" si="44"/>
        <v/>
      </c>
      <c r="AT48" s="74" t="str">
        <f t="shared" si="44"/>
        <v/>
      </c>
      <c r="AU48" s="74" t="str">
        <f t="shared" si="44"/>
        <v/>
      </c>
      <c r="AV48" s="74" t="str">
        <f t="shared" si="44"/>
        <v/>
      </c>
      <c r="AW48" s="74" t="str">
        <f t="shared" si="44"/>
        <v/>
      </c>
      <c r="AX48" s="74" t="str">
        <f t="shared" si="44"/>
        <v/>
      </c>
      <c r="AY48" s="74" t="str">
        <f t="shared" si="44"/>
        <v/>
      </c>
      <c r="AZ48" s="74" t="str">
        <f t="shared" si="44"/>
        <v/>
      </c>
      <c r="BA48" s="74" t="str">
        <f t="shared" si="44"/>
        <v/>
      </c>
      <c r="BB48" s="74" t="str">
        <f t="shared" si="44"/>
        <v/>
      </c>
      <c r="BC48" s="74" t="str">
        <f t="shared" si="44"/>
        <v/>
      </c>
      <c r="BD48" s="74" t="str">
        <f t="shared" si="44"/>
        <v/>
      </c>
      <c r="BE48" s="74" t="str">
        <f t="shared" si="44"/>
        <v/>
      </c>
      <c r="BF48" s="74" t="str">
        <f t="shared" si="44"/>
        <v/>
      </c>
      <c r="BG48" s="74" t="str">
        <f t="shared" si="44"/>
        <v/>
      </c>
      <c r="BH48" s="74" t="str">
        <f t="shared" si="44"/>
        <v/>
      </c>
      <c r="BI48" s="74" t="str">
        <f t="shared" si="44"/>
        <v/>
      </c>
      <c r="BJ48" s="74" t="str">
        <f t="shared" si="44"/>
        <v/>
      </c>
      <c r="BK48" s="74" t="str">
        <f t="shared" si="44"/>
        <v/>
      </c>
      <c r="BL48" s="74" t="str">
        <f t="shared" si="44"/>
        <v/>
      </c>
      <c r="BM48" s="74" t="str">
        <f t="shared" si="44"/>
        <v/>
      </c>
      <c r="BN48" s="74" t="str">
        <f t="shared" si="44"/>
        <v/>
      </c>
      <c r="BO48" s="74" t="str">
        <f t="shared" ref="BO48:CT48" si="45">IF(ISNUMBER(BO2),BO46+BO47,"")</f>
        <v/>
      </c>
      <c r="BP48" s="74" t="str">
        <f t="shared" si="45"/>
        <v/>
      </c>
      <c r="BQ48" s="74" t="str">
        <f t="shared" si="45"/>
        <v/>
      </c>
      <c r="BR48" s="74" t="str">
        <f t="shared" si="45"/>
        <v/>
      </c>
      <c r="BS48" s="74" t="str">
        <f t="shared" si="45"/>
        <v/>
      </c>
      <c r="BT48" s="74" t="str">
        <f t="shared" si="45"/>
        <v/>
      </c>
      <c r="BU48" s="74" t="str">
        <f t="shared" si="45"/>
        <v/>
      </c>
      <c r="BV48" s="74" t="str">
        <f t="shared" si="45"/>
        <v/>
      </c>
      <c r="BW48" s="74" t="str">
        <f t="shared" si="45"/>
        <v/>
      </c>
      <c r="BX48" s="74" t="str">
        <f t="shared" si="45"/>
        <v/>
      </c>
      <c r="BY48" s="74" t="str">
        <f t="shared" si="45"/>
        <v/>
      </c>
      <c r="BZ48" s="74" t="str">
        <f t="shared" si="45"/>
        <v/>
      </c>
      <c r="CA48" s="74" t="str">
        <f t="shared" si="45"/>
        <v/>
      </c>
      <c r="CB48" s="74" t="str">
        <f t="shared" si="45"/>
        <v/>
      </c>
      <c r="CC48" s="74" t="str">
        <f t="shared" si="45"/>
        <v/>
      </c>
      <c r="CD48" s="74" t="str">
        <f t="shared" si="45"/>
        <v/>
      </c>
      <c r="CE48" s="74" t="str">
        <f t="shared" si="45"/>
        <v/>
      </c>
      <c r="CF48" s="74" t="str">
        <f t="shared" si="45"/>
        <v/>
      </c>
      <c r="CG48" s="74" t="str">
        <f t="shared" si="45"/>
        <v/>
      </c>
      <c r="CH48" s="74" t="str">
        <f t="shared" si="45"/>
        <v/>
      </c>
      <c r="CI48" s="74" t="str">
        <f t="shared" si="45"/>
        <v/>
      </c>
      <c r="CJ48" s="74" t="str">
        <f t="shared" si="45"/>
        <v/>
      </c>
      <c r="CK48" s="74" t="str">
        <f t="shared" si="45"/>
        <v/>
      </c>
      <c r="CL48" s="74" t="str">
        <f t="shared" si="45"/>
        <v/>
      </c>
      <c r="CM48" s="74" t="str">
        <f t="shared" si="45"/>
        <v/>
      </c>
      <c r="CN48" s="74" t="str">
        <f t="shared" si="45"/>
        <v/>
      </c>
      <c r="CO48" s="74" t="str">
        <f t="shared" si="45"/>
        <v/>
      </c>
      <c r="CP48" s="74" t="str">
        <f t="shared" si="45"/>
        <v/>
      </c>
      <c r="CQ48" s="74" t="str">
        <f t="shared" si="45"/>
        <v/>
      </c>
      <c r="CR48" s="74" t="str">
        <f t="shared" si="45"/>
        <v/>
      </c>
      <c r="CS48" s="74" t="str">
        <f t="shared" si="45"/>
        <v/>
      </c>
      <c r="CT48" s="74" t="str">
        <f t="shared" si="45"/>
        <v/>
      </c>
      <c r="CU48" s="74" t="str">
        <f t="shared" ref="CU48:CX48" si="46">IF(ISNUMBER(CU2),CU46+CU47,"")</f>
        <v/>
      </c>
      <c r="CV48" s="74" t="str">
        <f t="shared" si="46"/>
        <v/>
      </c>
      <c r="CW48" s="74" t="str">
        <f t="shared" si="46"/>
        <v/>
      </c>
      <c r="CX48" s="74" t="str">
        <f t="shared" si="46"/>
        <v/>
      </c>
    </row>
    <row r="49" spans="1:102" x14ac:dyDescent="0.25">
      <c r="A49" s="53"/>
      <c r="B49" s="5"/>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x14ac:dyDescent="0.25">
      <c r="A50" s="58" t="s">
        <v>150</v>
      </c>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7"/>
    </row>
    <row r="51" spans="1:102" x14ac:dyDescent="0.25">
      <c r="A51" s="53" t="s">
        <v>137</v>
      </c>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6"/>
    </row>
    <row r="52" spans="1:102" x14ac:dyDescent="0.25">
      <c r="A52" s="59" t="s">
        <v>128</v>
      </c>
      <c r="B52" s="73">
        <f>total_installed_cost-B69-B75</f>
        <v>0</v>
      </c>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6"/>
    </row>
    <row r="53" spans="1:102" x14ac:dyDescent="0.25">
      <c r="A53" s="59" t="s">
        <v>136</v>
      </c>
      <c r="B53" s="75">
        <f>B52*debt_fraction/100</f>
        <v>0</v>
      </c>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6"/>
    </row>
    <row r="54" spans="1:102" x14ac:dyDescent="0.25">
      <c r="A54" s="59" t="s">
        <v>74</v>
      </c>
      <c r="B54" s="73">
        <f>B52-B53</f>
        <v>0</v>
      </c>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6"/>
    </row>
    <row r="55" spans="1:102" x14ac:dyDescent="0.25">
      <c r="A55" s="53" t="s">
        <v>138</v>
      </c>
      <c r="B55" s="73"/>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6"/>
    </row>
    <row r="56" spans="1:102" x14ac:dyDescent="0.25">
      <c r="A56" s="59" t="s">
        <v>139</v>
      </c>
      <c r="B56" s="73"/>
      <c r="C56" s="73">
        <f>B53</f>
        <v>0</v>
      </c>
      <c r="D56" s="73" t="str">
        <f t="shared" ref="D56:AI56" si="47">IF(ISNUMBER(outYear),C56-C58,"")</f>
        <v/>
      </c>
      <c r="E56" s="73" t="str">
        <f t="shared" si="47"/>
        <v/>
      </c>
      <c r="F56" s="73" t="str">
        <f t="shared" si="47"/>
        <v/>
      </c>
      <c r="G56" s="73" t="str">
        <f t="shared" si="47"/>
        <v/>
      </c>
      <c r="H56" s="73" t="str">
        <f t="shared" si="47"/>
        <v/>
      </c>
      <c r="I56" s="73" t="str">
        <f t="shared" si="47"/>
        <v/>
      </c>
      <c r="J56" s="73" t="str">
        <f t="shared" si="47"/>
        <v/>
      </c>
      <c r="K56" s="73" t="str">
        <f t="shared" si="47"/>
        <v/>
      </c>
      <c r="L56" s="73" t="str">
        <f t="shared" si="47"/>
        <v/>
      </c>
      <c r="M56" s="73" t="str">
        <f t="shared" si="47"/>
        <v/>
      </c>
      <c r="N56" s="73" t="str">
        <f t="shared" si="47"/>
        <v/>
      </c>
      <c r="O56" s="73" t="str">
        <f t="shared" si="47"/>
        <v/>
      </c>
      <c r="P56" s="73" t="str">
        <f t="shared" si="47"/>
        <v/>
      </c>
      <c r="Q56" s="73" t="str">
        <f t="shared" si="47"/>
        <v/>
      </c>
      <c r="R56" s="73" t="str">
        <f t="shared" si="47"/>
        <v/>
      </c>
      <c r="S56" s="73" t="str">
        <f t="shared" si="47"/>
        <v/>
      </c>
      <c r="T56" s="73" t="str">
        <f t="shared" si="47"/>
        <v/>
      </c>
      <c r="U56" s="73" t="str">
        <f t="shared" si="47"/>
        <v/>
      </c>
      <c r="V56" s="73" t="str">
        <f t="shared" si="47"/>
        <v/>
      </c>
      <c r="W56" s="73" t="str">
        <f t="shared" si="47"/>
        <v/>
      </c>
      <c r="X56" s="73" t="str">
        <f t="shared" si="47"/>
        <v/>
      </c>
      <c r="Y56" s="73" t="str">
        <f t="shared" si="47"/>
        <v/>
      </c>
      <c r="Z56" s="73" t="str">
        <f t="shared" si="47"/>
        <v/>
      </c>
      <c r="AA56" s="73" t="str">
        <f t="shared" si="47"/>
        <v/>
      </c>
      <c r="AB56" s="73" t="str">
        <f t="shared" si="47"/>
        <v/>
      </c>
      <c r="AC56" s="73" t="str">
        <f t="shared" si="47"/>
        <v/>
      </c>
      <c r="AD56" s="73" t="str">
        <f t="shared" si="47"/>
        <v/>
      </c>
      <c r="AE56" s="73" t="str">
        <f t="shared" si="47"/>
        <v/>
      </c>
      <c r="AF56" s="73" t="str">
        <f t="shared" si="47"/>
        <v/>
      </c>
      <c r="AG56" s="73" t="str">
        <f t="shared" si="47"/>
        <v/>
      </c>
      <c r="AH56" s="73" t="str">
        <f t="shared" si="47"/>
        <v/>
      </c>
      <c r="AI56" s="73" t="str">
        <f t="shared" si="47"/>
        <v/>
      </c>
      <c r="AJ56" s="73" t="str">
        <f t="shared" ref="AJ56:BO56" si="48">IF(ISNUMBER(outYear),AI56-AI58,"")</f>
        <v/>
      </c>
      <c r="AK56" s="73" t="str">
        <f t="shared" si="48"/>
        <v/>
      </c>
      <c r="AL56" s="73" t="str">
        <f t="shared" si="48"/>
        <v/>
      </c>
      <c r="AM56" s="73" t="str">
        <f t="shared" si="48"/>
        <v/>
      </c>
      <c r="AN56" s="73" t="str">
        <f t="shared" si="48"/>
        <v/>
      </c>
      <c r="AO56" s="73" t="str">
        <f t="shared" si="48"/>
        <v/>
      </c>
      <c r="AP56" s="73" t="str">
        <f t="shared" si="48"/>
        <v/>
      </c>
      <c r="AQ56" s="73" t="str">
        <f t="shared" si="48"/>
        <v/>
      </c>
      <c r="AR56" s="73" t="str">
        <f t="shared" si="48"/>
        <v/>
      </c>
      <c r="AS56" s="73" t="str">
        <f t="shared" si="48"/>
        <v/>
      </c>
      <c r="AT56" s="73" t="str">
        <f t="shared" si="48"/>
        <v/>
      </c>
      <c r="AU56" s="73" t="str">
        <f t="shared" si="48"/>
        <v/>
      </c>
      <c r="AV56" s="73" t="str">
        <f t="shared" si="48"/>
        <v/>
      </c>
      <c r="AW56" s="73" t="str">
        <f t="shared" si="48"/>
        <v/>
      </c>
      <c r="AX56" s="73" t="str">
        <f t="shared" si="48"/>
        <v/>
      </c>
      <c r="AY56" s="73" t="str">
        <f t="shared" si="48"/>
        <v/>
      </c>
      <c r="AZ56" s="73" t="str">
        <f t="shared" si="48"/>
        <v/>
      </c>
      <c r="BA56" s="73" t="str">
        <f t="shared" si="48"/>
        <v/>
      </c>
      <c r="BB56" s="73" t="str">
        <f t="shared" si="48"/>
        <v/>
      </c>
      <c r="BC56" s="73" t="str">
        <f t="shared" si="48"/>
        <v/>
      </c>
      <c r="BD56" s="73" t="str">
        <f t="shared" si="48"/>
        <v/>
      </c>
      <c r="BE56" s="73" t="str">
        <f t="shared" si="48"/>
        <v/>
      </c>
      <c r="BF56" s="73" t="str">
        <f t="shared" si="48"/>
        <v/>
      </c>
      <c r="BG56" s="73" t="str">
        <f t="shared" si="48"/>
        <v/>
      </c>
      <c r="BH56" s="73" t="str">
        <f t="shared" si="48"/>
        <v/>
      </c>
      <c r="BI56" s="73" t="str">
        <f t="shared" si="48"/>
        <v/>
      </c>
      <c r="BJ56" s="73" t="str">
        <f t="shared" si="48"/>
        <v/>
      </c>
      <c r="BK56" s="73" t="str">
        <f t="shared" si="48"/>
        <v/>
      </c>
      <c r="BL56" s="73" t="str">
        <f t="shared" si="48"/>
        <v/>
      </c>
      <c r="BM56" s="73" t="str">
        <f t="shared" si="48"/>
        <v/>
      </c>
      <c r="BN56" s="73" t="str">
        <f t="shared" si="48"/>
        <v/>
      </c>
      <c r="BO56" s="73" t="str">
        <f t="shared" si="48"/>
        <v/>
      </c>
      <c r="BP56" s="73" t="str">
        <f t="shared" ref="BP56:CX56" si="49">IF(ISNUMBER(outYear),BO56-BO58,"")</f>
        <v/>
      </c>
      <c r="BQ56" s="73" t="str">
        <f t="shared" si="49"/>
        <v/>
      </c>
      <c r="BR56" s="73" t="str">
        <f t="shared" si="49"/>
        <v/>
      </c>
      <c r="BS56" s="73" t="str">
        <f t="shared" si="49"/>
        <v/>
      </c>
      <c r="BT56" s="73" t="str">
        <f t="shared" si="49"/>
        <v/>
      </c>
      <c r="BU56" s="73" t="str">
        <f t="shared" si="49"/>
        <v/>
      </c>
      <c r="BV56" s="73" t="str">
        <f t="shared" si="49"/>
        <v/>
      </c>
      <c r="BW56" s="73" t="str">
        <f t="shared" si="49"/>
        <v/>
      </c>
      <c r="BX56" s="73" t="str">
        <f t="shared" si="49"/>
        <v/>
      </c>
      <c r="BY56" s="73" t="str">
        <f t="shared" si="49"/>
        <v/>
      </c>
      <c r="BZ56" s="73" t="str">
        <f t="shared" si="49"/>
        <v/>
      </c>
      <c r="CA56" s="73" t="str">
        <f t="shared" si="49"/>
        <v/>
      </c>
      <c r="CB56" s="73" t="str">
        <f t="shared" si="49"/>
        <v/>
      </c>
      <c r="CC56" s="73" t="str">
        <f t="shared" si="49"/>
        <v/>
      </c>
      <c r="CD56" s="73" t="str">
        <f t="shared" si="49"/>
        <v/>
      </c>
      <c r="CE56" s="73" t="str">
        <f t="shared" si="49"/>
        <v/>
      </c>
      <c r="CF56" s="73" t="str">
        <f t="shared" si="49"/>
        <v/>
      </c>
      <c r="CG56" s="73" t="str">
        <f t="shared" si="49"/>
        <v/>
      </c>
      <c r="CH56" s="73" t="str">
        <f t="shared" si="49"/>
        <v/>
      </c>
      <c r="CI56" s="73" t="str">
        <f t="shared" si="49"/>
        <v/>
      </c>
      <c r="CJ56" s="73" t="str">
        <f t="shared" si="49"/>
        <v/>
      </c>
      <c r="CK56" s="73" t="str">
        <f t="shared" si="49"/>
        <v/>
      </c>
      <c r="CL56" s="73" t="str">
        <f t="shared" si="49"/>
        <v/>
      </c>
      <c r="CM56" s="73" t="str">
        <f t="shared" si="49"/>
        <v/>
      </c>
      <c r="CN56" s="73" t="str">
        <f t="shared" si="49"/>
        <v/>
      </c>
      <c r="CO56" s="73" t="str">
        <f t="shared" si="49"/>
        <v/>
      </c>
      <c r="CP56" s="73" t="str">
        <f t="shared" si="49"/>
        <v/>
      </c>
      <c r="CQ56" s="73" t="str">
        <f t="shared" si="49"/>
        <v/>
      </c>
      <c r="CR56" s="73" t="str">
        <f t="shared" si="49"/>
        <v/>
      </c>
      <c r="CS56" s="73" t="str">
        <f t="shared" si="49"/>
        <v/>
      </c>
      <c r="CT56" s="73" t="str">
        <f t="shared" si="49"/>
        <v/>
      </c>
      <c r="CU56" s="73" t="str">
        <f t="shared" si="49"/>
        <v/>
      </c>
      <c r="CV56" s="73" t="str">
        <f t="shared" si="49"/>
        <v/>
      </c>
      <c r="CW56" s="73" t="str">
        <f t="shared" si="49"/>
        <v/>
      </c>
      <c r="CX56" s="73" t="str">
        <f t="shared" si="49"/>
        <v/>
      </c>
    </row>
    <row r="57" spans="1:102" x14ac:dyDescent="0.25">
      <c r="A57" s="59" t="s">
        <v>140</v>
      </c>
      <c r="B57" s="5"/>
      <c r="C57" s="73" t="str">
        <f t="shared" ref="C57:AH57" si="50">IF(ISNUMBER(outYear),IF(outYear&gt;loan_term,0,C56*loan_rate/100),"")</f>
        <v/>
      </c>
      <c r="D57" s="73" t="str">
        <f t="shared" si="50"/>
        <v/>
      </c>
      <c r="E57" s="73" t="str">
        <f t="shared" si="50"/>
        <v/>
      </c>
      <c r="F57" s="73" t="str">
        <f t="shared" si="50"/>
        <v/>
      </c>
      <c r="G57" s="73" t="str">
        <f t="shared" si="50"/>
        <v/>
      </c>
      <c r="H57" s="73" t="str">
        <f t="shared" si="50"/>
        <v/>
      </c>
      <c r="I57" s="73" t="str">
        <f t="shared" si="50"/>
        <v/>
      </c>
      <c r="J57" s="73" t="str">
        <f t="shared" si="50"/>
        <v/>
      </c>
      <c r="K57" s="73" t="str">
        <f t="shared" si="50"/>
        <v/>
      </c>
      <c r="L57" s="73" t="str">
        <f t="shared" si="50"/>
        <v/>
      </c>
      <c r="M57" s="73" t="str">
        <f t="shared" si="50"/>
        <v/>
      </c>
      <c r="N57" s="73" t="str">
        <f t="shared" si="50"/>
        <v/>
      </c>
      <c r="O57" s="73" t="str">
        <f t="shared" si="50"/>
        <v/>
      </c>
      <c r="P57" s="73" t="str">
        <f t="shared" si="50"/>
        <v/>
      </c>
      <c r="Q57" s="73" t="str">
        <f t="shared" si="50"/>
        <v/>
      </c>
      <c r="R57" s="73" t="str">
        <f t="shared" si="50"/>
        <v/>
      </c>
      <c r="S57" s="73" t="str">
        <f t="shared" si="50"/>
        <v/>
      </c>
      <c r="T57" s="73" t="str">
        <f t="shared" si="50"/>
        <v/>
      </c>
      <c r="U57" s="73" t="str">
        <f t="shared" si="50"/>
        <v/>
      </c>
      <c r="V57" s="73" t="str">
        <f t="shared" si="50"/>
        <v/>
      </c>
      <c r="W57" s="73" t="str">
        <f t="shared" si="50"/>
        <v/>
      </c>
      <c r="X57" s="73" t="str">
        <f t="shared" si="50"/>
        <v/>
      </c>
      <c r="Y57" s="73" t="str">
        <f t="shared" si="50"/>
        <v/>
      </c>
      <c r="Z57" s="73" t="str">
        <f t="shared" si="50"/>
        <v/>
      </c>
      <c r="AA57" s="73" t="str">
        <f t="shared" si="50"/>
        <v/>
      </c>
      <c r="AB57" s="73" t="str">
        <f t="shared" si="50"/>
        <v/>
      </c>
      <c r="AC57" s="73" t="str">
        <f t="shared" si="50"/>
        <v/>
      </c>
      <c r="AD57" s="73" t="str">
        <f t="shared" si="50"/>
        <v/>
      </c>
      <c r="AE57" s="73" t="str">
        <f t="shared" si="50"/>
        <v/>
      </c>
      <c r="AF57" s="73" t="str">
        <f t="shared" si="50"/>
        <v/>
      </c>
      <c r="AG57" s="73" t="str">
        <f t="shared" si="50"/>
        <v/>
      </c>
      <c r="AH57" s="73" t="str">
        <f t="shared" si="50"/>
        <v/>
      </c>
      <c r="AI57" s="73" t="str">
        <f t="shared" ref="AI57:BN57" si="51">IF(ISNUMBER(outYear),IF(outYear&gt;loan_term,0,AI56*loan_rate/100),"")</f>
        <v/>
      </c>
      <c r="AJ57" s="73" t="str">
        <f t="shared" si="51"/>
        <v/>
      </c>
      <c r="AK57" s="73" t="str">
        <f t="shared" si="51"/>
        <v/>
      </c>
      <c r="AL57" s="73" t="str">
        <f t="shared" si="51"/>
        <v/>
      </c>
      <c r="AM57" s="73" t="str">
        <f t="shared" si="51"/>
        <v/>
      </c>
      <c r="AN57" s="73" t="str">
        <f t="shared" si="51"/>
        <v/>
      </c>
      <c r="AO57" s="73" t="str">
        <f t="shared" si="51"/>
        <v/>
      </c>
      <c r="AP57" s="73" t="str">
        <f t="shared" si="51"/>
        <v/>
      </c>
      <c r="AQ57" s="73" t="str">
        <f t="shared" si="51"/>
        <v/>
      </c>
      <c r="AR57" s="73" t="str">
        <f t="shared" si="51"/>
        <v/>
      </c>
      <c r="AS57" s="73" t="str">
        <f t="shared" si="51"/>
        <v/>
      </c>
      <c r="AT57" s="73" t="str">
        <f t="shared" si="51"/>
        <v/>
      </c>
      <c r="AU57" s="73" t="str">
        <f t="shared" si="51"/>
        <v/>
      </c>
      <c r="AV57" s="73" t="str">
        <f t="shared" si="51"/>
        <v/>
      </c>
      <c r="AW57" s="73" t="str">
        <f t="shared" si="51"/>
        <v/>
      </c>
      <c r="AX57" s="73" t="str">
        <f t="shared" si="51"/>
        <v/>
      </c>
      <c r="AY57" s="73" t="str">
        <f t="shared" si="51"/>
        <v/>
      </c>
      <c r="AZ57" s="73" t="str">
        <f t="shared" si="51"/>
        <v/>
      </c>
      <c r="BA57" s="73" t="str">
        <f t="shared" si="51"/>
        <v/>
      </c>
      <c r="BB57" s="73" t="str">
        <f t="shared" si="51"/>
        <v/>
      </c>
      <c r="BC57" s="73" t="str">
        <f t="shared" si="51"/>
        <v/>
      </c>
      <c r="BD57" s="73" t="str">
        <f t="shared" si="51"/>
        <v/>
      </c>
      <c r="BE57" s="73" t="str">
        <f t="shared" si="51"/>
        <v/>
      </c>
      <c r="BF57" s="73" t="str">
        <f t="shared" si="51"/>
        <v/>
      </c>
      <c r="BG57" s="73" t="str">
        <f t="shared" si="51"/>
        <v/>
      </c>
      <c r="BH57" s="73" t="str">
        <f t="shared" si="51"/>
        <v/>
      </c>
      <c r="BI57" s="73" t="str">
        <f t="shared" si="51"/>
        <v/>
      </c>
      <c r="BJ57" s="73" t="str">
        <f t="shared" si="51"/>
        <v/>
      </c>
      <c r="BK57" s="73" t="str">
        <f t="shared" si="51"/>
        <v/>
      </c>
      <c r="BL57" s="73" t="str">
        <f t="shared" si="51"/>
        <v/>
      </c>
      <c r="BM57" s="73" t="str">
        <f t="shared" si="51"/>
        <v/>
      </c>
      <c r="BN57" s="73" t="str">
        <f t="shared" si="51"/>
        <v/>
      </c>
      <c r="BO57" s="73" t="str">
        <f t="shared" ref="BO57:CT57" si="52">IF(ISNUMBER(outYear),IF(outYear&gt;loan_term,0,BO56*loan_rate/100),"")</f>
        <v/>
      </c>
      <c r="BP57" s="73" t="str">
        <f t="shared" si="52"/>
        <v/>
      </c>
      <c r="BQ57" s="73" t="str">
        <f t="shared" si="52"/>
        <v/>
      </c>
      <c r="BR57" s="73" t="str">
        <f t="shared" si="52"/>
        <v/>
      </c>
      <c r="BS57" s="73" t="str">
        <f t="shared" si="52"/>
        <v/>
      </c>
      <c r="BT57" s="73" t="str">
        <f t="shared" si="52"/>
        <v/>
      </c>
      <c r="BU57" s="73" t="str">
        <f t="shared" si="52"/>
        <v/>
      </c>
      <c r="BV57" s="73" t="str">
        <f t="shared" si="52"/>
        <v/>
      </c>
      <c r="BW57" s="73" t="str">
        <f t="shared" si="52"/>
        <v/>
      </c>
      <c r="BX57" s="73" t="str">
        <f t="shared" si="52"/>
        <v/>
      </c>
      <c r="BY57" s="73" t="str">
        <f t="shared" si="52"/>
        <v/>
      </c>
      <c r="BZ57" s="73" t="str">
        <f t="shared" si="52"/>
        <v/>
      </c>
      <c r="CA57" s="73" t="str">
        <f t="shared" si="52"/>
        <v/>
      </c>
      <c r="CB57" s="73" t="str">
        <f t="shared" si="52"/>
        <v/>
      </c>
      <c r="CC57" s="73" t="str">
        <f t="shared" si="52"/>
        <v/>
      </c>
      <c r="CD57" s="73" t="str">
        <f t="shared" si="52"/>
        <v/>
      </c>
      <c r="CE57" s="73" t="str">
        <f t="shared" si="52"/>
        <v/>
      </c>
      <c r="CF57" s="73" t="str">
        <f t="shared" si="52"/>
        <v/>
      </c>
      <c r="CG57" s="73" t="str">
        <f t="shared" si="52"/>
        <v/>
      </c>
      <c r="CH57" s="73" t="str">
        <f t="shared" si="52"/>
        <v/>
      </c>
      <c r="CI57" s="73" t="str">
        <f t="shared" si="52"/>
        <v/>
      </c>
      <c r="CJ57" s="73" t="str">
        <f t="shared" si="52"/>
        <v/>
      </c>
      <c r="CK57" s="73" t="str">
        <f t="shared" si="52"/>
        <v/>
      </c>
      <c r="CL57" s="73" t="str">
        <f t="shared" si="52"/>
        <v/>
      </c>
      <c r="CM57" s="73" t="str">
        <f t="shared" si="52"/>
        <v/>
      </c>
      <c r="CN57" s="73" t="str">
        <f t="shared" si="52"/>
        <v/>
      </c>
      <c r="CO57" s="73" t="str">
        <f t="shared" si="52"/>
        <v/>
      </c>
      <c r="CP57" s="73" t="str">
        <f t="shared" si="52"/>
        <v/>
      </c>
      <c r="CQ57" s="73" t="str">
        <f t="shared" si="52"/>
        <v/>
      </c>
      <c r="CR57" s="73" t="str">
        <f t="shared" si="52"/>
        <v/>
      </c>
      <c r="CS57" s="73" t="str">
        <f t="shared" si="52"/>
        <v/>
      </c>
      <c r="CT57" s="73" t="str">
        <f t="shared" si="52"/>
        <v/>
      </c>
      <c r="CU57" s="73" t="str">
        <f t="shared" ref="CU57:CX57" si="53">IF(ISNUMBER(outYear),IF(outYear&gt;loan_term,0,CU56*loan_rate/100),"")</f>
        <v/>
      </c>
      <c r="CV57" s="73" t="str">
        <f t="shared" si="53"/>
        <v/>
      </c>
      <c r="CW57" s="73" t="str">
        <f t="shared" si="53"/>
        <v/>
      </c>
      <c r="CX57" s="73" t="str">
        <f t="shared" si="53"/>
        <v/>
      </c>
    </row>
    <row r="58" spans="1:102" x14ac:dyDescent="0.25">
      <c r="A58" s="59" t="s">
        <v>142</v>
      </c>
      <c r="B58" s="5"/>
      <c r="C58" s="73" t="str">
        <f t="shared" ref="C58:AH58" si="54">IF(ISNUMBER(outYear),IF(outYear&gt;loan_term,0,-PPMT(loan_rate/100,outYear,loan_term,$B$53,0,0)),"")</f>
        <v/>
      </c>
      <c r="D58" s="73" t="str">
        <f t="shared" si="54"/>
        <v/>
      </c>
      <c r="E58" s="73" t="str">
        <f t="shared" si="54"/>
        <v/>
      </c>
      <c r="F58" s="73" t="str">
        <f t="shared" si="54"/>
        <v/>
      </c>
      <c r="G58" s="73" t="str">
        <f t="shared" si="54"/>
        <v/>
      </c>
      <c r="H58" s="73" t="str">
        <f t="shared" si="54"/>
        <v/>
      </c>
      <c r="I58" s="73" t="str">
        <f t="shared" si="54"/>
        <v/>
      </c>
      <c r="J58" s="73" t="str">
        <f t="shared" si="54"/>
        <v/>
      </c>
      <c r="K58" s="73" t="str">
        <f t="shared" si="54"/>
        <v/>
      </c>
      <c r="L58" s="73" t="str">
        <f t="shared" si="54"/>
        <v/>
      </c>
      <c r="M58" s="73" t="str">
        <f t="shared" si="54"/>
        <v/>
      </c>
      <c r="N58" s="73" t="str">
        <f t="shared" si="54"/>
        <v/>
      </c>
      <c r="O58" s="73" t="str">
        <f t="shared" si="54"/>
        <v/>
      </c>
      <c r="P58" s="73" t="str">
        <f t="shared" si="54"/>
        <v/>
      </c>
      <c r="Q58" s="73" t="str">
        <f t="shared" si="54"/>
        <v/>
      </c>
      <c r="R58" s="73" t="str">
        <f t="shared" si="54"/>
        <v/>
      </c>
      <c r="S58" s="73" t="str">
        <f t="shared" si="54"/>
        <v/>
      </c>
      <c r="T58" s="73" t="str">
        <f t="shared" si="54"/>
        <v/>
      </c>
      <c r="U58" s="73" t="str">
        <f t="shared" si="54"/>
        <v/>
      </c>
      <c r="V58" s="73" t="str">
        <f t="shared" si="54"/>
        <v/>
      </c>
      <c r="W58" s="73" t="str">
        <f t="shared" si="54"/>
        <v/>
      </c>
      <c r="X58" s="73" t="str">
        <f t="shared" si="54"/>
        <v/>
      </c>
      <c r="Y58" s="73" t="str">
        <f t="shared" si="54"/>
        <v/>
      </c>
      <c r="Z58" s="73" t="str">
        <f t="shared" si="54"/>
        <v/>
      </c>
      <c r="AA58" s="73" t="str">
        <f t="shared" si="54"/>
        <v/>
      </c>
      <c r="AB58" s="73" t="str">
        <f t="shared" si="54"/>
        <v/>
      </c>
      <c r="AC58" s="73" t="str">
        <f t="shared" si="54"/>
        <v/>
      </c>
      <c r="AD58" s="73" t="str">
        <f t="shared" si="54"/>
        <v/>
      </c>
      <c r="AE58" s="73" t="str">
        <f t="shared" si="54"/>
        <v/>
      </c>
      <c r="AF58" s="73" t="str">
        <f t="shared" si="54"/>
        <v/>
      </c>
      <c r="AG58" s="73" t="str">
        <f t="shared" si="54"/>
        <v/>
      </c>
      <c r="AH58" s="73" t="str">
        <f t="shared" si="54"/>
        <v/>
      </c>
      <c r="AI58" s="73" t="str">
        <f t="shared" ref="AI58:BN58" si="55">IF(ISNUMBER(outYear),IF(outYear&gt;loan_term,0,-PPMT(loan_rate/100,outYear,loan_term,$B$53,0,0)),"")</f>
        <v/>
      </c>
      <c r="AJ58" s="73" t="str">
        <f t="shared" si="55"/>
        <v/>
      </c>
      <c r="AK58" s="73" t="str">
        <f t="shared" si="55"/>
        <v/>
      </c>
      <c r="AL58" s="73" t="str">
        <f t="shared" si="55"/>
        <v/>
      </c>
      <c r="AM58" s="73" t="str">
        <f t="shared" si="55"/>
        <v/>
      </c>
      <c r="AN58" s="73" t="str">
        <f t="shared" si="55"/>
        <v/>
      </c>
      <c r="AO58" s="73" t="str">
        <f t="shared" si="55"/>
        <v/>
      </c>
      <c r="AP58" s="73" t="str">
        <f t="shared" si="55"/>
        <v/>
      </c>
      <c r="AQ58" s="73" t="str">
        <f t="shared" si="55"/>
        <v/>
      </c>
      <c r="AR58" s="73" t="str">
        <f t="shared" si="55"/>
        <v/>
      </c>
      <c r="AS58" s="73" t="str">
        <f t="shared" si="55"/>
        <v/>
      </c>
      <c r="AT58" s="73" t="str">
        <f t="shared" si="55"/>
        <v/>
      </c>
      <c r="AU58" s="73" t="str">
        <f t="shared" si="55"/>
        <v/>
      </c>
      <c r="AV58" s="73" t="str">
        <f t="shared" si="55"/>
        <v/>
      </c>
      <c r="AW58" s="73" t="str">
        <f t="shared" si="55"/>
        <v/>
      </c>
      <c r="AX58" s="73" t="str">
        <f t="shared" si="55"/>
        <v/>
      </c>
      <c r="AY58" s="73" t="str">
        <f t="shared" si="55"/>
        <v/>
      </c>
      <c r="AZ58" s="73" t="str">
        <f t="shared" si="55"/>
        <v/>
      </c>
      <c r="BA58" s="73" t="str">
        <f t="shared" si="55"/>
        <v/>
      </c>
      <c r="BB58" s="73" t="str">
        <f t="shared" si="55"/>
        <v/>
      </c>
      <c r="BC58" s="73" t="str">
        <f t="shared" si="55"/>
        <v/>
      </c>
      <c r="BD58" s="73" t="str">
        <f t="shared" si="55"/>
        <v/>
      </c>
      <c r="BE58" s="73" t="str">
        <f t="shared" si="55"/>
        <v/>
      </c>
      <c r="BF58" s="73" t="str">
        <f t="shared" si="55"/>
        <v/>
      </c>
      <c r="BG58" s="73" t="str">
        <f t="shared" si="55"/>
        <v/>
      </c>
      <c r="BH58" s="73" t="str">
        <f t="shared" si="55"/>
        <v/>
      </c>
      <c r="BI58" s="73" t="str">
        <f t="shared" si="55"/>
        <v/>
      </c>
      <c r="BJ58" s="73" t="str">
        <f t="shared" si="55"/>
        <v/>
      </c>
      <c r="BK58" s="73" t="str">
        <f t="shared" si="55"/>
        <v/>
      </c>
      <c r="BL58" s="73" t="str">
        <f t="shared" si="55"/>
        <v/>
      </c>
      <c r="BM58" s="73" t="str">
        <f t="shared" si="55"/>
        <v/>
      </c>
      <c r="BN58" s="73" t="str">
        <f t="shared" si="55"/>
        <v/>
      </c>
      <c r="BO58" s="73" t="str">
        <f t="shared" ref="BO58:CX58" si="56">IF(ISNUMBER(outYear),IF(outYear&gt;loan_term,0,-PPMT(loan_rate/100,outYear,loan_term,$B$53,0,0)),"")</f>
        <v/>
      </c>
      <c r="BP58" s="73" t="str">
        <f t="shared" si="56"/>
        <v/>
      </c>
      <c r="BQ58" s="73" t="str">
        <f t="shared" si="56"/>
        <v/>
      </c>
      <c r="BR58" s="73" t="str">
        <f t="shared" si="56"/>
        <v/>
      </c>
      <c r="BS58" s="73" t="str">
        <f t="shared" si="56"/>
        <v/>
      </c>
      <c r="BT58" s="73" t="str">
        <f t="shared" si="56"/>
        <v/>
      </c>
      <c r="BU58" s="73" t="str">
        <f t="shared" si="56"/>
        <v/>
      </c>
      <c r="BV58" s="73" t="str">
        <f t="shared" si="56"/>
        <v/>
      </c>
      <c r="BW58" s="73" t="str">
        <f t="shared" si="56"/>
        <v/>
      </c>
      <c r="BX58" s="73" t="str">
        <f t="shared" si="56"/>
        <v/>
      </c>
      <c r="BY58" s="73" t="str">
        <f t="shared" si="56"/>
        <v/>
      </c>
      <c r="BZ58" s="73" t="str">
        <f t="shared" si="56"/>
        <v/>
      </c>
      <c r="CA58" s="73" t="str">
        <f t="shared" si="56"/>
        <v/>
      </c>
      <c r="CB58" s="73" t="str">
        <f t="shared" si="56"/>
        <v/>
      </c>
      <c r="CC58" s="73" t="str">
        <f t="shared" si="56"/>
        <v/>
      </c>
      <c r="CD58" s="73" t="str">
        <f t="shared" si="56"/>
        <v/>
      </c>
      <c r="CE58" s="73" t="str">
        <f t="shared" si="56"/>
        <v/>
      </c>
      <c r="CF58" s="73" t="str">
        <f t="shared" si="56"/>
        <v/>
      </c>
      <c r="CG58" s="73" t="str">
        <f t="shared" si="56"/>
        <v/>
      </c>
      <c r="CH58" s="73" t="str">
        <f t="shared" si="56"/>
        <v/>
      </c>
      <c r="CI58" s="73" t="str">
        <f t="shared" si="56"/>
        <v/>
      </c>
      <c r="CJ58" s="73" t="str">
        <f t="shared" si="56"/>
        <v/>
      </c>
      <c r="CK58" s="73" t="str">
        <f t="shared" si="56"/>
        <v/>
      </c>
      <c r="CL58" s="73" t="str">
        <f t="shared" si="56"/>
        <v/>
      </c>
      <c r="CM58" s="73" t="str">
        <f t="shared" si="56"/>
        <v/>
      </c>
      <c r="CN58" s="73" t="str">
        <f t="shared" si="56"/>
        <v/>
      </c>
      <c r="CO58" s="73" t="str">
        <f t="shared" si="56"/>
        <v/>
      </c>
      <c r="CP58" s="73" t="str">
        <f t="shared" si="56"/>
        <v/>
      </c>
      <c r="CQ58" s="73" t="str">
        <f t="shared" si="56"/>
        <v/>
      </c>
      <c r="CR58" s="73" t="str">
        <f t="shared" si="56"/>
        <v/>
      </c>
      <c r="CS58" s="73" t="str">
        <f t="shared" si="56"/>
        <v/>
      </c>
      <c r="CT58" s="73" t="str">
        <f t="shared" si="56"/>
        <v/>
      </c>
      <c r="CU58" s="73" t="str">
        <f t="shared" si="56"/>
        <v/>
      </c>
      <c r="CV58" s="73" t="str">
        <f t="shared" si="56"/>
        <v/>
      </c>
      <c r="CW58" s="73" t="str">
        <f t="shared" si="56"/>
        <v/>
      </c>
      <c r="CX58" s="73" t="str">
        <f t="shared" si="56"/>
        <v/>
      </c>
    </row>
    <row r="59" spans="1:102" x14ac:dyDescent="0.25">
      <c r="A59" s="68" t="s">
        <v>141</v>
      </c>
      <c r="B59" s="63"/>
      <c r="C59" s="74" t="str">
        <f>IF(ISNUMBER(outYear),+C57+C58,"")</f>
        <v/>
      </c>
      <c r="D59" s="74" t="str">
        <f t="shared" ref="D59:AH59" si="57">IF(ISNUMBER(outYear),+D57+D58,"")</f>
        <v/>
      </c>
      <c r="E59" s="74" t="str">
        <f t="shared" si="57"/>
        <v/>
      </c>
      <c r="F59" s="74" t="str">
        <f t="shared" si="57"/>
        <v/>
      </c>
      <c r="G59" s="74" t="str">
        <f t="shared" si="57"/>
        <v/>
      </c>
      <c r="H59" s="74" t="str">
        <f t="shared" si="57"/>
        <v/>
      </c>
      <c r="I59" s="74" t="str">
        <f t="shared" si="57"/>
        <v/>
      </c>
      <c r="J59" s="74" t="str">
        <f t="shared" si="57"/>
        <v/>
      </c>
      <c r="K59" s="74" t="str">
        <f t="shared" si="57"/>
        <v/>
      </c>
      <c r="L59" s="74" t="str">
        <f t="shared" si="57"/>
        <v/>
      </c>
      <c r="M59" s="74" t="str">
        <f t="shared" si="57"/>
        <v/>
      </c>
      <c r="N59" s="74" t="str">
        <f t="shared" si="57"/>
        <v/>
      </c>
      <c r="O59" s="74" t="str">
        <f t="shared" si="57"/>
        <v/>
      </c>
      <c r="P59" s="74" t="str">
        <f t="shared" si="57"/>
        <v/>
      </c>
      <c r="Q59" s="74" t="str">
        <f t="shared" si="57"/>
        <v/>
      </c>
      <c r="R59" s="74" t="str">
        <f t="shared" si="57"/>
        <v/>
      </c>
      <c r="S59" s="74" t="str">
        <f t="shared" si="57"/>
        <v/>
      </c>
      <c r="T59" s="74" t="str">
        <f t="shared" si="57"/>
        <v/>
      </c>
      <c r="U59" s="74" t="str">
        <f t="shared" si="57"/>
        <v/>
      </c>
      <c r="V59" s="74" t="str">
        <f t="shared" si="57"/>
        <v/>
      </c>
      <c r="W59" s="74" t="str">
        <f t="shared" si="57"/>
        <v/>
      </c>
      <c r="X59" s="74" t="str">
        <f t="shared" si="57"/>
        <v/>
      </c>
      <c r="Y59" s="74" t="str">
        <f t="shared" si="57"/>
        <v/>
      </c>
      <c r="Z59" s="74" t="str">
        <f t="shared" si="57"/>
        <v/>
      </c>
      <c r="AA59" s="74" t="str">
        <f t="shared" si="57"/>
        <v/>
      </c>
      <c r="AB59" s="74" t="str">
        <f t="shared" si="57"/>
        <v/>
      </c>
      <c r="AC59" s="74" t="str">
        <f t="shared" si="57"/>
        <v/>
      </c>
      <c r="AD59" s="74" t="str">
        <f t="shared" si="57"/>
        <v/>
      </c>
      <c r="AE59" s="74" t="str">
        <f t="shared" si="57"/>
        <v/>
      </c>
      <c r="AF59" s="74" t="str">
        <f t="shared" si="57"/>
        <v/>
      </c>
      <c r="AG59" s="74" t="str">
        <f t="shared" si="57"/>
        <v/>
      </c>
      <c r="AH59" s="74" t="str">
        <f t="shared" si="57"/>
        <v/>
      </c>
      <c r="AI59" s="74" t="str">
        <f t="shared" ref="AI59:BN59" si="58">IF(ISNUMBER(outYear),+AI57+AI58,"")</f>
        <v/>
      </c>
      <c r="AJ59" s="74" t="str">
        <f t="shared" si="58"/>
        <v/>
      </c>
      <c r="AK59" s="74" t="str">
        <f t="shared" si="58"/>
        <v/>
      </c>
      <c r="AL59" s="74" t="str">
        <f t="shared" si="58"/>
        <v/>
      </c>
      <c r="AM59" s="74" t="str">
        <f t="shared" si="58"/>
        <v/>
      </c>
      <c r="AN59" s="74" t="str">
        <f t="shared" si="58"/>
        <v/>
      </c>
      <c r="AO59" s="74" t="str">
        <f t="shared" si="58"/>
        <v/>
      </c>
      <c r="AP59" s="74" t="str">
        <f t="shared" si="58"/>
        <v/>
      </c>
      <c r="AQ59" s="74" t="str">
        <f t="shared" si="58"/>
        <v/>
      </c>
      <c r="AR59" s="74" t="str">
        <f t="shared" si="58"/>
        <v/>
      </c>
      <c r="AS59" s="74" t="str">
        <f t="shared" si="58"/>
        <v/>
      </c>
      <c r="AT59" s="74" t="str">
        <f t="shared" si="58"/>
        <v/>
      </c>
      <c r="AU59" s="74" t="str">
        <f t="shared" si="58"/>
        <v/>
      </c>
      <c r="AV59" s="74" t="str">
        <f t="shared" si="58"/>
        <v/>
      </c>
      <c r="AW59" s="74" t="str">
        <f t="shared" si="58"/>
        <v/>
      </c>
      <c r="AX59" s="74" t="str">
        <f t="shared" si="58"/>
        <v/>
      </c>
      <c r="AY59" s="74" t="str">
        <f t="shared" si="58"/>
        <v/>
      </c>
      <c r="AZ59" s="74" t="str">
        <f t="shared" si="58"/>
        <v/>
      </c>
      <c r="BA59" s="74" t="str">
        <f t="shared" si="58"/>
        <v/>
      </c>
      <c r="BB59" s="74" t="str">
        <f t="shared" si="58"/>
        <v/>
      </c>
      <c r="BC59" s="74" t="str">
        <f t="shared" si="58"/>
        <v/>
      </c>
      <c r="BD59" s="74" t="str">
        <f t="shared" si="58"/>
        <v/>
      </c>
      <c r="BE59" s="74" t="str">
        <f t="shared" si="58"/>
        <v/>
      </c>
      <c r="BF59" s="74" t="str">
        <f t="shared" si="58"/>
        <v/>
      </c>
      <c r="BG59" s="74" t="str">
        <f t="shared" si="58"/>
        <v/>
      </c>
      <c r="BH59" s="74" t="str">
        <f t="shared" si="58"/>
        <v/>
      </c>
      <c r="BI59" s="74" t="str">
        <f t="shared" si="58"/>
        <v/>
      </c>
      <c r="BJ59" s="74" t="str">
        <f t="shared" si="58"/>
        <v/>
      </c>
      <c r="BK59" s="74" t="str">
        <f t="shared" si="58"/>
        <v/>
      </c>
      <c r="BL59" s="74" t="str">
        <f t="shared" si="58"/>
        <v/>
      </c>
      <c r="BM59" s="74" t="str">
        <f t="shared" si="58"/>
        <v/>
      </c>
      <c r="BN59" s="74" t="str">
        <f t="shared" si="58"/>
        <v/>
      </c>
      <c r="BO59" s="74" t="str">
        <f t="shared" ref="BO59:CT59" si="59">IF(ISNUMBER(outYear),+BO57+BO58,"")</f>
        <v/>
      </c>
      <c r="BP59" s="74" t="str">
        <f t="shared" si="59"/>
        <v/>
      </c>
      <c r="BQ59" s="74" t="str">
        <f t="shared" si="59"/>
        <v/>
      </c>
      <c r="BR59" s="74" t="str">
        <f t="shared" si="59"/>
        <v/>
      </c>
      <c r="BS59" s="74" t="str">
        <f t="shared" si="59"/>
        <v/>
      </c>
      <c r="BT59" s="74" t="str">
        <f t="shared" si="59"/>
        <v/>
      </c>
      <c r="BU59" s="74" t="str">
        <f t="shared" si="59"/>
        <v/>
      </c>
      <c r="BV59" s="74" t="str">
        <f t="shared" si="59"/>
        <v/>
      </c>
      <c r="BW59" s="74" t="str">
        <f t="shared" si="59"/>
        <v/>
      </c>
      <c r="BX59" s="74" t="str">
        <f t="shared" si="59"/>
        <v/>
      </c>
      <c r="BY59" s="74" t="str">
        <f t="shared" si="59"/>
        <v/>
      </c>
      <c r="BZ59" s="74" t="str">
        <f t="shared" si="59"/>
        <v/>
      </c>
      <c r="CA59" s="74" t="str">
        <f t="shared" si="59"/>
        <v/>
      </c>
      <c r="CB59" s="74" t="str">
        <f t="shared" si="59"/>
        <v/>
      </c>
      <c r="CC59" s="74" t="str">
        <f t="shared" si="59"/>
        <v/>
      </c>
      <c r="CD59" s="74" t="str">
        <f t="shared" si="59"/>
        <v/>
      </c>
      <c r="CE59" s="74" t="str">
        <f t="shared" si="59"/>
        <v/>
      </c>
      <c r="CF59" s="74" t="str">
        <f t="shared" si="59"/>
        <v/>
      </c>
      <c r="CG59" s="74" t="str">
        <f t="shared" si="59"/>
        <v/>
      </c>
      <c r="CH59" s="74" t="str">
        <f t="shared" si="59"/>
        <v/>
      </c>
      <c r="CI59" s="74" t="str">
        <f t="shared" si="59"/>
        <v/>
      </c>
      <c r="CJ59" s="74" t="str">
        <f t="shared" si="59"/>
        <v/>
      </c>
      <c r="CK59" s="74" t="str">
        <f t="shared" si="59"/>
        <v/>
      </c>
      <c r="CL59" s="74" t="str">
        <f t="shared" si="59"/>
        <v/>
      </c>
      <c r="CM59" s="74" t="str">
        <f t="shared" si="59"/>
        <v/>
      </c>
      <c r="CN59" s="74" t="str">
        <f t="shared" si="59"/>
        <v/>
      </c>
      <c r="CO59" s="74" t="str">
        <f t="shared" si="59"/>
        <v/>
      </c>
      <c r="CP59" s="74" t="str">
        <f t="shared" si="59"/>
        <v/>
      </c>
      <c r="CQ59" s="74" t="str">
        <f t="shared" si="59"/>
        <v/>
      </c>
      <c r="CR59" s="74" t="str">
        <f t="shared" si="59"/>
        <v/>
      </c>
      <c r="CS59" s="74" t="str">
        <f t="shared" si="59"/>
        <v/>
      </c>
      <c r="CT59" s="74" t="str">
        <f t="shared" si="59"/>
        <v/>
      </c>
      <c r="CU59" s="74" t="str">
        <f>IF(ISNUMBER(outYear),+CU57+CU58,"")</f>
        <v/>
      </c>
      <c r="CV59" s="74" t="str">
        <f>IF(ISNUMBER(outYear),+CV57+CV58,"")</f>
        <v/>
      </c>
      <c r="CW59" s="74" t="str">
        <f>IF(ISNUMBER(outYear),+CW57+CW58,"")</f>
        <v/>
      </c>
      <c r="CX59" s="74" t="str">
        <f>IF(ISNUMBER(outYear),+CX57+CX58,"")</f>
        <v/>
      </c>
    </row>
    <row r="60" spans="1:102" x14ac:dyDescent="0.25">
      <c r="A60" s="9"/>
      <c r="B60" s="5"/>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row>
    <row r="61" spans="1:102" x14ac:dyDescent="0.25">
      <c r="A61" s="10" t="s">
        <v>143</v>
      </c>
      <c r="B61" s="73">
        <f>-B54</f>
        <v>0</v>
      </c>
      <c r="C61" s="73" t="str">
        <f t="shared" ref="C61:AH61" si="60">IF(ISNUMBER(C2),-(C41+C59),"")</f>
        <v/>
      </c>
      <c r="D61" s="73" t="str">
        <f t="shared" si="60"/>
        <v/>
      </c>
      <c r="E61" s="73" t="str">
        <f t="shared" si="60"/>
        <v/>
      </c>
      <c r="F61" s="73" t="str">
        <f t="shared" si="60"/>
        <v/>
      </c>
      <c r="G61" s="73" t="str">
        <f t="shared" si="60"/>
        <v/>
      </c>
      <c r="H61" s="73" t="str">
        <f t="shared" si="60"/>
        <v/>
      </c>
      <c r="I61" s="73" t="str">
        <f t="shared" si="60"/>
        <v/>
      </c>
      <c r="J61" s="73" t="str">
        <f t="shared" si="60"/>
        <v/>
      </c>
      <c r="K61" s="73" t="str">
        <f t="shared" si="60"/>
        <v/>
      </c>
      <c r="L61" s="73" t="str">
        <f t="shared" si="60"/>
        <v/>
      </c>
      <c r="M61" s="73" t="str">
        <f t="shared" si="60"/>
        <v/>
      </c>
      <c r="N61" s="73" t="str">
        <f t="shared" si="60"/>
        <v/>
      </c>
      <c r="O61" s="73" t="str">
        <f t="shared" si="60"/>
        <v/>
      </c>
      <c r="P61" s="73" t="str">
        <f t="shared" si="60"/>
        <v/>
      </c>
      <c r="Q61" s="73" t="str">
        <f t="shared" si="60"/>
        <v/>
      </c>
      <c r="R61" s="73" t="str">
        <f t="shared" si="60"/>
        <v/>
      </c>
      <c r="S61" s="73" t="str">
        <f t="shared" si="60"/>
        <v/>
      </c>
      <c r="T61" s="73" t="str">
        <f t="shared" si="60"/>
        <v/>
      </c>
      <c r="U61" s="73" t="str">
        <f t="shared" si="60"/>
        <v/>
      </c>
      <c r="V61" s="73" t="str">
        <f t="shared" si="60"/>
        <v/>
      </c>
      <c r="W61" s="73" t="str">
        <f t="shared" si="60"/>
        <v/>
      </c>
      <c r="X61" s="73" t="str">
        <f t="shared" si="60"/>
        <v/>
      </c>
      <c r="Y61" s="73" t="str">
        <f t="shared" si="60"/>
        <v/>
      </c>
      <c r="Z61" s="73" t="str">
        <f t="shared" si="60"/>
        <v/>
      </c>
      <c r="AA61" s="73" t="str">
        <f t="shared" si="60"/>
        <v/>
      </c>
      <c r="AB61" s="73" t="str">
        <f t="shared" si="60"/>
        <v/>
      </c>
      <c r="AC61" s="73" t="str">
        <f t="shared" si="60"/>
        <v/>
      </c>
      <c r="AD61" s="73" t="str">
        <f t="shared" si="60"/>
        <v/>
      </c>
      <c r="AE61" s="73" t="str">
        <f t="shared" si="60"/>
        <v/>
      </c>
      <c r="AF61" s="73" t="str">
        <f t="shared" si="60"/>
        <v/>
      </c>
      <c r="AG61" s="73" t="str">
        <f t="shared" si="60"/>
        <v/>
      </c>
      <c r="AH61" s="73" t="str">
        <f t="shared" si="60"/>
        <v/>
      </c>
      <c r="AI61" s="73" t="str">
        <f t="shared" ref="AI61:BN61" si="61">IF(ISNUMBER(AI2),-(AI41+AI59),"")</f>
        <v/>
      </c>
      <c r="AJ61" s="73" t="str">
        <f t="shared" si="61"/>
        <v/>
      </c>
      <c r="AK61" s="73" t="str">
        <f t="shared" si="61"/>
        <v/>
      </c>
      <c r="AL61" s="73" t="str">
        <f t="shared" si="61"/>
        <v/>
      </c>
      <c r="AM61" s="73" t="str">
        <f t="shared" si="61"/>
        <v/>
      </c>
      <c r="AN61" s="73" t="str">
        <f t="shared" si="61"/>
        <v/>
      </c>
      <c r="AO61" s="73" t="str">
        <f t="shared" si="61"/>
        <v/>
      </c>
      <c r="AP61" s="73" t="str">
        <f t="shared" si="61"/>
        <v/>
      </c>
      <c r="AQ61" s="73" t="str">
        <f t="shared" si="61"/>
        <v/>
      </c>
      <c r="AR61" s="73" t="str">
        <f t="shared" si="61"/>
        <v/>
      </c>
      <c r="AS61" s="73" t="str">
        <f t="shared" si="61"/>
        <v/>
      </c>
      <c r="AT61" s="73" t="str">
        <f t="shared" si="61"/>
        <v/>
      </c>
      <c r="AU61" s="73" t="str">
        <f t="shared" si="61"/>
        <v/>
      </c>
      <c r="AV61" s="73" t="str">
        <f t="shared" si="61"/>
        <v/>
      </c>
      <c r="AW61" s="73" t="str">
        <f t="shared" si="61"/>
        <v/>
      </c>
      <c r="AX61" s="73" t="str">
        <f t="shared" si="61"/>
        <v/>
      </c>
      <c r="AY61" s="73" t="str">
        <f t="shared" si="61"/>
        <v/>
      </c>
      <c r="AZ61" s="73" t="str">
        <f t="shared" si="61"/>
        <v/>
      </c>
      <c r="BA61" s="73" t="str">
        <f t="shared" si="61"/>
        <v/>
      </c>
      <c r="BB61" s="73" t="str">
        <f t="shared" si="61"/>
        <v/>
      </c>
      <c r="BC61" s="73" t="str">
        <f t="shared" si="61"/>
        <v/>
      </c>
      <c r="BD61" s="73" t="str">
        <f t="shared" si="61"/>
        <v/>
      </c>
      <c r="BE61" s="73" t="str">
        <f t="shared" si="61"/>
        <v/>
      </c>
      <c r="BF61" s="73" t="str">
        <f t="shared" si="61"/>
        <v/>
      </c>
      <c r="BG61" s="73" t="str">
        <f t="shared" si="61"/>
        <v/>
      </c>
      <c r="BH61" s="73" t="str">
        <f t="shared" si="61"/>
        <v/>
      </c>
      <c r="BI61" s="73" t="str">
        <f t="shared" si="61"/>
        <v/>
      </c>
      <c r="BJ61" s="73" t="str">
        <f t="shared" si="61"/>
        <v/>
      </c>
      <c r="BK61" s="73" t="str">
        <f t="shared" si="61"/>
        <v/>
      </c>
      <c r="BL61" s="73" t="str">
        <f t="shared" si="61"/>
        <v/>
      </c>
      <c r="BM61" s="73" t="str">
        <f t="shared" si="61"/>
        <v/>
      </c>
      <c r="BN61" s="73" t="str">
        <f t="shared" si="61"/>
        <v/>
      </c>
      <c r="BO61" s="73" t="str">
        <f t="shared" ref="BO61:CX61" si="62">IF(ISNUMBER(BO2),-(BO41+BO59),"")</f>
        <v/>
      </c>
      <c r="BP61" s="73" t="str">
        <f t="shared" si="62"/>
        <v/>
      </c>
      <c r="BQ61" s="73" t="str">
        <f t="shared" si="62"/>
        <v/>
      </c>
      <c r="BR61" s="73" t="str">
        <f t="shared" si="62"/>
        <v/>
      </c>
      <c r="BS61" s="73" t="str">
        <f t="shared" si="62"/>
        <v/>
      </c>
      <c r="BT61" s="73" t="str">
        <f t="shared" si="62"/>
        <v/>
      </c>
      <c r="BU61" s="73" t="str">
        <f t="shared" si="62"/>
        <v/>
      </c>
      <c r="BV61" s="73" t="str">
        <f t="shared" si="62"/>
        <v/>
      </c>
      <c r="BW61" s="73" t="str">
        <f t="shared" si="62"/>
        <v/>
      </c>
      <c r="BX61" s="73" t="str">
        <f t="shared" si="62"/>
        <v/>
      </c>
      <c r="BY61" s="73" t="str">
        <f t="shared" si="62"/>
        <v/>
      </c>
      <c r="BZ61" s="73" t="str">
        <f t="shared" si="62"/>
        <v/>
      </c>
      <c r="CA61" s="73" t="str">
        <f t="shared" si="62"/>
        <v/>
      </c>
      <c r="CB61" s="73" t="str">
        <f t="shared" si="62"/>
        <v/>
      </c>
      <c r="CC61" s="73" t="str">
        <f t="shared" si="62"/>
        <v/>
      </c>
      <c r="CD61" s="73" t="str">
        <f t="shared" si="62"/>
        <v/>
      </c>
      <c r="CE61" s="73" t="str">
        <f t="shared" si="62"/>
        <v/>
      </c>
      <c r="CF61" s="73" t="str">
        <f t="shared" si="62"/>
        <v/>
      </c>
      <c r="CG61" s="73" t="str">
        <f t="shared" si="62"/>
        <v/>
      </c>
      <c r="CH61" s="73" t="str">
        <f t="shared" si="62"/>
        <v/>
      </c>
      <c r="CI61" s="73" t="str">
        <f t="shared" si="62"/>
        <v/>
      </c>
      <c r="CJ61" s="73" t="str">
        <f t="shared" si="62"/>
        <v/>
      </c>
      <c r="CK61" s="73" t="str">
        <f t="shared" si="62"/>
        <v/>
      </c>
      <c r="CL61" s="73" t="str">
        <f t="shared" si="62"/>
        <v/>
      </c>
      <c r="CM61" s="73" t="str">
        <f t="shared" si="62"/>
        <v/>
      </c>
      <c r="CN61" s="73" t="str">
        <f t="shared" si="62"/>
        <v/>
      </c>
      <c r="CO61" s="73" t="str">
        <f t="shared" si="62"/>
        <v/>
      </c>
      <c r="CP61" s="73" t="str">
        <f t="shared" si="62"/>
        <v/>
      </c>
      <c r="CQ61" s="73" t="str">
        <f t="shared" si="62"/>
        <v/>
      </c>
      <c r="CR61" s="73" t="str">
        <f t="shared" si="62"/>
        <v/>
      </c>
      <c r="CS61" s="73" t="str">
        <f t="shared" si="62"/>
        <v/>
      </c>
      <c r="CT61" s="73" t="str">
        <f t="shared" si="62"/>
        <v/>
      </c>
      <c r="CU61" s="73" t="str">
        <f t="shared" si="62"/>
        <v/>
      </c>
      <c r="CV61" s="73" t="str">
        <f t="shared" si="62"/>
        <v/>
      </c>
      <c r="CW61" s="73" t="str">
        <f t="shared" si="62"/>
        <v/>
      </c>
      <c r="CX61" s="73" t="str">
        <f t="shared" si="62"/>
        <v/>
      </c>
    </row>
    <row r="62" spans="1:102" x14ac:dyDescent="0.25">
      <c r="A62" s="10"/>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c r="CC62" s="73"/>
      <c r="CD62" s="73"/>
      <c r="CE62" s="73"/>
      <c r="CF62" s="73"/>
      <c r="CG62" s="73"/>
      <c r="CH62" s="73"/>
      <c r="CI62" s="73"/>
      <c r="CJ62" s="73"/>
      <c r="CK62" s="73"/>
      <c r="CL62" s="73"/>
      <c r="CM62" s="73"/>
      <c r="CN62" s="73"/>
      <c r="CO62" s="73"/>
      <c r="CP62" s="73"/>
      <c r="CQ62" s="73"/>
      <c r="CR62" s="73"/>
      <c r="CS62" s="73"/>
      <c r="CT62" s="73"/>
      <c r="CU62" s="73"/>
      <c r="CV62" s="73"/>
      <c r="CW62" s="73"/>
      <c r="CX62" s="73"/>
    </row>
    <row r="63" spans="1:102" x14ac:dyDescent="0.25">
      <c r="A63" s="58" t="s">
        <v>151</v>
      </c>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7"/>
    </row>
    <row r="64" spans="1:102" x14ac:dyDescent="0.25">
      <c r="A64" s="54" t="s">
        <v>71</v>
      </c>
      <c r="B64" s="5"/>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row>
    <row r="65" spans="1:102" x14ac:dyDescent="0.25">
      <c r="A65" s="61" t="s">
        <v>12</v>
      </c>
      <c r="B65" s="73">
        <f>ibi_fed_amount+MIN(ibi_fed_percent/100*total_installed_cost,ibi_fed_percent_maxvalue)</f>
        <v>0</v>
      </c>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row>
    <row r="66" spans="1:102" x14ac:dyDescent="0.25">
      <c r="A66" s="61" t="s">
        <v>13</v>
      </c>
      <c r="B66" s="73">
        <f>ibi_sta_amount+MIN(ibi_sta_percent/100*total_installed_cost,ibi_sta_percent_maxvalue)</f>
        <v>0</v>
      </c>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69"/>
      <c r="CG66" s="69"/>
      <c r="CH66" s="69"/>
      <c r="CI66" s="69"/>
      <c r="CJ66" s="69"/>
      <c r="CK66" s="69"/>
      <c r="CL66" s="69"/>
      <c r="CM66" s="69"/>
      <c r="CN66" s="69"/>
      <c r="CO66" s="69"/>
      <c r="CP66" s="69"/>
      <c r="CQ66" s="69"/>
      <c r="CR66" s="69"/>
      <c r="CS66" s="69"/>
      <c r="CT66" s="69"/>
      <c r="CU66" s="69"/>
      <c r="CV66" s="69"/>
      <c r="CW66" s="69"/>
      <c r="CX66" s="69"/>
    </row>
    <row r="67" spans="1:102" x14ac:dyDescent="0.25">
      <c r="A67" s="61" t="s">
        <v>14</v>
      </c>
      <c r="B67" s="73">
        <f>ibi_uti_amount+MIN(ibi_uti_percent/100*total_installed_cost,ibi_uti_percent_maxvalue)</f>
        <v>0</v>
      </c>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69"/>
      <c r="CG67" s="69"/>
      <c r="CH67" s="69"/>
      <c r="CI67" s="69"/>
      <c r="CJ67" s="69"/>
      <c r="CK67" s="69"/>
      <c r="CL67" s="69"/>
      <c r="CM67" s="69"/>
      <c r="CN67" s="69"/>
      <c r="CO67" s="69"/>
      <c r="CP67" s="69"/>
      <c r="CQ67" s="69"/>
      <c r="CR67" s="69"/>
      <c r="CS67" s="69"/>
      <c r="CT67" s="69"/>
      <c r="CU67" s="69"/>
      <c r="CV67" s="69"/>
      <c r="CW67" s="69"/>
      <c r="CX67" s="69"/>
    </row>
    <row r="68" spans="1:102" x14ac:dyDescent="0.25">
      <c r="A68" s="61" t="s">
        <v>15</v>
      </c>
      <c r="B68" s="75">
        <f>ibi_oth_amount+MIN(ibi_oth_percent/100*total_installed_cost,ibi_oth_percent_maxvalue)</f>
        <v>0</v>
      </c>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row>
    <row r="69" spans="1:102" x14ac:dyDescent="0.25">
      <c r="A69" s="59" t="s">
        <v>60</v>
      </c>
      <c r="B69" s="73">
        <f>SUM(B65:B68)</f>
        <v>0</v>
      </c>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69"/>
      <c r="CG69" s="69"/>
      <c r="CH69" s="69"/>
      <c r="CI69" s="69"/>
      <c r="CJ69" s="69"/>
      <c r="CK69" s="69"/>
      <c r="CL69" s="69"/>
      <c r="CM69" s="69"/>
      <c r="CN69" s="69"/>
      <c r="CO69" s="69"/>
      <c r="CP69" s="69"/>
      <c r="CQ69" s="69"/>
      <c r="CR69" s="69"/>
      <c r="CS69" s="69"/>
      <c r="CT69" s="69"/>
      <c r="CU69" s="69"/>
      <c r="CV69" s="69"/>
      <c r="CW69" s="69"/>
      <c r="CX69" s="69"/>
    </row>
    <row r="70" spans="1:102" x14ac:dyDescent="0.25">
      <c r="A70" s="54" t="s">
        <v>72</v>
      </c>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row>
    <row r="71" spans="1:102" x14ac:dyDescent="0.25">
      <c r="A71" s="61" t="s">
        <v>5</v>
      </c>
      <c r="B71" s="73">
        <f>MIN(cbi_fed_amount*system_capacity*1000,cbi_fed_maxvalue)</f>
        <v>0</v>
      </c>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c r="CC71" s="69"/>
      <c r="CD71" s="69"/>
      <c r="CE71" s="69"/>
      <c r="CF71" s="69"/>
      <c r="CG71" s="69"/>
      <c r="CH71" s="69"/>
      <c r="CI71" s="69"/>
      <c r="CJ71" s="69"/>
      <c r="CK71" s="69"/>
      <c r="CL71" s="69"/>
      <c r="CM71" s="69"/>
      <c r="CN71" s="69"/>
      <c r="CO71" s="69"/>
      <c r="CP71" s="69"/>
      <c r="CQ71" s="69"/>
      <c r="CR71" s="69"/>
      <c r="CS71" s="69"/>
      <c r="CT71" s="69"/>
      <c r="CU71" s="69"/>
      <c r="CV71" s="69"/>
      <c r="CW71" s="69"/>
      <c r="CX71" s="69"/>
    </row>
    <row r="72" spans="1:102" x14ac:dyDescent="0.25">
      <c r="A72" s="61" t="s">
        <v>6</v>
      </c>
      <c r="B72" s="73">
        <f>MIN(cbi_sta_amount*system_capacity*1000,cbi_sta_maxvalue)</f>
        <v>0</v>
      </c>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c r="CC72" s="69"/>
      <c r="CD72" s="69"/>
      <c r="CE72" s="69"/>
      <c r="CF72" s="69"/>
      <c r="CG72" s="69"/>
      <c r="CH72" s="69"/>
      <c r="CI72" s="69"/>
      <c r="CJ72" s="69"/>
      <c r="CK72" s="69"/>
      <c r="CL72" s="69"/>
      <c r="CM72" s="69"/>
      <c r="CN72" s="69"/>
      <c r="CO72" s="69"/>
      <c r="CP72" s="69"/>
      <c r="CQ72" s="69"/>
      <c r="CR72" s="69"/>
      <c r="CS72" s="69"/>
      <c r="CT72" s="69"/>
      <c r="CU72" s="69"/>
      <c r="CV72" s="69"/>
      <c r="CW72" s="69"/>
      <c r="CX72" s="69"/>
    </row>
    <row r="73" spans="1:102" x14ac:dyDescent="0.25">
      <c r="A73" s="61" t="s">
        <v>7</v>
      </c>
      <c r="B73" s="73">
        <f>MIN(cbi_uti_amount*system_capacity*1000,cbi_uti_maxvalue)</f>
        <v>0</v>
      </c>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69"/>
      <c r="CG73" s="69"/>
      <c r="CH73" s="69"/>
      <c r="CI73" s="69"/>
      <c r="CJ73" s="69"/>
      <c r="CK73" s="69"/>
      <c r="CL73" s="69"/>
      <c r="CM73" s="69"/>
      <c r="CN73" s="69"/>
      <c r="CO73" s="69"/>
      <c r="CP73" s="69"/>
      <c r="CQ73" s="69"/>
      <c r="CR73" s="69"/>
      <c r="CS73" s="69"/>
      <c r="CT73" s="69"/>
      <c r="CU73" s="69"/>
      <c r="CV73" s="69"/>
      <c r="CW73" s="69"/>
      <c r="CX73" s="69"/>
    </row>
    <row r="74" spans="1:102" x14ac:dyDescent="0.25">
      <c r="A74" s="61" t="s">
        <v>8</v>
      </c>
      <c r="B74" s="75">
        <f>MIN(cbi_oth_amount*system_capacity*1000,cbi_oth_maxvalue)</f>
        <v>0</v>
      </c>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c r="CC74" s="69"/>
      <c r="CD74" s="69"/>
      <c r="CE74" s="69"/>
      <c r="CF74" s="69"/>
      <c r="CG74" s="69"/>
      <c r="CH74" s="69"/>
      <c r="CI74" s="69"/>
      <c r="CJ74" s="69"/>
      <c r="CK74" s="69"/>
      <c r="CL74" s="69"/>
      <c r="CM74" s="69"/>
      <c r="CN74" s="69"/>
      <c r="CO74" s="69"/>
      <c r="CP74" s="69"/>
      <c r="CQ74" s="69"/>
      <c r="CR74" s="69"/>
      <c r="CS74" s="69"/>
      <c r="CT74" s="69"/>
      <c r="CU74" s="69"/>
      <c r="CV74" s="69"/>
      <c r="CW74" s="69"/>
      <c r="CX74" s="69"/>
    </row>
    <row r="75" spans="1:102" x14ac:dyDescent="0.25">
      <c r="A75" s="59" t="s">
        <v>60</v>
      </c>
      <c r="B75" s="73">
        <f>SUM(B71:B74)</f>
        <v>0</v>
      </c>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c r="CC75" s="69"/>
      <c r="CD75" s="69"/>
      <c r="CE75" s="69"/>
      <c r="CF75" s="69"/>
      <c r="CG75" s="69"/>
      <c r="CH75" s="69"/>
      <c r="CI75" s="69"/>
      <c r="CJ75" s="69"/>
      <c r="CK75" s="69"/>
      <c r="CL75" s="69"/>
      <c r="CM75" s="69"/>
      <c r="CN75" s="69"/>
      <c r="CO75" s="69"/>
      <c r="CP75" s="69"/>
      <c r="CQ75" s="69"/>
      <c r="CR75" s="69"/>
      <c r="CS75" s="69"/>
      <c r="CT75" s="69"/>
      <c r="CU75" s="69"/>
      <c r="CV75" s="69"/>
      <c r="CW75" s="69"/>
      <c r="CX75" s="69"/>
    </row>
    <row r="76" spans="1:102" x14ac:dyDescent="0.25">
      <c r="A76" s="54" t="s">
        <v>73</v>
      </c>
      <c r="B76" s="5"/>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row>
    <row r="77" spans="1:102" x14ac:dyDescent="0.25">
      <c r="A77" s="61" t="s">
        <v>16</v>
      </c>
      <c r="B77" s="5"/>
      <c r="C77" s="73" t="str">
        <f>IF(pbi_fed_amount="n/a",'Inputs and Outputs'!C146*C5,IF(ISNUMBER(outYear),IF(outYear&lt;=pbi_fed_term,+pbi_fed_amount*(1+pbi_fed_escal/100)^(outYear-1)*C5,0),""))</f>
        <v/>
      </c>
      <c r="D77" s="73" t="str">
        <f>IF(pbi_fed_amount="n/a",'Inputs and Outputs'!D146*D5,IF(ISNUMBER(outYear),IF(outYear&lt;=pbi_fed_term,+pbi_fed_amount*(1+pbi_fed_escal/100)^(outYear-1)*D5,0),""))</f>
        <v/>
      </c>
      <c r="E77" s="73" t="str">
        <f>IF(pbi_fed_amount="n/a",'Inputs and Outputs'!E146*E5,IF(ISNUMBER(outYear),IF(outYear&lt;=pbi_fed_term,+pbi_fed_amount*(1+pbi_fed_escal/100)^(outYear-1)*E5,0),""))</f>
        <v/>
      </c>
      <c r="F77" s="73" t="str">
        <f>IF(pbi_fed_amount="n/a",'Inputs and Outputs'!F146*F5,IF(ISNUMBER(outYear),IF(outYear&lt;=pbi_fed_term,+pbi_fed_amount*(1+pbi_fed_escal/100)^(outYear-1)*F5,0),""))</f>
        <v/>
      </c>
      <c r="G77" s="73" t="str">
        <f>IF(pbi_fed_amount="n/a",'Inputs and Outputs'!G146*G5,IF(ISNUMBER(outYear),IF(outYear&lt;=pbi_fed_term,+pbi_fed_amount*(1+pbi_fed_escal/100)^(outYear-1)*G5,0),""))</f>
        <v/>
      </c>
      <c r="H77" s="73" t="str">
        <f>IF(pbi_fed_amount="n/a",'Inputs and Outputs'!H146*H5,IF(ISNUMBER(outYear),IF(outYear&lt;=pbi_fed_term,+pbi_fed_amount*(1+pbi_fed_escal/100)^(outYear-1)*H5,0),""))</f>
        <v/>
      </c>
      <c r="I77" s="73" t="str">
        <f>IF(pbi_fed_amount="n/a",'Inputs and Outputs'!I146*I5,IF(ISNUMBER(outYear),IF(outYear&lt;=pbi_fed_term,+pbi_fed_amount*(1+pbi_fed_escal/100)^(outYear-1)*I5,0),""))</f>
        <v/>
      </c>
      <c r="J77" s="73" t="str">
        <f>IF(pbi_fed_amount="n/a",'Inputs and Outputs'!J146*J5,IF(ISNUMBER(outYear),IF(outYear&lt;=pbi_fed_term,+pbi_fed_amount*(1+pbi_fed_escal/100)^(outYear-1)*J5,0),""))</f>
        <v/>
      </c>
      <c r="K77" s="73" t="str">
        <f>IF(pbi_fed_amount="n/a",'Inputs and Outputs'!K146*K5,IF(ISNUMBER(outYear),IF(outYear&lt;=pbi_fed_term,+pbi_fed_amount*(1+pbi_fed_escal/100)^(outYear-1)*K5,0),""))</f>
        <v/>
      </c>
      <c r="L77" s="73" t="str">
        <f>IF(pbi_fed_amount="n/a",'Inputs and Outputs'!L146*L5,IF(ISNUMBER(outYear),IF(outYear&lt;=pbi_fed_term,+pbi_fed_amount*(1+pbi_fed_escal/100)^(outYear-1)*L5,0),""))</f>
        <v/>
      </c>
      <c r="M77" s="73" t="str">
        <f>IF(pbi_fed_amount="n/a",'Inputs and Outputs'!M146*M5,IF(ISNUMBER(outYear),IF(outYear&lt;=pbi_fed_term,+pbi_fed_amount*(1+pbi_fed_escal/100)^(outYear-1)*M5,0),""))</f>
        <v/>
      </c>
      <c r="N77" s="73" t="str">
        <f>IF(pbi_fed_amount="n/a",'Inputs and Outputs'!N146*N5,IF(ISNUMBER(outYear),IF(outYear&lt;=pbi_fed_term,+pbi_fed_amount*(1+pbi_fed_escal/100)^(outYear-1)*N5,0),""))</f>
        <v/>
      </c>
      <c r="O77" s="73" t="str">
        <f>IF(pbi_fed_amount="n/a",'Inputs and Outputs'!O146*O5,IF(ISNUMBER(outYear),IF(outYear&lt;=pbi_fed_term,+pbi_fed_amount*(1+pbi_fed_escal/100)^(outYear-1)*O5,0),""))</f>
        <v/>
      </c>
      <c r="P77" s="73" t="str">
        <f>IF(pbi_fed_amount="n/a",'Inputs and Outputs'!P146*P5,IF(ISNUMBER(outYear),IF(outYear&lt;=pbi_fed_term,+pbi_fed_amount*(1+pbi_fed_escal/100)^(outYear-1)*P5,0),""))</f>
        <v/>
      </c>
      <c r="Q77" s="73" t="str">
        <f>IF(pbi_fed_amount="n/a",'Inputs and Outputs'!Q146*Q5,IF(ISNUMBER(outYear),IF(outYear&lt;=pbi_fed_term,+pbi_fed_amount*(1+pbi_fed_escal/100)^(outYear-1)*Q5,0),""))</f>
        <v/>
      </c>
      <c r="R77" s="73" t="str">
        <f>IF(pbi_fed_amount="n/a",'Inputs and Outputs'!R146*R5,IF(ISNUMBER(outYear),IF(outYear&lt;=pbi_fed_term,+pbi_fed_amount*(1+pbi_fed_escal/100)^(outYear-1)*R5,0),""))</f>
        <v/>
      </c>
      <c r="S77" s="73" t="str">
        <f>IF(pbi_fed_amount="n/a",'Inputs and Outputs'!S146*S5,IF(ISNUMBER(outYear),IF(outYear&lt;=pbi_fed_term,+pbi_fed_amount*(1+pbi_fed_escal/100)^(outYear-1)*S5,0),""))</f>
        <v/>
      </c>
      <c r="T77" s="73" t="str">
        <f>IF(pbi_fed_amount="n/a",'Inputs and Outputs'!T146*T5,IF(ISNUMBER(outYear),IF(outYear&lt;=pbi_fed_term,+pbi_fed_amount*(1+pbi_fed_escal/100)^(outYear-1)*T5,0),""))</f>
        <v/>
      </c>
      <c r="U77" s="73" t="str">
        <f>IF(pbi_fed_amount="n/a",'Inputs and Outputs'!U146*U5,IF(ISNUMBER(outYear),IF(outYear&lt;=pbi_fed_term,+pbi_fed_amount*(1+pbi_fed_escal/100)^(outYear-1)*U5,0),""))</f>
        <v/>
      </c>
      <c r="V77" s="73" t="str">
        <f>IF(pbi_fed_amount="n/a",'Inputs and Outputs'!V146*V5,IF(ISNUMBER(outYear),IF(outYear&lt;=pbi_fed_term,+pbi_fed_amount*(1+pbi_fed_escal/100)^(outYear-1)*V5,0),""))</f>
        <v/>
      </c>
      <c r="W77" s="73" t="str">
        <f>IF(pbi_fed_amount="n/a",'Inputs and Outputs'!W146*W5,IF(ISNUMBER(outYear),IF(outYear&lt;=pbi_fed_term,+pbi_fed_amount*(1+pbi_fed_escal/100)^(outYear-1)*W5,0),""))</f>
        <v/>
      </c>
      <c r="X77" s="73" t="str">
        <f>IF(pbi_fed_amount="n/a",'Inputs and Outputs'!X146*X5,IF(ISNUMBER(outYear),IF(outYear&lt;=pbi_fed_term,+pbi_fed_amount*(1+pbi_fed_escal/100)^(outYear-1)*X5,0),""))</f>
        <v/>
      </c>
      <c r="Y77" s="73" t="str">
        <f>IF(pbi_fed_amount="n/a",'Inputs and Outputs'!Y146*Y5,IF(ISNUMBER(outYear),IF(outYear&lt;=pbi_fed_term,+pbi_fed_amount*(1+pbi_fed_escal/100)^(outYear-1)*Y5,0),""))</f>
        <v/>
      </c>
      <c r="Z77" s="73" t="str">
        <f>IF(pbi_fed_amount="n/a",'Inputs and Outputs'!Z146*Z5,IF(ISNUMBER(outYear),IF(outYear&lt;=pbi_fed_term,+pbi_fed_amount*(1+pbi_fed_escal/100)^(outYear-1)*Z5,0),""))</f>
        <v/>
      </c>
      <c r="AA77" s="73" t="str">
        <f>IF(pbi_fed_amount="n/a",'Inputs and Outputs'!AA146*AA5,IF(ISNUMBER(outYear),IF(outYear&lt;=pbi_fed_term,+pbi_fed_amount*(1+pbi_fed_escal/100)^(outYear-1)*AA5,0),""))</f>
        <v/>
      </c>
      <c r="AB77" s="73" t="str">
        <f>IF(pbi_fed_amount="n/a",'Inputs and Outputs'!AB146*AB5,IF(ISNUMBER(outYear),IF(outYear&lt;=pbi_fed_term,+pbi_fed_amount*(1+pbi_fed_escal/100)^(outYear-1)*AB5,0),""))</f>
        <v/>
      </c>
      <c r="AC77" s="73" t="str">
        <f>IF(pbi_fed_amount="n/a",'Inputs and Outputs'!AC146*AC5,IF(ISNUMBER(outYear),IF(outYear&lt;=pbi_fed_term,+pbi_fed_amount*(1+pbi_fed_escal/100)^(outYear-1)*AC5,0),""))</f>
        <v/>
      </c>
      <c r="AD77" s="73" t="str">
        <f>IF(pbi_fed_amount="n/a",'Inputs and Outputs'!AD146*AD5,IF(ISNUMBER(outYear),IF(outYear&lt;=pbi_fed_term,+pbi_fed_amount*(1+pbi_fed_escal/100)^(outYear-1)*AD5,0),""))</f>
        <v/>
      </c>
      <c r="AE77" s="73" t="str">
        <f>IF(pbi_fed_amount="n/a",'Inputs and Outputs'!AE146*AE5,IF(ISNUMBER(outYear),IF(outYear&lt;=pbi_fed_term,+pbi_fed_amount*(1+pbi_fed_escal/100)^(outYear-1)*AE5,0),""))</f>
        <v/>
      </c>
      <c r="AF77" s="73" t="str">
        <f>IF(pbi_fed_amount="n/a",'Inputs and Outputs'!AF146*AF5,IF(ISNUMBER(outYear),IF(outYear&lt;=pbi_fed_term,+pbi_fed_amount*(1+pbi_fed_escal/100)^(outYear-1)*AF5,0),""))</f>
        <v/>
      </c>
      <c r="AG77" s="73" t="str">
        <f>IF(pbi_fed_amount="n/a",'Inputs and Outputs'!AG146*AG5,IF(ISNUMBER(outYear),IF(outYear&lt;=pbi_fed_term,+pbi_fed_amount*(1+pbi_fed_escal/100)^(outYear-1)*AG5,0),""))</f>
        <v/>
      </c>
      <c r="AH77" s="73" t="str">
        <f>IF(pbi_fed_amount="n/a",'Inputs and Outputs'!AH146*AH5,IF(ISNUMBER(outYear),IF(outYear&lt;=pbi_fed_term,+pbi_fed_amount*(1+pbi_fed_escal/100)^(outYear-1)*AH5,0),""))</f>
        <v/>
      </c>
      <c r="AI77" s="73" t="str">
        <f>IF(pbi_fed_amount="n/a",'Inputs and Outputs'!AI146*AI5,IF(ISNUMBER(outYear),IF(outYear&lt;=pbi_fed_term,+pbi_fed_amount*(1+pbi_fed_escal/100)^(outYear-1)*AI5,0),""))</f>
        <v/>
      </c>
      <c r="AJ77" s="73" t="str">
        <f>IF(pbi_fed_amount="n/a",'Inputs and Outputs'!AJ146*AJ5,IF(ISNUMBER(outYear),IF(outYear&lt;=pbi_fed_term,+pbi_fed_amount*(1+pbi_fed_escal/100)^(outYear-1)*AJ5,0),""))</f>
        <v/>
      </c>
      <c r="AK77" s="73" t="str">
        <f>IF(pbi_fed_amount="n/a",'Inputs and Outputs'!AK146*AK5,IF(ISNUMBER(outYear),IF(outYear&lt;=pbi_fed_term,+pbi_fed_amount*(1+pbi_fed_escal/100)^(outYear-1)*AK5,0),""))</f>
        <v/>
      </c>
      <c r="AL77" s="73" t="str">
        <f>IF(pbi_fed_amount="n/a",'Inputs and Outputs'!AL146*AL5,IF(ISNUMBER(outYear),IF(outYear&lt;=pbi_fed_term,+pbi_fed_amount*(1+pbi_fed_escal/100)^(outYear-1)*AL5,0),""))</f>
        <v/>
      </c>
      <c r="AM77" s="73" t="str">
        <f>IF(pbi_fed_amount="n/a",'Inputs and Outputs'!AM146*AM5,IF(ISNUMBER(outYear),IF(outYear&lt;=pbi_fed_term,+pbi_fed_amount*(1+pbi_fed_escal/100)^(outYear-1)*AM5,0),""))</f>
        <v/>
      </c>
      <c r="AN77" s="73" t="str">
        <f>IF(pbi_fed_amount="n/a",'Inputs and Outputs'!AN146*AN5,IF(ISNUMBER(outYear),IF(outYear&lt;=pbi_fed_term,+pbi_fed_amount*(1+pbi_fed_escal/100)^(outYear-1)*AN5,0),""))</f>
        <v/>
      </c>
      <c r="AO77" s="73" t="str">
        <f>IF(pbi_fed_amount="n/a",'Inputs and Outputs'!AO146*AO5,IF(ISNUMBER(outYear),IF(outYear&lt;=pbi_fed_term,+pbi_fed_amount*(1+pbi_fed_escal/100)^(outYear-1)*AO5,0),""))</f>
        <v/>
      </c>
      <c r="AP77" s="73" t="str">
        <f>IF(pbi_fed_amount="n/a",'Inputs and Outputs'!AP146*AP5,IF(ISNUMBER(outYear),IF(outYear&lt;=pbi_fed_term,+pbi_fed_amount*(1+pbi_fed_escal/100)^(outYear-1)*AP5,0),""))</f>
        <v/>
      </c>
      <c r="AQ77" s="73" t="str">
        <f>IF(pbi_fed_amount="n/a",'Inputs and Outputs'!AQ146*AQ5,IF(ISNUMBER(outYear),IF(outYear&lt;=pbi_fed_term,+pbi_fed_amount*(1+pbi_fed_escal/100)^(outYear-1)*AQ5,0),""))</f>
        <v/>
      </c>
      <c r="AR77" s="73" t="str">
        <f>IF(pbi_fed_amount="n/a",'Inputs and Outputs'!AR146*AR5,IF(ISNUMBER(outYear),IF(outYear&lt;=pbi_fed_term,+pbi_fed_amount*(1+pbi_fed_escal/100)^(outYear-1)*AR5,0),""))</f>
        <v/>
      </c>
      <c r="AS77" s="73" t="str">
        <f>IF(pbi_fed_amount="n/a",'Inputs and Outputs'!AS146*AS5,IF(ISNUMBER(outYear),IF(outYear&lt;=pbi_fed_term,+pbi_fed_amount*(1+pbi_fed_escal/100)^(outYear-1)*AS5,0),""))</f>
        <v/>
      </c>
      <c r="AT77" s="73" t="str">
        <f>IF(pbi_fed_amount="n/a",'Inputs and Outputs'!AT146*AT5,IF(ISNUMBER(outYear),IF(outYear&lt;=pbi_fed_term,+pbi_fed_amount*(1+pbi_fed_escal/100)^(outYear-1)*AT5,0),""))</f>
        <v/>
      </c>
      <c r="AU77" s="73" t="str">
        <f>IF(pbi_fed_amount="n/a",'Inputs and Outputs'!AU146*AU5,IF(ISNUMBER(outYear),IF(outYear&lt;=pbi_fed_term,+pbi_fed_amount*(1+pbi_fed_escal/100)^(outYear-1)*AU5,0),""))</f>
        <v/>
      </c>
      <c r="AV77" s="73" t="str">
        <f>IF(pbi_fed_amount="n/a",'Inputs and Outputs'!AV146*AV5,IF(ISNUMBER(outYear),IF(outYear&lt;=pbi_fed_term,+pbi_fed_amount*(1+pbi_fed_escal/100)^(outYear-1)*AV5,0),""))</f>
        <v/>
      </c>
      <c r="AW77" s="73" t="str">
        <f>IF(pbi_fed_amount="n/a",'Inputs and Outputs'!AW146*AW5,IF(ISNUMBER(outYear),IF(outYear&lt;=pbi_fed_term,+pbi_fed_amount*(1+pbi_fed_escal/100)^(outYear-1)*AW5,0),""))</f>
        <v/>
      </c>
      <c r="AX77" s="73" t="str">
        <f>IF(pbi_fed_amount="n/a",'Inputs and Outputs'!AX146*AX5,IF(ISNUMBER(outYear),IF(outYear&lt;=pbi_fed_term,+pbi_fed_amount*(1+pbi_fed_escal/100)^(outYear-1)*AX5,0),""))</f>
        <v/>
      </c>
      <c r="AY77" s="73" t="str">
        <f>IF(pbi_fed_amount="n/a",'Inputs and Outputs'!AY146*AY5,IF(ISNUMBER(outYear),IF(outYear&lt;=pbi_fed_term,+pbi_fed_amount*(1+pbi_fed_escal/100)^(outYear-1)*AY5,0),""))</f>
        <v/>
      </c>
      <c r="AZ77" s="73" t="str">
        <f>IF(pbi_fed_amount="n/a",'Inputs and Outputs'!AZ146*AZ5,IF(ISNUMBER(outYear),IF(outYear&lt;=pbi_fed_term,+pbi_fed_amount*(1+pbi_fed_escal/100)^(outYear-1)*AZ5,0),""))</f>
        <v/>
      </c>
      <c r="BA77" s="73" t="str">
        <f>IF(pbi_fed_amount="n/a",'Inputs and Outputs'!BA146*BA5,IF(ISNUMBER(outYear),IF(outYear&lt;=pbi_fed_term,+pbi_fed_amount*(1+pbi_fed_escal/100)^(outYear-1)*BA5,0),""))</f>
        <v/>
      </c>
      <c r="BB77" s="73" t="str">
        <f>IF(pbi_fed_amount="n/a",'Inputs and Outputs'!BB146*BB5,IF(ISNUMBER(outYear),IF(outYear&lt;=pbi_fed_term,+pbi_fed_amount*(1+pbi_fed_escal/100)^(outYear-1)*BB5,0),""))</f>
        <v/>
      </c>
      <c r="BC77" s="73" t="str">
        <f>IF(pbi_fed_amount="n/a",'Inputs and Outputs'!BC146*BC5,IF(ISNUMBER(outYear),IF(outYear&lt;=pbi_fed_term,+pbi_fed_amount*(1+pbi_fed_escal/100)^(outYear-1)*BC5,0),""))</f>
        <v/>
      </c>
      <c r="BD77" s="73" t="str">
        <f>IF(pbi_fed_amount="n/a",'Inputs and Outputs'!BD146*BD5,IF(ISNUMBER(outYear),IF(outYear&lt;=pbi_fed_term,+pbi_fed_amount*(1+pbi_fed_escal/100)^(outYear-1)*BD5,0),""))</f>
        <v/>
      </c>
      <c r="BE77" s="73" t="str">
        <f>IF(pbi_fed_amount="n/a",'Inputs and Outputs'!BE146*BE5,IF(ISNUMBER(outYear),IF(outYear&lt;=pbi_fed_term,+pbi_fed_amount*(1+pbi_fed_escal/100)^(outYear-1)*BE5,0),""))</f>
        <v/>
      </c>
      <c r="BF77" s="73" t="str">
        <f>IF(pbi_fed_amount="n/a",'Inputs and Outputs'!BF146*BF5,IF(ISNUMBER(outYear),IF(outYear&lt;=pbi_fed_term,+pbi_fed_amount*(1+pbi_fed_escal/100)^(outYear-1)*BF5,0),""))</f>
        <v/>
      </c>
      <c r="BG77" s="73" t="str">
        <f>IF(pbi_fed_amount="n/a",'Inputs and Outputs'!BG146*BG5,IF(ISNUMBER(outYear),IF(outYear&lt;=pbi_fed_term,+pbi_fed_amount*(1+pbi_fed_escal/100)^(outYear-1)*BG5,0),""))</f>
        <v/>
      </c>
      <c r="BH77" s="73" t="str">
        <f>IF(pbi_fed_amount="n/a",'Inputs and Outputs'!BH146*BH5,IF(ISNUMBER(outYear),IF(outYear&lt;=pbi_fed_term,+pbi_fed_amount*(1+pbi_fed_escal/100)^(outYear-1)*BH5,0),""))</f>
        <v/>
      </c>
      <c r="BI77" s="73" t="str">
        <f>IF(pbi_fed_amount="n/a",'Inputs and Outputs'!BI146*BI5,IF(ISNUMBER(outYear),IF(outYear&lt;=pbi_fed_term,+pbi_fed_amount*(1+pbi_fed_escal/100)^(outYear-1)*BI5,0),""))</f>
        <v/>
      </c>
      <c r="BJ77" s="73" t="str">
        <f>IF(pbi_fed_amount="n/a",'Inputs and Outputs'!BJ146*BJ5,IF(ISNUMBER(outYear),IF(outYear&lt;=pbi_fed_term,+pbi_fed_amount*(1+pbi_fed_escal/100)^(outYear-1)*BJ5,0),""))</f>
        <v/>
      </c>
      <c r="BK77" s="73" t="str">
        <f>IF(pbi_fed_amount="n/a",'Inputs and Outputs'!BK146*BK5,IF(ISNUMBER(outYear),IF(outYear&lt;=pbi_fed_term,+pbi_fed_amount*(1+pbi_fed_escal/100)^(outYear-1)*BK5,0),""))</f>
        <v/>
      </c>
      <c r="BL77" s="73" t="str">
        <f>IF(pbi_fed_amount="n/a",'Inputs and Outputs'!BL146*BL5,IF(ISNUMBER(outYear),IF(outYear&lt;=pbi_fed_term,+pbi_fed_amount*(1+pbi_fed_escal/100)^(outYear-1)*BL5,0),""))</f>
        <v/>
      </c>
      <c r="BM77" s="73" t="str">
        <f>IF(pbi_fed_amount="n/a",'Inputs and Outputs'!BM146*BM5,IF(ISNUMBER(outYear),IF(outYear&lt;=pbi_fed_term,+pbi_fed_amount*(1+pbi_fed_escal/100)^(outYear-1)*BM5,0),""))</f>
        <v/>
      </c>
      <c r="BN77" s="73" t="str">
        <f>IF(pbi_fed_amount="n/a",'Inputs and Outputs'!BN146*BN5,IF(ISNUMBER(outYear),IF(outYear&lt;=pbi_fed_term,+pbi_fed_amount*(1+pbi_fed_escal/100)^(outYear-1)*BN5,0),""))</f>
        <v/>
      </c>
      <c r="BO77" s="73" t="str">
        <f>IF(pbi_fed_amount="n/a",'Inputs and Outputs'!BO146*BO5,IF(ISNUMBER(outYear),IF(outYear&lt;=pbi_fed_term,+pbi_fed_amount*(1+pbi_fed_escal/100)^(outYear-1)*BO5,0),""))</f>
        <v/>
      </c>
      <c r="BP77" s="73" t="str">
        <f>IF(pbi_fed_amount="n/a",'Inputs and Outputs'!BP146*BP5,IF(ISNUMBER(outYear),IF(outYear&lt;=pbi_fed_term,+pbi_fed_amount*(1+pbi_fed_escal/100)^(outYear-1)*BP5,0),""))</f>
        <v/>
      </c>
      <c r="BQ77" s="73" t="str">
        <f>IF(pbi_fed_amount="n/a",'Inputs and Outputs'!BQ146*BQ5,IF(ISNUMBER(outYear),IF(outYear&lt;=pbi_fed_term,+pbi_fed_amount*(1+pbi_fed_escal/100)^(outYear-1)*BQ5,0),""))</f>
        <v/>
      </c>
      <c r="BR77" s="73" t="str">
        <f>IF(pbi_fed_amount="n/a",'Inputs and Outputs'!BR146*BR5,IF(ISNUMBER(outYear),IF(outYear&lt;=pbi_fed_term,+pbi_fed_amount*(1+pbi_fed_escal/100)^(outYear-1)*BR5,0),""))</f>
        <v/>
      </c>
      <c r="BS77" s="73" t="str">
        <f>IF(pbi_fed_amount="n/a",'Inputs and Outputs'!BS146*BS5,IF(ISNUMBER(outYear),IF(outYear&lt;=pbi_fed_term,+pbi_fed_amount*(1+pbi_fed_escal/100)^(outYear-1)*BS5,0),""))</f>
        <v/>
      </c>
      <c r="BT77" s="73" t="str">
        <f>IF(pbi_fed_amount="n/a",'Inputs and Outputs'!BT146*BT5,IF(ISNUMBER(outYear),IF(outYear&lt;=pbi_fed_term,+pbi_fed_amount*(1+pbi_fed_escal/100)^(outYear-1)*BT5,0),""))</f>
        <v/>
      </c>
      <c r="BU77" s="73" t="str">
        <f>IF(pbi_fed_amount="n/a",'Inputs and Outputs'!BU146*BU5,IF(ISNUMBER(outYear),IF(outYear&lt;=pbi_fed_term,+pbi_fed_amount*(1+pbi_fed_escal/100)^(outYear-1)*BU5,0),""))</f>
        <v/>
      </c>
      <c r="BV77" s="73" t="str">
        <f>IF(pbi_fed_amount="n/a",'Inputs and Outputs'!BV146*BV5,IF(ISNUMBER(outYear),IF(outYear&lt;=pbi_fed_term,+pbi_fed_amount*(1+pbi_fed_escal/100)^(outYear-1)*BV5,0),""))</f>
        <v/>
      </c>
      <c r="BW77" s="73" t="str">
        <f>IF(pbi_fed_amount="n/a",'Inputs and Outputs'!BW146*BW5,IF(ISNUMBER(outYear),IF(outYear&lt;=pbi_fed_term,+pbi_fed_amount*(1+pbi_fed_escal/100)^(outYear-1)*BW5,0),""))</f>
        <v/>
      </c>
      <c r="BX77" s="73" t="str">
        <f>IF(pbi_fed_amount="n/a",'Inputs and Outputs'!BX146*BX5,IF(ISNUMBER(outYear),IF(outYear&lt;=pbi_fed_term,+pbi_fed_amount*(1+pbi_fed_escal/100)^(outYear-1)*BX5,0),""))</f>
        <v/>
      </c>
      <c r="BY77" s="73" t="str">
        <f>IF(pbi_fed_amount="n/a",'Inputs and Outputs'!BY146*BY5,IF(ISNUMBER(outYear),IF(outYear&lt;=pbi_fed_term,+pbi_fed_amount*(1+pbi_fed_escal/100)^(outYear-1)*BY5,0),""))</f>
        <v/>
      </c>
      <c r="BZ77" s="73" t="str">
        <f>IF(pbi_fed_amount="n/a",'Inputs and Outputs'!BZ146*BZ5,IF(ISNUMBER(outYear),IF(outYear&lt;=pbi_fed_term,+pbi_fed_amount*(1+pbi_fed_escal/100)^(outYear-1)*BZ5,0),""))</f>
        <v/>
      </c>
      <c r="CA77" s="73" t="str">
        <f>IF(pbi_fed_amount="n/a",'Inputs and Outputs'!CA146*CA5,IF(ISNUMBER(outYear),IF(outYear&lt;=pbi_fed_term,+pbi_fed_amount*(1+pbi_fed_escal/100)^(outYear-1)*CA5,0),""))</f>
        <v/>
      </c>
      <c r="CB77" s="73" t="str">
        <f>IF(pbi_fed_amount="n/a",'Inputs and Outputs'!CB146*CB5,IF(ISNUMBER(outYear),IF(outYear&lt;=pbi_fed_term,+pbi_fed_amount*(1+pbi_fed_escal/100)^(outYear-1)*CB5,0),""))</f>
        <v/>
      </c>
      <c r="CC77" s="73" t="str">
        <f>IF(pbi_fed_amount="n/a",'Inputs and Outputs'!CC146*CC5,IF(ISNUMBER(outYear),IF(outYear&lt;=pbi_fed_term,+pbi_fed_amount*(1+pbi_fed_escal/100)^(outYear-1)*CC5,0),""))</f>
        <v/>
      </c>
      <c r="CD77" s="73" t="str">
        <f>IF(pbi_fed_amount="n/a",'Inputs and Outputs'!CD146*CD5,IF(ISNUMBER(outYear),IF(outYear&lt;=pbi_fed_term,+pbi_fed_amount*(1+pbi_fed_escal/100)^(outYear-1)*CD5,0),""))</f>
        <v/>
      </c>
      <c r="CE77" s="73" t="str">
        <f>IF(pbi_fed_amount="n/a",'Inputs and Outputs'!CE146*CE5,IF(ISNUMBER(outYear),IF(outYear&lt;=pbi_fed_term,+pbi_fed_amount*(1+pbi_fed_escal/100)^(outYear-1)*CE5,0),""))</f>
        <v/>
      </c>
      <c r="CF77" s="73" t="str">
        <f>IF(pbi_fed_amount="n/a",'Inputs and Outputs'!CF146*CF5,IF(ISNUMBER(outYear),IF(outYear&lt;=pbi_fed_term,+pbi_fed_amount*(1+pbi_fed_escal/100)^(outYear-1)*CF5,0),""))</f>
        <v/>
      </c>
      <c r="CG77" s="73" t="str">
        <f>IF(pbi_fed_amount="n/a",'Inputs and Outputs'!CG146*CG5,IF(ISNUMBER(outYear),IF(outYear&lt;=pbi_fed_term,+pbi_fed_amount*(1+pbi_fed_escal/100)^(outYear-1)*CG5,0),""))</f>
        <v/>
      </c>
      <c r="CH77" s="73" t="str">
        <f>IF(pbi_fed_amount="n/a",'Inputs and Outputs'!CH146*CH5,IF(ISNUMBER(outYear),IF(outYear&lt;=pbi_fed_term,+pbi_fed_amount*(1+pbi_fed_escal/100)^(outYear-1)*CH5,0),""))</f>
        <v/>
      </c>
      <c r="CI77" s="73" t="str">
        <f>IF(pbi_fed_amount="n/a",'Inputs and Outputs'!CI146*CI5,IF(ISNUMBER(outYear),IF(outYear&lt;=pbi_fed_term,+pbi_fed_amount*(1+pbi_fed_escal/100)^(outYear-1)*CI5,0),""))</f>
        <v/>
      </c>
      <c r="CJ77" s="73" t="str">
        <f>IF(pbi_fed_amount="n/a",'Inputs and Outputs'!CJ146*CJ5,IF(ISNUMBER(outYear),IF(outYear&lt;=pbi_fed_term,+pbi_fed_amount*(1+pbi_fed_escal/100)^(outYear-1)*CJ5,0),""))</f>
        <v/>
      </c>
      <c r="CK77" s="73" t="str">
        <f>IF(pbi_fed_amount="n/a",'Inputs and Outputs'!CK146*CK5,IF(ISNUMBER(outYear),IF(outYear&lt;=pbi_fed_term,+pbi_fed_amount*(1+pbi_fed_escal/100)^(outYear-1)*CK5,0),""))</f>
        <v/>
      </c>
      <c r="CL77" s="73" t="str">
        <f>IF(pbi_fed_amount="n/a",'Inputs and Outputs'!CL146*CL5,IF(ISNUMBER(outYear),IF(outYear&lt;=pbi_fed_term,+pbi_fed_amount*(1+pbi_fed_escal/100)^(outYear-1)*CL5,0),""))</f>
        <v/>
      </c>
      <c r="CM77" s="73" t="str">
        <f>IF(pbi_fed_amount="n/a",'Inputs and Outputs'!CM146*CM5,IF(ISNUMBER(outYear),IF(outYear&lt;=pbi_fed_term,+pbi_fed_amount*(1+pbi_fed_escal/100)^(outYear-1)*CM5,0),""))</f>
        <v/>
      </c>
      <c r="CN77" s="73" t="str">
        <f>IF(pbi_fed_amount="n/a",'Inputs and Outputs'!CN146*CN5,IF(ISNUMBER(outYear),IF(outYear&lt;=pbi_fed_term,+pbi_fed_amount*(1+pbi_fed_escal/100)^(outYear-1)*CN5,0),""))</f>
        <v/>
      </c>
      <c r="CO77" s="73" t="str">
        <f>IF(pbi_fed_amount="n/a",'Inputs and Outputs'!CO146*CO5,IF(ISNUMBER(outYear),IF(outYear&lt;=pbi_fed_term,+pbi_fed_amount*(1+pbi_fed_escal/100)^(outYear-1)*CO5,0),""))</f>
        <v/>
      </c>
      <c r="CP77" s="73" t="str">
        <f>IF(pbi_fed_amount="n/a",'Inputs and Outputs'!CP146*CP5,IF(ISNUMBER(outYear),IF(outYear&lt;=pbi_fed_term,+pbi_fed_amount*(1+pbi_fed_escal/100)^(outYear-1)*CP5,0),""))</f>
        <v/>
      </c>
      <c r="CQ77" s="73" t="str">
        <f>IF(pbi_fed_amount="n/a",'Inputs and Outputs'!CQ146*CQ5,IF(ISNUMBER(outYear),IF(outYear&lt;=pbi_fed_term,+pbi_fed_amount*(1+pbi_fed_escal/100)^(outYear-1)*CQ5,0),""))</f>
        <v/>
      </c>
      <c r="CR77" s="73" t="str">
        <f>IF(pbi_fed_amount="n/a",'Inputs and Outputs'!CR146*CR5,IF(ISNUMBER(outYear),IF(outYear&lt;=pbi_fed_term,+pbi_fed_amount*(1+pbi_fed_escal/100)^(outYear-1)*CR5,0),""))</f>
        <v/>
      </c>
      <c r="CS77" s="73" t="str">
        <f>IF(pbi_fed_amount="n/a",'Inputs and Outputs'!CS146*CS5,IF(ISNUMBER(outYear),IF(outYear&lt;=pbi_fed_term,+pbi_fed_amount*(1+pbi_fed_escal/100)^(outYear-1)*CS5,0),""))</f>
        <v/>
      </c>
      <c r="CT77" s="73" t="str">
        <f>IF(pbi_fed_amount="n/a",'Inputs and Outputs'!CT146*CT5,IF(ISNUMBER(outYear),IF(outYear&lt;=pbi_fed_term,+pbi_fed_amount*(1+pbi_fed_escal/100)^(outYear-1)*CT5,0),""))</f>
        <v/>
      </c>
      <c r="CU77" s="73" t="str">
        <f>IF(pbi_fed_amount="n/a",'Inputs and Outputs'!CU146*CU5,IF(ISNUMBER(outYear),IF(outYear&lt;=pbi_fed_term,+pbi_fed_amount*(1+pbi_fed_escal/100)^(outYear-1)*CU5,0),""))</f>
        <v/>
      </c>
      <c r="CV77" s="73" t="str">
        <f>IF(pbi_fed_amount="n/a",'Inputs and Outputs'!CV146*CV5,IF(ISNUMBER(outYear),IF(outYear&lt;=pbi_fed_term,+pbi_fed_amount*(1+pbi_fed_escal/100)^(outYear-1)*CV5,0),""))</f>
        <v/>
      </c>
      <c r="CW77" s="73" t="str">
        <f>IF(pbi_fed_amount="n/a",'Inputs and Outputs'!CW146*CW5,IF(ISNUMBER(outYear),IF(outYear&lt;=pbi_fed_term,+pbi_fed_amount*(1+pbi_fed_escal/100)^(outYear-1)*CW5,0),""))</f>
        <v/>
      </c>
      <c r="CX77" s="73" t="str">
        <f>IF(pbi_fed_amount="n/a",'Inputs and Outputs'!CX146*CX5,IF(ISNUMBER(outYear),IF(outYear&lt;=pbi_fed_term,+pbi_fed_amount*(1+pbi_fed_escal/100)^(outYear-1)*CX5,0),""))</f>
        <v/>
      </c>
    </row>
    <row r="78" spans="1:102" x14ac:dyDescent="0.25">
      <c r="A78" s="61" t="s">
        <v>17</v>
      </c>
      <c r="B78" s="5"/>
      <c r="C78" s="73" t="str">
        <f>IF(pbi_sta_amount="n/a",'Inputs and Outputs'!C147*C5,IF(ISNUMBER(outYear),IF(outYear&lt;=pbi_sta_term,+pbi_sta_amount*(1+pbi_sta_escal/100)^(outYear-1)*C5,0),""))</f>
        <v/>
      </c>
      <c r="D78" s="73" t="str">
        <f>IF(pbi_sta_amount="n/a",'Inputs and Outputs'!D147*D5,IF(ISNUMBER(outYear),IF(outYear&lt;=pbi_sta_term,+pbi_sta_amount*(1+pbi_sta_escal/100)^(outYear-1)*D5,0),""))</f>
        <v/>
      </c>
      <c r="E78" s="73" t="str">
        <f>IF(pbi_sta_amount="n/a",'Inputs and Outputs'!E147*E5,IF(ISNUMBER(outYear),IF(outYear&lt;=pbi_sta_term,+pbi_sta_amount*(1+pbi_sta_escal/100)^(outYear-1)*E5,0),""))</f>
        <v/>
      </c>
      <c r="F78" s="73" t="str">
        <f>IF(pbi_sta_amount="n/a",'Inputs and Outputs'!F147*F5,IF(ISNUMBER(outYear),IF(outYear&lt;=pbi_sta_term,+pbi_sta_amount*(1+pbi_sta_escal/100)^(outYear-1)*F5,0),""))</f>
        <v/>
      </c>
      <c r="G78" s="73" t="str">
        <f>IF(pbi_sta_amount="n/a",'Inputs and Outputs'!G147*G5,IF(ISNUMBER(outYear),IF(outYear&lt;=pbi_sta_term,+pbi_sta_amount*(1+pbi_sta_escal/100)^(outYear-1)*G5,0),""))</f>
        <v/>
      </c>
      <c r="H78" s="73" t="str">
        <f>IF(pbi_sta_amount="n/a",'Inputs and Outputs'!H147*H5,IF(ISNUMBER(outYear),IF(outYear&lt;=pbi_sta_term,+pbi_sta_amount*(1+pbi_sta_escal/100)^(outYear-1)*H5,0),""))</f>
        <v/>
      </c>
      <c r="I78" s="73" t="str">
        <f>IF(pbi_sta_amount="n/a",'Inputs and Outputs'!I147*I5,IF(ISNUMBER(outYear),IF(outYear&lt;=pbi_sta_term,+pbi_sta_amount*(1+pbi_sta_escal/100)^(outYear-1)*I5,0),""))</f>
        <v/>
      </c>
      <c r="J78" s="73" t="str">
        <f>IF(pbi_sta_amount="n/a",'Inputs and Outputs'!J147*J5,IF(ISNUMBER(outYear),IF(outYear&lt;=pbi_sta_term,+pbi_sta_amount*(1+pbi_sta_escal/100)^(outYear-1)*J5,0),""))</f>
        <v/>
      </c>
      <c r="K78" s="73" t="str">
        <f>IF(pbi_sta_amount="n/a",'Inputs and Outputs'!K147*K5,IF(ISNUMBER(outYear),IF(outYear&lt;=pbi_sta_term,+pbi_sta_amount*(1+pbi_sta_escal/100)^(outYear-1)*K5,0),""))</f>
        <v/>
      </c>
      <c r="L78" s="73" t="str">
        <f>IF(pbi_sta_amount="n/a",'Inputs and Outputs'!L147*L5,IF(ISNUMBER(outYear),IF(outYear&lt;=pbi_sta_term,+pbi_sta_amount*(1+pbi_sta_escal/100)^(outYear-1)*L5,0),""))</f>
        <v/>
      </c>
      <c r="M78" s="73" t="str">
        <f>IF(pbi_sta_amount="n/a",'Inputs and Outputs'!M147*M5,IF(ISNUMBER(outYear),IF(outYear&lt;=pbi_sta_term,+pbi_sta_amount*(1+pbi_sta_escal/100)^(outYear-1)*M5,0),""))</f>
        <v/>
      </c>
      <c r="N78" s="73" t="str">
        <f>IF(pbi_sta_amount="n/a",'Inputs and Outputs'!N147*N5,IF(ISNUMBER(outYear),IF(outYear&lt;=pbi_sta_term,+pbi_sta_amount*(1+pbi_sta_escal/100)^(outYear-1)*N5,0),""))</f>
        <v/>
      </c>
      <c r="O78" s="73" t="str">
        <f>IF(pbi_sta_amount="n/a",'Inputs and Outputs'!O147*O5,IF(ISNUMBER(outYear),IF(outYear&lt;=pbi_sta_term,+pbi_sta_amount*(1+pbi_sta_escal/100)^(outYear-1)*O5,0),""))</f>
        <v/>
      </c>
      <c r="P78" s="73" t="str">
        <f>IF(pbi_sta_amount="n/a",'Inputs and Outputs'!P147*P5,IF(ISNUMBER(outYear),IF(outYear&lt;=pbi_sta_term,+pbi_sta_amount*(1+pbi_sta_escal/100)^(outYear-1)*P5,0),""))</f>
        <v/>
      </c>
      <c r="Q78" s="73" t="str">
        <f>IF(pbi_sta_amount="n/a",'Inputs and Outputs'!Q147*Q5,IF(ISNUMBER(outYear),IF(outYear&lt;=pbi_sta_term,+pbi_sta_amount*(1+pbi_sta_escal/100)^(outYear-1)*Q5,0),""))</f>
        <v/>
      </c>
      <c r="R78" s="73" t="str">
        <f>IF(pbi_sta_amount="n/a",'Inputs and Outputs'!R147*R5,IF(ISNUMBER(outYear),IF(outYear&lt;=pbi_sta_term,+pbi_sta_amount*(1+pbi_sta_escal/100)^(outYear-1)*R5,0),""))</f>
        <v/>
      </c>
      <c r="S78" s="73" t="str">
        <f>IF(pbi_sta_amount="n/a",'Inputs and Outputs'!S147*S5,IF(ISNUMBER(outYear),IF(outYear&lt;=pbi_sta_term,+pbi_sta_amount*(1+pbi_sta_escal/100)^(outYear-1)*S5,0),""))</f>
        <v/>
      </c>
      <c r="T78" s="73" t="str">
        <f>IF(pbi_sta_amount="n/a",'Inputs and Outputs'!T147*T5,IF(ISNUMBER(outYear),IF(outYear&lt;=pbi_sta_term,+pbi_sta_amount*(1+pbi_sta_escal/100)^(outYear-1)*T5,0),""))</f>
        <v/>
      </c>
      <c r="U78" s="73" t="str">
        <f>IF(pbi_sta_amount="n/a",'Inputs and Outputs'!U147*U5,IF(ISNUMBER(outYear),IF(outYear&lt;=pbi_sta_term,+pbi_sta_amount*(1+pbi_sta_escal/100)^(outYear-1)*U5,0),""))</f>
        <v/>
      </c>
      <c r="V78" s="73" t="str">
        <f>IF(pbi_sta_amount="n/a",'Inputs and Outputs'!V147*V5,IF(ISNUMBER(outYear),IF(outYear&lt;=pbi_sta_term,+pbi_sta_amount*(1+pbi_sta_escal/100)^(outYear-1)*V5,0),""))</f>
        <v/>
      </c>
      <c r="W78" s="73" t="str">
        <f>IF(pbi_sta_amount="n/a",'Inputs and Outputs'!W147*W5,IF(ISNUMBER(outYear),IF(outYear&lt;=pbi_sta_term,+pbi_sta_amount*(1+pbi_sta_escal/100)^(outYear-1)*W5,0),""))</f>
        <v/>
      </c>
      <c r="X78" s="73" t="str">
        <f>IF(pbi_sta_amount="n/a",'Inputs and Outputs'!X147*X5,IF(ISNUMBER(outYear),IF(outYear&lt;=pbi_sta_term,+pbi_sta_amount*(1+pbi_sta_escal/100)^(outYear-1)*X5,0),""))</f>
        <v/>
      </c>
      <c r="Y78" s="73" t="str">
        <f>IF(pbi_sta_amount="n/a",'Inputs and Outputs'!Y147*Y5,IF(ISNUMBER(outYear),IF(outYear&lt;=pbi_sta_term,+pbi_sta_amount*(1+pbi_sta_escal/100)^(outYear-1)*Y5,0),""))</f>
        <v/>
      </c>
      <c r="Z78" s="73" t="str">
        <f>IF(pbi_sta_amount="n/a",'Inputs and Outputs'!Z147*Z5,IF(ISNUMBER(outYear),IF(outYear&lt;=pbi_sta_term,+pbi_sta_amount*(1+pbi_sta_escal/100)^(outYear-1)*Z5,0),""))</f>
        <v/>
      </c>
      <c r="AA78" s="73" t="str">
        <f>IF(pbi_sta_amount="n/a",'Inputs and Outputs'!AA147*AA5,IF(ISNUMBER(outYear),IF(outYear&lt;=pbi_sta_term,+pbi_sta_amount*(1+pbi_sta_escal/100)^(outYear-1)*AA5,0),""))</f>
        <v/>
      </c>
      <c r="AB78" s="73" t="str">
        <f>IF(pbi_sta_amount="n/a",'Inputs and Outputs'!AB147*AB5,IF(ISNUMBER(outYear),IF(outYear&lt;=pbi_sta_term,+pbi_sta_amount*(1+pbi_sta_escal/100)^(outYear-1)*AB5,0),""))</f>
        <v/>
      </c>
      <c r="AC78" s="73" t="str">
        <f>IF(pbi_sta_amount="n/a",'Inputs and Outputs'!AC147*AC5,IF(ISNUMBER(outYear),IF(outYear&lt;=pbi_sta_term,+pbi_sta_amount*(1+pbi_sta_escal/100)^(outYear-1)*AC5,0),""))</f>
        <v/>
      </c>
      <c r="AD78" s="73" t="str">
        <f>IF(pbi_sta_amount="n/a",'Inputs and Outputs'!AD147*AD5,IF(ISNUMBER(outYear),IF(outYear&lt;=pbi_sta_term,+pbi_sta_amount*(1+pbi_sta_escal/100)^(outYear-1)*AD5,0),""))</f>
        <v/>
      </c>
      <c r="AE78" s="73" t="str">
        <f>IF(pbi_sta_amount="n/a",'Inputs and Outputs'!AE147*AE5,IF(ISNUMBER(outYear),IF(outYear&lt;=pbi_sta_term,+pbi_sta_amount*(1+pbi_sta_escal/100)^(outYear-1)*AE5,0),""))</f>
        <v/>
      </c>
      <c r="AF78" s="73" t="str">
        <f>IF(pbi_sta_amount="n/a",'Inputs and Outputs'!AF147*AF5,IF(ISNUMBER(outYear),IF(outYear&lt;=pbi_sta_term,+pbi_sta_amount*(1+pbi_sta_escal/100)^(outYear-1)*AF5,0),""))</f>
        <v/>
      </c>
      <c r="AG78" s="73" t="str">
        <f>IF(pbi_sta_amount="n/a",'Inputs and Outputs'!AG147*AG5,IF(ISNUMBER(outYear),IF(outYear&lt;=pbi_sta_term,+pbi_sta_amount*(1+pbi_sta_escal/100)^(outYear-1)*AG5,0),""))</f>
        <v/>
      </c>
      <c r="AH78" s="73" t="str">
        <f>IF(pbi_sta_amount="n/a",'Inputs and Outputs'!AH147*AH5,IF(ISNUMBER(outYear),IF(outYear&lt;=pbi_sta_term,+pbi_sta_amount*(1+pbi_sta_escal/100)^(outYear-1)*AH5,0),""))</f>
        <v/>
      </c>
      <c r="AI78" s="73" t="str">
        <f>IF(pbi_sta_amount="n/a",'Inputs and Outputs'!AI147*AI5,IF(ISNUMBER(outYear),IF(outYear&lt;=pbi_sta_term,+pbi_sta_amount*(1+pbi_sta_escal/100)^(outYear-1)*AI5,0),""))</f>
        <v/>
      </c>
      <c r="AJ78" s="73" t="str">
        <f>IF(pbi_sta_amount="n/a",'Inputs and Outputs'!AJ147*AJ5,IF(ISNUMBER(outYear),IF(outYear&lt;=pbi_sta_term,+pbi_sta_amount*(1+pbi_sta_escal/100)^(outYear-1)*AJ5,0),""))</f>
        <v/>
      </c>
      <c r="AK78" s="73" t="str">
        <f>IF(pbi_sta_amount="n/a",'Inputs and Outputs'!AK147*AK5,IF(ISNUMBER(outYear),IF(outYear&lt;=pbi_sta_term,+pbi_sta_amount*(1+pbi_sta_escal/100)^(outYear-1)*AK5,0),""))</f>
        <v/>
      </c>
      <c r="AL78" s="73" t="str">
        <f>IF(pbi_sta_amount="n/a",'Inputs and Outputs'!AL147*AL5,IF(ISNUMBER(outYear),IF(outYear&lt;=pbi_sta_term,+pbi_sta_amount*(1+pbi_sta_escal/100)^(outYear-1)*AL5,0),""))</f>
        <v/>
      </c>
      <c r="AM78" s="73" t="str">
        <f>IF(pbi_sta_amount="n/a",'Inputs and Outputs'!AM147*AM5,IF(ISNUMBER(outYear),IF(outYear&lt;=pbi_sta_term,+pbi_sta_amount*(1+pbi_sta_escal/100)^(outYear-1)*AM5,0),""))</f>
        <v/>
      </c>
      <c r="AN78" s="73" t="str">
        <f>IF(pbi_sta_amount="n/a",'Inputs and Outputs'!AN147*AN5,IF(ISNUMBER(outYear),IF(outYear&lt;=pbi_sta_term,+pbi_sta_amount*(1+pbi_sta_escal/100)^(outYear-1)*AN5,0),""))</f>
        <v/>
      </c>
      <c r="AO78" s="73" t="str">
        <f>IF(pbi_sta_amount="n/a",'Inputs and Outputs'!AO147*AO5,IF(ISNUMBER(outYear),IF(outYear&lt;=pbi_sta_term,+pbi_sta_amount*(1+pbi_sta_escal/100)^(outYear-1)*AO5,0),""))</f>
        <v/>
      </c>
      <c r="AP78" s="73" t="str">
        <f>IF(pbi_sta_amount="n/a",'Inputs and Outputs'!AP147*AP5,IF(ISNUMBER(outYear),IF(outYear&lt;=pbi_sta_term,+pbi_sta_amount*(1+pbi_sta_escal/100)^(outYear-1)*AP5,0),""))</f>
        <v/>
      </c>
      <c r="AQ78" s="73" t="str">
        <f>IF(pbi_sta_amount="n/a",'Inputs and Outputs'!AQ147*AQ5,IF(ISNUMBER(outYear),IF(outYear&lt;=pbi_sta_term,+pbi_sta_amount*(1+pbi_sta_escal/100)^(outYear-1)*AQ5,0),""))</f>
        <v/>
      </c>
      <c r="AR78" s="73" t="str">
        <f>IF(pbi_sta_amount="n/a",'Inputs and Outputs'!AR147*AR5,IF(ISNUMBER(outYear),IF(outYear&lt;=pbi_sta_term,+pbi_sta_amount*(1+pbi_sta_escal/100)^(outYear-1)*AR5,0),""))</f>
        <v/>
      </c>
      <c r="AS78" s="73" t="str">
        <f>IF(pbi_sta_amount="n/a",'Inputs and Outputs'!AS147*AS5,IF(ISNUMBER(outYear),IF(outYear&lt;=pbi_sta_term,+pbi_sta_amount*(1+pbi_sta_escal/100)^(outYear-1)*AS5,0),""))</f>
        <v/>
      </c>
      <c r="AT78" s="73" t="str">
        <f>IF(pbi_sta_amount="n/a",'Inputs and Outputs'!AT147*AT5,IF(ISNUMBER(outYear),IF(outYear&lt;=pbi_sta_term,+pbi_sta_amount*(1+pbi_sta_escal/100)^(outYear-1)*AT5,0),""))</f>
        <v/>
      </c>
      <c r="AU78" s="73" t="str">
        <f>IF(pbi_sta_amount="n/a",'Inputs and Outputs'!AU147*AU5,IF(ISNUMBER(outYear),IF(outYear&lt;=pbi_sta_term,+pbi_sta_amount*(1+pbi_sta_escal/100)^(outYear-1)*AU5,0),""))</f>
        <v/>
      </c>
      <c r="AV78" s="73" t="str">
        <f>IF(pbi_sta_amount="n/a",'Inputs and Outputs'!AV147*AV5,IF(ISNUMBER(outYear),IF(outYear&lt;=pbi_sta_term,+pbi_sta_amount*(1+pbi_sta_escal/100)^(outYear-1)*AV5,0),""))</f>
        <v/>
      </c>
      <c r="AW78" s="73" t="str">
        <f>IF(pbi_sta_amount="n/a",'Inputs and Outputs'!AW147*AW5,IF(ISNUMBER(outYear),IF(outYear&lt;=pbi_sta_term,+pbi_sta_amount*(1+pbi_sta_escal/100)^(outYear-1)*AW5,0),""))</f>
        <v/>
      </c>
      <c r="AX78" s="73" t="str">
        <f>IF(pbi_sta_amount="n/a",'Inputs and Outputs'!AX147*AX5,IF(ISNUMBER(outYear),IF(outYear&lt;=pbi_sta_term,+pbi_sta_amount*(1+pbi_sta_escal/100)^(outYear-1)*AX5,0),""))</f>
        <v/>
      </c>
      <c r="AY78" s="73" t="str">
        <f>IF(pbi_sta_amount="n/a",'Inputs and Outputs'!AY147*AY5,IF(ISNUMBER(outYear),IF(outYear&lt;=pbi_sta_term,+pbi_sta_amount*(1+pbi_sta_escal/100)^(outYear-1)*AY5,0),""))</f>
        <v/>
      </c>
      <c r="AZ78" s="73" t="str">
        <f>IF(pbi_sta_amount="n/a",'Inputs and Outputs'!AZ147*AZ5,IF(ISNUMBER(outYear),IF(outYear&lt;=pbi_sta_term,+pbi_sta_amount*(1+pbi_sta_escal/100)^(outYear-1)*AZ5,0),""))</f>
        <v/>
      </c>
      <c r="BA78" s="73" t="str">
        <f>IF(pbi_sta_amount="n/a",'Inputs and Outputs'!BA147*BA5,IF(ISNUMBER(outYear),IF(outYear&lt;=pbi_sta_term,+pbi_sta_amount*(1+pbi_sta_escal/100)^(outYear-1)*BA5,0),""))</f>
        <v/>
      </c>
      <c r="BB78" s="73" t="str">
        <f>IF(pbi_sta_amount="n/a",'Inputs and Outputs'!BB147*BB5,IF(ISNUMBER(outYear),IF(outYear&lt;=pbi_sta_term,+pbi_sta_amount*(1+pbi_sta_escal/100)^(outYear-1)*BB5,0),""))</f>
        <v/>
      </c>
      <c r="BC78" s="73" t="str">
        <f>IF(pbi_sta_amount="n/a",'Inputs and Outputs'!BC147*BC5,IF(ISNUMBER(outYear),IF(outYear&lt;=pbi_sta_term,+pbi_sta_amount*(1+pbi_sta_escal/100)^(outYear-1)*BC5,0),""))</f>
        <v/>
      </c>
      <c r="BD78" s="73" t="str">
        <f>IF(pbi_sta_amount="n/a",'Inputs and Outputs'!BD147*BD5,IF(ISNUMBER(outYear),IF(outYear&lt;=pbi_sta_term,+pbi_sta_amount*(1+pbi_sta_escal/100)^(outYear-1)*BD5,0),""))</f>
        <v/>
      </c>
      <c r="BE78" s="73" t="str">
        <f>IF(pbi_sta_amount="n/a",'Inputs and Outputs'!BE147*BE5,IF(ISNUMBER(outYear),IF(outYear&lt;=pbi_sta_term,+pbi_sta_amount*(1+pbi_sta_escal/100)^(outYear-1)*BE5,0),""))</f>
        <v/>
      </c>
      <c r="BF78" s="73" t="str">
        <f>IF(pbi_sta_amount="n/a",'Inputs and Outputs'!BF147*BF5,IF(ISNUMBER(outYear),IF(outYear&lt;=pbi_sta_term,+pbi_sta_amount*(1+pbi_sta_escal/100)^(outYear-1)*BF5,0),""))</f>
        <v/>
      </c>
      <c r="BG78" s="73" t="str">
        <f>IF(pbi_sta_amount="n/a",'Inputs and Outputs'!BG147*BG5,IF(ISNUMBER(outYear),IF(outYear&lt;=pbi_sta_term,+pbi_sta_amount*(1+pbi_sta_escal/100)^(outYear-1)*BG5,0),""))</f>
        <v/>
      </c>
      <c r="BH78" s="73" t="str">
        <f>IF(pbi_sta_amount="n/a",'Inputs and Outputs'!BH147*BH5,IF(ISNUMBER(outYear),IF(outYear&lt;=pbi_sta_term,+pbi_sta_amount*(1+pbi_sta_escal/100)^(outYear-1)*BH5,0),""))</f>
        <v/>
      </c>
      <c r="BI78" s="73" t="str">
        <f>IF(pbi_sta_amount="n/a",'Inputs and Outputs'!BI147*BI5,IF(ISNUMBER(outYear),IF(outYear&lt;=pbi_sta_term,+pbi_sta_amount*(1+pbi_sta_escal/100)^(outYear-1)*BI5,0),""))</f>
        <v/>
      </c>
      <c r="BJ78" s="73" t="str">
        <f>IF(pbi_sta_amount="n/a",'Inputs and Outputs'!BJ147*BJ5,IF(ISNUMBER(outYear),IF(outYear&lt;=pbi_sta_term,+pbi_sta_amount*(1+pbi_sta_escal/100)^(outYear-1)*BJ5,0),""))</f>
        <v/>
      </c>
      <c r="BK78" s="73" t="str">
        <f>IF(pbi_sta_amount="n/a",'Inputs and Outputs'!BK147*BK5,IF(ISNUMBER(outYear),IF(outYear&lt;=pbi_sta_term,+pbi_sta_amount*(1+pbi_sta_escal/100)^(outYear-1)*BK5,0),""))</f>
        <v/>
      </c>
      <c r="BL78" s="73" t="str">
        <f>IF(pbi_sta_amount="n/a",'Inputs and Outputs'!BL147*BL5,IF(ISNUMBER(outYear),IF(outYear&lt;=pbi_sta_term,+pbi_sta_amount*(1+pbi_sta_escal/100)^(outYear-1)*BL5,0),""))</f>
        <v/>
      </c>
      <c r="BM78" s="73" t="str">
        <f>IF(pbi_sta_amount="n/a",'Inputs and Outputs'!BM147*BM5,IF(ISNUMBER(outYear),IF(outYear&lt;=pbi_sta_term,+pbi_sta_amount*(1+pbi_sta_escal/100)^(outYear-1)*BM5,0),""))</f>
        <v/>
      </c>
      <c r="BN78" s="73" t="str">
        <f>IF(pbi_sta_amount="n/a",'Inputs and Outputs'!BN147*BN5,IF(ISNUMBER(outYear),IF(outYear&lt;=pbi_sta_term,+pbi_sta_amount*(1+pbi_sta_escal/100)^(outYear-1)*BN5,0),""))</f>
        <v/>
      </c>
      <c r="BO78" s="73" t="str">
        <f>IF(pbi_sta_amount="n/a",'Inputs and Outputs'!BO147*BO5,IF(ISNUMBER(outYear),IF(outYear&lt;=pbi_sta_term,+pbi_sta_amount*(1+pbi_sta_escal/100)^(outYear-1)*BO5,0),""))</f>
        <v/>
      </c>
      <c r="BP78" s="73" t="str">
        <f>IF(pbi_sta_amount="n/a",'Inputs and Outputs'!BP147*BP5,IF(ISNUMBER(outYear),IF(outYear&lt;=pbi_sta_term,+pbi_sta_amount*(1+pbi_sta_escal/100)^(outYear-1)*BP5,0),""))</f>
        <v/>
      </c>
      <c r="BQ78" s="73" t="str">
        <f>IF(pbi_sta_amount="n/a",'Inputs and Outputs'!BQ147*BQ5,IF(ISNUMBER(outYear),IF(outYear&lt;=pbi_sta_term,+pbi_sta_amount*(1+pbi_sta_escal/100)^(outYear-1)*BQ5,0),""))</f>
        <v/>
      </c>
      <c r="BR78" s="73" t="str">
        <f>IF(pbi_sta_amount="n/a",'Inputs and Outputs'!BR147*BR5,IF(ISNUMBER(outYear),IF(outYear&lt;=pbi_sta_term,+pbi_sta_amount*(1+pbi_sta_escal/100)^(outYear-1)*BR5,0),""))</f>
        <v/>
      </c>
      <c r="BS78" s="73" t="str">
        <f>IF(pbi_sta_amount="n/a",'Inputs and Outputs'!BS147*BS5,IF(ISNUMBER(outYear),IF(outYear&lt;=pbi_sta_term,+pbi_sta_amount*(1+pbi_sta_escal/100)^(outYear-1)*BS5,0),""))</f>
        <v/>
      </c>
      <c r="BT78" s="73" t="str">
        <f>IF(pbi_sta_amount="n/a",'Inputs and Outputs'!BT147*BT5,IF(ISNUMBER(outYear),IF(outYear&lt;=pbi_sta_term,+pbi_sta_amount*(1+pbi_sta_escal/100)^(outYear-1)*BT5,0),""))</f>
        <v/>
      </c>
      <c r="BU78" s="73" t="str">
        <f>IF(pbi_sta_amount="n/a",'Inputs and Outputs'!BU147*BU5,IF(ISNUMBER(outYear),IF(outYear&lt;=pbi_sta_term,+pbi_sta_amount*(1+pbi_sta_escal/100)^(outYear-1)*BU5,0),""))</f>
        <v/>
      </c>
      <c r="BV78" s="73" t="str">
        <f>IF(pbi_sta_amount="n/a",'Inputs and Outputs'!BV147*BV5,IF(ISNUMBER(outYear),IF(outYear&lt;=pbi_sta_term,+pbi_sta_amount*(1+pbi_sta_escal/100)^(outYear-1)*BV5,0),""))</f>
        <v/>
      </c>
      <c r="BW78" s="73" t="str">
        <f>IF(pbi_sta_amount="n/a",'Inputs and Outputs'!BW147*BW5,IF(ISNUMBER(outYear),IF(outYear&lt;=pbi_sta_term,+pbi_sta_amount*(1+pbi_sta_escal/100)^(outYear-1)*BW5,0),""))</f>
        <v/>
      </c>
      <c r="BX78" s="73" t="str">
        <f>IF(pbi_sta_amount="n/a",'Inputs and Outputs'!BX147*BX5,IF(ISNUMBER(outYear),IF(outYear&lt;=pbi_sta_term,+pbi_sta_amount*(1+pbi_sta_escal/100)^(outYear-1)*BX5,0),""))</f>
        <v/>
      </c>
      <c r="BY78" s="73" t="str">
        <f>IF(pbi_sta_amount="n/a",'Inputs and Outputs'!BY147*BY5,IF(ISNUMBER(outYear),IF(outYear&lt;=pbi_sta_term,+pbi_sta_amount*(1+pbi_sta_escal/100)^(outYear-1)*BY5,0),""))</f>
        <v/>
      </c>
      <c r="BZ78" s="73" t="str">
        <f>IF(pbi_sta_amount="n/a",'Inputs and Outputs'!BZ147*BZ5,IF(ISNUMBER(outYear),IF(outYear&lt;=pbi_sta_term,+pbi_sta_amount*(1+pbi_sta_escal/100)^(outYear-1)*BZ5,0),""))</f>
        <v/>
      </c>
      <c r="CA78" s="73" t="str">
        <f>IF(pbi_sta_amount="n/a",'Inputs and Outputs'!CA147*CA5,IF(ISNUMBER(outYear),IF(outYear&lt;=pbi_sta_term,+pbi_sta_amount*(1+pbi_sta_escal/100)^(outYear-1)*CA5,0),""))</f>
        <v/>
      </c>
      <c r="CB78" s="73" t="str">
        <f>IF(pbi_sta_amount="n/a",'Inputs and Outputs'!CB147*CB5,IF(ISNUMBER(outYear),IF(outYear&lt;=pbi_sta_term,+pbi_sta_amount*(1+pbi_sta_escal/100)^(outYear-1)*CB5,0),""))</f>
        <v/>
      </c>
      <c r="CC78" s="73" t="str">
        <f>IF(pbi_sta_amount="n/a",'Inputs and Outputs'!CC147*CC5,IF(ISNUMBER(outYear),IF(outYear&lt;=pbi_sta_term,+pbi_sta_amount*(1+pbi_sta_escal/100)^(outYear-1)*CC5,0),""))</f>
        <v/>
      </c>
      <c r="CD78" s="73" t="str">
        <f>IF(pbi_sta_amount="n/a",'Inputs and Outputs'!CD147*CD5,IF(ISNUMBER(outYear),IF(outYear&lt;=pbi_sta_term,+pbi_sta_amount*(1+pbi_sta_escal/100)^(outYear-1)*CD5,0),""))</f>
        <v/>
      </c>
      <c r="CE78" s="73" t="str">
        <f>IF(pbi_sta_amount="n/a",'Inputs and Outputs'!CE147*CE5,IF(ISNUMBER(outYear),IF(outYear&lt;=pbi_sta_term,+pbi_sta_amount*(1+pbi_sta_escal/100)^(outYear-1)*CE5,0),""))</f>
        <v/>
      </c>
      <c r="CF78" s="73" t="str">
        <f>IF(pbi_sta_amount="n/a",'Inputs and Outputs'!CF147*CF5,IF(ISNUMBER(outYear),IF(outYear&lt;=pbi_sta_term,+pbi_sta_amount*(1+pbi_sta_escal/100)^(outYear-1)*CF5,0),""))</f>
        <v/>
      </c>
      <c r="CG78" s="73" t="str">
        <f>IF(pbi_sta_amount="n/a",'Inputs and Outputs'!CG147*CG5,IF(ISNUMBER(outYear),IF(outYear&lt;=pbi_sta_term,+pbi_sta_amount*(1+pbi_sta_escal/100)^(outYear-1)*CG5,0),""))</f>
        <v/>
      </c>
      <c r="CH78" s="73" t="str">
        <f>IF(pbi_sta_amount="n/a",'Inputs and Outputs'!CH147*CH5,IF(ISNUMBER(outYear),IF(outYear&lt;=pbi_sta_term,+pbi_sta_amount*(1+pbi_sta_escal/100)^(outYear-1)*CH5,0),""))</f>
        <v/>
      </c>
      <c r="CI78" s="73" t="str">
        <f>IF(pbi_sta_amount="n/a",'Inputs and Outputs'!CI147*CI5,IF(ISNUMBER(outYear),IF(outYear&lt;=pbi_sta_term,+pbi_sta_amount*(1+pbi_sta_escal/100)^(outYear-1)*CI5,0),""))</f>
        <v/>
      </c>
      <c r="CJ78" s="73" t="str">
        <f>IF(pbi_sta_amount="n/a",'Inputs and Outputs'!CJ147*CJ5,IF(ISNUMBER(outYear),IF(outYear&lt;=pbi_sta_term,+pbi_sta_amount*(1+pbi_sta_escal/100)^(outYear-1)*CJ5,0),""))</f>
        <v/>
      </c>
      <c r="CK78" s="73" t="str">
        <f>IF(pbi_sta_amount="n/a",'Inputs and Outputs'!CK147*CK5,IF(ISNUMBER(outYear),IF(outYear&lt;=pbi_sta_term,+pbi_sta_amount*(1+pbi_sta_escal/100)^(outYear-1)*CK5,0),""))</f>
        <v/>
      </c>
      <c r="CL78" s="73" t="str">
        <f>IF(pbi_sta_amount="n/a",'Inputs and Outputs'!CL147*CL5,IF(ISNUMBER(outYear),IF(outYear&lt;=pbi_sta_term,+pbi_sta_amount*(1+pbi_sta_escal/100)^(outYear-1)*CL5,0),""))</f>
        <v/>
      </c>
      <c r="CM78" s="73" t="str">
        <f>IF(pbi_sta_amount="n/a",'Inputs and Outputs'!CM147*CM5,IF(ISNUMBER(outYear),IF(outYear&lt;=pbi_sta_term,+pbi_sta_amount*(1+pbi_sta_escal/100)^(outYear-1)*CM5,0),""))</f>
        <v/>
      </c>
      <c r="CN78" s="73" t="str">
        <f>IF(pbi_sta_amount="n/a",'Inputs and Outputs'!CN147*CN5,IF(ISNUMBER(outYear),IF(outYear&lt;=pbi_sta_term,+pbi_sta_amount*(1+pbi_sta_escal/100)^(outYear-1)*CN5,0),""))</f>
        <v/>
      </c>
      <c r="CO78" s="73" t="str">
        <f>IF(pbi_sta_amount="n/a",'Inputs and Outputs'!CO147*CO5,IF(ISNUMBER(outYear),IF(outYear&lt;=pbi_sta_term,+pbi_sta_amount*(1+pbi_sta_escal/100)^(outYear-1)*CO5,0),""))</f>
        <v/>
      </c>
      <c r="CP78" s="73" t="str">
        <f>IF(pbi_sta_amount="n/a",'Inputs and Outputs'!CP147*CP5,IF(ISNUMBER(outYear),IF(outYear&lt;=pbi_sta_term,+pbi_sta_amount*(1+pbi_sta_escal/100)^(outYear-1)*CP5,0),""))</f>
        <v/>
      </c>
      <c r="CQ78" s="73" t="str">
        <f>IF(pbi_sta_amount="n/a",'Inputs and Outputs'!CQ147*CQ5,IF(ISNUMBER(outYear),IF(outYear&lt;=pbi_sta_term,+pbi_sta_amount*(1+pbi_sta_escal/100)^(outYear-1)*CQ5,0),""))</f>
        <v/>
      </c>
      <c r="CR78" s="73" t="str">
        <f>IF(pbi_sta_amount="n/a",'Inputs and Outputs'!CR147*CR5,IF(ISNUMBER(outYear),IF(outYear&lt;=pbi_sta_term,+pbi_sta_amount*(1+pbi_sta_escal/100)^(outYear-1)*CR5,0),""))</f>
        <v/>
      </c>
      <c r="CS78" s="73" t="str">
        <f>IF(pbi_sta_amount="n/a",'Inputs and Outputs'!CS147*CS5,IF(ISNUMBER(outYear),IF(outYear&lt;=pbi_sta_term,+pbi_sta_amount*(1+pbi_sta_escal/100)^(outYear-1)*CS5,0),""))</f>
        <v/>
      </c>
      <c r="CT78" s="73" t="str">
        <f>IF(pbi_sta_amount="n/a",'Inputs and Outputs'!CT147*CT5,IF(ISNUMBER(outYear),IF(outYear&lt;=pbi_sta_term,+pbi_sta_amount*(1+pbi_sta_escal/100)^(outYear-1)*CT5,0),""))</f>
        <v/>
      </c>
      <c r="CU78" s="73" t="str">
        <f>IF(pbi_sta_amount="n/a",'Inputs and Outputs'!CU147*CU5,IF(ISNUMBER(outYear),IF(outYear&lt;=pbi_sta_term,+pbi_sta_amount*(1+pbi_sta_escal/100)^(outYear-1)*CU5,0),""))</f>
        <v/>
      </c>
      <c r="CV78" s="73" t="str">
        <f>IF(pbi_sta_amount="n/a",'Inputs and Outputs'!CV147*CV5,IF(ISNUMBER(outYear),IF(outYear&lt;=pbi_sta_term,+pbi_sta_amount*(1+pbi_sta_escal/100)^(outYear-1)*CV5,0),""))</f>
        <v/>
      </c>
      <c r="CW78" s="73" t="str">
        <f>IF(pbi_sta_amount="n/a",'Inputs and Outputs'!CW147*CW5,IF(ISNUMBER(outYear),IF(outYear&lt;=pbi_sta_term,+pbi_sta_amount*(1+pbi_sta_escal/100)^(outYear-1)*CW5,0),""))</f>
        <v/>
      </c>
      <c r="CX78" s="73" t="str">
        <f>IF(pbi_sta_amount="n/a",'Inputs and Outputs'!CX147*CX5,IF(ISNUMBER(outYear),IF(outYear&lt;=pbi_sta_term,+pbi_sta_amount*(1+pbi_sta_escal/100)^(outYear-1)*CX5,0),""))</f>
        <v/>
      </c>
    </row>
    <row r="79" spans="1:102" x14ac:dyDescent="0.25">
      <c r="A79" s="61" t="s">
        <v>18</v>
      </c>
      <c r="B79" s="5"/>
      <c r="C79" s="73" t="str">
        <f>IF(pbi_uti_amount="n/a",'Inputs and Outputs'!C148*C5,IF(ISNUMBER(outYear),IF(outYear&lt;=pbi_uti_term,+pbi_uti_amount*(1+pbi_uti_escal/100)^(outYear-1)*C5,0),""))</f>
        <v/>
      </c>
      <c r="D79" s="73" t="str">
        <f>IF(pbi_uti_amount="n/a",'Inputs and Outputs'!D148*D5,IF(ISNUMBER(outYear),IF(outYear&lt;=pbi_uti_term,+pbi_uti_amount*(1+pbi_uti_escal/100)^(outYear-1)*D5,0),""))</f>
        <v/>
      </c>
      <c r="E79" s="73" t="str">
        <f>IF(pbi_uti_amount="n/a",'Inputs and Outputs'!E148*E5,IF(ISNUMBER(outYear),IF(outYear&lt;=pbi_uti_term,+pbi_uti_amount*(1+pbi_uti_escal/100)^(outYear-1)*E5,0),""))</f>
        <v/>
      </c>
      <c r="F79" s="73" t="str">
        <f>IF(pbi_uti_amount="n/a",'Inputs and Outputs'!F148*F5,IF(ISNUMBER(outYear),IF(outYear&lt;=pbi_uti_term,+pbi_uti_amount*(1+pbi_uti_escal/100)^(outYear-1)*F5,0),""))</f>
        <v/>
      </c>
      <c r="G79" s="73" t="str">
        <f>IF(pbi_uti_amount="n/a",'Inputs and Outputs'!G148*G5,IF(ISNUMBER(outYear),IF(outYear&lt;=pbi_uti_term,+pbi_uti_amount*(1+pbi_uti_escal/100)^(outYear-1)*G5,0),""))</f>
        <v/>
      </c>
      <c r="H79" s="73" t="str">
        <f>IF(pbi_uti_amount="n/a",'Inputs and Outputs'!H148*H5,IF(ISNUMBER(outYear),IF(outYear&lt;=pbi_uti_term,+pbi_uti_amount*(1+pbi_uti_escal/100)^(outYear-1)*H5,0),""))</f>
        <v/>
      </c>
      <c r="I79" s="73" t="str">
        <f>IF(pbi_uti_amount="n/a",'Inputs and Outputs'!I148*I5,IF(ISNUMBER(outYear),IF(outYear&lt;=pbi_uti_term,+pbi_uti_amount*(1+pbi_uti_escal/100)^(outYear-1)*I5,0),""))</f>
        <v/>
      </c>
      <c r="J79" s="73" t="str">
        <f>IF(pbi_uti_amount="n/a",'Inputs and Outputs'!J148*J5,IF(ISNUMBER(outYear),IF(outYear&lt;=pbi_uti_term,+pbi_uti_amount*(1+pbi_uti_escal/100)^(outYear-1)*J5,0),""))</f>
        <v/>
      </c>
      <c r="K79" s="73" t="str">
        <f>IF(pbi_uti_amount="n/a",'Inputs and Outputs'!K148*K5,IF(ISNUMBER(outYear),IF(outYear&lt;=pbi_uti_term,+pbi_uti_amount*(1+pbi_uti_escal/100)^(outYear-1)*K5,0),""))</f>
        <v/>
      </c>
      <c r="L79" s="73" t="str">
        <f>IF(pbi_uti_amount="n/a",'Inputs and Outputs'!L148*L5,IF(ISNUMBER(outYear),IF(outYear&lt;=pbi_uti_term,+pbi_uti_amount*(1+pbi_uti_escal/100)^(outYear-1)*L5,0),""))</f>
        <v/>
      </c>
      <c r="M79" s="73" t="str">
        <f>IF(pbi_uti_amount="n/a",'Inputs and Outputs'!M148*M5,IF(ISNUMBER(outYear),IF(outYear&lt;=pbi_uti_term,+pbi_uti_amount*(1+pbi_uti_escal/100)^(outYear-1)*M5,0),""))</f>
        <v/>
      </c>
      <c r="N79" s="73" t="str">
        <f>IF(pbi_uti_amount="n/a",'Inputs and Outputs'!N148*N5,IF(ISNUMBER(outYear),IF(outYear&lt;=pbi_uti_term,+pbi_uti_amount*(1+pbi_uti_escal/100)^(outYear-1)*N5,0),""))</f>
        <v/>
      </c>
      <c r="O79" s="73" t="str">
        <f>IF(pbi_uti_amount="n/a",'Inputs and Outputs'!O148*O5,IF(ISNUMBER(outYear),IF(outYear&lt;=pbi_uti_term,+pbi_uti_amount*(1+pbi_uti_escal/100)^(outYear-1)*O5,0),""))</f>
        <v/>
      </c>
      <c r="P79" s="73" t="str">
        <f>IF(pbi_uti_amount="n/a",'Inputs and Outputs'!P148*P5,IF(ISNUMBER(outYear),IF(outYear&lt;=pbi_uti_term,+pbi_uti_amount*(1+pbi_uti_escal/100)^(outYear-1)*P5,0),""))</f>
        <v/>
      </c>
      <c r="Q79" s="73" t="str">
        <f>IF(pbi_uti_amount="n/a",'Inputs and Outputs'!Q148*Q5,IF(ISNUMBER(outYear),IF(outYear&lt;=pbi_uti_term,+pbi_uti_amount*(1+pbi_uti_escal/100)^(outYear-1)*Q5,0),""))</f>
        <v/>
      </c>
      <c r="R79" s="73" t="str">
        <f>IF(pbi_uti_amount="n/a",'Inputs and Outputs'!R148*R5,IF(ISNUMBER(outYear),IF(outYear&lt;=pbi_uti_term,+pbi_uti_amount*(1+pbi_uti_escal/100)^(outYear-1)*R5,0),""))</f>
        <v/>
      </c>
      <c r="S79" s="73" t="str">
        <f>IF(pbi_uti_amount="n/a",'Inputs and Outputs'!S148*S5,IF(ISNUMBER(outYear),IF(outYear&lt;=pbi_uti_term,+pbi_uti_amount*(1+pbi_uti_escal/100)^(outYear-1)*S5,0),""))</f>
        <v/>
      </c>
      <c r="T79" s="73" t="str">
        <f>IF(pbi_uti_amount="n/a",'Inputs and Outputs'!T148*T5,IF(ISNUMBER(outYear),IF(outYear&lt;=pbi_uti_term,+pbi_uti_amount*(1+pbi_uti_escal/100)^(outYear-1)*T5,0),""))</f>
        <v/>
      </c>
      <c r="U79" s="73" t="str">
        <f>IF(pbi_uti_amount="n/a",'Inputs and Outputs'!U148*U5,IF(ISNUMBER(outYear),IF(outYear&lt;=pbi_uti_term,+pbi_uti_amount*(1+pbi_uti_escal/100)^(outYear-1)*U5,0),""))</f>
        <v/>
      </c>
      <c r="V79" s="73" t="str">
        <f>IF(pbi_uti_amount="n/a",'Inputs and Outputs'!V148*V5,IF(ISNUMBER(outYear),IF(outYear&lt;=pbi_uti_term,+pbi_uti_amount*(1+pbi_uti_escal/100)^(outYear-1)*V5,0),""))</f>
        <v/>
      </c>
      <c r="W79" s="73" t="str">
        <f>IF(pbi_uti_amount="n/a",'Inputs and Outputs'!W148*W5,IF(ISNUMBER(outYear),IF(outYear&lt;=pbi_uti_term,+pbi_uti_amount*(1+pbi_uti_escal/100)^(outYear-1)*W5,0),""))</f>
        <v/>
      </c>
      <c r="X79" s="73" t="str">
        <f>IF(pbi_uti_amount="n/a",'Inputs and Outputs'!X148*X5,IF(ISNUMBER(outYear),IF(outYear&lt;=pbi_uti_term,+pbi_uti_amount*(1+pbi_uti_escal/100)^(outYear-1)*X5,0),""))</f>
        <v/>
      </c>
      <c r="Y79" s="73" t="str">
        <f>IF(pbi_uti_amount="n/a",'Inputs and Outputs'!Y148*Y5,IF(ISNUMBER(outYear),IF(outYear&lt;=pbi_uti_term,+pbi_uti_amount*(1+pbi_uti_escal/100)^(outYear-1)*Y5,0),""))</f>
        <v/>
      </c>
      <c r="Z79" s="73" t="str">
        <f>IF(pbi_uti_amount="n/a",'Inputs and Outputs'!Z148*Z5,IF(ISNUMBER(outYear),IF(outYear&lt;=pbi_uti_term,+pbi_uti_amount*(1+pbi_uti_escal/100)^(outYear-1)*Z5,0),""))</f>
        <v/>
      </c>
      <c r="AA79" s="73" t="str">
        <f>IF(pbi_uti_amount="n/a",'Inputs and Outputs'!AA148*AA5,IF(ISNUMBER(outYear),IF(outYear&lt;=pbi_uti_term,+pbi_uti_amount*(1+pbi_uti_escal/100)^(outYear-1)*AA5,0),""))</f>
        <v/>
      </c>
      <c r="AB79" s="73" t="str">
        <f>IF(pbi_uti_amount="n/a",'Inputs and Outputs'!AB148*AB5,IF(ISNUMBER(outYear),IF(outYear&lt;=pbi_uti_term,+pbi_uti_amount*(1+pbi_uti_escal/100)^(outYear-1)*AB5,0),""))</f>
        <v/>
      </c>
      <c r="AC79" s="73" t="str">
        <f>IF(pbi_uti_amount="n/a",'Inputs and Outputs'!AC148*AC5,IF(ISNUMBER(outYear),IF(outYear&lt;=pbi_uti_term,+pbi_uti_amount*(1+pbi_uti_escal/100)^(outYear-1)*AC5,0),""))</f>
        <v/>
      </c>
      <c r="AD79" s="73" t="str">
        <f>IF(pbi_uti_amount="n/a",'Inputs and Outputs'!AD148*AD5,IF(ISNUMBER(outYear),IF(outYear&lt;=pbi_uti_term,+pbi_uti_amount*(1+pbi_uti_escal/100)^(outYear-1)*AD5,0),""))</f>
        <v/>
      </c>
      <c r="AE79" s="73" t="str">
        <f>IF(pbi_uti_amount="n/a",'Inputs and Outputs'!AE148*AE5,IF(ISNUMBER(outYear),IF(outYear&lt;=pbi_uti_term,+pbi_uti_amount*(1+pbi_uti_escal/100)^(outYear-1)*AE5,0),""))</f>
        <v/>
      </c>
      <c r="AF79" s="73" t="str">
        <f>IF(pbi_uti_amount="n/a",'Inputs and Outputs'!AF148*AF5,IF(ISNUMBER(outYear),IF(outYear&lt;=pbi_uti_term,+pbi_uti_amount*(1+pbi_uti_escal/100)^(outYear-1)*AF5,0),""))</f>
        <v/>
      </c>
      <c r="AG79" s="73" t="str">
        <f>IF(pbi_uti_amount="n/a",'Inputs and Outputs'!AG148*AG5,IF(ISNUMBER(outYear),IF(outYear&lt;=pbi_uti_term,+pbi_uti_amount*(1+pbi_uti_escal/100)^(outYear-1)*AG5,0),""))</f>
        <v/>
      </c>
      <c r="AH79" s="73" t="str">
        <f>IF(pbi_uti_amount="n/a",'Inputs and Outputs'!AH148*AH5,IF(ISNUMBER(outYear),IF(outYear&lt;=pbi_uti_term,+pbi_uti_amount*(1+pbi_uti_escal/100)^(outYear-1)*AH5,0),""))</f>
        <v/>
      </c>
      <c r="AI79" s="73" t="str">
        <f>IF(pbi_uti_amount="n/a",'Inputs and Outputs'!AI148*AI5,IF(ISNUMBER(outYear),IF(outYear&lt;=pbi_uti_term,+pbi_uti_amount*(1+pbi_uti_escal/100)^(outYear-1)*AI5,0),""))</f>
        <v/>
      </c>
      <c r="AJ79" s="73" t="str">
        <f>IF(pbi_uti_amount="n/a",'Inputs and Outputs'!AJ148*AJ5,IF(ISNUMBER(outYear),IF(outYear&lt;=pbi_uti_term,+pbi_uti_amount*(1+pbi_uti_escal/100)^(outYear-1)*AJ5,0),""))</f>
        <v/>
      </c>
      <c r="AK79" s="73" t="str">
        <f>IF(pbi_uti_amount="n/a",'Inputs and Outputs'!AK148*AK5,IF(ISNUMBER(outYear),IF(outYear&lt;=pbi_uti_term,+pbi_uti_amount*(1+pbi_uti_escal/100)^(outYear-1)*AK5,0),""))</f>
        <v/>
      </c>
      <c r="AL79" s="73" t="str">
        <f>IF(pbi_uti_amount="n/a",'Inputs and Outputs'!AL148*AL5,IF(ISNUMBER(outYear),IF(outYear&lt;=pbi_uti_term,+pbi_uti_amount*(1+pbi_uti_escal/100)^(outYear-1)*AL5,0),""))</f>
        <v/>
      </c>
      <c r="AM79" s="73" t="str">
        <f>IF(pbi_uti_amount="n/a",'Inputs and Outputs'!AM148*AM5,IF(ISNUMBER(outYear),IF(outYear&lt;=pbi_uti_term,+pbi_uti_amount*(1+pbi_uti_escal/100)^(outYear-1)*AM5,0),""))</f>
        <v/>
      </c>
      <c r="AN79" s="73" t="str">
        <f>IF(pbi_uti_amount="n/a",'Inputs and Outputs'!AN148*AN5,IF(ISNUMBER(outYear),IF(outYear&lt;=pbi_uti_term,+pbi_uti_amount*(1+pbi_uti_escal/100)^(outYear-1)*AN5,0),""))</f>
        <v/>
      </c>
      <c r="AO79" s="73" t="str">
        <f>IF(pbi_uti_amount="n/a",'Inputs and Outputs'!AO148*AO5,IF(ISNUMBER(outYear),IF(outYear&lt;=pbi_uti_term,+pbi_uti_amount*(1+pbi_uti_escal/100)^(outYear-1)*AO5,0),""))</f>
        <v/>
      </c>
      <c r="AP79" s="73" t="str">
        <f>IF(pbi_uti_amount="n/a",'Inputs and Outputs'!AP148*AP5,IF(ISNUMBER(outYear),IF(outYear&lt;=pbi_uti_term,+pbi_uti_amount*(1+pbi_uti_escal/100)^(outYear-1)*AP5,0),""))</f>
        <v/>
      </c>
      <c r="AQ79" s="73" t="str">
        <f>IF(pbi_uti_amount="n/a",'Inputs and Outputs'!AQ148*AQ5,IF(ISNUMBER(outYear),IF(outYear&lt;=pbi_uti_term,+pbi_uti_amount*(1+pbi_uti_escal/100)^(outYear-1)*AQ5,0),""))</f>
        <v/>
      </c>
      <c r="AR79" s="73" t="str">
        <f>IF(pbi_uti_amount="n/a",'Inputs and Outputs'!AR148*AR5,IF(ISNUMBER(outYear),IF(outYear&lt;=pbi_uti_term,+pbi_uti_amount*(1+pbi_uti_escal/100)^(outYear-1)*AR5,0),""))</f>
        <v/>
      </c>
      <c r="AS79" s="73" t="str">
        <f>IF(pbi_uti_amount="n/a",'Inputs and Outputs'!AS148*AS5,IF(ISNUMBER(outYear),IF(outYear&lt;=pbi_uti_term,+pbi_uti_amount*(1+pbi_uti_escal/100)^(outYear-1)*AS5,0),""))</f>
        <v/>
      </c>
      <c r="AT79" s="73" t="str">
        <f>IF(pbi_uti_amount="n/a",'Inputs and Outputs'!AT148*AT5,IF(ISNUMBER(outYear),IF(outYear&lt;=pbi_uti_term,+pbi_uti_amount*(1+pbi_uti_escal/100)^(outYear-1)*AT5,0),""))</f>
        <v/>
      </c>
      <c r="AU79" s="73" t="str">
        <f>IF(pbi_uti_amount="n/a",'Inputs and Outputs'!AU148*AU5,IF(ISNUMBER(outYear),IF(outYear&lt;=pbi_uti_term,+pbi_uti_amount*(1+pbi_uti_escal/100)^(outYear-1)*AU5,0),""))</f>
        <v/>
      </c>
      <c r="AV79" s="73" t="str">
        <f>IF(pbi_uti_amount="n/a",'Inputs and Outputs'!AV148*AV5,IF(ISNUMBER(outYear),IF(outYear&lt;=pbi_uti_term,+pbi_uti_amount*(1+pbi_uti_escal/100)^(outYear-1)*AV5,0),""))</f>
        <v/>
      </c>
      <c r="AW79" s="73" t="str">
        <f>IF(pbi_uti_amount="n/a",'Inputs and Outputs'!AW148*AW5,IF(ISNUMBER(outYear),IF(outYear&lt;=pbi_uti_term,+pbi_uti_amount*(1+pbi_uti_escal/100)^(outYear-1)*AW5,0),""))</f>
        <v/>
      </c>
      <c r="AX79" s="73" t="str">
        <f>IF(pbi_uti_amount="n/a",'Inputs and Outputs'!AX148*AX5,IF(ISNUMBER(outYear),IF(outYear&lt;=pbi_uti_term,+pbi_uti_amount*(1+pbi_uti_escal/100)^(outYear-1)*AX5,0),""))</f>
        <v/>
      </c>
      <c r="AY79" s="73" t="str">
        <f>IF(pbi_uti_amount="n/a",'Inputs and Outputs'!AY148*AY5,IF(ISNUMBER(outYear),IF(outYear&lt;=pbi_uti_term,+pbi_uti_amount*(1+pbi_uti_escal/100)^(outYear-1)*AY5,0),""))</f>
        <v/>
      </c>
      <c r="AZ79" s="73" t="str">
        <f>IF(pbi_uti_amount="n/a",'Inputs and Outputs'!AZ148*AZ5,IF(ISNUMBER(outYear),IF(outYear&lt;=pbi_uti_term,+pbi_uti_amount*(1+pbi_uti_escal/100)^(outYear-1)*AZ5,0),""))</f>
        <v/>
      </c>
      <c r="BA79" s="73" t="str">
        <f>IF(pbi_uti_amount="n/a",'Inputs and Outputs'!BA148*BA5,IF(ISNUMBER(outYear),IF(outYear&lt;=pbi_uti_term,+pbi_uti_amount*(1+pbi_uti_escal/100)^(outYear-1)*BA5,0),""))</f>
        <v/>
      </c>
      <c r="BB79" s="73" t="str">
        <f>IF(pbi_uti_amount="n/a",'Inputs and Outputs'!BB148*BB5,IF(ISNUMBER(outYear),IF(outYear&lt;=pbi_uti_term,+pbi_uti_amount*(1+pbi_uti_escal/100)^(outYear-1)*BB5,0),""))</f>
        <v/>
      </c>
      <c r="BC79" s="73" t="str">
        <f>IF(pbi_uti_amount="n/a",'Inputs and Outputs'!BC148*BC5,IF(ISNUMBER(outYear),IF(outYear&lt;=pbi_uti_term,+pbi_uti_amount*(1+pbi_uti_escal/100)^(outYear-1)*BC5,0),""))</f>
        <v/>
      </c>
      <c r="BD79" s="73" t="str">
        <f>IF(pbi_uti_amount="n/a",'Inputs and Outputs'!BD148*BD5,IF(ISNUMBER(outYear),IF(outYear&lt;=pbi_uti_term,+pbi_uti_amount*(1+pbi_uti_escal/100)^(outYear-1)*BD5,0),""))</f>
        <v/>
      </c>
      <c r="BE79" s="73" t="str">
        <f>IF(pbi_uti_amount="n/a",'Inputs and Outputs'!BE148*BE5,IF(ISNUMBER(outYear),IF(outYear&lt;=pbi_uti_term,+pbi_uti_amount*(1+pbi_uti_escal/100)^(outYear-1)*BE5,0),""))</f>
        <v/>
      </c>
      <c r="BF79" s="73" t="str">
        <f>IF(pbi_uti_amount="n/a",'Inputs and Outputs'!BF148*BF5,IF(ISNUMBER(outYear),IF(outYear&lt;=pbi_uti_term,+pbi_uti_amount*(1+pbi_uti_escal/100)^(outYear-1)*BF5,0),""))</f>
        <v/>
      </c>
      <c r="BG79" s="73" t="str">
        <f>IF(pbi_uti_amount="n/a",'Inputs and Outputs'!BG148*BG5,IF(ISNUMBER(outYear),IF(outYear&lt;=pbi_uti_term,+pbi_uti_amount*(1+pbi_uti_escal/100)^(outYear-1)*BG5,0),""))</f>
        <v/>
      </c>
      <c r="BH79" s="73" t="str">
        <f>IF(pbi_uti_amount="n/a",'Inputs and Outputs'!BH148*BH5,IF(ISNUMBER(outYear),IF(outYear&lt;=pbi_uti_term,+pbi_uti_amount*(1+pbi_uti_escal/100)^(outYear-1)*BH5,0),""))</f>
        <v/>
      </c>
      <c r="BI79" s="73" t="str">
        <f>IF(pbi_uti_amount="n/a",'Inputs and Outputs'!BI148*BI5,IF(ISNUMBER(outYear),IF(outYear&lt;=pbi_uti_term,+pbi_uti_amount*(1+pbi_uti_escal/100)^(outYear-1)*BI5,0),""))</f>
        <v/>
      </c>
      <c r="BJ79" s="73" t="str">
        <f>IF(pbi_uti_amount="n/a",'Inputs and Outputs'!BJ148*BJ5,IF(ISNUMBER(outYear),IF(outYear&lt;=pbi_uti_term,+pbi_uti_amount*(1+pbi_uti_escal/100)^(outYear-1)*BJ5,0),""))</f>
        <v/>
      </c>
      <c r="BK79" s="73" t="str">
        <f>IF(pbi_uti_amount="n/a",'Inputs and Outputs'!BK148*BK5,IF(ISNUMBER(outYear),IF(outYear&lt;=pbi_uti_term,+pbi_uti_amount*(1+pbi_uti_escal/100)^(outYear-1)*BK5,0),""))</f>
        <v/>
      </c>
      <c r="BL79" s="73" t="str">
        <f>IF(pbi_uti_amount="n/a",'Inputs and Outputs'!BL148*BL5,IF(ISNUMBER(outYear),IF(outYear&lt;=pbi_uti_term,+pbi_uti_amount*(1+pbi_uti_escal/100)^(outYear-1)*BL5,0),""))</f>
        <v/>
      </c>
      <c r="BM79" s="73" t="str">
        <f>IF(pbi_uti_amount="n/a",'Inputs and Outputs'!BM148*BM5,IF(ISNUMBER(outYear),IF(outYear&lt;=pbi_uti_term,+pbi_uti_amount*(1+pbi_uti_escal/100)^(outYear-1)*BM5,0),""))</f>
        <v/>
      </c>
      <c r="BN79" s="73" t="str">
        <f>IF(pbi_uti_amount="n/a",'Inputs and Outputs'!BN148*BN5,IF(ISNUMBER(outYear),IF(outYear&lt;=pbi_uti_term,+pbi_uti_amount*(1+pbi_uti_escal/100)^(outYear-1)*BN5,0),""))</f>
        <v/>
      </c>
      <c r="BO79" s="73" t="str">
        <f>IF(pbi_uti_amount="n/a",'Inputs and Outputs'!BO148*BO5,IF(ISNUMBER(outYear),IF(outYear&lt;=pbi_uti_term,+pbi_uti_amount*(1+pbi_uti_escal/100)^(outYear-1)*BO5,0),""))</f>
        <v/>
      </c>
      <c r="BP79" s="73" t="str">
        <f>IF(pbi_uti_amount="n/a",'Inputs and Outputs'!BP148*BP5,IF(ISNUMBER(outYear),IF(outYear&lt;=pbi_uti_term,+pbi_uti_amount*(1+pbi_uti_escal/100)^(outYear-1)*BP5,0),""))</f>
        <v/>
      </c>
      <c r="BQ79" s="73" t="str">
        <f>IF(pbi_uti_amount="n/a",'Inputs and Outputs'!BQ148*BQ5,IF(ISNUMBER(outYear),IF(outYear&lt;=pbi_uti_term,+pbi_uti_amount*(1+pbi_uti_escal/100)^(outYear-1)*BQ5,0),""))</f>
        <v/>
      </c>
      <c r="BR79" s="73" t="str">
        <f>IF(pbi_uti_amount="n/a",'Inputs and Outputs'!BR148*BR5,IF(ISNUMBER(outYear),IF(outYear&lt;=pbi_uti_term,+pbi_uti_amount*(1+pbi_uti_escal/100)^(outYear-1)*BR5,0),""))</f>
        <v/>
      </c>
      <c r="BS79" s="73" t="str">
        <f>IF(pbi_uti_amount="n/a",'Inputs and Outputs'!BS148*BS5,IF(ISNUMBER(outYear),IF(outYear&lt;=pbi_uti_term,+pbi_uti_amount*(1+pbi_uti_escal/100)^(outYear-1)*BS5,0),""))</f>
        <v/>
      </c>
      <c r="BT79" s="73" t="str">
        <f>IF(pbi_uti_amount="n/a",'Inputs and Outputs'!BT148*BT5,IF(ISNUMBER(outYear),IF(outYear&lt;=pbi_uti_term,+pbi_uti_amount*(1+pbi_uti_escal/100)^(outYear-1)*BT5,0),""))</f>
        <v/>
      </c>
      <c r="BU79" s="73" t="str">
        <f>IF(pbi_uti_amount="n/a",'Inputs and Outputs'!BU148*BU5,IF(ISNUMBER(outYear),IF(outYear&lt;=pbi_uti_term,+pbi_uti_amount*(1+pbi_uti_escal/100)^(outYear-1)*BU5,0),""))</f>
        <v/>
      </c>
      <c r="BV79" s="73" t="str">
        <f>IF(pbi_uti_amount="n/a",'Inputs and Outputs'!BV148*BV5,IF(ISNUMBER(outYear),IF(outYear&lt;=pbi_uti_term,+pbi_uti_amount*(1+pbi_uti_escal/100)^(outYear-1)*BV5,0),""))</f>
        <v/>
      </c>
      <c r="BW79" s="73" t="str">
        <f>IF(pbi_uti_amount="n/a",'Inputs and Outputs'!BW148*BW5,IF(ISNUMBER(outYear),IF(outYear&lt;=pbi_uti_term,+pbi_uti_amount*(1+pbi_uti_escal/100)^(outYear-1)*BW5,0),""))</f>
        <v/>
      </c>
      <c r="BX79" s="73" t="str">
        <f>IF(pbi_uti_amount="n/a",'Inputs and Outputs'!BX148*BX5,IF(ISNUMBER(outYear),IF(outYear&lt;=pbi_uti_term,+pbi_uti_amount*(1+pbi_uti_escal/100)^(outYear-1)*BX5,0),""))</f>
        <v/>
      </c>
      <c r="BY79" s="73" t="str">
        <f>IF(pbi_uti_amount="n/a",'Inputs and Outputs'!BY148*BY5,IF(ISNUMBER(outYear),IF(outYear&lt;=pbi_uti_term,+pbi_uti_amount*(1+pbi_uti_escal/100)^(outYear-1)*BY5,0),""))</f>
        <v/>
      </c>
      <c r="BZ79" s="73" t="str">
        <f>IF(pbi_uti_amount="n/a",'Inputs and Outputs'!BZ148*BZ5,IF(ISNUMBER(outYear),IF(outYear&lt;=pbi_uti_term,+pbi_uti_amount*(1+pbi_uti_escal/100)^(outYear-1)*BZ5,0),""))</f>
        <v/>
      </c>
      <c r="CA79" s="73" t="str">
        <f>IF(pbi_uti_amount="n/a",'Inputs and Outputs'!CA148*CA5,IF(ISNUMBER(outYear),IF(outYear&lt;=pbi_uti_term,+pbi_uti_amount*(1+pbi_uti_escal/100)^(outYear-1)*CA5,0),""))</f>
        <v/>
      </c>
      <c r="CB79" s="73" t="str">
        <f>IF(pbi_uti_amount="n/a",'Inputs and Outputs'!CB148*CB5,IF(ISNUMBER(outYear),IF(outYear&lt;=pbi_uti_term,+pbi_uti_amount*(1+pbi_uti_escal/100)^(outYear-1)*CB5,0),""))</f>
        <v/>
      </c>
      <c r="CC79" s="73" t="str">
        <f>IF(pbi_uti_amount="n/a",'Inputs and Outputs'!CC148*CC5,IF(ISNUMBER(outYear),IF(outYear&lt;=pbi_uti_term,+pbi_uti_amount*(1+pbi_uti_escal/100)^(outYear-1)*CC5,0),""))</f>
        <v/>
      </c>
      <c r="CD79" s="73" t="str">
        <f>IF(pbi_uti_amount="n/a",'Inputs and Outputs'!CD148*CD5,IF(ISNUMBER(outYear),IF(outYear&lt;=pbi_uti_term,+pbi_uti_amount*(1+pbi_uti_escal/100)^(outYear-1)*CD5,0),""))</f>
        <v/>
      </c>
      <c r="CE79" s="73" t="str">
        <f>IF(pbi_uti_amount="n/a",'Inputs and Outputs'!CE148*CE5,IF(ISNUMBER(outYear),IF(outYear&lt;=pbi_uti_term,+pbi_uti_amount*(1+pbi_uti_escal/100)^(outYear-1)*CE5,0),""))</f>
        <v/>
      </c>
      <c r="CF79" s="73" t="str">
        <f>IF(pbi_uti_amount="n/a",'Inputs and Outputs'!CF148*CF5,IF(ISNUMBER(outYear),IF(outYear&lt;=pbi_uti_term,+pbi_uti_amount*(1+pbi_uti_escal/100)^(outYear-1)*CF5,0),""))</f>
        <v/>
      </c>
      <c r="CG79" s="73" t="str">
        <f>IF(pbi_uti_amount="n/a",'Inputs and Outputs'!CG148*CG5,IF(ISNUMBER(outYear),IF(outYear&lt;=pbi_uti_term,+pbi_uti_amount*(1+pbi_uti_escal/100)^(outYear-1)*CG5,0),""))</f>
        <v/>
      </c>
      <c r="CH79" s="73" t="str">
        <f>IF(pbi_uti_amount="n/a",'Inputs and Outputs'!CH148*CH5,IF(ISNUMBER(outYear),IF(outYear&lt;=pbi_uti_term,+pbi_uti_amount*(1+pbi_uti_escal/100)^(outYear-1)*CH5,0),""))</f>
        <v/>
      </c>
      <c r="CI79" s="73" t="str">
        <f>IF(pbi_uti_amount="n/a",'Inputs and Outputs'!CI148*CI5,IF(ISNUMBER(outYear),IF(outYear&lt;=pbi_uti_term,+pbi_uti_amount*(1+pbi_uti_escal/100)^(outYear-1)*CI5,0),""))</f>
        <v/>
      </c>
      <c r="CJ79" s="73" t="str">
        <f>IF(pbi_uti_amount="n/a",'Inputs and Outputs'!CJ148*CJ5,IF(ISNUMBER(outYear),IF(outYear&lt;=pbi_uti_term,+pbi_uti_amount*(1+pbi_uti_escal/100)^(outYear-1)*CJ5,0),""))</f>
        <v/>
      </c>
      <c r="CK79" s="73" t="str">
        <f>IF(pbi_uti_amount="n/a",'Inputs and Outputs'!CK148*CK5,IF(ISNUMBER(outYear),IF(outYear&lt;=pbi_uti_term,+pbi_uti_amount*(1+pbi_uti_escal/100)^(outYear-1)*CK5,0),""))</f>
        <v/>
      </c>
      <c r="CL79" s="73" t="str">
        <f>IF(pbi_uti_amount="n/a",'Inputs and Outputs'!CL148*CL5,IF(ISNUMBER(outYear),IF(outYear&lt;=pbi_uti_term,+pbi_uti_amount*(1+pbi_uti_escal/100)^(outYear-1)*CL5,0),""))</f>
        <v/>
      </c>
      <c r="CM79" s="73" t="str">
        <f>IF(pbi_uti_amount="n/a",'Inputs and Outputs'!CM148*CM5,IF(ISNUMBER(outYear),IF(outYear&lt;=pbi_uti_term,+pbi_uti_amount*(1+pbi_uti_escal/100)^(outYear-1)*CM5,0),""))</f>
        <v/>
      </c>
      <c r="CN79" s="73" t="str">
        <f>IF(pbi_uti_amount="n/a",'Inputs and Outputs'!CN148*CN5,IF(ISNUMBER(outYear),IF(outYear&lt;=pbi_uti_term,+pbi_uti_amount*(1+pbi_uti_escal/100)^(outYear-1)*CN5,0),""))</f>
        <v/>
      </c>
      <c r="CO79" s="73" t="str">
        <f>IF(pbi_uti_amount="n/a",'Inputs and Outputs'!CO148*CO5,IF(ISNUMBER(outYear),IF(outYear&lt;=pbi_uti_term,+pbi_uti_amount*(1+pbi_uti_escal/100)^(outYear-1)*CO5,0),""))</f>
        <v/>
      </c>
      <c r="CP79" s="73" t="str">
        <f>IF(pbi_uti_amount="n/a",'Inputs and Outputs'!CP148*CP5,IF(ISNUMBER(outYear),IF(outYear&lt;=pbi_uti_term,+pbi_uti_amount*(1+pbi_uti_escal/100)^(outYear-1)*CP5,0),""))</f>
        <v/>
      </c>
      <c r="CQ79" s="73" t="str">
        <f>IF(pbi_uti_amount="n/a",'Inputs and Outputs'!CQ148*CQ5,IF(ISNUMBER(outYear),IF(outYear&lt;=pbi_uti_term,+pbi_uti_amount*(1+pbi_uti_escal/100)^(outYear-1)*CQ5,0),""))</f>
        <v/>
      </c>
      <c r="CR79" s="73" t="str">
        <f>IF(pbi_uti_amount="n/a",'Inputs and Outputs'!CR148*CR5,IF(ISNUMBER(outYear),IF(outYear&lt;=pbi_uti_term,+pbi_uti_amount*(1+pbi_uti_escal/100)^(outYear-1)*CR5,0),""))</f>
        <v/>
      </c>
      <c r="CS79" s="73" t="str">
        <f>IF(pbi_uti_amount="n/a",'Inputs and Outputs'!CS148*CS5,IF(ISNUMBER(outYear),IF(outYear&lt;=pbi_uti_term,+pbi_uti_amount*(1+pbi_uti_escal/100)^(outYear-1)*CS5,0),""))</f>
        <v/>
      </c>
      <c r="CT79" s="73" t="str">
        <f>IF(pbi_uti_amount="n/a",'Inputs and Outputs'!CT148*CT5,IF(ISNUMBER(outYear),IF(outYear&lt;=pbi_uti_term,+pbi_uti_amount*(1+pbi_uti_escal/100)^(outYear-1)*CT5,0),""))</f>
        <v/>
      </c>
      <c r="CU79" s="73" t="str">
        <f>IF(pbi_uti_amount="n/a",'Inputs and Outputs'!CU148*CU5,IF(ISNUMBER(outYear),IF(outYear&lt;=pbi_uti_term,+pbi_uti_amount*(1+pbi_uti_escal/100)^(outYear-1)*CU5,0),""))</f>
        <v/>
      </c>
      <c r="CV79" s="73" t="str">
        <f>IF(pbi_uti_amount="n/a",'Inputs and Outputs'!CV148*CV5,IF(ISNUMBER(outYear),IF(outYear&lt;=pbi_uti_term,+pbi_uti_amount*(1+pbi_uti_escal/100)^(outYear-1)*CV5,0),""))</f>
        <v/>
      </c>
      <c r="CW79" s="73" t="str">
        <f>IF(pbi_uti_amount="n/a",'Inputs and Outputs'!CW148*CW5,IF(ISNUMBER(outYear),IF(outYear&lt;=pbi_uti_term,+pbi_uti_amount*(1+pbi_uti_escal/100)^(outYear-1)*CW5,0),""))</f>
        <v/>
      </c>
      <c r="CX79" s="73" t="str">
        <f>IF(pbi_uti_amount="n/a",'Inputs and Outputs'!CX148*CX5,IF(ISNUMBER(outYear),IF(outYear&lt;=pbi_sta_term,+pbi_sta_amount*(1+pbi_sta_escal/100)^(outYear-1)*CX5,0),""))</f>
        <v/>
      </c>
    </row>
    <row r="80" spans="1:102" x14ac:dyDescent="0.25">
      <c r="A80" s="61" t="s">
        <v>19</v>
      </c>
      <c r="B80" s="5"/>
      <c r="C80" s="75" t="str">
        <f>IF(pbi_oth_amount="n/a",'Inputs and Outputs'!C149*C5,IF(ISNUMBER(outYear),IF(outYear&lt;=pbi_oth_term,+pbi_oth_amount*(1+pbi_oth_escal/100)^(outYear-1)*C5,0),""))</f>
        <v/>
      </c>
      <c r="D80" s="75" t="str">
        <f>IF(pbi_oth_amount="n/a",'Inputs and Outputs'!D149*D5,IF(ISNUMBER(outYear),IF(outYear&lt;=pbi_oth_term,+pbi_oth_amount*(1+pbi_oth_escal/100)^(outYear-1)*D5,0),""))</f>
        <v/>
      </c>
      <c r="E80" s="75" t="str">
        <f>IF(pbi_oth_amount="n/a",'Inputs and Outputs'!E149*E5,IF(ISNUMBER(outYear),IF(outYear&lt;=pbi_oth_term,+pbi_oth_amount*(1+pbi_oth_escal/100)^(outYear-1)*E5,0),""))</f>
        <v/>
      </c>
      <c r="F80" s="75" t="str">
        <f>IF(pbi_oth_amount="n/a",'Inputs and Outputs'!F149*F5,IF(ISNUMBER(outYear),IF(outYear&lt;=pbi_oth_term,+pbi_oth_amount*(1+pbi_oth_escal/100)^(outYear-1)*F5,0),""))</f>
        <v/>
      </c>
      <c r="G80" s="75" t="str">
        <f>IF(pbi_oth_amount="n/a",'Inputs and Outputs'!G149*G5,IF(ISNUMBER(outYear),IF(outYear&lt;=pbi_oth_term,+pbi_oth_amount*(1+pbi_oth_escal/100)^(outYear-1)*G5,0),""))</f>
        <v/>
      </c>
      <c r="H80" s="75" t="str">
        <f>IF(pbi_oth_amount="n/a",'Inputs and Outputs'!H149*H5,IF(ISNUMBER(outYear),IF(outYear&lt;=pbi_oth_term,+pbi_oth_amount*(1+pbi_oth_escal/100)^(outYear-1)*H5,0),""))</f>
        <v/>
      </c>
      <c r="I80" s="75" t="str">
        <f>IF(pbi_oth_amount="n/a",'Inputs and Outputs'!I149*I5,IF(ISNUMBER(outYear),IF(outYear&lt;=pbi_oth_term,+pbi_oth_amount*(1+pbi_oth_escal/100)^(outYear-1)*I5,0),""))</f>
        <v/>
      </c>
      <c r="J80" s="75" t="str">
        <f>IF(pbi_oth_amount="n/a",'Inputs and Outputs'!J149*J5,IF(ISNUMBER(outYear),IF(outYear&lt;=pbi_oth_term,+pbi_oth_amount*(1+pbi_oth_escal/100)^(outYear-1)*J5,0),""))</f>
        <v/>
      </c>
      <c r="K80" s="75" t="str">
        <f>IF(pbi_oth_amount="n/a",'Inputs and Outputs'!K149*K5,IF(ISNUMBER(outYear),IF(outYear&lt;=pbi_oth_term,+pbi_oth_amount*(1+pbi_oth_escal/100)^(outYear-1)*K5,0),""))</f>
        <v/>
      </c>
      <c r="L80" s="75" t="str">
        <f>IF(pbi_oth_amount="n/a",'Inputs and Outputs'!L149*L5,IF(ISNUMBER(outYear),IF(outYear&lt;=pbi_oth_term,+pbi_oth_amount*(1+pbi_oth_escal/100)^(outYear-1)*L5,0),""))</f>
        <v/>
      </c>
      <c r="M80" s="75" t="str">
        <f>IF(pbi_oth_amount="n/a",'Inputs and Outputs'!M149*M5,IF(ISNUMBER(outYear),IF(outYear&lt;=pbi_oth_term,+pbi_oth_amount*(1+pbi_oth_escal/100)^(outYear-1)*M5,0),""))</f>
        <v/>
      </c>
      <c r="N80" s="75" t="str">
        <f>IF(pbi_oth_amount="n/a",'Inputs and Outputs'!N149*N5,IF(ISNUMBER(outYear),IF(outYear&lt;=pbi_oth_term,+pbi_oth_amount*(1+pbi_oth_escal/100)^(outYear-1)*N5,0),""))</f>
        <v/>
      </c>
      <c r="O80" s="75" t="str">
        <f>IF(pbi_oth_amount="n/a",'Inputs and Outputs'!O149*O5,IF(ISNUMBER(outYear),IF(outYear&lt;=pbi_oth_term,+pbi_oth_amount*(1+pbi_oth_escal/100)^(outYear-1)*O5,0),""))</f>
        <v/>
      </c>
      <c r="P80" s="75" t="str">
        <f>IF(pbi_oth_amount="n/a",'Inputs and Outputs'!P149*P5,IF(ISNUMBER(outYear),IF(outYear&lt;=pbi_oth_term,+pbi_oth_amount*(1+pbi_oth_escal/100)^(outYear-1)*P5,0),""))</f>
        <v/>
      </c>
      <c r="Q80" s="75" t="str">
        <f>IF(pbi_oth_amount="n/a",'Inputs and Outputs'!Q149*Q5,IF(ISNUMBER(outYear),IF(outYear&lt;=pbi_oth_term,+pbi_oth_amount*(1+pbi_oth_escal/100)^(outYear-1)*Q5,0),""))</f>
        <v/>
      </c>
      <c r="R80" s="75" t="str">
        <f>IF(pbi_oth_amount="n/a",'Inputs and Outputs'!R149*R5,IF(ISNUMBER(outYear),IF(outYear&lt;=pbi_oth_term,+pbi_oth_amount*(1+pbi_oth_escal/100)^(outYear-1)*R5,0),""))</f>
        <v/>
      </c>
      <c r="S80" s="75" t="str">
        <f>IF(pbi_oth_amount="n/a",'Inputs and Outputs'!S149*S5,IF(ISNUMBER(outYear),IF(outYear&lt;=pbi_oth_term,+pbi_oth_amount*(1+pbi_oth_escal/100)^(outYear-1)*S5,0),""))</f>
        <v/>
      </c>
      <c r="T80" s="75" t="str">
        <f>IF(pbi_oth_amount="n/a",'Inputs and Outputs'!T149*T5,IF(ISNUMBER(outYear),IF(outYear&lt;=pbi_oth_term,+pbi_oth_amount*(1+pbi_oth_escal/100)^(outYear-1)*T5,0),""))</f>
        <v/>
      </c>
      <c r="U80" s="75" t="str">
        <f>IF(pbi_oth_amount="n/a",'Inputs and Outputs'!U149*U5,IF(ISNUMBER(outYear),IF(outYear&lt;=pbi_oth_term,+pbi_oth_amount*(1+pbi_oth_escal/100)^(outYear-1)*U5,0),""))</f>
        <v/>
      </c>
      <c r="V80" s="75" t="str">
        <f>IF(pbi_oth_amount="n/a",'Inputs and Outputs'!V149*V5,IF(ISNUMBER(outYear),IF(outYear&lt;=pbi_oth_term,+pbi_oth_amount*(1+pbi_oth_escal/100)^(outYear-1)*V5,0),""))</f>
        <v/>
      </c>
      <c r="W80" s="75" t="str">
        <f>IF(pbi_oth_amount="n/a",'Inputs and Outputs'!W149*W5,IF(ISNUMBER(outYear),IF(outYear&lt;=pbi_oth_term,+pbi_oth_amount*(1+pbi_oth_escal/100)^(outYear-1)*W5,0),""))</f>
        <v/>
      </c>
      <c r="X80" s="75" t="str">
        <f>IF(pbi_oth_amount="n/a",'Inputs and Outputs'!X149*X5,IF(ISNUMBER(outYear),IF(outYear&lt;=pbi_oth_term,+pbi_oth_amount*(1+pbi_oth_escal/100)^(outYear-1)*X5,0),""))</f>
        <v/>
      </c>
      <c r="Y80" s="75" t="str">
        <f>IF(pbi_oth_amount="n/a",'Inputs and Outputs'!Y149*Y5,IF(ISNUMBER(outYear),IF(outYear&lt;=pbi_oth_term,+pbi_oth_amount*(1+pbi_oth_escal/100)^(outYear-1)*Y5,0),""))</f>
        <v/>
      </c>
      <c r="Z80" s="75" t="str">
        <f>IF(pbi_oth_amount="n/a",'Inputs and Outputs'!Z149*Z5,IF(ISNUMBER(outYear),IF(outYear&lt;=pbi_oth_term,+pbi_oth_amount*(1+pbi_oth_escal/100)^(outYear-1)*Z5,0),""))</f>
        <v/>
      </c>
      <c r="AA80" s="75" t="str">
        <f>IF(pbi_oth_amount="n/a",'Inputs and Outputs'!AA149*AA5,IF(ISNUMBER(outYear),IF(outYear&lt;=pbi_oth_term,+pbi_oth_amount*(1+pbi_oth_escal/100)^(outYear-1)*AA5,0),""))</f>
        <v/>
      </c>
      <c r="AB80" s="75" t="str">
        <f>IF(pbi_oth_amount="n/a",'Inputs and Outputs'!AB149*AB5,IF(ISNUMBER(outYear),IF(outYear&lt;=pbi_oth_term,+pbi_oth_amount*(1+pbi_oth_escal/100)^(outYear-1)*AB5,0),""))</f>
        <v/>
      </c>
      <c r="AC80" s="75" t="str">
        <f>IF(pbi_oth_amount="n/a",'Inputs and Outputs'!AC149*AC5,IF(ISNUMBER(outYear),IF(outYear&lt;=pbi_oth_term,+pbi_oth_amount*(1+pbi_oth_escal/100)^(outYear-1)*AC5,0),""))</f>
        <v/>
      </c>
      <c r="AD80" s="75" t="str">
        <f>IF(pbi_oth_amount="n/a",'Inputs and Outputs'!AD149*AD5,IF(ISNUMBER(outYear),IF(outYear&lt;=pbi_oth_term,+pbi_oth_amount*(1+pbi_oth_escal/100)^(outYear-1)*AD5,0),""))</f>
        <v/>
      </c>
      <c r="AE80" s="75" t="str">
        <f>IF(pbi_oth_amount="n/a",'Inputs and Outputs'!AE149*AE5,IF(ISNUMBER(outYear),IF(outYear&lt;=pbi_oth_term,+pbi_oth_amount*(1+pbi_oth_escal/100)^(outYear-1)*AE5,0),""))</f>
        <v/>
      </c>
      <c r="AF80" s="75" t="str">
        <f>IF(pbi_oth_amount="n/a",'Inputs and Outputs'!AF149*AF5,IF(ISNUMBER(outYear),IF(outYear&lt;=pbi_oth_term,+pbi_oth_amount*(1+pbi_oth_escal/100)^(outYear-1)*AF5,0),""))</f>
        <v/>
      </c>
      <c r="AG80" s="75" t="str">
        <f>IF(pbi_oth_amount="n/a",'Inputs and Outputs'!AG149*AG5,IF(ISNUMBER(outYear),IF(outYear&lt;=pbi_oth_term,+pbi_oth_amount*(1+pbi_oth_escal/100)^(outYear-1)*AG5,0),""))</f>
        <v/>
      </c>
      <c r="AH80" s="75" t="str">
        <f>IF(pbi_oth_amount="n/a",'Inputs and Outputs'!AH149*AH5,IF(ISNUMBER(outYear),IF(outYear&lt;=pbi_oth_term,+pbi_oth_amount*(1+pbi_oth_escal/100)^(outYear-1)*AH5,0),""))</f>
        <v/>
      </c>
      <c r="AI80" s="75" t="str">
        <f>IF(pbi_oth_amount="n/a",'Inputs and Outputs'!AI149*AI5,IF(ISNUMBER(outYear),IF(outYear&lt;=pbi_oth_term,+pbi_oth_amount*(1+pbi_oth_escal/100)^(outYear-1)*AI5,0),""))</f>
        <v/>
      </c>
      <c r="AJ80" s="75" t="str">
        <f>IF(pbi_oth_amount="n/a",'Inputs and Outputs'!AJ149*AJ5,IF(ISNUMBER(outYear),IF(outYear&lt;=pbi_oth_term,+pbi_oth_amount*(1+pbi_oth_escal/100)^(outYear-1)*AJ5,0),""))</f>
        <v/>
      </c>
      <c r="AK80" s="75" t="str">
        <f>IF(pbi_oth_amount="n/a",'Inputs and Outputs'!AK149*AK5,IF(ISNUMBER(outYear),IF(outYear&lt;=pbi_oth_term,+pbi_oth_amount*(1+pbi_oth_escal/100)^(outYear-1)*AK5,0),""))</f>
        <v/>
      </c>
      <c r="AL80" s="75" t="str">
        <f>IF(pbi_oth_amount="n/a",'Inputs and Outputs'!AL149*AL5,IF(ISNUMBER(outYear),IF(outYear&lt;=pbi_oth_term,+pbi_oth_amount*(1+pbi_oth_escal/100)^(outYear-1)*AL5,0),""))</f>
        <v/>
      </c>
      <c r="AM80" s="75" t="str">
        <f>IF(pbi_oth_amount="n/a",'Inputs and Outputs'!AM149*AM5,IF(ISNUMBER(outYear),IF(outYear&lt;=pbi_oth_term,+pbi_oth_amount*(1+pbi_oth_escal/100)^(outYear-1)*AM5,0),""))</f>
        <v/>
      </c>
      <c r="AN80" s="75" t="str">
        <f>IF(pbi_oth_amount="n/a",'Inputs and Outputs'!AN149*AN5,IF(ISNUMBER(outYear),IF(outYear&lt;=pbi_oth_term,+pbi_oth_amount*(1+pbi_oth_escal/100)^(outYear-1)*AN5,0),""))</f>
        <v/>
      </c>
      <c r="AO80" s="75" t="str">
        <f>IF(pbi_oth_amount="n/a",'Inputs and Outputs'!AO149*AO5,IF(ISNUMBER(outYear),IF(outYear&lt;=pbi_oth_term,+pbi_oth_amount*(1+pbi_oth_escal/100)^(outYear-1)*AO5,0),""))</f>
        <v/>
      </c>
      <c r="AP80" s="75" t="str">
        <f>IF(pbi_oth_amount="n/a",'Inputs and Outputs'!AP149*AP5,IF(ISNUMBER(outYear),IF(outYear&lt;=pbi_oth_term,+pbi_oth_amount*(1+pbi_oth_escal/100)^(outYear-1)*AP5,0),""))</f>
        <v/>
      </c>
      <c r="AQ80" s="75" t="str">
        <f>IF(pbi_oth_amount="n/a",'Inputs and Outputs'!AQ149*AQ5,IF(ISNUMBER(outYear),IF(outYear&lt;=pbi_oth_term,+pbi_oth_amount*(1+pbi_oth_escal/100)^(outYear-1)*AQ5,0),""))</f>
        <v/>
      </c>
      <c r="AR80" s="75" t="str">
        <f>IF(pbi_oth_amount="n/a",'Inputs and Outputs'!AR149*AR5,IF(ISNUMBER(outYear),IF(outYear&lt;=pbi_oth_term,+pbi_oth_amount*(1+pbi_oth_escal/100)^(outYear-1)*AR5,0),""))</f>
        <v/>
      </c>
      <c r="AS80" s="75" t="str">
        <f>IF(pbi_oth_amount="n/a",'Inputs and Outputs'!AS149*AS5,IF(ISNUMBER(outYear),IF(outYear&lt;=pbi_oth_term,+pbi_oth_amount*(1+pbi_oth_escal/100)^(outYear-1)*AS5,0),""))</f>
        <v/>
      </c>
      <c r="AT80" s="75" t="str">
        <f>IF(pbi_oth_amount="n/a",'Inputs and Outputs'!AT149*AT5,IF(ISNUMBER(outYear),IF(outYear&lt;=pbi_oth_term,+pbi_oth_amount*(1+pbi_oth_escal/100)^(outYear-1)*AT5,0),""))</f>
        <v/>
      </c>
      <c r="AU80" s="75" t="str">
        <f>IF(pbi_oth_amount="n/a",'Inputs and Outputs'!AU149*AU5,IF(ISNUMBER(outYear),IF(outYear&lt;=pbi_oth_term,+pbi_oth_amount*(1+pbi_oth_escal/100)^(outYear-1)*AU5,0),""))</f>
        <v/>
      </c>
      <c r="AV80" s="75" t="str">
        <f>IF(pbi_oth_amount="n/a",'Inputs and Outputs'!AV149*AV5,IF(ISNUMBER(outYear),IF(outYear&lt;=pbi_oth_term,+pbi_oth_amount*(1+pbi_oth_escal/100)^(outYear-1)*AV5,0),""))</f>
        <v/>
      </c>
      <c r="AW80" s="75" t="str">
        <f>IF(pbi_oth_amount="n/a",'Inputs and Outputs'!AW149*AW5,IF(ISNUMBER(outYear),IF(outYear&lt;=pbi_oth_term,+pbi_oth_amount*(1+pbi_oth_escal/100)^(outYear-1)*AW5,0),""))</f>
        <v/>
      </c>
      <c r="AX80" s="75" t="str">
        <f>IF(pbi_oth_amount="n/a",'Inputs and Outputs'!AX149*AX5,IF(ISNUMBER(outYear),IF(outYear&lt;=pbi_oth_term,+pbi_oth_amount*(1+pbi_oth_escal/100)^(outYear-1)*AX5,0),""))</f>
        <v/>
      </c>
      <c r="AY80" s="75" t="str">
        <f>IF(pbi_oth_amount="n/a",'Inputs and Outputs'!AY149*AY5,IF(ISNUMBER(outYear),IF(outYear&lt;=pbi_oth_term,+pbi_oth_amount*(1+pbi_oth_escal/100)^(outYear-1)*AY5,0),""))</f>
        <v/>
      </c>
      <c r="AZ80" s="75" t="str">
        <f>IF(pbi_oth_amount="n/a",'Inputs and Outputs'!AZ149*AZ5,IF(ISNUMBER(outYear),IF(outYear&lt;=pbi_oth_term,+pbi_oth_amount*(1+pbi_oth_escal/100)^(outYear-1)*AZ5,0),""))</f>
        <v/>
      </c>
      <c r="BA80" s="75" t="str">
        <f>IF(pbi_oth_amount="n/a",'Inputs and Outputs'!BA149*BA5,IF(ISNUMBER(outYear),IF(outYear&lt;=pbi_oth_term,+pbi_oth_amount*(1+pbi_oth_escal/100)^(outYear-1)*BA5,0),""))</f>
        <v/>
      </c>
      <c r="BB80" s="75" t="str">
        <f>IF(pbi_oth_amount="n/a",'Inputs and Outputs'!BB149*BB5,IF(ISNUMBER(outYear),IF(outYear&lt;=pbi_oth_term,+pbi_oth_amount*(1+pbi_oth_escal/100)^(outYear-1)*BB5,0),""))</f>
        <v/>
      </c>
      <c r="BC80" s="75" t="str">
        <f>IF(pbi_oth_amount="n/a",'Inputs and Outputs'!BC149*BC5,IF(ISNUMBER(outYear),IF(outYear&lt;=pbi_oth_term,+pbi_oth_amount*(1+pbi_oth_escal/100)^(outYear-1)*BC5,0),""))</f>
        <v/>
      </c>
      <c r="BD80" s="75" t="str">
        <f>IF(pbi_oth_amount="n/a",'Inputs and Outputs'!BD149*BD5,IF(ISNUMBER(outYear),IF(outYear&lt;=pbi_oth_term,+pbi_oth_amount*(1+pbi_oth_escal/100)^(outYear-1)*BD5,0),""))</f>
        <v/>
      </c>
      <c r="BE80" s="75" t="str">
        <f>IF(pbi_oth_amount="n/a",'Inputs and Outputs'!BE149*BE5,IF(ISNUMBER(outYear),IF(outYear&lt;=pbi_oth_term,+pbi_oth_amount*(1+pbi_oth_escal/100)^(outYear-1)*BE5,0),""))</f>
        <v/>
      </c>
      <c r="BF80" s="75" t="str">
        <f>IF(pbi_oth_amount="n/a",'Inputs and Outputs'!BF149*BF5,IF(ISNUMBER(outYear),IF(outYear&lt;=pbi_oth_term,+pbi_oth_amount*(1+pbi_oth_escal/100)^(outYear-1)*BF5,0),""))</f>
        <v/>
      </c>
      <c r="BG80" s="75" t="str">
        <f>IF(pbi_oth_amount="n/a",'Inputs and Outputs'!BG149*BG5,IF(ISNUMBER(outYear),IF(outYear&lt;=pbi_oth_term,+pbi_oth_amount*(1+pbi_oth_escal/100)^(outYear-1)*BG5,0),""))</f>
        <v/>
      </c>
      <c r="BH80" s="75" t="str">
        <f>IF(pbi_oth_amount="n/a",'Inputs and Outputs'!BH149*BH5,IF(ISNUMBER(outYear),IF(outYear&lt;=pbi_oth_term,+pbi_oth_amount*(1+pbi_oth_escal/100)^(outYear-1)*BH5,0),""))</f>
        <v/>
      </c>
      <c r="BI80" s="75" t="str">
        <f>IF(pbi_oth_amount="n/a",'Inputs and Outputs'!BI149*BI5,IF(ISNUMBER(outYear),IF(outYear&lt;=pbi_oth_term,+pbi_oth_amount*(1+pbi_oth_escal/100)^(outYear-1)*BI5,0),""))</f>
        <v/>
      </c>
      <c r="BJ80" s="75" t="str">
        <f>IF(pbi_oth_amount="n/a",'Inputs and Outputs'!BJ149*BJ5,IF(ISNUMBER(outYear),IF(outYear&lt;=pbi_oth_term,+pbi_oth_amount*(1+pbi_oth_escal/100)^(outYear-1)*BJ5,0),""))</f>
        <v/>
      </c>
      <c r="BK80" s="75" t="str">
        <f>IF(pbi_oth_amount="n/a",'Inputs and Outputs'!BK149*BK5,IF(ISNUMBER(outYear),IF(outYear&lt;=pbi_oth_term,+pbi_oth_amount*(1+pbi_oth_escal/100)^(outYear-1)*BK5,0),""))</f>
        <v/>
      </c>
      <c r="BL80" s="75" t="str">
        <f>IF(pbi_oth_amount="n/a",'Inputs and Outputs'!BL149*BL5,IF(ISNUMBER(outYear),IF(outYear&lt;=pbi_oth_term,+pbi_oth_amount*(1+pbi_oth_escal/100)^(outYear-1)*BL5,0),""))</f>
        <v/>
      </c>
      <c r="BM80" s="75" t="str">
        <f>IF(pbi_oth_amount="n/a",'Inputs and Outputs'!BM149*BM5,IF(ISNUMBER(outYear),IF(outYear&lt;=pbi_oth_term,+pbi_oth_amount*(1+pbi_oth_escal/100)^(outYear-1)*BM5,0),""))</f>
        <v/>
      </c>
      <c r="BN80" s="75" t="str">
        <f>IF(pbi_oth_amount="n/a",'Inputs and Outputs'!BN149*BN5,IF(ISNUMBER(outYear),IF(outYear&lt;=pbi_oth_term,+pbi_oth_amount*(1+pbi_oth_escal/100)^(outYear-1)*BN5,0),""))</f>
        <v/>
      </c>
      <c r="BO80" s="75" t="str">
        <f>IF(pbi_oth_amount="n/a",'Inputs and Outputs'!BO149*BO5,IF(ISNUMBER(outYear),IF(outYear&lt;=pbi_oth_term,+pbi_oth_amount*(1+pbi_oth_escal/100)^(outYear-1)*BO5,0),""))</f>
        <v/>
      </c>
      <c r="BP80" s="75" t="str">
        <f>IF(pbi_oth_amount="n/a",'Inputs and Outputs'!BP149*BP5,IF(ISNUMBER(outYear),IF(outYear&lt;=pbi_oth_term,+pbi_oth_amount*(1+pbi_oth_escal/100)^(outYear-1)*BP5,0),""))</f>
        <v/>
      </c>
      <c r="BQ80" s="75" t="str">
        <f>IF(pbi_oth_amount="n/a",'Inputs and Outputs'!BQ149*BQ5,IF(ISNUMBER(outYear),IF(outYear&lt;=pbi_oth_term,+pbi_oth_amount*(1+pbi_oth_escal/100)^(outYear-1)*BQ5,0),""))</f>
        <v/>
      </c>
      <c r="BR80" s="75" t="str">
        <f>IF(pbi_oth_amount="n/a",'Inputs and Outputs'!BR149*BR5,IF(ISNUMBER(outYear),IF(outYear&lt;=pbi_oth_term,+pbi_oth_amount*(1+pbi_oth_escal/100)^(outYear-1)*BR5,0),""))</f>
        <v/>
      </c>
      <c r="BS80" s="75" t="str">
        <f>IF(pbi_oth_amount="n/a",'Inputs and Outputs'!BS149*BS5,IF(ISNUMBER(outYear),IF(outYear&lt;=pbi_oth_term,+pbi_oth_amount*(1+pbi_oth_escal/100)^(outYear-1)*BS5,0),""))</f>
        <v/>
      </c>
      <c r="BT80" s="75" t="str">
        <f>IF(pbi_oth_amount="n/a",'Inputs and Outputs'!BT149*BT5,IF(ISNUMBER(outYear),IF(outYear&lt;=pbi_oth_term,+pbi_oth_amount*(1+pbi_oth_escal/100)^(outYear-1)*BT5,0),""))</f>
        <v/>
      </c>
      <c r="BU80" s="75" t="str">
        <f>IF(pbi_oth_amount="n/a",'Inputs and Outputs'!BU149*BU5,IF(ISNUMBER(outYear),IF(outYear&lt;=pbi_oth_term,+pbi_oth_amount*(1+pbi_oth_escal/100)^(outYear-1)*BU5,0),""))</f>
        <v/>
      </c>
      <c r="BV80" s="75" t="str">
        <f>IF(pbi_oth_amount="n/a",'Inputs and Outputs'!BV149*BV5,IF(ISNUMBER(outYear),IF(outYear&lt;=pbi_oth_term,+pbi_oth_amount*(1+pbi_oth_escal/100)^(outYear-1)*BV5,0),""))</f>
        <v/>
      </c>
      <c r="BW80" s="75" t="str">
        <f>IF(pbi_oth_amount="n/a",'Inputs and Outputs'!BW149*BW5,IF(ISNUMBER(outYear),IF(outYear&lt;=pbi_oth_term,+pbi_oth_amount*(1+pbi_oth_escal/100)^(outYear-1)*BW5,0),""))</f>
        <v/>
      </c>
      <c r="BX80" s="75" t="str">
        <f>IF(pbi_oth_amount="n/a",'Inputs and Outputs'!BX149*BX5,IF(ISNUMBER(outYear),IF(outYear&lt;=pbi_oth_term,+pbi_oth_amount*(1+pbi_oth_escal/100)^(outYear-1)*BX5,0),""))</f>
        <v/>
      </c>
      <c r="BY80" s="75" t="str">
        <f>IF(pbi_oth_amount="n/a",'Inputs and Outputs'!BY149*BY5,IF(ISNUMBER(outYear),IF(outYear&lt;=pbi_oth_term,+pbi_oth_amount*(1+pbi_oth_escal/100)^(outYear-1)*BY5,0),""))</f>
        <v/>
      </c>
      <c r="BZ80" s="75" t="str">
        <f>IF(pbi_oth_amount="n/a",'Inputs and Outputs'!BZ149*BZ5,IF(ISNUMBER(outYear),IF(outYear&lt;=pbi_oth_term,+pbi_oth_amount*(1+pbi_oth_escal/100)^(outYear-1)*BZ5,0),""))</f>
        <v/>
      </c>
      <c r="CA80" s="75" t="str">
        <f>IF(pbi_oth_amount="n/a",'Inputs and Outputs'!CA149*CA5,IF(ISNUMBER(outYear),IF(outYear&lt;=pbi_oth_term,+pbi_oth_amount*(1+pbi_oth_escal/100)^(outYear-1)*CA5,0),""))</f>
        <v/>
      </c>
      <c r="CB80" s="75" t="str">
        <f>IF(pbi_oth_amount="n/a",'Inputs and Outputs'!CB149*CB5,IF(ISNUMBER(outYear),IF(outYear&lt;=pbi_oth_term,+pbi_oth_amount*(1+pbi_oth_escal/100)^(outYear-1)*CB5,0),""))</f>
        <v/>
      </c>
      <c r="CC80" s="75" t="str">
        <f>IF(pbi_oth_amount="n/a",'Inputs and Outputs'!CC149*CC5,IF(ISNUMBER(outYear),IF(outYear&lt;=pbi_oth_term,+pbi_oth_amount*(1+pbi_oth_escal/100)^(outYear-1)*CC5,0),""))</f>
        <v/>
      </c>
      <c r="CD80" s="75" t="str">
        <f>IF(pbi_oth_amount="n/a",'Inputs and Outputs'!CD149*CD5,IF(ISNUMBER(outYear),IF(outYear&lt;=pbi_oth_term,+pbi_oth_amount*(1+pbi_oth_escal/100)^(outYear-1)*CD5,0),""))</f>
        <v/>
      </c>
      <c r="CE80" s="75" t="str">
        <f>IF(pbi_oth_amount="n/a",'Inputs and Outputs'!CE149*CE5,IF(ISNUMBER(outYear),IF(outYear&lt;=pbi_oth_term,+pbi_oth_amount*(1+pbi_oth_escal/100)^(outYear-1)*CE5,0),""))</f>
        <v/>
      </c>
      <c r="CF80" s="75" t="str">
        <f>IF(pbi_oth_amount="n/a",'Inputs and Outputs'!CF149*CF5,IF(ISNUMBER(outYear),IF(outYear&lt;=pbi_oth_term,+pbi_oth_amount*(1+pbi_oth_escal/100)^(outYear-1)*CF5,0),""))</f>
        <v/>
      </c>
      <c r="CG80" s="75" t="str">
        <f>IF(pbi_oth_amount="n/a",'Inputs and Outputs'!CG149*CG5,IF(ISNUMBER(outYear),IF(outYear&lt;=pbi_oth_term,+pbi_oth_amount*(1+pbi_oth_escal/100)^(outYear-1)*CG5,0),""))</f>
        <v/>
      </c>
      <c r="CH80" s="75" t="str">
        <f>IF(pbi_oth_amount="n/a",'Inputs and Outputs'!CH149*CH5,IF(ISNUMBER(outYear),IF(outYear&lt;=pbi_oth_term,+pbi_oth_amount*(1+pbi_oth_escal/100)^(outYear-1)*CH5,0),""))</f>
        <v/>
      </c>
      <c r="CI80" s="75" t="str">
        <f>IF(pbi_oth_amount="n/a",'Inputs and Outputs'!CI149*CI5,IF(ISNUMBER(outYear),IF(outYear&lt;=pbi_oth_term,+pbi_oth_amount*(1+pbi_oth_escal/100)^(outYear-1)*CI5,0),""))</f>
        <v/>
      </c>
      <c r="CJ80" s="75" t="str">
        <f>IF(pbi_oth_amount="n/a",'Inputs and Outputs'!CJ149*CJ5,IF(ISNUMBER(outYear),IF(outYear&lt;=pbi_oth_term,+pbi_oth_amount*(1+pbi_oth_escal/100)^(outYear-1)*CJ5,0),""))</f>
        <v/>
      </c>
      <c r="CK80" s="75" t="str">
        <f>IF(pbi_oth_amount="n/a",'Inputs and Outputs'!CK149*CK5,IF(ISNUMBER(outYear),IF(outYear&lt;=pbi_oth_term,+pbi_oth_amount*(1+pbi_oth_escal/100)^(outYear-1)*CK5,0),""))</f>
        <v/>
      </c>
      <c r="CL80" s="75" t="str">
        <f>IF(pbi_oth_amount="n/a",'Inputs and Outputs'!CL149*CL5,IF(ISNUMBER(outYear),IF(outYear&lt;=pbi_oth_term,+pbi_oth_amount*(1+pbi_oth_escal/100)^(outYear-1)*CL5,0),""))</f>
        <v/>
      </c>
      <c r="CM80" s="75" t="str">
        <f>IF(pbi_oth_amount="n/a",'Inputs and Outputs'!CM149*CM5,IF(ISNUMBER(outYear),IF(outYear&lt;=pbi_oth_term,+pbi_oth_amount*(1+pbi_oth_escal/100)^(outYear-1)*CM5,0),""))</f>
        <v/>
      </c>
      <c r="CN80" s="75" t="str">
        <f>IF(pbi_oth_amount="n/a",'Inputs and Outputs'!CN149*CN5,IF(ISNUMBER(outYear),IF(outYear&lt;=pbi_oth_term,+pbi_oth_amount*(1+pbi_oth_escal/100)^(outYear-1)*CN5,0),""))</f>
        <v/>
      </c>
      <c r="CO80" s="75" t="str">
        <f>IF(pbi_oth_amount="n/a",'Inputs and Outputs'!CO149*CO5,IF(ISNUMBER(outYear),IF(outYear&lt;=pbi_oth_term,+pbi_oth_amount*(1+pbi_oth_escal/100)^(outYear-1)*CO5,0),""))</f>
        <v/>
      </c>
      <c r="CP80" s="75" t="str">
        <f>IF(pbi_oth_amount="n/a",'Inputs and Outputs'!CP149*CP5,IF(ISNUMBER(outYear),IF(outYear&lt;=pbi_oth_term,+pbi_oth_amount*(1+pbi_oth_escal/100)^(outYear-1)*CP5,0),""))</f>
        <v/>
      </c>
      <c r="CQ80" s="75" t="str">
        <f>IF(pbi_oth_amount="n/a",'Inputs and Outputs'!CQ149*CQ5,IF(ISNUMBER(outYear),IF(outYear&lt;=pbi_oth_term,+pbi_oth_amount*(1+pbi_oth_escal/100)^(outYear-1)*CQ5,0),""))</f>
        <v/>
      </c>
      <c r="CR80" s="75" t="str">
        <f>IF(pbi_oth_amount="n/a",'Inputs and Outputs'!CR149*CR5,IF(ISNUMBER(outYear),IF(outYear&lt;=pbi_oth_term,+pbi_oth_amount*(1+pbi_oth_escal/100)^(outYear-1)*CR5,0),""))</f>
        <v/>
      </c>
      <c r="CS80" s="75" t="str">
        <f>IF(pbi_oth_amount="n/a",'Inputs and Outputs'!CS149*CS5,IF(ISNUMBER(outYear),IF(outYear&lt;=pbi_oth_term,+pbi_oth_amount*(1+pbi_oth_escal/100)^(outYear-1)*CS5,0),""))</f>
        <v/>
      </c>
      <c r="CT80" s="75" t="str">
        <f>IF(pbi_oth_amount="n/a",'Inputs and Outputs'!CT149*CT5,IF(ISNUMBER(outYear),IF(outYear&lt;=pbi_oth_term,+pbi_oth_amount*(1+pbi_oth_escal/100)^(outYear-1)*CT5,0),""))</f>
        <v/>
      </c>
      <c r="CU80" s="75" t="str">
        <f>IF(pbi_oth_amount="n/a",'Inputs and Outputs'!CU149*CU5,IF(ISNUMBER(outYear),IF(outYear&lt;=pbi_oth_term,+pbi_oth_amount*(1+pbi_oth_escal/100)^(outYear-1)*CU5,0),""))</f>
        <v/>
      </c>
      <c r="CV80" s="75" t="str">
        <f>IF(pbi_oth_amount="n/a",'Inputs and Outputs'!CV149*CV5,IF(ISNUMBER(outYear),IF(outYear&lt;=pbi_oth_term,+pbi_oth_amount*(1+pbi_oth_escal/100)^(outYear-1)*CV5,0),""))</f>
        <v/>
      </c>
      <c r="CW80" s="75" t="str">
        <f>IF(pbi_oth_amount="n/a",'Inputs and Outputs'!CW149*CW5,IF(ISNUMBER(outYear),IF(outYear&lt;=pbi_oth_term,+pbi_oth_amount*(1+pbi_oth_escal/100)^(outYear-1)*CW5,0),""))</f>
        <v/>
      </c>
      <c r="CX80" s="75" t="str">
        <f>IF(pbi_oth_amount="n/a",'Inputs and Outputs'!CX149*CX5,IF(ISNUMBER(outYear),IF(outYear&lt;=pbi_oth_term,+pbi_oth_amount*(1+pbi_oth_escal/100)^(outYear-1)*CX5,0),""))</f>
        <v/>
      </c>
    </row>
    <row r="81" spans="1:102" x14ac:dyDescent="0.25">
      <c r="A81" s="59" t="s">
        <v>60</v>
      </c>
      <c r="B81" s="5"/>
      <c r="C81" s="73" t="str">
        <f>IF(ISNUMBER(outYear),SUM(C77:C80),"")</f>
        <v/>
      </c>
      <c r="D81" s="73" t="str">
        <f t="shared" ref="D81:AH81" si="63">IF(ISNUMBER(outYear),SUM(D77:D80),"")</f>
        <v/>
      </c>
      <c r="E81" s="73" t="str">
        <f t="shared" si="63"/>
        <v/>
      </c>
      <c r="F81" s="73" t="str">
        <f t="shared" si="63"/>
        <v/>
      </c>
      <c r="G81" s="73" t="str">
        <f t="shared" si="63"/>
        <v/>
      </c>
      <c r="H81" s="73" t="str">
        <f t="shared" si="63"/>
        <v/>
      </c>
      <c r="I81" s="73" t="str">
        <f t="shared" si="63"/>
        <v/>
      </c>
      <c r="J81" s="73" t="str">
        <f t="shared" si="63"/>
        <v/>
      </c>
      <c r="K81" s="73" t="str">
        <f t="shared" si="63"/>
        <v/>
      </c>
      <c r="L81" s="73" t="str">
        <f t="shared" si="63"/>
        <v/>
      </c>
      <c r="M81" s="73" t="str">
        <f t="shared" si="63"/>
        <v/>
      </c>
      <c r="N81" s="73" t="str">
        <f t="shared" si="63"/>
        <v/>
      </c>
      <c r="O81" s="73" t="str">
        <f t="shared" si="63"/>
        <v/>
      </c>
      <c r="P81" s="73" t="str">
        <f t="shared" si="63"/>
        <v/>
      </c>
      <c r="Q81" s="73" t="str">
        <f t="shared" si="63"/>
        <v/>
      </c>
      <c r="R81" s="73" t="str">
        <f t="shared" si="63"/>
        <v/>
      </c>
      <c r="S81" s="73" t="str">
        <f t="shared" si="63"/>
        <v/>
      </c>
      <c r="T81" s="73" t="str">
        <f t="shared" si="63"/>
        <v/>
      </c>
      <c r="U81" s="73" t="str">
        <f t="shared" si="63"/>
        <v/>
      </c>
      <c r="V81" s="73" t="str">
        <f t="shared" si="63"/>
        <v/>
      </c>
      <c r="W81" s="73" t="str">
        <f t="shared" si="63"/>
        <v/>
      </c>
      <c r="X81" s="73" t="str">
        <f t="shared" si="63"/>
        <v/>
      </c>
      <c r="Y81" s="73" t="str">
        <f t="shared" si="63"/>
        <v/>
      </c>
      <c r="Z81" s="73" t="str">
        <f t="shared" si="63"/>
        <v/>
      </c>
      <c r="AA81" s="73" t="str">
        <f t="shared" si="63"/>
        <v/>
      </c>
      <c r="AB81" s="73" t="str">
        <f t="shared" si="63"/>
        <v/>
      </c>
      <c r="AC81" s="73" t="str">
        <f t="shared" si="63"/>
        <v/>
      </c>
      <c r="AD81" s="73" t="str">
        <f t="shared" si="63"/>
        <v/>
      </c>
      <c r="AE81" s="73" t="str">
        <f t="shared" si="63"/>
        <v/>
      </c>
      <c r="AF81" s="73" t="str">
        <f t="shared" si="63"/>
        <v/>
      </c>
      <c r="AG81" s="73" t="str">
        <f t="shared" si="63"/>
        <v/>
      </c>
      <c r="AH81" s="73" t="str">
        <f t="shared" si="63"/>
        <v/>
      </c>
      <c r="AI81" s="73" t="str">
        <f t="shared" ref="AI81:BN81" si="64">IF(ISNUMBER(outYear),SUM(AI77:AI80),"")</f>
        <v/>
      </c>
      <c r="AJ81" s="73" t="str">
        <f t="shared" si="64"/>
        <v/>
      </c>
      <c r="AK81" s="73" t="str">
        <f t="shared" si="64"/>
        <v/>
      </c>
      <c r="AL81" s="73" t="str">
        <f t="shared" si="64"/>
        <v/>
      </c>
      <c r="AM81" s="73" t="str">
        <f t="shared" si="64"/>
        <v/>
      </c>
      <c r="AN81" s="73" t="str">
        <f t="shared" si="64"/>
        <v/>
      </c>
      <c r="AO81" s="73" t="str">
        <f t="shared" si="64"/>
        <v/>
      </c>
      <c r="AP81" s="73" t="str">
        <f t="shared" si="64"/>
        <v/>
      </c>
      <c r="AQ81" s="73" t="str">
        <f t="shared" si="64"/>
        <v/>
      </c>
      <c r="AR81" s="73" t="str">
        <f t="shared" si="64"/>
        <v/>
      </c>
      <c r="AS81" s="73" t="str">
        <f t="shared" si="64"/>
        <v/>
      </c>
      <c r="AT81" s="73" t="str">
        <f t="shared" si="64"/>
        <v/>
      </c>
      <c r="AU81" s="73" t="str">
        <f t="shared" si="64"/>
        <v/>
      </c>
      <c r="AV81" s="73" t="str">
        <f t="shared" si="64"/>
        <v/>
      </c>
      <c r="AW81" s="73" t="str">
        <f t="shared" si="64"/>
        <v/>
      </c>
      <c r="AX81" s="73" t="str">
        <f t="shared" si="64"/>
        <v/>
      </c>
      <c r="AY81" s="73" t="str">
        <f t="shared" si="64"/>
        <v/>
      </c>
      <c r="AZ81" s="73" t="str">
        <f t="shared" si="64"/>
        <v/>
      </c>
      <c r="BA81" s="73" t="str">
        <f t="shared" si="64"/>
        <v/>
      </c>
      <c r="BB81" s="73" t="str">
        <f t="shared" si="64"/>
        <v/>
      </c>
      <c r="BC81" s="73" t="str">
        <f t="shared" si="64"/>
        <v/>
      </c>
      <c r="BD81" s="73" t="str">
        <f t="shared" si="64"/>
        <v/>
      </c>
      <c r="BE81" s="73" t="str">
        <f t="shared" si="64"/>
        <v/>
      </c>
      <c r="BF81" s="73" t="str">
        <f t="shared" si="64"/>
        <v/>
      </c>
      <c r="BG81" s="73" t="str">
        <f t="shared" si="64"/>
        <v/>
      </c>
      <c r="BH81" s="73" t="str">
        <f t="shared" si="64"/>
        <v/>
      </c>
      <c r="BI81" s="73" t="str">
        <f t="shared" si="64"/>
        <v/>
      </c>
      <c r="BJ81" s="73" t="str">
        <f t="shared" si="64"/>
        <v/>
      </c>
      <c r="BK81" s="73" t="str">
        <f t="shared" si="64"/>
        <v/>
      </c>
      <c r="BL81" s="73" t="str">
        <f t="shared" si="64"/>
        <v/>
      </c>
      <c r="BM81" s="73" t="str">
        <f t="shared" si="64"/>
        <v/>
      </c>
      <c r="BN81" s="73" t="str">
        <f t="shared" si="64"/>
        <v/>
      </c>
      <c r="BO81" s="73" t="str">
        <f t="shared" ref="BO81:CT81" si="65">IF(ISNUMBER(outYear),SUM(BO77:BO80),"")</f>
        <v/>
      </c>
      <c r="BP81" s="73" t="str">
        <f t="shared" si="65"/>
        <v/>
      </c>
      <c r="BQ81" s="73" t="str">
        <f t="shared" si="65"/>
        <v/>
      </c>
      <c r="BR81" s="73" t="str">
        <f t="shared" si="65"/>
        <v/>
      </c>
      <c r="BS81" s="73" t="str">
        <f t="shared" si="65"/>
        <v/>
      </c>
      <c r="BT81" s="73" t="str">
        <f t="shared" si="65"/>
        <v/>
      </c>
      <c r="BU81" s="73" t="str">
        <f t="shared" si="65"/>
        <v/>
      </c>
      <c r="BV81" s="73" t="str">
        <f t="shared" si="65"/>
        <v/>
      </c>
      <c r="BW81" s="73" t="str">
        <f t="shared" si="65"/>
        <v/>
      </c>
      <c r="BX81" s="73" t="str">
        <f t="shared" si="65"/>
        <v/>
      </c>
      <c r="BY81" s="73" t="str">
        <f t="shared" si="65"/>
        <v/>
      </c>
      <c r="BZ81" s="73" t="str">
        <f t="shared" si="65"/>
        <v/>
      </c>
      <c r="CA81" s="73" t="str">
        <f t="shared" si="65"/>
        <v/>
      </c>
      <c r="CB81" s="73" t="str">
        <f t="shared" si="65"/>
        <v/>
      </c>
      <c r="CC81" s="73" t="str">
        <f t="shared" si="65"/>
        <v/>
      </c>
      <c r="CD81" s="73" t="str">
        <f t="shared" si="65"/>
        <v/>
      </c>
      <c r="CE81" s="73" t="str">
        <f t="shared" si="65"/>
        <v/>
      </c>
      <c r="CF81" s="73" t="str">
        <f t="shared" si="65"/>
        <v/>
      </c>
      <c r="CG81" s="73" t="str">
        <f t="shared" si="65"/>
        <v/>
      </c>
      <c r="CH81" s="73" t="str">
        <f t="shared" si="65"/>
        <v/>
      </c>
      <c r="CI81" s="73" t="str">
        <f t="shared" si="65"/>
        <v/>
      </c>
      <c r="CJ81" s="73" t="str">
        <f t="shared" si="65"/>
        <v/>
      </c>
      <c r="CK81" s="73" t="str">
        <f t="shared" si="65"/>
        <v/>
      </c>
      <c r="CL81" s="73" t="str">
        <f t="shared" si="65"/>
        <v/>
      </c>
      <c r="CM81" s="73" t="str">
        <f t="shared" si="65"/>
        <v/>
      </c>
      <c r="CN81" s="73" t="str">
        <f t="shared" si="65"/>
        <v/>
      </c>
      <c r="CO81" s="73" t="str">
        <f t="shared" si="65"/>
        <v/>
      </c>
      <c r="CP81" s="73" t="str">
        <f t="shared" si="65"/>
        <v/>
      </c>
      <c r="CQ81" s="73" t="str">
        <f t="shared" si="65"/>
        <v/>
      </c>
      <c r="CR81" s="73" t="str">
        <f t="shared" si="65"/>
        <v/>
      </c>
      <c r="CS81" s="73" t="str">
        <f t="shared" si="65"/>
        <v/>
      </c>
      <c r="CT81" s="73" t="str">
        <f t="shared" si="65"/>
        <v/>
      </c>
      <c r="CU81" s="73" t="str">
        <f t="shared" ref="CU81:CX81" si="66">IF(ISNUMBER(outYear),SUM(CU77:CU80),"")</f>
        <v/>
      </c>
      <c r="CV81" s="73" t="str">
        <f t="shared" si="66"/>
        <v/>
      </c>
      <c r="CW81" s="73" t="str">
        <f t="shared" si="66"/>
        <v/>
      </c>
      <c r="CX81" s="73" t="str">
        <f t="shared" si="66"/>
        <v/>
      </c>
    </row>
    <row r="82" spans="1:102" x14ac:dyDescent="0.25">
      <c r="A82" s="59"/>
      <c r="B82" s="5"/>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c r="BU82" s="73"/>
      <c r="BV82" s="73"/>
      <c r="BW82" s="73"/>
      <c r="BX82" s="73"/>
      <c r="BY82" s="73"/>
      <c r="BZ82" s="73"/>
      <c r="CA82" s="73"/>
      <c r="CB82" s="73"/>
      <c r="CC82" s="73"/>
      <c r="CD82" s="73"/>
      <c r="CE82" s="73"/>
      <c r="CF82" s="73"/>
      <c r="CG82" s="73"/>
      <c r="CH82" s="73"/>
      <c r="CI82" s="73"/>
      <c r="CJ82" s="73"/>
      <c r="CK82" s="73"/>
      <c r="CL82" s="73"/>
      <c r="CM82" s="73"/>
      <c r="CN82" s="73"/>
      <c r="CO82" s="73"/>
      <c r="CP82" s="73"/>
      <c r="CQ82" s="73"/>
      <c r="CR82" s="73"/>
      <c r="CS82" s="73"/>
      <c r="CT82" s="73"/>
      <c r="CU82" s="73"/>
      <c r="CV82" s="73"/>
      <c r="CW82" s="73"/>
      <c r="CX82" s="73"/>
    </row>
    <row r="83" spans="1:102" x14ac:dyDescent="0.25">
      <c r="A83" s="202" t="s">
        <v>222</v>
      </c>
      <c r="B83" s="203"/>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c r="BF83" s="204"/>
      <c r="BG83" s="204"/>
      <c r="BH83" s="204"/>
      <c r="BI83" s="204"/>
      <c r="BJ83" s="204"/>
      <c r="BK83" s="204"/>
      <c r="BL83" s="204"/>
      <c r="BM83" s="204"/>
      <c r="BN83" s="204"/>
      <c r="BO83" s="204"/>
      <c r="BP83" s="204"/>
      <c r="BQ83" s="204"/>
      <c r="BR83" s="204"/>
      <c r="BS83" s="204"/>
      <c r="BT83" s="204"/>
      <c r="BU83" s="204"/>
      <c r="BV83" s="204"/>
      <c r="BW83" s="204"/>
      <c r="BX83" s="204"/>
      <c r="BY83" s="204"/>
      <c r="BZ83" s="204"/>
      <c r="CA83" s="204"/>
      <c r="CB83" s="204"/>
      <c r="CC83" s="204"/>
      <c r="CD83" s="204"/>
      <c r="CE83" s="204"/>
      <c r="CF83" s="204"/>
      <c r="CG83" s="204"/>
      <c r="CH83" s="204"/>
      <c r="CI83" s="204"/>
      <c r="CJ83" s="204"/>
      <c r="CK83" s="204"/>
      <c r="CL83" s="204"/>
      <c r="CM83" s="204"/>
      <c r="CN83" s="204"/>
      <c r="CO83" s="204"/>
      <c r="CP83" s="204"/>
      <c r="CQ83" s="204"/>
      <c r="CR83" s="204"/>
      <c r="CS83" s="204"/>
      <c r="CT83" s="204"/>
      <c r="CU83" s="204"/>
      <c r="CV83" s="204"/>
      <c r="CW83" s="204"/>
      <c r="CX83" s="205"/>
    </row>
    <row r="84" spans="1:102" ht="13.8" x14ac:dyDescent="0.3">
      <c r="A84" s="206" t="s">
        <v>213</v>
      </c>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c r="BU84" s="73"/>
      <c r="BV84" s="73"/>
      <c r="BW84" s="73"/>
      <c r="BX84" s="73"/>
      <c r="BY84" s="73"/>
      <c r="BZ84" s="73"/>
      <c r="CA84" s="73"/>
      <c r="CB84" s="73"/>
      <c r="CC84" s="73"/>
      <c r="CD84" s="73"/>
      <c r="CE84" s="73"/>
      <c r="CF84" s="73"/>
      <c r="CG84" s="73"/>
      <c r="CH84" s="73"/>
      <c r="CI84" s="73"/>
      <c r="CJ84" s="73"/>
      <c r="CK84" s="73"/>
      <c r="CL84" s="73"/>
      <c r="CM84" s="73"/>
      <c r="CN84" s="73"/>
      <c r="CO84" s="73"/>
      <c r="CP84" s="73"/>
      <c r="CQ84" s="73"/>
      <c r="CR84" s="73"/>
      <c r="CS84" s="73"/>
      <c r="CT84" s="73"/>
      <c r="CU84" s="73"/>
      <c r="CV84" s="73"/>
      <c r="CW84" s="73"/>
      <c r="CX84" s="73"/>
    </row>
    <row r="85" spans="1:102" ht="13.8" x14ac:dyDescent="0.3">
      <c r="A85" s="207" t="s">
        <v>3</v>
      </c>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c r="BU85" s="73"/>
      <c r="BV85" s="73"/>
      <c r="BW85" s="73"/>
      <c r="BX85" s="73"/>
      <c r="BY85" s="73"/>
      <c r="BZ85" s="73"/>
      <c r="CA85" s="73"/>
      <c r="CB85" s="73"/>
      <c r="CC85" s="73"/>
      <c r="CD85" s="73"/>
      <c r="CE85" s="73"/>
      <c r="CF85" s="73"/>
      <c r="CG85" s="73"/>
      <c r="CH85" s="73"/>
      <c r="CI85" s="73"/>
      <c r="CJ85" s="73"/>
      <c r="CK85" s="73"/>
      <c r="CL85" s="73"/>
      <c r="CM85" s="73"/>
      <c r="CN85" s="73"/>
      <c r="CO85" s="73"/>
      <c r="CP85" s="73"/>
      <c r="CQ85" s="73"/>
      <c r="CR85" s="73"/>
      <c r="CS85" s="73"/>
      <c r="CT85" s="73"/>
      <c r="CU85" s="73"/>
      <c r="CV85" s="73"/>
      <c r="CW85" s="73"/>
      <c r="CX85" s="73"/>
    </row>
    <row r="86" spans="1:102" ht="13.8" x14ac:dyDescent="0.3">
      <c r="A86" s="208" t="s">
        <v>214</v>
      </c>
      <c r="B86" s="73"/>
      <c r="C86" s="73">
        <f t="array" ref="C86:CX86">'Inputs and Outputs'!C140:CX140</f>
        <v>0</v>
      </c>
      <c r="D86" s="73">
        <v>0</v>
      </c>
      <c r="E86" s="73">
        <v>0</v>
      </c>
      <c r="F86" s="73">
        <v>0</v>
      </c>
      <c r="G86" s="73">
        <v>0</v>
      </c>
      <c r="H86" s="73">
        <v>0</v>
      </c>
      <c r="I86" s="73">
        <v>0</v>
      </c>
      <c r="J86" s="73">
        <v>0</v>
      </c>
      <c r="K86" s="73">
        <v>0</v>
      </c>
      <c r="L86" s="73">
        <v>0</v>
      </c>
      <c r="M86" s="73">
        <v>0</v>
      </c>
      <c r="N86" s="73">
        <v>0</v>
      </c>
      <c r="O86" s="73">
        <v>0</v>
      </c>
      <c r="P86" s="73">
        <v>0</v>
      </c>
      <c r="Q86" s="73">
        <v>0</v>
      </c>
      <c r="R86" s="73">
        <v>0</v>
      </c>
      <c r="S86" s="73">
        <v>0</v>
      </c>
      <c r="T86" s="73">
        <v>0</v>
      </c>
      <c r="U86" s="73">
        <v>0</v>
      </c>
      <c r="V86" s="73">
        <v>0</v>
      </c>
      <c r="W86" s="73">
        <v>0</v>
      </c>
      <c r="X86" s="73">
        <v>0</v>
      </c>
      <c r="Y86" s="73">
        <v>0</v>
      </c>
      <c r="Z86" s="73">
        <v>0</v>
      </c>
      <c r="AA86" s="73">
        <v>0</v>
      </c>
      <c r="AB86" s="73">
        <v>0</v>
      </c>
      <c r="AC86" s="73">
        <v>0</v>
      </c>
      <c r="AD86" s="73">
        <v>0</v>
      </c>
      <c r="AE86" s="73">
        <v>0</v>
      </c>
      <c r="AF86" s="73">
        <v>0</v>
      </c>
      <c r="AG86" s="73">
        <v>0</v>
      </c>
      <c r="AH86" s="73">
        <v>0</v>
      </c>
      <c r="AI86" s="73">
        <v>0</v>
      </c>
      <c r="AJ86" s="73">
        <v>0</v>
      </c>
      <c r="AK86" s="73">
        <v>0</v>
      </c>
      <c r="AL86" s="73">
        <v>0</v>
      </c>
      <c r="AM86" s="73">
        <v>0</v>
      </c>
      <c r="AN86" s="73">
        <v>0</v>
      </c>
      <c r="AO86" s="73">
        <v>0</v>
      </c>
      <c r="AP86" s="73">
        <v>0</v>
      </c>
      <c r="AQ86" s="73">
        <v>0</v>
      </c>
      <c r="AR86" s="73">
        <v>0</v>
      </c>
      <c r="AS86" s="73">
        <v>0</v>
      </c>
      <c r="AT86" s="73">
        <v>0</v>
      </c>
      <c r="AU86" s="73">
        <v>0</v>
      </c>
      <c r="AV86" s="73">
        <v>0</v>
      </c>
      <c r="AW86" s="73">
        <v>0</v>
      </c>
      <c r="AX86" s="73">
        <v>0</v>
      </c>
      <c r="AY86" s="73">
        <v>0</v>
      </c>
      <c r="AZ86" s="73">
        <v>0</v>
      </c>
      <c r="BA86" s="73">
        <v>0</v>
      </c>
      <c r="BB86" s="73">
        <v>0</v>
      </c>
      <c r="BC86" s="73">
        <v>0</v>
      </c>
      <c r="BD86" s="73">
        <v>0</v>
      </c>
      <c r="BE86" s="73">
        <v>0</v>
      </c>
      <c r="BF86" s="73">
        <v>0</v>
      </c>
      <c r="BG86" s="73">
        <v>0</v>
      </c>
      <c r="BH86" s="73">
        <v>0</v>
      </c>
      <c r="BI86" s="73">
        <v>0</v>
      </c>
      <c r="BJ86" s="73">
        <v>0</v>
      </c>
      <c r="BK86" s="73">
        <v>0</v>
      </c>
      <c r="BL86" s="73">
        <v>0</v>
      </c>
      <c r="BM86" s="73">
        <v>0</v>
      </c>
      <c r="BN86" s="73">
        <v>0</v>
      </c>
      <c r="BO86" s="73">
        <v>0</v>
      </c>
      <c r="BP86" s="73">
        <v>0</v>
      </c>
      <c r="BQ86" s="73">
        <v>0</v>
      </c>
      <c r="BR86" s="73">
        <v>0</v>
      </c>
      <c r="BS86" s="73">
        <v>0</v>
      </c>
      <c r="BT86" s="73">
        <v>0</v>
      </c>
      <c r="BU86" s="73">
        <v>0</v>
      </c>
      <c r="BV86" s="73">
        <v>0</v>
      </c>
      <c r="BW86" s="73">
        <v>0</v>
      </c>
      <c r="BX86" s="73">
        <v>0</v>
      </c>
      <c r="BY86" s="73">
        <v>0</v>
      </c>
      <c r="BZ86" s="73">
        <v>0</v>
      </c>
      <c r="CA86" s="73">
        <v>0</v>
      </c>
      <c r="CB86" s="73">
        <v>0</v>
      </c>
      <c r="CC86" s="73">
        <v>0</v>
      </c>
      <c r="CD86" s="73">
        <v>0</v>
      </c>
      <c r="CE86" s="73">
        <v>0</v>
      </c>
      <c r="CF86" s="73">
        <v>0</v>
      </c>
      <c r="CG86" s="73">
        <v>0</v>
      </c>
      <c r="CH86" s="73">
        <v>0</v>
      </c>
      <c r="CI86" s="73">
        <v>0</v>
      </c>
      <c r="CJ86" s="73">
        <v>0</v>
      </c>
      <c r="CK86" s="73">
        <v>0</v>
      </c>
      <c r="CL86" s="73">
        <v>0</v>
      </c>
      <c r="CM86" s="73">
        <v>0</v>
      </c>
      <c r="CN86" s="73">
        <v>0</v>
      </c>
      <c r="CO86" s="73">
        <v>0</v>
      </c>
      <c r="CP86" s="73">
        <v>0</v>
      </c>
      <c r="CQ86" s="73">
        <v>0</v>
      </c>
      <c r="CR86" s="73">
        <v>0</v>
      </c>
      <c r="CS86" s="73">
        <v>0</v>
      </c>
      <c r="CT86" s="73">
        <v>0</v>
      </c>
      <c r="CU86" s="73">
        <v>0</v>
      </c>
      <c r="CV86" s="73">
        <v>0</v>
      </c>
      <c r="CW86" s="73">
        <v>0</v>
      </c>
      <c r="CX86" s="73">
        <v>0</v>
      </c>
    </row>
    <row r="87" spans="1:102" ht="13.8" x14ac:dyDescent="0.3">
      <c r="A87" s="208" t="s">
        <v>219</v>
      </c>
      <c r="B87" s="73">
        <f>IF(ISNUMBER(outYear),total_installed_cost-IF(ibi_fed_amount_deprbas_sta="Yes",ibi_fed_amount,0)-IF(ibi_sta_amount_deprbas_sta="Yes",ibi_sta_amount,0)-IF(ibi_oth_amount_deprbas_sta="Yes",ibi_oth_amount,0)-IF(ibi_uti_amount_deprbas_sta="Yes",ibi_uti_amount,0)-IF(ibi_fed_percent_deprbas_sta="Yes",MIN(ibi_fed_percent/100*total_installed_cost,ibi_fed_percent_maxvalue),0)-IF(ibi_sta_percent_deprbas_sta="Yes",MIN(ibi_sta_percent/100*total_installed_cost,ibi_sta_percent_maxvalue),0)-IF(ibi_uti_percent_deprbas_sta="Yes",MIN(ibi_uti_percent/100*total_installed_cost,ibi_uti_percent_maxvalue),0)-IF(ibi_oth_percent_deprbas_sta="Yes",MIN(ibi_oth_percent/100*total_installed_cost,ibi_oth_percent_maxvalue),0)-IF(cbi_fed_deprbas_sta="Yes",B71,0)-IF(cbi_sta_deprbas_sta="Yes",B72,0)-IF(cbi_uti_deprbas_sta="Yes",B73,0)-IF(cbi_oth_deprbas_sta="Yes",B74,0),"")</f>
        <v>0</v>
      </c>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c r="BU87" s="73"/>
      <c r="BV87" s="73"/>
      <c r="BW87" s="73"/>
      <c r="BX87" s="73"/>
      <c r="BY87" s="73"/>
      <c r="BZ87" s="73"/>
      <c r="CA87" s="73"/>
      <c r="CB87" s="73"/>
      <c r="CC87" s="73"/>
      <c r="CD87" s="73"/>
      <c r="CE87" s="73"/>
      <c r="CF87" s="73"/>
      <c r="CG87" s="73"/>
      <c r="CH87" s="73"/>
      <c r="CI87" s="73"/>
      <c r="CJ87" s="73"/>
      <c r="CK87" s="73"/>
      <c r="CL87" s="73"/>
      <c r="CM87" s="73"/>
      <c r="CN87" s="73"/>
      <c r="CO87" s="73"/>
      <c r="CP87" s="73"/>
      <c r="CQ87" s="73"/>
      <c r="CR87" s="73"/>
      <c r="CS87" s="73"/>
      <c r="CT87" s="73"/>
      <c r="CU87" s="73"/>
      <c r="CV87" s="73"/>
      <c r="CW87" s="73"/>
      <c r="CX87" s="73"/>
    </row>
    <row r="88" spans="1:102" ht="13.8" x14ac:dyDescent="0.3">
      <c r="A88" s="208" t="s">
        <v>215</v>
      </c>
      <c r="B88" s="210"/>
      <c r="C88" s="210">
        <f t="array" ref="C88:CX88">'Inputs and Outputs'!C143:CX143</f>
        <v>0</v>
      </c>
      <c r="D88" s="210">
        <v>0</v>
      </c>
      <c r="E88" s="210">
        <v>0</v>
      </c>
      <c r="F88" s="210">
        <v>0</v>
      </c>
      <c r="G88" s="210">
        <v>0</v>
      </c>
      <c r="H88" s="210">
        <v>0</v>
      </c>
      <c r="I88" s="210">
        <v>0</v>
      </c>
      <c r="J88" s="210">
        <v>0</v>
      </c>
      <c r="K88" s="210">
        <v>0</v>
      </c>
      <c r="L88" s="210">
        <v>0</v>
      </c>
      <c r="M88" s="210">
        <v>0</v>
      </c>
      <c r="N88" s="210">
        <v>0</v>
      </c>
      <c r="O88" s="210">
        <v>0</v>
      </c>
      <c r="P88" s="210">
        <v>0</v>
      </c>
      <c r="Q88" s="210">
        <v>0</v>
      </c>
      <c r="R88" s="210">
        <v>0</v>
      </c>
      <c r="S88" s="210">
        <v>0</v>
      </c>
      <c r="T88" s="210">
        <v>0</v>
      </c>
      <c r="U88" s="210">
        <v>0</v>
      </c>
      <c r="V88" s="210">
        <v>0</v>
      </c>
      <c r="W88" s="210">
        <v>0</v>
      </c>
      <c r="X88" s="210">
        <v>0</v>
      </c>
      <c r="Y88" s="210">
        <v>0</v>
      </c>
      <c r="Z88" s="210">
        <v>0</v>
      </c>
      <c r="AA88" s="210">
        <v>0</v>
      </c>
      <c r="AB88" s="210">
        <v>0</v>
      </c>
      <c r="AC88" s="210">
        <v>0</v>
      </c>
      <c r="AD88" s="210">
        <v>0</v>
      </c>
      <c r="AE88" s="210">
        <v>0</v>
      </c>
      <c r="AF88" s="210">
        <v>0</v>
      </c>
      <c r="AG88" s="210">
        <v>0</v>
      </c>
      <c r="AH88" s="210">
        <v>0</v>
      </c>
      <c r="AI88" s="210">
        <v>0</v>
      </c>
      <c r="AJ88" s="210">
        <v>0</v>
      </c>
      <c r="AK88" s="210">
        <v>0</v>
      </c>
      <c r="AL88" s="210">
        <v>0</v>
      </c>
      <c r="AM88" s="210">
        <v>0</v>
      </c>
      <c r="AN88" s="210">
        <v>0</v>
      </c>
      <c r="AO88" s="210">
        <v>0</v>
      </c>
      <c r="AP88" s="210">
        <v>0</v>
      </c>
      <c r="AQ88" s="210">
        <v>0</v>
      </c>
      <c r="AR88" s="210">
        <v>0</v>
      </c>
      <c r="AS88" s="210">
        <v>0</v>
      </c>
      <c r="AT88" s="210">
        <v>0</v>
      </c>
      <c r="AU88" s="210">
        <v>0</v>
      </c>
      <c r="AV88" s="210">
        <v>0</v>
      </c>
      <c r="AW88" s="210">
        <v>0</v>
      </c>
      <c r="AX88" s="210">
        <v>0</v>
      </c>
      <c r="AY88" s="210">
        <v>0</v>
      </c>
      <c r="AZ88" s="210">
        <v>0</v>
      </c>
      <c r="BA88" s="210">
        <v>0</v>
      </c>
      <c r="BB88" s="210">
        <v>0</v>
      </c>
      <c r="BC88" s="210">
        <v>0</v>
      </c>
      <c r="BD88" s="210">
        <v>0</v>
      </c>
      <c r="BE88" s="210">
        <v>0</v>
      </c>
      <c r="BF88" s="210">
        <v>0</v>
      </c>
      <c r="BG88" s="210">
        <v>0</v>
      </c>
      <c r="BH88" s="210">
        <v>0</v>
      </c>
      <c r="BI88" s="210">
        <v>0</v>
      </c>
      <c r="BJ88" s="210">
        <v>0</v>
      </c>
      <c r="BK88" s="210">
        <v>0</v>
      </c>
      <c r="BL88" s="210">
        <v>0</v>
      </c>
      <c r="BM88" s="210">
        <v>0</v>
      </c>
      <c r="BN88" s="210">
        <v>0</v>
      </c>
      <c r="BO88" s="210">
        <v>0</v>
      </c>
      <c r="BP88" s="210">
        <v>0</v>
      </c>
      <c r="BQ88" s="210">
        <v>0</v>
      </c>
      <c r="BR88" s="210">
        <v>0</v>
      </c>
      <c r="BS88" s="210">
        <v>0</v>
      </c>
      <c r="BT88" s="210">
        <v>0</v>
      </c>
      <c r="BU88" s="210">
        <v>0</v>
      </c>
      <c r="BV88" s="210">
        <v>0</v>
      </c>
      <c r="BW88" s="210">
        <v>0</v>
      </c>
      <c r="BX88" s="210">
        <v>0</v>
      </c>
      <c r="BY88" s="210">
        <v>0</v>
      </c>
      <c r="BZ88" s="210">
        <v>0</v>
      </c>
      <c r="CA88" s="210">
        <v>0</v>
      </c>
      <c r="CB88" s="210">
        <v>0</v>
      </c>
      <c r="CC88" s="210">
        <v>0</v>
      </c>
      <c r="CD88" s="210">
        <v>0</v>
      </c>
      <c r="CE88" s="210">
        <v>0</v>
      </c>
      <c r="CF88" s="210">
        <v>0</v>
      </c>
      <c r="CG88" s="210">
        <v>0</v>
      </c>
      <c r="CH88" s="210">
        <v>0</v>
      </c>
      <c r="CI88" s="210">
        <v>0</v>
      </c>
      <c r="CJ88" s="210">
        <v>0</v>
      </c>
      <c r="CK88" s="210">
        <v>0</v>
      </c>
      <c r="CL88" s="210">
        <v>0</v>
      </c>
      <c r="CM88" s="210">
        <v>0</v>
      </c>
      <c r="CN88" s="210">
        <v>0</v>
      </c>
      <c r="CO88" s="210">
        <v>0</v>
      </c>
      <c r="CP88" s="210">
        <v>0</v>
      </c>
      <c r="CQ88" s="210">
        <v>0</v>
      </c>
      <c r="CR88" s="210">
        <v>0</v>
      </c>
      <c r="CS88" s="210">
        <v>0</v>
      </c>
      <c r="CT88" s="210">
        <v>0</v>
      </c>
      <c r="CU88" s="210">
        <v>0</v>
      </c>
      <c r="CV88" s="210">
        <v>0</v>
      </c>
      <c r="CW88" s="210">
        <v>0</v>
      </c>
      <c r="CX88" s="210">
        <v>0</v>
      </c>
    </row>
    <row r="89" spans="1:102" ht="13.8" x14ac:dyDescent="0.3">
      <c r="A89" s="209" t="s">
        <v>216</v>
      </c>
      <c r="B89" s="211"/>
      <c r="C89" s="211">
        <f t="array" ref="C89:CX89">'Inputs and Outputs'!C144:CX144</f>
        <v>0</v>
      </c>
      <c r="D89" s="211">
        <v>0</v>
      </c>
      <c r="E89" s="211">
        <v>0</v>
      </c>
      <c r="F89" s="211">
        <v>0</v>
      </c>
      <c r="G89" s="211">
        <v>0</v>
      </c>
      <c r="H89" s="211">
        <v>0</v>
      </c>
      <c r="I89" s="211">
        <v>0</v>
      </c>
      <c r="J89" s="211">
        <v>0</v>
      </c>
      <c r="K89" s="211">
        <v>0</v>
      </c>
      <c r="L89" s="211">
        <v>0</v>
      </c>
      <c r="M89" s="211">
        <v>0</v>
      </c>
      <c r="N89" s="211">
        <v>0</v>
      </c>
      <c r="O89" s="211">
        <v>0</v>
      </c>
      <c r="P89" s="211">
        <v>0</v>
      </c>
      <c r="Q89" s="211">
        <v>0</v>
      </c>
      <c r="R89" s="211">
        <v>0</v>
      </c>
      <c r="S89" s="211">
        <v>0</v>
      </c>
      <c r="T89" s="211">
        <v>0</v>
      </c>
      <c r="U89" s="211">
        <v>0</v>
      </c>
      <c r="V89" s="211">
        <v>0</v>
      </c>
      <c r="W89" s="211">
        <v>0</v>
      </c>
      <c r="X89" s="211">
        <v>0</v>
      </c>
      <c r="Y89" s="211">
        <v>0</v>
      </c>
      <c r="Z89" s="211">
        <v>0</v>
      </c>
      <c r="AA89" s="211">
        <v>0</v>
      </c>
      <c r="AB89" s="211">
        <v>0</v>
      </c>
      <c r="AC89" s="211">
        <v>0</v>
      </c>
      <c r="AD89" s="211">
        <v>0</v>
      </c>
      <c r="AE89" s="211">
        <v>0</v>
      </c>
      <c r="AF89" s="211">
        <v>0</v>
      </c>
      <c r="AG89" s="211">
        <v>0</v>
      </c>
      <c r="AH89" s="211">
        <v>0</v>
      </c>
      <c r="AI89" s="211">
        <v>0</v>
      </c>
      <c r="AJ89" s="211">
        <v>0</v>
      </c>
      <c r="AK89" s="211">
        <v>0</v>
      </c>
      <c r="AL89" s="211">
        <v>0</v>
      </c>
      <c r="AM89" s="211">
        <v>0</v>
      </c>
      <c r="AN89" s="211">
        <v>0</v>
      </c>
      <c r="AO89" s="211">
        <v>0</v>
      </c>
      <c r="AP89" s="211">
        <v>0</v>
      </c>
      <c r="AQ89" s="211">
        <v>0</v>
      </c>
      <c r="AR89" s="211">
        <v>0</v>
      </c>
      <c r="AS89" s="211">
        <v>0</v>
      </c>
      <c r="AT89" s="211">
        <v>0</v>
      </c>
      <c r="AU89" s="211">
        <v>0</v>
      </c>
      <c r="AV89" s="211">
        <v>0</v>
      </c>
      <c r="AW89" s="211">
        <v>0</v>
      </c>
      <c r="AX89" s="211">
        <v>0</v>
      </c>
      <c r="AY89" s="211">
        <v>0</v>
      </c>
      <c r="AZ89" s="211">
        <v>0</v>
      </c>
      <c r="BA89" s="211">
        <v>0</v>
      </c>
      <c r="BB89" s="211">
        <v>0</v>
      </c>
      <c r="BC89" s="211">
        <v>0</v>
      </c>
      <c r="BD89" s="211">
        <v>0</v>
      </c>
      <c r="BE89" s="211">
        <v>0</v>
      </c>
      <c r="BF89" s="211">
        <v>0</v>
      </c>
      <c r="BG89" s="211">
        <v>0</v>
      </c>
      <c r="BH89" s="211">
        <v>0</v>
      </c>
      <c r="BI89" s="211">
        <v>0</v>
      </c>
      <c r="BJ89" s="211">
        <v>0</v>
      </c>
      <c r="BK89" s="211">
        <v>0</v>
      </c>
      <c r="BL89" s="211">
        <v>0</v>
      </c>
      <c r="BM89" s="211">
        <v>0</v>
      </c>
      <c r="BN89" s="211">
        <v>0</v>
      </c>
      <c r="BO89" s="211">
        <v>0</v>
      </c>
      <c r="BP89" s="211">
        <v>0</v>
      </c>
      <c r="BQ89" s="211">
        <v>0</v>
      </c>
      <c r="BR89" s="211">
        <v>0</v>
      </c>
      <c r="BS89" s="211">
        <v>0</v>
      </c>
      <c r="BT89" s="211">
        <v>0</v>
      </c>
      <c r="BU89" s="211">
        <v>0</v>
      </c>
      <c r="BV89" s="211">
        <v>0</v>
      </c>
      <c r="BW89" s="211">
        <v>0</v>
      </c>
      <c r="BX89" s="211">
        <v>0</v>
      </c>
      <c r="BY89" s="211">
        <v>0</v>
      </c>
      <c r="BZ89" s="211">
        <v>0</v>
      </c>
      <c r="CA89" s="211">
        <v>0</v>
      </c>
      <c r="CB89" s="211">
        <v>0</v>
      </c>
      <c r="CC89" s="211">
        <v>0</v>
      </c>
      <c r="CD89" s="211">
        <v>0</v>
      </c>
      <c r="CE89" s="211">
        <v>0</v>
      </c>
      <c r="CF89" s="211">
        <v>0</v>
      </c>
      <c r="CG89" s="211">
        <v>0</v>
      </c>
      <c r="CH89" s="211">
        <v>0</v>
      </c>
      <c r="CI89" s="211">
        <v>0</v>
      </c>
      <c r="CJ89" s="211">
        <v>0</v>
      </c>
      <c r="CK89" s="211">
        <v>0</v>
      </c>
      <c r="CL89" s="211">
        <v>0</v>
      </c>
      <c r="CM89" s="211">
        <v>0</v>
      </c>
      <c r="CN89" s="211">
        <v>0</v>
      </c>
      <c r="CO89" s="211">
        <v>0</v>
      </c>
      <c r="CP89" s="211">
        <v>0</v>
      </c>
      <c r="CQ89" s="211">
        <v>0</v>
      </c>
      <c r="CR89" s="211">
        <v>0</v>
      </c>
      <c r="CS89" s="211">
        <v>0</v>
      </c>
      <c r="CT89" s="211">
        <v>0</v>
      </c>
      <c r="CU89" s="211">
        <v>0</v>
      </c>
      <c r="CV89" s="211">
        <v>0</v>
      </c>
      <c r="CW89" s="211">
        <v>0</v>
      </c>
      <c r="CX89" s="211">
        <v>0</v>
      </c>
    </row>
    <row r="90" spans="1:102" ht="13.8" x14ac:dyDescent="0.3">
      <c r="A90" s="209" t="s">
        <v>217</v>
      </c>
      <c r="B90" s="73"/>
      <c r="C90" s="73">
        <f>MIN(C$89,C$88/100*$B$87)</f>
        <v>0</v>
      </c>
      <c r="D90" s="73">
        <f t="shared" ref="D90:BO90" si="67">MIN(D$89,D$88/100*$B$87)</f>
        <v>0</v>
      </c>
      <c r="E90" s="73">
        <f t="shared" si="67"/>
        <v>0</v>
      </c>
      <c r="F90" s="73">
        <f t="shared" si="67"/>
        <v>0</v>
      </c>
      <c r="G90" s="73">
        <f t="shared" si="67"/>
        <v>0</v>
      </c>
      <c r="H90" s="73">
        <f t="shared" si="67"/>
        <v>0</v>
      </c>
      <c r="I90" s="73">
        <f t="shared" si="67"/>
        <v>0</v>
      </c>
      <c r="J90" s="73">
        <f t="shared" si="67"/>
        <v>0</v>
      </c>
      <c r="K90" s="73">
        <f t="shared" si="67"/>
        <v>0</v>
      </c>
      <c r="L90" s="73">
        <f t="shared" si="67"/>
        <v>0</v>
      </c>
      <c r="M90" s="73">
        <f t="shared" si="67"/>
        <v>0</v>
      </c>
      <c r="N90" s="73">
        <f t="shared" si="67"/>
        <v>0</v>
      </c>
      <c r="O90" s="73">
        <f t="shared" si="67"/>
        <v>0</v>
      </c>
      <c r="P90" s="73">
        <f t="shared" si="67"/>
        <v>0</v>
      </c>
      <c r="Q90" s="73">
        <f t="shared" si="67"/>
        <v>0</v>
      </c>
      <c r="R90" s="73">
        <f t="shared" si="67"/>
        <v>0</v>
      </c>
      <c r="S90" s="73">
        <f t="shared" si="67"/>
        <v>0</v>
      </c>
      <c r="T90" s="73">
        <f t="shared" si="67"/>
        <v>0</v>
      </c>
      <c r="U90" s="73">
        <f t="shared" si="67"/>
        <v>0</v>
      </c>
      <c r="V90" s="73">
        <f t="shared" si="67"/>
        <v>0</v>
      </c>
      <c r="W90" s="73">
        <f t="shared" si="67"/>
        <v>0</v>
      </c>
      <c r="X90" s="73">
        <f t="shared" si="67"/>
        <v>0</v>
      </c>
      <c r="Y90" s="73">
        <f t="shared" si="67"/>
        <v>0</v>
      </c>
      <c r="Z90" s="73">
        <f t="shared" si="67"/>
        <v>0</v>
      </c>
      <c r="AA90" s="73">
        <f t="shared" si="67"/>
        <v>0</v>
      </c>
      <c r="AB90" s="73">
        <f t="shared" si="67"/>
        <v>0</v>
      </c>
      <c r="AC90" s="73">
        <f t="shared" si="67"/>
        <v>0</v>
      </c>
      <c r="AD90" s="73">
        <f t="shared" si="67"/>
        <v>0</v>
      </c>
      <c r="AE90" s="73">
        <f t="shared" si="67"/>
        <v>0</v>
      </c>
      <c r="AF90" s="73">
        <f t="shared" si="67"/>
        <v>0</v>
      </c>
      <c r="AG90" s="73">
        <f t="shared" si="67"/>
        <v>0</v>
      </c>
      <c r="AH90" s="73">
        <f t="shared" si="67"/>
        <v>0</v>
      </c>
      <c r="AI90" s="73">
        <f t="shared" si="67"/>
        <v>0</v>
      </c>
      <c r="AJ90" s="73">
        <f t="shared" si="67"/>
        <v>0</v>
      </c>
      <c r="AK90" s="73">
        <f t="shared" si="67"/>
        <v>0</v>
      </c>
      <c r="AL90" s="73">
        <f t="shared" si="67"/>
        <v>0</v>
      </c>
      <c r="AM90" s="73">
        <f t="shared" si="67"/>
        <v>0</v>
      </c>
      <c r="AN90" s="73">
        <f t="shared" si="67"/>
        <v>0</v>
      </c>
      <c r="AO90" s="73">
        <f t="shared" si="67"/>
        <v>0</v>
      </c>
      <c r="AP90" s="73">
        <f t="shared" si="67"/>
        <v>0</v>
      </c>
      <c r="AQ90" s="73">
        <f t="shared" si="67"/>
        <v>0</v>
      </c>
      <c r="AR90" s="73">
        <f t="shared" si="67"/>
        <v>0</v>
      </c>
      <c r="AS90" s="73">
        <f t="shared" si="67"/>
        <v>0</v>
      </c>
      <c r="AT90" s="73">
        <f t="shared" si="67"/>
        <v>0</v>
      </c>
      <c r="AU90" s="73">
        <f t="shared" si="67"/>
        <v>0</v>
      </c>
      <c r="AV90" s="73">
        <f t="shared" si="67"/>
        <v>0</v>
      </c>
      <c r="AW90" s="73">
        <f t="shared" si="67"/>
        <v>0</v>
      </c>
      <c r="AX90" s="73">
        <f t="shared" si="67"/>
        <v>0</v>
      </c>
      <c r="AY90" s="73">
        <f t="shared" si="67"/>
        <v>0</v>
      </c>
      <c r="AZ90" s="73">
        <f t="shared" si="67"/>
        <v>0</v>
      </c>
      <c r="BA90" s="73">
        <f t="shared" si="67"/>
        <v>0</v>
      </c>
      <c r="BB90" s="73">
        <f t="shared" si="67"/>
        <v>0</v>
      </c>
      <c r="BC90" s="73">
        <f t="shared" si="67"/>
        <v>0</v>
      </c>
      <c r="BD90" s="73">
        <f t="shared" si="67"/>
        <v>0</v>
      </c>
      <c r="BE90" s="73">
        <f t="shared" si="67"/>
        <v>0</v>
      </c>
      <c r="BF90" s="73">
        <f t="shared" si="67"/>
        <v>0</v>
      </c>
      <c r="BG90" s="73">
        <f t="shared" si="67"/>
        <v>0</v>
      </c>
      <c r="BH90" s="73">
        <f t="shared" si="67"/>
        <v>0</v>
      </c>
      <c r="BI90" s="73">
        <f t="shared" si="67"/>
        <v>0</v>
      </c>
      <c r="BJ90" s="73">
        <f t="shared" si="67"/>
        <v>0</v>
      </c>
      <c r="BK90" s="73">
        <f t="shared" si="67"/>
        <v>0</v>
      </c>
      <c r="BL90" s="73">
        <f t="shared" si="67"/>
        <v>0</v>
      </c>
      <c r="BM90" s="73">
        <f t="shared" si="67"/>
        <v>0</v>
      </c>
      <c r="BN90" s="73">
        <f t="shared" si="67"/>
        <v>0</v>
      </c>
      <c r="BO90" s="73">
        <f t="shared" si="67"/>
        <v>0</v>
      </c>
      <c r="BP90" s="73">
        <f t="shared" ref="BP90:CX90" si="68">MIN(BP$89,BP$88/100*$B$87)</f>
        <v>0</v>
      </c>
      <c r="BQ90" s="73">
        <f t="shared" si="68"/>
        <v>0</v>
      </c>
      <c r="BR90" s="73">
        <f t="shared" si="68"/>
        <v>0</v>
      </c>
      <c r="BS90" s="73">
        <f t="shared" si="68"/>
        <v>0</v>
      </c>
      <c r="BT90" s="73">
        <f t="shared" si="68"/>
        <v>0</v>
      </c>
      <c r="BU90" s="73">
        <f t="shared" si="68"/>
        <v>0</v>
      </c>
      <c r="BV90" s="73">
        <f t="shared" si="68"/>
        <v>0</v>
      </c>
      <c r="BW90" s="73">
        <f t="shared" si="68"/>
        <v>0</v>
      </c>
      <c r="BX90" s="73">
        <f t="shared" si="68"/>
        <v>0</v>
      </c>
      <c r="BY90" s="73">
        <f t="shared" si="68"/>
        <v>0</v>
      </c>
      <c r="BZ90" s="73">
        <f t="shared" si="68"/>
        <v>0</v>
      </c>
      <c r="CA90" s="73">
        <f t="shared" si="68"/>
        <v>0</v>
      </c>
      <c r="CB90" s="73">
        <f t="shared" si="68"/>
        <v>0</v>
      </c>
      <c r="CC90" s="73">
        <f t="shared" si="68"/>
        <v>0</v>
      </c>
      <c r="CD90" s="73">
        <f t="shared" si="68"/>
        <v>0</v>
      </c>
      <c r="CE90" s="73">
        <f t="shared" si="68"/>
        <v>0</v>
      </c>
      <c r="CF90" s="73">
        <f t="shared" si="68"/>
        <v>0</v>
      </c>
      <c r="CG90" s="73">
        <f t="shared" si="68"/>
        <v>0</v>
      </c>
      <c r="CH90" s="73">
        <f t="shared" si="68"/>
        <v>0</v>
      </c>
      <c r="CI90" s="73">
        <f t="shared" si="68"/>
        <v>0</v>
      </c>
      <c r="CJ90" s="73">
        <f t="shared" si="68"/>
        <v>0</v>
      </c>
      <c r="CK90" s="73">
        <f t="shared" si="68"/>
        <v>0</v>
      </c>
      <c r="CL90" s="73">
        <f t="shared" si="68"/>
        <v>0</v>
      </c>
      <c r="CM90" s="73">
        <f t="shared" si="68"/>
        <v>0</v>
      </c>
      <c r="CN90" s="73">
        <f t="shared" si="68"/>
        <v>0</v>
      </c>
      <c r="CO90" s="73">
        <f t="shared" si="68"/>
        <v>0</v>
      </c>
      <c r="CP90" s="73">
        <f t="shared" si="68"/>
        <v>0</v>
      </c>
      <c r="CQ90" s="73">
        <f t="shared" si="68"/>
        <v>0</v>
      </c>
      <c r="CR90" s="73">
        <f t="shared" si="68"/>
        <v>0</v>
      </c>
      <c r="CS90" s="73">
        <f t="shared" si="68"/>
        <v>0</v>
      </c>
      <c r="CT90" s="73">
        <f t="shared" si="68"/>
        <v>0</v>
      </c>
      <c r="CU90" s="73">
        <f t="shared" si="68"/>
        <v>0</v>
      </c>
      <c r="CV90" s="73">
        <f t="shared" si="68"/>
        <v>0</v>
      </c>
      <c r="CW90" s="73">
        <f t="shared" si="68"/>
        <v>0</v>
      </c>
      <c r="CX90" s="73">
        <f t="shared" si="68"/>
        <v>0</v>
      </c>
    </row>
    <row r="91" spans="1:102" ht="13.8" x14ac:dyDescent="0.3">
      <c r="A91" s="208" t="s">
        <v>60</v>
      </c>
      <c r="B91" s="73"/>
      <c r="C91" s="73">
        <f>C$86+C$90</f>
        <v>0</v>
      </c>
      <c r="D91" s="73">
        <f t="shared" ref="D91:BO91" si="69">D$86+D$90</f>
        <v>0</v>
      </c>
      <c r="E91" s="73">
        <f t="shared" si="69"/>
        <v>0</v>
      </c>
      <c r="F91" s="73">
        <f t="shared" si="69"/>
        <v>0</v>
      </c>
      <c r="G91" s="73">
        <f t="shared" si="69"/>
        <v>0</v>
      </c>
      <c r="H91" s="73">
        <f t="shared" si="69"/>
        <v>0</v>
      </c>
      <c r="I91" s="73">
        <f t="shared" si="69"/>
        <v>0</v>
      </c>
      <c r="J91" s="73">
        <f t="shared" si="69"/>
        <v>0</v>
      </c>
      <c r="K91" s="73">
        <f t="shared" si="69"/>
        <v>0</v>
      </c>
      <c r="L91" s="73">
        <f t="shared" si="69"/>
        <v>0</v>
      </c>
      <c r="M91" s="73">
        <f t="shared" si="69"/>
        <v>0</v>
      </c>
      <c r="N91" s="73">
        <f t="shared" si="69"/>
        <v>0</v>
      </c>
      <c r="O91" s="73">
        <f t="shared" si="69"/>
        <v>0</v>
      </c>
      <c r="P91" s="73">
        <f t="shared" si="69"/>
        <v>0</v>
      </c>
      <c r="Q91" s="73">
        <f t="shared" si="69"/>
        <v>0</v>
      </c>
      <c r="R91" s="73">
        <f t="shared" si="69"/>
        <v>0</v>
      </c>
      <c r="S91" s="73">
        <f t="shared" si="69"/>
        <v>0</v>
      </c>
      <c r="T91" s="73">
        <f t="shared" si="69"/>
        <v>0</v>
      </c>
      <c r="U91" s="73">
        <f t="shared" si="69"/>
        <v>0</v>
      </c>
      <c r="V91" s="73">
        <f t="shared" si="69"/>
        <v>0</v>
      </c>
      <c r="W91" s="73">
        <f t="shared" si="69"/>
        <v>0</v>
      </c>
      <c r="X91" s="73">
        <f t="shared" si="69"/>
        <v>0</v>
      </c>
      <c r="Y91" s="73">
        <f t="shared" si="69"/>
        <v>0</v>
      </c>
      <c r="Z91" s="73">
        <f t="shared" si="69"/>
        <v>0</v>
      </c>
      <c r="AA91" s="73">
        <f t="shared" si="69"/>
        <v>0</v>
      </c>
      <c r="AB91" s="73">
        <f t="shared" si="69"/>
        <v>0</v>
      </c>
      <c r="AC91" s="73">
        <f t="shared" si="69"/>
        <v>0</v>
      </c>
      <c r="AD91" s="73">
        <f t="shared" si="69"/>
        <v>0</v>
      </c>
      <c r="AE91" s="73">
        <f t="shared" si="69"/>
        <v>0</v>
      </c>
      <c r="AF91" s="73">
        <f t="shared" si="69"/>
        <v>0</v>
      </c>
      <c r="AG91" s="73">
        <f t="shared" si="69"/>
        <v>0</v>
      </c>
      <c r="AH91" s="73">
        <f t="shared" si="69"/>
        <v>0</v>
      </c>
      <c r="AI91" s="73">
        <f t="shared" si="69"/>
        <v>0</v>
      </c>
      <c r="AJ91" s="73">
        <f t="shared" si="69"/>
        <v>0</v>
      </c>
      <c r="AK91" s="73">
        <f t="shared" si="69"/>
        <v>0</v>
      </c>
      <c r="AL91" s="73">
        <f t="shared" si="69"/>
        <v>0</v>
      </c>
      <c r="AM91" s="73">
        <f t="shared" si="69"/>
        <v>0</v>
      </c>
      <c r="AN91" s="73">
        <f t="shared" si="69"/>
        <v>0</v>
      </c>
      <c r="AO91" s="73">
        <f t="shared" si="69"/>
        <v>0</v>
      </c>
      <c r="AP91" s="73">
        <f t="shared" si="69"/>
        <v>0</v>
      </c>
      <c r="AQ91" s="73">
        <f t="shared" si="69"/>
        <v>0</v>
      </c>
      <c r="AR91" s="73">
        <f t="shared" si="69"/>
        <v>0</v>
      </c>
      <c r="AS91" s="73">
        <f t="shared" si="69"/>
        <v>0</v>
      </c>
      <c r="AT91" s="73">
        <f t="shared" si="69"/>
        <v>0</v>
      </c>
      <c r="AU91" s="73">
        <f t="shared" si="69"/>
        <v>0</v>
      </c>
      <c r="AV91" s="73">
        <f t="shared" si="69"/>
        <v>0</v>
      </c>
      <c r="AW91" s="73">
        <f t="shared" si="69"/>
        <v>0</v>
      </c>
      <c r="AX91" s="73">
        <f t="shared" si="69"/>
        <v>0</v>
      </c>
      <c r="AY91" s="73">
        <f t="shared" si="69"/>
        <v>0</v>
      </c>
      <c r="AZ91" s="73">
        <f t="shared" si="69"/>
        <v>0</v>
      </c>
      <c r="BA91" s="73">
        <f t="shared" si="69"/>
        <v>0</v>
      </c>
      <c r="BB91" s="73">
        <f t="shared" si="69"/>
        <v>0</v>
      </c>
      <c r="BC91" s="73">
        <f t="shared" si="69"/>
        <v>0</v>
      </c>
      <c r="BD91" s="73">
        <f t="shared" si="69"/>
        <v>0</v>
      </c>
      <c r="BE91" s="73">
        <f t="shared" si="69"/>
        <v>0</v>
      </c>
      <c r="BF91" s="73">
        <f t="shared" si="69"/>
        <v>0</v>
      </c>
      <c r="BG91" s="73">
        <f t="shared" si="69"/>
        <v>0</v>
      </c>
      <c r="BH91" s="73">
        <f t="shared" si="69"/>
        <v>0</v>
      </c>
      <c r="BI91" s="73">
        <f t="shared" si="69"/>
        <v>0</v>
      </c>
      <c r="BJ91" s="73">
        <f t="shared" si="69"/>
        <v>0</v>
      </c>
      <c r="BK91" s="73">
        <f t="shared" si="69"/>
        <v>0</v>
      </c>
      <c r="BL91" s="73">
        <f t="shared" si="69"/>
        <v>0</v>
      </c>
      <c r="BM91" s="73">
        <f t="shared" si="69"/>
        <v>0</v>
      </c>
      <c r="BN91" s="73">
        <f t="shared" si="69"/>
        <v>0</v>
      </c>
      <c r="BO91" s="73">
        <f t="shared" si="69"/>
        <v>0</v>
      </c>
      <c r="BP91" s="73">
        <f t="shared" ref="BP91:CX91" si="70">BP$86+BP$90</f>
        <v>0</v>
      </c>
      <c r="BQ91" s="73">
        <f t="shared" si="70"/>
        <v>0</v>
      </c>
      <c r="BR91" s="73">
        <f t="shared" si="70"/>
        <v>0</v>
      </c>
      <c r="BS91" s="73">
        <f t="shared" si="70"/>
        <v>0</v>
      </c>
      <c r="BT91" s="73">
        <f t="shared" si="70"/>
        <v>0</v>
      </c>
      <c r="BU91" s="73">
        <f t="shared" si="70"/>
        <v>0</v>
      </c>
      <c r="BV91" s="73">
        <f t="shared" si="70"/>
        <v>0</v>
      </c>
      <c r="BW91" s="73">
        <f t="shared" si="70"/>
        <v>0</v>
      </c>
      <c r="BX91" s="73">
        <f t="shared" si="70"/>
        <v>0</v>
      </c>
      <c r="BY91" s="73">
        <f t="shared" si="70"/>
        <v>0</v>
      </c>
      <c r="BZ91" s="73">
        <f t="shared" si="70"/>
        <v>0</v>
      </c>
      <c r="CA91" s="73">
        <f t="shared" si="70"/>
        <v>0</v>
      </c>
      <c r="CB91" s="73">
        <f t="shared" si="70"/>
        <v>0</v>
      </c>
      <c r="CC91" s="73">
        <f t="shared" si="70"/>
        <v>0</v>
      </c>
      <c r="CD91" s="73">
        <f t="shared" si="70"/>
        <v>0</v>
      </c>
      <c r="CE91" s="73">
        <f t="shared" si="70"/>
        <v>0</v>
      </c>
      <c r="CF91" s="73">
        <f t="shared" si="70"/>
        <v>0</v>
      </c>
      <c r="CG91" s="73">
        <f t="shared" si="70"/>
        <v>0</v>
      </c>
      <c r="CH91" s="73">
        <f t="shared" si="70"/>
        <v>0</v>
      </c>
      <c r="CI91" s="73">
        <f t="shared" si="70"/>
        <v>0</v>
      </c>
      <c r="CJ91" s="73">
        <f t="shared" si="70"/>
        <v>0</v>
      </c>
      <c r="CK91" s="73">
        <f t="shared" si="70"/>
        <v>0</v>
      </c>
      <c r="CL91" s="73">
        <f t="shared" si="70"/>
        <v>0</v>
      </c>
      <c r="CM91" s="73">
        <f t="shared" si="70"/>
        <v>0</v>
      </c>
      <c r="CN91" s="73">
        <f t="shared" si="70"/>
        <v>0</v>
      </c>
      <c r="CO91" s="73">
        <f t="shared" si="70"/>
        <v>0</v>
      </c>
      <c r="CP91" s="73">
        <f t="shared" si="70"/>
        <v>0</v>
      </c>
      <c r="CQ91" s="73">
        <f t="shared" si="70"/>
        <v>0</v>
      </c>
      <c r="CR91" s="73">
        <f t="shared" si="70"/>
        <v>0</v>
      </c>
      <c r="CS91" s="73">
        <f t="shared" si="70"/>
        <v>0</v>
      </c>
      <c r="CT91" s="73">
        <f t="shared" si="70"/>
        <v>0</v>
      </c>
      <c r="CU91" s="73">
        <f t="shared" si="70"/>
        <v>0</v>
      </c>
      <c r="CV91" s="73">
        <f t="shared" si="70"/>
        <v>0</v>
      </c>
      <c r="CW91" s="73">
        <f t="shared" si="70"/>
        <v>0</v>
      </c>
      <c r="CX91" s="73">
        <f t="shared" si="70"/>
        <v>0</v>
      </c>
    </row>
    <row r="92" spans="1:102" ht="13.8" x14ac:dyDescent="0.3">
      <c r="A92" s="207" t="s">
        <v>2</v>
      </c>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c r="CV92" s="73"/>
      <c r="CW92" s="73"/>
      <c r="CX92" s="73"/>
    </row>
    <row r="93" spans="1:102" ht="13.8" x14ac:dyDescent="0.3">
      <c r="A93" s="208" t="s">
        <v>214</v>
      </c>
      <c r="B93" s="73"/>
      <c r="C93" s="73">
        <f t="array" ref="C93:CX93">'Inputs and Outputs'!C139:CX139</f>
        <v>0</v>
      </c>
      <c r="D93" s="73">
        <v>0</v>
      </c>
      <c r="E93" s="73">
        <v>0</v>
      </c>
      <c r="F93" s="73">
        <v>0</v>
      </c>
      <c r="G93" s="73">
        <v>0</v>
      </c>
      <c r="H93" s="73">
        <v>0</v>
      </c>
      <c r="I93" s="73">
        <v>0</v>
      </c>
      <c r="J93" s="73">
        <v>0</v>
      </c>
      <c r="K93" s="73">
        <v>0</v>
      </c>
      <c r="L93" s="73">
        <v>0</v>
      </c>
      <c r="M93" s="73">
        <v>0</v>
      </c>
      <c r="N93" s="73">
        <v>0</v>
      </c>
      <c r="O93" s="73">
        <v>0</v>
      </c>
      <c r="P93" s="73">
        <v>0</v>
      </c>
      <c r="Q93" s="73">
        <v>0</v>
      </c>
      <c r="R93" s="73">
        <v>0</v>
      </c>
      <c r="S93" s="73">
        <v>0</v>
      </c>
      <c r="T93" s="73">
        <v>0</v>
      </c>
      <c r="U93" s="73">
        <v>0</v>
      </c>
      <c r="V93" s="73">
        <v>0</v>
      </c>
      <c r="W93" s="73">
        <v>0</v>
      </c>
      <c r="X93" s="73">
        <v>0</v>
      </c>
      <c r="Y93" s="73">
        <v>0</v>
      </c>
      <c r="Z93" s="73">
        <v>0</v>
      </c>
      <c r="AA93" s="73">
        <v>0</v>
      </c>
      <c r="AB93" s="73">
        <v>0</v>
      </c>
      <c r="AC93" s="73">
        <v>0</v>
      </c>
      <c r="AD93" s="73">
        <v>0</v>
      </c>
      <c r="AE93" s="73">
        <v>0</v>
      </c>
      <c r="AF93" s="73">
        <v>0</v>
      </c>
      <c r="AG93" s="73">
        <v>0</v>
      </c>
      <c r="AH93" s="73">
        <v>0</v>
      </c>
      <c r="AI93" s="73">
        <v>0</v>
      </c>
      <c r="AJ93" s="73">
        <v>0</v>
      </c>
      <c r="AK93" s="73">
        <v>0</v>
      </c>
      <c r="AL93" s="73">
        <v>0</v>
      </c>
      <c r="AM93" s="73">
        <v>0</v>
      </c>
      <c r="AN93" s="73">
        <v>0</v>
      </c>
      <c r="AO93" s="73">
        <v>0</v>
      </c>
      <c r="AP93" s="73">
        <v>0</v>
      </c>
      <c r="AQ93" s="73">
        <v>0</v>
      </c>
      <c r="AR93" s="73">
        <v>0</v>
      </c>
      <c r="AS93" s="73">
        <v>0</v>
      </c>
      <c r="AT93" s="73">
        <v>0</v>
      </c>
      <c r="AU93" s="73">
        <v>0</v>
      </c>
      <c r="AV93" s="73">
        <v>0</v>
      </c>
      <c r="AW93" s="73">
        <v>0</v>
      </c>
      <c r="AX93" s="73">
        <v>0</v>
      </c>
      <c r="AY93" s="73">
        <v>0</v>
      </c>
      <c r="AZ93" s="73">
        <v>0</v>
      </c>
      <c r="BA93" s="73">
        <v>0</v>
      </c>
      <c r="BB93" s="73">
        <v>0</v>
      </c>
      <c r="BC93" s="73">
        <v>0</v>
      </c>
      <c r="BD93" s="73">
        <v>0</v>
      </c>
      <c r="BE93" s="73">
        <v>0</v>
      </c>
      <c r="BF93" s="73">
        <v>0</v>
      </c>
      <c r="BG93" s="73">
        <v>0</v>
      </c>
      <c r="BH93" s="73">
        <v>0</v>
      </c>
      <c r="BI93" s="73">
        <v>0</v>
      </c>
      <c r="BJ93" s="73">
        <v>0</v>
      </c>
      <c r="BK93" s="73">
        <v>0</v>
      </c>
      <c r="BL93" s="73">
        <v>0</v>
      </c>
      <c r="BM93" s="73">
        <v>0</v>
      </c>
      <c r="BN93" s="73">
        <v>0</v>
      </c>
      <c r="BO93" s="73">
        <v>0</v>
      </c>
      <c r="BP93" s="73">
        <v>0</v>
      </c>
      <c r="BQ93" s="73">
        <v>0</v>
      </c>
      <c r="BR93" s="73">
        <v>0</v>
      </c>
      <c r="BS93" s="73">
        <v>0</v>
      </c>
      <c r="BT93" s="73">
        <v>0</v>
      </c>
      <c r="BU93" s="73">
        <v>0</v>
      </c>
      <c r="BV93" s="73">
        <v>0</v>
      </c>
      <c r="BW93" s="73">
        <v>0</v>
      </c>
      <c r="BX93" s="73">
        <v>0</v>
      </c>
      <c r="BY93" s="73">
        <v>0</v>
      </c>
      <c r="BZ93" s="73">
        <v>0</v>
      </c>
      <c r="CA93" s="73">
        <v>0</v>
      </c>
      <c r="CB93" s="73">
        <v>0</v>
      </c>
      <c r="CC93" s="73">
        <v>0</v>
      </c>
      <c r="CD93" s="73">
        <v>0</v>
      </c>
      <c r="CE93" s="73">
        <v>0</v>
      </c>
      <c r="CF93" s="73">
        <v>0</v>
      </c>
      <c r="CG93" s="73">
        <v>0</v>
      </c>
      <c r="CH93" s="73">
        <v>0</v>
      </c>
      <c r="CI93" s="73">
        <v>0</v>
      </c>
      <c r="CJ93" s="73">
        <v>0</v>
      </c>
      <c r="CK93" s="73">
        <v>0</v>
      </c>
      <c r="CL93" s="73">
        <v>0</v>
      </c>
      <c r="CM93" s="73">
        <v>0</v>
      </c>
      <c r="CN93" s="73">
        <v>0</v>
      </c>
      <c r="CO93" s="73">
        <v>0</v>
      </c>
      <c r="CP93" s="73">
        <v>0</v>
      </c>
      <c r="CQ93" s="73">
        <v>0</v>
      </c>
      <c r="CR93" s="73">
        <v>0</v>
      </c>
      <c r="CS93" s="73">
        <v>0</v>
      </c>
      <c r="CT93" s="73">
        <v>0</v>
      </c>
      <c r="CU93" s="73">
        <v>0</v>
      </c>
      <c r="CV93" s="73">
        <v>0</v>
      </c>
      <c r="CW93" s="73">
        <v>0</v>
      </c>
      <c r="CX93" s="73">
        <v>0</v>
      </c>
    </row>
    <row r="94" spans="1:102" ht="13.8" x14ac:dyDescent="0.3">
      <c r="A94" s="208" t="s">
        <v>219</v>
      </c>
      <c r="B94" s="73">
        <f>IF(ISNUMBER(outYear),total_installed_cost-IF(ibi_fed_amount_deprbas_fed="Yes",ibi_fed_amount,0)-IF(ibi_sta_amount_deprbas_fed="Yes",ibi_sta_amount,0)-IF(ibi_oth_amount_deprbas_fed="Yes",ibi_oth_amount,0)-IF(ibi_uti_amount_deprbas_fed="Yes",ibi_uti_amount,0)-IF(ibi_fed_percent_deprbas_fed="Yes",MIN(ibi_fed_percent/100*total_installed_cost,ibi_fed_percent_maxvalue),0)-IF(ibi_sta_percent_deprbas_fed="Yes",MIN(ibi_sta_percent/100*total_installed_cost,ibi_sta_percent_maxvalue),0)-IF(ibi_uti_percent_deprbas_fed="Yes",MIN(ibi_uti_percent/100*total_installed_cost,ibi_uti_percent_maxvalue),0)-IF(ibi_oth_percent_deprbas_fed="Yes",MIN(ibi_oth_percent/100*total_installed_cost,ibi_oth_percent_maxvalue),0)-IF(cbi_fed_deprbas_fed="Yes",B71,0)-IF(cbi_sta_deprbas_fed="Yes",B72,0)-IF(cbi_uti_deprbas_fed="Yes",B73,0)-IF(cbi_oth_deprbas_fed="Yes",B74,0),"")</f>
        <v>0</v>
      </c>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c r="BX94" s="73"/>
      <c r="BY94" s="73"/>
      <c r="BZ94" s="73"/>
      <c r="CA94" s="73"/>
      <c r="CB94" s="73"/>
      <c r="CC94" s="73"/>
      <c r="CD94" s="73"/>
      <c r="CE94" s="73"/>
      <c r="CF94" s="73"/>
      <c r="CG94" s="73"/>
      <c r="CH94" s="73"/>
      <c r="CI94" s="73"/>
      <c r="CJ94" s="73"/>
      <c r="CK94" s="73"/>
      <c r="CL94" s="73"/>
      <c r="CM94" s="73"/>
      <c r="CN94" s="73"/>
      <c r="CO94" s="73"/>
      <c r="CP94" s="73"/>
      <c r="CQ94" s="73"/>
      <c r="CR94" s="73"/>
      <c r="CS94" s="73"/>
      <c r="CT94" s="73"/>
      <c r="CU94" s="73"/>
      <c r="CV94" s="73"/>
      <c r="CW94" s="73"/>
      <c r="CX94" s="73"/>
    </row>
    <row r="95" spans="1:102" ht="13.8" x14ac:dyDescent="0.3">
      <c r="A95" s="208" t="s">
        <v>218</v>
      </c>
      <c r="B95" s="210"/>
      <c r="C95" s="210">
        <f t="array" ref="C95:CX95">'Inputs and Outputs'!C141:CX141</f>
        <v>0</v>
      </c>
      <c r="D95" s="210">
        <v>0</v>
      </c>
      <c r="E95" s="210">
        <v>0</v>
      </c>
      <c r="F95" s="210">
        <v>0</v>
      </c>
      <c r="G95" s="210">
        <v>0</v>
      </c>
      <c r="H95" s="210">
        <v>0</v>
      </c>
      <c r="I95" s="210">
        <v>0</v>
      </c>
      <c r="J95" s="210">
        <v>0</v>
      </c>
      <c r="K95" s="210">
        <v>0</v>
      </c>
      <c r="L95" s="210">
        <v>0</v>
      </c>
      <c r="M95" s="210">
        <v>0</v>
      </c>
      <c r="N95" s="210">
        <v>0</v>
      </c>
      <c r="O95" s="210">
        <v>0</v>
      </c>
      <c r="P95" s="210">
        <v>0</v>
      </c>
      <c r="Q95" s="210">
        <v>0</v>
      </c>
      <c r="R95" s="210">
        <v>0</v>
      </c>
      <c r="S95" s="210">
        <v>0</v>
      </c>
      <c r="T95" s="210">
        <v>0</v>
      </c>
      <c r="U95" s="210">
        <v>0</v>
      </c>
      <c r="V95" s="210">
        <v>0</v>
      </c>
      <c r="W95" s="210">
        <v>0</v>
      </c>
      <c r="X95" s="210">
        <v>0</v>
      </c>
      <c r="Y95" s="210">
        <v>0</v>
      </c>
      <c r="Z95" s="210">
        <v>0</v>
      </c>
      <c r="AA95" s="210">
        <v>0</v>
      </c>
      <c r="AB95" s="210">
        <v>0</v>
      </c>
      <c r="AC95" s="210">
        <v>0</v>
      </c>
      <c r="AD95" s="210">
        <v>0</v>
      </c>
      <c r="AE95" s="210">
        <v>0</v>
      </c>
      <c r="AF95" s="210">
        <v>0</v>
      </c>
      <c r="AG95" s="210">
        <v>0</v>
      </c>
      <c r="AH95" s="210">
        <v>0</v>
      </c>
      <c r="AI95" s="210">
        <v>0</v>
      </c>
      <c r="AJ95" s="210">
        <v>0</v>
      </c>
      <c r="AK95" s="210">
        <v>0</v>
      </c>
      <c r="AL95" s="210">
        <v>0</v>
      </c>
      <c r="AM95" s="210">
        <v>0</v>
      </c>
      <c r="AN95" s="210">
        <v>0</v>
      </c>
      <c r="AO95" s="210">
        <v>0</v>
      </c>
      <c r="AP95" s="210">
        <v>0</v>
      </c>
      <c r="AQ95" s="210">
        <v>0</v>
      </c>
      <c r="AR95" s="210">
        <v>0</v>
      </c>
      <c r="AS95" s="210">
        <v>0</v>
      </c>
      <c r="AT95" s="210">
        <v>0</v>
      </c>
      <c r="AU95" s="210">
        <v>0</v>
      </c>
      <c r="AV95" s="210">
        <v>0</v>
      </c>
      <c r="AW95" s="210">
        <v>0</v>
      </c>
      <c r="AX95" s="210">
        <v>0</v>
      </c>
      <c r="AY95" s="210">
        <v>0</v>
      </c>
      <c r="AZ95" s="210">
        <v>0</v>
      </c>
      <c r="BA95" s="210">
        <v>0</v>
      </c>
      <c r="BB95" s="210">
        <v>0</v>
      </c>
      <c r="BC95" s="210">
        <v>0</v>
      </c>
      <c r="BD95" s="210">
        <v>0</v>
      </c>
      <c r="BE95" s="210">
        <v>0</v>
      </c>
      <c r="BF95" s="210">
        <v>0</v>
      </c>
      <c r="BG95" s="210">
        <v>0</v>
      </c>
      <c r="BH95" s="210">
        <v>0</v>
      </c>
      <c r="BI95" s="210">
        <v>0</v>
      </c>
      <c r="BJ95" s="210">
        <v>0</v>
      </c>
      <c r="BK95" s="210">
        <v>0</v>
      </c>
      <c r="BL95" s="210">
        <v>0</v>
      </c>
      <c r="BM95" s="210">
        <v>0</v>
      </c>
      <c r="BN95" s="210">
        <v>0</v>
      </c>
      <c r="BO95" s="210">
        <v>0</v>
      </c>
      <c r="BP95" s="210">
        <v>0</v>
      </c>
      <c r="BQ95" s="210">
        <v>0</v>
      </c>
      <c r="BR95" s="210">
        <v>0</v>
      </c>
      <c r="BS95" s="210">
        <v>0</v>
      </c>
      <c r="BT95" s="210">
        <v>0</v>
      </c>
      <c r="BU95" s="210">
        <v>0</v>
      </c>
      <c r="BV95" s="210">
        <v>0</v>
      </c>
      <c r="BW95" s="210">
        <v>0</v>
      </c>
      <c r="BX95" s="210">
        <v>0</v>
      </c>
      <c r="BY95" s="210">
        <v>0</v>
      </c>
      <c r="BZ95" s="210">
        <v>0</v>
      </c>
      <c r="CA95" s="210">
        <v>0</v>
      </c>
      <c r="CB95" s="210">
        <v>0</v>
      </c>
      <c r="CC95" s="210">
        <v>0</v>
      </c>
      <c r="CD95" s="210">
        <v>0</v>
      </c>
      <c r="CE95" s="210">
        <v>0</v>
      </c>
      <c r="CF95" s="210">
        <v>0</v>
      </c>
      <c r="CG95" s="210">
        <v>0</v>
      </c>
      <c r="CH95" s="210">
        <v>0</v>
      </c>
      <c r="CI95" s="210">
        <v>0</v>
      </c>
      <c r="CJ95" s="210">
        <v>0</v>
      </c>
      <c r="CK95" s="210">
        <v>0</v>
      </c>
      <c r="CL95" s="210">
        <v>0</v>
      </c>
      <c r="CM95" s="210">
        <v>0</v>
      </c>
      <c r="CN95" s="210">
        <v>0</v>
      </c>
      <c r="CO95" s="210">
        <v>0</v>
      </c>
      <c r="CP95" s="210">
        <v>0</v>
      </c>
      <c r="CQ95" s="210">
        <v>0</v>
      </c>
      <c r="CR95" s="210">
        <v>0</v>
      </c>
      <c r="CS95" s="210">
        <v>0</v>
      </c>
      <c r="CT95" s="210">
        <v>0</v>
      </c>
      <c r="CU95" s="210">
        <v>0</v>
      </c>
      <c r="CV95" s="210">
        <v>0</v>
      </c>
      <c r="CW95" s="210">
        <v>0</v>
      </c>
      <c r="CX95" s="210">
        <v>0</v>
      </c>
    </row>
    <row r="96" spans="1:102" ht="13.8" x14ac:dyDescent="0.3">
      <c r="A96" s="209" t="s">
        <v>216</v>
      </c>
      <c r="B96" s="211"/>
      <c r="C96" s="211">
        <f t="array" ref="C96:CX96">'Inputs and Outputs'!C142:CX142</f>
        <v>0</v>
      </c>
      <c r="D96" s="211">
        <v>0</v>
      </c>
      <c r="E96" s="211">
        <v>0</v>
      </c>
      <c r="F96" s="211">
        <v>0</v>
      </c>
      <c r="G96" s="211">
        <v>0</v>
      </c>
      <c r="H96" s="211">
        <v>0</v>
      </c>
      <c r="I96" s="211">
        <v>0</v>
      </c>
      <c r="J96" s="211">
        <v>0</v>
      </c>
      <c r="K96" s="211">
        <v>0</v>
      </c>
      <c r="L96" s="211">
        <v>0</v>
      </c>
      <c r="M96" s="211">
        <v>0</v>
      </c>
      <c r="N96" s="211">
        <v>0</v>
      </c>
      <c r="O96" s="211">
        <v>0</v>
      </c>
      <c r="P96" s="211">
        <v>0</v>
      </c>
      <c r="Q96" s="211">
        <v>0</v>
      </c>
      <c r="R96" s="211">
        <v>0</v>
      </c>
      <c r="S96" s="211">
        <v>0</v>
      </c>
      <c r="T96" s="211">
        <v>0</v>
      </c>
      <c r="U96" s="211">
        <v>0</v>
      </c>
      <c r="V96" s="211">
        <v>0</v>
      </c>
      <c r="W96" s="211">
        <v>0</v>
      </c>
      <c r="X96" s="211">
        <v>0</v>
      </c>
      <c r="Y96" s="211">
        <v>0</v>
      </c>
      <c r="Z96" s="211">
        <v>0</v>
      </c>
      <c r="AA96" s="211">
        <v>0</v>
      </c>
      <c r="AB96" s="211">
        <v>0</v>
      </c>
      <c r="AC96" s="211">
        <v>0</v>
      </c>
      <c r="AD96" s="211">
        <v>0</v>
      </c>
      <c r="AE96" s="211">
        <v>0</v>
      </c>
      <c r="AF96" s="211">
        <v>0</v>
      </c>
      <c r="AG96" s="211">
        <v>0</v>
      </c>
      <c r="AH96" s="211">
        <v>0</v>
      </c>
      <c r="AI96" s="211">
        <v>0</v>
      </c>
      <c r="AJ96" s="211">
        <v>0</v>
      </c>
      <c r="AK96" s="211">
        <v>0</v>
      </c>
      <c r="AL96" s="211">
        <v>0</v>
      </c>
      <c r="AM96" s="211">
        <v>0</v>
      </c>
      <c r="AN96" s="211">
        <v>0</v>
      </c>
      <c r="AO96" s="211">
        <v>0</v>
      </c>
      <c r="AP96" s="211">
        <v>0</v>
      </c>
      <c r="AQ96" s="211">
        <v>0</v>
      </c>
      <c r="AR96" s="211">
        <v>0</v>
      </c>
      <c r="AS96" s="211">
        <v>0</v>
      </c>
      <c r="AT96" s="211">
        <v>0</v>
      </c>
      <c r="AU96" s="211">
        <v>0</v>
      </c>
      <c r="AV96" s="211">
        <v>0</v>
      </c>
      <c r="AW96" s="211">
        <v>0</v>
      </c>
      <c r="AX96" s="211">
        <v>0</v>
      </c>
      <c r="AY96" s="211">
        <v>0</v>
      </c>
      <c r="AZ96" s="211">
        <v>0</v>
      </c>
      <c r="BA96" s="211">
        <v>0</v>
      </c>
      <c r="BB96" s="211">
        <v>0</v>
      </c>
      <c r="BC96" s="211">
        <v>0</v>
      </c>
      <c r="BD96" s="211">
        <v>0</v>
      </c>
      <c r="BE96" s="211">
        <v>0</v>
      </c>
      <c r="BF96" s="211">
        <v>0</v>
      </c>
      <c r="BG96" s="211">
        <v>0</v>
      </c>
      <c r="BH96" s="211">
        <v>0</v>
      </c>
      <c r="BI96" s="211">
        <v>0</v>
      </c>
      <c r="BJ96" s="211">
        <v>0</v>
      </c>
      <c r="BK96" s="211">
        <v>0</v>
      </c>
      <c r="BL96" s="211">
        <v>0</v>
      </c>
      <c r="BM96" s="211">
        <v>0</v>
      </c>
      <c r="BN96" s="211">
        <v>0</v>
      </c>
      <c r="BO96" s="211">
        <v>0</v>
      </c>
      <c r="BP96" s="211">
        <v>0</v>
      </c>
      <c r="BQ96" s="211">
        <v>0</v>
      </c>
      <c r="BR96" s="211">
        <v>0</v>
      </c>
      <c r="BS96" s="211">
        <v>0</v>
      </c>
      <c r="BT96" s="211">
        <v>0</v>
      </c>
      <c r="BU96" s="211">
        <v>0</v>
      </c>
      <c r="BV96" s="211">
        <v>0</v>
      </c>
      <c r="BW96" s="211">
        <v>0</v>
      </c>
      <c r="BX96" s="211">
        <v>0</v>
      </c>
      <c r="BY96" s="211">
        <v>0</v>
      </c>
      <c r="BZ96" s="211">
        <v>0</v>
      </c>
      <c r="CA96" s="211">
        <v>0</v>
      </c>
      <c r="CB96" s="211">
        <v>0</v>
      </c>
      <c r="CC96" s="211">
        <v>0</v>
      </c>
      <c r="CD96" s="211">
        <v>0</v>
      </c>
      <c r="CE96" s="211">
        <v>0</v>
      </c>
      <c r="CF96" s="211">
        <v>0</v>
      </c>
      <c r="CG96" s="211">
        <v>0</v>
      </c>
      <c r="CH96" s="211">
        <v>0</v>
      </c>
      <c r="CI96" s="211">
        <v>0</v>
      </c>
      <c r="CJ96" s="211">
        <v>0</v>
      </c>
      <c r="CK96" s="211">
        <v>0</v>
      </c>
      <c r="CL96" s="211">
        <v>0</v>
      </c>
      <c r="CM96" s="211">
        <v>0</v>
      </c>
      <c r="CN96" s="211">
        <v>0</v>
      </c>
      <c r="CO96" s="211">
        <v>0</v>
      </c>
      <c r="CP96" s="211">
        <v>0</v>
      </c>
      <c r="CQ96" s="211">
        <v>0</v>
      </c>
      <c r="CR96" s="211">
        <v>0</v>
      </c>
      <c r="CS96" s="211">
        <v>0</v>
      </c>
      <c r="CT96" s="211">
        <v>0</v>
      </c>
      <c r="CU96" s="211">
        <v>0</v>
      </c>
      <c r="CV96" s="211">
        <v>0</v>
      </c>
      <c r="CW96" s="211">
        <v>0</v>
      </c>
      <c r="CX96" s="211">
        <v>0</v>
      </c>
    </row>
    <row r="97" spans="1:102" ht="13.8" x14ac:dyDescent="0.3">
      <c r="A97" s="208" t="s">
        <v>217</v>
      </c>
      <c r="B97" s="73"/>
      <c r="C97" s="73">
        <f>MIN(C$96,C$95/100*$B$94)</f>
        <v>0</v>
      </c>
      <c r="D97" s="73">
        <f t="shared" ref="D97:BO97" si="71">MIN(D$96,D$95/100*$B$94)</f>
        <v>0</v>
      </c>
      <c r="E97" s="73">
        <f t="shared" si="71"/>
        <v>0</v>
      </c>
      <c r="F97" s="73">
        <f t="shared" si="71"/>
        <v>0</v>
      </c>
      <c r="G97" s="73">
        <f t="shared" si="71"/>
        <v>0</v>
      </c>
      <c r="H97" s="73">
        <f t="shared" si="71"/>
        <v>0</v>
      </c>
      <c r="I97" s="73">
        <f t="shared" si="71"/>
        <v>0</v>
      </c>
      <c r="J97" s="73">
        <f t="shared" si="71"/>
        <v>0</v>
      </c>
      <c r="K97" s="73">
        <f t="shared" si="71"/>
        <v>0</v>
      </c>
      <c r="L97" s="73">
        <f t="shared" si="71"/>
        <v>0</v>
      </c>
      <c r="M97" s="73">
        <f t="shared" si="71"/>
        <v>0</v>
      </c>
      <c r="N97" s="73">
        <f t="shared" si="71"/>
        <v>0</v>
      </c>
      <c r="O97" s="73">
        <f t="shared" si="71"/>
        <v>0</v>
      </c>
      <c r="P97" s="73">
        <f t="shared" si="71"/>
        <v>0</v>
      </c>
      <c r="Q97" s="73">
        <f t="shared" si="71"/>
        <v>0</v>
      </c>
      <c r="R97" s="73">
        <f t="shared" si="71"/>
        <v>0</v>
      </c>
      <c r="S97" s="73">
        <f t="shared" si="71"/>
        <v>0</v>
      </c>
      <c r="T97" s="73">
        <f t="shared" si="71"/>
        <v>0</v>
      </c>
      <c r="U97" s="73">
        <f t="shared" si="71"/>
        <v>0</v>
      </c>
      <c r="V97" s="73">
        <f t="shared" si="71"/>
        <v>0</v>
      </c>
      <c r="W97" s="73">
        <f t="shared" si="71"/>
        <v>0</v>
      </c>
      <c r="X97" s="73">
        <f t="shared" si="71"/>
        <v>0</v>
      </c>
      <c r="Y97" s="73">
        <f t="shared" si="71"/>
        <v>0</v>
      </c>
      <c r="Z97" s="73">
        <f t="shared" si="71"/>
        <v>0</v>
      </c>
      <c r="AA97" s="73">
        <f t="shared" si="71"/>
        <v>0</v>
      </c>
      <c r="AB97" s="73">
        <f t="shared" si="71"/>
        <v>0</v>
      </c>
      <c r="AC97" s="73">
        <f t="shared" si="71"/>
        <v>0</v>
      </c>
      <c r="AD97" s="73">
        <f t="shared" si="71"/>
        <v>0</v>
      </c>
      <c r="AE97" s="73">
        <f t="shared" si="71"/>
        <v>0</v>
      </c>
      <c r="AF97" s="73">
        <f t="shared" si="71"/>
        <v>0</v>
      </c>
      <c r="AG97" s="73">
        <f t="shared" si="71"/>
        <v>0</v>
      </c>
      <c r="AH97" s="73">
        <f t="shared" si="71"/>
        <v>0</v>
      </c>
      <c r="AI97" s="73">
        <f t="shared" si="71"/>
        <v>0</v>
      </c>
      <c r="AJ97" s="73">
        <f t="shared" si="71"/>
        <v>0</v>
      </c>
      <c r="AK97" s="73">
        <f t="shared" si="71"/>
        <v>0</v>
      </c>
      <c r="AL97" s="73">
        <f t="shared" si="71"/>
        <v>0</v>
      </c>
      <c r="AM97" s="73">
        <f t="shared" si="71"/>
        <v>0</v>
      </c>
      <c r="AN97" s="73">
        <f t="shared" si="71"/>
        <v>0</v>
      </c>
      <c r="AO97" s="73">
        <f t="shared" si="71"/>
        <v>0</v>
      </c>
      <c r="AP97" s="73">
        <f t="shared" si="71"/>
        <v>0</v>
      </c>
      <c r="AQ97" s="73">
        <f t="shared" si="71"/>
        <v>0</v>
      </c>
      <c r="AR97" s="73">
        <f t="shared" si="71"/>
        <v>0</v>
      </c>
      <c r="AS97" s="73">
        <f t="shared" si="71"/>
        <v>0</v>
      </c>
      <c r="AT97" s="73">
        <f t="shared" si="71"/>
        <v>0</v>
      </c>
      <c r="AU97" s="73">
        <f t="shared" si="71"/>
        <v>0</v>
      </c>
      <c r="AV97" s="73">
        <f t="shared" si="71"/>
        <v>0</v>
      </c>
      <c r="AW97" s="73">
        <f t="shared" si="71"/>
        <v>0</v>
      </c>
      <c r="AX97" s="73">
        <f t="shared" si="71"/>
        <v>0</v>
      </c>
      <c r="AY97" s="73">
        <f t="shared" si="71"/>
        <v>0</v>
      </c>
      <c r="AZ97" s="73">
        <f t="shared" si="71"/>
        <v>0</v>
      </c>
      <c r="BA97" s="73">
        <f t="shared" si="71"/>
        <v>0</v>
      </c>
      <c r="BB97" s="73">
        <f t="shared" si="71"/>
        <v>0</v>
      </c>
      <c r="BC97" s="73">
        <f t="shared" si="71"/>
        <v>0</v>
      </c>
      <c r="BD97" s="73">
        <f t="shared" si="71"/>
        <v>0</v>
      </c>
      <c r="BE97" s="73">
        <f t="shared" si="71"/>
        <v>0</v>
      </c>
      <c r="BF97" s="73">
        <f t="shared" si="71"/>
        <v>0</v>
      </c>
      <c r="BG97" s="73">
        <f t="shared" si="71"/>
        <v>0</v>
      </c>
      <c r="BH97" s="73">
        <f t="shared" si="71"/>
        <v>0</v>
      </c>
      <c r="BI97" s="73">
        <f t="shared" si="71"/>
        <v>0</v>
      </c>
      <c r="BJ97" s="73">
        <f t="shared" si="71"/>
        <v>0</v>
      </c>
      <c r="BK97" s="73">
        <f t="shared" si="71"/>
        <v>0</v>
      </c>
      <c r="BL97" s="73">
        <f t="shared" si="71"/>
        <v>0</v>
      </c>
      <c r="BM97" s="73">
        <f t="shared" si="71"/>
        <v>0</v>
      </c>
      <c r="BN97" s="73">
        <f t="shared" si="71"/>
        <v>0</v>
      </c>
      <c r="BO97" s="73">
        <f t="shared" si="71"/>
        <v>0</v>
      </c>
      <c r="BP97" s="73">
        <f t="shared" ref="BP97:CX97" si="72">MIN(BP$96,BP$95/100*$B$94)</f>
        <v>0</v>
      </c>
      <c r="BQ97" s="73">
        <f t="shared" si="72"/>
        <v>0</v>
      </c>
      <c r="BR97" s="73">
        <f t="shared" si="72"/>
        <v>0</v>
      </c>
      <c r="BS97" s="73">
        <f t="shared" si="72"/>
        <v>0</v>
      </c>
      <c r="BT97" s="73">
        <f t="shared" si="72"/>
        <v>0</v>
      </c>
      <c r="BU97" s="73">
        <f t="shared" si="72"/>
        <v>0</v>
      </c>
      <c r="BV97" s="73">
        <f t="shared" si="72"/>
        <v>0</v>
      </c>
      <c r="BW97" s="73">
        <f t="shared" si="72"/>
        <v>0</v>
      </c>
      <c r="BX97" s="73">
        <f t="shared" si="72"/>
        <v>0</v>
      </c>
      <c r="BY97" s="73">
        <f t="shared" si="72"/>
        <v>0</v>
      </c>
      <c r="BZ97" s="73">
        <f t="shared" si="72"/>
        <v>0</v>
      </c>
      <c r="CA97" s="73">
        <f t="shared" si="72"/>
        <v>0</v>
      </c>
      <c r="CB97" s="73">
        <f t="shared" si="72"/>
        <v>0</v>
      </c>
      <c r="CC97" s="73">
        <f t="shared" si="72"/>
        <v>0</v>
      </c>
      <c r="CD97" s="73">
        <f t="shared" si="72"/>
        <v>0</v>
      </c>
      <c r="CE97" s="73">
        <f t="shared" si="72"/>
        <v>0</v>
      </c>
      <c r="CF97" s="73">
        <f t="shared" si="72"/>
        <v>0</v>
      </c>
      <c r="CG97" s="73">
        <f t="shared" si="72"/>
        <v>0</v>
      </c>
      <c r="CH97" s="73">
        <f t="shared" si="72"/>
        <v>0</v>
      </c>
      <c r="CI97" s="73">
        <f t="shared" si="72"/>
        <v>0</v>
      </c>
      <c r="CJ97" s="73">
        <f t="shared" si="72"/>
        <v>0</v>
      </c>
      <c r="CK97" s="73">
        <f t="shared" si="72"/>
        <v>0</v>
      </c>
      <c r="CL97" s="73">
        <f t="shared" si="72"/>
        <v>0</v>
      </c>
      <c r="CM97" s="73">
        <f t="shared" si="72"/>
        <v>0</v>
      </c>
      <c r="CN97" s="73">
        <f t="shared" si="72"/>
        <v>0</v>
      </c>
      <c r="CO97" s="73">
        <f t="shared" si="72"/>
        <v>0</v>
      </c>
      <c r="CP97" s="73">
        <f t="shared" si="72"/>
        <v>0</v>
      </c>
      <c r="CQ97" s="73">
        <f t="shared" si="72"/>
        <v>0</v>
      </c>
      <c r="CR97" s="73">
        <f t="shared" si="72"/>
        <v>0</v>
      </c>
      <c r="CS97" s="73">
        <f t="shared" si="72"/>
        <v>0</v>
      </c>
      <c r="CT97" s="73">
        <f t="shared" si="72"/>
        <v>0</v>
      </c>
      <c r="CU97" s="73">
        <f t="shared" si="72"/>
        <v>0</v>
      </c>
      <c r="CV97" s="73">
        <f t="shared" si="72"/>
        <v>0</v>
      </c>
      <c r="CW97" s="73">
        <f t="shared" si="72"/>
        <v>0</v>
      </c>
      <c r="CX97" s="73">
        <f t="shared" si="72"/>
        <v>0</v>
      </c>
    </row>
    <row r="98" spans="1:102" ht="13.8" x14ac:dyDescent="0.3">
      <c r="A98" s="208" t="s">
        <v>60</v>
      </c>
      <c r="B98" s="73"/>
      <c r="C98" s="73">
        <f>C$93+C$97</f>
        <v>0</v>
      </c>
      <c r="D98" s="73">
        <f t="shared" ref="D98:BO98" si="73">D$93+D$97</f>
        <v>0</v>
      </c>
      <c r="E98" s="73">
        <f t="shared" si="73"/>
        <v>0</v>
      </c>
      <c r="F98" s="73">
        <f t="shared" si="73"/>
        <v>0</v>
      </c>
      <c r="G98" s="73">
        <f t="shared" si="73"/>
        <v>0</v>
      </c>
      <c r="H98" s="73">
        <f t="shared" si="73"/>
        <v>0</v>
      </c>
      <c r="I98" s="73">
        <f t="shared" si="73"/>
        <v>0</v>
      </c>
      <c r="J98" s="73">
        <f t="shared" si="73"/>
        <v>0</v>
      </c>
      <c r="K98" s="73">
        <f t="shared" si="73"/>
        <v>0</v>
      </c>
      <c r="L98" s="73">
        <f t="shared" si="73"/>
        <v>0</v>
      </c>
      <c r="M98" s="73">
        <f t="shared" si="73"/>
        <v>0</v>
      </c>
      <c r="N98" s="73">
        <f t="shared" si="73"/>
        <v>0</v>
      </c>
      <c r="O98" s="73">
        <f t="shared" si="73"/>
        <v>0</v>
      </c>
      <c r="P98" s="73">
        <f t="shared" si="73"/>
        <v>0</v>
      </c>
      <c r="Q98" s="73">
        <f t="shared" si="73"/>
        <v>0</v>
      </c>
      <c r="R98" s="73">
        <f t="shared" si="73"/>
        <v>0</v>
      </c>
      <c r="S98" s="73">
        <f t="shared" si="73"/>
        <v>0</v>
      </c>
      <c r="T98" s="73">
        <f t="shared" si="73"/>
        <v>0</v>
      </c>
      <c r="U98" s="73">
        <f t="shared" si="73"/>
        <v>0</v>
      </c>
      <c r="V98" s="73">
        <f t="shared" si="73"/>
        <v>0</v>
      </c>
      <c r="W98" s="73">
        <f t="shared" si="73"/>
        <v>0</v>
      </c>
      <c r="X98" s="73">
        <f t="shared" si="73"/>
        <v>0</v>
      </c>
      <c r="Y98" s="73">
        <f t="shared" si="73"/>
        <v>0</v>
      </c>
      <c r="Z98" s="73">
        <f t="shared" si="73"/>
        <v>0</v>
      </c>
      <c r="AA98" s="73">
        <f t="shared" si="73"/>
        <v>0</v>
      </c>
      <c r="AB98" s="73">
        <f t="shared" si="73"/>
        <v>0</v>
      </c>
      <c r="AC98" s="73">
        <f t="shared" si="73"/>
        <v>0</v>
      </c>
      <c r="AD98" s="73">
        <f t="shared" si="73"/>
        <v>0</v>
      </c>
      <c r="AE98" s="73">
        <f t="shared" si="73"/>
        <v>0</v>
      </c>
      <c r="AF98" s="73">
        <f t="shared" si="73"/>
        <v>0</v>
      </c>
      <c r="AG98" s="73">
        <f t="shared" si="73"/>
        <v>0</v>
      </c>
      <c r="AH98" s="73">
        <f t="shared" si="73"/>
        <v>0</v>
      </c>
      <c r="AI98" s="73">
        <f t="shared" si="73"/>
        <v>0</v>
      </c>
      <c r="AJ98" s="73">
        <f t="shared" si="73"/>
        <v>0</v>
      </c>
      <c r="AK98" s="73">
        <f t="shared" si="73"/>
        <v>0</v>
      </c>
      <c r="AL98" s="73">
        <f t="shared" si="73"/>
        <v>0</v>
      </c>
      <c r="AM98" s="73">
        <f t="shared" si="73"/>
        <v>0</v>
      </c>
      <c r="AN98" s="73">
        <f t="shared" si="73"/>
        <v>0</v>
      </c>
      <c r="AO98" s="73">
        <f t="shared" si="73"/>
        <v>0</v>
      </c>
      <c r="AP98" s="73">
        <f t="shared" si="73"/>
        <v>0</v>
      </c>
      <c r="AQ98" s="73">
        <f t="shared" si="73"/>
        <v>0</v>
      </c>
      <c r="AR98" s="73">
        <f t="shared" si="73"/>
        <v>0</v>
      </c>
      <c r="AS98" s="73">
        <f t="shared" si="73"/>
        <v>0</v>
      </c>
      <c r="AT98" s="73">
        <f t="shared" si="73"/>
        <v>0</v>
      </c>
      <c r="AU98" s="73">
        <f t="shared" si="73"/>
        <v>0</v>
      </c>
      <c r="AV98" s="73">
        <f t="shared" si="73"/>
        <v>0</v>
      </c>
      <c r="AW98" s="73">
        <f t="shared" si="73"/>
        <v>0</v>
      </c>
      <c r="AX98" s="73">
        <f t="shared" si="73"/>
        <v>0</v>
      </c>
      <c r="AY98" s="73">
        <f t="shared" si="73"/>
        <v>0</v>
      </c>
      <c r="AZ98" s="73">
        <f t="shared" si="73"/>
        <v>0</v>
      </c>
      <c r="BA98" s="73">
        <f t="shared" si="73"/>
        <v>0</v>
      </c>
      <c r="BB98" s="73">
        <f t="shared" si="73"/>
        <v>0</v>
      </c>
      <c r="BC98" s="73">
        <f t="shared" si="73"/>
        <v>0</v>
      </c>
      <c r="BD98" s="73">
        <f t="shared" si="73"/>
        <v>0</v>
      </c>
      <c r="BE98" s="73">
        <f t="shared" si="73"/>
        <v>0</v>
      </c>
      <c r="BF98" s="73">
        <f t="shared" si="73"/>
        <v>0</v>
      </c>
      <c r="BG98" s="73">
        <f t="shared" si="73"/>
        <v>0</v>
      </c>
      <c r="BH98" s="73">
        <f t="shared" si="73"/>
        <v>0</v>
      </c>
      <c r="BI98" s="73">
        <f t="shared" si="73"/>
        <v>0</v>
      </c>
      <c r="BJ98" s="73">
        <f t="shared" si="73"/>
        <v>0</v>
      </c>
      <c r="BK98" s="73">
        <f t="shared" si="73"/>
        <v>0</v>
      </c>
      <c r="BL98" s="73">
        <f t="shared" si="73"/>
        <v>0</v>
      </c>
      <c r="BM98" s="73">
        <f t="shared" si="73"/>
        <v>0</v>
      </c>
      <c r="BN98" s="73">
        <f t="shared" si="73"/>
        <v>0</v>
      </c>
      <c r="BO98" s="73">
        <f t="shared" si="73"/>
        <v>0</v>
      </c>
      <c r="BP98" s="73">
        <f t="shared" ref="BP98:CX98" si="74">BP$93+BP$97</f>
        <v>0</v>
      </c>
      <c r="BQ98" s="73">
        <f t="shared" si="74"/>
        <v>0</v>
      </c>
      <c r="BR98" s="73">
        <f t="shared" si="74"/>
        <v>0</v>
      </c>
      <c r="BS98" s="73">
        <f t="shared" si="74"/>
        <v>0</v>
      </c>
      <c r="BT98" s="73">
        <f t="shared" si="74"/>
        <v>0</v>
      </c>
      <c r="BU98" s="73">
        <f t="shared" si="74"/>
        <v>0</v>
      </c>
      <c r="BV98" s="73">
        <f t="shared" si="74"/>
        <v>0</v>
      </c>
      <c r="BW98" s="73">
        <f t="shared" si="74"/>
        <v>0</v>
      </c>
      <c r="BX98" s="73">
        <f t="shared" si="74"/>
        <v>0</v>
      </c>
      <c r="BY98" s="73">
        <f t="shared" si="74"/>
        <v>0</v>
      </c>
      <c r="BZ98" s="73">
        <f t="shared" si="74"/>
        <v>0</v>
      </c>
      <c r="CA98" s="73">
        <f t="shared" si="74"/>
        <v>0</v>
      </c>
      <c r="CB98" s="73">
        <f t="shared" si="74"/>
        <v>0</v>
      </c>
      <c r="CC98" s="73">
        <f t="shared" si="74"/>
        <v>0</v>
      </c>
      <c r="CD98" s="73">
        <f t="shared" si="74"/>
        <v>0</v>
      </c>
      <c r="CE98" s="73">
        <f t="shared" si="74"/>
        <v>0</v>
      </c>
      <c r="CF98" s="73">
        <f t="shared" si="74"/>
        <v>0</v>
      </c>
      <c r="CG98" s="73">
        <f t="shared" si="74"/>
        <v>0</v>
      </c>
      <c r="CH98" s="73">
        <f t="shared" si="74"/>
        <v>0</v>
      </c>
      <c r="CI98" s="73">
        <f t="shared" si="74"/>
        <v>0</v>
      </c>
      <c r="CJ98" s="73">
        <f t="shared" si="74"/>
        <v>0</v>
      </c>
      <c r="CK98" s="73">
        <f t="shared" si="74"/>
        <v>0</v>
      </c>
      <c r="CL98" s="73">
        <f t="shared" si="74"/>
        <v>0</v>
      </c>
      <c r="CM98" s="73">
        <f t="shared" si="74"/>
        <v>0</v>
      </c>
      <c r="CN98" s="73">
        <f t="shared" si="74"/>
        <v>0</v>
      </c>
      <c r="CO98" s="73">
        <f t="shared" si="74"/>
        <v>0</v>
      </c>
      <c r="CP98" s="73">
        <f t="shared" si="74"/>
        <v>0</v>
      </c>
      <c r="CQ98" s="73">
        <f t="shared" si="74"/>
        <v>0</v>
      </c>
      <c r="CR98" s="73">
        <f t="shared" si="74"/>
        <v>0</v>
      </c>
      <c r="CS98" s="73">
        <f t="shared" si="74"/>
        <v>0</v>
      </c>
      <c r="CT98" s="73">
        <f t="shared" si="74"/>
        <v>0</v>
      </c>
      <c r="CU98" s="73">
        <f t="shared" si="74"/>
        <v>0</v>
      </c>
      <c r="CV98" s="73">
        <f t="shared" si="74"/>
        <v>0</v>
      </c>
      <c r="CW98" s="73">
        <f t="shared" si="74"/>
        <v>0</v>
      </c>
      <c r="CX98" s="73">
        <f t="shared" si="74"/>
        <v>0</v>
      </c>
    </row>
    <row r="99" spans="1:102" x14ac:dyDescent="0.25">
      <c r="A99" s="9"/>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c r="BX99" s="73"/>
      <c r="BY99" s="73"/>
      <c r="BZ99" s="73"/>
      <c r="CA99" s="73"/>
      <c r="CB99" s="73"/>
      <c r="CC99" s="73"/>
      <c r="CD99" s="73"/>
      <c r="CE99" s="73"/>
      <c r="CF99" s="73"/>
      <c r="CG99" s="73"/>
      <c r="CH99" s="73"/>
      <c r="CI99" s="73"/>
      <c r="CJ99" s="73"/>
      <c r="CK99" s="73"/>
      <c r="CL99" s="73"/>
      <c r="CM99" s="73"/>
      <c r="CN99" s="73"/>
      <c r="CO99" s="73"/>
      <c r="CP99" s="73"/>
      <c r="CQ99" s="73"/>
      <c r="CR99" s="73"/>
      <c r="CS99" s="73"/>
      <c r="CT99" s="73"/>
      <c r="CU99" s="73"/>
      <c r="CV99" s="73"/>
      <c r="CW99" s="73"/>
      <c r="CX99" s="73"/>
    </row>
    <row r="100" spans="1:102" x14ac:dyDescent="0.25">
      <c r="A100" s="58" t="s">
        <v>152</v>
      </c>
      <c r="B100" s="70"/>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67"/>
    </row>
    <row r="101" spans="1:102" x14ac:dyDescent="0.25">
      <c r="A101" s="54" t="s">
        <v>65</v>
      </c>
      <c r="B101" s="5"/>
      <c r="C101" s="73" t="str">
        <f>IF(ISNUMBER(outYear),IF(ibi_fed_amount_tax_sta="Yes",ibi_fed_amount,0)+IF(ibi_sta_amount_tax_sta="Yes",ibi_sta_amount,0)+IF(ibi_uti_amount_tax_sta="Yes",ibi_uti_amount,0)+IF(ibi_oth_amount_tax_sta="Yes",ibi_oth_amount,0)+IF(ibi_fed_percent_tax_sta="Yes",MIN(ibi_fed_percent/100*total_installed_cost,ibi_fed_percent_maxvalue),0)+IF(ibi_sta_percent_tax_sta="Yes",MIN(ibi_sta_percent/100*total_installed_cost,ibi_sta_percent_maxvalue),0)+IF(ibi_uti_percent_tax_sta="Yes",MIN(ibi_uti_percent/100*total_installed_cost,ibi_uti_percent_maxvalue),0)+IF(ibi_oth_percent_tax_sta="Yes",MIN(ibi_oth_percent/100*total_installed_cost,ibi_oth_percent_maxvalue),0)+IF(cbi_fed_tax_sta="Yes",B71,0)+IF(cbi_sta_tax_sta="Yes",B72,0)+IF(cbi_uti_tax_sta="Yes",B73,0)+IF(cbi_oth_tax_sta="Yes",B74,0)+IF(pbi_fed_tax_sta="Yes",C77,0)+IF(pbi_sta_tax_sta="Yes",C78,0)+IF(pbi_uti_tax_sta="Yes",C79,0)+IF(pbi_oth_tax_sta="Yes",C80,0),"")</f>
        <v/>
      </c>
      <c r="D101" s="73" t="str">
        <f t="shared" ref="D101:AI101" si="75">IF(ISNUMBER(outYear),IF(pbi_fed_tax_sta="Yes",D77,0)+IF(pbi_sta_tax_sta="Yes",D78,0)+IF(pbi_uti_tax_sta="Yes",D79,0)+IF(pbi_oth_tax_sta="Yes",D80,0),"")</f>
        <v/>
      </c>
      <c r="E101" s="73" t="str">
        <f t="shared" si="75"/>
        <v/>
      </c>
      <c r="F101" s="73" t="str">
        <f t="shared" si="75"/>
        <v/>
      </c>
      <c r="G101" s="73" t="str">
        <f t="shared" si="75"/>
        <v/>
      </c>
      <c r="H101" s="73" t="str">
        <f t="shared" si="75"/>
        <v/>
      </c>
      <c r="I101" s="73" t="str">
        <f t="shared" si="75"/>
        <v/>
      </c>
      <c r="J101" s="73" t="str">
        <f t="shared" si="75"/>
        <v/>
      </c>
      <c r="K101" s="73" t="str">
        <f t="shared" si="75"/>
        <v/>
      </c>
      <c r="L101" s="73" t="str">
        <f t="shared" si="75"/>
        <v/>
      </c>
      <c r="M101" s="73" t="str">
        <f t="shared" si="75"/>
        <v/>
      </c>
      <c r="N101" s="73" t="str">
        <f t="shared" si="75"/>
        <v/>
      </c>
      <c r="O101" s="73" t="str">
        <f t="shared" si="75"/>
        <v/>
      </c>
      <c r="P101" s="73" t="str">
        <f t="shared" si="75"/>
        <v/>
      </c>
      <c r="Q101" s="73" t="str">
        <f t="shared" si="75"/>
        <v/>
      </c>
      <c r="R101" s="73" t="str">
        <f t="shared" si="75"/>
        <v/>
      </c>
      <c r="S101" s="73" t="str">
        <f t="shared" si="75"/>
        <v/>
      </c>
      <c r="T101" s="73" t="str">
        <f t="shared" si="75"/>
        <v/>
      </c>
      <c r="U101" s="73" t="str">
        <f t="shared" si="75"/>
        <v/>
      </c>
      <c r="V101" s="73" t="str">
        <f t="shared" si="75"/>
        <v/>
      </c>
      <c r="W101" s="73" t="str">
        <f t="shared" si="75"/>
        <v/>
      </c>
      <c r="X101" s="73" t="str">
        <f t="shared" si="75"/>
        <v/>
      </c>
      <c r="Y101" s="73" t="str">
        <f t="shared" si="75"/>
        <v/>
      </c>
      <c r="Z101" s="73" t="str">
        <f t="shared" si="75"/>
        <v/>
      </c>
      <c r="AA101" s="73" t="str">
        <f t="shared" si="75"/>
        <v/>
      </c>
      <c r="AB101" s="73" t="str">
        <f t="shared" si="75"/>
        <v/>
      </c>
      <c r="AC101" s="73" t="str">
        <f t="shared" si="75"/>
        <v/>
      </c>
      <c r="AD101" s="73" t="str">
        <f t="shared" si="75"/>
        <v/>
      </c>
      <c r="AE101" s="73" t="str">
        <f t="shared" si="75"/>
        <v/>
      </c>
      <c r="AF101" s="73" t="str">
        <f t="shared" si="75"/>
        <v/>
      </c>
      <c r="AG101" s="73" t="str">
        <f t="shared" si="75"/>
        <v/>
      </c>
      <c r="AH101" s="73" t="str">
        <f t="shared" si="75"/>
        <v/>
      </c>
      <c r="AI101" s="73" t="str">
        <f t="shared" si="75"/>
        <v/>
      </c>
      <c r="AJ101" s="73" t="str">
        <f t="shared" ref="AJ101:BO101" si="76">IF(ISNUMBER(outYear),IF(pbi_fed_tax_sta="Yes",AJ77,0)+IF(pbi_sta_tax_sta="Yes",AJ78,0)+IF(pbi_uti_tax_sta="Yes",AJ79,0)+IF(pbi_oth_tax_sta="Yes",AJ80,0),"")</f>
        <v/>
      </c>
      <c r="AK101" s="73" t="str">
        <f t="shared" si="76"/>
        <v/>
      </c>
      <c r="AL101" s="73" t="str">
        <f t="shared" si="76"/>
        <v/>
      </c>
      <c r="AM101" s="73" t="str">
        <f t="shared" si="76"/>
        <v/>
      </c>
      <c r="AN101" s="73" t="str">
        <f t="shared" si="76"/>
        <v/>
      </c>
      <c r="AO101" s="73" t="str">
        <f t="shared" si="76"/>
        <v/>
      </c>
      <c r="AP101" s="73" t="str">
        <f t="shared" si="76"/>
        <v/>
      </c>
      <c r="AQ101" s="73" t="str">
        <f t="shared" si="76"/>
        <v/>
      </c>
      <c r="AR101" s="73" t="str">
        <f t="shared" si="76"/>
        <v/>
      </c>
      <c r="AS101" s="73" t="str">
        <f t="shared" si="76"/>
        <v/>
      </c>
      <c r="AT101" s="73" t="str">
        <f t="shared" si="76"/>
        <v/>
      </c>
      <c r="AU101" s="73" t="str">
        <f t="shared" si="76"/>
        <v/>
      </c>
      <c r="AV101" s="73" t="str">
        <f t="shared" si="76"/>
        <v/>
      </c>
      <c r="AW101" s="73" t="str">
        <f t="shared" si="76"/>
        <v/>
      </c>
      <c r="AX101" s="73" t="str">
        <f t="shared" si="76"/>
        <v/>
      </c>
      <c r="AY101" s="73" t="str">
        <f t="shared" si="76"/>
        <v/>
      </c>
      <c r="AZ101" s="73" t="str">
        <f t="shared" si="76"/>
        <v/>
      </c>
      <c r="BA101" s="73" t="str">
        <f t="shared" si="76"/>
        <v/>
      </c>
      <c r="BB101" s="73" t="str">
        <f t="shared" si="76"/>
        <v/>
      </c>
      <c r="BC101" s="73" t="str">
        <f t="shared" si="76"/>
        <v/>
      </c>
      <c r="BD101" s="73" t="str">
        <f t="shared" si="76"/>
        <v/>
      </c>
      <c r="BE101" s="73" t="str">
        <f t="shared" si="76"/>
        <v/>
      </c>
      <c r="BF101" s="73" t="str">
        <f t="shared" si="76"/>
        <v/>
      </c>
      <c r="BG101" s="73" t="str">
        <f t="shared" si="76"/>
        <v/>
      </c>
      <c r="BH101" s="73" t="str">
        <f t="shared" si="76"/>
        <v/>
      </c>
      <c r="BI101" s="73" t="str">
        <f t="shared" si="76"/>
        <v/>
      </c>
      <c r="BJ101" s="73" t="str">
        <f t="shared" si="76"/>
        <v/>
      </c>
      <c r="BK101" s="73" t="str">
        <f t="shared" si="76"/>
        <v/>
      </c>
      <c r="BL101" s="73" t="str">
        <f t="shared" si="76"/>
        <v/>
      </c>
      <c r="BM101" s="73" t="str">
        <f t="shared" si="76"/>
        <v/>
      </c>
      <c r="BN101" s="73" t="str">
        <f t="shared" si="76"/>
        <v/>
      </c>
      <c r="BO101" s="73" t="str">
        <f t="shared" si="76"/>
        <v/>
      </c>
      <c r="BP101" s="73" t="str">
        <f t="shared" ref="BP101:CX101" si="77">IF(ISNUMBER(outYear),IF(pbi_fed_tax_sta="Yes",BP77,0)+IF(pbi_sta_tax_sta="Yes",BP78,0)+IF(pbi_uti_tax_sta="Yes",BP79,0)+IF(pbi_oth_tax_sta="Yes",BP80,0),"")</f>
        <v/>
      </c>
      <c r="BQ101" s="73" t="str">
        <f t="shared" si="77"/>
        <v/>
      </c>
      <c r="BR101" s="73" t="str">
        <f t="shared" si="77"/>
        <v/>
      </c>
      <c r="BS101" s="73" t="str">
        <f t="shared" si="77"/>
        <v/>
      </c>
      <c r="BT101" s="73" t="str">
        <f t="shared" si="77"/>
        <v/>
      </c>
      <c r="BU101" s="73" t="str">
        <f t="shared" si="77"/>
        <v/>
      </c>
      <c r="BV101" s="73" t="str">
        <f t="shared" si="77"/>
        <v/>
      </c>
      <c r="BW101" s="73" t="str">
        <f t="shared" si="77"/>
        <v/>
      </c>
      <c r="BX101" s="73" t="str">
        <f t="shared" si="77"/>
        <v/>
      </c>
      <c r="BY101" s="73" t="str">
        <f t="shared" si="77"/>
        <v/>
      </c>
      <c r="BZ101" s="73" t="str">
        <f t="shared" si="77"/>
        <v/>
      </c>
      <c r="CA101" s="73" t="str">
        <f t="shared" si="77"/>
        <v/>
      </c>
      <c r="CB101" s="73" t="str">
        <f t="shared" si="77"/>
        <v/>
      </c>
      <c r="CC101" s="73" t="str">
        <f t="shared" si="77"/>
        <v/>
      </c>
      <c r="CD101" s="73" t="str">
        <f t="shared" si="77"/>
        <v/>
      </c>
      <c r="CE101" s="73" t="str">
        <f t="shared" si="77"/>
        <v/>
      </c>
      <c r="CF101" s="73" t="str">
        <f t="shared" si="77"/>
        <v/>
      </c>
      <c r="CG101" s="73" t="str">
        <f t="shared" si="77"/>
        <v/>
      </c>
      <c r="CH101" s="73" t="str">
        <f t="shared" si="77"/>
        <v/>
      </c>
      <c r="CI101" s="73" t="str">
        <f t="shared" si="77"/>
        <v/>
      </c>
      <c r="CJ101" s="73" t="str">
        <f t="shared" si="77"/>
        <v/>
      </c>
      <c r="CK101" s="73" t="str">
        <f t="shared" si="77"/>
        <v/>
      </c>
      <c r="CL101" s="73" t="str">
        <f t="shared" si="77"/>
        <v/>
      </c>
      <c r="CM101" s="73" t="str">
        <f t="shared" si="77"/>
        <v/>
      </c>
      <c r="CN101" s="73" t="str">
        <f t="shared" si="77"/>
        <v/>
      </c>
      <c r="CO101" s="73" t="str">
        <f t="shared" si="77"/>
        <v/>
      </c>
      <c r="CP101" s="73" t="str">
        <f t="shared" si="77"/>
        <v/>
      </c>
      <c r="CQ101" s="73" t="str">
        <f t="shared" si="77"/>
        <v/>
      </c>
      <c r="CR101" s="73" t="str">
        <f t="shared" si="77"/>
        <v/>
      </c>
      <c r="CS101" s="73" t="str">
        <f t="shared" si="77"/>
        <v/>
      </c>
      <c r="CT101" s="73" t="str">
        <f t="shared" si="77"/>
        <v/>
      </c>
      <c r="CU101" s="73" t="str">
        <f t="shared" si="77"/>
        <v/>
      </c>
      <c r="CV101" s="73" t="str">
        <f t="shared" si="77"/>
        <v/>
      </c>
      <c r="CW101" s="73" t="str">
        <f t="shared" si="77"/>
        <v/>
      </c>
      <c r="CX101" s="73" t="str">
        <f t="shared" si="77"/>
        <v/>
      </c>
    </row>
    <row r="102" spans="1:102" x14ac:dyDescent="0.25">
      <c r="A102" s="54" t="s">
        <v>64</v>
      </c>
      <c r="B102" s="5"/>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row>
    <row r="103" spans="1:102" x14ac:dyDescent="0.25">
      <c r="A103" s="59" t="s">
        <v>68</v>
      </c>
      <c r="B103" s="5"/>
      <c r="C103" s="73" t="str">
        <f t="shared" ref="C103:AH103" si="78">IF(ISNUMBER(outYear),C48,"")</f>
        <v/>
      </c>
      <c r="D103" s="73" t="str">
        <f t="shared" si="78"/>
        <v/>
      </c>
      <c r="E103" s="73" t="str">
        <f t="shared" si="78"/>
        <v/>
      </c>
      <c r="F103" s="73" t="str">
        <f t="shared" si="78"/>
        <v/>
      </c>
      <c r="G103" s="73" t="str">
        <f t="shared" si="78"/>
        <v/>
      </c>
      <c r="H103" s="73" t="str">
        <f t="shared" si="78"/>
        <v/>
      </c>
      <c r="I103" s="73" t="str">
        <f t="shared" si="78"/>
        <v/>
      </c>
      <c r="J103" s="73" t="str">
        <f t="shared" si="78"/>
        <v/>
      </c>
      <c r="K103" s="73" t="str">
        <f t="shared" si="78"/>
        <v/>
      </c>
      <c r="L103" s="73" t="str">
        <f t="shared" si="78"/>
        <v/>
      </c>
      <c r="M103" s="73" t="str">
        <f t="shared" si="78"/>
        <v/>
      </c>
      <c r="N103" s="73" t="str">
        <f t="shared" si="78"/>
        <v/>
      </c>
      <c r="O103" s="73" t="str">
        <f t="shared" si="78"/>
        <v/>
      </c>
      <c r="P103" s="73" t="str">
        <f t="shared" si="78"/>
        <v/>
      </c>
      <c r="Q103" s="73" t="str">
        <f t="shared" si="78"/>
        <v/>
      </c>
      <c r="R103" s="73" t="str">
        <f t="shared" si="78"/>
        <v/>
      </c>
      <c r="S103" s="73" t="str">
        <f t="shared" si="78"/>
        <v/>
      </c>
      <c r="T103" s="73" t="str">
        <f t="shared" si="78"/>
        <v/>
      </c>
      <c r="U103" s="73" t="str">
        <f t="shared" si="78"/>
        <v/>
      </c>
      <c r="V103" s="73" t="str">
        <f t="shared" si="78"/>
        <v/>
      </c>
      <c r="W103" s="73" t="str">
        <f t="shared" si="78"/>
        <v/>
      </c>
      <c r="X103" s="73" t="str">
        <f t="shared" si="78"/>
        <v/>
      </c>
      <c r="Y103" s="73" t="str">
        <f t="shared" si="78"/>
        <v/>
      </c>
      <c r="Z103" s="73" t="str">
        <f t="shared" si="78"/>
        <v/>
      </c>
      <c r="AA103" s="73" t="str">
        <f t="shared" si="78"/>
        <v/>
      </c>
      <c r="AB103" s="73" t="str">
        <f t="shared" si="78"/>
        <v/>
      </c>
      <c r="AC103" s="73" t="str">
        <f t="shared" si="78"/>
        <v/>
      </c>
      <c r="AD103" s="73" t="str">
        <f t="shared" si="78"/>
        <v/>
      </c>
      <c r="AE103" s="73" t="str">
        <f t="shared" si="78"/>
        <v/>
      </c>
      <c r="AF103" s="73" t="str">
        <f t="shared" si="78"/>
        <v/>
      </c>
      <c r="AG103" s="73" t="str">
        <f t="shared" si="78"/>
        <v/>
      </c>
      <c r="AH103" s="73" t="str">
        <f t="shared" si="78"/>
        <v/>
      </c>
      <c r="AI103" s="73" t="str">
        <f t="shared" ref="AI103:BN103" si="79">IF(ISNUMBER(outYear),AI48,"")</f>
        <v/>
      </c>
      <c r="AJ103" s="73" t="str">
        <f t="shared" si="79"/>
        <v/>
      </c>
      <c r="AK103" s="73" t="str">
        <f t="shared" si="79"/>
        <v/>
      </c>
      <c r="AL103" s="73" t="str">
        <f t="shared" si="79"/>
        <v/>
      </c>
      <c r="AM103" s="73" t="str">
        <f t="shared" si="79"/>
        <v/>
      </c>
      <c r="AN103" s="73" t="str">
        <f t="shared" si="79"/>
        <v/>
      </c>
      <c r="AO103" s="73" t="str">
        <f t="shared" si="79"/>
        <v/>
      </c>
      <c r="AP103" s="73" t="str">
        <f t="shared" si="79"/>
        <v/>
      </c>
      <c r="AQ103" s="73" t="str">
        <f t="shared" si="79"/>
        <v/>
      </c>
      <c r="AR103" s="73" t="str">
        <f t="shared" si="79"/>
        <v/>
      </c>
      <c r="AS103" s="73" t="str">
        <f t="shared" si="79"/>
        <v/>
      </c>
      <c r="AT103" s="73" t="str">
        <f t="shared" si="79"/>
        <v/>
      </c>
      <c r="AU103" s="73" t="str">
        <f t="shared" si="79"/>
        <v/>
      </c>
      <c r="AV103" s="73" t="str">
        <f t="shared" si="79"/>
        <v/>
      </c>
      <c r="AW103" s="73" t="str">
        <f t="shared" si="79"/>
        <v/>
      </c>
      <c r="AX103" s="73" t="str">
        <f t="shared" si="79"/>
        <v/>
      </c>
      <c r="AY103" s="73" t="str">
        <f t="shared" si="79"/>
        <v/>
      </c>
      <c r="AZ103" s="73" t="str">
        <f t="shared" si="79"/>
        <v/>
      </c>
      <c r="BA103" s="73" t="str">
        <f t="shared" si="79"/>
        <v/>
      </c>
      <c r="BB103" s="73" t="str">
        <f t="shared" si="79"/>
        <v/>
      </c>
      <c r="BC103" s="73" t="str">
        <f t="shared" si="79"/>
        <v/>
      </c>
      <c r="BD103" s="73" t="str">
        <f t="shared" si="79"/>
        <v/>
      </c>
      <c r="BE103" s="73" t="str">
        <f t="shared" si="79"/>
        <v/>
      </c>
      <c r="BF103" s="73" t="str">
        <f t="shared" si="79"/>
        <v/>
      </c>
      <c r="BG103" s="73" t="str">
        <f t="shared" si="79"/>
        <v/>
      </c>
      <c r="BH103" s="73" t="str">
        <f t="shared" si="79"/>
        <v/>
      </c>
      <c r="BI103" s="73" t="str">
        <f t="shared" si="79"/>
        <v/>
      </c>
      <c r="BJ103" s="73" t="str">
        <f t="shared" si="79"/>
        <v/>
      </c>
      <c r="BK103" s="73" t="str">
        <f t="shared" si="79"/>
        <v/>
      </c>
      <c r="BL103" s="73" t="str">
        <f t="shared" si="79"/>
        <v/>
      </c>
      <c r="BM103" s="73" t="str">
        <f t="shared" si="79"/>
        <v/>
      </c>
      <c r="BN103" s="73" t="str">
        <f t="shared" si="79"/>
        <v/>
      </c>
      <c r="BO103" s="73" t="str">
        <f t="shared" ref="BO103:CX103" si="80">IF(ISNUMBER(outYear),BO48,"")</f>
        <v/>
      </c>
      <c r="BP103" s="73" t="str">
        <f t="shared" si="80"/>
        <v/>
      </c>
      <c r="BQ103" s="73" t="str">
        <f t="shared" si="80"/>
        <v/>
      </c>
      <c r="BR103" s="73" t="str">
        <f t="shared" si="80"/>
        <v/>
      </c>
      <c r="BS103" s="73" t="str">
        <f t="shared" si="80"/>
        <v/>
      </c>
      <c r="BT103" s="73" t="str">
        <f t="shared" si="80"/>
        <v/>
      </c>
      <c r="BU103" s="73" t="str">
        <f t="shared" si="80"/>
        <v/>
      </c>
      <c r="BV103" s="73" t="str">
        <f t="shared" si="80"/>
        <v/>
      </c>
      <c r="BW103" s="73" t="str">
        <f t="shared" si="80"/>
        <v/>
      </c>
      <c r="BX103" s="73" t="str">
        <f t="shared" si="80"/>
        <v/>
      </c>
      <c r="BY103" s="73" t="str">
        <f t="shared" si="80"/>
        <v/>
      </c>
      <c r="BZ103" s="73" t="str">
        <f t="shared" si="80"/>
        <v/>
      </c>
      <c r="CA103" s="73" t="str">
        <f t="shared" si="80"/>
        <v/>
      </c>
      <c r="CB103" s="73" t="str">
        <f t="shared" si="80"/>
        <v/>
      </c>
      <c r="CC103" s="73" t="str">
        <f t="shared" si="80"/>
        <v/>
      </c>
      <c r="CD103" s="73" t="str">
        <f t="shared" si="80"/>
        <v/>
      </c>
      <c r="CE103" s="73" t="str">
        <f t="shared" si="80"/>
        <v/>
      </c>
      <c r="CF103" s="73" t="str">
        <f t="shared" si="80"/>
        <v/>
      </c>
      <c r="CG103" s="73" t="str">
        <f t="shared" si="80"/>
        <v/>
      </c>
      <c r="CH103" s="73" t="str">
        <f t="shared" si="80"/>
        <v/>
      </c>
      <c r="CI103" s="73" t="str">
        <f t="shared" si="80"/>
        <v/>
      </c>
      <c r="CJ103" s="73" t="str">
        <f t="shared" si="80"/>
        <v/>
      </c>
      <c r="CK103" s="73" t="str">
        <f t="shared" si="80"/>
        <v/>
      </c>
      <c r="CL103" s="73" t="str">
        <f t="shared" si="80"/>
        <v/>
      </c>
      <c r="CM103" s="73" t="str">
        <f t="shared" si="80"/>
        <v/>
      </c>
      <c r="CN103" s="73" t="str">
        <f t="shared" si="80"/>
        <v/>
      </c>
      <c r="CO103" s="73" t="str">
        <f t="shared" si="80"/>
        <v/>
      </c>
      <c r="CP103" s="73" t="str">
        <f t="shared" si="80"/>
        <v/>
      </c>
      <c r="CQ103" s="73" t="str">
        <f t="shared" si="80"/>
        <v/>
      </c>
      <c r="CR103" s="73" t="str">
        <f t="shared" si="80"/>
        <v/>
      </c>
      <c r="CS103" s="73" t="str">
        <f t="shared" si="80"/>
        <v/>
      </c>
      <c r="CT103" s="73" t="str">
        <f t="shared" si="80"/>
        <v/>
      </c>
      <c r="CU103" s="73" t="str">
        <f t="shared" si="80"/>
        <v/>
      </c>
      <c r="CV103" s="73" t="str">
        <f t="shared" si="80"/>
        <v/>
      </c>
      <c r="CW103" s="73" t="str">
        <f t="shared" si="80"/>
        <v/>
      </c>
      <c r="CX103" s="73" t="str">
        <f t="shared" si="80"/>
        <v/>
      </c>
    </row>
    <row r="104" spans="1:102" x14ac:dyDescent="0.25">
      <c r="A104" s="59" t="s">
        <v>52</v>
      </c>
      <c r="B104" s="5"/>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row>
    <row r="105" spans="1:102" x14ac:dyDescent="0.25">
      <c r="A105" s="78" t="s">
        <v>1</v>
      </c>
      <c r="B105" s="73"/>
      <c r="C105" s="73" t="str">
        <f t="shared" ref="C105:AH105" si="81">IF(ISNUMBER(outYear),C212,"")</f>
        <v/>
      </c>
      <c r="D105" s="73" t="str">
        <f t="shared" si="81"/>
        <v/>
      </c>
      <c r="E105" s="73" t="str">
        <f t="shared" si="81"/>
        <v/>
      </c>
      <c r="F105" s="73" t="str">
        <f t="shared" si="81"/>
        <v/>
      </c>
      <c r="G105" s="73" t="str">
        <f t="shared" si="81"/>
        <v/>
      </c>
      <c r="H105" s="73" t="str">
        <f t="shared" si="81"/>
        <v/>
      </c>
      <c r="I105" s="73" t="str">
        <f t="shared" si="81"/>
        <v/>
      </c>
      <c r="J105" s="73" t="str">
        <f t="shared" si="81"/>
        <v/>
      </c>
      <c r="K105" s="73" t="str">
        <f t="shared" si="81"/>
        <v/>
      </c>
      <c r="L105" s="73" t="str">
        <f t="shared" si="81"/>
        <v/>
      </c>
      <c r="M105" s="73" t="str">
        <f t="shared" si="81"/>
        <v/>
      </c>
      <c r="N105" s="73" t="str">
        <f t="shared" si="81"/>
        <v/>
      </c>
      <c r="O105" s="73" t="str">
        <f t="shared" si="81"/>
        <v/>
      </c>
      <c r="P105" s="73" t="str">
        <f t="shared" si="81"/>
        <v/>
      </c>
      <c r="Q105" s="73" t="str">
        <f t="shared" si="81"/>
        <v/>
      </c>
      <c r="R105" s="73" t="str">
        <f t="shared" si="81"/>
        <v/>
      </c>
      <c r="S105" s="73" t="str">
        <f t="shared" si="81"/>
        <v/>
      </c>
      <c r="T105" s="73" t="str">
        <f t="shared" si="81"/>
        <v/>
      </c>
      <c r="U105" s="73" t="str">
        <f t="shared" si="81"/>
        <v/>
      </c>
      <c r="V105" s="73" t="str">
        <f t="shared" si="81"/>
        <v/>
      </c>
      <c r="W105" s="73" t="str">
        <f t="shared" si="81"/>
        <v/>
      </c>
      <c r="X105" s="73" t="str">
        <f t="shared" si="81"/>
        <v/>
      </c>
      <c r="Y105" s="73" t="str">
        <f t="shared" si="81"/>
        <v/>
      </c>
      <c r="Z105" s="73" t="str">
        <f t="shared" si="81"/>
        <v/>
      </c>
      <c r="AA105" s="73" t="str">
        <f t="shared" si="81"/>
        <v/>
      </c>
      <c r="AB105" s="73" t="str">
        <f t="shared" si="81"/>
        <v/>
      </c>
      <c r="AC105" s="73" t="str">
        <f t="shared" si="81"/>
        <v/>
      </c>
      <c r="AD105" s="73" t="str">
        <f t="shared" si="81"/>
        <v/>
      </c>
      <c r="AE105" s="73" t="str">
        <f t="shared" si="81"/>
        <v/>
      </c>
      <c r="AF105" s="73" t="str">
        <f t="shared" si="81"/>
        <v/>
      </c>
      <c r="AG105" s="73" t="str">
        <f t="shared" si="81"/>
        <v/>
      </c>
      <c r="AH105" s="73" t="str">
        <f t="shared" si="81"/>
        <v/>
      </c>
      <c r="AI105" s="73" t="str">
        <f t="shared" ref="AI105:BN105" si="82">IF(ISNUMBER(outYear),AI212,"")</f>
        <v/>
      </c>
      <c r="AJ105" s="73" t="str">
        <f t="shared" si="82"/>
        <v/>
      </c>
      <c r="AK105" s="73" t="str">
        <f t="shared" si="82"/>
        <v/>
      </c>
      <c r="AL105" s="73" t="str">
        <f t="shared" si="82"/>
        <v/>
      </c>
      <c r="AM105" s="73" t="str">
        <f t="shared" si="82"/>
        <v/>
      </c>
      <c r="AN105" s="73" t="str">
        <f t="shared" si="82"/>
        <v/>
      </c>
      <c r="AO105" s="73" t="str">
        <f t="shared" si="82"/>
        <v/>
      </c>
      <c r="AP105" s="73" t="str">
        <f t="shared" si="82"/>
        <v/>
      </c>
      <c r="AQ105" s="73" t="str">
        <f t="shared" si="82"/>
        <v/>
      </c>
      <c r="AR105" s="73" t="str">
        <f t="shared" si="82"/>
        <v/>
      </c>
      <c r="AS105" s="73" t="str">
        <f t="shared" si="82"/>
        <v/>
      </c>
      <c r="AT105" s="73" t="str">
        <f t="shared" si="82"/>
        <v/>
      </c>
      <c r="AU105" s="73" t="str">
        <f t="shared" si="82"/>
        <v/>
      </c>
      <c r="AV105" s="73" t="str">
        <f t="shared" si="82"/>
        <v/>
      </c>
      <c r="AW105" s="73" t="str">
        <f t="shared" si="82"/>
        <v/>
      </c>
      <c r="AX105" s="73" t="str">
        <f t="shared" si="82"/>
        <v/>
      </c>
      <c r="AY105" s="73" t="str">
        <f t="shared" si="82"/>
        <v/>
      </c>
      <c r="AZ105" s="73" t="str">
        <f t="shared" si="82"/>
        <v/>
      </c>
      <c r="BA105" s="73" t="str">
        <f t="shared" si="82"/>
        <v/>
      </c>
      <c r="BB105" s="73" t="str">
        <f t="shared" si="82"/>
        <v/>
      </c>
      <c r="BC105" s="73" t="str">
        <f t="shared" si="82"/>
        <v/>
      </c>
      <c r="BD105" s="73" t="str">
        <f t="shared" si="82"/>
        <v/>
      </c>
      <c r="BE105" s="73" t="str">
        <f t="shared" si="82"/>
        <v/>
      </c>
      <c r="BF105" s="73" t="str">
        <f t="shared" si="82"/>
        <v/>
      </c>
      <c r="BG105" s="73" t="str">
        <f t="shared" si="82"/>
        <v/>
      </c>
      <c r="BH105" s="73" t="str">
        <f t="shared" si="82"/>
        <v/>
      </c>
      <c r="BI105" s="73" t="str">
        <f t="shared" si="82"/>
        <v/>
      </c>
      <c r="BJ105" s="73" t="str">
        <f t="shared" si="82"/>
        <v/>
      </c>
      <c r="BK105" s="73" t="str">
        <f t="shared" si="82"/>
        <v/>
      </c>
      <c r="BL105" s="73" t="str">
        <f t="shared" si="82"/>
        <v/>
      </c>
      <c r="BM105" s="73" t="str">
        <f t="shared" si="82"/>
        <v/>
      </c>
      <c r="BN105" s="73" t="str">
        <f t="shared" si="82"/>
        <v/>
      </c>
      <c r="BO105" s="73" t="str">
        <f t="shared" ref="BO105:CX105" si="83">IF(ISNUMBER(outYear),BO212,"")</f>
        <v/>
      </c>
      <c r="BP105" s="73" t="str">
        <f t="shared" si="83"/>
        <v/>
      </c>
      <c r="BQ105" s="73" t="str">
        <f t="shared" si="83"/>
        <v/>
      </c>
      <c r="BR105" s="73" t="str">
        <f t="shared" si="83"/>
        <v/>
      </c>
      <c r="BS105" s="73" t="str">
        <f t="shared" si="83"/>
        <v/>
      </c>
      <c r="BT105" s="73" t="str">
        <f t="shared" si="83"/>
        <v/>
      </c>
      <c r="BU105" s="73" t="str">
        <f t="shared" si="83"/>
        <v/>
      </c>
      <c r="BV105" s="73" t="str">
        <f t="shared" si="83"/>
        <v/>
      </c>
      <c r="BW105" s="73" t="str">
        <f t="shared" si="83"/>
        <v/>
      </c>
      <c r="BX105" s="73" t="str">
        <f t="shared" si="83"/>
        <v/>
      </c>
      <c r="BY105" s="73" t="str">
        <f t="shared" si="83"/>
        <v/>
      </c>
      <c r="BZ105" s="73" t="str">
        <f t="shared" si="83"/>
        <v/>
      </c>
      <c r="CA105" s="73" t="str">
        <f t="shared" si="83"/>
        <v/>
      </c>
      <c r="CB105" s="73" t="str">
        <f t="shared" si="83"/>
        <v/>
      </c>
      <c r="CC105" s="73" t="str">
        <f t="shared" si="83"/>
        <v/>
      </c>
      <c r="CD105" s="73" t="str">
        <f t="shared" si="83"/>
        <v/>
      </c>
      <c r="CE105" s="73" t="str">
        <f t="shared" si="83"/>
        <v/>
      </c>
      <c r="CF105" s="73" t="str">
        <f t="shared" si="83"/>
        <v/>
      </c>
      <c r="CG105" s="73" t="str">
        <f t="shared" si="83"/>
        <v/>
      </c>
      <c r="CH105" s="73" t="str">
        <f t="shared" si="83"/>
        <v/>
      </c>
      <c r="CI105" s="73" t="str">
        <f t="shared" si="83"/>
        <v/>
      </c>
      <c r="CJ105" s="73" t="str">
        <f t="shared" si="83"/>
        <v/>
      </c>
      <c r="CK105" s="73" t="str">
        <f t="shared" si="83"/>
        <v/>
      </c>
      <c r="CL105" s="73" t="str">
        <f t="shared" si="83"/>
        <v/>
      </c>
      <c r="CM105" s="73" t="str">
        <f t="shared" si="83"/>
        <v/>
      </c>
      <c r="CN105" s="73" t="str">
        <f t="shared" si="83"/>
        <v/>
      </c>
      <c r="CO105" s="73" t="str">
        <f t="shared" si="83"/>
        <v/>
      </c>
      <c r="CP105" s="73" t="str">
        <f t="shared" si="83"/>
        <v/>
      </c>
      <c r="CQ105" s="73" t="str">
        <f t="shared" si="83"/>
        <v/>
      </c>
      <c r="CR105" s="73" t="str">
        <f t="shared" si="83"/>
        <v/>
      </c>
      <c r="CS105" s="73" t="str">
        <f t="shared" si="83"/>
        <v/>
      </c>
      <c r="CT105" s="73" t="str">
        <f t="shared" si="83"/>
        <v/>
      </c>
      <c r="CU105" s="73" t="str">
        <f t="shared" si="83"/>
        <v/>
      </c>
      <c r="CV105" s="73" t="str">
        <f t="shared" si="83"/>
        <v/>
      </c>
      <c r="CW105" s="73" t="str">
        <f t="shared" si="83"/>
        <v/>
      </c>
      <c r="CX105" s="73" t="str">
        <f t="shared" si="83"/>
        <v/>
      </c>
    </row>
    <row r="106" spans="1:102" x14ac:dyDescent="0.25">
      <c r="A106" s="79" t="s">
        <v>69</v>
      </c>
      <c r="B106" s="73"/>
      <c r="C106" s="75" t="str">
        <f>IF(ISNUMBER(outYear),IF(UseTaxDeductibleInterest="Yes",'Cash Flow'!C57,0),"")</f>
        <v/>
      </c>
      <c r="D106" s="75" t="str">
        <f>IF(ISNUMBER(outYear),IF(UseTaxDeductibleInterest="Yes",'Cash Flow'!D57,0),"")</f>
        <v/>
      </c>
      <c r="E106" s="75" t="str">
        <f>IF(ISNUMBER(outYear),IF(UseTaxDeductibleInterest="Yes",'Cash Flow'!E57,0),"")</f>
        <v/>
      </c>
      <c r="F106" s="75" t="str">
        <f>IF(ISNUMBER(outYear),IF(UseTaxDeductibleInterest="Yes",'Cash Flow'!F57,0),"")</f>
        <v/>
      </c>
      <c r="G106" s="75" t="str">
        <f>IF(ISNUMBER(outYear),IF(UseTaxDeductibleInterest="Yes",'Cash Flow'!G57,0),"")</f>
        <v/>
      </c>
      <c r="H106" s="75" t="str">
        <f>IF(ISNUMBER(outYear),IF(UseTaxDeductibleInterest="Yes",'Cash Flow'!H57,0),"")</f>
        <v/>
      </c>
      <c r="I106" s="75" t="str">
        <f>IF(ISNUMBER(outYear),IF(UseTaxDeductibleInterest="Yes",'Cash Flow'!I57,0),"")</f>
        <v/>
      </c>
      <c r="J106" s="75" t="str">
        <f>IF(ISNUMBER(outYear),IF(UseTaxDeductibleInterest="Yes",'Cash Flow'!J57,0),"")</f>
        <v/>
      </c>
      <c r="K106" s="75" t="str">
        <f>IF(ISNUMBER(outYear),IF(UseTaxDeductibleInterest="Yes",'Cash Flow'!K57,0),"")</f>
        <v/>
      </c>
      <c r="L106" s="75" t="str">
        <f>IF(ISNUMBER(outYear),IF(UseTaxDeductibleInterest="Yes",'Cash Flow'!L57,0),"")</f>
        <v/>
      </c>
      <c r="M106" s="75" t="str">
        <f>IF(ISNUMBER(outYear),IF(UseTaxDeductibleInterest="Yes",'Cash Flow'!M57,0),"")</f>
        <v/>
      </c>
      <c r="N106" s="75" t="str">
        <f>IF(ISNUMBER(outYear),IF(UseTaxDeductibleInterest="Yes",'Cash Flow'!N57,0),"")</f>
        <v/>
      </c>
      <c r="O106" s="75" t="str">
        <f>IF(ISNUMBER(outYear),IF(UseTaxDeductibleInterest="Yes",'Cash Flow'!O57,0),"")</f>
        <v/>
      </c>
      <c r="P106" s="75" t="str">
        <f>IF(ISNUMBER(outYear),IF(UseTaxDeductibleInterest="Yes",'Cash Flow'!P57,0),"")</f>
        <v/>
      </c>
      <c r="Q106" s="75" t="str">
        <f>IF(ISNUMBER(outYear),IF(UseTaxDeductibleInterest="Yes",'Cash Flow'!Q57,0),"")</f>
        <v/>
      </c>
      <c r="R106" s="75" t="str">
        <f>IF(ISNUMBER(outYear),IF(UseTaxDeductibleInterest="Yes",'Cash Flow'!R57,0),"")</f>
        <v/>
      </c>
      <c r="S106" s="75" t="str">
        <f>IF(ISNUMBER(outYear),IF(UseTaxDeductibleInterest="Yes",'Cash Flow'!S57,0),"")</f>
        <v/>
      </c>
      <c r="T106" s="75" t="str">
        <f>IF(ISNUMBER(outYear),IF(UseTaxDeductibleInterest="Yes",'Cash Flow'!T57,0),"")</f>
        <v/>
      </c>
      <c r="U106" s="75" t="str">
        <f>IF(ISNUMBER(outYear),IF(UseTaxDeductibleInterest="Yes",'Cash Flow'!U57,0),"")</f>
        <v/>
      </c>
      <c r="V106" s="75" t="str">
        <f>IF(ISNUMBER(outYear),IF(UseTaxDeductibleInterest="Yes",'Cash Flow'!V57,0),"")</f>
        <v/>
      </c>
      <c r="W106" s="75" t="str">
        <f>IF(ISNUMBER(outYear),IF(UseTaxDeductibleInterest="Yes",'Cash Flow'!W57,0),"")</f>
        <v/>
      </c>
      <c r="X106" s="75" t="str">
        <f>IF(ISNUMBER(outYear),IF(UseTaxDeductibleInterest="Yes",'Cash Flow'!X57,0),"")</f>
        <v/>
      </c>
      <c r="Y106" s="75" t="str">
        <f>IF(ISNUMBER(outYear),IF(UseTaxDeductibleInterest="Yes",'Cash Flow'!Y57,0),"")</f>
        <v/>
      </c>
      <c r="Z106" s="75" t="str">
        <f>IF(ISNUMBER(outYear),IF(UseTaxDeductibleInterest="Yes",'Cash Flow'!Z57,0),"")</f>
        <v/>
      </c>
      <c r="AA106" s="75" t="str">
        <f>IF(ISNUMBER(outYear),IF(UseTaxDeductibleInterest="Yes",'Cash Flow'!AA57,0),"")</f>
        <v/>
      </c>
      <c r="AB106" s="75" t="str">
        <f>IF(ISNUMBER(outYear),IF(UseTaxDeductibleInterest="Yes",'Cash Flow'!AB57,0),"")</f>
        <v/>
      </c>
      <c r="AC106" s="75" t="str">
        <f>IF(ISNUMBER(outYear),IF(UseTaxDeductibleInterest="Yes",'Cash Flow'!AC57,0),"")</f>
        <v/>
      </c>
      <c r="AD106" s="75" t="str">
        <f>IF(ISNUMBER(outYear),IF(UseTaxDeductibleInterest="Yes",'Cash Flow'!AD57,0),"")</f>
        <v/>
      </c>
      <c r="AE106" s="75" t="str">
        <f>IF(ISNUMBER(outYear),IF(UseTaxDeductibleInterest="Yes",'Cash Flow'!AE57,0),"")</f>
        <v/>
      </c>
      <c r="AF106" s="75" t="str">
        <f>IF(ISNUMBER(outYear),IF(UseTaxDeductibleInterest="Yes",'Cash Flow'!AF57,0),"")</f>
        <v/>
      </c>
      <c r="AG106" s="75" t="str">
        <f>IF(ISNUMBER(outYear),IF(UseTaxDeductibleInterest="Yes",'Cash Flow'!AG57,0),"")</f>
        <v/>
      </c>
      <c r="AH106" s="75" t="str">
        <f>IF(ISNUMBER(outYear),IF(UseTaxDeductibleInterest="Yes",'Cash Flow'!AH57,0),"")</f>
        <v/>
      </c>
      <c r="AI106" s="75" t="str">
        <f>IF(ISNUMBER(outYear),IF(UseTaxDeductibleInterest="Yes",'Cash Flow'!AI57,0),"")</f>
        <v/>
      </c>
      <c r="AJ106" s="75" t="str">
        <f>IF(ISNUMBER(outYear),IF(UseTaxDeductibleInterest="Yes",'Cash Flow'!AJ57,0),"")</f>
        <v/>
      </c>
      <c r="AK106" s="75" t="str">
        <f>IF(ISNUMBER(outYear),IF(UseTaxDeductibleInterest="Yes",'Cash Flow'!AK57,0),"")</f>
        <v/>
      </c>
      <c r="AL106" s="75" t="str">
        <f>IF(ISNUMBER(outYear),IF(UseTaxDeductibleInterest="Yes",'Cash Flow'!AL57,0),"")</f>
        <v/>
      </c>
      <c r="AM106" s="75" t="str">
        <f>IF(ISNUMBER(outYear),IF(UseTaxDeductibleInterest="Yes",'Cash Flow'!AM57,0),"")</f>
        <v/>
      </c>
      <c r="AN106" s="75" t="str">
        <f>IF(ISNUMBER(outYear),IF(UseTaxDeductibleInterest="Yes",'Cash Flow'!AN57,0),"")</f>
        <v/>
      </c>
      <c r="AO106" s="75" t="str">
        <f>IF(ISNUMBER(outYear),IF(UseTaxDeductibleInterest="Yes",'Cash Flow'!AO57,0),"")</f>
        <v/>
      </c>
      <c r="AP106" s="75" t="str">
        <f>IF(ISNUMBER(outYear),IF(UseTaxDeductibleInterest="Yes",'Cash Flow'!AP57,0),"")</f>
        <v/>
      </c>
      <c r="AQ106" s="75" t="str">
        <f>IF(ISNUMBER(outYear),IF(UseTaxDeductibleInterest="Yes",'Cash Flow'!AQ57,0),"")</f>
        <v/>
      </c>
      <c r="AR106" s="75" t="str">
        <f>IF(ISNUMBER(outYear),IF(UseTaxDeductibleInterest="Yes",'Cash Flow'!AR57,0),"")</f>
        <v/>
      </c>
      <c r="AS106" s="75" t="str">
        <f>IF(ISNUMBER(outYear),IF(UseTaxDeductibleInterest="Yes",'Cash Flow'!AS57,0),"")</f>
        <v/>
      </c>
      <c r="AT106" s="75" t="str">
        <f>IF(ISNUMBER(outYear),IF(UseTaxDeductibleInterest="Yes",'Cash Flow'!AT57,0),"")</f>
        <v/>
      </c>
      <c r="AU106" s="75" t="str">
        <f>IF(ISNUMBER(outYear),IF(UseTaxDeductibleInterest="Yes",'Cash Flow'!AU57,0),"")</f>
        <v/>
      </c>
      <c r="AV106" s="75" t="str">
        <f>IF(ISNUMBER(outYear),IF(UseTaxDeductibleInterest="Yes",'Cash Flow'!AV57,0),"")</f>
        <v/>
      </c>
      <c r="AW106" s="75" t="str">
        <f>IF(ISNUMBER(outYear),IF(UseTaxDeductibleInterest="Yes",'Cash Flow'!AW57,0),"")</f>
        <v/>
      </c>
      <c r="AX106" s="75" t="str">
        <f>IF(ISNUMBER(outYear),IF(UseTaxDeductibleInterest="Yes",'Cash Flow'!AX57,0),"")</f>
        <v/>
      </c>
      <c r="AY106" s="75" t="str">
        <f>IF(ISNUMBER(outYear),IF(UseTaxDeductibleInterest="Yes",'Cash Flow'!AY57,0),"")</f>
        <v/>
      </c>
      <c r="AZ106" s="75" t="str">
        <f>IF(ISNUMBER(outYear),IF(UseTaxDeductibleInterest="Yes",'Cash Flow'!AZ57,0),"")</f>
        <v/>
      </c>
      <c r="BA106" s="75" t="str">
        <f>IF(ISNUMBER(outYear),IF(UseTaxDeductibleInterest="Yes",'Cash Flow'!BA57,0),"")</f>
        <v/>
      </c>
      <c r="BB106" s="75" t="str">
        <f>IF(ISNUMBER(outYear),IF(UseTaxDeductibleInterest="Yes",'Cash Flow'!BB57,0),"")</f>
        <v/>
      </c>
      <c r="BC106" s="75" t="str">
        <f>IF(ISNUMBER(outYear),IF(UseTaxDeductibleInterest="Yes",'Cash Flow'!BC57,0),"")</f>
        <v/>
      </c>
      <c r="BD106" s="75" t="str">
        <f>IF(ISNUMBER(outYear),IF(UseTaxDeductibleInterest="Yes",'Cash Flow'!BD57,0),"")</f>
        <v/>
      </c>
      <c r="BE106" s="75" t="str">
        <f>IF(ISNUMBER(outYear),IF(UseTaxDeductibleInterest="Yes",'Cash Flow'!BE57,0),"")</f>
        <v/>
      </c>
      <c r="BF106" s="75" t="str">
        <f>IF(ISNUMBER(outYear),IF(UseTaxDeductibleInterest="Yes",'Cash Flow'!BF57,0),"")</f>
        <v/>
      </c>
      <c r="BG106" s="75" t="str">
        <f>IF(ISNUMBER(outYear),IF(UseTaxDeductibleInterest="Yes",'Cash Flow'!BG57,0),"")</f>
        <v/>
      </c>
      <c r="BH106" s="75" t="str">
        <f>IF(ISNUMBER(outYear),IF(UseTaxDeductibleInterest="Yes",'Cash Flow'!BH57,0),"")</f>
        <v/>
      </c>
      <c r="BI106" s="75" t="str">
        <f>IF(ISNUMBER(outYear),IF(UseTaxDeductibleInterest="Yes",'Cash Flow'!BI57,0),"")</f>
        <v/>
      </c>
      <c r="BJ106" s="75" t="str">
        <f>IF(ISNUMBER(outYear),IF(UseTaxDeductibleInterest="Yes",'Cash Flow'!BJ57,0),"")</f>
        <v/>
      </c>
      <c r="BK106" s="75" t="str">
        <f>IF(ISNUMBER(outYear),IF(UseTaxDeductibleInterest="Yes",'Cash Flow'!BK57,0),"")</f>
        <v/>
      </c>
      <c r="BL106" s="75" t="str">
        <f>IF(ISNUMBER(outYear),IF(UseTaxDeductibleInterest="Yes",'Cash Flow'!BL57,0),"")</f>
        <v/>
      </c>
      <c r="BM106" s="75" t="str">
        <f>IF(ISNUMBER(outYear),IF(UseTaxDeductibleInterest="Yes",'Cash Flow'!BM57,0),"")</f>
        <v/>
      </c>
      <c r="BN106" s="75" t="str">
        <f>IF(ISNUMBER(outYear),IF(UseTaxDeductibleInterest="Yes",'Cash Flow'!BN57,0),"")</f>
        <v/>
      </c>
      <c r="BO106" s="75" t="str">
        <f>IF(ISNUMBER(outYear),IF(UseTaxDeductibleInterest="Yes",'Cash Flow'!BO57,0),"")</f>
        <v/>
      </c>
      <c r="BP106" s="75" t="str">
        <f>IF(ISNUMBER(outYear),IF(UseTaxDeductibleInterest="Yes",'Cash Flow'!BP57,0),"")</f>
        <v/>
      </c>
      <c r="BQ106" s="75" t="str">
        <f>IF(ISNUMBER(outYear),IF(UseTaxDeductibleInterest="Yes",'Cash Flow'!BQ57,0),"")</f>
        <v/>
      </c>
      <c r="BR106" s="75" t="str">
        <f>IF(ISNUMBER(outYear),IF(UseTaxDeductibleInterest="Yes",'Cash Flow'!BR57,0),"")</f>
        <v/>
      </c>
      <c r="BS106" s="75" t="str">
        <f>IF(ISNUMBER(outYear),IF(UseTaxDeductibleInterest="Yes",'Cash Flow'!BS57,0),"")</f>
        <v/>
      </c>
      <c r="BT106" s="75" t="str">
        <f>IF(ISNUMBER(outYear),IF(UseTaxDeductibleInterest="Yes",'Cash Flow'!BT57,0),"")</f>
        <v/>
      </c>
      <c r="BU106" s="75" t="str">
        <f>IF(ISNUMBER(outYear),IF(UseTaxDeductibleInterest="Yes",'Cash Flow'!BU57,0),"")</f>
        <v/>
      </c>
      <c r="BV106" s="75" t="str">
        <f>IF(ISNUMBER(outYear),IF(UseTaxDeductibleInterest="Yes",'Cash Flow'!BV57,0),"")</f>
        <v/>
      </c>
      <c r="BW106" s="75" t="str">
        <f>IF(ISNUMBER(outYear),IF(UseTaxDeductibleInterest="Yes",'Cash Flow'!BW57,0),"")</f>
        <v/>
      </c>
      <c r="BX106" s="75" t="str">
        <f>IF(ISNUMBER(outYear),IF(UseTaxDeductibleInterest="Yes",'Cash Flow'!BX57,0),"")</f>
        <v/>
      </c>
      <c r="BY106" s="75" t="str">
        <f>IF(ISNUMBER(outYear),IF(UseTaxDeductibleInterest="Yes",'Cash Flow'!BY57,0),"")</f>
        <v/>
      </c>
      <c r="BZ106" s="75" t="str">
        <f>IF(ISNUMBER(outYear),IF(UseTaxDeductibleInterest="Yes",'Cash Flow'!BZ57,0),"")</f>
        <v/>
      </c>
      <c r="CA106" s="75" t="str">
        <f>IF(ISNUMBER(outYear),IF(UseTaxDeductibleInterest="Yes",'Cash Flow'!CA57,0),"")</f>
        <v/>
      </c>
      <c r="CB106" s="75" t="str">
        <f>IF(ISNUMBER(outYear),IF(UseTaxDeductibleInterest="Yes",'Cash Flow'!CB57,0),"")</f>
        <v/>
      </c>
      <c r="CC106" s="75" t="str">
        <f>IF(ISNUMBER(outYear),IF(UseTaxDeductibleInterest="Yes",'Cash Flow'!CC57,0),"")</f>
        <v/>
      </c>
      <c r="CD106" s="75" t="str">
        <f>IF(ISNUMBER(outYear),IF(UseTaxDeductibleInterest="Yes",'Cash Flow'!CD57,0),"")</f>
        <v/>
      </c>
      <c r="CE106" s="75" t="str">
        <f>IF(ISNUMBER(outYear),IF(UseTaxDeductibleInterest="Yes",'Cash Flow'!CE57,0),"")</f>
        <v/>
      </c>
      <c r="CF106" s="75" t="str">
        <f>IF(ISNUMBER(outYear),IF(UseTaxDeductibleInterest="Yes",'Cash Flow'!CF57,0),"")</f>
        <v/>
      </c>
      <c r="CG106" s="75" t="str">
        <f>IF(ISNUMBER(outYear),IF(UseTaxDeductibleInterest="Yes",'Cash Flow'!CG57,0),"")</f>
        <v/>
      </c>
      <c r="CH106" s="75" t="str">
        <f>IF(ISNUMBER(outYear),IF(UseTaxDeductibleInterest="Yes",'Cash Flow'!CH57,0),"")</f>
        <v/>
      </c>
      <c r="CI106" s="75" t="str">
        <f>IF(ISNUMBER(outYear),IF(UseTaxDeductibleInterest="Yes",'Cash Flow'!CI57,0),"")</f>
        <v/>
      </c>
      <c r="CJ106" s="75" t="str">
        <f>IF(ISNUMBER(outYear),IF(UseTaxDeductibleInterest="Yes",'Cash Flow'!CJ57,0),"")</f>
        <v/>
      </c>
      <c r="CK106" s="75" t="str">
        <f>IF(ISNUMBER(outYear),IF(UseTaxDeductibleInterest="Yes",'Cash Flow'!CK57,0),"")</f>
        <v/>
      </c>
      <c r="CL106" s="75" t="str">
        <f>IF(ISNUMBER(outYear),IF(UseTaxDeductibleInterest="Yes",'Cash Flow'!CL57,0),"")</f>
        <v/>
      </c>
      <c r="CM106" s="75" t="str">
        <f>IF(ISNUMBER(outYear),IF(UseTaxDeductibleInterest="Yes",'Cash Flow'!CM57,0),"")</f>
        <v/>
      </c>
      <c r="CN106" s="75" t="str">
        <f>IF(ISNUMBER(outYear),IF(UseTaxDeductibleInterest="Yes",'Cash Flow'!CN57,0),"")</f>
        <v/>
      </c>
      <c r="CO106" s="75" t="str">
        <f>IF(ISNUMBER(outYear),IF(UseTaxDeductibleInterest="Yes",'Cash Flow'!CO57,0),"")</f>
        <v/>
      </c>
      <c r="CP106" s="75" t="str">
        <f>IF(ISNUMBER(outYear),IF(UseTaxDeductibleInterest="Yes",'Cash Flow'!CP57,0),"")</f>
        <v/>
      </c>
      <c r="CQ106" s="75" t="str">
        <f>IF(ISNUMBER(outYear),IF(UseTaxDeductibleInterest="Yes",'Cash Flow'!CQ57,0),"")</f>
        <v/>
      </c>
      <c r="CR106" s="75" t="str">
        <f>IF(ISNUMBER(outYear),IF(UseTaxDeductibleInterest="Yes",'Cash Flow'!CR57,0),"")</f>
        <v/>
      </c>
      <c r="CS106" s="75" t="str">
        <f>IF(ISNUMBER(outYear),IF(UseTaxDeductibleInterest="Yes",'Cash Flow'!CS57,0),"")</f>
        <v/>
      </c>
      <c r="CT106" s="75" t="str">
        <f>IF(ISNUMBER(outYear),IF(UseTaxDeductibleInterest="Yes",'Cash Flow'!CT57,0),"")</f>
        <v/>
      </c>
      <c r="CU106" s="75" t="str">
        <f>IF(ISNUMBER(outYear),IF(UseTaxDeductibleInterest="Yes",'Cash Flow'!CU57,0),"")</f>
        <v/>
      </c>
      <c r="CV106" s="75" t="str">
        <f>IF(ISNUMBER(outYear),IF(UseTaxDeductibleInterest="Yes",'Cash Flow'!CV57,0),"")</f>
        <v/>
      </c>
      <c r="CW106" s="75" t="str">
        <f>IF(ISNUMBER(outYear),IF(UseTaxDeductibleInterest="Yes",'Cash Flow'!CW57,0),"")</f>
        <v/>
      </c>
      <c r="CX106" s="75" t="str">
        <f>IF(ISNUMBER(outYear),IF(UseTaxDeductibleInterest="Yes",'Cash Flow'!CX57,0),"")</f>
        <v/>
      </c>
    </row>
    <row r="107" spans="1:102" x14ac:dyDescent="0.25">
      <c r="A107" s="79" t="s">
        <v>70</v>
      </c>
      <c r="B107" s="73"/>
      <c r="C107" s="73" t="str">
        <f>IF(ISNUMBER(C2),SUM(C103,C105:C106),"")</f>
        <v/>
      </c>
      <c r="D107" s="73" t="str">
        <f t="shared" ref="D107:AI107" si="84">IF(ISNUMBER(D2),SUM(D103:D106),"")</f>
        <v/>
      </c>
      <c r="E107" s="73" t="str">
        <f t="shared" si="84"/>
        <v/>
      </c>
      <c r="F107" s="73" t="str">
        <f t="shared" si="84"/>
        <v/>
      </c>
      <c r="G107" s="73" t="str">
        <f t="shared" si="84"/>
        <v/>
      </c>
      <c r="H107" s="73" t="str">
        <f t="shared" si="84"/>
        <v/>
      </c>
      <c r="I107" s="73" t="str">
        <f t="shared" si="84"/>
        <v/>
      </c>
      <c r="J107" s="73" t="str">
        <f t="shared" si="84"/>
        <v/>
      </c>
      <c r="K107" s="73" t="str">
        <f t="shared" si="84"/>
        <v/>
      </c>
      <c r="L107" s="73" t="str">
        <f t="shared" si="84"/>
        <v/>
      </c>
      <c r="M107" s="73" t="str">
        <f t="shared" si="84"/>
        <v/>
      </c>
      <c r="N107" s="73" t="str">
        <f t="shared" si="84"/>
        <v/>
      </c>
      <c r="O107" s="73" t="str">
        <f t="shared" si="84"/>
        <v/>
      </c>
      <c r="P107" s="73" t="str">
        <f t="shared" si="84"/>
        <v/>
      </c>
      <c r="Q107" s="73" t="str">
        <f t="shared" si="84"/>
        <v/>
      </c>
      <c r="R107" s="73" t="str">
        <f t="shared" si="84"/>
        <v/>
      </c>
      <c r="S107" s="73" t="str">
        <f t="shared" si="84"/>
        <v/>
      </c>
      <c r="T107" s="73" t="str">
        <f t="shared" si="84"/>
        <v/>
      </c>
      <c r="U107" s="73" t="str">
        <f t="shared" si="84"/>
        <v/>
      </c>
      <c r="V107" s="73" t="str">
        <f t="shared" si="84"/>
        <v/>
      </c>
      <c r="W107" s="73" t="str">
        <f t="shared" si="84"/>
        <v/>
      </c>
      <c r="X107" s="73" t="str">
        <f t="shared" si="84"/>
        <v/>
      </c>
      <c r="Y107" s="73" t="str">
        <f t="shared" si="84"/>
        <v/>
      </c>
      <c r="Z107" s="73" t="str">
        <f t="shared" si="84"/>
        <v/>
      </c>
      <c r="AA107" s="73" t="str">
        <f t="shared" si="84"/>
        <v/>
      </c>
      <c r="AB107" s="73" t="str">
        <f t="shared" si="84"/>
        <v/>
      </c>
      <c r="AC107" s="73" t="str">
        <f t="shared" si="84"/>
        <v/>
      </c>
      <c r="AD107" s="73" t="str">
        <f t="shared" si="84"/>
        <v/>
      </c>
      <c r="AE107" s="73" t="str">
        <f t="shared" si="84"/>
        <v/>
      </c>
      <c r="AF107" s="73" t="str">
        <f t="shared" si="84"/>
        <v/>
      </c>
      <c r="AG107" s="73" t="str">
        <f t="shared" si="84"/>
        <v/>
      </c>
      <c r="AH107" s="73" t="str">
        <f t="shared" si="84"/>
        <v/>
      </c>
      <c r="AI107" s="73" t="str">
        <f t="shared" si="84"/>
        <v/>
      </c>
      <c r="AJ107" s="73" t="str">
        <f t="shared" ref="AJ107:BO107" si="85">IF(ISNUMBER(AJ2),SUM(AJ103:AJ106),"")</f>
        <v/>
      </c>
      <c r="AK107" s="73" t="str">
        <f t="shared" si="85"/>
        <v/>
      </c>
      <c r="AL107" s="73" t="str">
        <f t="shared" si="85"/>
        <v/>
      </c>
      <c r="AM107" s="73" t="str">
        <f t="shared" si="85"/>
        <v/>
      </c>
      <c r="AN107" s="73" t="str">
        <f t="shared" si="85"/>
        <v/>
      </c>
      <c r="AO107" s="73" t="str">
        <f t="shared" si="85"/>
        <v/>
      </c>
      <c r="AP107" s="73" t="str">
        <f t="shared" si="85"/>
        <v/>
      </c>
      <c r="AQ107" s="73" t="str">
        <f t="shared" si="85"/>
        <v/>
      </c>
      <c r="AR107" s="73" t="str">
        <f t="shared" si="85"/>
        <v/>
      </c>
      <c r="AS107" s="73" t="str">
        <f t="shared" si="85"/>
        <v/>
      </c>
      <c r="AT107" s="73" t="str">
        <f t="shared" si="85"/>
        <v/>
      </c>
      <c r="AU107" s="73" t="str">
        <f t="shared" si="85"/>
        <v/>
      </c>
      <c r="AV107" s="73" t="str">
        <f t="shared" si="85"/>
        <v/>
      </c>
      <c r="AW107" s="73" t="str">
        <f t="shared" si="85"/>
        <v/>
      </c>
      <c r="AX107" s="73" t="str">
        <f t="shared" si="85"/>
        <v/>
      </c>
      <c r="AY107" s="73" t="str">
        <f t="shared" si="85"/>
        <v/>
      </c>
      <c r="AZ107" s="73" t="str">
        <f t="shared" si="85"/>
        <v/>
      </c>
      <c r="BA107" s="73" t="str">
        <f t="shared" si="85"/>
        <v/>
      </c>
      <c r="BB107" s="73" t="str">
        <f t="shared" si="85"/>
        <v/>
      </c>
      <c r="BC107" s="73" t="str">
        <f t="shared" si="85"/>
        <v/>
      </c>
      <c r="BD107" s="73" t="str">
        <f t="shared" si="85"/>
        <v/>
      </c>
      <c r="BE107" s="73" t="str">
        <f t="shared" si="85"/>
        <v/>
      </c>
      <c r="BF107" s="73" t="str">
        <f t="shared" si="85"/>
        <v/>
      </c>
      <c r="BG107" s="73" t="str">
        <f t="shared" si="85"/>
        <v/>
      </c>
      <c r="BH107" s="73" t="str">
        <f t="shared" si="85"/>
        <v/>
      </c>
      <c r="BI107" s="73" t="str">
        <f t="shared" si="85"/>
        <v/>
      </c>
      <c r="BJ107" s="73" t="str">
        <f t="shared" si="85"/>
        <v/>
      </c>
      <c r="BK107" s="73" t="str">
        <f t="shared" si="85"/>
        <v/>
      </c>
      <c r="BL107" s="73" t="str">
        <f t="shared" si="85"/>
        <v/>
      </c>
      <c r="BM107" s="73" t="str">
        <f t="shared" si="85"/>
        <v/>
      </c>
      <c r="BN107" s="73" t="str">
        <f t="shared" si="85"/>
        <v/>
      </c>
      <c r="BO107" s="73" t="str">
        <f t="shared" si="85"/>
        <v/>
      </c>
      <c r="BP107" s="73" t="str">
        <f t="shared" ref="BP107:CU107" si="86">IF(ISNUMBER(BP2),SUM(BP103:BP106),"")</f>
        <v/>
      </c>
      <c r="BQ107" s="73" t="str">
        <f t="shared" si="86"/>
        <v/>
      </c>
      <c r="BR107" s="73" t="str">
        <f t="shared" si="86"/>
        <v/>
      </c>
      <c r="BS107" s="73" t="str">
        <f t="shared" si="86"/>
        <v/>
      </c>
      <c r="BT107" s="73" t="str">
        <f t="shared" si="86"/>
        <v/>
      </c>
      <c r="BU107" s="73" t="str">
        <f t="shared" si="86"/>
        <v/>
      </c>
      <c r="BV107" s="73" t="str">
        <f t="shared" si="86"/>
        <v/>
      </c>
      <c r="BW107" s="73" t="str">
        <f t="shared" si="86"/>
        <v/>
      </c>
      <c r="BX107" s="73" t="str">
        <f t="shared" si="86"/>
        <v/>
      </c>
      <c r="BY107" s="73" t="str">
        <f t="shared" si="86"/>
        <v/>
      </c>
      <c r="BZ107" s="73" t="str">
        <f t="shared" si="86"/>
        <v/>
      </c>
      <c r="CA107" s="73" t="str">
        <f t="shared" si="86"/>
        <v/>
      </c>
      <c r="CB107" s="73" t="str">
        <f t="shared" si="86"/>
        <v/>
      </c>
      <c r="CC107" s="73" t="str">
        <f t="shared" si="86"/>
        <v/>
      </c>
      <c r="CD107" s="73" t="str">
        <f t="shared" si="86"/>
        <v/>
      </c>
      <c r="CE107" s="73" t="str">
        <f t="shared" si="86"/>
        <v/>
      </c>
      <c r="CF107" s="73" t="str">
        <f t="shared" si="86"/>
        <v/>
      </c>
      <c r="CG107" s="73" t="str">
        <f t="shared" si="86"/>
        <v/>
      </c>
      <c r="CH107" s="73" t="str">
        <f t="shared" si="86"/>
        <v/>
      </c>
      <c r="CI107" s="73" t="str">
        <f t="shared" si="86"/>
        <v/>
      </c>
      <c r="CJ107" s="73" t="str">
        <f t="shared" si="86"/>
        <v/>
      </c>
      <c r="CK107" s="73" t="str">
        <f t="shared" si="86"/>
        <v/>
      </c>
      <c r="CL107" s="73" t="str">
        <f t="shared" si="86"/>
        <v/>
      </c>
      <c r="CM107" s="73" t="str">
        <f t="shared" si="86"/>
        <v/>
      </c>
      <c r="CN107" s="73" t="str">
        <f t="shared" si="86"/>
        <v/>
      </c>
      <c r="CO107" s="73" t="str">
        <f t="shared" si="86"/>
        <v/>
      </c>
      <c r="CP107" s="73" t="str">
        <f t="shared" si="86"/>
        <v/>
      </c>
      <c r="CQ107" s="73" t="str">
        <f t="shared" si="86"/>
        <v/>
      </c>
      <c r="CR107" s="73" t="str">
        <f t="shared" si="86"/>
        <v/>
      </c>
      <c r="CS107" s="73" t="str">
        <f t="shared" si="86"/>
        <v/>
      </c>
      <c r="CT107" s="73" t="str">
        <f t="shared" si="86"/>
        <v/>
      </c>
      <c r="CU107" s="73" t="str">
        <f t="shared" si="86"/>
        <v/>
      </c>
      <c r="CV107" s="73" t="str">
        <f t="shared" ref="CV107:CX107" si="87">IF(ISNUMBER(CV2),SUM(CV103:CV106),"")</f>
        <v/>
      </c>
      <c r="CW107" s="73" t="str">
        <f t="shared" si="87"/>
        <v/>
      </c>
      <c r="CX107" s="73" t="str">
        <f t="shared" si="87"/>
        <v/>
      </c>
    </row>
    <row r="108" spans="1:102" x14ac:dyDescent="0.25">
      <c r="A108" s="80" t="s">
        <v>160</v>
      </c>
      <c r="B108" s="73"/>
      <c r="C108" s="73" t="str">
        <f t="shared" ref="C108:AH108" si="88">IF(ISNUMBER(outYear),C101-C107,"")</f>
        <v/>
      </c>
      <c r="D108" s="73" t="str">
        <f t="shared" si="88"/>
        <v/>
      </c>
      <c r="E108" s="73" t="str">
        <f t="shared" si="88"/>
        <v/>
      </c>
      <c r="F108" s="73" t="str">
        <f t="shared" si="88"/>
        <v/>
      </c>
      <c r="G108" s="73" t="str">
        <f t="shared" si="88"/>
        <v/>
      </c>
      <c r="H108" s="73" t="str">
        <f t="shared" si="88"/>
        <v/>
      </c>
      <c r="I108" s="73" t="str">
        <f t="shared" si="88"/>
        <v/>
      </c>
      <c r="J108" s="73" t="str">
        <f t="shared" si="88"/>
        <v/>
      </c>
      <c r="K108" s="73" t="str">
        <f t="shared" si="88"/>
        <v/>
      </c>
      <c r="L108" s="73" t="str">
        <f t="shared" si="88"/>
        <v/>
      </c>
      <c r="M108" s="73" t="str">
        <f t="shared" si="88"/>
        <v/>
      </c>
      <c r="N108" s="73" t="str">
        <f t="shared" si="88"/>
        <v/>
      </c>
      <c r="O108" s="73" t="str">
        <f t="shared" si="88"/>
        <v/>
      </c>
      <c r="P108" s="73" t="str">
        <f t="shared" si="88"/>
        <v/>
      </c>
      <c r="Q108" s="73" t="str">
        <f t="shared" si="88"/>
        <v/>
      </c>
      <c r="R108" s="73" t="str">
        <f t="shared" si="88"/>
        <v/>
      </c>
      <c r="S108" s="73" t="str">
        <f t="shared" si="88"/>
        <v/>
      </c>
      <c r="T108" s="73" t="str">
        <f t="shared" si="88"/>
        <v/>
      </c>
      <c r="U108" s="73" t="str">
        <f t="shared" si="88"/>
        <v/>
      </c>
      <c r="V108" s="73" t="str">
        <f t="shared" si="88"/>
        <v/>
      </c>
      <c r="W108" s="73" t="str">
        <f t="shared" si="88"/>
        <v/>
      </c>
      <c r="X108" s="73" t="str">
        <f t="shared" si="88"/>
        <v/>
      </c>
      <c r="Y108" s="73" t="str">
        <f t="shared" si="88"/>
        <v/>
      </c>
      <c r="Z108" s="73" t="str">
        <f t="shared" si="88"/>
        <v/>
      </c>
      <c r="AA108" s="73" t="str">
        <f t="shared" si="88"/>
        <v/>
      </c>
      <c r="AB108" s="73" t="str">
        <f t="shared" si="88"/>
        <v/>
      </c>
      <c r="AC108" s="73" t="str">
        <f t="shared" si="88"/>
        <v/>
      </c>
      <c r="AD108" s="73" t="str">
        <f t="shared" si="88"/>
        <v/>
      </c>
      <c r="AE108" s="73" t="str">
        <f t="shared" si="88"/>
        <v/>
      </c>
      <c r="AF108" s="73" t="str">
        <f t="shared" si="88"/>
        <v/>
      </c>
      <c r="AG108" s="73" t="str">
        <f t="shared" si="88"/>
        <v/>
      </c>
      <c r="AH108" s="73" t="str">
        <f t="shared" si="88"/>
        <v/>
      </c>
      <c r="AI108" s="73" t="str">
        <f t="shared" ref="AI108:BN108" si="89">IF(ISNUMBER(outYear),AI101-AI107,"")</f>
        <v/>
      </c>
      <c r="AJ108" s="73" t="str">
        <f t="shared" si="89"/>
        <v/>
      </c>
      <c r="AK108" s="73" t="str">
        <f t="shared" si="89"/>
        <v/>
      </c>
      <c r="AL108" s="73" t="str">
        <f t="shared" si="89"/>
        <v/>
      </c>
      <c r="AM108" s="73" t="str">
        <f t="shared" si="89"/>
        <v/>
      </c>
      <c r="AN108" s="73" t="str">
        <f t="shared" si="89"/>
        <v/>
      </c>
      <c r="AO108" s="73" t="str">
        <f t="shared" si="89"/>
        <v/>
      </c>
      <c r="AP108" s="73" t="str">
        <f t="shared" si="89"/>
        <v/>
      </c>
      <c r="AQ108" s="73" t="str">
        <f t="shared" si="89"/>
        <v/>
      </c>
      <c r="AR108" s="73" t="str">
        <f t="shared" si="89"/>
        <v/>
      </c>
      <c r="AS108" s="73" t="str">
        <f t="shared" si="89"/>
        <v/>
      </c>
      <c r="AT108" s="73" t="str">
        <f t="shared" si="89"/>
        <v/>
      </c>
      <c r="AU108" s="73" t="str">
        <f t="shared" si="89"/>
        <v/>
      </c>
      <c r="AV108" s="73" t="str">
        <f t="shared" si="89"/>
        <v/>
      </c>
      <c r="AW108" s="73" t="str">
        <f t="shared" si="89"/>
        <v/>
      </c>
      <c r="AX108" s="73" t="str">
        <f t="shared" si="89"/>
        <v/>
      </c>
      <c r="AY108" s="73" t="str">
        <f t="shared" si="89"/>
        <v/>
      </c>
      <c r="AZ108" s="73" t="str">
        <f t="shared" si="89"/>
        <v/>
      </c>
      <c r="BA108" s="73" t="str">
        <f t="shared" si="89"/>
        <v/>
      </c>
      <c r="BB108" s="73" t="str">
        <f t="shared" si="89"/>
        <v/>
      </c>
      <c r="BC108" s="73" t="str">
        <f t="shared" si="89"/>
        <v/>
      </c>
      <c r="BD108" s="73" t="str">
        <f t="shared" si="89"/>
        <v/>
      </c>
      <c r="BE108" s="73" t="str">
        <f t="shared" si="89"/>
        <v/>
      </c>
      <c r="BF108" s="73" t="str">
        <f t="shared" si="89"/>
        <v/>
      </c>
      <c r="BG108" s="73" t="str">
        <f t="shared" si="89"/>
        <v/>
      </c>
      <c r="BH108" s="73" t="str">
        <f t="shared" si="89"/>
        <v/>
      </c>
      <c r="BI108" s="73" t="str">
        <f t="shared" si="89"/>
        <v/>
      </c>
      <c r="BJ108" s="73" t="str">
        <f t="shared" si="89"/>
        <v/>
      </c>
      <c r="BK108" s="73" t="str">
        <f t="shared" si="89"/>
        <v/>
      </c>
      <c r="BL108" s="73" t="str">
        <f t="shared" si="89"/>
        <v/>
      </c>
      <c r="BM108" s="73" t="str">
        <f t="shared" si="89"/>
        <v/>
      </c>
      <c r="BN108" s="73" t="str">
        <f t="shared" si="89"/>
        <v/>
      </c>
      <c r="BO108" s="73" t="str">
        <f t="shared" ref="BO108:CT108" si="90">IF(ISNUMBER(outYear),BO101-BO107,"")</f>
        <v/>
      </c>
      <c r="BP108" s="73" t="str">
        <f t="shared" si="90"/>
        <v/>
      </c>
      <c r="BQ108" s="73" t="str">
        <f t="shared" si="90"/>
        <v/>
      </c>
      <c r="BR108" s="73" t="str">
        <f t="shared" si="90"/>
        <v/>
      </c>
      <c r="BS108" s="73" t="str">
        <f t="shared" si="90"/>
        <v/>
      </c>
      <c r="BT108" s="73" t="str">
        <f t="shared" si="90"/>
        <v/>
      </c>
      <c r="BU108" s="73" t="str">
        <f t="shared" si="90"/>
        <v/>
      </c>
      <c r="BV108" s="73" t="str">
        <f t="shared" si="90"/>
        <v/>
      </c>
      <c r="BW108" s="73" t="str">
        <f t="shared" si="90"/>
        <v/>
      </c>
      <c r="BX108" s="73" t="str">
        <f t="shared" si="90"/>
        <v/>
      </c>
      <c r="BY108" s="73" t="str">
        <f t="shared" si="90"/>
        <v/>
      </c>
      <c r="BZ108" s="73" t="str">
        <f t="shared" si="90"/>
        <v/>
      </c>
      <c r="CA108" s="73" t="str">
        <f t="shared" si="90"/>
        <v/>
      </c>
      <c r="CB108" s="73" t="str">
        <f t="shared" si="90"/>
        <v/>
      </c>
      <c r="CC108" s="73" t="str">
        <f t="shared" si="90"/>
        <v/>
      </c>
      <c r="CD108" s="73" t="str">
        <f t="shared" si="90"/>
        <v/>
      </c>
      <c r="CE108" s="73" t="str">
        <f t="shared" si="90"/>
        <v/>
      </c>
      <c r="CF108" s="73" t="str">
        <f t="shared" si="90"/>
        <v/>
      </c>
      <c r="CG108" s="73" t="str">
        <f t="shared" si="90"/>
        <v/>
      </c>
      <c r="CH108" s="73" t="str">
        <f t="shared" si="90"/>
        <v/>
      </c>
      <c r="CI108" s="73" t="str">
        <f t="shared" si="90"/>
        <v/>
      </c>
      <c r="CJ108" s="73" t="str">
        <f t="shared" si="90"/>
        <v/>
      </c>
      <c r="CK108" s="73" t="str">
        <f t="shared" si="90"/>
        <v/>
      </c>
      <c r="CL108" s="73" t="str">
        <f t="shared" si="90"/>
        <v/>
      </c>
      <c r="CM108" s="73" t="str">
        <f t="shared" si="90"/>
        <v/>
      </c>
      <c r="CN108" s="73" t="str">
        <f t="shared" si="90"/>
        <v/>
      </c>
      <c r="CO108" s="73" t="str">
        <f t="shared" si="90"/>
        <v/>
      </c>
      <c r="CP108" s="73" t="str">
        <f t="shared" si="90"/>
        <v/>
      </c>
      <c r="CQ108" s="73" t="str">
        <f t="shared" si="90"/>
        <v/>
      </c>
      <c r="CR108" s="73" t="str">
        <f t="shared" si="90"/>
        <v/>
      </c>
      <c r="CS108" s="73" t="str">
        <f t="shared" si="90"/>
        <v/>
      </c>
      <c r="CT108" s="73" t="str">
        <f t="shared" si="90"/>
        <v/>
      </c>
      <c r="CU108" s="73" t="str">
        <f t="shared" ref="CU108:CX108" si="91">IF(ISNUMBER(outYear),CU101-CU107,"")</f>
        <v/>
      </c>
      <c r="CV108" s="73" t="str">
        <f t="shared" si="91"/>
        <v/>
      </c>
      <c r="CW108" s="73" t="str">
        <f t="shared" si="91"/>
        <v/>
      </c>
      <c r="CX108" s="73" t="str">
        <f t="shared" si="91"/>
        <v/>
      </c>
    </row>
    <row r="109" spans="1:102" x14ac:dyDescent="0.25">
      <c r="A109" s="80" t="s">
        <v>186</v>
      </c>
      <c r="B109" s="73"/>
      <c r="C109" s="73">
        <f t="array" ref="C109:CX109">'Inputs and Outputs'!C110:CX110</f>
        <v>0</v>
      </c>
      <c r="D109" s="73">
        <v>0</v>
      </c>
      <c r="E109" s="73">
        <v>0</v>
      </c>
      <c r="F109" s="73">
        <v>0</v>
      </c>
      <c r="G109" s="73">
        <v>0</v>
      </c>
      <c r="H109" s="73">
        <v>0</v>
      </c>
      <c r="I109" s="73">
        <v>0</v>
      </c>
      <c r="J109" s="73">
        <v>0</v>
      </c>
      <c r="K109" s="73">
        <v>0</v>
      </c>
      <c r="L109" s="73">
        <v>0</v>
      </c>
      <c r="M109" s="73">
        <v>0</v>
      </c>
      <c r="N109" s="73">
        <v>0</v>
      </c>
      <c r="O109" s="73">
        <v>0</v>
      </c>
      <c r="P109" s="73">
        <v>0</v>
      </c>
      <c r="Q109" s="73">
        <v>0</v>
      </c>
      <c r="R109" s="73">
        <v>0</v>
      </c>
      <c r="S109" s="73">
        <v>0</v>
      </c>
      <c r="T109" s="73">
        <v>0</v>
      </c>
      <c r="U109" s="73">
        <v>0</v>
      </c>
      <c r="V109" s="73">
        <v>0</v>
      </c>
      <c r="W109" s="73">
        <v>0</v>
      </c>
      <c r="X109" s="73">
        <v>0</v>
      </c>
      <c r="Y109" s="73">
        <v>0</v>
      </c>
      <c r="Z109" s="73">
        <v>0</v>
      </c>
      <c r="AA109" s="73">
        <v>0</v>
      </c>
      <c r="AB109" s="73">
        <v>0</v>
      </c>
      <c r="AC109" s="73">
        <v>0</v>
      </c>
      <c r="AD109" s="73">
        <v>0</v>
      </c>
      <c r="AE109" s="73">
        <v>0</v>
      </c>
      <c r="AF109" s="73">
        <v>0</v>
      </c>
      <c r="AG109" s="73">
        <v>0</v>
      </c>
      <c r="AH109" s="73">
        <v>0</v>
      </c>
      <c r="AI109" s="73">
        <v>0</v>
      </c>
      <c r="AJ109" s="73">
        <v>0</v>
      </c>
      <c r="AK109" s="73">
        <v>0</v>
      </c>
      <c r="AL109" s="73">
        <v>0</v>
      </c>
      <c r="AM109" s="73">
        <v>0</v>
      </c>
      <c r="AN109" s="73">
        <v>0</v>
      </c>
      <c r="AO109" s="73">
        <v>0</v>
      </c>
      <c r="AP109" s="73">
        <v>0</v>
      </c>
      <c r="AQ109" s="73">
        <v>0</v>
      </c>
      <c r="AR109" s="73">
        <v>0</v>
      </c>
      <c r="AS109" s="73">
        <v>0</v>
      </c>
      <c r="AT109" s="73">
        <v>0</v>
      </c>
      <c r="AU109" s="73">
        <v>0</v>
      </c>
      <c r="AV109" s="73">
        <v>0</v>
      </c>
      <c r="AW109" s="73">
        <v>0</v>
      </c>
      <c r="AX109" s="73">
        <v>0</v>
      </c>
      <c r="AY109" s="73">
        <v>0</v>
      </c>
      <c r="AZ109" s="73">
        <v>0</v>
      </c>
      <c r="BA109" s="73">
        <v>0</v>
      </c>
      <c r="BB109" s="73">
        <v>0</v>
      </c>
      <c r="BC109" s="73">
        <v>0</v>
      </c>
      <c r="BD109" s="73">
        <v>0</v>
      </c>
      <c r="BE109" s="73">
        <v>0</v>
      </c>
      <c r="BF109" s="73">
        <v>0</v>
      </c>
      <c r="BG109" s="73">
        <v>0</v>
      </c>
      <c r="BH109" s="73">
        <v>0</v>
      </c>
      <c r="BI109" s="73">
        <v>0</v>
      </c>
      <c r="BJ109" s="73">
        <v>0</v>
      </c>
      <c r="BK109" s="73">
        <v>0</v>
      </c>
      <c r="BL109" s="73">
        <v>0</v>
      </c>
      <c r="BM109" s="73">
        <v>0</v>
      </c>
      <c r="BN109" s="73">
        <v>0</v>
      </c>
      <c r="BO109" s="73">
        <v>0</v>
      </c>
      <c r="BP109" s="73">
        <v>0</v>
      </c>
      <c r="BQ109" s="73">
        <v>0</v>
      </c>
      <c r="BR109" s="73">
        <v>0</v>
      </c>
      <c r="BS109" s="73">
        <v>0</v>
      </c>
      <c r="BT109" s="73">
        <v>0</v>
      </c>
      <c r="BU109" s="73">
        <v>0</v>
      </c>
      <c r="BV109" s="73">
        <v>0</v>
      </c>
      <c r="BW109" s="73">
        <v>0</v>
      </c>
      <c r="BX109" s="73">
        <v>0</v>
      </c>
      <c r="BY109" s="73">
        <v>0</v>
      </c>
      <c r="BZ109" s="73">
        <v>0</v>
      </c>
      <c r="CA109" s="73">
        <v>0</v>
      </c>
      <c r="CB109" s="73">
        <v>0</v>
      </c>
      <c r="CC109" s="73">
        <v>0</v>
      </c>
      <c r="CD109" s="73">
        <v>0</v>
      </c>
      <c r="CE109" s="73">
        <v>0</v>
      </c>
      <c r="CF109" s="73">
        <v>0</v>
      </c>
      <c r="CG109" s="73">
        <v>0</v>
      </c>
      <c r="CH109" s="73">
        <v>0</v>
      </c>
      <c r="CI109" s="73">
        <v>0</v>
      </c>
      <c r="CJ109" s="73">
        <v>0</v>
      </c>
      <c r="CK109" s="73">
        <v>0</v>
      </c>
      <c r="CL109" s="73">
        <v>0</v>
      </c>
      <c r="CM109" s="73">
        <v>0</v>
      </c>
      <c r="CN109" s="73">
        <v>0</v>
      </c>
      <c r="CO109" s="73">
        <v>0</v>
      </c>
      <c r="CP109" s="73">
        <v>0</v>
      </c>
      <c r="CQ109" s="73">
        <v>0</v>
      </c>
      <c r="CR109" s="73">
        <v>0</v>
      </c>
      <c r="CS109" s="73">
        <v>0</v>
      </c>
      <c r="CT109" s="73">
        <v>0</v>
      </c>
      <c r="CU109" s="73">
        <v>0</v>
      </c>
      <c r="CV109" s="73">
        <v>0</v>
      </c>
      <c r="CW109" s="73">
        <v>0</v>
      </c>
      <c r="CX109" s="73">
        <v>0</v>
      </c>
    </row>
    <row r="110" spans="1:102" x14ac:dyDescent="0.25">
      <c r="A110" s="80" t="s">
        <v>67</v>
      </c>
      <c r="B110" s="73"/>
      <c r="C110" s="73" t="str">
        <f t="shared" ref="C110:AH110" si="92">IF(ISNUMBER(outYear),+C108*C109/100,"")</f>
        <v/>
      </c>
      <c r="D110" s="73" t="str">
        <f t="shared" si="92"/>
        <v/>
      </c>
      <c r="E110" s="73" t="str">
        <f t="shared" si="92"/>
        <v/>
      </c>
      <c r="F110" s="73" t="str">
        <f t="shared" si="92"/>
        <v/>
      </c>
      <c r="G110" s="73" t="str">
        <f t="shared" si="92"/>
        <v/>
      </c>
      <c r="H110" s="73" t="str">
        <f t="shared" si="92"/>
        <v/>
      </c>
      <c r="I110" s="73" t="str">
        <f t="shared" si="92"/>
        <v/>
      </c>
      <c r="J110" s="73" t="str">
        <f t="shared" si="92"/>
        <v/>
      </c>
      <c r="K110" s="73" t="str">
        <f t="shared" si="92"/>
        <v/>
      </c>
      <c r="L110" s="73" t="str">
        <f t="shared" si="92"/>
        <v/>
      </c>
      <c r="M110" s="73" t="str">
        <f t="shared" si="92"/>
        <v/>
      </c>
      <c r="N110" s="73" t="str">
        <f t="shared" si="92"/>
        <v/>
      </c>
      <c r="O110" s="73" t="str">
        <f t="shared" si="92"/>
        <v/>
      </c>
      <c r="P110" s="73" t="str">
        <f t="shared" si="92"/>
        <v/>
      </c>
      <c r="Q110" s="73" t="str">
        <f t="shared" si="92"/>
        <v/>
      </c>
      <c r="R110" s="73" t="str">
        <f t="shared" si="92"/>
        <v/>
      </c>
      <c r="S110" s="73" t="str">
        <f t="shared" si="92"/>
        <v/>
      </c>
      <c r="T110" s="73" t="str">
        <f t="shared" si="92"/>
        <v/>
      </c>
      <c r="U110" s="73" t="str">
        <f t="shared" si="92"/>
        <v/>
      </c>
      <c r="V110" s="73" t="str">
        <f t="shared" si="92"/>
        <v/>
      </c>
      <c r="W110" s="73" t="str">
        <f t="shared" si="92"/>
        <v/>
      </c>
      <c r="X110" s="73" t="str">
        <f t="shared" si="92"/>
        <v/>
      </c>
      <c r="Y110" s="73" t="str">
        <f t="shared" si="92"/>
        <v/>
      </c>
      <c r="Z110" s="73" t="str">
        <f t="shared" si="92"/>
        <v/>
      </c>
      <c r="AA110" s="73" t="str">
        <f t="shared" si="92"/>
        <v/>
      </c>
      <c r="AB110" s="73" t="str">
        <f t="shared" si="92"/>
        <v/>
      </c>
      <c r="AC110" s="73" t="str">
        <f t="shared" si="92"/>
        <v/>
      </c>
      <c r="AD110" s="73" t="str">
        <f t="shared" si="92"/>
        <v/>
      </c>
      <c r="AE110" s="73" t="str">
        <f t="shared" si="92"/>
        <v/>
      </c>
      <c r="AF110" s="73" t="str">
        <f t="shared" si="92"/>
        <v/>
      </c>
      <c r="AG110" s="73" t="str">
        <f t="shared" si="92"/>
        <v/>
      </c>
      <c r="AH110" s="73" t="str">
        <f t="shared" si="92"/>
        <v/>
      </c>
      <c r="AI110" s="73" t="str">
        <f t="shared" ref="AI110:BN110" si="93">IF(ISNUMBER(outYear),+AI108*AI109/100,"")</f>
        <v/>
      </c>
      <c r="AJ110" s="73" t="str">
        <f t="shared" si="93"/>
        <v/>
      </c>
      <c r="AK110" s="73" t="str">
        <f t="shared" si="93"/>
        <v/>
      </c>
      <c r="AL110" s="73" t="str">
        <f t="shared" si="93"/>
        <v/>
      </c>
      <c r="AM110" s="73" t="str">
        <f t="shared" si="93"/>
        <v/>
      </c>
      <c r="AN110" s="73" t="str">
        <f t="shared" si="93"/>
        <v/>
      </c>
      <c r="AO110" s="73" t="str">
        <f t="shared" si="93"/>
        <v/>
      </c>
      <c r="AP110" s="73" t="str">
        <f t="shared" si="93"/>
        <v/>
      </c>
      <c r="AQ110" s="73" t="str">
        <f t="shared" si="93"/>
        <v/>
      </c>
      <c r="AR110" s="73" t="str">
        <f t="shared" si="93"/>
        <v/>
      </c>
      <c r="AS110" s="73" t="str">
        <f t="shared" si="93"/>
        <v/>
      </c>
      <c r="AT110" s="73" t="str">
        <f t="shared" si="93"/>
        <v/>
      </c>
      <c r="AU110" s="73" t="str">
        <f t="shared" si="93"/>
        <v/>
      </c>
      <c r="AV110" s="73" t="str">
        <f t="shared" si="93"/>
        <v/>
      </c>
      <c r="AW110" s="73" t="str">
        <f t="shared" si="93"/>
        <v/>
      </c>
      <c r="AX110" s="73" t="str">
        <f t="shared" si="93"/>
        <v/>
      </c>
      <c r="AY110" s="73" t="str">
        <f t="shared" si="93"/>
        <v/>
      </c>
      <c r="AZ110" s="73" t="str">
        <f t="shared" si="93"/>
        <v/>
      </c>
      <c r="BA110" s="73" t="str">
        <f t="shared" si="93"/>
        <v/>
      </c>
      <c r="BB110" s="73" t="str">
        <f t="shared" si="93"/>
        <v/>
      </c>
      <c r="BC110" s="73" t="str">
        <f t="shared" si="93"/>
        <v/>
      </c>
      <c r="BD110" s="73" t="str">
        <f t="shared" si="93"/>
        <v/>
      </c>
      <c r="BE110" s="73" t="str">
        <f t="shared" si="93"/>
        <v/>
      </c>
      <c r="BF110" s="73" t="str">
        <f t="shared" si="93"/>
        <v/>
      </c>
      <c r="BG110" s="73" t="str">
        <f t="shared" si="93"/>
        <v/>
      </c>
      <c r="BH110" s="73" t="str">
        <f t="shared" si="93"/>
        <v/>
      </c>
      <c r="BI110" s="73" t="str">
        <f t="shared" si="93"/>
        <v/>
      </c>
      <c r="BJ110" s="73" t="str">
        <f t="shared" si="93"/>
        <v/>
      </c>
      <c r="BK110" s="73" t="str">
        <f t="shared" si="93"/>
        <v/>
      </c>
      <c r="BL110" s="73" t="str">
        <f t="shared" si="93"/>
        <v/>
      </c>
      <c r="BM110" s="73" t="str">
        <f t="shared" si="93"/>
        <v/>
      </c>
      <c r="BN110" s="73" t="str">
        <f t="shared" si="93"/>
        <v/>
      </c>
      <c r="BO110" s="73" t="str">
        <f t="shared" ref="BO110:CT110" si="94">IF(ISNUMBER(outYear),+BO108*BO109/100,"")</f>
        <v/>
      </c>
      <c r="BP110" s="73" t="str">
        <f t="shared" si="94"/>
        <v/>
      </c>
      <c r="BQ110" s="73" t="str">
        <f t="shared" si="94"/>
        <v/>
      </c>
      <c r="BR110" s="73" t="str">
        <f t="shared" si="94"/>
        <v/>
      </c>
      <c r="BS110" s="73" t="str">
        <f t="shared" si="94"/>
        <v/>
      </c>
      <c r="BT110" s="73" t="str">
        <f t="shared" si="94"/>
        <v/>
      </c>
      <c r="BU110" s="73" t="str">
        <f t="shared" si="94"/>
        <v/>
      </c>
      <c r="BV110" s="73" t="str">
        <f t="shared" si="94"/>
        <v/>
      </c>
      <c r="BW110" s="73" t="str">
        <f t="shared" si="94"/>
        <v/>
      </c>
      <c r="BX110" s="73" t="str">
        <f t="shared" si="94"/>
        <v/>
      </c>
      <c r="BY110" s="73" t="str">
        <f t="shared" si="94"/>
        <v/>
      </c>
      <c r="BZ110" s="73" t="str">
        <f t="shared" si="94"/>
        <v/>
      </c>
      <c r="CA110" s="73" t="str">
        <f t="shared" si="94"/>
        <v/>
      </c>
      <c r="CB110" s="73" t="str">
        <f t="shared" si="94"/>
        <v/>
      </c>
      <c r="CC110" s="73" t="str">
        <f t="shared" si="94"/>
        <v/>
      </c>
      <c r="CD110" s="73" t="str">
        <f t="shared" si="94"/>
        <v/>
      </c>
      <c r="CE110" s="73" t="str">
        <f t="shared" si="94"/>
        <v/>
      </c>
      <c r="CF110" s="73" t="str">
        <f t="shared" si="94"/>
        <v/>
      </c>
      <c r="CG110" s="73" t="str">
        <f t="shared" si="94"/>
        <v/>
      </c>
      <c r="CH110" s="73" t="str">
        <f t="shared" si="94"/>
        <v/>
      </c>
      <c r="CI110" s="73" t="str">
        <f t="shared" si="94"/>
        <v/>
      </c>
      <c r="CJ110" s="73" t="str">
        <f t="shared" si="94"/>
        <v/>
      </c>
      <c r="CK110" s="73" t="str">
        <f t="shared" si="94"/>
        <v/>
      </c>
      <c r="CL110" s="73" t="str">
        <f t="shared" si="94"/>
        <v/>
      </c>
      <c r="CM110" s="73" t="str">
        <f t="shared" si="94"/>
        <v/>
      </c>
      <c r="CN110" s="73" t="str">
        <f t="shared" si="94"/>
        <v/>
      </c>
      <c r="CO110" s="73" t="str">
        <f t="shared" si="94"/>
        <v/>
      </c>
      <c r="CP110" s="73" t="str">
        <f t="shared" si="94"/>
        <v/>
      </c>
      <c r="CQ110" s="73" t="str">
        <f t="shared" si="94"/>
        <v/>
      </c>
      <c r="CR110" s="73" t="str">
        <f t="shared" si="94"/>
        <v/>
      </c>
      <c r="CS110" s="73" t="str">
        <f t="shared" si="94"/>
        <v/>
      </c>
      <c r="CT110" s="73" t="str">
        <f t="shared" si="94"/>
        <v/>
      </c>
      <c r="CU110" s="73" t="str">
        <f t="shared" ref="CU110:CX110" si="95">IF(ISNUMBER(outYear),+CU108*CU109/100,"")</f>
        <v/>
      </c>
      <c r="CV110" s="73" t="str">
        <f t="shared" si="95"/>
        <v/>
      </c>
      <c r="CW110" s="73" t="str">
        <f t="shared" si="95"/>
        <v/>
      </c>
      <c r="CX110" s="73" t="str">
        <f t="shared" si="95"/>
        <v/>
      </c>
    </row>
    <row r="111" spans="1:102" x14ac:dyDescent="0.25">
      <c r="A111" s="80" t="s">
        <v>126</v>
      </c>
      <c r="B111" s="73"/>
      <c r="C111" s="73" t="str">
        <f>IF(ptc_sta_amount="n/a",'Inputs and Outputs'!C152*C5,IF(ISNUMBER(outYear),IF(outYear&lt;=ptc_sta_term,ROUND(ptc_sta_amount*1000*(1+ptc_sta_escal/100)^(outYear-1),0)*C5/1000,0),""))</f>
        <v/>
      </c>
      <c r="D111" s="73" t="str">
        <f>IF(ptc_sta_amount="n/a",'Inputs and Outputs'!D152*D5,IF(ISNUMBER(outYear),IF(outYear&lt;=ptc_sta_term,ROUND(ptc_sta_amount*1000*(1+ptc_sta_escal/100)^(outYear-1),0)*D5/1000,0),""))</f>
        <v/>
      </c>
      <c r="E111" s="73" t="str">
        <f>IF(ptc_sta_amount="n/a",'Inputs and Outputs'!E152*E5,IF(ISNUMBER(outYear),IF(outYear&lt;=ptc_sta_term,ROUND(ptc_sta_amount*1000*(1+ptc_sta_escal/100)^(outYear-1),0)*E5/1000,0),""))</f>
        <v/>
      </c>
      <c r="F111" s="73" t="str">
        <f>IF(ptc_sta_amount="n/a",'Inputs and Outputs'!F152*F5,IF(ISNUMBER(outYear),IF(outYear&lt;=ptc_sta_term,ROUND(ptc_sta_amount*1000*(1+ptc_sta_escal/100)^(outYear-1),0)*F5/1000,0),""))</f>
        <v/>
      </c>
      <c r="G111" s="73" t="str">
        <f>IF(ptc_sta_amount="n/a",'Inputs and Outputs'!G152*G5,IF(ISNUMBER(outYear),IF(outYear&lt;=ptc_sta_term,ROUND(ptc_sta_amount*1000*(1+ptc_sta_escal/100)^(outYear-1),0)*G5/1000,0),""))</f>
        <v/>
      </c>
      <c r="H111" s="73" t="str">
        <f>IF(ptc_sta_amount="n/a",'Inputs and Outputs'!H152*H5,IF(ISNUMBER(outYear),IF(outYear&lt;=ptc_sta_term,ROUND(ptc_sta_amount*1000*(1+ptc_sta_escal/100)^(outYear-1),0)*H5/1000,0),""))</f>
        <v/>
      </c>
      <c r="I111" s="73" t="str">
        <f>IF(ptc_sta_amount="n/a",'Inputs and Outputs'!I152*I5,IF(ISNUMBER(outYear),IF(outYear&lt;=ptc_sta_term,ROUND(ptc_sta_amount*1000*(1+ptc_sta_escal/100)^(outYear-1),0)*I5/1000,0),""))</f>
        <v/>
      </c>
      <c r="J111" s="73" t="str">
        <f>IF(ptc_sta_amount="n/a",'Inputs and Outputs'!J152*J5,IF(ISNUMBER(outYear),IF(outYear&lt;=ptc_sta_term,ROUND(ptc_sta_amount*1000*(1+ptc_sta_escal/100)^(outYear-1),0)*J5/1000,0),""))</f>
        <v/>
      </c>
      <c r="K111" s="73" t="str">
        <f>IF(ptc_sta_amount="n/a",'Inputs and Outputs'!K152*K5,IF(ISNUMBER(outYear),IF(outYear&lt;=ptc_sta_term,ROUND(ptc_sta_amount*1000*(1+ptc_sta_escal/100)^(outYear-1),0)*K5/1000,0),""))</f>
        <v/>
      </c>
      <c r="L111" s="73" t="str">
        <f>IF(ptc_sta_amount="n/a",'Inputs and Outputs'!L152*L5,IF(ISNUMBER(outYear),IF(outYear&lt;=ptc_sta_term,ROUND(ptc_sta_amount*1000*(1+ptc_sta_escal/100)^(outYear-1),0)*L5/1000,0),""))</f>
        <v/>
      </c>
      <c r="M111" s="73" t="str">
        <f>IF(ptc_sta_amount="n/a",'Inputs and Outputs'!M152*M5,IF(ISNUMBER(outYear),IF(outYear&lt;=ptc_sta_term,ROUND(ptc_sta_amount*1000*(1+ptc_sta_escal/100)^(outYear-1),0)*M5/1000,0),""))</f>
        <v/>
      </c>
      <c r="N111" s="73" t="str">
        <f>IF(ptc_sta_amount="n/a",'Inputs and Outputs'!N152*N5,IF(ISNUMBER(outYear),IF(outYear&lt;=ptc_sta_term,ROUND(ptc_sta_amount*1000*(1+ptc_sta_escal/100)^(outYear-1),0)*N5/1000,0),""))</f>
        <v/>
      </c>
      <c r="O111" s="73" t="str">
        <f>IF(ptc_sta_amount="n/a",'Inputs and Outputs'!O152*O5,IF(ISNUMBER(outYear),IF(outYear&lt;=ptc_sta_term,ROUND(ptc_sta_amount*1000*(1+ptc_sta_escal/100)^(outYear-1),0)*O5/1000,0),""))</f>
        <v/>
      </c>
      <c r="P111" s="73" t="str">
        <f>IF(ptc_sta_amount="n/a",'Inputs and Outputs'!P152*P5,IF(ISNUMBER(outYear),IF(outYear&lt;=ptc_sta_term,ROUND(ptc_sta_amount*1000*(1+ptc_sta_escal/100)^(outYear-1),0)*P5/1000,0),""))</f>
        <v/>
      </c>
      <c r="Q111" s="73" t="str">
        <f>IF(ptc_sta_amount="n/a",'Inputs and Outputs'!Q152*Q5,IF(ISNUMBER(outYear),IF(outYear&lt;=ptc_sta_term,ROUND(ptc_sta_amount*1000*(1+ptc_sta_escal/100)^(outYear-1),0)*Q5/1000,0),""))</f>
        <v/>
      </c>
      <c r="R111" s="73" t="str">
        <f>IF(ptc_sta_amount="n/a",'Inputs and Outputs'!R152*R5,IF(ISNUMBER(outYear),IF(outYear&lt;=ptc_sta_term,ROUND(ptc_sta_amount*1000*(1+ptc_sta_escal/100)^(outYear-1),0)*R5/1000,0),""))</f>
        <v/>
      </c>
      <c r="S111" s="73" t="str">
        <f>IF(ptc_sta_amount="n/a",'Inputs and Outputs'!S152*S5,IF(ISNUMBER(outYear),IF(outYear&lt;=ptc_sta_term,ROUND(ptc_sta_amount*1000*(1+ptc_sta_escal/100)^(outYear-1),0)*S5/1000,0),""))</f>
        <v/>
      </c>
      <c r="T111" s="73" t="str">
        <f>IF(ptc_sta_amount="n/a",'Inputs and Outputs'!T152*T5,IF(ISNUMBER(outYear),IF(outYear&lt;=ptc_sta_term,ROUND(ptc_sta_amount*1000*(1+ptc_sta_escal/100)^(outYear-1),0)*T5/1000,0),""))</f>
        <v/>
      </c>
      <c r="U111" s="73" t="str">
        <f>IF(ptc_sta_amount="n/a",'Inputs and Outputs'!U152*U5,IF(ISNUMBER(outYear),IF(outYear&lt;=ptc_sta_term,ROUND(ptc_sta_amount*1000*(1+ptc_sta_escal/100)^(outYear-1),0)*U5/1000,0),""))</f>
        <v/>
      </c>
      <c r="V111" s="73" t="str">
        <f>IF(ptc_sta_amount="n/a",'Inputs and Outputs'!V152*V5,IF(ISNUMBER(outYear),IF(outYear&lt;=ptc_sta_term,ROUND(ptc_sta_amount*1000*(1+ptc_sta_escal/100)^(outYear-1),0)*V5/1000,0),""))</f>
        <v/>
      </c>
      <c r="W111" s="73" t="str">
        <f>IF(ptc_sta_amount="n/a",'Inputs and Outputs'!W152*W5,IF(ISNUMBER(outYear),IF(outYear&lt;=ptc_sta_term,ROUND(ptc_sta_amount*1000*(1+ptc_sta_escal/100)^(outYear-1),0)*W5/1000,0),""))</f>
        <v/>
      </c>
      <c r="X111" s="73" t="str">
        <f>IF(ptc_sta_amount="n/a",'Inputs and Outputs'!X152*X5,IF(ISNUMBER(outYear),IF(outYear&lt;=ptc_sta_term,ROUND(ptc_sta_amount*1000*(1+ptc_sta_escal/100)^(outYear-1),0)*X5/1000,0),""))</f>
        <v/>
      </c>
      <c r="Y111" s="73" t="str">
        <f>IF(ptc_sta_amount="n/a",'Inputs and Outputs'!Y152*Y5,IF(ISNUMBER(outYear),IF(outYear&lt;=ptc_sta_term,ROUND(ptc_sta_amount*1000*(1+ptc_sta_escal/100)^(outYear-1),0)*Y5/1000,0),""))</f>
        <v/>
      </c>
      <c r="Z111" s="73" t="str">
        <f>IF(ptc_sta_amount="n/a",'Inputs and Outputs'!Z152*Z5,IF(ISNUMBER(outYear),IF(outYear&lt;=ptc_sta_term,ROUND(ptc_sta_amount*1000*(1+ptc_sta_escal/100)^(outYear-1),0)*Z5/1000,0),""))</f>
        <v/>
      </c>
      <c r="AA111" s="73" t="str">
        <f>IF(ptc_sta_amount="n/a",'Inputs and Outputs'!AA152*AA5,IF(ISNUMBER(outYear),IF(outYear&lt;=ptc_sta_term,ROUND(ptc_sta_amount*1000*(1+ptc_sta_escal/100)^(outYear-1),0)*AA5/1000,0),""))</f>
        <v/>
      </c>
      <c r="AB111" s="73" t="str">
        <f>IF(ptc_sta_amount="n/a",'Inputs and Outputs'!AB152*AB5,IF(ISNUMBER(outYear),IF(outYear&lt;=ptc_sta_term,ROUND(ptc_sta_amount*1000*(1+ptc_sta_escal/100)^(outYear-1),0)*AB5/1000,0),""))</f>
        <v/>
      </c>
      <c r="AC111" s="73" t="str">
        <f>IF(ptc_sta_amount="n/a",'Inputs and Outputs'!AC152*AC5,IF(ISNUMBER(outYear),IF(outYear&lt;=ptc_sta_term,ROUND(ptc_sta_amount*1000*(1+ptc_sta_escal/100)^(outYear-1),0)*AC5/1000,0),""))</f>
        <v/>
      </c>
      <c r="AD111" s="73" t="str">
        <f>IF(ptc_sta_amount="n/a",'Inputs and Outputs'!AD152*AD5,IF(ISNUMBER(outYear),IF(outYear&lt;=ptc_sta_term,ROUND(ptc_sta_amount*1000*(1+ptc_sta_escal/100)^(outYear-1),0)*AD5/1000,0),""))</f>
        <v/>
      </c>
      <c r="AE111" s="73" t="str">
        <f>IF(ptc_sta_amount="n/a",'Inputs and Outputs'!AE152*AE5,IF(ISNUMBER(outYear),IF(outYear&lt;=ptc_sta_term,ROUND(ptc_sta_amount*1000*(1+ptc_sta_escal/100)^(outYear-1),0)*AE5/1000,0),""))</f>
        <v/>
      </c>
      <c r="AF111" s="73" t="str">
        <f>IF(ptc_sta_amount="n/a",'Inputs and Outputs'!AF152*AF5,IF(ISNUMBER(outYear),IF(outYear&lt;=ptc_sta_term,ROUND(ptc_sta_amount*1000*(1+ptc_sta_escal/100)^(outYear-1),0)*AF5/1000,0),""))</f>
        <v/>
      </c>
      <c r="AG111" s="73" t="str">
        <f>IF(ptc_sta_amount="n/a",'Inputs and Outputs'!AG152*AG5,IF(ISNUMBER(outYear),IF(outYear&lt;=ptc_sta_term,ROUND(ptc_sta_amount*1000*(1+ptc_sta_escal/100)^(outYear-1),0)*AG5/1000,0),""))</f>
        <v/>
      </c>
      <c r="AH111" s="73" t="str">
        <f>IF(ptc_sta_amount="n/a",'Inputs and Outputs'!AH152*AH5,IF(ISNUMBER(outYear),IF(outYear&lt;=ptc_sta_term,ROUND(ptc_sta_amount*1000*(1+ptc_sta_escal/100)^(outYear-1),0)*AH5/1000,0),""))</f>
        <v/>
      </c>
      <c r="AI111" s="73" t="str">
        <f>IF(ptc_sta_amount="n/a",'Inputs and Outputs'!AI152*AI5,IF(ISNUMBER(outYear),IF(outYear&lt;=ptc_sta_term,ROUND(ptc_sta_amount*1000*(1+ptc_sta_escal/100)^(outYear-1),0)*AI5/1000,0),""))</f>
        <v/>
      </c>
      <c r="AJ111" s="73" t="str">
        <f>IF(ptc_sta_amount="n/a",'Inputs and Outputs'!AJ152*AJ5,IF(ISNUMBER(outYear),IF(outYear&lt;=ptc_sta_term,ROUND(ptc_sta_amount*1000*(1+ptc_sta_escal/100)^(outYear-1),0)*AJ5/1000,0),""))</f>
        <v/>
      </c>
      <c r="AK111" s="73" t="str">
        <f>IF(ptc_sta_amount="n/a",'Inputs and Outputs'!AK152*AK5,IF(ISNUMBER(outYear),IF(outYear&lt;=ptc_sta_term,ROUND(ptc_sta_amount*1000*(1+ptc_sta_escal/100)^(outYear-1),0)*AK5/1000,0),""))</f>
        <v/>
      </c>
      <c r="AL111" s="73" t="str">
        <f>IF(ptc_sta_amount="n/a",'Inputs and Outputs'!AL152*AL5,IF(ISNUMBER(outYear),IF(outYear&lt;=ptc_sta_term,ROUND(ptc_sta_amount*1000*(1+ptc_sta_escal/100)^(outYear-1),0)*AL5/1000,0),""))</f>
        <v/>
      </c>
      <c r="AM111" s="73" t="str">
        <f>IF(ptc_sta_amount="n/a",'Inputs and Outputs'!AM152*AM5,IF(ISNUMBER(outYear),IF(outYear&lt;=ptc_sta_term,ROUND(ptc_sta_amount*1000*(1+ptc_sta_escal/100)^(outYear-1),0)*AM5/1000,0),""))</f>
        <v/>
      </c>
      <c r="AN111" s="73" t="str">
        <f>IF(ptc_sta_amount="n/a",'Inputs and Outputs'!AN152*AN5,IF(ISNUMBER(outYear),IF(outYear&lt;=ptc_sta_term,ROUND(ptc_sta_amount*1000*(1+ptc_sta_escal/100)^(outYear-1),0)*AN5/1000,0),""))</f>
        <v/>
      </c>
      <c r="AO111" s="73" t="str">
        <f>IF(ptc_sta_amount="n/a",'Inputs and Outputs'!AO152*AO5,IF(ISNUMBER(outYear),IF(outYear&lt;=ptc_sta_term,ROUND(ptc_sta_amount*1000*(1+ptc_sta_escal/100)^(outYear-1),0)*AO5/1000,0),""))</f>
        <v/>
      </c>
      <c r="AP111" s="73" t="str">
        <f>IF(ptc_sta_amount="n/a",'Inputs and Outputs'!AP152*AP5,IF(ISNUMBER(outYear),IF(outYear&lt;=ptc_sta_term,ROUND(ptc_sta_amount*1000*(1+ptc_sta_escal/100)^(outYear-1),0)*AP5/1000,0),""))</f>
        <v/>
      </c>
      <c r="AQ111" s="73" t="str">
        <f>IF(ptc_sta_amount="n/a",'Inputs and Outputs'!AQ152*AQ5,IF(ISNUMBER(outYear),IF(outYear&lt;=ptc_sta_term,ROUND(ptc_sta_amount*1000*(1+ptc_sta_escal/100)^(outYear-1),0)*AQ5/1000,0),""))</f>
        <v/>
      </c>
      <c r="AR111" s="73" t="str">
        <f>IF(ptc_sta_amount="n/a",'Inputs and Outputs'!AR152*AR5,IF(ISNUMBER(outYear),IF(outYear&lt;=ptc_sta_term,ROUND(ptc_sta_amount*1000*(1+ptc_sta_escal/100)^(outYear-1),0)*AR5/1000,0),""))</f>
        <v/>
      </c>
      <c r="AS111" s="73" t="str">
        <f>IF(ptc_sta_amount="n/a",'Inputs and Outputs'!AS152*AS5,IF(ISNUMBER(outYear),IF(outYear&lt;=ptc_sta_term,ROUND(ptc_sta_amount*1000*(1+ptc_sta_escal/100)^(outYear-1),0)*AS5/1000,0),""))</f>
        <v/>
      </c>
      <c r="AT111" s="73" t="str">
        <f>IF(ptc_sta_amount="n/a",'Inputs and Outputs'!AT152*AT5,IF(ISNUMBER(outYear),IF(outYear&lt;=ptc_sta_term,ROUND(ptc_sta_amount*1000*(1+ptc_sta_escal/100)^(outYear-1),0)*AT5/1000,0),""))</f>
        <v/>
      </c>
      <c r="AU111" s="73" t="str">
        <f>IF(ptc_sta_amount="n/a",'Inputs and Outputs'!AU152*AU5,IF(ISNUMBER(outYear),IF(outYear&lt;=ptc_sta_term,ROUND(ptc_sta_amount*1000*(1+ptc_sta_escal/100)^(outYear-1),0)*AU5/1000,0),""))</f>
        <v/>
      </c>
      <c r="AV111" s="73" t="str">
        <f>IF(ptc_sta_amount="n/a",'Inputs and Outputs'!AV152*AV5,IF(ISNUMBER(outYear),IF(outYear&lt;=ptc_sta_term,ROUND(ptc_sta_amount*1000*(1+ptc_sta_escal/100)^(outYear-1),0)*AV5/1000,0),""))</f>
        <v/>
      </c>
      <c r="AW111" s="73" t="str">
        <f>IF(ptc_sta_amount="n/a",'Inputs and Outputs'!AW152*AW5,IF(ISNUMBER(outYear),IF(outYear&lt;=ptc_sta_term,ROUND(ptc_sta_amount*1000*(1+ptc_sta_escal/100)^(outYear-1),0)*AW5/1000,0),""))</f>
        <v/>
      </c>
      <c r="AX111" s="73" t="str">
        <f>IF(ptc_sta_amount="n/a",'Inputs and Outputs'!AX152*AX5,IF(ISNUMBER(outYear),IF(outYear&lt;=ptc_sta_term,ROUND(ptc_sta_amount*1000*(1+ptc_sta_escal/100)^(outYear-1),0)*AX5/1000,0),""))</f>
        <v/>
      </c>
      <c r="AY111" s="73" t="str">
        <f>IF(ptc_sta_amount="n/a",'Inputs and Outputs'!AY152*AY5,IF(ISNUMBER(outYear),IF(outYear&lt;=ptc_sta_term,ROUND(ptc_sta_amount*1000*(1+ptc_sta_escal/100)^(outYear-1),0)*AY5/1000,0),""))</f>
        <v/>
      </c>
      <c r="AZ111" s="73" t="str">
        <f>IF(ptc_sta_amount="n/a",'Inputs and Outputs'!AZ152*AZ5,IF(ISNUMBER(outYear),IF(outYear&lt;=ptc_sta_term,ROUND(ptc_sta_amount*1000*(1+ptc_sta_escal/100)^(outYear-1),0)*AZ5/1000,0),""))</f>
        <v/>
      </c>
      <c r="BA111" s="73" t="str">
        <f>IF(ptc_sta_amount="n/a",'Inputs and Outputs'!BA152*BA5,IF(ISNUMBER(outYear),IF(outYear&lt;=ptc_sta_term,ROUND(ptc_sta_amount*1000*(1+ptc_sta_escal/100)^(outYear-1),0)*BA5/1000,0),""))</f>
        <v/>
      </c>
      <c r="BB111" s="73" t="str">
        <f>IF(ptc_sta_amount="n/a",'Inputs and Outputs'!BB152*BB5,IF(ISNUMBER(outYear),IF(outYear&lt;=ptc_sta_term,ROUND(ptc_sta_amount*1000*(1+ptc_sta_escal/100)^(outYear-1),0)*BB5/1000,0),""))</f>
        <v/>
      </c>
      <c r="BC111" s="73" t="str">
        <f>IF(ptc_sta_amount="n/a",'Inputs and Outputs'!BC152*BC5,IF(ISNUMBER(outYear),IF(outYear&lt;=ptc_sta_term,ROUND(ptc_sta_amount*1000*(1+ptc_sta_escal/100)^(outYear-1),0)*BC5/1000,0),""))</f>
        <v/>
      </c>
      <c r="BD111" s="73" t="str">
        <f>IF(ptc_sta_amount="n/a",'Inputs and Outputs'!BD152*BD5,IF(ISNUMBER(outYear),IF(outYear&lt;=ptc_sta_term,ROUND(ptc_sta_amount*1000*(1+ptc_sta_escal/100)^(outYear-1),0)*BD5/1000,0),""))</f>
        <v/>
      </c>
      <c r="BE111" s="73" t="str">
        <f>IF(ptc_sta_amount="n/a",'Inputs and Outputs'!BE152*BE5,IF(ISNUMBER(outYear),IF(outYear&lt;=ptc_sta_term,ROUND(ptc_sta_amount*1000*(1+ptc_sta_escal/100)^(outYear-1),0)*BE5/1000,0),""))</f>
        <v/>
      </c>
      <c r="BF111" s="73" t="str">
        <f>IF(ptc_sta_amount="n/a",'Inputs and Outputs'!BF152*BF5,IF(ISNUMBER(outYear),IF(outYear&lt;=ptc_sta_term,ROUND(ptc_sta_amount*1000*(1+ptc_sta_escal/100)^(outYear-1),0)*BF5/1000,0),""))</f>
        <v/>
      </c>
      <c r="BG111" s="73" t="str">
        <f>IF(ptc_sta_amount="n/a",'Inputs and Outputs'!BG152*BG5,IF(ISNUMBER(outYear),IF(outYear&lt;=ptc_sta_term,ROUND(ptc_sta_amount*1000*(1+ptc_sta_escal/100)^(outYear-1),0)*BG5/1000,0),""))</f>
        <v/>
      </c>
      <c r="BH111" s="73" t="str">
        <f>IF(ptc_sta_amount="n/a",'Inputs and Outputs'!BH152*BH5,IF(ISNUMBER(outYear),IF(outYear&lt;=ptc_sta_term,ROUND(ptc_sta_amount*1000*(1+ptc_sta_escal/100)^(outYear-1),0)*BH5/1000,0),""))</f>
        <v/>
      </c>
      <c r="BI111" s="73" t="str">
        <f>IF(ptc_sta_amount="n/a",'Inputs and Outputs'!BI152*BI5,IF(ISNUMBER(outYear),IF(outYear&lt;=ptc_sta_term,ROUND(ptc_sta_amount*1000*(1+ptc_sta_escal/100)^(outYear-1),0)*BI5/1000,0),""))</f>
        <v/>
      </c>
      <c r="BJ111" s="73" t="str">
        <f>IF(ptc_sta_amount="n/a",'Inputs and Outputs'!BJ152*BJ5,IF(ISNUMBER(outYear),IF(outYear&lt;=ptc_sta_term,ROUND(ptc_sta_amount*1000*(1+ptc_sta_escal/100)^(outYear-1),0)*BJ5/1000,0),""))</f>
        <v/>
      </c>
      <c r="BK111" s="73" t="str">
        <f>IF(ptc_sta_amount="n/a",'Inputs and Outputs'!BK152*BK5,IF(ISNUMBER(outYear),IF(outYear&lt;=ptc_sta_term,ROUND(ptc_sta_amount*1000*(1+ptc_sta_escal/100)^(outYear-1),0)*BK5/1000,0),""))</f>
        <v/>
      </c>
      <c r="BL111" s="73" t="str">
        <f>IF(ptc_sta_amount="n/a",'Inputs and Outputs'!BL152*BL5,IF(ISNUMBER(outYear),IF(outYear&lt;=ptc_sta_term,ROUND(ptc_sta_amount*1000*(1+ptc_sta_escal/100)^(outYear-1),0)*BL5/1000,0),""))</f>
        <v/>
      </c>
      <c r="BM111" s="73" t="str">
        <f>IF(ptc_sta_amount="n/a",'Inputs and Outputs'!BM152*BM5,IF(ISNUMBER(outYear),IF(outYear&lt;=ptc_sta_term,ROUND(ptc_sta_amount*1000*(1+ptc_sta_escal/100)^(outYear-1),0)*BM5/1000,0),""))</f>
        <v/>
      </c>
      <c r="BN111" s="73" t="str">
        <f>IF(ptc_sta_amount="n/a",'Inputs and Outputs'!BN152*BN5,IF(ISNUMBER(outYear),IF(outYear&lt;=ptc_sta_term,ROUND(ptc_sta_amount*1000*(1+ptc_sta_escal/100)^(outYear-1),0)*BN5/1000,0),""))</f>
        <v/>
      </c>
      <c r="BO111" s="73" t="str">
        <f>IF(ptc_sta_amount="n/a",'Inputs and Outputs'!BO152*BO5,IF(ISNUMBER(outYear),IF(outYear&lt;=ptc_sta_term,ROUND(ptc_sta_amount*1000*(1+ptc_sta_escal/100)^(outYear-1),0)*BO5/1000,0),""))</f>
        <v/>
      </c>
      <c r="BP111" s="73" t="str">
        <f>IF(ptc_sta_amount="n/a",'Inputs and Outputs'!BP152*BP5,IF(ISNUMBER(outYear),IF(outYear&lt;=ptc_sta_term,ROUND(ptc_sta_amount*1000*(1+ptc_sta_escal/100)^(outYear-1),0)*BP5/1000,0),""))</f>
        <v/>
      </c>
      <c r="BQ111" s="73" t="str">
        <f>IF(ptc_sta_amount="n/a",'Inputs and Outputs'!BQ152*BQ5,IF(ISNUMBER(outYear),IF(outYear&lt;=ptc_sta_term,ROUND(ptc_sta_amount*1000*(1+ptc_sta_escal/100)^(outYear-1),0)*BQ5/1000,0),""))</f>
        <v/>
      </c>
      <c r="BR111" s="73" t="str">
        <f>IF(ptc_sta_amount="n/a",'Inputs and Outputs'!BR152*BR5,IF(ISNUMBER(outYear),IF(outYear&lt;=ptc_sta_term,ROUND(ptc_sta_amount*1000*(1+ptc_sta_escal/100)^(outYear-1),0)*BR5/1000,0),""))</f>
        <v/>
      </c>
      <c r="BS111" s="73" t="str">
        <f>IF(ptc_sta_amount="n/a",'Inputs and Outputs'!BS152*BS5,IF(ISNUMBER(outYear),IF(outYear&lt;=ptc_sta_term,ROUND(ptc_sta_amount*1000*(1+ptc_sta_escal/100)^(outYear-1),0)*BS5/1000,0),""))</f>
        <v/>
      </c>
      <c r="BT111" s="73" t="str">
        <f>IF(ptc_sta_amount="n/a",'Inputs and Outputs'!BT152*BT5,IF(ISNUMBER(outYear),IF(outYear&lt;=ptc_sta_term,ROUND(ptc_sta_amount*1000*(1+ptc_sta_escal/100)^(outYear-1),0)*BT5/1000,0),""))</f>
        <v/>
      </c>
      <c r="BU111" s="73" t="str">
        <f>IF(ptc_sta_amount="n/a",'Inputs and Outputs'!BU152*BU5,IF(ISNUMBER(outYear),IF(outYear&lt;=ptc_sta_term,ROUND(ptc_sta_amount*1000*(1+ptc_sta_escal/100)^(outYear-1),0)*BU5/1000,0),""))</f>
        <v/>
      </c>
      <c r="BV111" s="73" t="str">
        <f>IF(ptc_sta_amount="n/a",'Inputs and Outputs'!BV152*BV5,IF(ISNUMBER(outYear),IF(outYear&lt;=ptc_sta_term,ROUND(ptc_sta_amount*1000*(1+ptc_sta_escal/100)^(outYear-1),0)*BV5/1000,0),""))</f>
        <v/>
      </c>
      <c r="BW111" s="73" t="str">
        <f>IF(ptc_sta_amount="n/a",'Inputs and Outputs'!BW152*BW5,IF(ISNUMBER(outYear),IF(outYear&lt;=ptc_sta_term,ROUND(ptc_sta_amount*1000*(1+ptc_sta_escal/100)^(outYear-1),0)*BW5/1000,0),""))</f>
        <v/>
      </c>
      <c r="BX111" s="73" t="str">
        <f>IF(ptc_sta_amount="n/a",'Inputs and Outputs'!BX152*BX5,IF(ISNUMBER(outYear),IF(outYear&lt;=ptc_sta_term,ROUND(ptc_sta_amount*1000*(1+ptc_sta_escal/100)^(outYear-1),0)*BX5/1000,0),""))</f>
        <v/>
      </c>
      <c r="BY111" s="73" t="str">
        <f>IF(ptc_sta_amount="n/a",'Inputs and Outputs'!BY152*BY5,IF(ISNUMBER(outYear),IF(outYear&lt;=ptc_sta_term,ROUND(ptc_sta_amount*1000*(1+ptc_sta_escal/100)^(outYear-1),0)*BY5/1000,0),""))</f>
        <v/>
      </c>
      <c r="BZ111" s="73" t="str">
        <f>IF(ptc_sta_amount="n/a",'Inputs and Outputs'!BZ152*BZ5,IF(ISNUMBER(outYear),IF(outYear&lt;=ptc_sta_term,ROUND(ptc_sta_amount*1000*(1+ptc_sta_escal/100)^(outYear-1),0)*BZ5/1000,0),""))</f>
        <v/>
      </c>
      <c r="CA111" s="73" t="str">
        <f>IF(ptc_sta_amount="n/a",'Inputs and Outputs'!CA152*CA5,IF(ISNUMBER(outYear),IF(outYear&lt;=ptc_sta_term,ROUND(ptc_sta_amount*1000*(1+ptc_sta_escal/100)^(outYear-1),0)*CA5/1000,0),""))</f>
        <v/>
      </c>
      <c r="CB111" s="73" t="str">
        <f>IF(ptc_sta_amount="n/a",'Inputs and Outputs'!CB152*CB5,IF(ISNUMBER(outYear),IF(outYear&lt;=ptc_sta_term,ROUND(ptc_sta_amount*1000*(1+ptc_sta_escal/100)^(outYear-1),0)*CB5/1000,0),""))</f>
        <v/>
      </c>
      <c r="CC111" s="73" t="str">
        <f>IF(ptc_sta_amount="n/a",'Inputs and Outputs'!CC152*CC5,IF(ISNUMBER(outYear),IF(outYear&lt;=ptc_sta_term,ROUND(ptc_sta_amount*1000*(1+ptc_sta_escal/100)^(outYear-1),0)*CC5/1000,0),""))</f>
        <v/>
      </c>
      <c r="CD111" s="73" t="str">
        <f>IF(ptc_sta_amount="n/a",'Inputs and Outputs'!CD152*CD5,IF(ISNUMBER(outYear),IF(outYear&lt;=ptc_sta_term,ROUND(ptc_sta_amount*1000*(1+ptc_sta_escal/100)^(outYear-1),0)*CD5/1000,0),""))</f>
        <v/>
      </c>
      <c r="CE111" s="73" t="str">
        <f>IF(ptc_sta_amount="n/a",'Inputs and Outputs'!CE152*CE5,IF(ISNUMBER(outYear),IF(outYear&lt;=ptc_sta_term,ROUND(ptc_sta_amount*1000*(1+ptc_sta_escal/100)^(outYear-1),0)*CE5/1000,0),""))</f>
        <v/>
      </c>
      <c r="CF111" s="73" t="str">
        <f>IF(ptc_sta_amount="n/a",'Inputs and Outputs'!CF152*CF5,IF(ISNUMBER(outYear),IF(outYear&lt;=ptc_sta_term,ROUND(ptc_sta_amount*1000*(1+ptc_sta_escal/100)^(outYear-1),0)*CF5/1000,0),""))</f>
        <v/>
      </c>
      <c r="CG111" s="73" t="str">
        <f>IF(ptc_sta_amount="n/a",'Inputs and Outputs'!CG152*CG5,IF(ISNUMBER(outYear),IF(outYear&lt;=ptc_sta_term,ROUND(ptc_sta_amount*1000*(1+ptc_sta_escal/100)^(outYear-1),0)*CG5/1000,0),""))</f>
        <v/>
      </c>
      <c r="CH111" s="73" t="str">
        <f>IF(ptc_sta_amount="n/a",'Inputs and Outputs'!CH152*CH5,IF(ISNUMBER(outYear),IF(outYear&lt;=ptc_sta_term,ROUND(ptc_sta_amount*1000*(1+ptc_sta_escal/100)^(outYear-1),0)*CH5/1000,0),""))</f>
        <v/>
      </c>
      <c r="CI111" s="73" t="str">
        <f>IF(ptc_sta_amount="n/a",'Inputs and Outputs'!CI152*CI5,IF(ISNUMBER(outYear),IF(outYear&lt;=ptc_sta_term,ROUND(ptc_sta_amount*1000*(1+ptc_sta_escal/100)^(outYear-1),0)*CI5/1000,0),""))</f>
        <v/>
      </c>
      <c r="CJ111" s="73" t="str">
        <f>IF(ptc_sta_amount="n/a",'Inputs and Outputs'!CJ152*CJ5,IF(ISNUMBER(outYear),IF(outYear&lt;=ptc_sta_term,ROUND(ptc_sta_amount*1000*(1+ptc_sta_escal/100)^(outYear-1),0)*CJ5/1000,0),""))</f>
        <v/>
      </c>
      <c r="CK111" s="73" t="str">
        <f>IF(ptc_sta_amount="n/a",'Inputs and Outputs'!CK152*CK5,IF(ISNUMBER(outYear),IF(outYear&lt;=ptc_sta_term,ROUND(ptc_sta_amount*1000*(1+ptc_sta_escal/100)^(outYear-1),0)*CK5/1000,0),""))</f>
        <v/>
      </c>
      <c r="CL111" s="73" t="str">
        <f>IF(ptc_sta_amount="n/a",'Inputs and Outputs'!CL152*CL5,IF(ISNUMBER(outYear),IF(outYear&lt;=ptc_sta_term,ROUND(ptc_sta_amount*1000*(1+ptc_sta_escal/100)^(outYear-1),0)*CL5/1000,0),""))</f>
        <v/>
      </c>
      <c r="CM111" s="73" t="str">
        <f>IF(ptc_sta_amount="n/a",'Inputs and Outputs'!CM152*CM5,IF(ISNUMBER(outYear),IF(outYear&lt;=ptc_sta_term,ROUND(ptc_sta_amount*1000*(1+ptc_sta_escal/100)^(outYear-1),0)*CM5/1000,0),""))</f>
        <v/>
      </c>
      <c r="CN111" s="73" t="str">
        <f>IF(ptc_sta_amount="n/a",'Inputs and Outputs'!CN152*CN5,IF(ISNUMBER(outYear),IF(outYear&lt;=ptc_sta_term,ROUND(ptc_sta_amount*1000*(1+ptc_sta_escal/100)^(outYear-1),0)*CN5/1000,0),""))</f>
        <v/>
      </c>
      <c r="CO111" s="73" t="str">
        <f>IF(ptc_sta_amount="n/a",'Inputs and Outputs'!CO152*CO5,IF(ISNUMBER(outYear),IF(outYear&lt;=ptc_sta_term,ROUND(ptc_sta_amount*1000*(1+ptc_sta_escal/100)^(outYear-1),0)*CO5/1000,0),""))</f>
        <v/>
      </c>
      <c r="CP111" s="73" t="str">
        <f>IF(ptc_sta_amount="n/a",'Inputs and Outputs'!CP152*CP5,IF(ISNUMBER(outYear),IF(outYear&lt;=ptc_sta_term,ROUND(ptc_sta_amount*1000*(1+ptc_sta_escal/100)^(outYear-1),0)*CP5/1000,0),""))</f>
        <v/>
      </c>
      <c r="CQ111" s="73" t="str">
        <f>IF(ptc_sta_amount="n/a",'Inputs and Outputs'!CQ152*CQ5,IF(ISNUMBER(outYear),IF(outYear&lt;=ptc_sta_term,ROUND(ptc_sta_amount*1000*(1+ptc_sta_escal/100)^(outYear-1),0)*CQ5/1000,0),""))</f>
        <v/>
      </c>
      <c r="CR111" s="73" t="str">
        <f>IF(ptc_sta_amount="n/a",'Inputs and Outputs'!CR152*CR5,IF(ISNUMBER(outYear),IF(outYear&lt;=ptc_sta_term,ROUND(ptc_sta_amount*1000*(1+ptc_sta_escal/100)^(outYear-1),0)*CR5/1000,0),""))</f>
        <v/>
      </c>
      <c r="CS111" s="73" t="str">
        <f>IF(ptc_sta_amount="n/a",'Inputs and Outputs'!CS152*CS5,IF(ISNUMBER(outYear),IF(outYear&lt;=ptc_sta_term,ROUND(ptc_sta_amount*1000*(1+ptc_sta_escal/100)^(outYear-1),0)*CS5/1000,0),""))</f>
        <v/>
      </c>
      <c r="CT111" s="73" t="str">
        <f>IF(ptc_sta_amount="n/a",'Inputs and Outputs'!CT152*CT5,IF(ISNUMBER(outYear),IF(outYear&lt;=ptc_sta_term,ROUND(ptc_sta_amount*1000*(1+ptc_sta_escal/100)^(outYear-1),0)*CT5/1000,0),""))</f>
        <v/>
      </c>
      <c r="CU111" s="73" t="str">
        <f>IF(ptc_sta_amount="n/a",'Inputs and Outputs'!CU152*CU5,IF(ISNUMBER(outYear),IF(outYear&lt;=ptc_sta_term,ROUND(ptc_sta_amount*1000*(1+ptc_sta_escal/100)^(outYear-1),0)*CU5/1000,0),""))</f>
        <v/>
      </c>
      <c r="CV111" s="73" t="str">
        <f>IF(ptc_sta_amount="n/a",'Inputs and Outputs'!CV152*CV5,IF(ISNUMBER(outYear),IF(outYear&lt;=ptc_sta_term,ROUND(ptc_sta_amount*1000*(1+ptc_sta_escal/100)^(outYear-1),0)*CV5/1000,0),""))</f>
        <v/>
      </c>
      <c r="CW111" s="73" t="str">
        <f>IF(ptc_sta_amount="n/a",'Inputs and Outputs'!CW152*CW5,IF(ISNUMBER(outYear),IF(outYear&lt;=ptc_sta_term,ROUND(ptc_sta_amount*1000*(1+ptc_sta_escal/100)^(outYear-1),0)*CW5/1000,0),""))</f>
        <v/>
      </c>
      <c r="CX111" s="73" t="str">
        <f>IF(ptc_sta_amount="n/a",'Inputs and Outputs'!CX152*CX5,IF(ISNUMBER(outYear),IF(outYear&lt;=ptc_sta_term,ROUND(ptc_sta_amount*1000*(1+ptc_sta_escal/100)^(outYear-1),0)*CX5/1000,0),""))</f>
        <v/>
      </c>
    </row>
    <row r="112" spans="1:102" x14ac:dyDescent="0.25">
      <c r="A112" s="80" t="s">
        <v>220</v>
      </c>
      <c r="B112" s="73"/>
      <c r="C112" s="73">
        <f>C$91</f>
        <v>0</v>
      </c>
      <c r="D112" s="73">
        <f t="shared" ref="D112:BO112" si="96">D$91</f>
        <v>0</v>
      </c>
      <c r="E112" s="73">
        <f t="shared" si="96"/>
        <v>0</v>
      </c>
      <c r="F112" s="73">
        <f t="shared" si="96"/>
        <v>0</v>
      </c>
      <c r="G112" s="73">
        <f t="shared" si="96"/>
        <v>0</v>
      </c>
      <c r="H112" s="73">
        <f t="shared" si="96"/>
        <v>0</v>
      </c>
      <c r="I112" s="73">
        <f t="shared" si="96"/>
        <v>0</v>
      </c>
      <c r="J112" s="73">
        <f t="shared" si="96"/>
        <v>0</v>
      </c>
      <c r="K112" s="73">
        <f t="shared" si="96"/>
        <v>0</v>
      </c>
      <c r="L112" s="73">
        <f t="shared" si="96"/>
        <v>0</v>
      </c>
      <c r="M112" s="73">
        <f t="shared" si="96"/>
        <v>0</v>
      </c>
      <c r="N112" s="73">
        <f t="shared" si="96"/>
        <v>0</v>
      </c>
      <c r="O112" s="73">
        <f t="shared" si="96"/>
        <v>0</v>
      </c>
      <c r="P112" s="73">
        <f t="shared" si="96"/>
        <v>0</v>
      </c>
      <c r="Q112" s="73">
        <f t="shared" si="96"/>
        <v>0</v>
      </c>
      <c r="R112" s="73">
        <f t="shared" si="96"/>
        <v>0</v>
      </c>
      <c r="S112" s="73">
        <f t="shared" si="96"/>
        <v>0</v>
      </c>
      <c r="T112" s="73">
        <f t="shared" si="96"/>
        <v>0</v>
      </c>
      <c r="U112" s="73">
        <f t="shared" si="96"/>
        <v>0</v>
      </c>
      <c r="V112" s="73">
        <f t="shared" si="96"/>
        <v>0</v>
      </c>
      <c r="W112" s="73">
        <f t="shared" si="96"/>
        <v>0</v>
      </c>
      <c r="X112" s="73">
        <f t="shared" si="96"/>
        <v>0</v>
      </c>
      <c r="Y112" s="73">
        <f t="shared" si="96"/>
        <v>0</v>
      </c>
      <c r="Z112" s="73">
        <f t="shared" si="96"/>
        <v>0</v>
      </c>
      <c r="AA112" s="73">
        <f t="shared" si="96"/>
        <v>0</v>
      </c>
      <c r="AB112" s="73">
        <f t="shared" si="96"/>
        <v>0</v>
      </c>
      <c r="AC112" s="73">
        <f t="shared" si="96"/>
        <v>0</v>
      </c>
      <c r="AD112" s="73">
        <f t="shared" si="96"/>
        <v>0</v>
      </c>
      <c r="AE112" s="73">
        <f t="shared" si="96"/>
        <v>0</v>
      </c>
      <c r="AF112" s="73">
        <f t="shared" si="96"/>
        <v>0</v>
      </c>
      <c r="AG112" s="73">
        <f t="shared" si="96"/>
        <v>0</v>
      </c>
      <c r="AH112" s="73">
        <f t="shared" si="96"/>
        <v>0</v>
      </c>
      <c r="AI112" s="73">
        <f t="shared" si="96"/>
        <v>0</v>
      </c>
      <c r="AJ112" s="73">
        <f t="shared" si="96"/>
        <v>0</v>
      </c>
      <c r="AK112" s="73">
        <f t="shared" si="96"/>
        <v>0</v>
      </c>
      <c r="AL112" s="73">
        <f t="shared" si="96"/>
        <v>0</v>
      </c>
      <c r="AM112" s="73">
        <f t="shared" si="96"/>
        <v>0</v>
      </c>
      <c r="AN112" s="73">
        <f t="shared" si="96"/>
        <v>0</v>
      </c>
      <c r="AO112" s="73">
        <f t="shared" si="96"/>
        <v>0</v>
      </c>
      <c r="AP112" s="73">
        <f t="shared" si="96"/>
        <v>0</v>
      </c>
      <c r="AQ112" s="73">
        <f t="shared" si="96"/>
        <v>0</v>
      </c>
      <c r="AR112" s="73">
        <f t="shared" si="96"/>
        <v>0</v>
      </c>
      <c r="AS112" s="73">
        <f t="shared" si="96"/>
        <v>0</v>
      </c>
      <c r="AT112" s="73">
        <f t="shared" si="96"/>
        <v>0</v>
      </c>
      <c r="AU112" s="73">
        <f t="shared" si="96"/>
        <v>0</v>
      </c>
      <c r="AV112" s="73">
        <f t="shared" si="96"/>
        <v>0</v>
      </c>
      <c r="AW112" s="73">
        <f t="shared" si="96"/>
        <v>0</v>
      </c>
      <c r="AX112" s="73">
        <f t="shared" si="96"/>
        <v>0</v>
      </c>
      <c r="AY112" s="73">
        <f t="shared" si="96"/>
        <v>0</v>
      </c>
      <c r="AZ112" s="73">
        <f t="shared" si="96"/>
        <v>0</v>
      </c>
      <c r="BA112" s="73">
        <f t="shared" si="96"/>
        <v>0</v>
      </c>
      <c r="BB112" s="73">
        <f t="shared" si="96"/>
        <v>0</v>
      </c>
      <c r="BC112" s="73">
        <f t="shared" si="96"/>
        <v>0</v>
      </c>
      <c r="BD112" s="73">
        <f t="shared" si="96"/>
        <v>0</v>
      </c>
      <c r="BE112" s="73">
        <f t="shared" si="96"/>
        <v>0</v>
      </c>
      <c r="BF112" s="73">
        <f t="shared" si="96"/>
        <v>0</v>
      </c>
      <c r="BG112" s="73">
        <f t="shared" si="96"/>
        <v>0</v>
      </c>
      <c r="BH112" s="73">
        <f t="shared" si="96"/>
        <v>0</v>
      </c>
      <c r="BI112" s="73">
        <f t="shared" si="96"/>
        <v>0</v>
      </c>
      <c r="BJ112" s="73">
        <f t="shared" si="96"/>
        <v>0</v>
      </c>
      <c r="BK112" s="73">
        <f t="shared" si="96"/>
        <v>0</v>
      </c>
      <c r="BL112" s="73">
        <f t="shared" si="96"/>
        <v>0</v>
      </c>
      <c r="BM112" s="73">
        <f t="shared" si="96"/>
        <v>0</v>
      </c>
      <c r="BN112" s="73">
        <f t="shared" si="96"/>
        <v>0</v>
      </c>
      <c r="BO112" s="73">
        <f t="shared" si="96"/>
        <v>0</v>
      </c>
      <c r="BP112" s="73">
        <f t="shared" ref="BP112:CX112" si="97">BP$91</f>
        <v>0</v>
      </c>
      <c r="BQ112" s="73">
        <f t="shared" si="97"/>
        <v>0</v>
      </c>
      <c r="BR112" s="73">
        <f t="shared" si="97"/>
        <v>0</v>
      </c>
      <c r="BS112" s="73">
        <f t="shared" si="97"/>
        <v>0</v>
      </c>
      <c r="BT112" s="73">
        <f t="shared" si="97"/>
        <v>0</v>
      </c>
      <c r="BU112" s="73">
        <f t="shared" si="97"/>
        <v>0</v>
      </c>
      <c r="BV112" s="73">
        <f t="shared" si="97"/>
        <v>0</v>
      </c>
      <c r="BW112" s="73">
        <f t="shared" si="97"/>
        <v>0</v>
      </c>
      <c r="BX112" s="73">
        <f t="shared" si="97"/>
        <v>0</v>
      </c>
      <c r="BY112" s="73">
        <f t="shared" si="97"/>
        <v>0</v>
      </c>
      <c r="BZ112" s="73">
        <f t="shared" si="97"/>
        <v>0</v>
      </c>
      <c r="CA112" s="73">
        <f t="shared" si="97"/>
        <v>0</v>
      </c>
      <c r="CB112" s="73">
        <f t="shared" si="97"/>
        <v>0</v>
      </c>
      <c r="CC112" s="73">
        <f t="shared" si="97"/>
        <v>0</v>
      </c>
      <c r="CD112" s="73">
        <f t="shared" si="97"/>
        <v>0</v>
      </c>
      <c r="CE112" s="73">
        <f t="shared" si="97"/>
        <v>0</v>
      </c>
      <c r="CF112" s="73">
        <f t="shared" si="97"/>
        <v>0</v>
      </c>
      <c r="CG112" s="73">
        <f t="shared" si="97"/>
        <v>0</v>
      </c>
      <c r="CH112" s="73">
        <f t="shared" si="97"/>
        <v>0</v>
      </c>
      <c r="CI112" s="73">
        <f t="shared" si="97"/>
        <v>0</v>
      </c>
      <c r="CJ112" s="73">
        <f t="shared" si="97"/>
        <v>0</v>
      </c>
      <c r="CK112" s="73">
        <f t="shared" si="97"/>
        <v>0</v>
      </c>
      <c r="CL112" s="73">
        <f t="shared" si="97"/>
        <v>0</v>
      </c>
      <c r="CM112" s="73">
        <f t="shared" si="97"/>
        <v>0</v>
      </c>
      <c r="CN112" s="73">
        <f t="shared" si="97"/>
        <v>0</v>
      </c>
      <c r="CO112" s="73">
        <f t="shared" si="97"/>
        <v>0</v>
      </c>
      <c r="CP112" s="73">
        <f t="shared" si="97"/>
        <v>0</v>
      </c>
      <c r="CQ112" s="73">
        <f t="shared" si="97"/>
        <v>0</v>
      </c>
      <c r="CR112" s="73">
        <f t="shared" si="97"/>
        <v>0</v>
      </c>
      <c r="CS112" s="73">
        <f t="shared" si="97"/>
        <v>0</v>
      </c>
      <c r="CT112" s="73">
        <f t="shared" si="97"/>
        <v>0</v>
      </c>
      <c r="CU112" s="73">
        <f t="shared" si="97"/>
        <v>0</v>
      </c>
      <c r="CV112" s="73">
        <f t="shared" si="97"/>
        <v>0</v>
      </c>
      <c r="CW112" s="73">
        <f t="shared" si="97"/>
        <v>0</v>
      </c>
      <c r="CX112" s="73">
        <f t="shared" si="97"/>
        <v>0</v>
      </c>
    </row>
    <row r="113" spans="1:16384" customFormat="1" x14ac:dyDescent="0.25">
      <c r="A113" s="81" t="s">
        <v>77</v>
      </c>
      <c r="B113" s="74"/>
      <c r="C113" s="74" t="str">
        <f t="shared" ref="C113:AH113" si="98">IF(ISNUMBER(outYear),+C111+C112-C110,"")</f>
        <v/>
      </c>
      <c r="D113" s="74" t="str">
        <f t="shared" si="98"/>
        <v/>
      </c>
      <c r="E113" s="74" t="str">
        <f t="shared" si="98"/>
        <v/>
      </c>
      <c r="F113" s="74" t="str">
        <f t="shared" si="98"/>
        <v/>
      </c>
      <c r="G113" s="74" t="str">
        <f t="shared" si="98"/>
        <v/>
      </c>
      <c r="H113" s="74" t="str">
        <f t="shared" si="98"/>
        <v/>
      </c>
      <c r="I113" s="74" t="str">
        <f t="shared" si="98"/>
        <v/>
      </c>
      <c r="J113" s="74" t="str">
        <f t="shared" si="98"/>
        <v/>
      </c>
      <c r="K113" s="74" t="str">
        <f t="shared" si="98"/>
        <v/>
      </c>
      <c r="L113" s="74" t="str">
        <f t="shared" si="98"/>
        <v/>
      </c>
      <c r="M113" s="74" t="str">
        <f t="shared" si="98"/>
        <v/>
      </c>
      <c r="N113" s="74" t="str">
        <f t="shared" si="98"/>
        <v/>
      </c>
      <c r="O113" s="74" t="str">
        <f t="shared" si="98"/>
        <v/>
      </c>
      <c r="P113" s="74" t="str">
        <f t="shared" si="98"/>
        <v/>
      </c>
      <c r="Q113" s="74" t="str">
        <f t="shared" si="98"/>
        <v/>
      </c>
      <c r="R113" s="74" t="str">
        <f t="shared" si="98"/>
        <v/>
      </c>
      <c r="S113" s="74" t="str">
        <f t="shared" si="98"/>
        <v/>
      </c>
      <c r="T113" s="74" t="str">
        <f t="shared" si="98"/>
        <v/>
      </c>
      <c r="U113" s="74" t="str">
        <f t="shared" si="98"/>
        <v/>
      </c>
      <c r="V113" s="74" t="str">
        <f t="shared" si="98"/>
        <v/>
      </c>
      <c r="W113" s="74" t="str">
        <f t="shared" si="98"/>
        <v/>
      </c>
      <c r="X113" s="74" t="str">
        <f t="shared" si="98"/>
        <v/>
      </c>
      <c r="Y113" s="74" t="str">
        <f t="shared" si="98"/>
        <v/>
      </c>
      <c r="Z113" s="74" t="str">
        <f t="shared" si="98"/>
        <v/>
      </c>
      <c r="AA113" s="74" t="str">
        <f t="shared" si="98"/>
        <v/>
      </c>
      <c r="AB113" s="74" t="str">
        <f t="shared" si="98"/>
        <v/>
      </c>
      <c r="AC113" s="74" t="str">
        <f t="shared" si="98"/>
        <v/>
      </c>
      <c r="AD113" s="74" t="str">
        <f t="shared" si="98"/>
        <v/>
      </c>
      <c r="AE113" s="74" t="str">
        <f t="shared" si="98"/>
        <v/>
      </c>
      <c r="AF113" s="74" t="str">
        <f t="shared" si="98"/>
        <v/>
      </c>
      <c r="AG113" s="74" t="str">
        <f t="shared" si="98"/>
        <v/>
      </c>
      <c r="AH113" s="74" t="str">
        <f t="shared" si="98"/>
        <v/>
      </c>
      <c r="AI113" s="74" t="str">
        <f t="shared" ref="AI113:BN113" si="99">IF(ISNUMBER(outYear),+AI111+AI112-AI110,"")</f>
        <v/>
      </c>
      <c r="AJ113" s="74" t="str">
        <f t="shared" si="99"/>
        <v/>
      </c>
      <c r="AK113" s="74" t="str">
        <f t="shared" si="99"/>
        <v/>
      </c>
      <c r="AL113" s="74" t="str">
        <f t="shared" si="99"/>
        <v/>
      </c>
      <c r="AM113" s="74" t="str">
        <f t="shared" si="99"/>
        <v/>
      </c>
      <c r="AN113" s="74" t="str">
        <f t="shared" si="99"/>
        <v/>
      </c>
      <c r="AO113" s="74" t="str">
        <f t="shared" si="99"/>
        <v/>
      </c>
      <c r="AP113" s="74" t="str">
        <f t="shared" si="99"/>
        <v/>
      </c>
      <c r="AQ113" s="74" t="str">
        <f t="shared" si="99"/>
        <v/>
      </c>
      <c r="AR113" s="74" t="str">
        <f t="shared" si="99"/>
        <v/>
      </c>
      <c r="AS113" s="74" t="str">
        <f t="shared" si="99"/>
        <v/>
      </c>
      <c r="AT113" s="74" t="str">
        <f t="shared" si="99"/>
        <v/>
      </c>
      <c r="AU113" s="74" t="str">
        <f t="shared" si="99"/>
        <v/>
      </c>
      <c r="AV113" s="74" t="str">
        <f t="shared" si="99"/>
        <v/>
      </c>
      <c r="AW113" s="74" t="str">
        <f t="shared" si="99"/>
        <v/>
      </c>
      <c r="AX113" s="74" t="str">
        <f t="shared" si="99"/>
        <v/>
      </c>
      <c r="AY113" s="74" t="str">
        <f t="shared" si="99"/>
        <v/>
      </c>
      <c r="AZ113" s="74" t="str">
        <f t="shared" si="99"/>
        <v/>
      </c>
      <c r="BA113" s="74" t="str">
        <f t="shared" si="99"/>
        <v/>
      </c>
      <c r="BB113" s="74" t="str">
        <f t="shared" si="99"/>
        <v/>
      </c>
      <c r="BC113" s="74" t="str">
        <f t="shared" si="99"/>
        <v/>
      </c>
      <c r="BD113" s="74" t="str">
        <f t="shared" si="99"/>
        <v/>
      </c>
      <c r="BE113" s="74" t="str">
        <f t="shared" si="99"/>
        <v/>
      </c>
      <c r="BF113" s="74" t="str">
        <f t="shared" si="99"/>
        <v/>
      </c>
      <c r="BG113" s="74" t="str">
        <f t="shared" si="99"/>
        <v/>
      </c>
      <c r="BH113" s="74" t="str">
        <f t="shared" si="99"/>
        <v/>
      </c>
      <c r="BI113" s="74" t="str">
        <f t="shared" si="99"/>
        <v/>
      </c>
      <c r="BJ113" s="74" t="str">
        <f t="shared" si="99"/>
        <v/>
      </c>
      <c r="BK113" s="74" t="str">
        <f t="shared" si="99"/>
        <v/>
      </c>
      <c r="BL113" s="74" t="str">
        <f t="shared" si="99"/>
        <v/>
      </c>
      <c r="BM113" s="74" t="str">
        <f t="shared" si="99"/>
        <v/>
      </c>
      <c r="BN113" s="74" t="str">
        <f t="shared" si="99"/>
        <v/>
      </c>
      <c r="BO113" s="74" t="str">
        <f t="shared" ref="BO113:CT113" si="100">IF(ISNUMBER(outYear),+BO111+BO112-BO110,"")</f>
        <v/>
      </c>
      <c r="BP113" s="74" t="str">
        <f t="shared" si="100"/>
        <v/>
      </c>
      <c r="BQ113" s="74" t="str">
        <f t="shared" si="100"/>
        <v/>
      </c>
      <c r="BR113" s="74" t="str">
        <f t="shared" si="100"/>
        <v/>
      </c>
      <c r="BS113" s="74" t="str">
        <f t="shared" si="100"/>
        <v/>
      </c>
      <c r="BT113" s="74" t="str">
        <f t="shared" si="100"/>
        <v/>
      </c>
      <c r="BU113" s="74" t="str">
        <f t="shared" si="100"/>
        <v/>
      </c>
      <c r="BV113" s="74" t="str">
        <f t="shared" si="100"/>
        <v/>
      </c>
      <c r="BW113" s="74" t="str">
        <f t="shared" si="100"/>
        <v/>
      </c>
      <c r="BX113" s="74" t="str">
        <f t="shared" si="100"/>
        <v/>
      </c>
      <c r="BY113" s="74" t="str">
        <f t="shared" si="100"/>
        <v/>
      </c>
      <c r="BZ113" s="74" t="str">
        <f t="shared" si="100"/>
        <v/>
      </c>
      <c r="CA113" s="74" t="str">
        <f t="shared" si="100"/>
        <v/>
      </c>
      <c r="CB113" s="74" t="str">
        <f t="shared" si="100"/>
        <v/>
      </c>
      <c r="CC113" s="74" t="str">
        <f t="shared" si="100"/>
        <v/>
      </c>
      <c r="CD113" s="74" t="str">
        <f t="shared" si="100"/>
        <v/>
      </c>
      <c r="CE113" s="74" t="str">
        <f t="shared" si="100"/>
        <v/>
      </c>
      <c r="CF113" s="74" t="str">
        <f t="shared" si="100"/>
        <v/>
      </c>
      <c r="CG113" s="74" t="str">
        <f t="shared" si="100"/>
        <v/>
      </c>
      <c r="CH113" s="74" t="str">
        <f t="shared" si="100"/>
        <v/>
      </c>
      <c r="CI113" s="74" t="str">
        <f t="shared" si="100"/>
        <v/>
      </c>
      <c r="CJ113" s="74" t="str">
        <f t="shared" si="100"/>
        <v/>
      </c>
      <c r="CK113" s="74" t="str">
        <f t="shared" si="100"/>
        <v/>
      </c>
      <c r="CL113" s="74" t="str">
        <f t="shared" si="100"/>
        <v/>
      </c>
      <c r="CM113" s="74" t="str">
        <f t="shared" si="100"/>
        <v/>
      </c>
      <c r="CN113" s="74" t="str">
        <f t="shared" si="100"/>
        <v/>
      </c>
      <c r="CO113" s="74" t="str">
        <f t="shared" si="100"/>
        <v/>
      </c>
      <c r="CP113" s="74" t="str">
        <f t="shared" si="100"/>
        <v/>
      </c>
      <c r="CQ113" s="74" t="str">
        <f t="shared" si="100"/>
        <v/>
      </c>
      <c r="CR113" s="74" t="str">
        <f t="shared" si="100"/>
        <v/>
      </c>
      <c r="CS113" s="74" t="str">
        <f t="shared" si="100"/>
        <v/>
      </c>
      <c r="CT113" s="74" t="str">
        <f t="shared" si="100"/>
        <v/>
      </c>
      <c r="CU113" s="74" t="str">
        <f t="shared" ref="CU113:CX113" si="101">IF(ISNUMBER(outYear),+CU111+CU112-CU110,"")</f>
        <v/>
      </c>
      <c r="CV113" s="74" t="str">
        <f t="shared" si="101"/>
        <v/>
      </c>
      <c r="CW113" s="74" t="str">
        <f t="shared" si="101"/>
        <v/>
      </c>
      <c r="CX113" s="74" t="str">
        <f t="shared" si="101"/>
        <v/>
      </c>
    </row>
    <row r="114" spans="1:16384" customFormat="1" x14ac:dyDescent="0.25">
      <c r="A114" s="9"/>
      <c r="B114" s="5"/>
    </row>
    <row r="115" spans="1:16384" customFormat="1" x14ac:dyDescent="0.25">
      <c r="A115" s="58" t="s">
        <v>153</v>
      </c>
      <c r="B115" s="70"/>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c r="BL115" s="71"/>
      <c r="BM115" s="71"/>
      <c r="BN115" s="71"/>
      <c r="BO115" s="71"/>
      <c r="BP115" s="71"/>
      <c r="BQ115" s="71"/>
      <c r="BR115" s="71"/>
      <c r="BS115" s="71"/>
      <c r="BT115" s="71"/>
      <c r="BU115" s="71"/>
      <c r="BV115" s="71"/>
      <c r="BW115" s="71"/>
      <c r="BX115" s="71"/>
      <c r="BY115" s="71"/>
      <c r="BZ115" s="71"/>
      <c r="CA115" s="71"/>
      <c r="CB115" s="71"/>
      <c r="CC115" s="71"/>
      <c r="CD115" s="71"/>
      <c r="CE115" s="71"/>
      <c r="CF115" s="71"/>
      <c r="CG115" s="71"/>
      <c r="CH115" s="71"/>
      <c r="CI115" s="71"/>
      <c r="CJ115" s="71"/>
      <c r="CK115" s="71"/>
      <c r="CL115" s="71"/>
      <c r="CM115" s="71"/>
      <c r="CN115" s="71"/>
      <c r="CO115" s="71"/>
      <c r="CP115" s="71"/>
      <c r="CQ115" s="71"/>
      <c r="CR115" s="71"/>
      <c r="CS115" s="71"/>
      <c r="CT115" s="71"/>
      <c r="CU115" s="71"/>
      <c r="CV115" s="71"/>
      <c r="CW115" s="71"/>
      <c r="CX115" s="67"/>
    </row>
    <row r="116" spans="1:16384" s="72" customFormat="1" x14ac:dyDescent="0.25">
      <c r="A116" s="53" t="s">
        <v>65</v>
      </c>
      <c r="B116" s="76"/>
      <c r="C116" s="77" t="str">
        <f>IF(ISNUMBER(outYear),IF(ibi_fed_amount_tax_fed="Yes",ibi_fed_amount,0)+IF(ibi_sta_amount_tax_fed="Yes",ibi_sta_amount,0)+IF(ibi_uti_amount_tax_fed="Yes",ibi_uti_amount,0)+IF(ibi_oth_amount_tax_fed="Yes",ibi_oth_amount,0)+IF(ibi_fed_percent_tax_fed="Yes",MIN(ibi_fed_percent/100*total_installed_cost,ibi_fed_percent_maxvalue),0)+IF(ibi_sta_percent_tax_fed="Yes",MIN(ibi_sta_percent/100*total_installed_cost,ibi_sta_percent_maxvalue),0)+IF(ibi_uti_percent_tax_fed="Yes",MIN(ibi_uti_percent/100*total_installed_cost,ibi_uti_percent_maxvalue),0)+IF(ibi_oth_percent_tax_fed="Yes",MIN(ibi_oth_percent/100*total_installed_cost,ibi_oth_percent_maxvalue),0)+IF(cbi_fed_tax_fed="Yes",B71,0)+IF(cbi_sta_tax_fed="Yes",B72,0)+IF(cbi_uti_tax_fed="Yes",B73,0)+IF(cbi_oth_tax_fed="Yes",B74,0)+IF(pbi_fed_tax_fed="Yes",C77,0)+IF(pbi_sta_tax_fed="Yes",C78,0)+IF(pbi_uti_tax_fed="Yes",C79,0)+IF(pbi_oth_tax_fed="Yes",C80,0),"")</f>
        <v/>
      </c>
      <c r="D116" s="77" t="str">
        <f t="shared" ref="D116:AI116" si="102">IF(ISNUMBER(outYear),IF(pbi_fed_tax_fed="Yes",D77,0)+IF(pbi_sta_tax_fed="Yes",D78,0)+IF(pbi_uti_tax_fed="Yes",D79,0)+IF(pbi_oth_tax_fed="Yes",D80,0),"")</f>
        <v/>
      </c>
      <c r="E116" s="77" t="str">
        <f t="shared" si="102"/>
        <v/>
      </c>
      <c r="F116" s="77" t="str">
        <f t="shared" si="102"/>
        <v/>
      </c>
      <c r="G116" s="77" t="str">
        <f t="shared" si="102"/>
        <v/>
      </c>
      <c r="H116" s="77" t="str">
        <f t="shared" si="102"/>
        <v/>
      </c>
      <c r="I116" s="77" t="str">
        <f t="shared" si="102"/>
        <v/>
      </c>
      <c r="J116" s="77" t="str">
        <f t="shared" si="102"/>
        <v/>
      </c>
      <c r="K116" s="77" t="str">
        <f t="shared" si="102"/>
        <v/>
      </c>
      <c r="L116" s="77" t="str">
        <f t="shared" si="102"/>
        <v/>
      </c>
      <c r="M116" s="77" t="str">
        <f t="shared" si="102"/>
        <v/>
      </c>
      <c r="N116" s="77" t="str">
        <f t="shared" si="102"/>
        <v/>
      </c>
      <c r="O116" s="77" t="str">
        <f t="shared" si="102"/>
        <v/>
      </c>
      <c r="P116" s="77" t="str">
        <f t="shared" si="102"/>
        <v/>
      </c>
      <c r="Q116" s="77" t="str">
        <f t="shared" si="102"/>
        <v/>
      </c>
      <c r="R116" s="77" t="str">
        <f t="shared" si="102"/>
        <v/>
      </c>
      <c r="S116" s="77" t="str">
        <f t="shared" si="102"/>
        <v/>
      </c>
      <c r="T116" s="77" t="str">
        <f t="shared" si="102"/>
        <v/>
      </c>
      <c r="U116" s="77" t="str">
        <f t="shared" si="102"/>
        <v/>
      </c>
      <c r="V116" s="77" t="str">
        <f t="shared" si="102"/>
        <v/>
      </c>
      <c r="W116" s="77" t="str">
        <f t="shared" si="102"/>
        <v/>
      </c>
      <c r="X116" s="77" t="str">
        <f t="shared" si="102"/>
        <v/>
      </c>
      <c r="Y116" s="77" t="str">
        <f t="shared" si="102"/>
        <v/>
      </c>
      <c r="Z116" s="77" t="str">
        <f t="shared" si="102"/>
        <v/>
      </c>
      <c r="AA116" s="77" t="str">
        <f t="shared" si="102"/>
        <v/>
      </c>
      <c r="AB116" s="77" t="str">
        <f t="shared" si="102"/>
        <v/>
      </c>
      <c r="AC116" s="77" t="str">
        <f t="shared" si="102"/>
        <v/>
      </c>
      <c r="AD116" s="77" t="str">
        <f t="shared" si="102"/>
        <v/>
      </c>
      <c r="AE116" s="77" t="str">
        <f t="shared" si="102"/>
        <v/>
      </c>
      <c r="AF116" s="77" t="str">
        <f t="shared" si="102"/>
        <v/>
      </c>
      <c r="AG116" s="77" t="str">
        <f t="shared" si="102"/>
        <v/>
      </c>
      <c r="AH116" s="77" t="str">
        <f t="shared" si="102"/>
        <v/>
      </c>
      <c r="AI116" s="77" t="str">
        <f t="shared" si="102"/>
        <v/>
      </c>
      <c r="AJ116" s="77" t="str">
        <f t="shared" ref="AJ116:BO116" si="103">IF(ISNUMBER(outYear),IF(pbi_fed_tax_fed="Yes",AJ77,0)+IF(pbi_sta_tax_fed="Yes",AJ78,0)+IF(pbi_uti_tax_fed="Yes",AJ79,0)+IF(pbi_oth_tax_fed="Yes",AJ80,0),"")</f>
        <v/>
      </c>
      <c r="AK116" s="77" t="str">
        <f t="shared" si="103"/>
        <v/>
      </c>
      <c r="AL116" s="77" t="str">
        <f t="shared" si="103"/>
        <v/>
      </c>
      <c r="AM116" s="77" t="str">
        <f t="shared" si="103"/>
        <v/>
      </c>
      <c r="AN116" s="77" t="str">
        <f t="shared" si="103"/>
        <v/>
      </c>
      <c r="AO116" s="77" t="str">
        <f t="shared" si="103"/>
        <v/>
      </c>
      <c r="AP116" s="77" t="str">
        <f t="shared" si="103"/>
        <v/>
      </c>
      <c r="AQ116" s="77" t="str">
        <f t="shared" si="103"/>
        <v/>
      </c>
      <c r="AR116" s="77" t="str">
        <f t="shared" si="103"/>
        <v/>
      </c>
      <c r="AS116" s="77" t="str">
        <f t="shared" si="103"/>
        <v/>
      </c>
      <c r="AT116" s="77" t="str">
        <f t="shared" si="103"/>
        <v/>
      </c>
      <c r="AU116" s="77" t="str">
        <f t="shared" si="103"/>
        <v/>
      </c>
      <c r="AV116" s="77" t="str">
        <f t="shared" si="103"/>
        <v/>
      </c>
      <c r="AW116" s="77" t="str">
        <f t="shared" si="103"/>
        <v/>
      </c>
      <c r="AX116" s="77" t="str">
        <f t="shared" si="103"/>
        <v/>
      </c>
      <c r="AY116" s="77" t="str">
        <f t="shared" si="103"/>
        <v/>
      </c>
      <c r="AZ116" s="77" t="str">
        <f t="shared" si="103"/>
        <v/>
      </c>
      <c r="BA116" s="77" t="str">
        <f t="shared" si="103"/>
        <v/>
      </c>
      <c r="BB116" s="77" t="str">
        <f t="shared" si="103"/>
        <v/>
      </c>
      <c r="BC116" s="77" t="str">
        <f t="shared" si="103"/>
        <v/>
      </c>
      <c r="BD116" s="77" t="str">
        <f t="shared" si="103"/>
        <v/>
      </c>
      <c r="BE116" s="77" t="str">
        <f t="shared" si="103"/>
        <v/>
      </c>
      <c r="BF116" s="77" t="str">
        <f t="shared" si="103"/>
        <v/>
      </c>
      <c r="BG116" s="77" t="str">
        <f t="shared" si="103"/>
        <v/>
      </c>
      <c r="BH116" s="77" t="str">
        <f t="shared" si="103"/>
        <v/>
      </c>
      <c r="BI116" s="77" t="str">
        <f t="shared" si="103"/>
        <v/>
      </c>
      <c r="BJ116" s="77" t="str">
        <f t="shared" si="103"/>
        <v/>
      </c>
      <c r="BK116" s="77" t="str">
        <f t="shared" si="103"/>
        <v/>
      </c>
      <c r="BL116" s="77" t="str">
        <f t="shared" si="103"/>
        <v/>
      </c>
      <c r="BM116" s="77" t="str">
        <f t="shared" si="103"/>
        <v/>
      </c>
      <c r="BN116" s="77" t="str">
        <f t="shared" si="103"/>
        <v/>
      </c>
      <c r="BO116" s="77" t="str">
        <f t="shared" si="103"/>
        <v/>
      </c>
      <c r="BP116" s="77" t="str">
        <f t="shared" ref="BP116:CX116" si="104">IF(ISNUMBER(outYear),IF(pbi_fed_tax_fed="Yes",BP77,0)+IF(pbi_sta_tax_fed="Yes",BP78,0)+IF(pbi_uti_tax_fed="Yes",BP79,0)+IF(pbi_oth_tax_fed="Yes",BP80,0),"")</f>
        <v/>
      </c>
      <c r="BQ116" s="77" t="str">
        <f t="shared" si="104"/>
        <v/>
      </c>
      <c r="BR116" s="77" t="str">
        <f t="shared" si="104"/>
        <v/>
      </c>
      <c r="BS116" s="77" t="str">
        <f t="shared" si="104"/>
        <v/>
      </c>
      <c r="BT116" s="77" t="str">
        <f t="shared" si="104"/>
        <v/>
      </c>
      <c r="BU116" s="77" t="str">
        <f t="shared" si="104"/>
        <v/>
      </c>
      <c r="BV116" s="77" t="str">
        <f t="shared" si="104"/>
        <v/>
      </c>
      <c r="BW116" s="77" t="str">
        <f t="shared" si="104"/>
        <v/>
      </c>
      <c r="BX116" s="77" t="str">
        <f t="shared" si="104"/>
        <v/>
      </c>
      <c r="BY116" s="77" t="str">
        <f t="shared" si="104"/>
        <v/>
      </c>
      <c r="BZ116" s="77" t="str">
        <f t="shared" si="104"/>
        <v/>
      </c>
      <c r="CA116" s="77" t="str">
        <f t="shared" si="104"/>
        <v/>
      </c>
      <c r="CB116" s="77" t="str">
        <f t="shared" si="104"/>
        <v/>
      </c>
      <c r="CC116" s="77" t="str">
        <f t="shared" si="104"/>
        <v/>
      </c>
      <c r="CD116" s="77" t="str">
        <f t="shared" si="104"/>
        <v/>
      </c>
      <c r="CE116" s="77" t="str">
        <f t="shared" si="104"/>
        <v/>
      </c>
      <c r="CF116" s="77" t="str">
        <f t="shared" si="104"/>
        <v/>
      </c>
      <c r="CG116" s="77" t="str">
        <f t="shared" si="104"/>
        <v/>
      </c>
      <c r="CH116" s="77" t="str">
        <f t="shared" si="104"/>
        <v/>
      </c>
      <c r="CI116" s="77" t="str">
        <f t="shared" si="104"/>
        <v/>
      </c>
      <c r="CJ116" s="77" t="str">
        <f t="shared" si="104"/>
        <v/>
      </c>
      <c r="CK116" s="77" t="str">
        <f t="shared" si="104"/>
        <v/>
      </c>
      <c r="CL116" s="77" t="str">
        <f t="shared" si="104"/>
        <v/>
      </c>
      <c r="CM116" s="77" t="str">
        <f t="shared" si="104"/>
        <v/>
      </c>
      <c r="CN116" s="77" t="str">
        <f t="shared" si="104"/>
        <v/>
      </c>
      <c r="CO116" s="77" t="str">
        <f t="shared" si="104"/>
        <v/>
      </c>
      <c r="CP116" s="77" t="str">
        <f t="shared" si="104"/>
        <v/>
      </c>
      <c r="CQ116" s="77" t="str">
        <f t="shared" si="104"/>
        <v/>
      </c>
      <c r="CR116" s="77" t="str">
        <f t="shared" si="104"/>
        <v/>
      </c>
      <c r="CS116" s="77" t="str">
        <f t="shared" si="104"/>
        <v/>
      </c>
      <c r="CT116" s="77" t="str">
        <f t="shared" si="104"/>
        <v/>
      </c>
      <c r="CU116" s="77" t="str">
        <f t="shared" si="104"/>
        <v/>
      </c>
      <c r="CV116" s="77" t="str">
        <f t="shared" si="104"/>
        <v/>
      </c>
      <c r="CW116" s="77" t="str">
        <f t="shared" si="104"/>
        <v/>
      </c>
      <c r="CX116" s="77" t="str">
        <f t="shared" si="104"/>
        <v/>
      </c>
      <c r="CY116" s="77" t="str">
        <f t="shared" ref="CY116:FJ116" si="105">IF(ISNUMBER(outYear),CY69+CY75+CY81+CY113,"")</f>
        <v/>
      </c>
      <c r="CZ116" s="77" t="str">
        <f t="shared" si="105"/>
        <v/>
      </c>
      <c r="DA116" s="77" t="str">
        <f t="shared" si="105"/>
        <v/>
      </c>
      <c r="DB116" s="77" t="str">
        <f t="shared" si="105"/>
        <v/>
      </c>
      <c r="DC116" s="77" t="str">
        <f t="shared" si="105"/>
        <v/>
      </c>
      <c r="DD116" s="77" t="str">
        <f t="shared" si="105"/>
        <v/>
      </c>
      <c r="DE116" s="77" t="str">
        <f t="shared" si="105"/>
        <v/>
      </c>
      <c r="DF116" s="77" t="str">
        <f t="shared" si="105"/>
        <v/>
      </c>
      <c r="DG116" s="77" t="str">
        <f t="shared" si="105"/>
        <v/>
      </c>
      <c r="DH116" s="77" t="str">
        <f t="shared" si="105"/>
        <v/>
      </c>
      <c r="DI116" s="77" t="str">
        <f t="shared" si="105"/>
        <v/>
      </c>
      <c r="DJ116" s="77" t="str">
        <f t="shared" si="105"/>
        <v/>
      </c>
      <c r="DK116" s="77" t="str">
        <f t="shared" si="105"/>
        <v/>
      </c>
      <c r="DL116" s="77" t="str">
        <f t="shared" si="105"/>
        <v/>
      </c>
      <c r="DM116" s="77" t="str">
        <f t="shared" si="105"/>
        <v/>
      </c>
      <c r="DN116" s="77" t="str">
        <f t="shared" si="105"/>
        <v/>
      </c>
      <c r="DO116" s="77" t="str">
        <f t="shared" si="105"/>
        <v/>
      </c>
      <c r="DP116" s="77" t="str">
        <f t="shared" si="105"/>
        <v/>
      </c>
      <c r="DQ116" s="77" t="str">
        <f t="shared" si="105"/>
        <v/>
      </c>
      <c r="DR116" s="77" t="str">
        <f t="shared" si="105"/>
        <v/>
      </c>
      <c r="DS116" s="77" t="str">
        <f t="shared" si="105"/>
        <v/>
      </c>
      <c r="DT116" s="77" t="str">
        <f t="shared" si="105"/>
        <v/>
      </c>
      <c r="DU116" s="77" t="str">
        <f t="shared" si="105"/>
        <v/>
      </c>
      <c r="DV116" s="77" t="str">
        <f t="shared" si="105"/>
        <v/>
      </c>
      <c r="DW116" s="77" t="str">
        <f t="shared" si="105"/>
        <v/>
      </c>
      <c r="DX116" s="77" t="str">
        <f t="shared" si="105"/>
        <v/>
      </c>
      <c r="DY116" s="77" t="str">
        <f t="shared" si="105"/>
        <v/>
      </c>
      <c r="DZ116" s="77" t="str">
        <f t="shared" si="105"/>
        <v/>
      </c>
      <c r="EA116" s="77" t="str">
        <f t="shared" si="105"/>
        <v/>
      </c>
      <c r="EB116" s="77" t="str">
        <f t="shared" si="105"/>
        <v/>
      </c>
      <c r="EC116" s="77" t="str">
        <f t="shared" si="105"/>
        <v/>
      </c>
      <c r="ED116" s="77" t="str">
        <f t="shared" si="105"/>
        <v/>
      </c>
      <c r="EE116" s="77" t="str">
        <f t="shared" si="105"/>
        <v/>
      </c>
      <c r="EF116" s="77" t="str">
        <f t="shared" si="105"/>
        <v/>
      </c>
      <c r="EG116" s="77" t="str">
        <f t="shared" si="105"/>
        <v/>
      </c>
      <c r="EH116" s="77" t="str">
        <f t="shared" si="105"/>
        <v/>
      </c>
      <c r="EI116" s="77" t="str">
        <f t="shared" si="105"/>
        <v/>
      </c>
      <c r="EJ116" s="77" t="str">
        <f t="shared" si="105"/>
        <v/>
      </c>
      <c r="EK116" s="77" t="str">
        <f t="shared" si="105"/>
        <v/>
      </c>
      <c r="EL116" s="77" t="str">
        <f t="shared" si="105"/>
        <v/>
      </c>
      <c r="EM116" s="77" t="str">
        <f t="shared" si="105"/>
        <v/>
      </c>
      <c r="EN116" s="77" t="str">
        <f t="shared" si="105"/>
        <v/>
      </c>
      <c r="EO116" s="77" t="str">
        <f t="shared" si="105"/>
        <v/>
      </c>
      <c r="EP116" s="77" t="str">
        <f t="shared" si="105"/>
        <v/>
      </c>
      <c r="EQ116" s="77" t="str">
        <f t="shared" si="105"/>
        <v/>
      </c>
      <c r="ER116" s="77" t="str">
        <f t="shared" si="105"/>
        <v/>
      </c>
      <c r="ES116" s="77" t="str">
        <f t="shared" si="105"/>
        <v/>
      </c>
      <c r="ET116" s="77" t="str">
        <f t="shared" si="105"/>
        <v/>
      </c>
      <c r="EU116" s="77" t="str">
        <f t="shared" si="105"/>
        <v/>
      </c>
      <c r="EV116" s="77" t="str">
        <f t="shared" si="105"/>
        <v/>
      </c>
      <c r="EW116" s="77" t="str">
        <f t="shared" si="105"/>
        <v/>
      </c>
      <c r="EX116" s="77" t="str">
        <f t="shared" si="105"/>
        <v/>
      </c>
      <c r="EY116" s="77" t="str">
        <f t="shared" si="105"/>
        <v/>
      </c>
      <c r="EZ116" s="77" t="str">
        <f t="shared" si="105"/>
        <v/>
      </c>
      <c r="FA116" s="77" t="str">
        <f t="shared" si="105"/>
        <v/>
      </c>
      <c r="FB116" s="77" t="str">
        <f t="shared" si="105"/>
        <v/>
      </c>
      <c r="FC116" s="77" t="str">
        <f t="shared" si="105"/>
        <v/>
      </c>
      <c r="FD116" s="77" t="str">
        <f t="shared" si="105"/>
        <v/>
      </c>
      <c r="FE116" s="77" t="str">
        <f t="shared" si="105"/>
        <v/>
      </c>
      <c r="FF116" s="77" t="str">
        <f t="shared" si="105"/>
        <v/>
      </c>
      <c r="FG116" s="77" t="str">
        <f t="shared" si="105"/>
        <v/>
      </c>
      <c r="FH116" s="77" t="str">
        <f t="shared" si="105"/>
        <v/>
      </c>
      <c r="FI116" s="77" t="str">
        <f t="shared" si="105"/>
        <v/>
      </c>
      <c r="FJ116" s="77" t="str">
        <f t="shared" si="105"/>
        <v/>
      </c>
      <c r="FK116" s="77" t="str">
        <f t="shared" ref="FK116:HV116" si="106">IF(ISNUMBER(outYear),FK69+FK75+FK81+FK113,"")</f>
        <v/>
      </c>
      <c r="FL116" s="77" t="str">
        <f t="shared" si="106"/>
        <v/>
      </c>
      <c r="FM116" s="77" t="str">
        <f t="shared" si="106"/>
        <v/>
      </c>
      <c r="FN116" s="77" t="str">
        <f t="shared" si="106"/>
        <v/>
      </c>
      <c r="FO116" s="77" t="str">
        <f t="shared" si="106"/>
        <v/>
      </c>
      <c r="FP116" s="77" t="str">
        <f t="shared" si="106"/>
        <v/>
      </c>
      <c r="FQ116" s="77" t="str">
        <f t="shared" si="106"/>
        <v/>
      </c>
      <c r="FR116" s="77" t="str">
        <f t="shared" si="106"/>
        <v/>
      </c>
      <c r="FS116" s="77" t="str">
        <f t="shared" si="106"/>
        <v/>
      </c>
      <c r="FT116" s="77" t="str">
        <f t="shared" si="106"/>
        <v/>
      </c>
      <c r="FU116" s="77" t="str">
        <f t="shared" si="106"/>
        <v/>
      </c>
      <c r="FV116" s="77" t="str">
        <f t="shared" si="106"/>
        <v/>
      </c>
      <c r="FW116" s="77" t="str">
        <f t="shared" si="106"/>
        <v/>
      </c>
      <c r="FX116" s="77" t="str">
        <f t="shared" si="106"/>
        <v/>
      </c>
      <c r="FY116" s="77" t="str">
        <f t="shared" si="106"/>
        <v/>
      </c>
      <c r="FZ116" s="77" t="str">
        <f t="shared" si="106"/>
        <v/>
      </c>
      <c r="GA116" s="77" t="str">
        <f t="shared" si="106"/>
        <v/>
      </c>
      <c r="GB116" s="77" t="str">
        <f t="shared" si="106"/>
        <v/>
      </c>
      <c r="GC116" s="77" t="str">
        <f t="shared" si="106"/>
        <v/>
      </c>
      <c r="GD116" s="77" t="str">
        <f t="shared" si="106"/>
        <v/>
      </c>
      <c r="GE116" s="77" t="str">
        <f t="shared" si="106"/>
        <v/>
      </c>
      <c r="GF116" s="77" t="str">
        <f t="shared" si="106"/>
        <v/>
      </c>
      <c r="GG116" s="77" t="str">
        <f t="shared" si="106"/>
        <v/>
      </c>
      <c r="GH116" s="77" t="str">
        <f t="shared" si="106"/>
        <v/>
      </c>
      <c r="GI116" s="77" t="str">
        <f t="shared" si="106"/>
        <v/>
      </c>
      <c r="GJ116" s="77" t="str">
        <f t="shared" si="106"/>
        <v/>
      </c>
      <c r="GK116" s="77" t="str">
        <f t="shared" si="106"/>
        <v/>
      </c>
      <c r="GL116" s="77" t="str">
        <f t="shared" si="106"/>
        <v/>
      </c>
      <c r="GM116" s="77" t="str">
        <f t="shared" si="106"/>
        <v/>
      </c>
      <c r="GN116" s="77" t="str">
        <f t="shared" si="106"/>
        <v/>
      </c>
      <c r="GO116" s="77" t="str">
        <f t="shared" si="106"/>
        <v/>
      </c>
      <c r="GP116" s="77" t="str">
        <f t="shared" si="106"/>
        <v/>
      </c>
      <c r="GQ116" s="77" t="str">
        <f t="shared" si="106"/>
        <v/>
      </c>
      <c r="GR116" s="77" t="str">
        <f t="shared" si="106"/>
        <v/>
      </c>
      <c r="GS116" s="77" t="str">
        <f t="shared" si="106"/>
        <v/>
      </c>
      <c r="GT116" s="77" t="str">
        <f t="shared" si="106"/>
        <v/>
      </c>
      <c r="GU116" s="77" t="str">
        <f t="shared" si="106"/>
        <v/>
      </c>
      <c r="GV116" s="77" t="str">
        <f t="shared" si="106"/>
        <v/>
      </c>
      <c r="GW116" s="77" t="str">
        <f t="shared" si="106"/>
        <v/>
      </c>
      <c r="GX116" s="77" t="str">
        <f t="shared" si="106"/>
        <v/>
      </c>
      <c r="GY116" s="77" t="str">
        <f t="shared" si="106"/>
        <v/>
      </c>
      <c r="GZ116" s="77" t="str">
        <f t="shared" si="106"/>
        <v/>
      </c>
      <c r="HA116" s="77" t="str">
        <f t="shared" si="106"/>
        <v/>
      </c>
      <c r="HB116" s="77" t="str">
        <f t="shared" si="106"/>
        <v/>
      </c>
      <c r="HC116" s="77" t="str">
        <f t="shared" si="106"/>
        <v/>
      </c>
      <c r="HD116" s="77" t="str">
        <f t="shared" si="106"/>
        <v/>
      </c>
      <c r="HE116" s="77" t="str">
        <f t="shared" si="106"/>
        <v/>
      </c>
      <c r="HF116" s="77" t="str">
        <f t="shared" si="106"/>
        <v/>
      </c>
      <c r="HG116" s="77" t="str">
        <f t="shared" si="106"/>
        <v/>
      </c>
      <c r="HH116" s="77" t="str">
        <f t="shared" si="106"/>
        <v/>
      </c>
      <c r="HI116" s="77" t="str">
        <f t="shared" si="106"/>
        <v/>
      </c>
      <c r="HJ116" s="77" t="str">
        <f t="shared" si="106"/>
        <v/>
      </c>
      <c r="HK116" s="77" t="str">
        <f t="shared" si="106"/>
        <v/>
      </c>
      <c r="HL116" s="77" t="str">
        <f t="shared" si="106"/>
        <v/>
      </c>
      <c r="HM116" s="77" t="str">
        <f t="shared" si="106"/>
        <v/>
      </c>
      <c r="HN116" s="77" t="str">
        <f t="shared" si="106"/>
        <v/>
      </c>
      <c r="HO116" s="77" t="str">
        <f t="shared" si="106"/>
        <v/>
      </c>
      <c r="HP116" s="77" t="str">
        <f t="shared" si="106"/>
        <v/>
      </c>
      <c r="HQ116" s="77" t="str">
        <f t="shared" si="106"/>
        <v/>
      </c>
      <c r="HR116" s="77" t="str">
        <f t="shared" si="106"/>
        <v/>
      </c>
      <c r="HS116" s="77" t="str">
        <f t="shared" si="106"/>
        <v/>
      </c>
      <c r="HT116" s="77" t="str">
        <f t="shared" si="106"/>
        <v/>
      </c>
      <c r="HU116" s="77" t="str">
        <f t="shared" si="106"/>
        <v/>
      </c>
      <c r="HV116" s="77" t="str">
        <f t="shared" si="106"/>
        <v/>
      </c>
      <c r="HW116" s="77" t="str">
        <f t="shared" ref="HW116:KH116" si="107">IF(ISNUMBER(outYear),HW69+HW75+HW81+HW113,"")</f>
        <v/>
      </c>
      <c r="HX116" s="77" t="str">
        <f t="shared" si="107"/>
        <v/>
      </c>
      <c r="HY116" s="77" t="str">
        <f t="shared" si="107"/>
        <v/>
      </c>
      <c r="HZ116" s="77" t="str">
        <f t="shared" si="107"/>
        <v/>
      </c>
      <c r="IA116" s="77" t="str">
        <f t="shared" si="107"/>
        <v/>
      </c>
      <c r="IB116" s="77" t="str">
        <f t="shared" si="107"/>
        <v/>
      </c>
      <c r="IC116" s="77" t="str">
        <f t="shared" si="107"/>
        <v/>
      </c>
      <c r="ID116" s="77" t="str">
        <f t="shared" si="107"/>
        <v/>
      </c>
      <c r="IE116" s="77" t="str">
        <f t="shared" si="107"/>
        <v/>
      </c>
      <c r="IF116" s="77" t="str">
        <f t="shared" si="107"/>
        <v/>
      </c>
      <c r="IG116" s="77" t="str">
        <f t="shared" si="107"/>
        <v/>
      </c>
      <c r="IH116" s="77" t="str">
        <f t="shared" si="107"/>
        <v/>
      </c>
      <c r="II116" s="77" t="str">
        <f t="shared" si="107"/>
        <v/>
      </c>
      <c r="IJ116" s="77" t="str">
        <f t="shared" si="107"/>
        <v/>
      </c>
      <c r="IK116" s="77" t="str">
        <f t="shared" si="107"/>
        <v/>
      </c>
      <c r="IL116" s="77" t="str">
        <f t="shared" si="107"/>
        <v/>
      </c>
      <c r="IM116" s="77" t="str">
        <f t="shared" si="107"/>
        <v/>
      </c>
      <c r="IN116" s="77" t="str">
        <f t="shared" si="107"/>
        <v/>
      </c>
      <c r="IO116" s="77" t="str">
        <f t="shared" si="107"/>
        <v/>
      </c>
      <c r="IP116" s="77" t="str">
        <f t="shared" si="107"/>
        <v/>
      </c>
      <c r="IQ116" s="77" t="str">
        <f t="shared" si="107"/>
        <v/>
      </c>
      <c r="IR116" s="77" t="str">
        <f t="shared" si="107"/>
        <v/>
      </c>
      <c r="IS116" s="77" t="str">
        <f t="shared" si="107"/>
        <v/>
      </c>
      <c r="IT116" s="77" t="str">
        <f t="shared" si="107"/>
        <v/>
      </c>
      <c r="IU116" s="77" t="str">
        <f t="shared" si="107"/>
        <v/>
      </c>
      <c r="IV116" s="77" t="str">
        <f t="shared" si="107"/>
        <v/>
      </c>
      <c r="IW116" s="77" t="str">
        <f t="shared" si="107"/>
        <v/>
      </c>
      <c r="IX116" s="77" t="str">
        <f t="shared" si="107"/>
        <v/>
      </c>
      <c r="IY116" s="77" t="str">
        <f t="shared" si="107"/>
        <v/>
      </c>
      <c r="IZ116" s="77" t="str">
        <f t="shared" si="107"/>
        <v/>
      </c>
      <c r="JA116" s="77" t="str">
        <f t="shared" si="107"/>
        <v/>
      </c>
      <c r="JB116" s="77" t="str">
        <f t="shared" si="107"/>
        <v/>
      </c>
      <c r="JC116" s="77" t="str">
        <f t="shared" si="107"/>
        <v/>
      </c>
      <c r="JD116" s="77" t="str">
        <f t="shared" si="107"/>
        <v/>
      </c>
      <c r="JE116" s="77" t="str">
        <f t="shared" si="107"/>
        <v/>
      </c>
      <c r="JF116" s="77" t="str">
        <f t="shared" si="107"/>
        <v/>
      </c>
      <c r="JG116" s="77" t="str">
        <f t="shared" si="107"/>
        <v/>
      </c>
      <c r="JH116" s="77" t="str">
        <f t="shared" si="107"/>
        <v/>
      </c>
      <c r="JI116" s="77" t="str">
        <f t="shared" si="107"/>
        <v/>
      </c>
      <c r="JJ116" s="77" t="str">
        <f t="shared" si="107"/>
        <v/>
      </c>
      <c r="JK116" s="77" t="str">
        <f t="shared" si="107"/>
        <v/>
      </c>
      <c r="JL116" s="77" t="str">
        <f t="shared" si="107"/>
        <v/>
      </c>
      <c r="JM116" s="77" t="str">
        <f t="shared" si="107"/>
        <v/>
      </c>
      <c r="JN116" s="77" t="str">
        <f t="shared" si="107"/>
        <v/>
      </c>
      <c r="JO116" s="77" t="str">
        <f t="shared" si="107"/>
        <v/>
      </c>
      <c r="JP116" s="77" t="str">
        <f t="shared" si="107"/>
        <v/>
      </c>
      <c r="JQ116" s="77" t="str">
        <f t="shared" si="107"/>
        <v/>
      </c>
      <c r="JR116" s="77" t="str">
        <f t="shared" si="107"/>
        <v/>
      </c>
      <c r="JS116" s="77" t="str">
        <f t="shared" si="107"/>
        <v/>
      </c>
      <c r="JT116" s="77" t="str">
        <f t="shared" si="107"/>
        <v/>
      </c>
      <c r="JU116" s="77" t="str">
        <f t="shared" si="107"/>
        <v/>
      </c>
      <c r="JV116" s="77" t="str">
        <f t="shared" si="107"/>
        <v/>
      </c>
      <c r="JW116" s="77" t="str">
        <f t="shared" si="107"/>
        <v/>
      </c>
      <c r="JX116" s="77" t="str">
        <f t="shared" si="107"/>
        <v/>
      </c>
      <c r="JY116" s="77" t="str">
        <f t="shared" si="107"/>
        <v/>
      </c>
      <c r="JZ116" s="77" t="str">
        <f t="shared" si="107"/>
        <v/>
      </c>
      <c r="KA116" s="77" t="str">
        <f t="shared" si="107"/>
        <v/>
      </c>
      <c r="KB116" s="77" t="str">
        <f t="shared" si="107"/>
        <v/>
      </c>
      <c r="KC116" s="77" t="str">
        <f t="shared" si="107"/>
        <v/>
      </c>
      <c r="KD116" s="77" t="str">
        <f t="shared" si="107"/>
        <v/>
      </c>
      <c r="KE116" s="77" t="str">
        <f t="shared" si="107"/>
        <v/>
      </c>
      <c r="KF116" s="77" t="str">
        <f t="shared" si="107"/>
        <v/>
      </c>
      <c r="KG116" s="77" t="str">
        <f t="shared" si="107"/>
        <v/>
      </c>
      <c r="KH116" s="77" t="str">
        <f t="shared" si="107"/>
        <v/>
      </c>
      <c r="KI116" s="77" t="str">
        <f t="shared" ref="KI116:MT116" si="108">IF(ISNUMBER(outYear),KI69+KI75+KI81+KI113,"")</f>
        <v/>
      </c>
      <c r="KJ116" s="77" t="str">
        <f t="shared" si="108"/>
        <v/>
      </c>
      <c r="KK116" s="77" t="str">
        <f t="shared" si="108"/>
        <v/>
      </c>
      <c r="KL116" s="77" t="str">
        <f t="shared" si="108"/>
        <v/>
      </c>
      <c r="KM116" s="77" t="str">
        <f t="shared" si="108"/>
        <v/>
      </c>
      <c r="KN116" s="77" t="str">
        <f t="shared" si="108"/>
        <v/>
      </c>
      <c r="KO116" s="77" t="str">
        <f t="shared" si="108"/>
        <v/>
      </c>
      <c r="KP116" s="77" t="str">
        <f t="shared" si="108"/>
        <v/>
      </c>
      <c r="KQ116" s="77" t="str">
        <f t="shared" si="108"/>
        <v/>
      </c>
      <c r="KR116" s="77" t="str">
        <f t="shared" si="108"/>
        <v/>
      </c>
      <c r="KS116" s="77" t="str">
        <f t="shared" si="108"/>
        <v/>
      </c>
      <c r="KT116" s="77" t="str">
        <f t="shared" si="108"/>
        <v/>
      </c>
      <c r="KU116" s="77" t="str">
        <f t="shared" si="108"/>
        <v/>
      </c>
      <c r="KV116" s="77" t="str">
        <f t="shared" si="108"/>
        <v/>
      </c>
      <c r="KW116" s="77" t="str">
        <f t="shared" si="108"/>
        <v/>
      </c>
      <c r="KX116" s="77" t="str">
        <f t="shared" si="108"/>
        <v/>
      </c>
      <c r="KY116" s="77" t="str">
        <f t="shared" si="108"/>
        <v/>
      </c>
      <c r="KZ116" s="77" t="str">
        <f t="shared" si="108"/>
        <v/>
      </c>
      <c r="LA116" s="77" t="str">
        <f t="shared" si="108"/>
        <v/>
      </c>
      <c r="LB116" s="77" t="str">
        <f t="shared" si="108"/>
        <v/>
      </c>
      <c r="LC116" s="77" t="str">
        <f t="shared" si="108"/>
        <v/>
      </c>
      <c r="LD116" s="77" t="str">
        <f t="shared" si="108"/>
        <v/>
      </c>
      <c r="LE116" s="77" t="str">
        <f t="shared" si="108"/>
        <v/>
      </c>
      <c r="LF116" s="77" t="str">
        <f t="shared" si="108"/>
        <v/>
      </c>
      <c r="LG116" s="77" t="str">
        <f t="shared" si="108"/>
        <v/>
      </c>
      <c r="LH116" s="77" t="str">
        <f t="shared" si="108"/>
        <v/>
      </c>
      <c r="LI116" s="77" t="str">
        <f t="shared" si="108"/>
        <v/>
      </c>
      <c r="LJ116" s="77" t="str">
        <f t="shared" si="108"/>
        <v/>
      </c>
      <c r="LK116" s="77" t="str">
        <f t="shared" si="108"/>
        <v/>
      </c>
      <c r="LL116" s="77" t="str">
        <f t="shared" si="108"/>
        <v/>
      </c>
      <c r="LM116" s="77" t="str">
        <f t="shared" si="108"/>
        <v/>
      </c>
      <c r="LN116" s="77" t="str">
        <f t="shared" si="108"/>
        <v/>
      </c>
      <c r="LO116" s="77" t="str">
        <f t="shared" si="108"/>
        <v/>
      </c>
      <c r="LP116" s="77" t="str">
        <f t="shared" si="108"/>
        <v/>
      </c>
      <c r="LQ116" s="77" t="str">
        <f t="shared" si="108"/>
        <v/>
      </c>
      <c r="LR116" s="77" t="str">
        <f t="shared" si="108"/>
        <v/>
      </c>
      <c r="LS116" s="77" t="str">
        <f t="shared" si="108"/>
        <v/>
      </c>
      <c r="LT116" s="77" t="str">
        <f t="shared" si="108"/>
        <v/>
      </c>
      <c r="LU116" s="77" t="str">
        <f t="shared" si="108"/>
        <v/>
      </c>
      <c r="LV116" s="77" t="str">
        <f t="shared" si="108"/>
        <v/>
      </c>
      <c r="LW116" s="77" t="str">
        <f t="shared" si="108"/>
        <v/>
      </c>
      <c r="LX116" s="77" t="str">
        <f t="shared" si="108"/>
        <v/>
      </c>
      <c r="LY116" s="77" t="str">
        <f t="shared" si="108"/>
        <v/>
      </c>
      <c r="LZ116" s="77" t="str">
        <f t="shared" si="108"/>
        <v/>
      </c>
      <c r="MA116" s="77" t="str">
        <f t="shared" si="108"/>
        <v/>
      </c>
      <c r="MB116" s="77" t="str">
        <f t="shared" si="108"/>
        <v/>
      </c>
      <c r="MC116" s="77" t="str">
        <f t="shared" si="108"/>
        <v/>
      </c>
      <c r="MD116" s="77" t="str">
        <f t="shared" si="108"/>
        <v/>
      </c>
      <c r="ME116" s="77" t="str">
        <f t="shared" si="108"/>
        <v/>
      </c>
      <c r="MF116" s="77" t="str">
        <f t="shared" si="108"/>
        <v/>
      </c>
      <c r="MG116" s="77" t="str">
        <f t="shared" si="108"/>
        <v/>
      </c>
      <c r="MH116" s="77" t="str">
        <f t="shared" si="108"/>
        <v/>
      </c>
      <c r="MI116" s="77" t="str">
        <f t="shared" si="108"/>
        <v/>
      </c>
      <c r="MJ116" s="77" t="str">
        <f t="shared" si="108"/>
        <v/>
      </c>
      <c r="MK116" s="77" t="str">
        <f t="shared" si="108"/>
        <v/>
      </c>
      <c r="ML116" s="77" t="str">
        <f t="shared" si="108"/>
        <v/>
      </c>
      <c r="MM116" s="77" t="str">
        <f t="shared" si="108"/>
        <v/>
      </c>
      <c r="MN116" s="77" t="str">
        <f t="shared" si="108"/>
        <v/>
      </c>
      <c r="MO116" s="77" t="str">
        <f t="shared" si="108"/>
        <v/>
      </c>
      <c r="MP116" s="77" t="str">
        <f t="shared" si="108"/>
        <v/>
      </c>
      <c r="MQ116" s="77" t="str">
        <f t="shared" si="108"/>
        <v/>
      </c>
      <c r="MR116" s="77" t="str">
        <f t="shared" si="108"/>
        <v/>
      </c>
      <c r="MS116" s="77" t="str">
        <f t="shared" si="108"/>
        <v/>
      </c>
      <c r="MT116" s="77" t="str">
        <f t="shared" si="108"/>
        <v/>
      </c>
      <c r="MU116" s="77" t="str">
        <f t="shared" ref="MU116:PF116" si="109">IF(ISNUMBER(outYear),MU69+MU75+MU81+MU113,"")</f>
        <v/>
      </c>
      <c r="MV116" s="77" t="str">
        <f t="shared" si="109"/>
        <v/>
      </c>
      <c r="MW116" s="77" t="str">
        <f t="shared" si="109"/>
        <v/>
      </c>
      <c r="MX116" s="77" t="str">
        <f t="shared" si="109"/>
        <v/>
      </c>
      <c r="MY116" s="77" t="str">
        <f t="shared" si="109"/>
        <v/>
      </c>
      <c r="MZ116" s="77" t="str">
        <f t="shared" si="109"/>
        <v/>
      </c>
      <c r="NA116" s="77" t="str">
        <f t="shared" si="109"/>
        <v/>
      </c>
      <c r="NB116" s="77" t="str">
        <f t="shared" si="109"/>
        <v/>
      </c>
      <c r="NC116" s="77" t="str">
        <f t="shared" si="109"/>
        <v/>
      </c>
      <c r="ND116" s="77" t="str">
        <f t="shared" si="109"/>
        <v/>
      </c>
      <c r="NE116" s="77" t="str">
        <f t="shared" si="109"/>
        <v/>
      </c>
      <c r="NF116" s="77" t="str">
        <f t="shared" si="109"/>
        <v/>
      </c>
      <c r="NG116" s="77" t="str">
        <f t="shared" si="109"/>
        <v/>
      </c>
      <c r="NH116" s="77" t="str">
        <f t="shared" si="109"/>
        <v/>
      </c>
      <c r="NI116" s="77" t="str">
        <f t="shared" si="109"/>
        <v/>
      </c>
      <c r="NJ116" s="77" t="str">
        <f t="shared" si="109"/>
        <v/>
      </c>
      <c r="NK116" s="77" t="str">
        <f t="shared" si="109"/>
        <v/>
      </c>
      <c r="NL116" s="77" t="str">
        <f t="shared" si="109"/>
        <v/>
      </c>
      <c r="NM116" s="77" t="str">
        <f t="shared" si="109"/>
        <v/>
      </c>
      <c r="NN116" s="77" t="str">
        <f t="shared" si="109"/>
        <v/>
      </c>
      <c r="NO116" s="77" t="str">
        <f t="shared" si="109"/>
        <v/>
      </c>
      <c r="NP116" s="77" t="str">
        <f t="shared" si="109"/>
        <v/>
      </c>
      <c r="NQ116" s="77" t="str">
        <f t="shared" si="109"/>
        <v/>
      </c>
      <c r="NR116" s="77" t="str">
        <f t="shared" si="109"/>
        <v/>
      </c>
      <c r="NS116" s="77" t="str">
        <f t="shared" si="109"/>
        <v/>
      </c>
      <c r="NT116" s="77" t="str">
        <f t="shared" si="109"/>
        <v/>
      </c>
      <c r="NU116" s="77" t="str">
        <f t="shared" si="109"/>
        <v/>
      </c>
      <c r="NV116" s="77" t="str">
        <f t="shared" si="109"/>
        <v/>
      </c>
      <c r="NW116" s="77" t="str">
        <f t="shared" si="109"/>
        <v/>
      </c>
      <c r="NX116" s="77" t="str">
        <f t="shared" si="109"/>
        <v/>
      </c>
      <c r="NY116" s="77" t="str">
        <f t="shared" si="109"/>
        <v/>
      </c>
      <c r="NZ116" s="77" t="str">
        <f t="shared" si="109"/>
        <v/>
      </c>
      <c r="OA116" s="77" t="str">
        <f t="shared" si="109"/>
        <v/>
      </c>
      <c r="OB116" s="77" t="str">
        <f t="shared" si="109"/>
        <v/>
      </c>
      <c r="OC116" s="77" t="str">
        <f t="shared" si="109"/>
        <v/>
      </c>
      <c r="OD116" s="77" t="str">
        <f t="shared" si="109"/>
        <v/>
      </c>
      <c r="OE116" s="77" t="str">
        <f t="shared" si="109"/>
        <v/>
      </c>
      <c r="OF116" s="77" t="str">
        <f t="shared" si="109"/>
        <v/>
      </c>
      <c r="OG116" s="77" t="str">
        <f t="shared" si="109"/>
        <v/>
      </c>
      <c r="OH116" s="77" t="str">
        <f t="shared" si="109"/>
        <v/>
      </c>
      <c r="OI116" s="77" t="str">
        <f t="shared" si="109"/>
        <v/>
      </c>
      <c r="OJ116" s="77" t="str">
        <f t="shared" si="109"/>
        <v/>
      </c>
      <c r="OK116" s="77" t="str">
        <f t="shared" si="109"/>
        <v/>
      </c>
      <c r="OL116" s="77" t="str">
        <f t="shared" si="109"/>
        <v/>
      </c>
      <c r="OM116" s="77" t="str">
        <f t="shared" si="109"/>
        <v/>
      </c>
      <c r="ON116" s="77" t="str">
        <f t="shared" si="109"/>
        <v/>
      </c>
      <c r="OO116" s="77" t="str">
        <f t="shared" si="109"/>
        <v/>
      </c>
      <c r="OP116" s="77" t="str">
        <f t="shared" si="109"/>
        <v/>
      </c>
      <c r="OQ116" s="77" t="str">
        <f t="shared" si="109"/>
        <v/>
      </c>
      <c r="OR116" s="77" t="str">
        <f t="shared" si="109"/>
        <v/>
      </c>
      <c r="OS116" s="77" t="str">
        <f t="shared" si="109"/>
        <v/>
      </c>
      <c r="OT116" s="77" t="str">
        <f t="shared" si="109"/>
        <v/>
      </c>
      <c r="OU116" s="77" t="str">
        <f t="shared" si="109"/>
        <v/>
      </c>
      <c r="OV116" s="77" t="str">
        <f t="shared" si="109"/>
        <v/>
      </c>
      <c r="OW116" s="77" t="str">
        <f t="shared" si="109"/>
        <v/>
      </c>
      <c r="OX116" s="77" t="str">
        <f t="shared" si="109"/>
        <v/>
      </c>
      <c r="OY116" s="77" t="str">
        <f t="shared" si="109"/>
        <v/>
      </c>
      <c r="OZ116" s="77" t="str">
        <f t="shared" si="109"/>
        <v/>
      </c>
      <c r="PA116" s="77" t="str">
        <f t="shared" si="109"/>
        <v/>
      </c>
      <c r="PB116" s="77" t="str">
        <f t="shared" si="109"/>
        <v/>
      </c>
      <c r="PC116" s="77" t="str">
        <f t="shared" si="109"/>
        <v/>
      </c>
      <c r="PD116" s="77" t="str">
        <f t="shared" si="109"/>
        <v/>
      </c>
      <c r="PE116" s="77" t="str">
        <f t="shared" si="109"/>
        <v/>
      </c>
      <c r="PF116" s="77" t="str">
        <f t="shared" si="109"/>
        <v/>
      </c>
      <c r="PG116" s="77" t="str">
        <f t="shared" ref="PG116:RR116" si="110">IF(ISNUMBER(outYear),PG69+PG75+PG81+PG113,"")</f>
        <v/>
      </c>
      <c r="PH116" s="77" t="str">
        <f t="shared" si="110"/>
        <v/>
      </c>
      <c r="PI116" s="77" t="str">
        <f t="shared" si="110"/>
        <v/>
      </c>
      <c r="PJ116" s="77" t="str">
        <f t="shared" si="110"/>
        <v/>
      </c>
      <c r="PK116" s="77" t="str">
        <f t="shared" si="110"/>
        <v/>
      </c>
      <c r="PL116" s="77" t="str">
        <f t="shared" si="110"/>
        <v/>
      </c>
      <c r="PM116" s="77" t="str">
        <f t="shared" si="110"/>
        <v/>
      </c>
      <c r="PN116" s="77" t="str">
        <f t="shared" si="110"/>
        <v/>
      </c>
      <c r="PO116" s="77" t="str">
        <f t="shared" si="110"/>
        <v/>
      </c>
      <c r="PP116" s="77" t="str">
        <f t="shared" si="110"/>
        <v/>
      </c>
      <c r="PQ116" s="77" t="str">
        <f t="shared" si="110"/>
        <v/>
      </c>
      <c r="PR116" s="77" t="str">
        <f t="shared" si="110"/>
        <v/>
      </c>
      <c r="PS116" s="77" t="str">
        <f t="shared" si="110"/>
        <v/>
      </c>
      <c r="PT116" s="77" t="str">
        <f t="shared" si="110"/>
        <v/>
      </c>
      <c r="PU116" s="77" t="str">
        <f t="shared" si="110"/>
        <v/>
      </c>
      <c r="PV116" s="77" t="str">
        <f t="shared" si="110"/>
        <v/>
      </c>
      <c r="PW116" s="77" t="str">
        <f t="shared" si="110"/>
        <v/>
      </c>
      <c r="PX116" s="77" t="str">
        <f t="shared" si="110"/>
        <v/>
      </c>
      <c r="PY116" s="77" t="str">
        <f t="shared" si="110"/>
        <v/>
      </c>
      <c r="PZ116" s="77" t="str">
        <f t="shared" si="110"/>
        <v/>
      </c>
      <c r="QA116" s="77" t="str">
        <f t="shared" si="110"/>
        <v/>
      </c>
      <c r="QB116" s="77" t="str">
        <f t="shared" si="110"/>
        <v/>
      </c>
      <c r="QC116" s="77" t="str">
        <f t="shared" si="110"/>
        <v/>
      </c>
      <c r="QD116" s="77" t="str">
        <f t="shared" si="110"/>
        <v/>
      </c>
      <c r="QE116" s="77" t="str">
        <f t="shared" si="110"/>
        <v/>
      </c>
      <c r="QF116" s="77" t="str">
        <f t="shared" si="110"/>
        <v/>
      </c>
      <c r="QG116" s="77" t="str">
        <f t="shared" si="110"/>
        <v/>
      </c>
      <c r="QH116" s="77" t="str">
        <f t="shared" si="110"/>
        <v/>
      </c>
      <c r="QI116" s="77" t="str">
        <f t="shared" si="110"/>
        <v/>
      </c>
      <c r="QJ116" s="77" t="str">
        <f t="shared" si="110"/>
        <v/>
      </c>
      <c r="QK116" s="77" t="str">
        <f t="shared" si="110"/>
        <v/>
      </c>
      <c r="QL116" s="77" t="str">
        <f t="shared" si="110"/>
        <v/>
      </c>
      <c r="QM116" s="77" t="str">
        <f t="shared" si="110"/>
        <v/>
      </c>
      <c r="QN116" s="77" t="str">
        <f t="shared" si="110"/>
        <v/>
      </c>
      <c r="QO116" s="77" t="str">
        <f t="shared" si="110"/>
        <v/>
      </c>
      <c r="QP116" s="77" t="str">
        <f t="shared" si="110"/>
        <v/>
      </c>
      <c r="QQ116" s="77" t="str">
        <f t="shared" si="110"/>
        <v/>
      </c>
      <c r="QR116" s="77" t="str">
        <f t="shared" si="110"/>
        <v/>
      </c>
      <c r="QS116" s="77" t="str">
        <f t="shared" si="110"/>
        <v/>
      </c>
      <c r="QT116" s="77" t="str">
        <f t="shared" si="110"/>
        <v/>
      </c>
      <c r="QU116" s="77" t="str">
        <f t="shared" si="110"/>
        <v/>
      </c>
      <c r="QV116" s="77" t="str">
        <f t="shared" si="110"/>
        <v/>
      </c>
      <c r="QW116" s="77" t="str">
        <f t="shared" si="110"/>
        <v/>
      </c>
      <c r="QX116" s="77" t="str">
        <f t="shared" si="110"/>
        <v/>
      </c>
      <c r="QY116" s="77" t="str">
        <f t="shared" si="110"/>
        <v/>
      </c>
      <c r="QZ116" s="77" t="str">
        <f t="shared" si="110"/>
        <v/>
      </c>
      <c r="RA116" s="77" t="str">
        <f t="shared" si="110"/>
        <v/>
      </c>
      <c r="RB116" s="77" t="str">
        <f t="shared" si="110"/>
        <v/>
      </c>
      <c r="RC116" s="77" t="str">
        <f t="shared" si="110"/>
        <v/>
      </c>
      <c r="RD116" s="77" t="str">
        <f t="shared" si="110"/>
        <v/>
      </c>
      <c r="RE116" s="77" t="str">
        <f t="shared" si="110"/>
        <v/>
      </c>
      <c r="RF116" s="77" t="str">
        <f t="shared" si="110"/>
        <v/>
      </c>
      <c r="RG116" s="77" t="str">
        <f t="shared" si="110"/>
        <v/>
      </c>
      <c r="RH116" s="77" t="str">
        <f t="shared" si="110"/>
        <v/>
      </c>
      <c r="RI116" s="77" t="str">
        <f t="shared" si="110"/>
        <v/>
      </c>
      <c r="RJ116" s="77" t="str">
        <f t="shared" si="110"/>
        <v/>
      </c>
      <c r="RK116" s="77" t="str">
        <f t="shared" si="110"/>
        <v/>
      </c>
      <c r="RL116" s="77" t="str">
        <f t="shared" si="110"/>
        <v/>
      </c>
      <c r="RM116" s="77" t="str">
        <f t="shared" si="110"/>
        <v/>
      </c>
      <c r="RN116" s="77" t="str">
        <f t="shared" si="110"/>
        <v/>
      </c>
      <c r="RO116" s="77" t="str">
        <f t="shared" si="110"/>
        <v/>
      </c>
      <c r="RP116" s="77" t="str">
        <f t="shared" si="110"/>
        <v/>
      </c>
      <c r="RQ116" s="77" t="str">
        <f t="shared" si="110"/>
        <v/>
      </c>
      <c r="RR116" s="77" t="str">
        <f t="shared" si="110"/>
        <v/>
      </c>
      <c r="RS116" s="77" t="str">
        <f t="shared" ref="RS116:UD116" si="111">IF(ISNUMBER(outYear),RS69+RS75+RS81+RS113,"")</f>
        <v/>
      </c>
      <c r="RT116" s="77" t="str">
        <f t="shared" si="111"/>
        <v/>
      </c>
      <c r="RU116" s="77" t="str">
        <f t="shared" si="111"/>
        <v/>
      </c>
      <c r="RV116" s="77" t="str">
        <f t="shared" si="111"/>
        <v/>
      </c>
      <c r="RW116" s="77" t="str">
        <f t="shared" si="111"/>
        <v/>
      </c>
      <c r="RX116" s="77" t="str">
        <f t="shared" si="111"/>
        <v/>
      </c>
      <c r="RY116" s="77" t="str">
        <f t="shared" si="111"/>
        <v/>
      </c>
      <c r="RZ116" s="77" t="str">
        <f t="shared" si="111"/>
        <v/>
      </c>
      <c r="SA116" s="77" t="str">
        <f t="shared" si="111"/>
        <v/>
      </c>
      <c r="SB116" s="77" t="str">
        <f t="shared" si="111"/>
        <v/>
      </c>
      <c r="SC116" s="77" t="str">
        <f t="shared" si="111"/>
        <v/>
      </c>
      <c r="SD116" s="77" t="str">
        <f t="shared" si="111"/>
        <v/>
      </c>
      <c r="SE116" s="77" t="str">
        <f t="shared" si="111"/>
        <v/>
      </c>
      <c r="SF116" s="77" t="str">
        <f t="shared" si="111"/>
        <v/>
      </c>
      <c r="SG116" s="77" t="str">
        <f t="shared" si="111"/>
        <v/>
      </c>
      <c r="SH116" s="77" t="str">
        <f t="shared" si="111"/>
        <v/>
      </c>
      <c r="SI116" s="77" t="str">
        <f t="shared" si="111"/>
        <v/>
      </c>
      <c r="SJ116" s="77" t="str">
        <f t="shared" si="111"/>
        <v/>
      </c>
      <c r="SK116" s="77" t="str">
        <f t="shared" si="111"/>
        <v/>
      </c>
      <c r="SL116" s="77" t="str">
        <f t="shared" si="111"/>
        <v/>
      </c>
      <c r="SM116" s="77" t="str">
        <f t="shared" si="111"/>
        <v/>
      </c>
      <c r="SN116" s="77" t="str">
        <f t="shared" si="111"/>
        <v/>
      </c>
      <c r="SO116" s="77" t="str">
        <f t="shared" si="111"/>
        <v/>
      </c>
      <c r="SP116" s="77" t="str">
        <f t="shared" si="111"/>
        <v/>
      </c>
      <c r="SQ116" s="77" t="str">
        <f t="shared" si="111"/>
        <v/>
      </c>
      <c r="SR116" s="77" t="str">
        <f t="shared" si="111"/>
        <v/>
      </c>
      <c r="SS116" s="77" t="str">
        <f t="shared" si="111"/>
        <v/>
      </c>
      <c r="ST116" s="77" t="str">
        <f t="shared" si="111"/>
        <v/>
      </c>
      <c r="SU116" s="77" t="str">
        <f t="shared" si="111"/>
        <v/>
      </c>
      <c r="SV116" s="77" t="str">
        <f t="shared" si="111"/>
        <v/>
      </c>
      <c r="SW116" s="77" t="str">
        <f t="shared" si="111"/>
        <v/>
      </c>
      <c r="SX116" s="77" t="str">
        <f t="shared" si="111"/>
        <v/>
      </c>
      <c r="SY116" s="77" t="str">
        <f t="shared" si="111"/>
        <v/>
      </c>
      <c r="SZ116" s="77" t="str">
        <f t="shared" si="111"/>
        <v/>
      </c>
      <c r="TA116" s="77" t="str">
        <f t="shared" si="111"/>
        <v/>
      </c>
      <c r="TB116" s="77" t="str">
        <f t="shared" si="111"/>
        <v/>
      </c>
      <c r="TC116" s="77" t="str">
        <f t="shared" si="111"/>
        <v/>
      </c>
      <c r="TD116" s="77" t="str">
        <f t="shared" si="111"/>
        <v/>
      </c>
      <c r="TE116" s="77" t="str">
        <f t="shared" si="111"/>
        <v/>
      </c>
      <c r="TF116" s="77" t="str">
        <f t="shared" si="111"/>
        <v/>
      </c>
      <c r="TG116" s="77" t="str">
        <f t="shared" si="111"/>
        <v/>
      </c>
      <c r="TH116" s="77" t="str">
        <f t="shared" si="111"/>
        <v/>
      </c>
      <c r="TI116" s="77" t="str">
        <f t="shared" si="111"/>
        <v/>
      </c>
      <c r="TJ116" s="77" t="str">
        <f t="shared" si="111"/>
        <v/>
      </c>
      <c r="TK116" s="77" t="str">
        <f t="shared" si="111"/>
        <v/>
      </c>
      <c r="TL116" s="77" t="str">
        <f t="shared" si="111"/>
        <v/>
      </c>
      <c r="TM116" s="77" t="str">
        <f t="shared" si="111"/>
        <v/>
      </c>
      <c r="TN116" s="77" t="str">
        <f t="shared" si="111"/>
        <v/>
      </c>
      <c r="TO116" s="77" t="str">
        <f t="shared" si="111"/>
        <v/>
      </c>
      <c r="TP116" s="77" t="str">
        <f t="shared" si="111"/>
        <v/>
      </c>
      <c r="TQ116" s="77" t="str">
        <f t="shared" si="111"/>
        <v/>
      </c>
      <c r="TR116" s="77" t="str">
        <f t="shared" si="111"/>
        <v/>
      </c>
      <c r="TS116" s="77" t="str">
        <f t="shared" si="111"/>
        <v/>
      </c>
      <c r="TT116" s="77" t="str">
        <f t="shared" si="111"/>
        <v/>
      </c>
      <c r="TU116" s="77" t="str">
        <f t="shared" si="111"/>
        <v/>
      </c>
      <c r="TV116" s="77" t="str">
        <f t="shared" si="111"/>
        <v/>
      </c>
      <c r="TW116" s="77" t="str">
        <f t="shared" si="111"/>
        <v/>
      </c>
      <c r="TX116" s="77" t="str">
        <f t="shared" si="111"/>
        <v/>
      </c>
      <c r="TY116" s="77" t="str">
        <f t="shared" si="111"/>
        <v/>
      </c>
      <c r="TZ116" s="77" t="str">
        <f t="shared" si="111"/>
        <v/>
      </c>
      <c r="UA116" s="77" t="str">
        <f t="shared" si="111"/>
        <v/>
      </c>
      <c r="UB116" s="77" t="str">
        <f t="shared" si="111"/>
        <v/>
      </c>
      <c r="UC116" s="77" t="str">
        <f t="shared" si="111"/>
        <v/>
      </c>
      <c r="UD116" s="77" t="str">
        <f t="shared" si="111"/>
        <v/>
      </c>
      <c r="UE116" s="77" t="str">
        <f t="shared" ref="UE116:WP116" si="112">IF(ISNUMBER(outYear),UE69+UE75+UE81+UE113,"")</f>
        <v/>
      </c>
      <c r="UF116" s="77" t="str">
        <f t="shared" si="112"/>
        <v/>
      </c>
      <c r="UG116" s="77" t="str">
        <f t="shared" si="112"/>
        <v/>
      </c>
      <c r="UH116" s="77" t="str">
        <f t="shared" si="112"/>
        <v/>
      </c>
      <c r="UI116" s="77" t="str">
        <f t="shared" si="112"/>
        <v/>
      </c>
      <c r="UJ116" s="77" t="str">
        <f t="shared" si="112"/>
        <v/>
      </c>
      <c r="UK116" s="77" t="str">
        <f t="shared" si="112"/>
        <v/>
      </c>
      <c r="UL116" s="77" t="str">
        <f t="shared" si="112"/>
        <v/>
      </c>
      <c r="UM116" s="77" t="str">
        <f t="shared" si="112"/>
        <v/>
      </c>
      <c r="UN116" s="77" t="str">
        <f t="shared" si="112"/>
        <v/>
      </c>
      <c r="UO116" s="77" t="str">
        <f t="shared" si="112"/>
        <v/>
      </c>
      <c r="UP116" s="77" t="str">
        <f t="shared" si="112"/>
        <v/>
      </c>
      <c r="UQ116" s="77" t="str">
        <f t="shared" si="112"/>
        <v/>
      </c>
      <c r="UR116" s="77" t="str">
        <f t="shared" si="112"/>
        <v/>
      </c>
      <c r="US116" s="77" t="str">
        <f t="shared" si="112"/>
        <v/>
      </c>
      <c r="UT116" s="77" t="str">
        <f t="shared" si="112"/>
        <v/>
      </c>
      <c r="UU116" s="77" t="str">
        <f t="shared" si="112"/>
        <v/>
      </c>
      <c r="UV116" s="77" t="str">
        <f t="shared" si="112"/>
        <v/>
      </c>
      <c r="UW116" s="77" t="str">
        <f t="shared" si="112"/>
        <v/>
      </c>
      <c r="UX116" s="77" t="str">
        <f t="shared" si="112"/>
        <v/>
      </c>
      <c r="UY116" s="77" t="str">
        <f t="shared" si="112"/>
        <v/>
      </c>
      <c r="UZ116" s="77" t="str">
        <f t="shared" si="112"/>
        <v/>
      </c>
      <c r="VA116" s="77" t="str">
        <f t="shared" si="112"/>
        <v/>
      </c>
      <c r="VB116" s="77" t="str">
        <f t="shared" si="112"/>
        <v/>
      </c>
      <c r="VC116" s="77" t="str">
        <f t="shared" si="112"/>
        <v/>
      </c>
      <c r="VD116" s="77" t="str">
        <f t="shared" si="112"/>
        <v/>
      </c>
      <c r="VE116" s="77" t="str">
        <f t="shared" si="112"/>
        <v/>
      </c>
      <c r="VF116" s="77" t="str">
        <f t="shared" si="112"/>
        <v/>
      </c>
      <c r="VG116" s="77" t="str">
        <f t="shared" si="112"/>
        <v/>
      </c>
      <c r="VH116" s="77" t="str">
        <f t="shared" si="112"/>
        <v/>
      </c>
      <c r="VI116" s="77" t="str">
        <f t="shared" si="112"/>
        <v/>
      </c>
      <c r="VJ116" s="77" t="str">
        <f t="shared" si="112"/>
        <v/>
      </c>
      <c r="VK116" s="77" t="str">
        <f t="shared" si="112"/>
        <v/>
      </c>
      <c r="VL116" s="77" t="str">
        <f t="shared" si="112"/>
        <v/>
      </c>
      <c r="VM116" s="77" t="str">
        <f t="shared" si="112"/>
        <v/>
      </c>
      <c r="VN116" s="77" t="str">
        <f t="shared" si="112"/>
        <v/>
      </c>
      <c r="VO116" s="77" t="str">
        <f t="shared" si="112"/>
        <v/>
      </c>
      <c r="VP116" s="77" t="str">
        <f t="shared" si="112"/>
        <v/>
      </c>
      <c r="VQ116" s="77" t="str">
        <f t="shared" si="112"/>
        <v/>
      </c>
      <c r="VR116" s="77" t="str">
        <f t="shared" si="112"/>
        <v/>
      </c>
      <c r="VS116" s="77" t="str">
        <f t="shared" si="112"/>
        <v/>
      </c>
      <c r="VT116" s="77" t="str">
        <f t="shared" si="112"/>
        <v/>
      </c>
      <c r="VU116" s="77" t="str">
        <f t="shared" si="112"/>
        <v/>
      </c>
      <c r="VV116" s="77" t="str">
        <f t="shared" si="112"/>
        <v/>
      </c>
      <c r="VW116" s="77" t="str">
        <f t="shared" si="112"/>
        <v/>
      </c>
      <c r="VX116" s="77" t="str">
        <f t="shared" si="112"/>
        <v/>
      </c>
      <c r="VY116" s="77" t="str">
        <f t="shared" si="112"/>
        <v/>
      </c>
      <c r="VZ116" s="77" t="str">
        <f t="shared" si="112"/>
        <v/>
      </c>
      <c r="WA116" s="77" t="str">
        <f t="shared" si="112"/>
        <v/>
      </c>
      <c r="WB116" s="77" t="str">
        <f t="shared" si="112"/>
        <v/>
      </c>
      <c r="WC116" s="77" t="str">
        <f t="shared" si="112"/>
        <v/>
      </c>
      <c r="WD116" s="77" t="str">
        <f t="shared" si="112"/>
        <v/>
      </c>
      <c r="WE116" s="77" t="str">
        <f t="shared" si="112"/>
        <v/>
      </c>
      <c r="WF116" s="77" t="str">
        <f t="shared" si="112"/>
        <v/>
      </c>
      <c r="WG116" s="77" t="str">
        <f t="shared" si="112"/>
        <v/>
      </c>
      <c r="WH116" s="77" t="str">
        <f t="shared" si="112"/>
        <v/>
      </c>
      <c r="WI116" s="77" t="str">
        <f t="shared" si="112"/>
        <v/>
      </c>
      <c r="WJ116" s="77" t="str">
        <f t="shared" si="112"/>
        <v/>
      </c>
      <c r="WK116" s="77" t="str">
        <f t="shared" si="112"/>
        <v/>
      </c>
      <c r="WL116" s="77" t="str">
        <f t="shared" si="112"/>
        <v/>
      </c>
      <c r="WM116" s="77" t="str">
        <f t="shared" si="112"/>
        <v/>
      </c>
      <c r="WN116" s="77" t="str">
        <f t="shared" si="112"/>
        <v/>
      </c>
      <c r="WO116" s="77" t="str">
        <f t="shared" si="112"/>
        <v/>
      </c>
      <c r="WP116" s="77" t="str">
        <f t="shared" si="112"/>
        <v/>
      </c>
      <c r="WQ116" s="77" t="str">
        <f t="shared" ref="WQ116:ZB116" si="113">IF(ISNUMBER(outYear),WQ69+WQ75+WQ81+WQ113,"")</f>
        <v/>
      </c>
      <c r="WR116" s="77" t="str">
        <f t="shared" si="113"/>
        <v/>
      </c>
      <c r="WS116" s="77" t="str">
        <f t="shared" si="113"/>
        <v/>
      </c>
      <c r="WT116" s="77" t="str">
        <f t="shared" si="113"/>
        <v/>
      </c>
      <c r="WU116" s="77" t="str">
        <f t="shared" si="113"/>
        <v/>
      </c>
      <c r="WV116" s="77" t="str">
        <f t="shared" si="113"/>
        <v/>
      </c>
      <c r="WW116" s="77" t="str">
        <f t="shared" si="113"/>
        <v/>
      </c>
      <c r="WX116" s="77" t="str">
        <f t="shared" si="113"/>
        <v/>
      </c>
      <c r="WY116" s="77" t="str">
        <f t="shared" si="113"/>
        <v/>
      </c>
      <c r="WZ116" s="77" t="str">
        <f t="shared" si="113"/>
        <v/>
      </c>
      <c r="XA116" s="77" t="str">
        <f t="shared" si="113"/>
        <v/>
      </c>
      <c r="XB116" s="77" t="str">
        <f t="shared" si="113"/>
        <v/>
      </c>
      <c r="XC116" s="77" t="str">
        <f t="shared" si="113"/>
        <v/>
      </c>
      <c r="XD116" s="77" t="str">
        <f t="shared" si="113"/>
        <v/>
      </c>
      <c r="XE116" s="77" t="str">
        <f t="shared" si="113"/>
        <v/>
      </c>
      <c r="XF116" s="77" t="str">
        <f t="shared" si="113"/>
        <v/>
      </c>
      <c r="XG116" s="77" t="str">
        <f t="shared" si="113"/>
        <v/>
      </c>
      <c r="XH116" s="77" t="str">
        <f t="shared" si="113"/>
        <v/>
      </c>
      <c r="XI116" s="77" t="str">
        <f t="shared" si="113"/>
        <v/>
      </c>
      <c r="XJ116" s="77" t="str">
        <f t="shared" si="113"/>
        <v/>
      </c>
      <c r="XK116" s="77" t="str">
        <f t="shared" si="113"/>
        <v/>
      </c>
      <c r="XL116" s="77" t="str">
        <f t="shared" si="113"/>
        <v/>
      </c>
      <c r="XM116" s="77" t="str">
        <f t="shared" si="113"/>
        <v/>
      </c>
      <c r="XN116" s="77" t="str">
        <f t="shared" si="113"/>
        <v/>
      </c>
      <c r="XO116" s="77" t="str">
        <f t="shared" si="113"/>
        <v/>
      </c>
      <c r="XP116" s="77" t="str">
        <f t="shared" si="113"/>
        <v/>
      </c>
      <c r="XQ116" s="77" t="str">
        <f t="shared" si="113"/>
        <v/>
      </c>
      <c r="XR116" s="77" t="str">
        <f t="shared" si="113"/>
        <v/>
      </c>
      <c r="XS116" s="77" t="str">
        <f t="shared" si="113"/>
        <v/>
      </c>
      <c r="XT116" s="77" t="str">
        <f t="shared" si="113"/>
        <v/>
      </c>
      <c r="XU116" s="77" t="str">
        <f t="shared" si="113"/>
        <v/>
      </c>
      <c r="XV116" s="77" t="str">
        <f t="shared" si="113"/>
        <v/>
      </c>
      <c r="XW116" s="77" t="str">
        <f t="shared" si="113"/>
        <v/>
      </c>
      <c r="XX116" s="77" t="str">
        <f t="shared" si="113"/>
        <v/>
      </c>
      <c r="XY116" s="77" t="str">
        <f t="shared" si="113"/>
        <v/>
      </c>
      <c r="XZ116" s="77" t="str">
        <f t="shared" si="113"/>
        <v/>
      </c>
      <c r="YA116" s="77" t="str">
        <f t="shared" si="113"/>
        <v/>
      </c>
      <c r="YB116" s="77" t="str">
        <f t="shared" si="113"/>
        <v/>
      </c>
      <c r="YC116" s="77" t="str">
        <f t="shared" si="113"/>
        <v/>
      </c>
      <c r="YD116" s="77" t="str">
        <f t="shared" si="113"/>
        <v/>
      </c>
      <c r="YE116" s="77" t="str">
        <f t="shared" si="113"/>
        <v/>
      </c>
      <c r="YF116" s="77" t="str">
        <f t="shared" si="113"/>
        <v/>
      </c>
      <c r="YG116" s="77" t="str">
        <f t="shared" si="113"/>
        <v/>
      </c>
      <c r="YH116" s="77" t="str">
        <f t="shared" si="113"/>
        <v/>
      </c>
      <c r="YI116" s="77" t="str">
        <f t="shared" si="113"/>
        <v/>
      </c>
      <c r="YJ116" s="77" t="str">
        <f t="shared" si="113"/>
        <v/>
      </c>
      <c r="YK116" s="77" t="str">
        <f t="shared" si="113"/>
        <v/>
      </c>
      <c r="YL116" s="77" t="str">
        <f t="shared" si="113"/>
        <v/>
      </c>
      <c r="YM116" s="77" t="str">
        <f t="shared" si="113"/>
        <v/>
      </c>
      <c r="YN116" s="77" t="str">
        <f t="shared" si="113"/>
        <v/>
      </c>
      <c r="YO116" s="77" t="str">
        <f t="shared" si="113"/>
        <v/>
      </c>
      <c r="YP116" s="77" t="str">
        <f t="shared" si="113"/>
        <v/>
      </c>
      <c r="YQ116" s="77" t="str">
        <f t="shared" si="113"/>
        <v/>
      </c>
      <c r="YR116" s="77" t="str">
        <f t="shared" si="113"/>
        <v/>
      </c>
      <c r="YS116" s="77" t="str">
        <f t="shared" si="113"/>
        <v/>
      </c>
      <c r="YT116" s="77" t="str">
        <f t="shared" si="113"/>
        <v/>
      </c>
      <c r="YU116" s="77" t="str">
        <f t="shared" si="113"/>
        <v/>
      </c>
      <c r="YV116" s="77" t="str">
        <f t="shared" si="113"/>
        <v/>
      </c>
      <c r="YW116" s="77" t="str">
        <f t="shared" si="113"/>
        <v/>
      </c>
      <c r="YX116" s="77" t="str">
        <f t="shared" si="113"/>
        <v/>
      </c>
      <c r="YY116" s="77" t="str">
        <f t="shared" si="113"/>
        <v/>
      </c>
      <c r="YZ116" s="77" t="str">
        <f t="shared" si="113"/>
        <v/>
      </c>
      <c r="ZA116" s="77" t="str">
        <f t="shared" si="113"/>
        <v/>
      </c>
      <c r="ZB116" s="77" t="str">
        <f t="shared" si="113"/>
        <v/>
      </c>
      <c r="ZC116" s="77" t="str">
        <f t="shared" ref="ZC116:ABN116" si="114">IF(ISNUMBER(outYear),ZC69+ZC75+ZC81+ZC113,"")</f>
        <v/>
      </c>
      <c r="ZD116" s="77" t="str">
        <f t="shared" si="114"/>
        <v/>
      </c>
      <c r="ZE116" s="77" t="str">
        <f t="shared" si="114"/>
        <v/>
      </c>
      <c r="ZF116" s="77" t="str">
        <f t="shared" si="114"/>
        <v/>
      </c>
      <c r="ZG116" s="77" t="str">
        <f t="shared" si="114"/>
        <v/>
      </c>
      <c r="ZH116" s="77" t="str">
        <f t="shared" si="114"/>
        <v/>
      </c>
      <c r="ZI116" s="77" t="str">
        <f t="shared" si="114"/>
        <v/>
      </c>
      <c r="ZJ116" s="77" t="str">
        <f t="shared" si="114"/>
        <v/>
      </c>
      <c r="ZK116" s="77" t="str">
        <f t="shared" si="114"/>
        <v/>
      </c>
      <c r="ZL116" s="77" t="str">
        <f t="shared" si="114"/>
        <v/>
      </c>
      <c r="ZM116" s="77" t="str">
        <f t="shared" si="114"/>
        <v/>
      </c>
      <c r="ZN116" s="77" t="str">
        <f t="shared" si="114"/>
        <v/>
      </c>
      <c r="ZO116" s="77" t="str">
        <f t="shared" si="114"/>
        <v/>
      </c>
      <c r="ZP116" s="77" t="str">
        <f t="shared" si="114"/>
        <v/>
      </c>
      <c r="ZQ116" s="77" t="str">
        <f t="shared" si="114"/>
        <v/>
      </c>
      <c r="ZR116" s="77" t="str">
        <f t="shared" si="114"/>
        <v/>
      </c>
      <c r="ZS116" s="77" t="str">
        <f t="shared" si="114"/>
        <v/>
      </c>
      <c r="ZT116" s="77" t="str">
        <f t="shared" si="114"/>
        <v/>
      </c>
      <c r="ZU116" s="77" t="str">
        <f t="shared" si="114"/>
        <v/>
      </c>
      <c r="ZV116" s="77" t="str">
        <f t="shared" si="114"/>
        <v/>
      </c>
      <c r="ZW116" s="77" t="str">
        <f t="shared" si="114"/>
        <v/>
      </c>
      <c r="ZX116" s="77" t="str">
        <f t="shared" si="114"/>
        <v/>
      </c>
      <c r="ZY116" s="77" t="str">
        <f t="shared" si="114"/>
        <v/>
      </c>
      <c r="ZZ116" s="77" t="str">
        <f t="shared" si="114"/>
        <v/>
      </c>
      <c r="AAA116" s="77" t="str">
        <f t="shared" si="114"/>
        <v/>
      </c>
      <c r="AAB116" s="77" t="str">
        <f t="shared" si="114"/>
        <v/>
      </c>
      <c r="AAC116" s="77" t="str">
        <f t="shared" si="114"/>
        <v/>
      </c>
      <c r="AAD116" s="77" t="str">
        <f t="shared" si="114"/>
        <v/>
      </c>
      <c r="AAE116" s="77" t="str">
        <f t="shared" si="114"/>
        <v/>
      </c>
      <c r="AAF116" s="77" t="str">
        <f t="shared" si="114"/>
        <v/>
      </c>
      <c r="AAG116" s="77" t="str">
        <f t="shared" si="114"/>
        <v/>
      </c>
      <c r="AAH116" s="77" t="str">
        <f t="shared" si="114"/>
        <v/>
      </c>
      <c r="AAI116" s="77" t="str">
        <f t="shared" si="114"/>
        <v/>
      </c>
      <c r="AAJ116" s="77" t="str">
        <f t="shared" si="114"/>
        <v/>
      </c>
      <c r="AAK116" s="77" t="str">
        <f t="shared" si="114"/>
        <v/>
      </c>
      <c r="AAL116" s="77" t="str">
        <f t="shared" si="114"/>
        <v/>
      </c>
      <c r="AAM116" s="77" t="str">
        <f t="shared" si="114"/>
        <v/>
      </c>
      <c r="AAN116" s="77" t="str">
        <f t="shared" si="114"/>
        <v/>
      </c>
      <c r="AAO116" s="77" t="str">
        <f t="shared" si="114"/>
        <v/>
      </c>
      <c r="AAP116" s="77" t="str">
        <f t="shared" si="114"/>
        <v/>
      </c>
      <c r="AAQ116" s="77" t="str">
        <f t="shared" si="114"/>
        <v/>
      </c>
      <c r="AAR116" s="77" t="str">
        <f t="shared" si="114"/>
        <v/>
      </c>
      <c r="AAS116" s="77" t="str">
        <f t="shared" si="114"/>
        <v/>
      </c>
      <c r="AAT116" s="77" t="str">
        <f t="shared" si="114"/>
        <v/>
      </c>
      <c r="AAU116" s="77" t="str">
        <f t="shared" si="114"/>
        <v/>
      </c>
      <c r="AAV116" s="77" t="str">
        <f t="shared" si="114"/>
        <v/>
      </c>
      <c r="AAW116" s="77" t="str">
        <f t="shared" si="114"/>
        <v/>
      </c>
      <c r="AAX116" s="77" t="str">
        <f t="shared" si="114"/>
        <v/>
      </c>
      <c r="AAY116" s="77" t="str">
        <f t="shared" si="114"/>
        <v/>
      </c>
      <c r="AAZ116" s="77" t="str">
        <f t="shared" si="114"/>
        <v/>
      </c>
      <c r="ABA116" s="77" t="str">
        <f t="shared" si="114"/>
        <v/>
      </c>
      <c r="ABB116" s="77" t="str">
        <f t="shared" si="114"/>
        <v/>
      </c>
      <c r="ABC116" s="77" t="str">
        <f t="shared" si="114"/>
        <v/>
      </c>
      <c r="ABD116" s="77" t="str">
        <f t="shared" si="114"/>
        <v/>
      </c>
      <c r="ABE116" s="77" t="str">
        <f t="shared" si="114"/>
        <v/>
      </c>
      <c r="ABF116" s="77" t="str">
        <f t="shared" si="114"/>
        <v/>
      </c>
      <c r="ABG116" s="77" t="str">
        <f t="shared" si="114"/>
        <v/>
      </c>
      <c r="ABH116" s="77" t="str">
        <f t="shared" si="114"/>
        <v/>
      </c>
      <c r="ABI116" s="77" t="str">
        <f t="shared" si="114"/>
        <v/>
      </c>
      <c r="ABJ116" s="77" t="str">
        <f t="shared" si="114"/>
        <v/>
      </c>
      <c r="ABK116" s="77" t="str">
        <f t="shared" si="114"/>
        <v/>
      </c>
      <c r="ABL116" s="77" t="str">
        <f t="shared" si="114"/>
        <v/>
      </c>
      <c r="ABM116" s="77" t="str">
        <f t="shared" si="114"/>
        <v/>
      </c>
      <c r="ABN116" s="77" t="str">
        <f t="shared" si="114"/>
        <v/>
      </c>
      <c r="ABO116" s="77" t="str">
        <f t="shared" ref="ABO116:ADZ116" si="115">IF(ISNUMBER(outYear),ABO69+ABO75+ABO81+ABO113,"")</f>
        <v/>
      </c>
      <c r="ABP116" s="77" t="str">
        <f t="shared" si="115"/>
        <v/>
      </c>
      <c r="ABQ116" s="77" t="str">
        <f t="shared" si="115"/>
        <v/>
      </c>
      <c r="ABR116" s="77" t="str">
        <f t="shared" si="115"/>
        <v/>
      </c>
      <c r="ABS116" s="77" t="str">
        <f t="shared" si="115"/>
        <v/>
      </c>
      <c r="ABT116" s="77" t="str">
        <f t="shared" si="115"/>
        <v/>
      </c>
      <c r="ABU116" s="77" t="str">
        <f t="shared" si="115"/>
        <v/>
      </c>
      <c r="ABV116" s="77" t="str">
        <f t="shared" si="115"/>
        <v/>
      </c>
      <c r="ABW116" s="77" t="str">
        <f t="shared" si="115"/>
        <v/>
      </c>
      <c r="ABX116" s="77" t="str">
        <f t="shared" si="115"/>
        <v/>
      </c>
      <c r="ABY116" s="77" t="str">
        <f t="shared" si="115"/>
        <v/>
      </c>
      <c r="ABZ116" s="77" t="str">
        <f t="shared" si="115"/>
        <v/>
      </c>
      <c r="ACA116" s="77" t="str">
        <f t="shared" si="115"/>
        <v/>
      </c>
      <c r="ACB116" s="77" t="str">
        <f t="shared" si="115"/>
        <v/>
      </c>
      <c r="ACC116" s="77" t="str">
        <f t="shared" si="115"/>
        <v/>
      </c>
      <c r="ACD116" s="77" t="str">
        <f t="shared" si="115"/>
        <v/>
      </c>
      <c r="ACE116" s="77" t="str">
        <f t="shared" si="115"/>
        <v/>
      </c>
      <c r="ACF116" s="77" t="str">
        <f t="shared" si="115"/>
        <v/>
      </c>
      <c r="ACG116" s="77" t="str">
        <f t="shared" si="115"/>
        <v/>
      </c>
      <c r="ACH116" s="77" t="str">
        <f t="shared" si="115"/>
        <v/>
      </c>
      <c r="ACI116" s="77" t="str">
        <f t="shared" si="115"/>
        <v/>
      </c>
      <c r="ACJ116" s="77" t="str">
        <f t="shared" si="115"/>
        <v/>
      </c>
      <c r="ACK116" s="77" t="str">
        <f t="shared" si="115"/>
        <v/>
      </c>
      <c r="ACL116" s="77" t="str">
        <f t="shared" si="115"/>
        <v/>
      </c>
      <c r="ACM116" s="77" t="str">
        <f t="shared" si="115"/>
        <v/>
      </c>
      <c r="ACN116" s="77" t="str">
        <f t="shared" si="115"/>
        <v/>
      </c>
      <c r="ACO116" s="77" t="str">
        <f t="shared" si="115"/>
        <v/>
      </c>
      <c r="ACP116" s="77" t="str">
        <f t="shared" si="115"/>
        <v/>
      </c>
      <c r="ACQ116" s="77" t="str">
        <f t="shared" si="115"/>
        <v/>
      </c>
      <c r="ACR116" s="77" t="str">
        <f t="shared" si="115"/>
        <v/>
      </c>
      <c r="ACS116" s="77" t="str">
        <f t="shared" si="115"/>
        <v/>
      </c>
      <c r="ACT116" s="77" t="str">
        <f t="shared" si="115"/>
        <v/>
      </c>
      <c r="ACU116" s="77" t="str">
        <f t="shared" si="115"/>
        <v/>
      </c>
      <c r="ACV116" s="77" t="str">
        <f t="shared" si="115"/>
        <v/>
      </c>
      <c r="ACW116" s="77" t="str">
        <f t="shared" si="115"/>
        <v/>
      </c>
      <c r="ACX116" s="77" t="str">
        <f t="shared" si="115"/>
        <v/>
      </c>
      <c r="ACY116" s="77" t="str">
        <f t="shared" si="115"/>
        <v/>
      </c>
      <c r="ACZ116" s="77" t="str">
        <f t="shared" si="115"/>
        <v/>
      </c>
      <c r="ADA116" s="77" t="str">
        <f t="shared" si="115"/>
        <v/>
      </c>
      <c r="ADB116" s="77" t="str">
        <f t="shared" si="115"/>
        <v/>
      </c>
      <c r="ADC116" s="77" t="str">
        <f t="shared" si="115"/>
        <v/>
      </c>
      <c r="ADD116" s="77" t="str">
        <f t="shared" si="115"/>
        <v/>
      </c>
      <c r="ADE116" s="77" t="str">
        <f t="shared" si="115"/>
        <v/>
      </c>
      <c r="ADF116" s="77" t="str">
        <f t="shared" si="115"/>
        <v/>
      </c>
      <c r="ADG116" s="77" t="str">
        <f t="shared" si="115"/>
        <v/>
      </c>
      <c r="ADH116" s="77" t="str">
        <f t="shared" si="115"/>
        <v/>
      </c>
      <c r="ADI116" s="77" t="str">
        <f t="shared" si="115"/>
        <v/>
      </c>
      <c r="ADJ116" s="77" t="str">
        <f t="shared" si="115"/>
        <v/>
      </c>
      <c r="ADK116" s="77" t="str">
        <f t="shared" si="115"/>
        <v/>
      </c>
      <c r="ADL116" s="77" t="str">
        <f t="shared" si="115"/>
        <v/>
      </c>
      <c r="ADM116" s="77" t="str">
        <f t="shared" si="115"/>
        <v/>
      </c>
      <c r="ADN116" s="77" t="str">
        <f t="shared" si="115"/>
        <v/>
      </c>
      <c r="ADO116" s="77" t="str">
        <f t="shared" si="115"/>
        <v/>
      </c>
      <c r="ADP116" s="77" t="str">
        <f t="shared" si="115"/>
        <v/>
      </c>
      <c r="ADQ116" s="77" t="str">
        <f t="shared" si="115"/>
        <v/>
      </c>
      <c r="ADR116" s="77" t="str">
        <f t="shared" si="115"/>
        <v/>
      </c>
      <c r="ADS116" s="77" t="str">
        <f t="shared" si="115"/>
        <v/>
      </c>
      <c r="ADT116" s="77" t="str">
        <f t="shared" si="115"/>
        <v/>
      </c>
      <c r="ADU116" s="77" t="str">
        <f t="shared" si="115"/>
        <v/>
      </c>
      <c r="ADV116" s="77" t="str">
        <f t="shared" si="115"/>
        <v/>
      </c>
      <c r="ADW116" s="77" t="str">
        <f t="shared" si="115"/>
        <v/>
      </c>
      <c r="ADX116" s="77" t="str">
        <f t="shared" si="115"/>
        <v/>
      </c>
      <c r="ADY116" s="77" t="str">
        <f t="shared" si="115"/>
        <v/>
      </c>
      <c r="ADZ116" s="77" t="str">
        <f t="shared" si="115"/>
        <v/>
      </c>
      <c r="AEA116" s="77" t="str">
        <f t="shared" ref="AEA116:AGL116" si="116">IF(ISNUMBER(outYear),AEA69+AEA75+AEA81+AEA113,"")</f>
        <v/>
      </c>
      <c r="AEB116" s="77" t="str">
        <f t="shared" si="116"/>
        <v/>
      </c>
      <c r="AEC116" s="77" t="str">
        <f t="shared" si="116"/>
        <v/>
      </c>
      <c r="AED116" s="77" t="str">
        <f t="shared" si="116"/>
        <v/>
      </c>
      <c r="AEE116" s="77" t="str">
        <f t="shared" si="116"/>
        <v/>
      </c>
      <c r="AEF116" s="77" t="str">
        <f t="shared" si="116"/>
        <v/>
      </c>
      <c r="AEG116" s="77" t="str">
        <f t="shared" si="116"/>
        <v/>
      </c>
      <c r="AEH116" s="77" t="str">
        <f t="shared" si="116"/>
        <v/>
      </c>
      <c r="AEI116" s="77" t="str">
        <f t="shared" si="116"/>
        <v/>
      </c>
      <c r="AEJ116" s="77" t="str">
        <f t="shared" si="116"/>
        <v/>
      </c>
      <c r="AEK116" s="77" t="str">
        <f t="shared" si="116"/>
        <v/>
      </c>
      <c r="AEL116" s="77" t="str">
        <f t="shared" si="116"/>
        <v/>
      </c>
      <c r="AEM116" s="77" t="str">
        <f t="shared" si="116"/>
        <v/>
      </c>
      <c r="AEN116" s="77" t="str">
        <f t="shared" si="116"/>
        <v/>
      </c>
      <c r="AEO116" s="77" t="str">
        <f t="shared" si="116"/>
        <v/>
      </c>
      <c r="AEP116" s="77" t="str">
        <f t="shared" si="116"/>
        <v/>
      </c>
      <c r="AEQ116" s="77" t="str">
        <f t="shared" si="116"/>
        <v/>
      </c>
      <c r="AER116" s="77" t="str">
        <f t="shared" si="116"/>
        <v/>
      </c>
      <c r="AES116" s="77" t="str">
        <f t="shared" si="116"/>
        <v/>
      </c>
      <c r="AET116" s="77" t="str">
        <f t="shared" si="116"/>
        <v/>
      </c>
      <c r="AEU116" s="77" t="str">
        <f t="shared" si="116"/>
        <v/>
      </c>
      <c r="AEV116" s="77" t="str">
        <f t="shared" si="116"/>
        <v/>
      </c>
      <c r="AEW116" s="77" t="str">
        <f t="shared" si="116"/>
        <v/>
      </c>
      <c r="AEX116" s="77" t="str">
        <f t="shared" si="116"/>
        <v/>
      </c>
      <c r="AEY116" s="77" t="str">
        <f t="shared" si="116"/>
        <v/>
      </c>
      <c r="AEZ116" s="77" t="str">
        <f t="shared" si="116"/>
        <v/>
      </c>
      <c r="AFA116" s="77" t="str">
        <f t="shared" si="116"/>
        <v/>
      </c>
      <c r="AFB116" s="77" t="str">
        <f t="shared" si="116"/>
        <v/>
      </c>
      <c r="AFC116" s="77" t="str">
        <f t="shared" si="116"/>
        <v/>
      </c>
      <c r="AFD116" s="77" t="str">
        <f t="shared" si="116"/>
        <v/>
      </c>
      <c r="AFE116" s="77" t="str">
        <f t="shared" si="116"/>
        <v/>
      </c>
      <c r="AFF116" s="77" t="str">
        <f t="shared" si="116"/>
        <v/>
      </c>
      <c r="AFG116" s="77" t="str">
        <f t="shared" si="116"/>
        <v/>
      </c>
      <c r="AFH116" s="77" t="str">
        <f t="shared" si="116"/>
        <v/>
      </c>
      <c r="AFI116" s="77" t="str">
        <f t="shared" si="116"/>
        <v/>
      </c>
      <c r="AFJ116" s="77" t="str">
        <f t="shared" si="116"/>
        <v/>
      </c>
      <c r="AFK116" s="77" t="str">
        <f t="shared" si="116"/>
        <v/>
      </c>
      <c r="AFL116" s="77" t="str">
        <f t="shared" si="116"/>
        <v/>
      </c>
      <c r="AFM116" s="77" t="str">
        <f t="shared" si="116"/>
        <v/>
      </c>
      <c r="AFN116" s="77" t="str">
        <f t="shared" si="116"/>
        <v/>
      </c>
      <c r="AFO116" s="77" t="str">
        <f t="shared" si="116"/>
        <v/>
      </c>
      <c r="AFP116" s="77" t="str">
        <f t="shared" si="116"/>
        <v/>
      </c>
      <c r="AFQ116" s="77" t="str">
        <f t="shared" si="116"/>
        <v/>
      </c>
      <c r="AFR116" s="77" t="str">
        <f t="shared" si="116"/>
        <v/>
      </c>
      <c r="AFS116" s="77" t="str">
        <f t="shared" si="116"/>
        <v/>
      </c>
      <c r="AFT116" s="77" t="str">
        <f t="shared" si="116"/>
        <v/>
      </c>
      <c r="AFU116" s="77" t="str">
        <f t="shared" si="116"/>
        <v/>
      </c>
      <c r="AFV116" s="77" t="str">
        <f t="shared" si="116"/>
        <v/>
      </c>
      <c r="AFW116" s="77" t="str">
        <f t="shared" si="116"/>
        <v/>
      </c>
      <c r="AFX116" s="77" t="str">
        <f t="shared" si="116"/>
        <v/>
      </c>
      <c r="AFY116" s="77" t="str">
        <f t="shared" si="116"/>
        <v/>
      </c>
      <c r="AFZ116" s="77" t="str">
        <f t="shared" si="116"/>
        <v/>
      </c>
      <c r="AGA116" s="77" t="str">
        <f t="shared" si="116"/>
        <v/>
      </c>
      <c r="AGB116" s="77" t="str">
        <f t="shared" si="116"/>
        <v/>
      </c>
      <c r="AGC116" s="77" t="str">
        <f t="shared" si="116"/>
        <v/>
      </c>
      <c r="AGD116" s="77" t="str">
        <f t="shared" si="116"/>
        <v/>
      </c>
      <c r="AGE116" s="77" t="str">
        <f t="shared" si="116"/>
        <v/>
      </c>
      <c r="AGF116" s="77" t="str">
        <f t="shared" si="116"/>
        <v/>
      </c>
      <c r="AGG116" s="77" t="str">
        <f t="shared" si="116"/>
        <v/>
      </c>
      <c r="AGH116" s="77" t="str">
        <f t="shared" si="116"/>
        <v/>
      </c>
      <c r="AGI116" s="77" t="str">
        <f t="shared" si="116"/>
        <v/>
      </c>
      <c r="AGJ116" s="77" t="str">
        <f t="shared" si="116"/>
        <v/>
      </c>
      <c r="AGK116" s="77" t="str">
        <f t="shared" si="116"/>
        <v/>
      </c>
      <c r="AGL116" s="77" t="str">
        <f t="shared" si="116"/>
        <v/>
      </c>
      <c r="AGM116" s="77" t="str">
        <f t="shared" ref="AGM116:AIX116" si="117">IF(ISNUMBER(outYear),AGM69+AGM75+AGM81+AGM113,"")</f>
        <v/>
      </c>
      <c r="AGN116" s="77" t="str">
        <f t="shared" si="117"/>
        <v/>
      </c>
      <c r="AGO116" s="77" t="str">
        <f t="shared" si="117"/>
        <v/>
      </c>
      <c r="AGP116" s="77" t="str">
        <f t="shared" si="117"/>
        <v/>
      </c>
      <c r="AGQ116" s="77" t="str">
        <f t="shared" si="117"/>
        <v/>
      </c>
      <c r="AGR116" s="77" t="str">
        <f t="shared" si="117"/>
        <v/>
      </c>
      <c r="AGS116" s="77" t="str">
        <f t="shared" si="117"/>
        <v/>
      </c>
      <c r="AGT116" s="77" t="str">
        <f t="shared" si="117"/>
        <v/>
      </c>
      <c r="AGU116" s="77" t="str">
        <f t="shared" si="117"/>
        <v/>
      </c>
      <c r="AGV116" s="77" t="str">
        <f t="shared" si="117"/>
        <v/>
      </c>
      <c r="AGW116" s="77" t="str">
        <f t="shared" si="117"/>
        <v/>
      </c>
      <c r="AGX116" s="77" t="str">
        <f t="shared" si="117"/>
        <v/>
      </c>
      <c r="AGY116" s="77" t="str">
        <f t="shared" si="117"/>
        <v/>
      </c>
      <c r="AGZ116" s="77" t="str">
        <f t="shared" si="117"/>
        <v/>
      </c>
      <c r="AHA116" s="77" t="str">
        <f t="shared" si="117"/>
        <v/>
      </c>
      <c r="AHB116" s="77" t="str">
        <f t="shared" si="117"/>
        <v/>
      </c>
      <c r="AHC116" s="77" t="str">
        <f t="shared" si="117"/>
        <v/>
      </c>
      <c r="AHD116" s="77" t="str">
        <f t="shared" si="117"/>
        <v/>
      </c>
      <c r="AHE116" s="77" t="str">
        <f t="shared" si="117"/>
        <v/>
      </c>
      <c r="AHF116" s="77" t="str">
        <f t="shared" si="117"/>
        <v/>
      </c>
      <c r="AHG116" s="77" t="str">
        <f t="shared" si="117"/>
        <v/>
      </c>
      <c r="AHH116" s="77" t="str">
        <f t="shared" si="117"/>
        <v/>
      </c>
      <c r="AHI116" s="77" t="str">
        <f t="shared" si="117"/>
        <v/>
      </c>
      <c r="AHJ116" s="77" t="str">
        <f t="shared" si="117"/>
        <v/>
      </c>
      <c r="AHK116" s="77" t="str">
        <f t="shared" si="117"/>
        <v/>
      </c>
      <c r="AHL116" s="77" t="str">
        <f t="shared" si="117"/>
        <v/>
      </c>
      <c r="AHM116" s="77" t="str">
        <f t="shared" si="117"/>
        <v/>
      </c>
      <c r="AHN116" s="77" t="str">
        <f t="shared" si="117"/>
        <v/>
      </c>
      <c r="AHO116" s="77" t="str">
        <f t="shared" si="117"/>
        <v/>
      </c>
      <c r="AHP116" s="77" t="str">
        <f t="shared" si="117"/>
        <v/>
      </c>
      <c r="AHQ116" s="77" t="str">
        <f t="shared" si="117"/>
        <v/>
      </c>
      <c r="AHR116" s="77" t="str">
        <f t="shared" si="117"/>
        <v/>
      </c>
      <c r="AHS116" s="77" t="str">
        <f t="shared" si="117"/>
        <v/>
      </c>
      <c r="AHT116" s="77" t="str">
        <f t="shared" si="117"/>
        <v/>
      </c>
      <c r="AHU116" s="77" t="str">
        <f t="shared" si="117"/>
        <v/>
      </c>
      <c r="AHV116" s="77" t="str">
        <f t="shared" si="117"/>
        <v/>
      </c>
      <c r="AHW116" s="77" t="str">
        <f t="shared" si="117"/>
        <v/>
      </c>
      <c r="AHX116" s="77" t="str">
        <f t="shared" si="117"/>
        <v/>
      </c>
      <c r="AHY116" s="77" t="str">
        <f t="shared" si="117"/>
        <v/>
      </c>
      <c r="AHZ116" s="77" t="str">
        <f t="shared" si="117"/>
        <v/>
      </c>
      <c r="AIA116" s="77" t="str">
        <f t="shared" si="117"/>
        <v/>
      </c>
      <c r="AIB116" s="77" t="str">
        <f t="shared" si="117"/>
        <v/>
      </c>
      <c r="AIC116" s="77" t="str">
        <f t="shared" si="117"/>
        <v/>
      </c>
      <c r="AID116" s="77" t="str">
        <f t="shared" si="117"/>
        <v/>
      </c>
      <c r="AIE116" s="77" t="str">
        <f t="shared" si="117"/>
        <v/>
      </c>
      <c r="AIF116" s="77" t="str">
        <f t="shared" si="117"/>
        <v/>
      </c>
      <c r="AIG116" s="77" t="str">
        <f t="shared" si="117"/>
        <v/>
      </c>
      <c r="AIH116" s="77" t="str">
        <f t="shared" si="117"/>
        <v/>
      </c>
      <c r="AII116" s="77" t="str">
        <f t="shared" si="117"/>
        <v/>
      </c>
      <c r="AIJ116" s="77" t="str">
        <f t="shared" si="117"/>
        <v/>
      </c>
      <c r="AIK116" s="77" t="str">
        <f t="shared" si="117"/>
        <v/>
      </c>
      <c r="AIL116" s="77" t="str">
        <f t="shared" si="117"/>
        <v/>
      </c>
      <c r="AIM116" s="77" t="str">
        <f t="shared" si="117"/>
        <v/>
      </c>
      <c r="AIN116" s="77" t="str">
        <f t="shared" si="117"/>
        <v/>
      </c>
      <c r="AIO116" s="77" t="str">
        <f t="shared" si="117"/>
        <v/>
      </c>
      <c r="AIP116" s="77" t="str">
        <f t="shared" si="117"/>
        <v/>
      </c>
      <c r="AIQ116" s="77" t="str">
        <f t="shared" si="117"/>
        <v/>
      </c>
      <c r="AIR116" s="77" t="str">
        <f t="shared" si="117"/>
        <v/>
      </c>
      <c r="AIS116" s="77" t="str">
        <f t="shared" si="117"/>
        <v/>
      </c>
      <c r="AIT116" s="77" t="str">
        <f t="shared" si="117"/>
        <v/>
      </c>
      <c r="AIU116" s="77" t="str">
        <f t="shared" si="117"/>
        <v/>
      </c>
      <c r="AIV116" s="77" t="str">
        <f t="shared" si="117"/>
        <v/>
      </c>
      <c r="AIW116" s="77" t="str">
        <f t="shared" si="117"/>
        <v/>
      </c>
      <c r="AIX116" s="77" t="str">
        <f t="shared" si="117"/>
        <v/>
      </c>
      <c r="AIY116" s="77" t="str">
        <f t="shared" ref="AIY116:ALJ116" si="118">IF(ISNUMBER(outYear),AIY69+AIY75+AIY81+AIY113,"")</f>
        <v/>
      </c>
      <c r="AIZ116" s="77" t="str">
        <f t="shared" si="118"/>
        <v/>
      </c>
      <c r="AJA116" s="77" t="str">
        <f t="shared" si="118"/>
        <v/>
      </c>
      <c r="AJB116" s="77" t="str">
        <f t="shared" si="118"/>
        <v/>
      </c>
      <c r="AJC116" s="77" t="str">
        <f t="shared" si="118"/>
        <v/>
      </c>
      <c r="AJD116" s="77" t="str">
        <f t="shared" si="118"/>
        <v/>
      </c>
      <c r="AJE116" s="77" t="str">
        <f t="shared" si="118"/>
        <v/>
      </c>
      <c r="AJF116" s="77" t="str">
        <f t="shared" si="118"/>
        <v/>
      </c>
      <c r="AJG116" s="77" t="str">
        <f t="shared" si="118"/>
        <v/>
      </c>
      <c r="AJH116" s="77" t="str">
        <f t="shared" si="118"/>
        <v/>
      </c>
      <c r="AJI116" s="77" t="str">
        <f t="shared" si="118"/>
        <v/>
      </c>
      <c r="AJJ116" s="77" t="str">
        <f t="shared" si="118"/>
        <v/>
      </c>
      <c r="AJK116" s="77" t="str">
        <f t="shared" si="118"/>
        <v/>
      </c>
      <c r="AJL116" s="77" t="str">
        <f t="shared" si="118"/>
        <v/>
      </c>
      <c r="AJM116" s="77" t="str">
        <f t="shared" si="118"/>
        <v/>
      </c>
      <c r="AJN116" s="77" t="str">
        <f t="shared" si="118"/>
        <v/>
      </c>
      <c r="AJO116" s="77" t="str">
        <f t="shared" si="118"/>
        <v/>
      </c>
      <c r="AJP116" s="77" t="str">
        <f t="shared" si="118"/>
        <v/>
      </c>
      <c r="AJQ116" s="77" t="str">
        <f t="shared" si="118"/>
        <v/>
      </c>
      <c r="AJR116" s="77" t="str">
        <f t="shared" si="118"/>
        <v/>
      </c>
      <c r="AJS116" s="77" t="str">
        <f t="shared" si="118"/>
        <v/>
      </c>
      <c r="AJT116" s="77" t="str">
        <f t="shared" si="118"/>
        <v/>
      </c>
      <c r="AJU116" s="77" t="str">
        <f t="shared" si="118"/>
        <v/>
      </c>
      <c r="AJV116" s="77" t="str">
        <f t="shared" si="118"/>
        <v/>
      </c>
      <c r="AJW116" s="77" t="str">
        <f t="shared" si="118"/>
        <v/>
      </c>
      <c r="AJX116" s="77" t="str">
        <f t="shared" si="118"/>
        <v/>
      </c>
      <c r="AJY116" s="77" t="str">
        <f t="shared" si="118"/>
        <v/>
      </c>
      <c r="AJZ116" s="77" t="str">
        <f t="shared" si="118"/>
        <v/>
      </c>
      <c r="AKA116" s="77" t="str">
        <f t="shared" si="118"/>
        <v/>
      </c>
      <c r="AKB116" s="77" t="str">
        <f t="shared" si="118"/>
        <v/>
      </c>
      <c r="AKC116" s="77" t="str">
        <f t="shared" si="118"/>
        <v/>
      </c>
      <c r="AKD116" s="77" t="str">
        <f t="shared" si="118"/>
        <v/>
      </c>
      <c r="AKE116" s="77" t="str">
        <f t="shared" si="118"/>
        <v/>
      </c>
      <c r="AKF116" s="77" t="str">
        <f t="shared" si="118"/>
        <v/>
      </c>
      <c r="AKG116" s="77" t="str">
        <f t="shared" si="118"/>
        <v/>
      </c>
      <c r="AKH116" s="77" t="str">
        <f t="shared" si="118"/>
        <v/>
      </c>
      <c r="AKI116" s="77" t="str">
        <f t="shared" si="118"/>
        <v/>
      </c>
      <c r="AKJ116" s="77" t="str">
        <f t="shared" si="118"/>
        <v/>
      </c>
      <c r="AKK116" s="77" t="str">
        <f t="shared" si="118"/>
        <v/>
      </c>
      <c r="AKL116" s="77" t="str">
        <f t="shared" si="118"/>
        <v/>
      </c>
      <c r="AKM116" s="77" t="str">
        <f t="shared" si="118"/>
        <v/>
      </c>
      <c r="AKN116" s="77" t="str">
        <f t="shared" si="118"/>
        <v/>
      </c>
      <c r="AKO116" s="77" t="str">
        <f t="shared" si="118"/>
        <v/>
      </c>
      <c r="AKP116" s="77" t="str">
        <f t="shared" si="118"/>
        <v/>
      </c>
      <c r="AKQ116" s="77" t="str">
        <f t="shared" si="118"/>
        <v/>
      </c>
      <c r="AKR116" s="77" t="str">
        <f t="shared" si="118"/>
        <v/>
      </c>
      <c r="AKS116" s="77" t="str">
        <f t="shared" si="118"/>
        <v/>
      </c>
      <c r="AKT116" s="77" t="str">
        <f t="shared" si="118"/>
        <v/>
      </c>
      <c r="AKU116" s="77" t="str">
        <f t="shared" si="118"/>
        <v/>
      </c>
      <c r="AKV116" s="77" t="str">
        <f t="shared" si="118"/>
        <v/>
      </c>
      <c r="AKW116" s="77" t="str">
        <f t="shared" si="118"/>
        <v/>
      </c>
      <c r="AKX116" s="77" t="str">
        <f t="shared" si="118"/>
        <v/>
      </c>
      <c r="AKY116" s="77" t="str">
        <f t="shared" si="118"/>
        <v/>
      </c>
      <c r="AKZ116" s="77" t="str">
        <f t="shared" si="118"/>
        <v/>
      </c>
      <c r="ALA116" s="77" t="str">
        <f t="shared" si="118"/>
        <v/>
      </c>
      <c r="ALB116" s="77" t="str">
        <f t="shared" si="118"/>
        <v/>
      </c>
      <c r="ALC116" s="77" t="str">
        <f t="shared" si="118"/>
        <v/>
      </c>
      <c r="ALD116" s="77" t="str">
        <f t="shared" si="118"/>
        <v/>
      </c>
      <c r="ALE116" s="77" t="str">
        <f t="shared" si="118"/>
        <v/>
      </c>
      <c r="ALF116" s="77" t="str">
        <f t="shared" si="118"/>
        <v/>
      </c>
      <c r="ALG116" s="77" t="str">
        <f t="shared" si="118"/>
        <v/>
      </c>
      <c r="ALH116" s="77" t="str">
        <f t="shared" si="118"/>
        <v/>
      </c>
      <c r="ALI116" s="77" t="str">
        <f t="shared" si="118"/>
        <v/>
      </c>
      <c r="ALJ116" s="77" t="str">
        <f t="shared" si="118"/>
        <v/>
      </c>
      <c r="ALK116" s="77" t="str">
        <f t="shared" ref="ALK116:ANV116" si="119">IF(ISNUMBER(outYear),ALK69+ALK75+ALK81+ALK113,"")</f>
        <v/>
      </c>
      <c r="ALL116" s="77" t="str">
        <f t="shared" si="119"/>
        <v/>
      </c>
      <c r="ALM116" s="77" t="str">
        <f t="shared" si="119"/>
        <v/>
      </c>
      <c r="ALN116" s="77" t="str">
        <f t="shared" si="119"/>
        <v/>
      </c>
      <c r="ALO116" s="77" t="str">
        <f t="shared" si="119"/>
        <v/>
      </c>
      <c r="ALP116" s="77" t="str">
        <f t="shared" si="119"/>
        <v/>
      </c>
      <c r="ALQ116" s="77" t="str">
        <f t="shared" si="119"/>
        <v/>
      </c>
      <c r="ALR116" s="77" t="str">
        <f t="shared" si="119"/>
        <v/>
      </c>
      <c r="ALS116" s="77" t="str">
        <f t="shared" si="119"/>
        <v/>
      </c>
      <c r="ALT116" s="77" t="str">
        <f t="shared" si="119"/>
        <v/>
      </c>
      <c r="ALU116" s="77" t="str">
        <f t="shared" si="119"/>
        <v/>
      </c>
      <c r="ALV116" s="77" t="str">
        <f t="shared" si="119"/>
        <v/>
      </c>
      <c r="ALW116" s="77" t="str">
        <f t="shared" si="119"/>
        <v/>
      </c>
      <c r="ALX116" s="77" t="str">
        <f t="shared" si="119"/>
        <v/>
      </c>
      <c r="ALY116" s="77" t="str">
        <f t="shared" si="119"/>
        <v/>
      </c>
      <c r="ALZ116" s="77" t="str">
        <f t="shared" si="119"/>
        <v/>
      </c>
      <c r="AMA116" s="77" t="str">
        <f t="shared" si="119"/>
        <v/>
      </c>
      <c r="AMB116" s="77" t="str">
        <f t="shared" si="119"/>
        <v/>
      </c>
      <c r="AMC116" s="77" t="str">
        <f t="shared" si="119"/>
        <v/>
      </c>
      <c r="AMD116" s="77" t="str">
        <f t="shared" si="119"/>
        <v/>
      </c>
      <c r="AME116" s="77" t="str">
        <f t="shared" si="119"/>
        <v/>
      </c>
      <c r="AMF116" s="77" t="str">
        <f t="shared" si="119"/>
        <v/>
      </c>
      <c r="AMG116" s="77" t="str">
        <f t="shared" si="119"/>
        <v/>
      </c>
      <c r="AMH116" s="77" t="str">
        <f t="shared" si="119"/>
        <v/>
      </c>
      <c r="AMI116" s="77" t="str">
        <f t="shared" si="119"/>
        <v/>
      </c>
      <c r="AMJ116" s="77" t="str">
        <f t="shared" si="119"/>
        <v/>
      </c>
      <c r="AMK116" s="77" t="str">
        <f t="shared" si="119"/>
        <v/>
      </c>
      <c r="AML116" s="77" t="str">
        <f t="shared" si="119"/>
        <v/>
      </c>
      <c r="AMM116" s="77" t="str">
        <f t="shared" si="119"/>
        <v/>
      </c>
      <c r="AMN116" s="77" t="str">
        <f t="shared" si="119"/>
        <v/>
      </c>
      <c r="AMO116" s="77" t="str">
        <f t="shared" si="119"/>
        <v/>
      </c>
      <c r="AMP116" s="77" t="str">
        <f t="shared" si="119"/>
        <v/>
      </c>
      <c r="AMQ116" s="77" t="str">
        <f t="shared" si="119"/>
        <v/>
      </c>
      <c r="AMR116" s="77" t="str">
        <f t="shared" si="119"/>
        <v/>
      </c>
      <c r="AMS116" s="77" t="str">
        <f t="shared" si="119"/>
        <v/>
      </c>
      <c r="AMT116" s="77" t="str">
        <f t="shared" si="119"/>
        <v/>
      </c>
      <c r="AMU116" s="77" t="str">
        <f t="shared" si="119"/>
        <v/>
      </c>
      <c r="AMV116" s="77" t="str">
        <f t="shared" si="119"/>
        <v/>
      </c>
      <c r="AMW116" s="77" t="str">
        <f t="shared" si="119"/>
        <v/>
      </c>
      <c r="AMX116" s="77" t="str">
        <f t="shared" si="119"/>
        <v/>
      </c>
      <c r="AMY116" s="77" t="str">
        <f t="shared" si="119"/>
        <v/>
      </c>
      <c r="AMZ116" s="77" t="str">
        <f t="shared" si="119"/>
        <v/>
      </c>
      <c r="ANA116" s="77" t="str">
        <f t="shared" si="119"/>
        <v/>
      </c>
      <c r="ANB116" s="77" t="str">
        <f t="shared" si="119"/>
        <v/>
      </c>
      <c r="ANC116" s="77" t="str">
        <f t="shared" si="119"/>
        <v/>
      </c>
      <c r="AND116" s="77" t="str">
        <f t="shared" si="119"/>
        <v/>
      </c>
      <c r="ANE116" s="77" t="str">
        <f t="shared" si="119"/>
        <v/>
      </c>
      <c r="ANF116" s="77" t="str">
        <f t="shared" si="119"/>
        <v/>
      </c>
      <c r="ANG116" s="77" t="str">
        <f t="shared" si="119"/>
        <v/>
      </c>
      <c r="ANH116" s="77" t="str">
        <f t="shared" si="119"/>
        <v/>
      </c>
      <c r="ANI116" s="77" t="str">
        <f t="shared" si="119"/>
        <v/>
      </c>
      <c r="ANJ116" s="77" t="str">
        <f t="shared" si="119"/>
        <v/>
      </c>
      <c r="ANK116" s="77" t="str">
        <f t="shared" si="119"/>
        <v/>
      </c>
      <c r="ANL116" s="77" t="str">
        <f t="shared" si="119"/>
        <v/>
      </c>
      <c r="ANM116" s="77" t="str">
        <f t="shared" si="119"/>
        <v/>
      </c>
      <c r="ANN116" s="77" t="str">
        <f t="shared" si="119"/>
        <v/>
      </c>
      <c r="ANO116" s="77" t="str">
        <f t="shared" si="119"/>
        <v/>
      </c>
      <c r="ANP116" s="77" t="str">
        <f t="shared" si="119"/>
        <v/>
      </c>
      <c r="ANQ116" s="77" t="str">
        <f t="shared" si="119"/>
        <v/>
      </c>
      <c r="ANR116" s="77" t="str">
        <f t="shared" si="119"/>
        <v/>
      </c>
      <c r="ANS116" s="77" t="str">
        <f t="shared" si="119"/>
        <v/>
      </c>
      <c r="ANT116" s="77" t="str">
        <f t="shared" si="119"/>
        <v/>
      </c>
      <c r="ANU116" s="77" t="str">
        <f t="shared" si="119"/>
        <v/>
      </c>
      <c r="ANV116" s="77" t="str">
        <f t="shared" si="119"/>
        <v/>
      </c>
      <c r="ANW116" s="77" t="str">
        <f t="shared" ref="ANW116:AQH116" si="120">IF(ISNUMBER(outYear),ANW69+ANW75+ANW81+ANW113,"")</f>
        <v/>
      </c>
      <c r="ANX116" s="77" t="str">
        <f t="shared" si="120"/>
        <v/>
      </c>
      <c r="ANY116" s="77" t="str">
        <f t="shared" si="120"/>
        <v/>
      </c>
      <c r="ANZ116" s="77" t="str">
        <f t="shared" si="120"/>
        <v/>
      </c>
      <c r="AOA116" s="77" t="str">
        <f t="shared" si="120"/>
        <v/>
      </c>
      <c r="AOB116" s="77" t="str">
        <f t="shared" si="120"/>
        <v/>
      </c>
      <c r="AOC116" s="77" t="str">
        <f t="shared" si="120"/>
        <v/>
      </c>
      <c r="AOD116" s="77" t="str">
        <f t="shared" si="120"/>
        <v/>
      </c>
      <c r="AOE116" s="77" t="str">
        <f t="shared" si="120"/>
        <v/>
      </c>
      <c r="AOF116" s="77" t="str">
        <f t="shared" si="120"/>
        <v/>
      </c>
      <c r="AOG116" s="77" t="str">
        <f t="shared" si="120"/>
        <v/>
      </c>
      <c r="AOH116" s="77" t="str">
        <f t="shared" si="120"/>
        <v/>
      </c>
      <c r="AOI116" s="77" t="str">
        <f t="shared" si="120"/>
        <v/>
      </c>
      <c r="AOJ116" s="77" t="str">
        <f t="shared" si="120"/>
        <v/>
      </c>
      <c r="AOK116" s="77" t="str">
        <f t="shared" si="120"/>
        <v/>
      </c>
      <c r="AOL116" s="77" t="str">
        <f t="shared" si="120"/>
        <v/>
      </c>
      <c r="AOM116" s="77" t="str">
        <f t="shared" si="120"/>
        <v/>
      </c>
      <c r="AON116" s="77" t="str">
        <f t="shared" si="120"/>
        <v/>
      </c>
      <c r="AOO116" s="77" t="str">
        <f t="shared" si="120"/>
        <v/>
      </c>
      <c r="AOP116" s="77" t="str">
        <f t="shared" si="120"/>
        <v/>
      </c>
      <c r="AOQ116" s="77" t="str">
        <f t="shared" si="120"/>
        <v/>
      </c>
      <c r="AOR116" s="77" t="str">
        <f t="shared" si="120"/>
        <v/>
      </c>
      <c r="AOS116" s="77" t="str">
        <f t="shared" si="120"/>
        <v/>
      </c>
      <c r="AOT116" s="77" t="str">
        <f t="shared" si="120"/>
        <v/>
      </c>
      <c r="AOU116" s="77" t="str">
        <f t="shared" si="120"/>
        <v/>
      </c>
      <c r="AOV116" s="77" t="str">
        <f t="shared" si="120"/>
        <v/>
      </c>
      <c r="AOW116" s="77" t="str">
        <f t="shared" si="120"/>
        <v/>
      </c>
      <c r="AOX116" s="77" t="str">
        <f t="shared" si="120"/>
        <v/>
      </c>
      <c r="AOY116" s="77" t="str">
        <f t="shared" si="120"/>
        <v/>
      </c>
      <c r="AOZ116" s="77" t="str">
        <f t="shared" si="120"/>
        <v/>
      </c>
      <c r="APA116" s="77" t="str">
        <f t="shared" si="120"/>
        <v/>
      </c>
      <c r="APB116" s="77" t="str">
        <f t="shared" si="120"/>
        <v/>
      </c>
      <c r="APC116" s="77" t="str">
        <f t="shared" si="120"/>
        <v/>
      </c>
      <c r="APD116" s="77" t="str">
        <f t="shared" si="120"/>
        <v/>
      </c>
      <c r="APE116" s="77" t="str">
        <f t="shared" si="120"/>
        <v/>
      </c>
      <c r="APF116" s="77" t="str">
        <f t="shared" si="120"/>
        <v/>
      </c>
      <c r="APG116" s="77" t="str">
        <f t="shared" si="120"/>
        <v/>
      </c>
      <c r="APH116" s="77" t="str">
        <f t="shared" si="120"/>
        <v/>
      </c>
      <c r="API116" s="77" t="str">
        <f t="shared" si="120"/>
        <v/>
      </c>
      <c r="APJ116" s="77" t="str">
        <f t="shared" si="120"/>
        <v/>
      </c>
      <c r="APK116" s="77" t="str">
        <f t="shared" si="120"/>
        <v/>
      </c>
      <c r="APL116" s="77" t="str">
        <f t="shared" si="120"/>
        <v/>
      </c>
      <c r="APM116" s="77" t="str">
        <f t="shared" si="120"/>
        <v/>
      </c>
      <c r="APN116" s="77" t="str">
        <f t="shared" si="120"/>
        <v/>
      </c>
      <c r="APO116" s="77" t="str">
        <f t="shared" si="120"/>
        <v/>
      </c>
      <c r="APP116" s="77" t="str">
        <f t="shared" si="120"/>
        <v/>
      </c>
      <c r="APQ116" s="77" t="str">
        <f t="shared" si="120"/>
        <v/>
      </c>
      <c r="APR116" s="77" t="str">
        <f t="shared" si="120"/>
        <v/>
      </c>
      <c r="APS116" s="77" t="str">
        <f t="shared" si="120"/>
        <v/>
      </c>
      <c r="APT116" s="77" t="str">
        <f t="shared" si="120"/>
        <v/>
      </c>
      <c r="APU116" s="77" t="str">
        <f t="shared" si="120"/>
        <v/>
      </c>
      <c r="APV116" s="77" t="str">
        <f t="shared" si="120"/>
        <v/>
      </c>
      <c r="APW116" s="77" t="str">
        <f t="shared" si="120"/>
        <v/>
      </c>
      <c r="APX116" s="77" t="str">
        <f t="shared" si="120"/>
        <v/>
      </c>
      <c r="APY116" s="77" t="str">
        <f t="shared" si="120"/>
        <v/>
      </c>
      <c r="APZ116" s="77" t="str">
        <f t="shared" si="120"/>
        <v/>
      </c>
      <c r="AQA116" s="77" t="str">
        <f t="shared" si="120"/>
        <v/>
      </c>
      <c r="AQB116" s="77" t="str">
        <f t="shared" si="120"/>
        <v/>
      </c>
      <c r="AQC116" s="77" t="str">
        <f t="shared" si="120"/>
        <v/>
      </c>
      <c r="AQD116" s="77" t="str">
        <f t="shared" si="120"/>
        <v/>
      </c>
      <c r="AQE116" s="77" t="str">
        <f t="shared" si="120"/>
        <v/>
      </c>
      <c r="AQF116" s="77" t="str">
        <f t="shared" si="120"/>
        <v/>
      </c>
      <c r="AQG116" s="77" t="str">
        <f t="shared" si="120"/>
        <v/>
      </c>
      <c r="AQH116" s="77" t="str">
        <f t="shared" si="120"/>
        <v/>
      </c>
      <c r="AQI116" s="77" t="str">
        <f t="shared" ref="AQI116:AST116" si="121">IF(ISNUMBER(outYear),AQI69+AQI75+AQI81+AQI113,"")</f>
        <v/>
      </c>
      <c r="AQJ116" s="77" t="str">
        <f t="shared" si="121"/>
        <v/>
      </c>
      <c r="AQK116" s="77" t="str">
        <f t="shared" si="121"/>
        <v/>
      </c>
      <c r="AQL116" s="77" t="str">
        <f t="shared" si="121"/>
        <v/>
      </c>
      <c r="AQM116" s="77" t="str">
        <f t="shared" si="121"/>
        <v/>
      </c>
      <c r="AQN116" s="77" t="str">
        <f t="shared" si="121"/>
        <v/>
      </c>
      <c r="AQO116" s="77" t="str">
        <f t="shared" si="121"/>
        <v/>
      </c>
      <c r="AQP116" s="77" t="str">
        <f t="shared" si="121"/>
        <v/>
      </c>
      <c r="AQQ116" s="77" t="str">
        <f t="shared" si="121"/>
        <v/>
      </c>
      <c r="AQR116" s="77" t="str">
        <f t="shared" si="121"/>
        <v/>
      </c>
      <c r="AQS116" s="77" t="str">
        <f t="shared" si="121"/>
        <v/>
      </c>
      <c r="AQT116" s="77" t="str">
        <f t="shared" si="121"/>
        <v/>
      </c>
      <c r="AQU116" s="77" t="str">
        <f t="shared" si="121"/>
        <v/>
      </c>
      <c r="AQV116" s="77" t="str">
        <f t="shared" si="121"/>
        <v/>
      </c>
      <c r="AQW116" s="77" t="str">
        <f t="shared" si="121"/>
        <v/>
      </c>
      <c r="AQX116" s="77" t="str">
        <f t="shared" si="121"/>
        <v/>
      </c>
      <c r="AQY116" s="77" t="str">
        <f t="shared" si="121"/>
        <v/>
      </c>
      <c r="AQZ116" s="77" t="str">
        <f t="shared" si="121"/>
        <v/>
      </c>
      <c r="ARA116" s="77" t="str">
        <f t="shared" si="121"/>
        <v/>
      </c>
      <c r="ARB116" s="77" t="str">
        <f t="shared" si="121"/>
        <v/>
      </c>
      <c r="ARC116" s="77" t="str">
        <f t="shared" si="121"/>
        <v/>
      </c>
      <c r="ARD116" s="77" t="str">
        <f t="shared" si="121"/>
        <v/>
      </c>
      <c r="ARE116" s="77" t="str">
        <f t="shared" si="121"/>
        <v/>
      </c>
      <c r="ARF116" s="77" t="str">
        <f t="shared" si="121"/>
        <v/>
      </c>
      <c r="ARG116" s="77" t="str">
        <f t="shared" si="121"/>
        <v/>
      </c>
      <c r="ARH116" s="77" t="str">
        <f t="shared" si="121"/>
        <v/>
      </c>
      <c r="ARI116" s="77" t="str">
        <f t="shared" si="121"/>
        <v/>
      </c>
      <c r="ARJ116" s="77" t="str">
        <f t="shared" si="121"/>
        <v/>
      </c>
      <c r="ARK116" s="77" t="str">
        <f t="shared" si="121"/>
        <v/>
      </c>
      <c r="ARL116" s="77" t="str">
        <f t="shared" si="121"/>
        <v/>
      </c>
      <c r="ARM116" s="77" t="str">
        <f t="shared" si="121"/>
        <v/>
      </c>
      <c r="ARN116" s="77" t="str">
        <f t="shared" si="121"/>
        <v/>
      </c>
      <c r="ARO116" s="77" t="str">
        <f t="shared" si="121"/>
        <v/>
      </c>
      <c r="ARP116" s="77" t="str">
        <f t="shared" si="121"/>
        <v/>
      </c>
      <c r="ARQ116" s="77" t="str">
        <f t="shared" si="121"/>
        <v/>
      </c>
      <c r="ARR116" s="77" t="str">
        <f t="shared" si="121"/>
        <v/>
      </c>
      <c r="ARS116" s="77" t="str">
        <f t="shared" si="121"/>
        <v/>
      </c>
      <c r="ART116" s="77" t="str">
        <f t="shared" si="121"/>
        <v/>
      </c>
      <c r="ARU116" s="77" t="str">
        <f t="shared" si="121"/>
        <v/>
      </c>
      <c r="ARV116" s="77" t="str">
        <f t="shared" si="121"/>
        <v/>
      </c>
      <c r="ARW116" s="77" t="str">
        <f t="shared" si="121"/>
        <v/>
      </c>
      <c r="ARX116" s="77" t="str">
        <f t="shared" si="121"/>
        <v/>
      </c>
      <c r="ARY116" s="77" t="str">
        <f t="shared" si="121"/>
        <v/>
      </c>
      <c r="ARZ116" s="77" t="str">
        <f t="shared" si="121"/>
        <v/>
      </c>
      <c r="ASA116" s="77" t="str">
        <f t="shared" si="121"/>
        <v/>
      </c>
      <c r="ASB116" s="77" t="str">
        <f t="shared" si="121"/>
        <v/>
      </c>
      <c r="ASC116" s="77" t="str">
        <f t="shared" si="121"/>
        <v/>
      </c>
      <c r="ASD116" s="77" t="str">
        <f t="shared" si="121"/>
        <v/>
      </c>
      <c r="ASE116" s="77" t="str">
        <f t="shared" si="121"/>
        <v/>
      </c>
      <c r="ASF116" s="77" t="str">
        <f t="shared" si="121"/>
        <v/>
      </c>
      <c r="ASG116" s="77" t="str">
        <f t="shared" si="121"/>
        <v/>
      </c>
      <c r="ASH116" s="77" t="str">
        <f t="shared" si="121"/>
        <v/>
      </c>
      <c r="ASI116" s="77" t="str">
        <f t="shared" si="121"/>
        <v/>
      </c>
      <c r="ASJ116" s="77" t="str">
        <f t="shared" si="121"/>
        <v/>
      </c>
      <c r="ASK116" s="77" t="str">
        <f t="shared" si="121"/>
        <v/>
      </c>
      <c r="ASL116" s="77" t="str">
        <f t="shared" si="121"/>
        <v/>
      </c>
      <c r="ASM116" s="77" t="str">
        <f t="shared" si="121"/>
        <v/>
      </c>
      <c r="ASN116" s="77" t="str">
        <f t="shared" si="121"/>
        <v/>
      </c>
      <c r="ASO116" s="77" t="str">
        <f t="shared" si="121"/>
        <v/>
      </c>
      <c r="ASP116" s="77" t="str">
        <f t="shared" si="121"/>
        <v/>
      </c>
      <c r="ASQ116" s="77" t="str">
        <f t="shared" si="121"/>
        <v/>
      </c>
      <c r="ASR116" s="77" t="str">
        <f t="shared" si="121"/>
        <v/>
      </c>
      <c r="ASS116" s="77" t="str">
        <f t="shared" si="121"/>
        <v/>
      </c>
      <c r="AST116" s="77" t="str">
        <f t="shared" si="121"/>
        <v/>
      </c>
      <c r="ASU116" s="77" t="str">
        <f t="shared" ref="ASU116:AVF116" si="122">IF(ISNUMBER(outYear),ASU69+ASU75+ASU81+ASU113,"")</f>
        <v/>
      </c>
      <c r="ASV116" s="77" t="str">
        <f t="shared" si="122"/>
        <v/>
      </c>
      <c r="ASW116" s="77" t="str">
        <f t="shared" si="122"/>
        <v/>
      </c>
      <c r="ASX116" s="77" t="str">
        <f t="shared" si="122"/>
        <v/>
      </c>
      <c r="ASY116" s="77" t="str">
        <f t="shared" si="122"/>
        <v/>
      </c>
      <c r="ASZ116" s="77" t="str">
        <f t="shared" si="122"/>
        <v/>
      </c>
      <c r="ATA116" s="77" t="str">
        <f t="shared" si="122"/>
        <v/>
      </c>
      <c r="ATB116" s="77" t="str">
        <f t="shared" si="122"/>
        <v/>
      </c>
      <c r="ATC116" s="77" t="str">
        <f t="shared" si="122"/>
        <v/>
      </c>
      <c r="ATD116" s="77" t="str">
        <f t="shared" si="122"/>
        <v/>
      </c>
      <c r="ATE116" s="77" t="str">
        <f t="shared" si="122"/>
        <v/>
      </c>
      <c r="ATF116" s="77" t="str">
        <f t="shared" si="122"/>
        <v/>
      </c>
      <c r="ATG116" s="77" t="str">
        <f t="shared" si="122"/>
        <v/>
      </c>
      <c r="ATH116" s="77" t="str">
        <f t="shared" si="122"/>
        <v/>
      </c>
      <c r="ATI116" s="77" t="str">
        <f t="shared" si="122"/>
        <v/>
      </c>
      <c r="ATJ116" s="77" t="str">
        <f t="shared" si="122"/>
        <v/>
      </c>
      <c r="ATK116" s="77" t="str">
        <f t="shared" si="122"/>
        <v/>
      </c>
      <c r="ATL116" s="77" t="str">
        <f t="shared" si="122"/>
        <v/>
      </c>
      <c r="ATM116" s="77" t="str">
        <f t="shared" si="122"/>
        <v/>
      </c>
      <c r="ATN116" s="77" t="str">
        <f t="shared" si="122"/>
        <v/>
      </c>
      <c r="ATO116" s="77" t="str">
        <f t="shared" si="122"/>
        <v/>
      </c>
      <c r="ATP116" s="77" t="str">
        <f t="shared" si="122"/>
        <v/>
      </c>
      <c r="ATQ116" s="77" t="str">
        <f t="shared" si="122"/>
        <v/>
      </c>
      <c r="ATR116" s="77" t="str">
        <f t="shared" si="122"/>
        <v/>
      </c>
      <c r="ATS116" s="77" t="str">
        <f t="shared" si="122"/>
        <v/>
      </c>
      <c r="ATT116" s="77" t="str">
        <f t="shared" si="122"/>
        <v/>
      </c>
      <c r="ATU116" s="77" t="str">
        <f t="shared" si="122"/>
        <v/>
      </c>
      <c r="ATV116" s="77" t="str">
        <f t="shared" si="122"/>
        <v/>
      </c>
      <c r="ATW116" s="77" t="str">
        <f t="shared" si="122"/>
        <v/>
      </c>
      <c r="ATX116" s="77" t="str">
        <f t="shared" si="122"/>
        <v/>
      </c>
      <c r="ATY116" s="77" t="str">
        <f t="shared" si="122"/>
        <v/>
      </c>
      <c r="ATZ116" s="77" t="str">
        <f t="shared" si="122"/>
        <v/>
      </c>
      <c r="AUA116" s="77" t="str">
        <f t="shared" si="122"/>
        <v/>
      </c>
      <c r="AUB116" s="77" t="str">
        <f t="shared" si="122"/>
        <v/>
      </c>
      <c r="AUC116" s="77" t="str">
        <f t="shared" si="122"/>
        <v/>
      </c>
      <c r="AUD116" s="77" t="str">
        <f t="shared" si="122"/>
        <v/>
      </c>
      <c r="AUE116" s="77" t="str">
        <f t="shared" si="122"/>
        <v/>
      </c>
      <c r="AUF116" s="77" t="str">
        <f t="shared" si="122"/>
        <v/>
      </c>
      <c r="AUG116" s="77" t="str">
        <f t="shared" si="122"/>
        <v/>
      </c>
      <c r="AUH116" s="77" t="str">
        <f t="shared" si="122"/>
        <v/>
      </c>
      <c r="AUI116" s="77" t="str">
        <f t="shared" si="122"/>
        <v/>
      </c>
      <c r="AUJ116" s="77" t="str">
        <f t="shared" si="122"/>
        <v/>
      </c>
      <c r="AUK116" s="77" t="str">
        <f t="shared" si="122"/>
        <v/>
      </c>
      <c r="AUL116" s="77" t="str">
        <f t="shared" si="122"/>
        <v/>
      </c>
      <c r="AUM116" s="77" t="str">
        <f t="shared" si="122"/>
        <v/>
      </c>
      <c r="AUN116" s="77" t="str">
        <f t="shared" si="122"/>
        <v/>
      </c>
      <c r="AUO116" s="77" t="str">
        <f t="shared" si="122"/>
        <v/>
      </c>
      <c r="AUP116" s="77" t="str">
        <f t="shared" si="122"/>
        <v/>
      </c>
      <c r="AUQ116" s="77" t="str">
        <f t="shared" si="122"/>
        <v/>
      </c>
      <c r="AUR116" s="77" t="str">
        <f t="shared" si="122"/>
        <v/>
      </c>
      <c r="AUS116" s="77" t="str">
        <f t="shared" si="122"/>
        <v/>
      </c>
      <c r="AUT116" s="77" t="str">
        <f t="shared" si="122"/>
        <v/>
      </c>
      <c r="AUU116" s="77" t="str">
        <f t="shared" si="122"/>
        <v/>
      </c>
      <c r="AUV116" s="77" t="str">
        <f t="shared" si="122"/>
        <v/>
      </c>
      <c r="AUW116" s="77" t="str">
        <f t="shared" si="122"/>
        <v/>
      </c>
      <c r="AUX116" s="77" t="str">
        <f t="shared" si="122"/>
        <v/>
      </c>
      <c r="AUY116" s="77" t="str">
        <f t="shared" si="122"/>
        <v/>
      </c>
      <c r="AUZ116" s="77" t="str">
        <f t="shared" si="122"/>
        <v/>
      </c>
      <c r="AVA116" s="77" t="str">
        <f t="shared" si="122"/>
        <v/>
      </c>
      <c r="AVB116" s="77" t="str">
        <f t="shared" si="122"/>
        <v/>
      </c>
      <c r="AVC116" s="77" t="str">
        <f t="shared" si="122"/>
        <v/>
      </c>
      <c r="AVD116" s="77" t="str">
        <f t="shared" si="122"/>
        <v/>
      </c>
      <c r="AVE116" s="77" t="str">
        <f t="shared" si="122"/>
        <v/>
      </c>
      <c r="AVF116" s="77" t="str">
        <f t="shared" si="122"/>
        <v/>
      </c>
      <c r="AVG116" s="77" t="str">
        <f t="shared" ref="AVG116:AXR116" si="123">IF(ISNUMBER(outYear),AVG69+AVG75+AVG81+AVG113,"")</f>
        <v/>
      </c>
      <c r="AVH116" s="77" t="str">
        <f t="shared" si="123"/>
        <v/>
      </c>
      <c r="AVI116" s="77" t="str">
        <f t="shared" si="123"/>
        <v/>
      </c>
      <c r="AVJ116" s="77" t="str">
        <f t="shared" si="123"/>
        <v/>
      </c>
      <c r="AVK116" s="77" t="str">
        <f t="shared" si="123"/>
        <v/>
      </c>
      <c r="AVL116" s="77" t="str">
        <f t="shared" si="123"/>
        <v/>
      </c>
      <c r="AVM116" s="77" t="str">
        <f t="shared" si="123"/>
        <v/>
      </c>
      <c r="AVN116" s="77" t="str">
        <f t="shared" si="123"/>
        <v/>
      </c>
      <c r="AVO116" s="77" t="str">
        <f t="shared" si="123"/>
        <v/>
      </c>
      <c r="AVP116" s="77" t="str">
        <f t="shared" si="123"/>
        <v/>
      </c>
      <c r="AVQ116" s="77" t="str">
        <f t="shared" si="123"/>
        <v/>
      </c>
      <c r="AVR116" s="77" t="str">
        <f t="shared" si="123"/>
        <v/>
      </c>
      <c r="AVS116" s="77" t="str">
        <f t="shared" si="123"/>
        <v/>
      </c>
      <c r="AVT116" s="77" t="str">
        <f t="shared" si="123"/>
        <v/>
      </c>
      <c r="AVU116" s="77" t="str">
        <f t="shared" si="123"/>
        <v/>
      </c>
      <c r="AVV116" s="77" t="str">
        <f t="shared" si="123"/>
        <v/>
      </c>
      <c r="AVW116" s="77" t="str">
        <f t="shared" si="123"/>
        <v/>
      </c>
      <c r="AVX116" s="77" t="str">
        <f t="shared" si="123"/>
        <v/>
      </c>
      <c r="AVY116" s="77" t="str">
        <f t="shared" si="123"/>
        <v/>
      </c>
      <c r="AVZ116" s="77" t="str">
        <f t="shared" si="123"/>
        <v/>
      </c>
      <c r="AWA116" s="77" t="str">
        <f t="shared" si="123"/>
        <v/>
      </c>
      <c r="AWB116" s="77" t="str">
        <f t="shared" si="123"/>
        <v/>
      </c>
      <c r="AWC116" s="77" t="str">
        <f t="shared" si="123"/>
        <v/>
      </c>
      <c r="AWD116" s="77" t="str">
        <f t="shared" si="123"/>
        <v/>
      </c>
      <c r="AWE116" s="77" t="str">
        <f t="shared" si="123"/>
        <v/>
      </c>
      <c r="AWF116" s="77" t="str">
        <f t="shared" si="123"/>
        <v/>
      </c>
      <c r="AWG116" s="77" t="str">
        <f t="shared" si="123"/>
        <v/>
      </c>
      <c r="AWH116" s="77" t="str">
        <f t="shared" si="123"/>
        <v/>
      </c>
      <c r="AWI116" s="77" t="str">
        <f t="shared" si="123"/>
        <v/>
      </c>
      <c r="AWJ116" s="77" t="str">
        <f t="shared" si="123"/>
        <v/>
      </c>
      <c r="AWK116" s="77" t="str">
        <f t="shared" si="123"/>
        <v/>
      </c>
      <c r="AWL116" s="77" t="str">
        <f t="shared" si="123"/>
        <v/>
      </c>
      <c r="AWM116" s="77" t="str">
        <f t="shared" si="123"/>
        <v/>
      </c>
      <c r="AWN116" s="77" t="str">
        <f t="shared" si="123"/>
        <v/>
      </c>
      <c r="AWO116" s="77" t="str">
        <f t="shared" si="123"/>
        <v/>
      </c>
      <c r="AWP116" s="77" t="str">
        <f t="shared" si="123"/>
        <v/>
      </c>
      <c r="AWQ116" s="77" t="str">
        <f t="shared" si="123"/>
        <v/>
      </c>
      <c r="AWR116" s="77" t="str">
        <f t="shared" si="123"/>
        <v/>
      </c>
      <c r="AWS116" s="77" t="str">
        <f t="shared" si="123"/>
        <v/>
      </c>
      <c r="AWT116" s="77" t="str">
        <f t="shared" si="123"/>
        <v/>
      </c>
      <c r="AWU116" s="77" t="str">
        <f t="shared" si="123"/>
        <v/>
      </c>
      <c r="AWV116" s="77" t="str">
        <f t="shared" si="123"/>
        <v/>
      </c>
      <c r="AWW116" s="77" t="str">
        <f t="shared" si="123"/>
        <v/>
      </c>
      <c r="AWX116" s="77" t="str">
        <f t="shared" si="123"/>
        <v/>
      </c>
      <c r="AWY116" s="77" t="str">
        <f t="shared" si="123"/>
        <v/>
      </c>
      <c r="AWZ116" s="77" t="str">
        <f t="shared" si="123"/>
        <v/>
      </c>
      <c r="AXA116" s="77" t="str">
        <f t="shared" si="123"/>
        <v/>
      </c>
      <c r="AXB116" s="77" t="str">
        <f t="shared" si="123"/>
        <v/>
      </c>
      <c r="AXC116" s="77" t="str">
        <f t="shared" si="123"/>
        <v/>
      </c>
      <c r="AXD116" s="77" t="str">
        <f t="shared" si="123"/>
        <v/>
      </c>
      <c r="AXE116" s="77" t="str">
        <f t="shared" si="123"/>
        <v/>
      </c>
      <c r="AXF116" s="77" t="str">
        <f t="shared" si="123"/>
        <v/>
      </c>
      <c r="AXG116" s="77" t="str">
        <f t="shared" si="123"/>
        <v/>
      </c>
      <c r="AXH116" s="77" t="str">
        <f t="shared" si="123"/>
        <v/>
      </c>
      <c r="AXI116" s="77" t="str">
        <f t="shared" si="123"/>
        <v/>
      </c>
      <c r="AXJ116" s="77" t="str">
        <f t="shared" si="123"/>
        <v/>
      </c>
      <c r="AXK116" s="77" t="str">
        <f t="shared" si="123"/>
        <v/>
      </c>
      <c r="AXL116" s="77" t="str">
        <f t="shared" si="123"/>
        <v/>
      </c>
      <c r="AXM116" s="77" t="str">
        <f t="shared" si="123"/>
        <v/>
      </c>
      <c r="AXN116" s="77" t="str">
        <f t="shared" si="123"/>
        <v/>
      </c>
      <c r="AXO116" s="77" t="str">
        <f t="shared" si="123"/>
        <v/>
      </c>
      <c r="AXP116" s="77" t="str">
        <f t="shared" si="123"/>
        <v/>
      </c>
      <c r="AXQ116" s="77" t="str">
        <f t="shared" si="123"/>
        <v/>
      </c>
      <c r="AXR116" s="77" t="str">
        <f t="shared" si="123"/>
        <v/>
      </c>
      <c r="AXS116" s="77" t="str">
        <f t="shared" ref="AXS116:BAD116" si="124">IF(ISNUMBER(outYear),AXS69+AXS75+AXS81+AXS113,"")</f>
        <v/>
      </c>
      <c r="AXT116" s="77" t="str">
        <f t="shared" si="124"/>
        <v/>
      </c>
      <c r="AXU116" s="77" t="str">
        <f t="shared" si="124"/>
        <v/>
      </c>
      <c r="AXV116" s="77" t="str">
        <f t="shared" si="124"/>
        <v/>
      </c>
      <c r="AXW116" s="77" t="str">
        <f t="shared" si="124"/>
        <v/>
      </c>
      <c r="AXX116" s="77" t="str">
        <f t="shared" si="124"/>
        <v/>
      </c>
      <c r="AXY116" s="77" t="str">
        <f t="shared" si="124"/>
        <v/>
      </c>
      <c r="AXZ116" s="77" t="str">
        <f t="shared" si="124"/>
        <v/>
      </c>
      <c r="AYA116" s="77" t="str">
        <f t="shared" si="124"/>
        <v/>
      </c>
      <c r="AYB116" s="77" t="str">
        <f t="shared" si="124"/>
        <v/>
      </c>
      <c r="AYC116" s="77" t="str">
        <f t="shared" si="124"/>
        <v/>
      </c>
      <c r="AYD116" s="77" t="str">
        <f t="shared" si="124"/>
        <v/>
      </c>
      <c r="AYE116" s="77" t="str">
        <f t="shared" si="124"/>
        <v/>
      </c>
      <c r="AYF116" s="77" t="str">
        <f t="shared" si="124"/>
        <v/>
      </c>
      <c r="AYG116" s="77" t="str">
        <f t="shared" si="124"/>
        <v/>
      </c>
      <c r="AYH116" s="77" t="str">
        <f t="shared" si="124"/>
        <v/>
      </c>
      <c r="AYI116" s="77" t="str">
        <f t="shared" si="124"/>
        <v/>
      </c>
      <c r="AYJ116" s="77" t="str">
        <f t="shared" si="124"/>
        <v/>
      </c>
      <c r="AYK116" s="77" t="str">
        <f t="shared" si="124"/>
        <v/>
      </c>
      <c r="AYL116" s="77" t="str">
        <f t="shared" si="124"/>
        <v/>
      </c>
      <c r="AYM116" s="77" t="str">
        <f t="shared" si="124"/>
        <v/>
      </c>
      <c r="AYN116" s="77" t="str">
        <f t="shared" si="124"/>
        <v/>
      </c>
      <c r="AYO116" s="77" t="str">
        <f t="shared" si="124"/>
        <v/>
      </c>
      <c r="AYP116" s="77" t="str">
        <f t="shared" si="124"/>
        <v/>
      </c>
      <c r="AYQ116" s="77" t="str">
        <f t="shared" si="124"/>
        <v/>
      </c>
      <c r="AYR116" s="77" t="str">
        <f t="shared" si="124"/>
        <v/>
      </c>
      <c r="AYS116" s="77" t="str">
        <f t="shared" si="124"/>
        <v/>
      </c>
      <c r="AYT116" s="77" t="str">
        <f t="shared" si="124"/>
        <v/>
      </c>
      <c r="AYU116" s="77" t="str">
        <f t="shared" si="124"/>
        <v/>
      </c>
      <c r="AYV116" s="77" t="str">
        <f t="shared" si="124"/>
        <v/>
      </c>
      <c r="AYW116" s="77" t="str">
        <f t="shared" si="124"/>
        <v/>
      </c>
      <c r="AYX116" s="77" t="str">
        <f t="shared" si="124"/>
        <v/>
      </c>
      <c r="AYY116" s="77" t="str">
        <f t="shared" si="124"/>
        <v/>
      </c>
      <c r="AYZ116" s="77" t="str">
        <f t="shared" si="124"/>
        <v/>
      </c>
      <c r="AZA116" s="77" t="str">
        <f t="shared" si="124"/>
        <v/>
      </c>
      <c r="AZB116" s="77" t="str">
        <f t="shared" si="124"/>
        <v/>
      </c>
      <c r="AZC116" s="77" t="str">
        <f t="shared" si="124"/>
        <v/>
      </c>
      <c r="AZD116" s="77" t="str">
        <f t="shared" si="124"/>
        <v/>
      </c>
      <c r="AZE116" s="77" t="str">
        <f t="shared" si="124"/>
        <v/>
      </c>
      <c r="AZF116" s="77" t="str">
        <f t="shared" si="124"/>
        <v/>
      </c>
      <c r="AZG116" s="77" t="str">
        <f t="shared" si="124"/>
        <v/>
      </c>
      <c r="AZH116" s="77" t="str">
        <f t="shared" si="124"/>
        <v/>
      </c>
      <c r="AZI116" s="77" t="str">
        <f t="shared" si="124"/>
        <v/>
      </c>
      <c r="AZJ116" s="77" t="str">
        <f t="shared" si="124"/>
        <v/>
      </c>
      <c r="AZK116" s="77" t="str">
        <f t="shared" si="124"/>
        <v/>
      </c>
      <c r="AZL116" s="77" t="str">
        <f t="shared" si="124"/>
        <v/>
      </c>
      <c r="AZM116" s="77" t="str">
        <f t="shared" si="124"/>
        <v/>
      </c>
      <c r="AZN116" s="77" t="str">
        <f t="shared" si="124"/>
        <v/>
      </c>
      <c r="AZO116" s="77" t="str">
        <f t="shared" si="124"/>
        <v/>
      </c>
      <c r="AZP116" s="77" t="str">
        <f t="shared" si="124"/>
        <v/>
      </c>
      <c r="AZQ116" s="77" t="str">
        <f t="shared" si="124"/>
        <v/>
      </c>
      <c r="AZR116" s="77" t="str">
        <f t="shared" si="124"/>
        <v/>
      </c>
      <c r="AZS116" s="77" t="str">
        <f t="shared" si="124"/>
        <v/>
      </c>
      <c r="AZT116" s="77" t="str">
        <f t="shared" si="124"/>
        <v/>
      </c>
      <c r="AZU116" s="77" t="str">
        <f t="shared" si="124"/>
        <v/>
      </c>
      <c r="AZV116" s="77" t="str">
        <f t="shared" si="124"/>
        <v/>
      </c>
      <c r="AZW116" s="77" t="str">
        <f t="shared" si="124"/>
        <v/>
      </c>
      <c r="AZX116" s="77" t="str">
        <f t="shared" si="124"/>
        <v/>
      </c>
      <c r="AZY116" s="77" t="str">
        <f t="shared" si="124"/>
        <v/>
      </c>
      <c r="AZZ116" s="77" t="str">
        <f t="shared" si="124"/>
        <v/>
      </c>
      <c r="BAA116" s="77" t="str">
        <f t="shared" si="124"/>
        <v/>
      </c>
      <c r="BAB116" s="77" t="str">
        <f t="shared" si="124"/>
        <v/>
      </c>
      <c r="BAC116" s="77" t="str">
        <f t="shared" si="124"/>
        <v/>
      </c>
      <c r="BAD116" s="77" t="str">
        <f t="shared" si="124"/>
        <v/>
      </c>
      <c r="BAE116" s="77" t="str">
        <f t="shared" ref="BAE116:BCP116" si="125">IF(ISNUMBER(outYear),BAE69+BAE75+BAE81+BAE113,"")</f>
        <v/>
      </c>
      <c r="BAF116" s="77" t="str">
        <f t="shared" si="125"/>
        <v/>
      </c>
      <c r="BAG116" s="77" t="str">
        <f t="shared" si="125"/>
        <v/>
      </c>
      <c r="BAH116" s="77" t="str">
        <f t="shared" si="125"/>
        <v/>
      </c>
      <c r="BAI116" s="77" t="str">
        <f t="shared" si="125"/>
        <v/>
      </c>
      <c r="BAJ116" s="77" t="str">
        <f t="shared" si="125"/>
        <v/>
      </c>
      <c r="BAK116" s="77" t="str">
        <f t="shared" si="125"/>
        <v/>
      </c>
      <c r="BAL116" s="77" t="str">
        <f t="shared" si="125"/>
        <v/>
      </c>
      <c r="BAM116" s="77" t="str">
        <f t="shared" si="125"/>
        <v/>
      </c>
      <c r="BAN116" s="77" t="str">
        <f t="shared" si="125"/>
        <v/>
      </c>
      <c r="BAO116" s="77" t="str">
        <f t="shared" si="125"/>
        <v/>
      </c>
      <c r="BAP116" s="77" t="str">
        <f t="shared" si="125"/>
        <v/>
      </c>
      <c r="BAQ116" s="77" t="str">
        <f t="shared" si="125"/>
        <v/>
      </c>
      <c r="BAR116" s="77" t="str">
        <f t="shared" si="125"/>
        <v/>
      </c>
      <c r="BAS116" s="77" t="str">
        <f t="shared" si="125"/>
        <v/>
      </c>
      <c r="BAT116" s="77" t="str">
        <f t="shared" si="125"/>
        <v/>
      </c>
      <c r="BAU116" s="77" t="str">
        <f t="shared" si="125"/>
        <v/>
      </c>
      <c r="BAV116" s="77" t="str">
        <f t="shared" si="125"/>
        <v/>
      </c>
      <c r="BAW116" s="77" t="str">
        <f t="shared" si="125"/>
        <v/>
      </c>
      <c r="BAX116" s="77" t="str">
        <f t="shared" si="125"/>
        <v/>
      </c>
      <c r="BAY116" s="77" t="str">
        <f t="shared" si="125"/>
        <v/>
      </c>
      <c r="BAZ116" s="77" t="str">
        <f t="shared" si="125"/>
        <v/>
      </c>
      <c r="BBA116" s="77" t="str">
        <f t="shared" si="125"/>
        <v/>
      </c>
      <c r="BBB116" s="77" t="str">
        <f t="shared" si="125"/>
        <v/>
      </c>
      <c r="BBC116" s="77" t="str">
        <f t="shared" si="125"/>
        <v/>
      </c>
      <c r="BBD116" s="77" t="str">
        <f t="shared" si="125"/>
        <v/>
      </c>
      <c r="BBE116" s="77" t="str">
        <f t="shared" si="125"/>
        <v/>
      </c>
      <c r="BBF116" s="77" t="str">
        <f t="shared" si="125"/>
        <v/>
      </c>
      <c r="BBG116" s="77" t="str">
        <f t="shared" si="125"/>
        <v/>
      </c>
      <c r="BBH116" s="77" t="str">
        <f t="shared" si="125"/>
        <v/>
      </c>
      <c r="BBI116" s="77" t="str">
        <f t="shared" si="125"/>
        <v/>
      </c>
      <c r="BBJ116" s="77" t="str">
        <f t="shared" si="125"/>
        <v/>
      </c>
      <c r="BBK116" s="77" t="str">
        <f t="shared" si="125"/>
        <v/>
      </c>
      <c r="BBL116" s="77" t="str">
        <f t="shared" si="125"/>
        <v/>
      </c>
      <c r="BBM116" s="77" t="str">
        <f t="shared" si="125"/>
        <v/>
      </c>
      <c r="BBN116" s="77" t="str">
        <f t="shared" si="125"/>
        <v/>
      </c>
      <c r="BBO116" s="77" t="str">
        <f t="shared" si="125"/>
        <v/>
      </c>
      <c r="BBP116" s="77" t="str">
        <f t="shared" si="125"/>
        <v/>
      </c>
      <c r="BBQ116" s="77" t="str">
        <f t="shared" si="125"/>
        <v/>
      </c>
      <c r="BBR116" s="77" t="str">
        <f t="shared" si="125"/>
        <v/>
      </c>
      <c r="BBS116" s="77" t="str">
        <f t="shared" si="125"/>
        <v/>
      </c>
      <c r="BBT116" s="77" t="str">
        <f t="shared" si="125"/>
        <v/>
      </c>
      <c r="BBU116" s="77" t="str">
        <f t="shared" si="125"/>
        <v/>
      </c>
      <c r="BBV116" s="77" t="str">
        <f t="shared" si="125"/>
        <v/>
      </c>
      <c r="BBW116" s="77" t="str">
        <f t="shared" si="125"/>
        <v/>
      </c>
      <c r="BBX116" s="77" t="str">
        <f t="shared" si="125"/>
        <v/>
      </c>
      <c r="BBY116" s="77" t="str">
        <f t="shared" si="125"/>
        <v/>
      </c>
      <c r="BBZ116" s="77" t="str">
        <f t="shared" si="125"/>
        <v/>
      </c>
      <c r="BCA116" s="77" t="str">
        <f t="shared" si="125"/>
        <v/>
      </c>
      <c r="BCB116" s="77" t="str">
        <f t="shared" si="125"/>
        <v/>
      </c>
      <c r="BCC116" s="77" t="str">
        <f t="shared" si="125"/>
        <v/>
      </c>
      <c r="BCD116" s="77" t="str">
        <f t="shared" si="125"/>
        <v/>
      </c>
      <c r="BCE116" s="77" t="str">
        <f t="shared" si="125"/>
        <v/>
      </c>
      <c r="BCF116" s="77" t="str">
        <f t="shared" si="125"/>
        <v/>
      </c>
      <c r="BCG116" s="77" t="str">
        <f t="shared" si="125"/>
        <v/>
      </c>
      <c r="BCH116" s="77" t="str">
        <f t="shared" si="125"/>
        <v/>
      </c>
      <c r="BCI116" s="77" t="str">
        <f t="shared" si="125"/>
        <v/>
      </c>
      <c r="BCJ116" s="77" t="str">
        <f t="shared" si="125"/>
        <v/>
      </c>
      <c r="BCK116" s="77" t="str">
        <f t="shared" si="125"/>
        <v/>
      </c>
      <c r="BCL116" s="77" t="str">
        <f t="shared" si="125"/>
        <v/>
      </c>
      <c r="BCM116" s="77" t="str">
        <f t="shared" si="125"/>
        <v/>
      </c>
      <c r="BCN116" s="77" t="str">
        <f t="shared" si="125"/>
        <v/>
      </c>
      <c r="BCO116" s="77" t="str">
        <f t="shared" si="125"/>
        <v/>
      </c>
      <c r="BCP116" s="77" t="str">
        <f t="shared" si="125"/>
        <v/>
      </c>
      <c r="BCQ116" s="77" t="str">
        <f t="shared" ref="BCQ116:BFB116" si="126">IF(ISNUMBER(outYear),BCQ69+BCQ75+BCQ81+BCQ113,"")</f>
        <v/>
      </c>
      <c r="BCR116" s="77" t="str">
        <f t="shared" si="126"/>
        <v/>
      </c>
      <c r="BCS116" s="77" t="str">
        <f t="shared" si="126"/>
        <v/>
      </c>
      <c r="BCT116" s="77" t="str">
        <f t="shared" si="126"/>
        <v/>
      </c>
      <c r="BCU116" s="77" t="str">
        <f t="shared" si="126"/>
        <v/>
      </c>
      <c r="BCV116" s="77" t="str">
        <f t="shared" si="126"/>
        <v/>
      </c>
      <c r="BCW116" s="77" t="str">
        <f t="shared" si="126"/>
        <v/>
      </c>
      <c r="BCX116" s="77" t="str">
        <f t="shared" si="126"/>
        <v/>
      </c>
      <c r="BCY116" s="77" t="str">
        <f t="shared" si="126"/>
        <v/>
      </c>
      <c r="BCZ116" s="77" t="str">
        <f t="shared" si="126"/>
        <v/>
      </c>
      <c r="BDA116" s="77" t="str">
        <f t="shared" si="126"/>
        <v/>
      </c>
      <c r="BDB116" s="77" t="str">
        <f t="shared" si="126"/>
        <v/>
      </c>
      <c r="BDC116" s="77" t="str">
        <f t="shared" si="126"/>
        <v/>
      </c>
      <c r="BDD116" s="77" t="str">
        <f t="shared" si="126"/>
        <v/>
      </c>
      <c r="BDE116" s="77" t="str">
        <f t="shared" si="126"/>
        <v/>
      </c>
      <c r="BDF116" s="77" t="str">
        <f t="shared" si="126"/>
        <v/>
      </c>
      <c r="BDG116" s="77" t="str">
        <f t="shared" si="126"/>
        <v/>
      </c>
      <c r="BDH116" s="77" t="str">
        <f t="shared" si="126"/>
        <v/>
      </c>
      <c r="BDI116" s="77" t="str">
        <f t="shared" si="126"/>
        <v/>
      </c>
      <c r="BDJ116" s="77" t="str">
        <f t="shared" si="126"/>
        <v/>
      </c>
      <c r="BDK116" s="77" t="str">
        <f t="shared" si="126"/>
        <v/>
      </c>
      <c r="BDL116" s="77" t="str">
        <f t="shared" si="126"/>
        <v/>
      </c>
      <c r="BDM116" s="77" t="str">
        <f t="shared" si="126"/>
        <v/>
      </c>
      <c r="BDN116" s="77" t="str">
        <f t="shared" si="126"/>
        <v/>
      </c>
      <c r="BDO116" s="77" t="str">
        <f t="shared" si="126"/>
        <v/>
      </c>
      <c r="BDP116" s="77" t="str">
        <f t="shared" si="126"/>
        <v/>
      </c>
      <c r="BDQ116" s="77" t="str">
        <f t="shared" si="126"/>
        <v/>
      </c>
      <c r="BDR116" s="77" t="str">
        <f t="shared" si="126"/>
        <v/>
      </c>
      <c r="BDS116" s="77" t="str">
        <f t="shared" si="126"/>
        <v/>
      </c>
      <c r="BDT116" s="77" t="str">
        <f t="shared" si="126"/>
        <v/>
      </c>
      <c r="BDU116" s="77" t="str">
        <f t="shared" si="126"/>
        <v/>
      </c>
      <c r="BDV116" s="77" t="str">
        <f t="shared" si="126"/>
        <v/>
      </c>
      <c r="BDW116" s="77" t="str">
        <f t="shared" si="126"/>
        <v/>
      </c>
      <c r="BDX116" s="77" t="str">
        <f t="shared" si="126"/>
        <v/>
      </c>
      <c r="BDY116" s="77" t="str">
        <f t="shared" si="126"/>
        <v/>
      </c>
      <c r="BDZ116" s="77" t="str">
        <f t="shared" si="126"/>
        <v/>
      </c>
      <c r="BEA116" s="77" t="str">
        <f t="shared" si="126"/>
        <v/>
      </c>
      <c r="BEB116" s="77" t="str">
        <f t="shared" si="126"/>
        <v/>
      </c>
      <c r="BEC116" s="77" t="str">
        <f t="shared" si="126"/>
        <v/>
      </c>
      <c r="BED116" s="77" t="str">
        <f t="shared" si="126"/>
        <v/>
      </c>
      <c r="BEE116" s="77" t="str">
        <f t="shared" si="126"/>
        <v/>
      </c>
      <c r="BEF116" s="77" t="str">
        <f t="shared" si="126"/>
        <v/>
      </c>
      <c r="BEG116" s="77" t="str">
        <f t="shared" si="126"/>
        <v/>
      </c>
      <c r="BEH116" s="77" t="str">
        <f t="shared" si="126"/>
        <v/>
      </c>
      <c r="BEI116" s="77" t="str">
        <f t="shared" si="126"/>
        <v/>
      </c>
      <c r="BEJ116" s="77" t="str">
        <f t="shared" si="126"/>
        <v/>
      </c>
      <c r="BEK116" s="77" t="str">
        <f t="shared" si="126"/>
        <v/>
      </c>
      <c r="BEL116" s="77" t="str">
        <f t="shared" si="126"/>
        <v/>
      </c>
      <c r="BEM116" s="77" t="str">
        <f t="shared" si="126"/>
        <v/>
      </c>
      <c r="BEN116" s="77" t="str">
        <f t="shared" si="126"/>
        <v/>
      </c>
      <c r="BEO116" s="77" t="str">
        <f t="shared" si="126"/>
        <v/>
      </c>
      <c r="BEP116" s="77" t="str">
        <f t="shared" si="126"/>
        <v/>
      </c>
      <c r="BEQ116" s="77" t="str">
        <f t="shared" si="126"/>
        <v/>
      </c>
      <c r="BER116" s="77" t="str">
        <f t="shared" si="126"/>
        <v/>
      </c>
      <c r="BES116" s="77" t="str">
        <f t="shared" si="126"/>
        <v/>
      </c>
      <c r="BET116" s="77" t="str">
        <f t="shared" si="126"/>
        <v/>
      </c>
      <c r="BEU116" s="77" t="str">
        <f t="shared" si="126"/>
        <v/>
      </c>
      <c r="BEV116" s="77" t="str">
        <f t="shared" si="126"/>
        <v/>
      </c>
      <c r="BEW116" s="77" t="str">
        <f t="shared" si="126"/>
        <v/>
      </c>
      <c r="BEX116" s="77" t="str">
        <f t="shared" si="126"/>
        <v/>
      </c>
      <c r="BEY116" s="77" t="str">
        <f t="shared" si="126"/>
        <v/>
      </c>
      <c r="BEZ116" s="77" t="str">
        <f t="shared" si="126"/>
        <v/>
      </c>
      <c r="BFA116" s="77" t="str">
        <f t="shared" si="126"/>
        <v/>
      </c>
      <c r="BFB116" s="77" t="str">
        <f t="shared" si="126"/>
        <v/>
      </c>
      <c r="BFC116" s="77" t="str">
        <f t="shared" ref="BFC116:BHN116" si="127">IF(ISNUMBER(outYear),BFC69+BFC75+BFC81+BFC113,"")</f>
        <v/>
      </c>
      <c r="BFD116" s="77" t="str">
        <f t="shared" si="127"/>
        <v/>
      </c>
      <c r="BFE116" s="77" t="str">
        <f t="shared" si="127"/>
        <v/>
      </c>
      <c r="BFF116" s="77" t="str">
        <f t="shared" si="127"/>
        <v/>
      </c>
      <c r="BFG116" s="77" t="str">
        <f t="shared" si="127"/>
        <v/>
      </c>
      <c r="BFH116" s="77" t="str">
        <f t="shared" si="127"/>
        <v/>
      </c>
      <c r="BFI116" s="77" t="str">
        <f t="shared" si="127"/>
        <v/>
      </c>
      <c r="BFJ116" s="77" t="str">
        <f t="shared" si="127"/>
        <v/>
      </c>
      <c r="BFK116" s="77" t="str">
        <f t="shared" si="127"/>
        <v/>
      </c>
      <c r="BFL116" s="77" t="str">
        <f t="shared" si="127"/>
        <v/>
      </c>
      <c r="BFM116" s="77" t="str">
        <f t="shared" si="127"/>
        <v/>
      </c>
      <c r="BFN116" s="77" t="str">
        <f t="shared" si="127"/>
        <v/>
      </c>
      <c r="BFO116" s="77" t="str">
        <f t="shared" si="127"/>
        <v/>
      </c>
      <c r="BFP116" s="77" t="str">
        <f t="shared" si="127"/>
        <v/>
      </c>
      <c r="BFQ116" s="77" t="str">
        <f t="shared" si="127"/>
        <v/>
      </c>
      <c r="BFR116" s="77" t="str">
        <f t="shared" si="127"/>
        <v/>
      </c>
      <c r="BFS116" s="77" t="str">
        <f t="shared" si="127"/>
        <v/>
      </c>
      <c r="BFT116" s="77" t="str">
        <f t="shared" si="127"/>
        <v/>
      </c>
      <c r="BFU116" s="77" t="str">
        <f t="shared" si="127"/>
        <v/>
      </c>
      <c r="BFV116" s="77" t="str">
        <f t="shared" si="127"/>
        <v/>
      </c>
      <c r="BFW116" s="77" t="str">
        <f t="shared" si="127"/>
        <v/>
      </c>
      <c r="BFX116" s="77" t="str">
        <f t="shared" si="127"/>
        <v/>
      </c>
      <c r="BFY116" s="77" t="str">
        <f t="shared" si="127"/>
        <v/>
      </c>
      <c r="BFZ116" s="77" t="str">
        <f t="shared" si="127"/>
        <v/>
      </c>
      <c r="BGA116" s="77" t="str">
        <f t="shared" si="127"/>
        <v/>
      </c>
      <c r="BGB116" s="77" t="str">
        <f t="shared" si="127"/>
        <v/>
      </c>
      <c r="BGC116" s="77" t="str">
        <f t="shared" si="127"/>
        <v/>
      </c>
      <c r="BGD116" s="77" t="str">
        <f t="shared" si="127"/>
        <v/>
      </c>
      <c r="BGE116" s="77" t="str">
        <f t="shared" si="127"/>
        <v/>
      </c>
      <c r="BGF116" s="77" t="str">
        <f t="shared" si="127"/>
        <v/>
      </c>
      <c r="BGG116" s="77" t="str">
        <f t="shared" si="127"/>
        <v/>
      </c>
      <c r="BGH116" s="77" t="str">
        <f t="shared" si="127"/>
        <v/>
      </c>
      <c r="BGI116" s="77" t="str">
        <f t="shared" si="127"/>
        <v/>
      </c>
      <c r="BGJ116" s="77" t="str">
        <f t="shared" si="127"/>
        <v/>
      </c>
      <c r="BGK116" s="77" t="str">
        <f t="shared" si="127"/>
        <v/>
      </c>
      <c r="BGL116" s="77" t="str">
        <f t="shared" si="127"/>
        <v/>
      </c>
      <c r="BGM116" s="77" t="str">
        <f t="shared" si="127"/>
        <v/>
      </c>
      <c r="BGN116" s="77" t="str">
        <f t="shared" si="127"/>
        <v/>
      </c>
      <c r="BGO116" s="77" t="str">
        <f t="shared" si="127"/>
        <v/>
      </c>
      <c r="BGP116" s="77" t="str">
        <f t="shared" si="127"/>
        <v/>
      </c>
      <c r="BGQ116" s="77" t="str">
        <f t="shared" si="127"/>
        <v/>
      </c>
      <c r="BGR116" s="77" t="str">
        <f t="shared" si="127"/>
        <v/>
      </c>
      <c r="BGS116" s="77" t="str">
        <f t="shared" si="127"/>
        <v/>
      </c>
      <c r="BGT116" s="77" t="str">
        <f t="shared" si="127"/>
        <v/>
      </c>
      <c r="BGU116" s="77" t="str">
        <f t="shared" si="127"/>
        <v/>
      </c>
      <c r="BGV116" s="77" t="str">
        <f t="shared" si="127"/>
        <v/>
      </c>
      <c r="BGW116" s="77" t="str">
        <f t="shared" si="127"/>
        <v/>
      </c>
      <c r="BGX116" s="77" t="str">
        <f t="shared" si="127"/>
        <v/>
      </c>
      <c r="BGY116" s="77" t="str">
        <f t="shared" si="127"/>
        <v/>
      </c>
      <c r="BGZ116" s="77" t="str">
        <f t="shared" si="127"/>
        <v/>
      </c>
      <c r="BHA116" s="77" t="str">
        <f t="shared" si="127"/>
        <v/>
      </c>
      <c r="BHB116" s="77" t="str">
        <f t="shared" si="127"/>
        <v/>
      </c>
      <c r="BHC116" s="77" t="str">
        <f t="shared" si="127"/>
        <v/>
      </c>
      <c r="BHD116" s="77" t="str">
        <f t="shared" si="127"/>
        <v/>
      </c>
      <c r="BHE116" s="77" t="str">
        <f t="shared" si="127"/>
        <v/>
      </c>
      <c r="BHF116" s="77" t="str">
        <f t="shared" si="127"/>
        <v/>
      </c>
      <c r="BHG116" s="77" t="str">
        <f t="shared" si="127"/>
        <v/>
      </c>
      <c r="BHH116" s="77" t="str">
        <f t="shared" si="127"/>
        <v/>
      </c>
      <c r="BHI116" s="77" t="str">
        <f t="shared" si="127"/>
        <v/>
      </c>
      <c r="BHJ116" s="77" t="str">
        <f t="shared" si="127"/>
        <v/>
      </c>
      <c r="BHK116" s="77" t="str">
        <f t="shared" si="127"/>
        <v/>
      </c>
      <c r="BHL116" s="77" t="str">
        <f t="shared" si="127"/>
        <v/>
      </c>
      <c r="BHM116" s="77" t="str">
        <f t="shared" si="127"/>
        <v/>
      </c>
      <c r="BHN116" s="77" t="str">
        <f t="shared" si="127"/>
        <v/>
      </c>
      <c r="BHO116" s="77" t="str">
        <f t="shared" ref="BHO116:BJZ116" si="128">IF(ISNUMBER(outYear),BHO69+BHO75+BHO81+BHO113,"")</f>
        <v/>
      </c>
      <c r="BHP116" s="77" t="str">
        <f t="shared" si="128"/>
        <v/>
      </c>
      <c r="BHQ116" s="77" t="str">
        <f t="shared" si="128"/>
        <v/>
      </c>
      <c r="BHR116" s="77" t="str">
        <f t="shared" si="128"/>
        <v/>
      </c>
      <c r="BHS116" s="77" t="str">
        <f t="shared" si="128"/>
        <v/>
      </c>
      <c r="BHT116" s="77" t="str">
        <f t="shared" si="128"/>
        <v/>
      </c>
      <c r="BHU116" s="77" t="str">
        <f t="shared" si="128"/>
        <v/>
      </c>
      <c r="BHV116" s="77" t="str">
        <f t="shared" si="128"/>
        <v/>
      </c>
      <c r="BHW116" s="77" t="str">
        <f t="shared" si="128"/>
        <v/>
      </c>
      <c r="BHX116" s="77" t="str">
        <f t="shared" si="128"/>
        <v/>
      </c>
      <c r="BHY116" s="77" t="str">
        <f t="shared" si="128"/>
        <v/>
      </c>
      <c r="BHZ116" s="77" t="str">
        <f t="shared" si="128"/>
        <v/>
      </c>
      <c r="BIA116" s="77" t="str">
        <f t="shared" si="128"/>
        <v/>
      </c>
      <c r="BIB116" s="77" t="str">
        <f t="shared" si="128"/>
        <v/>
      </c>
      <c r="BIC116" s="77" t="str">
        <f t="shared" si="128"/>
        <v/>
      </c>
      <c r="BID116" s="77" t="str">
        <f t="shared" si="128"/>
        <v/>
      </c>
      <c r="BIE116" s="77" t="str">
        <f t="shared" si="128"/>
        <v/>
      </c>
      <c r="BIF116" s="77" t="str">
        <f t="shared" si="128"/>
        <v/>
      </c>
      <c r="BIG116" s="77" t="str">
        <f t="shared" si="128"/>
        <v/>
      </c>
      <c r="BIH116" s="77" t="str">
        <f t="shared" si="128"/>
        <v/>
      </c>
      <c r="BII116" s="77" t="str">
        <f t="shared" si="128"/>
        <v/>
      </c>
      <c r="BIJ116" s="77" t="str">
        <f t="shared" si="128"/>
        <v/>
      </c>
      <c r="BIK116" s="77" t="str">
        <f t="shared" si="128"/>
        <v/>
      </c>
      <c r="BIL116" s="77" t="str">
        <f t="shared" si="128"/>
        <v/>
      </c>
      <c r="BIM116" s="77" t="str">
        <f t="shared" si="128"/>
        <v/>
      </c>
      <c r="BIN116" s="77" t="str">
        <f t="shared" si="128"/>
        <v/>
      </c>
      <c r="BIO116" s="77" t="str">
        <f t="shared" si="128"/>
        <v/>
      </c>
      <c r="BIP116" s="77" t="str">
        <f t="shared" si="128"/>
        <v/>
      </c>
      <c r="BIQ116" s="77" t="str">
        <f t="shared" si="128"/>
        <v/>
      </c>
      <c r="BIR116" s="77" t="str">
        <f t="shared" si="128"/>
        <v/>
      </c>
      <c r="BIS116" s="77" t="str">
        <f t="shared" si="128"/>
        <v/>
      </c>
      <c r="BIT116" s="77" t="str">
        <f t="shared" si="128"/>
        <v/>
      </c>
      <c r="BIU116" s="77" t="str">
        <f t="shared" si="128"/>
        <v/>
      </c>
      <c r="BIV116" s="77" t="str">
        <f t="shared" si="128"/>
        <v/>
      </c>
      <c r="BIW116" s="77" t="str">
        <f t="shared" si="128"/>
        <v/>
      </c>
      <c r="BIX116" s="77" t="str">
        <f t="shared" si="128"/>
        <v/>
      </c>
      <c r="BIY116" s="77" t="str">
        <f t="shared" si="128"/>
        <v/>
      </c>
      <c r="BIZ116" s="77" t="str">
        <f t="shared" si="128"/>
        <v/>
      </c>
      <c r="BJA116" s="77" t="str">
        <f t="shared" si="128"/>
        <v/>
      </c>
      <c r="BJB116" s="77" t="str">
        <f t="shared" si="128"/>
        <v/>
      </c>
      <c r="BJC116" s="77" t="str">
        <f t="shared" si="128"/>
        <v/>
      </c>
      <c r="BJD116" s="77" t="str">
        <f t="shared" si="128"/>
        <v/>
      </c>
      <c r="BJE116" s="77" t="str">
        <f t="shared" si="128"/>
        <v/>
      </c>
      <c r="BJF116" s="77" t="str">
        <f t="shared" si="128"/>
        <v/>
      </c>
      <c r="BJG116" s="77" t="str">
        <f t="shared" si="128"/>
        <v/>
      </c>
      <c r="BJH116" s="77" t="str">
        <f t="shared" si="128"/>
        <v/>
      </c>
      <c r="BJI116" s="77" t="str">
        <f t="shared" si="128"/>
        <v/>
      </c>
      <c r="BJJ116" s="77" t="str">
        <f t="shared" si="128"/>
        <v/>
      </c>
      <c r="BJK116" s="77" t="str">
        <f t="shared" si="128"/>
        <v/>
      </c>
      <c r="BJL116" s="77" t="str">
        <f t="shared" si="128"/>
        <v/>
      </c>
      <c r="BJM116" s="77" t="str">
        <f t="shared" si="128"/>
        <v/>
      </c>
      <c r="BJN116" s="77" t="str">
        <f t="shared" si="128"/>
        <v/>
      </c>
      <c r="BJO116" s="77" t="str">
        <f t="shared" si="128"/>
        <v/>
      </c>
      <c r="BJP116" s="77" t="str">
        <f t="shared" si="128"/>
        <v/>
      </c>
      <c r="BJQ116" s="77" t="str">
        <f t="shared" si="128"/>
        <v/>
      </c>
      <c r="BJR116" s="77" t="str">
        <f t="shared" si="128"/>
        <v/>
      </c>
      <c r="BJS116" s="77" t="str">
        <f t="shared" si="128"/>
        <v/>
      </c>
      <c r="BJT116" s="77" t="str">
        <f t="shared" si="128"/>
        <v/>
      </c>
      <c r="BJU116" s="77" t="str">
        <f t="shared" si="128"/>
        <v/>
      </c>
      <c r="BJV116" s="77" t="str">
        <f t="shared" si="128"/>
        <v/>
      </c>
      <c r="BJW116" s="77" t="str">
        <f t="shared" si="128"/>
        <v/>
      </c>
      <c r="BJX116" s="77" t="str">
        <f t="shared" si="128"/>
        <v/>
      </c>
      <c r="BJY116" s="77" t="str">
        <f t="shared" si="128"/>
        <v/>
      </c>
      <c r="BJZ116" s="77" t="str">
        <f t="shared" si="128"/>
        <v/>
      </c>
      <c r="BKA116" s="77" t="str">
        <f t="shared" ref="BKA116:BML116" si="129">IF(ISNUMBER(outYear),BKA69+BKA75+BKA81+BKA113,"")</f>
        <v/>
      </c>
      <c r="BKB116" s="77" t="str">
        <f t="shared" si="129"/>
        <v/>
      </c>
      <c r="BKC116" s="77" t="str">
        <f t="shared" si="129"/>
        <v/>
      </c>
      <c r="BKD116" s="77" t="str">
        <f t="shared" si="129"/>
        <v/>
      </c>
      <c r="BKE116" s="77" t="str">
        <f t="shared" si="129"/>
        <v/>
      </c>
      <c r="BKF116" s="77" t="str">
        <f t="shared" si="129"/>
        <v/>
      </c>
      <c r="BKG116" s="77" t="str">
        <f t="shared" si="129"/>
        <v/>
      </c>
      <c r="BKH116" s="77" t="str">
        <f t="shared" si="129"/>
        <v/>
      </c>
      <c r="BKI116" s="77" t="str">
        <f t="shared" si="129"/>
        <v/>
      </c>
      <c r="BKJ116" s="77" t="str">
        <f t="shared" si="129"/>
        <v/>
      </c>
      <c r="BKK116" s="77" t="str">
        <f t="shared" si="129"/>
        <v/>
      </c>
      <c r="BKL116" s="77" t="str">
        <f t="shared" si="129"/>
        <v/>
      </c>
      <c r="BKM116" s="77" t="str">
        <f t="shared" si="129"/>
        <v/>
      </c>
      <c r="BKN116" s="77" t="str">
        <f t="shared" si="129"/>
        <v/>
      </c>
      <c r="BKO116" s="77" t="str">
        <f t="shared" si="129"/>
        <v/>
      </c>
      <c r="BKP116" s="77" t="str">
        <f t="shared" si="129"/>
        <v/>
      </c>
      <c r="BKQ116" s="77" t="str">
        <f t="shared" si="129"/>
        <v/>
      </c>
      <c r="BKR116" s="77" t="str">
        <f t="shared" si="129"/>
        <v/>
      </c>
      <c r="BKS116" s="77" t="str">
        <f t="shared" si="129"/>
        <v/>
      </c>
      <c r="BKT116" s="77" t="str">
        <f t="shared" si="129"/>
        <v/>
      </c>
      <c r="BKU116" s="77" t="str">
        <f t="shared" si="129"/>
        <v/>
      </c>
      <c r="BKV116" s="77" t="str">
        <f t="shared" si="129"/>
        <v/>
      </c>
      <c r="BKW116" s="77" t="str">
        <f t="shared" si="129"/>
        <v/>
      </c>
      <c r="BKX116" s="77" t="str">
        <f t="shared" si="129"/>
        <v/>
      </c>
      <c r="BKY116" s="77" t="str">
        <f t="shared" si="129"/>
        <v/>
      </c>
      <c r="BKZ116" s="77" t="str">
        <f t="shared" si="129"/>
        <v/>
      </c>
      <c r="BLA116" s="77" t="str">
        <f t="shared" si="129"/>
        <v/>
      </c>
      <c r="BLB116" s="77" t="str">
        <f t="shared" si="129"/>
        <v/>
      </c>
      <c r="BLC116" s="77" t="str">
        <f t="shared" si="129"/>
        <v/>
      </c>
      <c r="BLD116" s="77" t="str">
        <f t="shared" si="129"/>
        <v/>
      </c>
      <c r="BLE116" s="77" t="str">
        <f t="shared" si="129"/>
        <v/>
      </c>
      <c r="BLF116" s="77" t="str">
        <f t="shared" si="129"/>
        <v/>
      </c>
      <c r="BLG116" s="77" t="str">
        <f t="shared" si="129"/>
        <v/>
      </c>
      <c r="BLH116" s="77" t="str">
        <f t="shared" si="129"/>
        <v/>
      </c>
      <c r="BLI116" s="77" t="str">
        <f t="shared" si="129"/>
        <v/>
      </c>
      <c r="BLJ116" s="77" t="str">
        <f t="shared" si="129"/>
        <v/>
      </c>
      <c r="BLK116" s="77" t="str">
        <f t="shared" si="129"/>
        <v/>
      </c>
      <c r="BLL116" s="77" t="str">
        <f t="shared" si="129"/>
        <v/>
      </c>
      <c r="BLM116" s="77" t="str">
        <f t="shared" si="129"/>
        <v/>
      </c>
      <c r="BLN116" s="77" t="str">
        <f t="shared" si="129"/>
        <v/>
      </c>
      <c r="BLO116" s="77" t="str">
        <f t="shared" si="129"/>
        <v/>
      </c>
      <c r="BLP116" s="77" t="str">
        <f t="shared" si="129"/>
        <v/>
      </c>
      <c r="BLQ116" s="77" t="str">
        <f t="shared" si="129"/>
        <v/>
      </c>
      <c r="BLR116" s="77" t="str">
        <f t="shared" si="129"/>
        <v/>
      </c>
      <c r="BLS116" s="77" t="str">
        <f t="shared" si="129"/>
        <v/>
      </c>
      <c r="BLT116" s="77" t="str">
        <f t="shared" si="129"/>
        <v/>
      </c>
      <c r="BLU116" s="77" t="str">
        <f t="shared" si="129"/>
        <v/>
      </c>
      <c r="BLV116" s="77" t="str">
        <f t="shared" si="129"/>
        <v/>
      </c>
      <c r="BLW116" s="77" t="str">
        <f t="shared" si="129"/>
        <v/>
      </c>
      <c r="BLX116" s="77" t="str">
        <f t="shared" si="129"/>
        <v/>
      </c>
      <c r="BLY116" s="77" t="str">
        <f t="shared" si="129"/>
        <v/>
      </c>
      <c r="BLZ116" s="77" t="str">
        <f t="shared" si="129"/>
        <v/>
      </c>
      <c r="BMA116" s="77" t="str">
        <f t="shared" si="129"/>
        <v/>
      </c>
      <c r="BMB116" s="77" t="str">
        <f t="shared" si="129"/>
        <v/>
      </c>
      <c r="BMC116" s="77" t="str">
        <f t="shared" si="129"/>
        <v/>
      </c>
      <c r="BMD116" s="77" t="str">
        <f t="shared" si="129"/>
        <v/>
      </c>
      <c r="BME116" s="77" t="str">
        <f t="shared" si="129"/>
        <v/>
      </c>
      <c r="BMF116" s="77" t="str">
        <f t="shared" si="129"/>
        <v/>
      </c>
      <c r="BMG116" s="77" t="str">
        <f t="shared" si="129"/>
        <v/>
      </c>
      <c r="BMH116" s="77" t="str">
        <f t="shared" si="129"/>
        <v/>
      </c>
      <c r="BMI116" s="77" t="str">
        <f t="shared" si="129"/>
        <v/>
      </c>
      <c r="BMJ116" s="77" t="str">
        <f t="shared" si="129"/>
        <v/>
      </c>
      <c r="BMK116" s="77" t="str">
        <f t="shared" si="129"/>
        <v/>
      </c>
      <c r="BML116" s="77" t="str">
        <f t="shared" si="129"/>
        <v/>
      </c>
      <c r="BMM116" s="77" t="str">
        <f t="shared" ref="BMM116:BOX116" si="130">IF(ISNUMBER(outYear),BMM69+BMM75+BMM81+BMM113,"")</f>
        <v/>
      </c>
      <c r="BMN116" s="77" t="str">
        <f t="shared" si="130"/>
        <v/>
      </c>
      <c r="BMO116" s="77" t="str">
        <f t="shared" si="130"/>
        <v/>
      </c>
      <c r="BMP116" s="77" t="str">
        <f t="shared" si="130"/>
        <v/>
      </c>
      <c r="BMQ116" s="77" t="str">
        <f t="shared" si="130"/>
        <v/>
      </c>
      <c r="BMR116" s="77" t="str">
        <f t="shared" si="130"/>
        <v/>
      </c>
      <c r="BMS116" s="77" t="str">
        <f t="shared" si="130"/>
        <v/>
      </c>
      <c r="BMT116" s="77" t="str">
        <f t="shared" si="130"/>
        <v/>
      </c>
      <c r="BMU116" s="77" t="str">
        <f t="shared" si="130"/>
        <v/>
      </c>
      <c r="BMV116" s="77" t="str">
        <f t="shared" si="130"/>
        <v/>
      </c>
      <c r="BMW116" s="77" t="str">
        <f t="shared" si="130"/>
        <v/>
      </c>
      <c r="BMX116" s="77" t="str">
        <f t="shared" si="130"/>
        <v/>
      </c>
      <c r="BMY116" s="77" t="str">
        <f t="shared" si="130"/>
        <v/>
      </c>
      <c r="BMZ116" s="77" t="str">
        <f t="shared" si="130"/>
        <v/>
      </c>
      <c r="BNA116" s="77" t="str">
        <f t="shared" si="130"/>
        <v/>
      </c>
      <c r="BNB116" s="77" t="str">
        <f t="shared" si="130"/>
        <v/>
      </c>
      <c r="BNC116" s="77" t="str">
        <f t="shared" si="130"/>
        <v/>
      </c>
      <c r="BND116" s="77" t="str">
        <f t="shared" si="130"/>
        <v/>
      </c>
      <c r="BNE116" s="77" t="str">
        <f t="shared" si="130"/>
        <v/>
      </c>
      <c r="BNF116" s="77" t="str">
        <f t="shared" si="130"/>
        <v/>
      </c>
      <c r="BNG116" s="77" t="str">
        <f t="shared" si="130"/>
        <v/>
      </c>
      <c r="BNH116" s="77" t="str">
        <f t="shared" si="130"/>
        <v/>
      </c>
      <c r="BNI116" s="77" t="str">
        <f t="shared" si="130"/>
        <v/>
      </c>
      <c r="BNJ116" s="77" t="str">
        <f t="shared" si="130"/>
        <v/>
      </c>
      <c r="BNK116" s="77" t="str">
        <f t="shared" si="130"/>
        <v/>
      </c>
      <c r="BNL116" s="77" t="str">
        <f t="shared" si="130"/>
        <v/>
      </c>
      <c r="BNM116" s="77" t="str">
        <f t="shared" si="130"/>
        <v/>
      </c>
      <c r="BNN116" s="77" t="str">
        <f t="shared" si="130"/>
        <v/>
      </c>
      <c r="BNO116" s="77" t="str">
        <f t="shared" si="130"/>
        <v/>
      </c>
      <c r="BNP116" s="77" t="str">
        <f t="shared" si="130"/>
        <v/>
      </c>
      <c r="BNQ116" s="77" t="str">
        <f t="shared" si="130"/>
        <v/>
      </c>
      <c r="BNR116" s="77" t="str">
        <f t="shared" si="130"/>
        <v/>
      </c>
      <c r="BNS116" s="77" t="str">
        <f t="shared" si="130"/>
        <v/>
      </c>
      <c r="BNT116" s="77" t="str">
        <f t="shared" si="130"/>
        <v/>
      </c>
      <c r="BNU116" s="77" t="str">
        <f t="shared" si="130"/>
        <v/>
      </c>
      <c r="BNV116" s="77" t="str">
        <f t="shared" si="130"/>
        <v/>
      </c>
      <c r="BNW116" s="77" t="str">
        <f t="shared" si="130"/>
        <v/>
      </c>
      <c r="BNX116" s="77" t="str">
        <f t="shared" si="130"/>
        <v/>
      </c>
      <c r="BNY116" s="77" t="str">
        <f t="shared" si="130"/>
        <v/>
      </c>
      <c r="BNZ116" s="77" t="str">
        <f t="shared" si="130"/>
        <v/>
      </c>
      <c r="BOA116" s="77" t="str">
        <f t="shared" si="130"/>
        <v/>
      </c>
      <c r="BOB116" s="77" t="str">
        <f t="shared" si="130"/>
        <v/>
      </c>
      <c r="BOC116" s="77" t="str">
        <f t="shared" si="130"/>
        <v/>
      </c>
      <c r="BOD116" s="77" t="str">
        <f t="shared" si="130"/>
        <v/>
      </c>
      <c r="BOE116" s="77" t="str">
        <f t="shared" si="130"/>
        <v/>
      </c>
      <c r="BOF116" s="77" t="str">
        <f t="shared" si="130"/>
        <v/>
      </c>
      <c r="BOG116" s="77" t="str">
        <f t="shared" si="130"/>
        <v/>
      </c>
      <c r="BOH116" s="77" t="str">
        <f t="shared" si="130"/>
        <v/>
      </c>
      <c r="BOI116" s="77" t="str">
        <f t="shared" si="130"/>
        <v/>
      </c>
      <c r="BOJ116" s="77" t="str">
        <f t="shared" si="130"/>
        <v/>
      </c>
      <c r="BOK116" s="77" t="str">
        <f t="shared" si="130"/>
        <v/>
      </c>
      <c r="BOL116" s="77" t="str">
        <f t="shared" si="130"/>
        <v/>
      </c>
      <c r="BOM116" s="77" t="str">
        <f t="shared" si="130"/>
        <v/>
      </c>
      <c r="BON116" s="77" t="str">
        <f t="shared" si="130"/>
        <v/>
      </c>
      <c r="BOO116" s="77" t="str">
        <f t="shared" si="130"/>
        <v/>
      </c>
      <c r="BOP116" s="77" t="str">
        <f t="shared" si="130"/>
        <v/>
      </c>
      <c r="BOQ116" s="77" t="str">
        <f t="shared" si="130"/>
        <v/>
      </c>
      <c r="BOR116" s="77" t="str">
        <f t="shared" si="130"/>
        <v/>
      </c>
      <c r="BOS116" s="77" t="str">
        <f t="shared" si="130"/>
        <v/>
      </c>
      <c r="BOT116" s="77" t="str">
        <f t="shared" si="130"/>
        <v/>
      </c>
      <c r="BOU116" s="77" t="str">
        <f t="shared" si="130"/>
        <v/>
      </c>
      <c r="BOV116" s="77" t="str">
        <f t="shared" si="130"/>
        <v/>
      </c>
      <c r="BOW116" s="77" t="str">
        <f t="shared" si="130"/>
        <v/>
      </c>
      <c r="BOX116" s="77" t="str">
        <f t="shared" si="130"/>
        <v/>
      </c>
      <c r="BOY116" s="77" t="str">
        <f t="shared" ref="BOY116:BRJ116" si="131">IF(ISNUMBER(outYear),BOY69+BOY75+BOY81+BOY113,"")</f>
        <v/>
      </c>
      <c r="BOZ116" s="77" t="str">
        <f t="shared" si="131"/>
        <v/>
      </c>
      <c r="BPA116" s="77" t="str">
        <f t="shared" si="131"/>
        <v/>
      </c>
      <c r="BPB116" s="77" t="str">
        <f t="shared" si="131"/>
        <v/>
      </c>
      <c r="BPC116" s="77" t="str">
        <f t="shared" si="131"/>
        <v/>
      </c>
      <c r="BPD116" s="77" t="str">
        <f t="shared" si="131"/>
        <v/>
      </c>
      <c r="BPE116" s="77" t="str">
        <f t="shared" si="131"/>
        <v/>
      </c>
      <c r="BPF116" s="77" t="str">
        <f t="shared" si="131"/>
        <v/>
      </c>
      <c r="BPG116" s="77" t="str">
        <f t="shared" si="131"/>
        <v/>
      </c>
      <c r="BPH116" s="77" t="str">
        <f t="shared" si="131"/>
        <v/>
      </c>
      <c r="BPI116" s="77" t="str">
        <f t="shared" si="131"/>
        <v/>
      </c>
      <c r="BPJ116" s="77" t="str">
        <f t="shared" si="131"/>
        <v/>
      </c>
      <c r="BPK116" s="77" t="str">
        <f t="shared" si="131"/>
        <v/>
      </c>
      <c r="BPL116" s="77" t="str">
        <f t="shared" si="131"/>
        <v/>
      </c>
      <c r="BPM116" s="77" t="str">
        <f t="shared" si="131"/>
        <v/>
      </c>
      <c r="BPN116" s="77" t="str">
        <f t="shared" si="131"/>
        <v/>
      </c>
      <c r="BPO116" s="77" t="str">
        <f t="shared" si="131"/>
        <v/>
      </c>
      <c r="BPP116" s="77" t="str">
        <f t="shared" si="131"/>
        <v/>
      </c>
      <c r="BPQ116" s="77" t="str">
        <f t="shared" si="131"/>
        <v/>
      </c>
      <c r="BPR116" s="77" t="str">
        <f t="shared" si="131"/>
        <v/>
      </c>
      <c r="BPS116" s="77" t="str">
        <f t="shared" si="131"/>
        <v/>
      </c>
      <c r="BPT116" s="77" t="str">
        <f t="shared" si="131"/>
        <v/>
      </c>
      <c r="BPU116" s="77" t="str">
        <f t="shared" si="131"/>
        <v/>
      </c>
      <c r="BPV116" s="77" t="str">
        <f t="shared" si="131"/>
        <v/>
      </c>
      <c r="BPW116" s="77" t="str">
        <f t="shared" si="131"/>
        <v/>
      </c>
      <c r="BPX116" s="77" t="str">
        <f t="shared" si="131"/>
        <v/>
      </c>
      <c r="BPY116" s="77" t="str">
        <f t="shared" si="131"/>
        <v/>
      </c>
      <c r="BPZ116" s="77" t="str">
        <f t="shared" si="131"/>
        <v/>
      </c>
      <c r="BQA116" s="77" t="str">
        <f t="shared" si="131"/>
        <v/>
      </c>
      <c r="BQB116" s="77" t="str">
        <f t="shared" si="131"/>
        <v/>
      </c>
      <c r="BQC116" s="77" t="str">
        <f t="shared" si="131"/>
        <v/>
      </c>
      <c r="BQD116" s="77" t="str">
        <f t="shared" si="131"/>
        <v/>
      </c>
      <c r="BQE116" s="77" t="str">
        <f t="shared" si="131"/>
        <v/>
      </c>
      <c r="BQF116" s="77" t="str">
        <f t="shared" si="131"/>
        <v/>
      </c>
      <c r="BQG116" s="77" t="str">
        <f t="shared" si="131"/>
        <v/>
      </c>
      <c r="BQH116" s="77" t="str">
        <f t="shared" si="131"/>
        <v/>
      </c>
      <c r="BQI116" s="77" t="str">
        <f t="shared" si="131"/>
        <v/>
      </c>
      <c r="BQJ116" s="77" t="str">
        <f t="shared" si="131"/>
        <v/>
      </c>
      <c r="BQK116" s="77" t="str">
        <f t="shared" si="131"/>
        <v/>
      </c>
      <c r="BQL116" s="77" t="str">
        <f t="shared" si="131"/>
        <v/>
      </c>
      <c r="BQM116" s="77" t="str">
        <f t="shared" si="131"/>
        <v/>
      </c>
      <c r="BQN116" s="77" t="str">
        <f t="shared" si="131"/>
        <v/>
      </c>
      <c r="BQO116" s="77" t="str">
        <f t="shared" si="131"/>
        <v/>
      </c>
      <c r="BQP116" s="77" t="str">
        <f t="shared" si="131"/>
        <v/>
      </c>
      <c r="BQQ116" s="77" t="str">
        <f t="shared" si="131"/>
        <v/>
      </c>
      <c r="BQR116" s="77" t="str">
        <f t="shared" si="131"/>
        <v/>
      </c>
      <c r="BQS116" s="77" t="str">
        <f t="shared" si="131"/>
        <v/>
      </c>
      <c r="BQT116" s="77" t="str">
        <f t="shared" si="131"/>
        <v/>
      </c>
      <c r="BQU116" s="77" t="str">
        <f t="shared" si="131"/>
        <v/>
      </c>
      <c r="BQV116" s="77" t="str">
        <f t="shared" si="131"/>
        <v/>
      </c>
      <c r="BQW116" s="77" t="str">
        <f t="shared" si="131"/>
        <v/>
      </c>
      <c r="BQX116" s="77" t="str">
        <f t="shared" si="131"/>
        <v/>
      </c>
      <c r="BQY116" s="77" t="str">
        <f t="shared" si="131"/>
        <v/>
      </c>
      <c r="BQZ116" s="77" t="str">
        <f t="shared" si="131"/>
        <v/>
      </c>
      <c r="BRA116" s="77" t="str">
        <f t="shared" si="131"/>
        <v/>
      </c>
      <c r="BRB116" s="77" t="str">
        <f t="shared" si="131"/>
        <v/>
      </c>
      <c r="BRC116" s="77" t="str">
        <f t="shared" si="131"/>
        <v/>
      </c>
      <c r="BRD116" s="77" t="str">
        <f t="shared" si="131"/>
        <v/>
      </c>
      <c r="BRE116" s="77" t="str">
        <f t="shared" si="131"/>
        <v/>
      </c>
      <c r="BRF116" s="77" t="str">
        <f t="shared" si="131"/>
        <v/>
      </c>
      <c r="BRG116" s="77" t="str">
        <f t="shared" si="131"/>
        <v/>
      </c>
      <c r="BRH116" s="77" t="str">
        <f t="shared" si="131"/>
        <v/>
      </c>
      <c r="BRI116" s="77" t="str">
        <f t="shared" si="131"/>
        <v/>
      </c>
      <c r="BRJ116" s="77" t="str">
        <f t="shared" si="131"/>
        <v/>
      </c>
      <c r="BRK116" s="77" t="str">
        <f t="shared" ref="BRK116:BTV116" si="132">IF(ISNUMBER(outYear),BRK69+BRK75+BRK81+BRK113,"")</f>
        <v/>
      </c>
      <c r="BRL116" s="77" t="str">
        <f t="shared" si="132"/>
        <v/>
      </c>
      <c r="BRM116" s="77" t="str">
        <f t="shared" si="132"/>
        <v/>
      </c>
      <c r="BRN116" s="77" t="str">
        <f t="shared" si="132"/>
        <v/>
      </c>
      <c r="BRO116" s="77" t="str">
        <f t="shared" si="132"/>
        <v/>
      </c>
      <c r="BRP116" s="77" t="str">
        <f t="shared" si="132"/>
        <v/>
      </c>
      <c r="BRQ116" s="77" t="str">
        <f t="shared" si="132"/>
        <v/>
      </c>
      <c r="BRR116" s="77" t="str">
        <f t="shared" si="132"/>
        <v/>
      </c>
      <c r="BRS116" s="77" t="str">
        <f t="shared" si="132"/>
        <v/>
      </c>
      <c r="BRT116" s="77" t="str">
        <f t="shared" si="132"/>
        <v/>
      </c>
      <c r="BRU116" s="77" t="str">
        <f t="shared" si="132"/>
        <v/>
      </c>
      <c r="BRV116" s="77" t="str">
        <f t="shared" si="132"/>
        <v/>
      </c>
      <c r="BRW116" s="77" t="str">
        <f t="shared" si="132"/>
        <v/>
      </c>
      <c r="BRX116" s="77" t="str">
        <f t="shared" si="132"/>
        <v/>
      </c>
      <c r="BRY116" s="77" t="str">
        <f t="shared" si="132"/>
        <v/>
      </c>
      <c r="BRZ116" s="77" t="str">
        <f t="shared" si="132"/>
        <v/>
      </c>
      <c r="BSA116" s="77" t="str">
        <f t="shared" si="132"/>
        <v/>
      </c>
      <c r="BSB116" s="77" t="str">
        <f t="shared" si="132"/>
        <v/>
      </c>
      <c r="BSC116" s="77" t="str">
        <f t="shared" si="132"/>
        <v/>
      </c>
      <c r="BSD116" s="77" t="str">
        <f t="shared" si="132"/>
        <v/>
      </c>
      <c r="BSE116" s="77" t="str">
        <f t="shared" si="132"/>
        <v/>
      </c>
      <c r="BSF116" s="77" t="str">
        <f t="shared" si="132"/>
        <v/>
      </c>
      <c r="BSG116" s="77" t="str">
        <f t="shared" si="132"/>
        <v/>
      </c>
      <c r="BSH116" s="77" t="str">
        <f t="shared" si="132"/>
        <v/>
      </c>
      <c r="BSI116" s="77" t="str">
        <f t="shared" si="132"/>
        <v/>
      </c>
      <c r="BSJ116" s="77" t="str">
        <f t="shared" si="132"/>
        <v/>
      </c>
      <c r="BSK116" s="77" t="str">
        <f t="shared" si="132"/>
        <v/>
      </c>
      <c r="BSL116" s="77" t="str">
        <f t="shared" si="132"/>
        <v/>
      </c>
      <c r="BSM116" s="77" t="str">
        <f t="shared" si="132"/>
        <v/>
      </c>
      <c r="BSN116" s="77" t="str">
        <f t="shared" si="132"/>
        <v/>
      </c>
      <c r="BSO116" s="77" t="str">
        <f t="shared" si="132"/>
        <v/>
      </c>
      <c r="BSP116" s="77" t="str">
        <f t="shared" si="132"/>
        <v/>
      </c>
      <c r="BSQ116" s="77" t="str">
        <f t="shared" si="132"/>
        <v/>
      </c>
      <c r="BSR116" s="77" t="str">
        <f t="shared" si="132"/>
        <v/>
      </c>
      <c r="BSS116" s="77" t="str">
        <f t="shared" si="132"/>
        <v/>
      </c>
      <c r="BST116" s="77" t="str">
        <f t="shared" si="132"/>
        <v/>
      </c>
      <c r="BSU116" s="77" t="str">
        <f t="shared" si="132"/>
        <v/>
      </c>
      <c r="BSV116" s="77" t="str">
        <f t="shared" si="132"/>
        <v/>
      </c>
      <c r="BSW116" s="77" t="str">
        <f t="shared" si="132"/>
        <v/>
      </c>
      <c r="BSX116" s="77" t="str">
        <f t="shared" si="132"/>
        <v/>
      </c>
      <c r="BSY116" s="77" t="str">
        <f t="shared" si="132"/>
        <v/>
      </c>
      <c r="BSZ116" s="77" t="str">
        <f t="shared" si="132"/>
        <v/>
      </c>
      <c r="BTA116" s="77" t="str">
        <f t="shared" si="132"/>
        <v/>
      </c>
      <c r="BTB116" s="77" t="str">
        <f t="shared" si="132"/>
        <v/>
      </c>
      <c r="BTC116" s="77" t="str">
        <f t="shared" si="132"/>
        <v/>
      </c>
      <c r="BTD116" s="77" t="str">
        <f t="shared" si="132"/>
        <v/>
      </c>
      <c r="BTE116" s="77" t="str">
        <f t="shared" si="132"/>
        <v/>
      </c>
      <c r="BTF116" s="77" t="str">
        <f t="shared" si="132"/>
        <v/>
      </c>
      <c r="BTG116" s="77" t="str">
        <f t="shared" si="132"/>
        <v/>
      </c>
      <c r="BTH116" s="77" t="str">
        <f t="shared" si="132"/>
        <v/>
      </c>
      <c r="BTI116" s="77" t="str">
        <f t="shared" si="132"/>
        <v/>
      </c>
      <c r="BTJ116" s="77" t="str">
        <f t="shared" si="132"/>
        <v/>
      </c>
      <c r="BTK116" s="77" t="str">
        <f t="shared" si="132"/>
        <v/>
      </c>
      <c r="BTL116" s="77" t="str">
        <f t="shared" si="132"/>
        <v/>
      </c>
      <c r="BTM116" s="77" t="str">
        <f t="shared" si="132"/>
        <v/>
      </c>
      <c r="BTN116" s="77" t="str">
        <f t="shared" si="132"/>
        <v/>
      </c>
      <c r="BTO116" s="77" t="str">
        <f t="shared" si="132"/>
        <v/>
      </c>
      <c r="BTP116" s="77" t="str">
        <f t="shared" si="132"/>
        <v/>
      </c>
      <c r="BTQ116" s="77" t="str">
        <f t="shared" si="132"/>
        <v/>
      </c>
      <c r="BTR116" s="77" t="str">
        <f t="shared" si="132"/>
        <v/>
      </c>
      <c r="BTS116" s="77" t="str">
        <f t="shared" si="132"/>
        <v/>
      </c>
      <c r="BTT116" s="77" t="str">
        <f t="shared" si="132"/>
        <v/>
      </c>
      <c r="BTU116" s="77" t="str">
        <f t="shared" si="132"/>
        <v/>
      </c>
      <c r="BTV116" s="77" t="str">
        <f t="shared" si="132"/>
        <v/>
      </c>
      <c r="BTW116" s="77" t="str">
        <f t="shared" ref="BTW116:BWH116" si="133">IF(ISNUMBER(outYear),BTW69+BTW75+BTW81+BTW113,"")</f>
        <v/>
      </c>
      <c r="BTX116" s="77" t="str">
        <f t="shared" si="133"/>
        <v/>
      </c>
      <c r="BTY116" s="77" t="str">
        <f t="shared" si="133"/>
        <v/>
      </c>
      <c r="BTZ116" s="77" t="str">
        <f t="shared" si="133"/>
        <v/>
      </c>
      <c r="BUA116" s="77" t="str">
        <f t="shared" si="133"/>
        <v/>
      </c>
      <c r="BUB116" s="77" t="str">
        <f t="shared" si="133"/>
        <v/>
      </c>
      <c r="BUC116" s="77" t="str">
        <f t="shared" si="133"/>
        <v/>
      </c>
      <c r="BUD116" s="77" t="str">
        <f t="shared" si="133"/>
        <v/>
      </c>
      <c r="BUE116" s="77" t="str">
        <f t="shared" si="133"/>
        <v/>
      </c>
      <c r="BUF116" s="77" t="str">
        <f t="shared" si="133"/>
        <v/>
      </c>
      <c r="BUG116" s="77" t="str">
        <f t="shared" si="133"/>
        <v/>
      </c>
      <c r="BUH116" s="77" t="str">
        <f t="shared" si="133"/>
        <v/>
      </c>
      <c r="BUI116" s="77" t="str">
        <f t="shared" si="133"/>
        <v/>
      </c>
      <c r="BUJ116" s="77" t="str">
        <f t="shared" si="133"/>
        <v/>
      </c>
      <c r="BUK116" s="77" t="str">
        <f t="shared" si="133"/>
        <v/>
      </c>
      <c r="BUL116" s="77" t="str">
        <f t="shared" si="133"/>
        <v/>
      </c>
      <c r="BUM116" s="77" t="str">
        <f t="shared" si="133"/>
        <v/>
      </c>
      <c r="BUN116" s="77" t="str">
        <f t="shared" si="133"/>
        <v/>
      </c>
      <c r="BUO116" s="77" t="str">
        <f t="shared" si="133"/>
        <v/>
      </c>
      <c r="BUP116" s="77" t="str">
        <f t="shared" si="133"/>
        <v/>
      </c>
      <c r="BUQ116" s="77" t="str">
        <f t="shared" si="133"/>
        <v/>
      </c>
      <c r="BUR116" s="77" t="str">
        <f t="shared" si="133"/>
        <v/>
      </c>
      <c r="BUS116" s="77" t="str">
        <f t="shared" si="133"/>
        <v/>
      </c>
      <c r="BUT116" s="77" t="str">
        <f t="shared" si="133"/>
        <v/>
      </c>
      <c r="BUU116" s="77" t="str">
        <f t="shared" si="133"/>
        <v/>
      </c>
      <c r="BUV116" s="77" t="str">
        <f t="shared" si="133"/>
        <v/>
      </c>
      <c r="BUW116" s="77" t="str">
        <f t="shared" si="133"/>
        <v/>
      </c>
      <c r="BUX116" s="77" t="str">
        <f t="shared" si="133"/>
        <v/>
      </c>
      <c r="BUY116" s="77" t="str">
        <f t="shared" si="133"/>
        <v/>
      </c>
      <c r="BUZ116" s="77" t="str">
        <f t="shared" si="133"/>
        <v/>
      </c>
      <c r="BVA116" s="77" t="str">
        <f t="shared" si="133"/>
        <v/>
      </c>
      <c r="BVB116" s="77" t="str">
        <f t="shared" si="133"/>
        <v/>
      </c>
      <c r="BVC116" s="77" t="str">
        <f t="shared" si="133"/>
        <v/>
      </c>
      <c r="BVD116" s="77" t="str">
        <f t="shared" si="133"/>
        <v/>
      </c>
      <c r="BVE116" s="77" t="str">
        <f t="shared" si="133"/>
        <v/>
      </c>
      <c r="BVF116" s="77" t="str">
        <f t="shared" si="133"/>
        <v/>
      </c>
      <c r="BVG116" s="77" t="str">
        <f t="shared" si="133"/>
        <v/>
      </c>
      <c r="BVH116" s="77" t="str">
        <f t="shared" si="133"/>
        <v/>
      </c>
      <c r="BVI116" s="77" t="str">
        <f t="shared" si="133"/>
        <v/>
      </c>
      <c r="BVJ116" s="77" t="str">
        <f t="shared" si="133"/>
        <v/>
      </c>
      <c r="BVK116" s="77" t="str">
        <f t="shared" si="133"/>
        <v/>
      </c>
      <c r="BVL116" s="77" t="str">
        <f t="shared" si="133"/>
        <v/>
      </c>
      <c r="BVM116" s="77" t="str">
        <f t="shared" si="133"/>
        <v/>
      </c>
      <c r="BVN116" s="77" t="str">
        <f t="shared" si="133"/>
        <v/>
      </c>
      <c r="BVO116" s="77" t="str">
        <f t="shared" si="133"/>
        <v/>
      </c>
      <c r="BVP116" s="77" t="str">
        <f t="shared" si="133"/>
        <v/>
      </c>
      <c r="BVQ116" s="77" t="str">
        <f t="shared" si="133"/>
        <v/>
      </c>
      <c r="BVR116" s="77" t="str">
        <f t="shared" si="133"/>
        <v/>
      </c>
      <c r="BVS116" s="77" t="str">
        <f t="shared" si="133"/>
        <v/>
      </c>
      <c r="BVT116" s="77" t="str">
        <f t="shared" si="133"/>
        <v/>
      </c>
      <c r="BVU116" s="77" t="str">
        <f t="shared" si="133"/>
        <v/>
      </c>
      <c r="BVV116" s="77" t="str">
        <f t="shared" si="133"/>
        <v/>
      </c>
      <c r="BVW116" s="77" t="str">
        <f t="shared" si="133"/>
        <v/>
      </c>
      <c r="BVX116" s="77" t="str">
        <f t="shared" si="133"/>
        <v/>
      </c>
      <c r="BVY116" s="77" t="str">
        <f t="shared" si="133"/>
        <v/>
      </c>
      <c r="BVZ116" s="77" t="str">
        <f t="shared" si="133"/>
        <v/>
      </c>
      <c r="BWA116" s="77" t="str">
        <f t="shared" si="133"/>
        <v/>
      </c>
      <c r="BWB116" s="77" t="str">
        <f t="shared" si="133"/>
        <v/>
      </c>
      <c r="BWC116" s="77" t="str">
        <f t="shared" si="133"/>
        <v/>
      </c>
      <c r="BWD116" s="77" t="str">
        <f t="shared" si="133"/>
        <v/>
      </c>
      <c r="BWE116" s="77" t="str">
        <f t="shared" si="133"/>
        <v/>
      </c>
      <c r="BWF116" s="77" t="str">
        <f t="shared" si="133"/>
        <v/>
      </c>
      <c r="BWG116" s="77" t="str">
        <f t="shared" si="133"/>
        <v/>
      </c>
      <c r="BWH116" s="77" t="str">
        <f t="shared" si="133"/>
        <v/>
      </c>
      <c r="BWI116" s="77" t="str">
        <f t="shared" ref="BWI116:BYT116" si="134">IF(ISNUMBER(outYear),BWI69+BWI75+BWI81+BWI113,"")</f>
        <v/>
      </c>
      <c r="BWJ116" s="77" t="str">
        <f t="shared" si="134"/>
        <v/>
      </c>
      <c r="BWK116" s="77" t="str">
        <f t="shared" si="134"/>
        <v/>
      </c>
      <c r="BWL116" s="77" t="str">
        <f t="shared" si="134"/>
        <v/>
      </c>
      <c r="BWM116" s="77" t="str">
        <f t="shared" si="134"/>
        <v/>
      </c>
      <c r="BWN116" s="77" t="str">
        <f t="shared" si="134"/>
        <v/>
      </c>
      <c r="BWO116" s="77" t="str">
        <f t="shared" si="134"/>
        <v/>
      </c>
      <c r="BWP116" s="77" t="str">
        <f t="shared" si="134"/>
        <v/>
      </c>
      <c r="BWQ116" s="77" t="str">
        <f t="shared" si="134"/>
        <v/>
      </c>
      <c r="BWR116" s="77" t="str">
        <f t="shared" si="134"/>
        <v/>
      </c>
      <c r="BWS116" s="77" t="str">
        <f t="shared" si="134"/>
        <v/>
      </c>
      <c r="BWT116" s="77" t="str">
        <f t="shared" si="134"/>
        <v/>
      </c>
      <c r="BWU116" s="77" t="str">
        <f t="shared" si="134"/>
        <v/>
      </c>
      <c r="BWV116" s="77" t="str">
        <f t="shared" si="134"/>
        <v/>
      </c>
      <c r="BWW116" s="77" t="str">
        <f t="shared" si="134"/>
        <v/>
      </c>
      <c r="BWX116" s="77" t="str">
        <f t="shared" si="134"/>
        <v/>
      </c>
      <c r="BWY116" s="77" t="str">
        <f t="shared" si="134"/>
        <v/>
      </c>
      <c r="BWZ116" s="77" t="str">
        <f t="shared" si="134"/>
        <v/>
      </c>
      <c r="BXA116" s="77" t="str">
        <f t="shared" si="134"/>
        <v/>
      </c>
      <c r="BXB116" s="77" t="str">
        <f t="shared" si="134"/>
        <v/>
      </c>
      <c r="BXC116" s="77" t="str">
        <f t="shared" si="134"/>
        <v/>
      </c>
      <c r="BXD116" s="77" t="str">
        <f t="shared" si="134"/>
        <v/>
      </c>
      <c r="BXE116" s="77" t="str">
        <f t="shared" si="134"/>
        <v/>
      </c>
      <c r="BXF116" s="77" t="str">
        <f t="shared" si="134"/>
        <v/>
      </c>
      <c r="BXG116" s="77" t="str">
        <f t="shared" si="134"/>
        <v/>
      </c>
      <c r="BXH116" s="77" t="str">
        <f t="shared" si="134"/>
        <v/>
      </c>
      <c r="BXI116" s="77" t="str">
        <f t="shared" si="134"/>
        <v/>
      </c>
      <c r="BXJ116" s="77" t="str">
        <f t="shared" si="134"/>
        <v/>
      </c>
      <c r="BXK116" s="77" t="str">
        <f t="shared" si="134"/>
        <v/>
      </c>
      <c r="BXL116" s="77" t="str">
        <f t="shared" si="134"/>
        <v/>
      </c>
      <c r="BXM116" s="77" t="str">
        <f t="shared" si="134"/>
        <v/>
      </c>
      <c r="BXN116" s="77" t="str">
        <f t="shared" si="134"/>
        <v/>
      </c>
      <c r="BXO116" s="77" t="str">
        <f t="shared" si="134"/>
        <v/>
      </c>
      <c r="BXP116" s="77" t="str">
        <f t="shared" si="134"/>
        <v/>
      </c>
      <c r="BXQ116" s="77" t="str">
        <f t="shared" si="134"/>
        <v/>
      </c>
      <c r="BXR116" s="77" t="str">
        <f t="shared" si="134"/>
        <v/>
      </c>
      <c r="BXS116" s="77" t="str">
        <f t="shared" si="134"/>
        <v/>
      </c>
      <c r="BXT116" s="77" t="str">
        <f t="shared" si="134"/>
        <v/>
      </c>
      <c r="BXU116" s="77" t="str">
        <f t="shared" si="134"/>
        <v/>
      </c>
      <c r="BXV116" s="77" t="str">
        <f t="shared" si="134"/>
        <v/>
      </c>
      <c r="BXW116" s="77" t="str">
        <f t="shared" si="134"/>
        <v/>
      </c>
      <c r="BXX116" s="77" t="str">
        <f t="shared" si="134"/>
        <v/>
      </c>
      <c r="BXY116" s="77" t="str">
        <f t="shared" si="134"/>
        <v/>
      </c>
      <c r="BXZ116" s="77" t="str">
        <f t="shared" si="134"/>
        <v/>
      </c>
      <c r="BYA116" s="77" t="str">
        <f t="shared" si="134"/>
        <v/>
      </c>
      <c r="BYB116" s="77" t="str">
        <f t="shared" si="134"/>
        <v/>
      </c>
      <c r="BYC116" s="77" t="str">
        <f t="shared" si="134"/>
        <v/>
      </c>
      <c r="BYD116" s="77" t="str">
        <f t="shared" si="134"/>
        <v/>
      </c>
      <c r="BYE116" s="77" t="str">
        <f t="shared" si="134"/>
        <v/>
      </c>
      <c r="BYF116" s="77" t="str">
        <f t="shared" si="134"/>
        <v/>
      </c>
      <c r="BYG116" s="77" t="str">
        <f t="shared" si="134"/>
        <v/>
      </c>
      <c r="BYH116" s="77" t="str">
        <f t="shared" si="134"/>
        <v/>
      </c>
      <c r="BYI116" s="77" t="str">
        <f t="shared" si="134"/>
        <v/>
      </c>
      <c r="BYJ116" s="77" t="str">
        <f t="shared" si="134"/>
        <v/>
      </c>
      <c r="BYK116" s="77" t="str">
        <f t="shared" si="134"/>
        <v/>
      </c>
      <c r="BYL116" s="77" t="str">
        <f t="shared" si="134"/>
        <v/>
      </c>
      <c r="BYM116" s="77" t="str">
        <f t="shared" si="134"/>
        <v/>
      </c>
      <c r="BYN116" s="77" t="str">
        <f t="shared" si="134"/>
        <v/>
      </c>
      <c r="BYO116" s="77" t="str">
        <f t="shared" si="134"/>
        <v/>
      </c>
      <c r="BYP116" s="77" t="str">
        <f t="shared" si="134"/>
        <v/>
      </c>
      <c r="BYQ116" s="77" t="str">
        <f t="shared" si="134"/>
        <v/>
      </c>
      <c r="BYR116" s="77" t="str">
        <f t="shared" si="134"/>
        <v/>
      </c>
      <c r="BYS116" s="77" t="str">
        <f t="shared" si="134"/>
        <v/>
      </c>
      <c r="BYT116" s="77" t="str">
        <f t="shared" si="134"/>
        <v/>
      </c>
      <c r="BYU116" s="77" t="str">
        <f t="shared" ref="BYU116:CBF116" si="135">IF(ISNUMBER(outYear),BYU69+BYU75+BYU81+BYU113,"")</f>
        <v/>
      </c>
      <c r="BYV116" s="77" t="str">
        <f t="shared" si="135"/>
        <v/>
      </c>
      <c r="BYW116" s="77" t="str">
        <f t="shared" si="135"/>
        <v/>
      </c>
      <c r="BYX116" s="77" t="str">
        <f t="shared" si="135"/>
        <v/>
      </c>
      <c r="BYY116" s="77" t="str">
        <f t="shared" si="135"/>
        <v/>
      </c>
      <c r="BYZ116" s="77" t="str">
        <f t="shared" si="135"/>
        <v/>
      </c>
      <c r="BZA116" s="77" t="str">
        <f t="shared" si="135"/>
        <v/>
      </c>
      <c r="BZB116" s="77" t="str">
        <f t="shared" si="135"/>
        <v/>
      </c>
      <c r="BZC116" s="77" t="str">
        <f t="shared" si="135"/>
        <v/>
      </c>
      <c r="BZD116" s="77" t="str">
        <f t="shared" si="135"/>
        <v/>
      </c>
      <c r="BZE116" s="77" t="str">
        <f t="shared" si="135"/>
        <v/>
      </c>
      <c r="BZF116" s="77" t="str">
        <f t="shared" si="135"/>
        <v/>
      </c>
      <c r="BZG116" s="77" t="str">
        <f t="shared" si="135"/>
        <v/>
      </c>
      <c r="BZH116" s="77" t="str">
        <f t="shared" si="135"/>
        <v/>
      </c>
      <c r="BZI116" s="77" t="str">
        <f t="shared" si="135"/>
        <v/>
      </c>
      <c r="BZJ116" s="77" t="str">
        <f t="shared" si="135"/>
        <v/>
      </c>
      <c r="BZK116" s="77" t="str">
        <f t="shared" si="135"/>
        <v/>
      </c>
      <c r="BZL116" s="77" t="str">
        <f t="shared" si="135"/>
        <v/>
      </c>
      <c r="BZM116" s="77" t="str">
        <f t="shared" si="135"/>
        <v/>
      </c>
      <c r="BZN116" s="77" t="str">
        <f t="shared" si="135"/>
        <v/>
      </c>
      <c r="BZO116" s="77" t="str">
        <f t="shared" si="135"/>
        <v/>
      </c>
      <c r="BZP116" s="77" t="str">
        <f t="shared" si="135"/>
        <v/>
      </c>
      <c r="BZQ116" s="77" t="str">
        <f t="shared" si="135"/>
        <v/>
      </c>
      <c r="BZR116" s="77" t="str">
        <f t="shared" si="135"/>
        <v/>
      </c>
      <c r="BZS116" s="77" t="str">
        <f t="shared" si="135"/>
        <v/>
      </c>
      <c r="BZT116" s="77" t="str">
        <f t="shared" si="135"/>
        <v/>
      </c>
      <c r="BZU116" s="77" t="str">
        <f t="shared" si="135"/>
        <v/>
      </c>
      <c r="BZV116" s="77" t="str">
        <f t="shared" si="135"/>
        <v/>
      </c>
      <c r="BZW116" s="77" t="str">
        <f t="shared" si="135"/>
        <v/>
      </c>
      <c r="BZX116" s="77" t="str">
        <f t="shared" si="135"/>
        <v/>
      </c>
      <c r="BZY116" s="77" t="str">
        <f t="shared" si="135"/>
        <v/>
      </c>
      <c r="BZZ116" s="77" t="str">
        <f t="shared" si="135"/>
        <v/>
      </c>
      <c r="CAA116" s="77" t="str">
        <f t="shared" si="135"/>
        <v/>
      </c>
      <c r="CAB116" s="77" t="str">
        <f t="shared" si="135"/>
        <v/>
      </c>
      <c r="CAC116" s="77" t="str">
        <f t="shared" si="135"/>
        <v/>
      </c>
      <c r="CAD116" s="77" t="str">
        <f t="shared" si="135"/>
        <v/>
      </c>
      <c r="CAE116" s="77" t="str">
        <f t="shared" si="135"/>
        <v/>
      </c>
      <c r="CAF116" s="77" t="str">
        <f t="shared" si="135"/>
        <v/>
      </c>
      <c r="CAG116" s="77" t="str">
        <f t="shared" si="135"/>
        <v/>
      </c>
      <c r="CAH116" s="77" t="str">
        <f t="shared" si="135"/>
        <v/>
      </c>
      <c r="CAI116" s="77" t="str">
        <f t="shared" si="135"/>
        <v/>
      </c>
      <c r="CAJ116" s="77" t="str">
        <f t="shared" si="135"/>
        <v/>
      </c>
      <c r="CAK116" s="77" t="str">
        <f t="shared" si="135"/>
        <v/>
      </c>
      <c r="CAL116" s="77" t="str">
        <f t="shared" si="135"/>
        <v/>
      </c>
      <c r="CAM116" s="77" t="str">
        <f t="shared" si="135"/>
        <v/>
      </c>
      <c r="CAN116" s="77" t="str">
        <f t="shared" si="135"/>
        <v/>
      </c>
      <c r="CAO116" s="77" t="str">
        <f t="shared" si="135"/>
        <v/>
      </c>
      <c r="CAP116" s="77" t="str">
        <f t="shared" si="135"/>
        <v/>
      </c>
      <c r="CAQ116" s="77" t="str">
        <f t="shared" si="135"/>
        <v/>
      </c>
      <c r="CAR116" s="77" t="str">
        <f t="shared" si="135"/>
        <v/>
      </c>
      <c r="CAS116" s="77" t="str">
        <f t="shared" si="135"/>
        <v/>
      </c>
      <c r="CAT116" s="77" t="str">
        <f t="shared" si="135"/>
        <v/>
      </c>
      <c r="CAU116" s="77" t="str">
        <f t="shared" si="135"/>
        <v/>
      </c>
      <c r="CAV116" s="77" t="str">
        <f t="shared" si="135"/>
        <v/>
      </c>
      <c r="CAW116" s="77" t="str">
        <f t="shared" si="135"/>
        <v/>
      </c>
      <c r="CAX116" s="77" t="str">
        <f t="shared" si="135"/>
        <v/>
      </c>
      <c r="CAY116" s="77" t="str">
        <f t="shared" si="135"/>
        <v/>
      </c>
      <c r="CAZ116" s="77" t="str">
        <f t="shared" si="135"/>
        <v/>
      </c>
      <c r="CBA116" s="77" t="str">
        <f t="shared" si="135"/>
        <v/>
      </c>
      <c r="CBB116" s="77" t="str">
        <f t="shared" si="135"/>
        <v/>
      </c>
      <c r="CBC116" s="77" t="str">
        <f t="shared" si="135"/>
        <v/>
      </c>
      <c r="CBD116" s="77" t="str">
        <f t="shared" si="135"/>
        <v/>
      </c>
      <c r="CBE116" s="77" t="str">
        <f t="shared" si="135"/>
        <v/>
      </c>
      <c r="CBF116" s="77" t="str">
        <f t="shared" si="135"/>
        <v/>
      </c>
      <c r="CBG116" s="77" t="str">
        <f t="shared" ref="CBG116:CDR116" si="136">IF(ISNUMBER(outYear),CBG69+CBG75+CBG81+CBG113,"")</f>
        <v/>
      </c>
      <c r="CBH116" s="77" t="str">
        <f t="shared" si="136"/>
        <v/>
      </c>
      <c r="CBI116" s="77" t="str">
        <f t="shared" si="136"/>
        <v/>
      </c>
      <c r="CBJ116" s="77" t="str">
        <f t="shared" si="136"/>
        <v/>
      </c>
      <c r="CBK116" s="77" t="str">
        <f t="shared" si="136"/>
        <v/>
      </c>
      <c r="CBL116" s="77" t="str">
        <f t="shared" si="136"/>
        <v/>
      </c>
      <c r="CBM116" s="77" t="str">
        <f t="shared" si="136"/>
        <v/>
      </c>
      <c r="CBN116" s="77" t="str">
        <f t="shared" si="136"/>
        <v/>
      </c>
      <c r="CBO116" s="77" t="str">
        <f t="shared" si="136"/>
        <v/>
      </c>
      <c r="CBP116" s="77" t="str">
        <f t="shared" si="136"/>
        <v/>
      </c>
      <c r="CBQ116" s="77" t="str">
        <f t="shared" si="136"/>
        <v/>
      </c>
      <c r="CBR116" s="77" t="str">
        <f t="shared" si="136"/>
        <v/>
      </c>
      <c r="CBS116" s="77" t="str">
        <f t="shared" si="136"/>
        <v/>
      </c>
      <c r="CBT116" s="77" t="str">
        <f t="shared" si="136"/>
        <v/>
      </c>
      <c r="CBU116" s="77" t="str">
        <f t="shared" si="136"/>
        <v/>
      </c>
      <c r="CBV116" s="77" t="str">
        <f t="shared" si="136"/>
        <v/>
      </c>
      <c r="CBW116" s="77" t="str">
        <f t="shared" si="136"/>
        <v/>
      </c>
      <c r="CBX116" s="77" t="str">
        <f t="shared" si="136"/>
        <v/>
      </c>
      <c r="CBY116" s="77" t="str">
        <f t="shared" si="136"/>
        <v/>
      </c>
      <c r="CBZ116" s="77" t="str">
        <f t="shared" si="136"/>
        <v/>
      </c>
      <c r="CCA116" s="77" t="str">
        <f t="shared" si="136"/>
        <v/>
      </c>
      <c r="CCB116" s="77" t="str">
        <f t="shared" si="136"/>
        <v/>
      </c>
      <c r="CCC116" s="77" t="str">
        <f t="shared" si="136"/>
        <v/>
      </c>
      <c r="CCD116" s="77" t="str">
        <f t="shared" si="136"/>
        <v/>
      </c>
      <c r="CCE116" s="77" t="str">
        <f t="shared" si="136"/>
        <v/>
      </c>
      <c r="CCF116" s="77" t="str">
        <f t="shared" si="136"/>
        <v/>
      </c>
      <c r="CCG116" s="77" t="str">
        <f t="shared" si="136"/>
        <v/>
      </c>
      <c r="CCH116" s="77" t="str">
        <f t="shared" si="136"/>
        <v/>
      </c>
      <c r="CCI116" s="77" t="str">
        <f t="shared" si="136"/>
        <v/>
      </c>
      <c r="CCJ116" s="77" t="str">
        <f t="shared" si="136"/>
        <v/>
      </c>
      <c r="CCK116" s="77" t="str">
        <f t="shared" si="136"/>
        <v/>
      </c>
      <c r="CCL116" s="77" t="str">
        <f t="shared" si="136"/>
        <v/>
      </c>
      <c r="CCM116" s="77" t="str">
        <f t="shared" si="136"/>
        <v/>
      </c>
      <c r="CCN116" s="77" t="str">
        <f t="shared" si="136"/>
        <v/>
      </c>
      <c r="CCO116" s="77" t="str">
        <f t="shared" si="136"/>
        <v/>
      </c>
      <c r="CCP116" s="77" t="str">
        <f t="shared" si="136"/>
        <v/>
      </c>
      <c r="CCQ116" s="77" t="str">
        <f t="shared" si="136"/>
        <v/>
      </c>
      <c r="CCR116" s="77" t="str">
        <f t="shared" si="136"/>
        <v/>
      </c>
      <c r="CCS116" s="77" t="str">
        <f t="shared" si="136"/>
        <v/>
      </c>
      <c r="CCT116" s="77" t="str">
        <f t="shared" si="136"/>
        <v/>
      </c>
      <c r="CCU116" s="77" t="str">
        <f t="shared" si="136"/>
        <v/>
      </c>
      <c r="CCV116" s="77" t="str">
        <f t="shared" si="136"/>
        <v/>
      </c>
      <c r="CCW116" s="77" t="str">
        <f t="shared" si="136"/>
        <v/>
      </c>
      <c r="CCX116" s="77" t="str">
        <f t="shared" si="136"/>
        <v/>
      </c>
      <c r="CCY116" s="77" t="str">
        <f t="shared" si="136"/>
        <v/>
      </c>
      <c r="CCZ116" s="77" t="str">
        <f t="shared" si="136"/>
        <v/>
      </c>
      <c r="CDA116" s="77" t="str">
        <f t="shared" si="136"/>
        <v/>
      </c>
      <c r="CDB116" s="77" t="str">
        <f t="shared" si="136"/>
        <v/>
      </c>
      <c r="CDC116" s="77" t="str">
        <f t="shared" si="136"/>
        <v/>
      </c>
      <c r="CDD116" s="77" t="str">
        <f t="shared" si="136"/>
        <v/>
      </c>
      <c r="CDE116" s="77" t="str">
        <f t="shared" si="136"/>
        <v/>
      </c>
      <c r="CDF116" s="77" t="str">
        <f t="shared" si="136"/>
        <v/>
      </c>
      <c r="CDG116" s="77" t="str">
        <f t="shared" si="136"/>
        <v/>
      </c>
      <c r="CDH116" s="77" t="str">
        <f t="shared" si="136"/>
        <v/>
      </c>
      <c r="CDI116" s="77" t="str">
        <f t="shared" si="136"/>
        <v/>
      </c>
      <c r="CDJ116" s="77" t="str">
        <f t="shared" si="136"/>
        <v/>
      </c>
      <c r="CDK116" s="77" t="str">
        <f t="shared" si="136"/>
        <v/>
      </c>
      <c r="CDL116" s="77" t="str">
        <f t="shared" si="136"/>
        <v/>
      </c>
      <c r="CDM116" s="77" t="str">
        <f t="shared" si="136"/>
        <v/>
      </c>
      <c r="CDN116" s="77" t="str">
        <f t="shared" si="136"/>
        <v/>
      </c>
      <c r="CDO116" s="77" t="str">
        <f t="shared" si="136"/>
        <v/>
      </c>
      <c r="CDP116" s="77" t="str">
        <f t="shared" si="136"/>
        <v/>
      </c>
      <c r="CDQ116" s="77" t="str">
        <f t="shared" si="136"/>
        <v/>
      </c>
      <c r="CDR116" s="77" t="str">
        <f t="shared" si="136"/>
        <v/>
      </c>
      <c r="CDS116" s="77" t="str">
        <f t="shared" ref="CDS116:CGD116" si="137">IF(ISNUMBER(outYear),CDS69+CDS75+CDS81+CDS113,"")</f>
        <v/>
      </c>
      <c r="CDT116" s="77" t="str">
        <f t="shared" si="137"/>
        <v/>
      </c>
      <c r="CDU116" s="77" t="str">
        <f t="shared" si="137"/>
        <v/>
      </c>
      <c r="CDV116" s="77" t="str">
        <f t="shared" si="137"/>
        <v/>
      </c>
      <c r="CDW116" s="77" t="str">
        <f t="shared" si="137"/>
        <v/>
      </c>
      <c r="CDX116" s="77" t="str">
        <f t="shared" si="137"/>
        <v/>
      </c>
      <c r="CDY116" s="77" t="str">
        <f t="shared" si="137"/>
        <v/>
      </c>
      <c r="CDZ116" s="77" t="str">
        <f t="shared" si="137"/>
        <v/>
      </c>
      <c r="CEA116" s="77" t="str">
        <f t="shared" si="137"/>
        <v/>
      </c>
      <c r="CEB116" s="77" t="str">
        <f t="shared" si="137"/>
        <v/>
      </c>
      <c r="CEC116" s="77" t="str">
        <f t="shared" si="137"/>
        <v/>
      </c>
      <c r="CED116" s="77" t="str">
        <f t="shared" si="137"/>
        <v/>
      </c>
      <c r="CEE116" s="77" t="str">
        <f t="shared" si="137"/>
        <v/>
      </c>
      <c r="CEF116" s="77" t="str">
        <f t="shared" si="137"/>
        <v/>
      </c>
      <c r="CEG116" s="77" t="str">
        <f t="shared" si="137"/>
        <v/>
      </c>
      <c r="CEH116" s="77" t="str">
        <f t="shared" si="137"/>
        <v/>
      </c>
      <c r="CEI116" s="77" t="str">
        <f t="shared" si="137"/>
        <v/>
      </c>
      <c r="CEJ116" s="77" t="str">
        <f t="shared" si="137"/>
        <v/>
      </c>
      <c r="CEK116" s="77" t="str">
        <f t="shared" si="137"/>
        <v/>
      </c>
      <c r="CEL116" s="77" t="str">
        <f t="shared" si="137"/>
        <v/>
      </c>
      <c r="CEM116" s="77" t="str">
        <f t="shared" si="137"/>
        <v/>
      </c>
      <c r="CEN116" s="77" t="str">
        <f t="shared" si="137"/>
        <v/>
      </c>
      <c r="CEO116" s="77" t="str">
        <f t="shared" si="137"/>
        <v/>
      </c>
      <c r="CEP116" s="77" t="str">
        <f t="shared" si="137"/>
        <v/>
      </c>
      <c r="CEQ116" s="77" t="str">
        <f t="shared" si="137"/>
        <v/>
      </c>
      <c r="CER116" s="77" t="str">
        <f t="shared" si="137"/>
        <v/>
      </c>
      <c r="CES116" s="77" t="str">
        <f t="shared" si="137"/>
        <v/>
      </c>
      <c r="CET116" s="77" t="str">
        <f t="shared" si="137"/>
        <v/>
      </c>
      <c r="CEU116" s="77" t="str">
        <f t="shared" si="137"/>
        <v/>
      </c>
      <c r="CEV116" s="77" t="str">
        <f t="shared" si="137"/>
        <v/>
      </c>
      <c r="CEW116" s="77" t="str">
        <f t="shared" si="137"/>
        <v/>
      </c>
      <c r="CEX116" s="77" t="str">
        <f t="shared" si="137"/>
        <v/>
      </c>
      <c r="CEY116" s="77" t="str">
        <f t="shared" si="137"/>
        <v/>
      </c>
      <c r="CEZ116" s="77" t="str">
        <f t="shared" si="137"/>
        <v/>
      </c>
      <c r="CFA116" s="77" t="str">
        <f t="shared" si="137"/>
        <v/>
      </c>
      <c r="CFB116" s="77" t="str">
        <f t="shared" si="137"/>
        <v/>
      </c>
      <c r="CFC116" s="77" t="str">
        <f t="shared" si="137"/>
        <v/>
      </c>
      <c r="CFD116" s="77" t="str">
        <f t="shared" si="137"/>
        <v/>
      </c>
      <c r="CFE116" s="77" t="str">
        <f t="shared" si="137"/>
        <v/>
      </c>
      <c r="CFF116" s="77" t="str">
        <f t="shared" si="137"/>
        <v/>
      </c>
      <c r="CFG116" s="77" t="str">
        <f t="shared" si="137"/>
        <v/>
      </c>
      <c r="CFH116" s="77" t="str">
        <f t="shared" si="137"/>
        <v/>
      </c>
      <c r="CFI116" s="77" t="str">
        <f t="shared" si="137"/>
        <v/>
      </c>
      <c r="CFJ116" s="77" t="str">
        <f t="shared" si="137"/>
        <v/>
      </c>
      <c r="CFK116" s="77" t="str">
        <f t="shared" si="137"/>
        <v/>
      </c>
      <c r="CFL116" s="77" t="str">
        <f t="shared" si="137"/>
        <v/>
      </c>
      <c r="CFM116" s="77" t="str">
        <f t="shared" si="137"/>
        <v/>
      </c>
      <c r="CFN116" s="77" t="str">
        <f t="shared" si="137"/>
        <v/>
      </c>
      <c r="CFO116" s="77" t="str">
        <f t="shared" si="137"/>
        <v/>
      </c>
      <c r="CFP116" s="77" t="str">
        <f t="shared" si="137"/>
        <v/>
      </c>
      <c r="CFQ116" s="77" t="str">
        <f t="shared" si="137"/>
        <v/>
      </c>
      <c r="CFR116" s="77" t="str">
        <f t="shared" si="137"/>
        <v/>
      </c>
      <c r="CFS116" s="77" t="str">
        <f t="shared" si="137"/>
        <v/>
      </c>
      <c r="CFT116" s="77" t="str">
        <f t="shared" si="137"/>
        <v/>
      </c>
      <c r="CFU116" s="77" t="str">
        <f t="shared" si="137"/>
        <v/>
      </c>
      <c r="CFV116" s="77" t="str">
        <f t="shared" si="137"/>
        <v/>
      </c>
      <c r="CFW116" s="77" t="str">
        <f t="shared" si="137"/>
        <v/>
      </c>
      <c r="CFX116" s="77" t="str">
        <f t="shared" si="137"/>
        <v/>
      </c>
      <c r="CFY116" s="77" t="str">
        <f t="shared" si="137"/>
        <v/>
      </c>
      <c r="CFZ116" s="77" t="str">
        <f t="shared" si="137"/>
        <v/>
      </c>
      <c r="CGA116" s="77" t="str">
        <f t="shared" si="137"/>
        <v/>
      </c>
      <c r="CGB116" s="77" t="str">
        <f t="shared" si="137"/>
        <v/>
      </c>
      <c r="CGC116" s="77" t="str">
        <f t="shared" si="137"/>
        <v/>
      </c>
      <c r="CGD116" s="77" t="str">
        <f t="shared" si="137"/>
        <v/>
      </c>
      <c r="CGE116" s="77" t="str">
        <f t="shared" ref="CGE116:CIP116" si="138">IF(ISNUMBER(outYear),CGE69+CGE75+CGE81+CGE113,"")</f>
        <v/>
      </c>
      <c r="CGF116" s="77" t="str">
        <f t="shared" si="138"/>
        <v/>
      </c>
      <c r="CGG116" s="77" t="str">
        <f t="shared" si="138"/>
        <v/>
      </c>
      <c r="CGH116" s="77" t="str">
        <f t="shared" si="138"/>
        <v/>
      </c>
      <c r="CGI116" s="77" t="str">
        <f t="shared" si="138"/>
        <v/>
      </c>
      <c r="CGJ116" s="77" t="str">
        <f t="shared" si="138"/>
        <v/>
      </c>
      <c r="CGK116" s="77" t="str">
        <f t="shared" si="138"/>
        <v/>
      </c>
      <c r="CGL116" s="77" t="str">
        <f t="shared" si="138"/>
        <v/>
      </c>
      <c r="CGM116" s="77" t="str">
        <f t="shared" si="138"/>
        <v/>
      </c>
      <c r="CGN116" s="77" t="str">
        <f t="shared" si="138"/>
        <v/>
      </c>
      <c r="CGO116" s="77" t="str">
        <f t="shared" si="138"/>
        <v/>
      </c>
      <c r="CGP116" s="77" t="str">
        <f t="shared" si="138"/>
        <v/>
      </c>
      <c r="CGQ116" s="77" t="str">
        <f t="shared" si="138"/>
        <v/>
      </c>
      <c r="CGR116" s="77" t="str">
        <f t="shared" si="138"/>
        <v/>
      </c>
      <c r="CGS116" s="77" t="str">
        <f t="shared" si="138"/>
        <v/>
      </c>
      <c r="CGT116" s="77" t="str">
        <f t="shared" si="138"/>
        <v/>
      </c>
      <c r="CGU116" s="77" t="str">
        <f t="shared" si="138"/>
        <v/>
      </c>
      <c r="CGV116" s="77" t="str">
        <f t="shared" si="138"/>
        <v/>
      </c>
      <c r="CGW116" s="77" t="str">
        <f t="shared" si="138"/>
        <v/>
      </c>
      <c r="CGX116" s="77" t="str">
        <f t="shared" si="138"/>
        <v/>
      </c>
      <c r="CGY116" s="77" t="str">
        <f t="shared" si="138"/>
        <v/>
      </c>
      <c r="CGZ116" s="77" t="str">
        <f t="shared" si="138"/>
        <v/>
      </c>
      <c r="CHA116" s="77" t="str">
        <f t="shared" si="138"/>
        <v/>
      </c>
      <c r="CHB116" s="77" t="str">
        <f t="shared" si="138"/>
        <v/>
      </c>
      <c r="CHC116" s="77" t="str">
        <f t="shared" si="138"/>
        <v/>
      </c>
      <c r="CHD116" s="77" t="str">
        <f t="shared" si="138"/>
        <v/>
      </c>
      <c r="CHE116" s="77" t="str">
        <f t="shared" si="138"/>
        <v/>
      </c>
      <c r="CHF116" s="77" t="str">
        <f t="shared" si="138"/>
        <v/>
      </c>
      <c r="CHG116" s="77" t="str">
        <f t="shared" si="138"/>
        <v/>
      </c>
      <c r="CHH116" s="77" t="str">
        <f t="shared" si="138"/>
        <v/>
      </c>
      <c r="CHI116" s="77" t="str">
        <f t="shared" si="138"/>
        <v/>
      </c>
      <c r="CHJ116" s="77" t="str">
        <f t="shared" si="138"/>
        <v/>
      </c>
      <c r="CHK116" s="77" t="str">
        <f t="shared" si="138"/>
        <v/>
      </c>
      <c r="CHL116" s="77" t="str">
        <f t="shared" si="138"/>
        <v/>
      </c>
      <c r="CHM116" s="77" t="str">
        <f t="shared" si="138"/>
        <v/>
      </c>
      <c r="CHN116" s="77" t="str">
        <f t="shared" si="138"/>
        <v/>
      </c>
      <c r="CHO116" s="77" t="str">
        <f t="shared" si="138"/>
        <v/>
      </c>
      <c r="CHP116" s="77" t="str">
        <f t="shared" si="138"/>
        <v/>
      </c>
      <c r="CHQ116" s="77" t="str">
        <f t="shared" si="138"/>
        <v/>
      </c>
      <c r="CHR116" s="77" t="str">
        <f t="shared" si="138"/>
        <v/>
      </c>
      <c r="CHS116" s="77" t="str">
        <f t="shared" si="138"/>
        <v/>
      </c>
      <c r="CHT116" s="77" t="str">
        <f t="shared" si="138"/>
        <v/>
      </c>
      <c r="CHU116" s="77" t="str">
        <f t="shared" si="138"/>
        <v/>
      </c>
      <c r="CHV116" s="77" t="str">
        <f t="shared" si="138"/>
        <v/>
      </c>
      <c r="CHW116" s="77" t="str">
        <f t="shared" si="138"/>
        <v/>
      </c>
      <c r="CHX116" s="77" t="str">
        <f t="shared" si="138"/>
        <v/>
      </c>
      <c r="CHY116" s="77" t="str">
        <f t="shared" si="138"/>
        <v/>
      </c>
      <c r="CHZ116" s="77" t="str">
        <f t="shared" si="138"/>
        <v/>
      </c>
      <c r="CIA116" s="77" t="str">
        <f t="shared" si="138"/>
        <v/>
      </c>
      <c r="CIB116" s="77" t="str">
        <f t="shared" si="138"/>
        <v/>
      </c>
      <c r="CIC116" s="77" t="str">
        <f t="shared" si="138"/>
        <v/>
      </c>
      <c r="CID116" s="77" t="str">
        <f t="shared" si="138"/>
        <v/>
      </c>
      <c r="CIE116" s="77" t="str">
        <f t="shared" si="138"/>
        <v/>
      </c>
      <c r="CIF116" s="77" t="str">
        <f t="shared" si="138"/>
        <v/>
      </c>
      <c r="CIG116" s="77" t="str">
        <f t="shared" si="138"/>
        <v/>
      </c>
      <c r="CIH116" s="77" t="str">
        <f t="shared" si="138"/>
        <v/>
      </c>
      <c r="CII116" s="77" t="str">
        <f t="shared" si="138"/>
        <v/>
      </c>
      <c r="CIJ116" s="77" t="str">
        <f t="shared" si="138"/>
        <v/>
      </c>
      <c r="CIK116" s="77" t="str">
        <f t="shared" si="138"/>
        <v/>
      </c>
      <c r="CIL116" s="77" t="str">
        <f t="shared" si="138"/>
        <v/>
      </c>
      <c r="CIM116" s="77" t="str">
        <f t="shared" si="138"/>
        <v/>
      </c>
      <c r="CIN116" s="77" t="str">
        <f t="shared" si="138"/>
        <v/>
      </c>
      <c r="CIO116" s="77" t="str">
        <f t="shared" si="138"/>
        <v/>
      </c>
      <c r="CIP116" s="77" t="str">
        <f t="shared" si="138"/>
        <v/>
      </c>
      <c r="CIQ116" s="77" t="str">
        <f t="shared" ref="CIQ116:CLB116" si="139">IF(ISNUMBER(outYear),CIQ69+CIQ75+CIQ81+CIQ113,"")</f>
        <v/>
      </c>
      <c r="CIR116" s="77" t="str">
        <f t="shared" si="139"/>
        <v/>
      </c>
      <c r="CIS116" s="77" t="str">
        <f t="shared" si="139"/>
        <v/>
      </c>
      <c r="CIT116" s="77" t="str">
        <f t="shared" si="139"/>
        <v/>
      </c>
      <c r="CIU116" s="77" t="str">
        <f t="shared" si="139"/>
        <v/>
      </c>
      <c r="CIV116" s="77" t="str">
        <f t="shared" si="139"/>
        <v/>
      </c>
      <c r="CIW116" s="77" t="str">
        <f t="shared" si="139"/>
        <v/>
      </c>
      <c r="CIX116" s="77" t="str">
        <f t="shared" si="139"/>
        <v/>
      </c>
      <c r="CIY116" s="77" t="str">
        <f t="shared" si="139"/>
        <v/>
      </c>
      <c r="CIZ116" s="77" t="str">
        <f t="shared" si="139"/>
        <v/>
      </c>
      <c r="CJA116" s="77" t="str">
        <f t="shared" si="139"/>
        <v/>
      </c>
      <c r="CJB116" s="77" t="str">
        <f t="shared" si="139"/>
        <v/>
      </c>
      <c r="CJC116" s="77" t="str">
        <f t="shared" si="139"/>
        <v/>
      </c>
      <c r="CJD116" s="77" t="str">
        <f t="shared" si="139"/>
        <v/>
      </c>
      <c r="CJE116" s="77" t="str">
        <f t="shared" si="139"/>
        <v/>
      </c>
      <c r="CJF116" s="77" t="str">
        <f t="shared" si="139"/>
        <v/>
      </c>
      <c r="CJG116" s="77" t="str">
        <f t="shared" si="139"/>
        <v/>
      </c>
      <c r="CJH116" s="77" t="str">
        <f t="shared" si="139"/>
        <v/>
      </c>
      <c r="CJI116" s="77" t="str">
        <f t="shared" si="139"/>
        <v/>
      </c>
      <c r="CJJ116" s="77" t="str">
        <f t="shared" si="139"/>
        <v/>
      </c>
      <c r="CJK116" s="77" t="str">
        <f t="shared" si="139"/>
        <v/>
      </c>
      <c r="CJL116" s="77" t="str">
        <f t="shared" si="139"/>
        <v/>
      </c>
      <c r="CJM116" s="77" t="str">
        <f t="shared" si="139"/>
        <v/>
      </c>
      <c r="CJN116" s="77" t="str">
        <f t="shared" si="139"/>
        <v/>
      </c>
      <c r="CJO116" s="77" t="str">
        <f t="shared" si="139"/>
        <v/>
      </c>
      <c r="CJP116" s="77" t="str">
        <f t="shared" si="139"/>
        <v/>
      </c>
      <c r="CJQ116" s="77" t="str">
        <f t="shared" si="139"/>
        <v/>
      </c>
      <c r="CJR116" s="77" t="str">
        <f t="shared" si="139"/>
        <v/>
      </c>
      <c r="CJS116" s="77" t="str">
        <f t="shared" si="139"/>
        <v/>
      </c>
      <c r="CJT116" s="77" t="str">
        <f t="shared" si="139"/>
        <v/>
      </c>
      <c r="CJU116" s="77" t="str">
        <f t="shared" si="139"/>
        <v/>
      </c>
      <c r="CJV116" s="77" t="str">
        <f t="shared" si="139"/>
        <v/>
      </c>
      <c r="CJW116" s="77" t="str">
        <f t="shared" si="139"/>
        <v/>
      </c>
      <c r="CJX116" s="77" t="str">
        <f t="shared" si="139"/>
        <v/>
      </c>
      <c r="CJY116" s="77" t="str">
        <f t="shared" si="139"/>
        <v/>
      </c>
      <c r="CJZ116" s="77" t="str">
        <f t="shared" si="139"/>
        <v/>
      </c>
      <c r="CKA116" s="77" t="str">
        <f t="shared" si="139"/>
        <v/>
      </c>
      <c r="CKB116" s="77" t="str">
        <f t="shared" si="139"/>
        <v/>
      </c>
      <c r="CKC116" s="77" t="str">
        <f t="shared" si="139"/>
        <v/>
      </c>
      <c r="CKD116" s="77" t="str">
        <f t="shared" si="139"/>
        <v/>
      </c>
      <c r="CKE116" s="77" t="str">
        <f t="shared" si="139"/>
        <v/>
      </c>
      <c r="CKF116" s="77" t="str">
        <f t="shared" si="139"/>
        <v/>
      </c>
      <c r="CKG116" s="77" t="str">
        <f t="shared" si="139"/>
        <v/>
      </c>
      <c r="CKH116" s="77" t="str">
        <f t="shared" si="139"/>
        <v/>
      </c>
      <c r="CKI116" s="77" t="str">
        <f t="shared" si="139"/>
        <v/>
      </c>
      <c r="CKJ116" s="77" t="str">
        <f t="shared" si="139"/>
        <v/>
      </c>
      <c r="CKK116" s="77" t="str">
        <f t="shared" si="139"/>
        <v/>
      </c>
      <c r="CKL116" s="77" t="str">
        <f t="shared" si="139"/>
        <v/>
      </c>
      <c r="CKM116" s="77" t="str">
        <f t="shared" si="139"/>
        <v/>
      </c>
      <c r="CKN116" s="77" t="str">
        <f t="shared" si="139"/>
        <v/>
      </c>
      <c r="CKO116" s="77" t="str">
        <f t="shared" si="139"/>
        <v/>
      </c>
      <c r="CKP116" s="77" t="str">
        <f t="shared" si="139"/>
        <v/>
      </c>
      <c r="CKQ116" s="77" t="str">
        <f t="shared" si="139"/>
        <v/>
      </c>
      <c r="CKR116" s="77" t="str">
        <f t="shared" si="139"/>
        <v/>
      </c>
      <c r="CKS116" s="77" t="str">
        <f t="shared" si="139"/>
        <v/>
      </c>
      <c r="CKT116" s="77" t="str">
        <f t="shared" si="139"/>
        <v/>
      </c>
      <c r="CKU116" s="77" t="str">
        <f t="shared" si="139"/>
        <v/>
      </c>
      <c r="CKV116" s="77" t="str">
        <f t="shared" si="139"/>
        <v/>
      </c>
      <c r="CKW116" s="77" t="str">
        <f t="shared" si="139"/>
        <v/>
      </c>
      <c r="CKX116" s="77" t="str">
        <f t="shared" si="139"/>
        <v/>
      </c>
      <c r="CKY116" s="77" t="str">
        <f t="shared" si="139"/>
        <v/>
      </c>
      <c r="CKZ116" s="77" t="str">
        <f t="shared" si="139"/>
        <v/>
      </c>
      <c r="CLA116" s="77" t="str">
        <f t="shared" si="139"/>
        <v/>
      </c>
      <c r="CLB116" s="77" t="str">
        <f t="shared" si="139"/>
        <v/>
      </c>
      <c r="CLC116" s="77" t="str">
        <f t="shared" ref="CLC116:CNN116" si="140">IF(ISNUMBER(outYear),CLC69+CLC75+CLC81+CLC113,"")</f>
        <v/>
      </c>
      <c r="CLD116" s="77" t="str">
        <f t="shared" si="140"/>
        <v/>
      </c>
      <c r="CLE116" s="77" t="str">
        <f t="shared" si="140"/>
        <v/>
      </c>
      <c r="CLF116" s="77" t="str">
        <f t="shared" si="140"/>
        <v/>
      </c>
      <c r="CLG116" s="77" t="str">
        <f t="shared" si="140"/>
        <v/>
      </c>
      <c r="CLH116" s="77" t="str">
        <f t="shared" si="140"/>
        <v/>
      </c>
      <c r="CLI116" s="77" t="str">
        <f t="shared" si="140"/>
        <v/>
      </c>
      <c r="CLJ116" s="77" t="str">
        <f t="shared" si="140"/>
        <v/>
      </c>
      <c r="CLK116" s="77" t="str">
        <f t="shared" si="140"/>
        <v/>
      </c>
      <c r="CLL116" s="77" t="str">
        <f t="shared" si="140"/>
        <v/>
      </c>
      <c r="CLM116" s="77" t="str">
        <f t="shared" si="140"/>
        <v/>
      </c>
      <c r="CLN116" s="77" t="str">
        <f t="shared" si="140"/>
        <v/>
      </c>
      <c r="CLO116" s="77" t="str">
        <f t="shared" si="140"/>
        <v/>
      </c>
      <c r="CLP116" s="77" t="str">
        <f t="shared" si="140"/>
        <v/>
      </c>
      <c r="CLQ116" s="77" t="str">
        <f t="shared" si="140"/>
        <v/>
      </c>
      <c r="CLR116" s="77" t="str">
        <f t="shared" si="140"/>
        <v/>
      </c>
      <c r="CLS116" s="77" t="str">
        <f t="shared" si="140"/>
        <v/>
      </c>
      <c r="CLT116" s="77" t="str">
        <f t="shared" si="140"/>
        <v/>
      </c>
      <c r="CLU116" s="77" t="str">
        <f t="shared" si="140"/>
        <v/>
      </c>
      <c r="CLV116" s="77" t="str">
        <f t="shared" si="140"/>
        <v/>
      </c>
      <c r="CLW116" s="77" t="str">
        <f t="shared" si="140"/>
        <v/>
      </c>
      <c r="CLX116" s="77" t="str">
        <f t="shared" si="140"/>
        <v/>
      </c>
      <c r="CLY116" s="77" t="str">
        <f t="shared" si="140"/>
        <v/>
      </c>
      <c r="CLZ116" s="77" t="str">
        <f t="shared" si="140"/>
        <v/>
      </c>
      <c r="CMA116" s="77" t="str">
        <f t="shared" si="140"/>
        <v/>
      </c>
      <c r="CMB116" s="77" t="str">
        <f t="shared" si="140"/>
        <v/>
      </c>
      <c r="CMC116" s="77" t="str">
        <f t="shared" si="140"/>
        <v/>
      </c>
      <c r="CMD116" s="77" t="str">
        <f t="shared" si="140"/>
        <v/>
      </c>
      <c r="CME116" s="77" t="str">
        <f t="shared" si="140"/>
        <v/>
      </c>
      <c r="CMF116" s="77" t="str">
        <f t="shared" si="140"/>
        <v/>
      </c>
      <c r="CMG116" s="77" t="str">
        <f t="shared" si="140"/>
        <v/>
      </c>
      <c r="CMH116" s="77" t="str">
        <f t="shared" si="140"/>
        <v/>
      </c>
      <c r="CMI116" s="77" t="str">
        <f t="shared" si="140"/>
        <v/>
      </c>
      <c r="CMJ116" s="77" t="str">
        <f t="shared" si="140"/>
        <v/>
      </c>
      <c r="CMK116" s="77" t="str">
        <f t="shared" si="140"/>
        <v/>
      </c>
      <c r="CML116" s="77" t="str">
        <f t="shared" si="140"/>
        <v/>
      </c>
      <c r="CMM116" s="77" t="str">
        <f t="shared" si="140"/>
        <v/>
      </c>
      <c r="CMN116" s="77" t="str">
        <f t="shared" si="140"/>
        <v/>
      </c>
      <c r="CMO116" s="77" t="str">
        <f t="shared" si="140"/>
        <v/>
      </c>
      <c r="CMP116" s="77" t="str">
        <f t="shared" si="140"/>
        <v/>
      </c>
      <c r="CMQ116" s="77" t="str">
        <f t="shared" si="140"/>
        <v/>
      </c>
      <c r="CMR116" s="77" t="str">
        <f t="shared" si="140"/>
        <v/>
      </c>
      <c r="CMS116" s="77" t="str">
        <f t="shared" si="140"/>
        <v/>
      </c>
      <c r="CMT116" s="77" t="str">
        <f t="shared" si="140"/>
        <v/>
      </c>
      <c r="CMU116" s="77" t="str">
        <f t="shared" si="140"/>
        <v/>
      </c>
      <c r="CMV116" s="77" t="str">
        <f t="shared" si="140"/>
        <v/>
      </c>
      <c r="CMW116" s="77" t="str">
        <f t="shared" si="140"/>
        <v/>
      </c>
      <c r="CMX116" s="77" t="str">
        <f t="shared" si="140"/>
        <v/>
      </c>
      <c r="CMY116" s="77" t="str">
        <f t="shared" si="140"/>
        <v/>
      </c>
      <c r="CMZ116" s="77" t="str">
        <f t="shared" si="140"/>
        <v/>
      </c>
      <c r="CNA116" s="77" t="str">
        <f t="shared" si="140"/>
        <v/>
      </c>
      <c r="CNB116" s="77" t="str">
        <f t="shared" si="140"/>
        <v/>
      </c>
      <c r="CNC116" s="77" t="str">
        <f t="shared" si="140"/>
        <v/>
      </c>
      <c r="CND116" s="77" t="str">
        <f t="shared" si="140"/>
        <v/>
      </c>
      <c r="CNE116" s="77" t="str">
        <f t="shared" si="140"/>
        <v/>
      </c>
      <c r="CNF116" s="77" t="str">
        <f t="shared" si="140"/>
        <v/>
      </c>
      <c r="CNG116" s="77" t="str">
        <f t="shared" si="140"/>
        <v/>
      </c>
      <c r="CNH116" s="77" t="str">
        <f t="shared" si="140"/>
        <v/>
      </c>
      <c r="CNI116" s="77" t="str">
        <f t="shared" si="140"/>
        <v/>
      </c>
      <c r="CNJ116" s="77" t="str">
        <f t="shared" si="140"/>
        <v/>
      </c>
      <c r="CNK116" s="77" t="str">
        <f t="shared" si="140"/>
        <v/>
      </c>
      <c r="CNL116" s="77" t="str">
        <f t="shared" si="140"/>
        <v/>
      </c>
      <c r="CNM116" s="77" t="str">
        <f t="shared" si="140"/>
        <v/>
      </c>
      <c r="CNN116" s="77" t="str">
        <f t="shared" si="140"/>
        <v/>
      </c>
      <c r="CNO116" s="77" t="str">
        <f t="shared" ref="CNO116:CPZ116" si="141">IF(ISNUMBER(outYear),CNO69+CNO75+CNO81+CNO113,"")</f>
        <v/>
      </c>
      <c r="CNP116" s="77" t="str">
        <f t="shared" si="141"/>
        <v/>
      </c>
      <c r="CNQ116" s="77" t="str">
        <f t="shared" si="141"/>
        <v/>
      </c>
      <c r="CNR116" s="77" t="str">
        <f t="shared" si="141"/>
        <v/>
      </c>
      <c r="CNS116" s="77" t="str">
        <f t="shared" si="141"/>
        <v/>
      </c>
      <c r="CNT116" s="77" t="str">
        <f t="shared" si="141"/>
        <v/>
      </c>
      <c r="CNU116" s="77" t="str">
        <f t="shared" si="141"/>
        <v/>
      </c>
      <c r="CNV116" s="77" t="str">
        <f t="shared" si="141"/>
        <v/>
      </c>
      <c r="CNW116" s="77" t="str">
        <f t="shared" si="141"/>
        <v/>
      </c>
      <c r="CNX116" s="77" t="str">
        <f t="shared" si="141"/>
        <v/>
      </c>
      <c r="CNY116" s="77" t="str">
        <f t="shared" si="141"/>
        <v/>
      </c>
      <c r="CNZ116" s="77" t="str">
        <f t="shared" si="141"/>
        <v/>
      </c>
      <c r="COA116" s="77" t="str">
        <f t="shared" si="141"/>
        <v/>
      </c>
      <c r="COB116" s="77" t="str">
        <f t="shared" si="141"/>
        <v/>
      </c>
      <c r="COC116" s="77" t="str">
        <f t="shared" si="141"/>
        <v/>
      </c>
      <c r="COD116" s="77" t="str">
        <f t="shared" si="141"/>
        <v/>
      </c>
      <c r="COE116" s="77" t="str">
        <f t="shared" si="141"/>
        <v/>
      </c>
      <c r="COF116" s="77" t="str">
        <f t="shared" si="141"/>
        <v/>
      </c>
      <c r="COG116" s="77" t="str">
        <f t="shared" si="141"/>
        <v/>
      </c>
      <c r="COH116" s="77" t="str">
        <f t="shared" si="141"/>
        <v/>
      </c>
      <c r="COI116" s="77" t="str">
        <f t="shared" si="141"/>
        <v/>
      </c>
      <c r="COJ116" s="77" t="str">
        <f t="shared" si="141"/>
        <v/>
      </c>
      <c r="COK116" s="77" t="str">
        <f t="shared" si="141"/>
        <v/>
      </c>
      <c r="COL116" s="77" t="str">
        <f t="shared" si="141"/>
        <v/>
      </c>
      <c r="COM116" s="77" t="str">
        <f t="shared" si="141"/>
        <v/>
      </c>
      <c r="CON116" s="77" t="str">
        <f t="shared" si="141"/>
        <v/>
      </c>
      <c r="COO116" s="77" t="str">
        <f t="shared" si="141"/>
        <v/>
      </c>
      <c r="COP116" s="77" t="str">
        <f t="shared" si="141"/>
        <v/>
      </c>
      <c r="COQ116" s="77" t="str">
        <f t="shared" si="141"/>
        <v/>
      </c>
      <c r="COR116" s="77" t="str">
        <f t="shared" si="141"/>
        <v/>
      </c>
      <c r="COS116" s="77" t="str">
        <f t="shared" si="141"/>
        <v/>
      </c>
      <c r="COT116" s="77" t="str">
        <f t="shared" si="141"/>
        <v/>
      </c>
      <c r="COU116" s="77" t="str">
        <f t="shared" si="141"/>
        <v/>
      </c>
      <c r="COV116" s="77" t="str">
        <f t="shared" si="141"/>
        <v/>
      </c>
      <c r="COW116" s="77" t="str">
        <f t="shared" si="141"/>
        <v/>
      </c>
      <c r="COX116" s="77" t="str">
        <f t="shared" si="141"/>
        <v/>
      </c>
      <c r="COY116" s="77" t="str">
        <f t="shared" si="141"/>
        <v/>
      </c>
      <c r="COZ116" s="77" t="str">
        <f t="shared" si="141"/>
        <v/>
      </c>
      <c r="CPA116" s="77" t="str">
        <f t="shared" si="141"/>
        <v/>
      </c>
      <c r="CPB116" s="77" t="str">
        <f t="shared" si="141"/>
        <v/>
      </c>
      <c r="CPC116" s="77" t="str">
        <f t="shared" si="141"/>
        <v/>
      </c>
      <c r="CPD116" s="77" t="str">
        <f t="shared" si="141"/>
        <v/>
      </c>
      <c r="CPE116" s="77" t="str">
        <f t="shared" si="141"/>
        <v/>
      </c>
      <c r="CPF116" s="77" t="str">
        <f t="shared" si="141"/>
        <v/>
      </c>
      <c r="CPG116" s="77" t="str">
        <f t="shared" si="141"/>
        <v/>
      </c>
      <c r="CPH116" s="77" t="str">
        <f t="shared" si="141"/>
        <v/>
      </c>
      <c r="CPI116" s="77" t="str">
        <f t="shared" si="141"/>
        <v/>
      </c>
      <c r="CPJ116" s="77" t="str">
        <f t="shared" si="141"/>
        <v/>
      </c>
      <c r="CPK116" s="77" t="str">
        <f t="shared" si="141"/>
        <v/>
      </c>
      <c r="CPL116" s="77" t="str">
        <f t="shared" si="141"/>
        <v/>
      </c>
      <c r="CPM116" s="77" t="str">
        <f t="shared" si="141"/>
        <v/>
      </c>
      <c r="CPN116" s="77" t="str">
        <f t="shared" si="141"/>
        <v/>
      </c>
      <c r="CPO116" s="77" t="str">
        <f t="shared" si="141"/>
        <v/>
      </c>
      <c r="CPP116" s="77" t="str">
        <f t="shared" si="141"/>
        <v/>
      </c>
      <c r="CPQ116" s="77" t="str">
        <f t="shared" si="141"/>
        <v/>
      </c>
      <c r="CPR116" s="77" t="str">
        <f t="shared" si="141"/>
        <v/>
      </c>
      <c r="CPS116" s="77" t="str">
        <f t="shared" si="141"/>
        <v/>
      </c>
      <c r="CPT116" s="77" t="str">
        <f t="shared" si="141"/>
        <v/>
      </c>
      <c r="CPU116" s="77" t="str">
        <f t="shared" si="141"/>
        <v/>
      </c>
      <c r="CPV116" s="77" t="str">
        <f t="shared" si="141"/>
        <v/>
      </c>
      <c r="CPW116" s="77" t="str">
        <f t="shared" si="141"/>
        <v/>
      </c>
      <c r="CPX116" s="77" t="str">
        <f t="shared" si="141"/>
        <v/>
      </c>
      <c r="CPY116" s="77" t="str">
        <f t="shared" si="141"/>
        <v/>
      </c>
      <c r="CPZ116" s="77" t="str">
        <f t="shared" si="141"/>
        <v/>
      </c>
      <c r="CQA116" s="77" t="str">
        <f t="shared" ref="CQA116:CSL116" si="142">IF(ISNUMBER(outYear),CQA69+CQA75+CQA81+CQA113,"")</f>
        <v/>
      </c>
      <c r="CQB116" s="77" t="str">
        <f t="shared" si="142"/>
        <v/>
      </c>
      <c r="CQC116" s="77" t="str">
        <f t="shared" si="142"/>
        <v/>
      </c>
      <c r="CQD116" s="77" t="str">
        <f t="shared" si="142"/>
        <v/>
      </c>
      <c r="CQE116" s="77" t="str">
        <f t="shared" si="142"/>
        <v/>
      </c>
      <c r="CQF116" s="77" t="str">
        <f t="shared" si="142"/>
        <v/>
      </c>
      <c r="CQG116" s="77" t="str">
        <f t="shared" si="142"/>
        <v/>
      </c>
      <c r="CQH116" s="77" t="str">
        <f t="shared" si="142"/>
        <v/>
      </c>
      <c r="CQI116" s="77" t="str">
        <f t="shared" si="142"/>
        <v/>
      </c>
      <c r="CQJ116" s="77" t="str">
        <f t="shared" si="142"/>
        <v/>
      </c>
      <c r="CQK116" s="77" t="str">
        <f t="shared" si="142"/>
        <v/>
      </c>
      <c r="CQL116" s="77" t="str">
        <f t="shared" si="142"/>
        <v/>
      </c>
      <c r="CQM116" s="77" t="str">
        <f t="shared" si="142"/>
        <v/>
      </c>
      <c r="CQN116" s="77" t="str">
        <f t="shared" si="142"/>
        <v/>
      </c>
      <c r="CQO116" s="77" t="str">
        <f t="shared" si="142"/>
        <v/>
      </c>
      <c r="CQP116" s="77" t="str">
        <f t="shared" si="142"/>
        <v/>
      </c>
      <c r="CQQ116" s="77" t="str">
        <f t="shared" si="142"/>
        <v/>
      </c>
      <c r="CQR116" s="77" t="str">
        <f t="shared" si="142"/>
        <v/>
      </c>
      <c r="CQS116" s="77" t="str">
        <f t="shared" si="142"/>
        <v/>
      </c>
      <c r="CQT116" s="77" t="str">
        <f t="shared" si="142"/>
        <v/>
      </c>
      <c r="CQU116" s="77" t="str">
        <f t="shared" si="142"/>
        <v/>
      </c>
      <c r="CQV116" s="77" t="str">
        <f t="shared" si="142"/>
        <v/>
      </c>
      <c r="CQW116" s="77" t="str">
        <f t="shared" si="142"/>
        <v/>
      </c>
      <c r="CQX116" s="77" t="str">
        <f t="shared" si="142"/>
        <v/>
      </c>
      <c r="CQY116" s="77" t="str">
        <f t="shared" si="142"/>
        <v/>
      </c>
      <c r="CQZ116" s="77" t="str">
        <f t="shared" si="142"/>
        <v/>
      </c>
      <c r="CRA116" s="77" t="str">
        <f t="shared" si="142"/>
        <v/>
      </c>
      <c r="CRB116" s="77" t="str">
        <f t="shared" si="142"/>
        <v/>
      </c>
      <c r="CRC116" s="77" t="str">
        <f t="shared" si="142"/>
        <v/>
      </c>
      <c r="CRD116" s="77" t="str">
        <f t="shared" si="142"/>
        <v/>
      </c>
      <c r="CRE116" s="77" t="str">
        <f t="shared" si="142"/>
        <v/>
      </c>
      <c r="CRF116" s="77" t="str">
        <f t="shared" si="142"/>
        <v/>
      </c>
      <c r="CRG116" s="77" t="str">
        <f t="shared" si="142"/>
        <v/>
      </c>
      <c r="CRH116" s="77" t="str">
        <f t="shared" si="142"/>
        <v/>
      </c>
      <c r="CRI116" s="77" t="str">
        <f t="shared" si="142"/>
        <v/>
      </c>
      <c r="CRJ116" s="77" t="str">
        <f t="shared" si="142"/>
        <v/>
      </c>
      <c r="CRK116" s="77" t="str">
        <f t="shared" si="142"/>
        <v/>
      </c>
      <c r="CRL116" s="77" t="str">
        <f t="shared" si="142"/>
        <v/>
      </c>
      <c r="CRM116" s="77" t="str">
        <f t="shared" si="142"/>
        <v/>
      </c>
      <c r="CRN116" s="77" t="str">
        <f t="shared" si="142"/>
        <v/>
      </c>
      <c r="CRO116" s="77" t="str">
        <f t="shared" si="142"/>
        <v/>
      </c>
      <c r="CRP116" s="77" t="str">
        <f t="shared" si="142"/>
        <v/>
      </c>
      <c r="CRQ116" s="77" t="str">
        <f t="shared" si="142"/>
        <v/>
      </c>
      <c r="CRR116" s="77" t="str">
        <f t="shared" si="142"/>
        <v/>
      </c>
      <c r="CRS116" s="77" t="str">
        <f t="shared" si="142"/>
        <v/>
      </c>
      <c r="CRT116" s="77" t="str">
        <f t="shared" si="142"/>
        <v/>
      </c>
      <c r="CRU116" s="77" t="str">
        <f t="shared" si="142"/>
        <v/>
      </c>
      <c r="CRV116" s="77" t="str">
        <f t="shared" si="142"/>
        <v/>
      </c>
      <c r="CRW116" s="77" t="str">
        <f t="shared" si="142"/>
        <v/>
      </c>
      <c r="CRX116" s="77" t="str">
        <f t="shared" si="142"/>
        <v/>
      </c>
      <c r="CRY116" s="77" t="str">
        <f t="shared" si="142"/>
        <v/>
      </c>
      <c r="CRZ116" s="77" t="str">
        <f t="shared" si="142"/>
        <v/>
      </c>
      <c r="CSA116" s="77" t="str">
        <f t="shared" si="142"/>
        <v/>
      </c>
      <c r="CSB116" s="77" t="str">
        <f t="shared" si="142"/>
        <v/>
      </c>
      <c r="CSC116" s="77" t="str">
        <f t="shared" si="142"/>
        <v/>
      </c>
      <c r="CSD116" s="77" t="str">
        <f t="shared" si="142"/>
        <v/>
      </c>
      <c r="CSE116" s="77" t="str">
        <f t="shared" si="142"/>
        <v/>
      </c>
      <c r="CSF116" s="77" t="str">
        <f t="shared" si="142"/>
        <v/>
      </c>
      <c r="CSG116" s="77" t="str">
        <f t="shared" si="142"/>
        <v/>
      </c>
      <c r="CSH116" s="77" t="str">
        <f t="shared" si="142"/>
        <v/>
      </c>
      <c r="CSI116" s="77" t="str">
        <f t="shared" si="142"/>
        <v/>
      </c>
      <c r="CSJ116" s="77" t="str">
        <f t="shared" si="142"/>
        <v/>
      </c>
      <c r="CSK116" s="77" t="str">
        <f t="shared" si="142"/>
        <v/>
      </c>
      <c r="CSL116" s="77" t="str">
        <f t="shared" si="142"/>
        <v/>
      </c>
      <c r="CSM116" s="77" t="str">
        <f t="shared" ref="CSM116:CUX116" si="143">IF(ISNUMBER(outYear),CSM69+CSM75+CSM81+CSM113,"")</f>
        <v/>
      </c>
      <c r="CSN116" s="77" t="str">
        <f t="shared" si="143"/>
        <v/>
      </c>
      <c r="CSO116" s="77" t="str">
        <f t="shared" si="143"/>
        <v/>
      </c>
      <c r="CSP116" s="77" t="str">
        <f t="shared" si="143"/>
        <v/>
      </c>
      <c r="CSQ116" s="77" t="str">
        <f t="shared" si="143"/>
        <v/>
      </c>
      <c r="CSR116" s="77" t="str">
        <f t="shared" si="143"/>
        <v/>
      </c>
      <c r="CSS116" s="77" t="str">
        <f t="shared" si="143"/>
        <v/>
      </c>
      <c r="CST116" s="77" t="str">
        <f t="shared" si="143"/>
        <v/>
      </c>
      <c r="CSU116" s="77" t="str">
        <f t="shared" si="143"/>
        <v/>
      </c>
      <c r="CSV116" s="77" t="str">
        <f t="shared" si="143"/>
        <v/>
      </c>
      <c r="CSW116" s="77" t="str">
        <f t="shared" si="143"/>
        <v/>
      </c>
      <c r="CSX116" s="77" t="str">
        <f t="shared" si="143"/>
        <v/>
      </c>
      <c r="CSY116" s="77" t="str">
        <f t="shared" si="143"/>
        <v/>
      </c>
      <c r="CSZ116" s="77" t="str">
        <f t="shared" si="143"/>
        <v/>
      </c>
      <c r="CTA116" s="77" t="str">
        <f t="shared" si="143"/>
        <v/>
      </c>
      <c r="CTB116" s="77" t="str">
        <f t="shared" si="143"/>
        <v/>
      </c>
      <c r="CTC116" s="77" t="str">
        <f t="shared" si="143"/>
        <v/>
      </c>
      <c r="CTD116" s="77" t="str">
        <f t="shared" si="143"/>
        <v/>
      </c>
      <c r="CTE116" s="77" t="str">
        <f t="shared" si="143"/>
        <v/>
      </c>
      <c r="CTF116" s="77" t="str">
        <f t="shared" si="143"/>
        <v/>
      </c>
      <c r="CTG116" s="77" t="str">
        <f t="shared" si="143"/>
        <v/>
      </c>
      <c r="CTH116" s="77" t="str">
        <f t="shared" si="143"/>
        <v/>
      </c>
      <c r="CTI116" s="77" t="str">
        <f t="shared" si="143"/>
        <v/>
      </c>
      <c r="CTJ116" s="77" t="str">
        <f t="shared" si="143"/>
        <v/>
      </c>
      <c r="CTK116" s="77" t="str">
        <f t="shared" si="143"/>
        <v/>
      </c>
      <c r="CTL116" s="77" t="str">
        <f t="shared" si="143"/>
        <v/>
      </c>
      <c r="CTM116" s="77" t="str">
        <f t="shared" si="143"/>
        <v/>
      </c>
      <c r="CTN116" s="77" t="str">
        <f t="shared" si="143"/>
        <v/>
      </c>
      <c r="CTO116" s="77" t="str">
        <f t="shared" si="143"/>
        <v/>
      </c>
      <c r="CTP116" s="77" t="str">
        <f t="shared" si="143"/>
        <v/>
      </c>
      <c r="CTQ116" s="77" t="str">
        <f t="shared" si="143"/>
        <v/>
      </c>
      <c r="CTR116" s="77" t="str">
        <f t="shared" si="143"/>
        <v/>
      </c>
      <c r="CTS116" s="77" t="str">
        <f t="shared" si="143"/>
        <v/>
      </c>
      <c r="CTT116" s="77" t="str">
        <f t="shared" si="143"/>
        <v/>
      </c>
      <c r="CTU116" s="77" t="str">
        <f t="shared" si="143"/>
        <v/>
      </c>
      <c r="CTV116" s="77" t="str">
        <f t="shared" si="143"/>
        <v/>
      </c>
      <c r="CTW116" s="77" t="str">
        <f t="shared" si="143"/>
        <v/>
      </c>
      <c r="CTX116" s="77" t="str">
        <f t="shared" si="143"/>
        <v/>
      </c>
      <c r="CTY116" s="77" t="str">
        <f t="shared" si="143"/>
        <v/>
      </c>
      <c r="CTZ116" s="77" t="str">
        <f t="shared" si="143"/>
        <v/>
      </c>
      <c r="CUA116" s="77" t="str">
        <f t="shared" si="143"/>
        <v/>
      </c>
      <c r="CUB116" s="77" t="str">
        <f t="shared" si="143"/>
        <v/>
      </c>
      <c r="CUC116" s="77" t="str">
        <f t="shared" si="143"/>
        <v/>
      </c>
      <c r="CUD116" s="77" t="str">
        <f t="shared" si="143"/>
        <v/>
      </c>
      <c r="CUE116" s="77" t="str">
        <f t="shared" si="143"/>
        <v/>
      </c>
      <c r="CUF116" s="77" t="str">
        <f t="shared" si="143"/>
        <v/>
      </c>
      <c r="CUG116" s="77" t="str">
        <f t="shared" si="143"/>
        <v/>
      </c>
      <c r="CUH116" s="77" t="str">
        <f t="shared" si="143"/>
        <v/>
      </c>
      <c r="CUI116" s="77" t="str">
        <f t="shared" si="143"/>
        <v/>
      </c>
      <c r="CUJ116" s="77" t="str">
        <f t="shared" si="143"/>
        <v/>
      </c>
      <c r="CUK116" s="77" t="str">
        <f t="shared" si="143"/>
        <v/>
      </c>
      <c r="CUL116" s="77" t="str">
        <f t="shared" si="143"/>
        <v/>
      </c>
      <c r="CUM116" s="77" t="str">
        <f t="shared" si="143"/>
        <v/>
      </c>
      <c r="CUN116" s="77" t="str">
        <f t="shared" si="143"/>
        <v/>
      </c>
      <c r="CUO116" s="77" t="str">
        <f t="shared" si="143"/>
        <v/>
      </c>
      <c r="CUP116" s="77" t="str">
        <f t="shared" si="143"/>
        <v/>
      </c>
      <c r="CUQ116" s="77" t="str">
        <f t="shared" si="143"/>
        <v/>
      </c>
      <c r="CUR116" s="77" t="str">
        <f t="shared" si="143"/>
        <v/>
      </c>
      <c r="CUS116" s="77" t="str">
        <f t="shared" si="143"/>
        <v/>
      </c>
      <c r="CUT116" s="77" t="str">
        <f t="shared" si="143"/>
        <v/>
      </c>
      <c r="CUU116" s="77" t="str">
        <f t="shared" si="143"/>
        <v/>
      </c>
      <c r="CUV116" s="77" t="str">
        <f t="shared" si="143"/>
        <v/>
      </c>
      <c r="CUW116" s="77" t="str">
        <f t="shared" si="143"/>
        <v/>
      </c>
      <c r="CUX116" s="77" t="str">
        <f t="shared" si="143"/>
        <v/>
      </c>
      <c r="CUY116" s="77" t="str">
        <f t="shared" ref="CUY116:CXJ116" si="144">IF(ISNUMBER(outYear),CUY69+CUY75+CUY81+CUY113,"")</f>
        <v/>
      </c>
      <c r="CUZ116" s="77" t="str">
        <f t="shared" si="144"/>
        <v/>
      </c>
      <c r="CVA116" s="77" t="str">
        <f t="shared" si="144"/>
        <v/>
      </c>
      <c r="CVB116" s="77" t="str">
        <f t="shared" si="144"/>
        <v/>
      </c>
      <c r="CVC116" s="77" t="str">
        <f t="shared" si="144"/>
        <v/>
      </c>
      <c r="CVD116" s="77" t="str">
        <f t="shared" si="144"/>
        <v/>
      </c>
      <c r="CVE116" s="77" t="str">
        <f t="shared" si="144"/>
        <v/>
      </c>
      <c r="CVF116" s="77" t="str">
        <f t="shared" si="144"/>
        <v/>
      </c>
      <c r="CVG116" s="77" t="str">
        <f t="shared" si="144"/>
        <v/>
      </c>
      <c r="CVH116" s="77" t="str">
        <f t="shared" si="144"/>
        <v/>
      </c>
      <c r="CVI116" s="77" t="str">
        <f t="shared" si="144"/>
        <v/>
      </c>
      <c r="CVJ116" s="77" t="str">
        <f t="shared" si="144"/>
        <v/>
      </c>
      <c r="CVK116" s="77" t="str">
        <f t="shared" si="144"/>
        <v/>
      </c>
      <c r="CVL116" s="77" t="str">
        <f t="shared" si="144"/>
        <v/>
      </c>
      <c r="CVM116" s="77" t="str">
        <f t="shared" si="144"/>
        <v/>
      </c>
      <c r="CVN116" s="77" t="str">
        <f t="shared" si="144"/>
        <v/>
      </c>
      <c r="CVO116" s="77" t="str">
        <f t="shared" si="144"/>
        <v/>
      </c>
      <c r="CVP116" s="77" t="str">
        <f t="shared" si="144"/>
        <v/>
      </c>
      <c r="CVQ116" s="77" t="str">
        <f t="shared" si="144"/>
        <v/>
      </c>
      <c r="CVR116" s="77" t="str">
        <f t="shared" si="144"/>
        <v/>
      </c>
      <c r="CVS116" s="77" t="str">
        <f t="shared" si="144"/>
        <v/>
      </c>
      <c r="CVT116" s="77" t="str">
        <f t="shared" si="144"/>
        <v/>
      </c>
      <c r="CVU116" s="77" t="str">
        <f t="shared" si="144"/>
        <v/>
      </c>
      <c r="CVV116" s="77" t="str">
        <f t="shared" si="144"/>
        <v/>
      </c>
      <c r="CVW116" s="77" t="str">
        <f t="shared" si="144"/>
        <v/>
      </c>
      <c r="CVX116" s="77" t="str">
        <f t="shared" si="144"/>
        <v/>
      </c>
      <c r="CVY116" s="77" t="str">
        <f t="shared" si="144"/>
        <v/>
      </c>
      <c r="CVZ116" s="77" t="str">
        <f t="shared" si="144"/>
        <v/>
      </c>
      <c r="CWA116" s="77" t="str">
        <f t="shared" si="144"/>
        <v/>
      </c>
      <c r="CWB116" s="77" t="str">
        <f t="shared" si="144"/>
        <v/>
      </c>
      <c r="CWC116" s="77" t="str">
        <f t="shared" si="144"/>
        <v/>
      </c>
      <c r="CWD116" s="77" t="str">
        <f t="shared" si="144"/>
        <v/>
      </c>
      <c r="CWE116" s="77" t="str">
        <f t="shared" si="144"/>
        <v/>
      </c>
      <c r="CWF116" s="77" t="str">
        <f t="shared" si="144"/>
        <v/>
      </c>
      <c r="CWG116" s="77" t="str">
        <f t="shared" si="144"/>
        <v/>
      </c>
      <c r="CWH116" s="77" t="str">
        <f t="shared" si="144"/>
        <v/>
      </c>
      <c r="CWI116" s="77" t="str">
        <f t="shared" si="144"/>
        <v/>
      </c>
      <c r="CWJ116" s="77" t="str">
        <f t="shared" si="144"/>
        <v/>
      </c>
      <c r="CWK116" s="77" t="str">
        <f t="shared" si="144"/>
        <v/>
      </c>
      <c r="CWL116" s="77" t="str">
        <f t="shared" si="144"/>
        <v/>
      </c>
      <c r="CWM116" s="77" t="str">
        <f t="shared" si="144"/>
        <v/>
      </c>
      <c r="CWN116" s="77" t="str">
        <f t="shared" si="144"/>
        <v/>
      </c>
      <c r="CWO116" s="77" t="str">
        <f t="shared" si="144"/>
        <v/>
      </c>
      <c r="CWP116" s="77" t="str">
        <f t="shared" si="144"/>
        <v/>
      </c>
      <c r="CWQ116" s="77" t="str">
        <f t="shared" si="144"/>
        <v/>
      </c>
      <c r="CWR116" s="77" t="str">
        <f t="shared" si="144"/>
        <v/>
      </c>
      <c r="CWS116" s="77" t="str">
        <f t="shared" si="144"/>
        <v/>
      </c>
      <c r="CWT116" s="77" t="str">
        <f t="shared" si="144"/>
        <v/>
      </c>
      <c r="CWU116" s="77" t="str">
        <f t="shared" si="144"/>
        <v/>
      </c>
      <c r="CWV116" s="77" t="str">
        <f t="shared" si="144"/>
        <v/>
      </c>
      <c r="CWW116" s="77" t="str">
        <f t="shared" si="144"/>
        <v/>
      </c>
      <c r="CWX116" s="77" t="str">
        <f t="shared" si="144"/>
        <v/>
      </c>
      <c r="CWY116" s="77" t="str">
        <f t="shared" si="144"/>
        <v/>
      </c>
      <c r="CWZ116" s="77" t="str">
        <f t="shared" si="144"/>
        <v/>
      </c>
      <c r="CXA116" s="77" t="str">
        <f t="shared" si="144"/>
        <v/>
      </c>
      <c r="CXB116" s="77" t="str">
        <f t="shared" si="144"/>
        <v/>
      </c>
      <c r="CXC116" s="77" t="str">
        <f t="shared" si="144"/>
        <v/>
      </c>
      <c r="CXD116" s="77" t="str">
        <f t="shared" si="144"/>
        <v/>
      </c>
      <c r="CXE116" s="77" t="str">
        <f t="shared" si="144"/>
        <v/>
      </c>
      <c r="CXF116" s="77" t="str">
        <f t="shared" si="144"/>
        <v/>
      </c>
      <c r="CXG116" s="77" t="str">
        <f t="shared" si="144"/>
        <v/>
      </c>
      <c r="CXH116" s="77" t="str">
        <f t="shared" si="144"/>
        <v/>
      </c>
      <c r="CXI116" s="77" t="str">
        <f t="shared" si="144"/>
        <v/>
      </c>
      <c r="CXJ116" s="77" t="str">
        <f t="shared" si="144"/>
        <v/>
      </c>
      <c r="CXK116" s="77" t="str">
        <f t="shared" ref="CXK116:CZV116" si="145">IF(ISNUMBER(outYear),CXK69+CXK75+CXK81+CXK113,"")</f>
        <v/>
      </c>
      <c r="CXL116" s="77" t="str">
        <f t="shared" si="145"/>
        <v/>
      </c>
      <c r="CXM116" s="77" t="str">
        <f t="shared" si="145"/>
        <v/>
      </c>
      <c r="CXN116" s="77" t="str">
        <f t="shared" si="145"/>
        <v/>
      </c>
      <c r="CXO116" s="77" t="str">
        <f t="shared" si="145"/>
        <v/>
      </c>
      <c r="CXP116" s="77" t="str">
        <f t="shared" si="145"/>
        <v/>
      </c>
      <c r="CXQ116" s="77" t="str">
        <f t="shared" si="145"/>
        <v/>
      </c>
      <c r="CXR116" s="77" t="str">
        <f t="shared" si="145"/>
        <v/>
      </c>
      <c r="CXS116" s="77" t="str">
        <f t="shared" si="145"/>
        <v/>
      </c>
      <c r="CXT116" s="77" t="str">
        <f t="shared" si="145"/>
        <v/>
      </c>
      <c r="CXU116" s="77" t="str">
        <f t="shared" si="145"/>
        <v/>
      </c>
      <c r="CXV116" s="77" t="str">
        <f t="shared" si="145"/>
        <v/>
      </c>
      <c r="CXW116" s="77" t="str">
        <f t="shared" si="145"/>
        <v/>
      </c>
      <c r="CXX116" s="77" t="str">
        <f t="shared" si="145"/>
        <v/>
      </c>
      <c r="CXY116" s="77" t="str">
        <f t="shared" si="145"/>
        <v/>
      </c>
      <c r="CXZ116" s="77" t="str">
        <f t="shared" si="145"/>
        <v/>
      </c>
      <c r="CYA116" s="77" t="str">
        <f t="shared" si="145"/>
        <v/>
      </c>
      <c r="CYB116" s="77" t="str">
        <f t="shared" si="145"/>
        <v/>
      </c>
      <c r="CYC116" s="77" t="str">
        <f t="shared" si="145"/>
        <v/>
      </c>
      <c r="CYD116" s="77" t="str">
        <f t="shared" si="145"/>
        <v/>
      </c>
      <c r="CYE116" s="77" t="str">
        <f t="shared" si="145"/>
        <v/>
      </c>
      <c r="CYF116" s="77" t="str">
        <f t="shared" si="145"/>
        <v/>
      </c>
      <c r="CYG116" s="77" t="str">
        <f t="shared" si="145"/>
        <v/>
      </c>
      <c r="CYH116" s="77" t="str">
        <f t="shared" si="145"/>
        <v/>
      </c>
      <c r="CYI116" s="77" t="str">
        <f t="shared" si="145"/>
        <v/>
      </c>
      <c r="CYJ116" s="77" t="str">
        <f t="shared" si="145"/>
        <v/>
      </c>
      <c r="CYK116" s="77" t="str">
        <f t="shared" si="145"/>
        <v/>
      </c>
      <c r="CYL116" s="77" t="str">
        <f t="shared" si="145"/>
        <v/>
      </c>
      <c r="CYM116" s="77" t="str">
        <f t="shared" si="145"/>
        <v/>
      </c>
      <c r="CYN116" s="77" t="str">
        <f t="shared" si="145"/>
        <v/>
      </c>
      <c r="CYO116" s="77" t="str">
        <f t="shared" si="145"/>
        <v/>
      </c>
      <c r="CYP116" s="77" t="str">
        <f t="shared" si="145"/>
        <v/>
      </c>
      <c r="CYQ116" s="77" t="str">
        <f t="shared" si="145"/>
        <v/>
      </c>
      <c r="CYR116" s="77" t="str">
        <f t="shared" si="145"/>
        <v/>
      </c>
      <c r="CYS116" s="77" t="str">
        <f t="shared" si="145"/>
        <v/>
      </c>
      <c r="CYT116" s="77" t="str">
        <f t="shared" si="145"/>
        <v/>
      </c>
      <c r="CYU116" s="77" t="str">
        <f t="shared" si="145"/>
        <v/>
      </c>
      <c r="CYV116" s="77" t="str">
        <f t="shared" si="145"/>
        <v/>
      </c>
      <c r="CYW116" s="77" t="str">
        <f t="shared" si="145"/>
        <v/>
      </c>
      <c r="CYX116" s="77" t="str">
        <f t="shared" si="145"/>
        <v/>
      </c>
      <c r="CYY116" s="77" t="str">
        <f t="shared" si="145"/>
        <v/>
      </c>
      <c r="CYZ116" s="77" t="str">
        <f t="shared" si="145"/>
        <v/>
      </c>
      <c r="CZA116" s="77" t="str">
        <f t="shared" si="145"/>
        <v/>
      </c>
      <c r="CZB116" s="77" t="str">
        <f t="shared" si="145"/>
        <v/>
      </c>
      <c r="CZC116" s="77" t="str">
        <f t="shared" si="145"/>
        <v/>
      </c>
      <c r="CZD116" s="77" t="str">
        <f t="shared" si="145"/>
        <v/>
      </c>
      <c r="CZE116" s="77" t="str">
        <f t="shared" si="145"/>
        <v/>
      </c>
      <c r="CZF116" s="77" t="str">
        <f t="shared" si="145"/>
        <v/>
      </c>
      <c r="CZG116" s="77" t="str">
        <f t="shared" si="145"/>
        <v/>
      </c>
      <c r="CZH116" s="77" t="str">
        <f t="shared" si="145"/>
        <v/>
      </c>
      <c r="CZI116" s="77" t="str">
        <f t="shared" si="145"/>
        <v/>
      </c>
      <c r="CZJ116" s="77" t="str">
        <f t="shared" si="145"/>
        <v/>
      </c>
      <c r="CZK116" s="77" t="str">
        <f t="shared" si="145"/>
        <v/>
      </c>
      <c r="CZL116" s="77" t="str">
        <f t="shared" si="145"/>
        <v/>
      </c>
      <c r="CZM116" s="77" t="str">
        <f t="shared" si="145"/>
        <v/>
      </c>
      <c r="CZN116" s="77" t="str">
        <f t="shared" si="145"/>
        <v/>
      </c>
      <c r="CZO116" s="77" t="str">
        <f t="shared" si="145"/>
        <v/>
      </c>
      <c r="CZP116" s="77" t="str">
        <f t="shared" si="145"/>
        <v/>
      </c>
      <c r="CZQ116" s="77" t="str">
        <f t="shared" si="145"/>
        <v/>
      </c>
      <c r="CZR116" s="77" t="str">
        <f t="shared" si="145"/>
        <v/>
      </c>
      <c r="CZS116" s="77" t="str">
        <f t="shared" si="145"/>
        <v/>
      </c>
      <c r="CZT116" s="77" t="str">
        <f t="shared" si="145"/>
        <v/>
      </c>
      <c r="CZU116" s="77" t="str">
        <f t="shared" si="145"/>
        <v/>
      </c>
      <c r="CZV116" s="77" t="str">
        <f t="shared" si="145"/>
        <v/>
      </c>
      <c r="CZW116" s="77" t="str">
        <f t="shared" ref="CZW116:DCH116" si="146">IF(ISNUMBER(outYear),CZW69+CZW75+CZW81+CZW113,"")</f>
        <v/>
      </c>
      <c r="CZX116" s="77" t="str">
        <f t="shared" si="146"/>
        <v/>
      </c>
      <c r="CZY116" s="77" t="str">
        <f t="shared" si="146"/>
        <v/>
      </c>
      <c r="CZZ116" s="77" t="str">
        <f t="shared" si="146"/>
        <v/>
      </c>
      <c r="DAA116" s="77" t="str">
        <f t="shared" si="146"/>
        <v/>
      </c>
      <c r="DAB116" s="77" t="str">
        <f t="shared" si="146"/>
        <v/>
      </c>
      <c r="DAC116" s="77" t="str">
        <f t="shared" si="146"/>
        <v/>
      </c>
      <c r="DAD116" s="77" t="str">
        <f t="shared" si="146"/>
        <v/>
      </c>
      <c r="DAE116" s="77" t="str">
        <f t="shared" si="146"/>
        <v/>
      </c>
      <c r="DAF116" s="77" t="str">
        <f t="shared" si="146"/>
        <v/>
      </c>
      <c r="DAG116" s="77" t="str">
        <f t="shared" si="146"/>
        <v/>
      </c>
      <c r="DAH116" s="77" t="str">
        <f t="shared" si="146"/>
        <v/>
      </c>
      <c r="DAI116" s="77" t="str">
        <f t="shared" si="146"/>
        <v/>
      </c>
      <c r="DAJ116" s="77" t="str">
        <f t="shared" si="146"/>
        <v/>
      </c>
      <c r="DAK116" s="77" t="str">
        <f t="shared" si="146"/>
        <v/>
      </c>
      <c r="DAL116" s="77" t="str">
        <f t="shared" si="146"/>
        <v/>
      </c>
      <c r="DAM116" s="77" t="str">
        <f t="shared" si="146"/>
        <v/>
      </c>
      <c r="DAN116" s="77" t="str">
        <f t="shared" si="146"/>
        <v/>
      </c>
      <c r="DAO116" s="77" t="str">
        <f t="shared" si="146"/>
        <v/>
      </c>
      <c r="DAP116" s="77" t="str">
        <f t="shared" si="146"/>
        <v/>
      </c>
      <c r="DAQ116" s="77" t="str">
        <f t="shared" si="146"/>
        <v/>
      </c>
      <c r="DAR116" s="77" t="str">
        <f t="shared" si="146"/>
        <v/>
      </c>
      <c r="DAS116" s="77" t="str">
        <f t="shared" si="146"/>
        <v/>
      </c>
      <c r="DAT116" s="77" t="str">
        <f t="shared" si="146"/>
        <v/>
      </c>
      <c r="DAU116" s="77" t="str">
        <f t="shared" si="146"/>
        <v/>
      </c>
      <c r="DAV116" s="77" t="str">
        <f t="shared" si="146"/>
        <v/>
      </c>
      <c r="DAW116" s="77" t="str">
        <f t="shared" si="146"/>
        <v/>
      </c>
      <c r="DAX116" s="77" t="str">
        <f t="shared" si="146"/>
        <v/>
      </c>
      <c r="DAY116" s="77" t="str">
        <f t="shared" si="146"/>
        <v/>
      </c>
      <c r="DAZ116" s="77" t="str">
        <f t="shared" si="146"/>
        <v/>
      </c>
      <c r="DBA116" s="77" t="str">
        <f t="shared" si="146"/>
        <v/>
      </c>
      <c r="DBB116" s="77" t="str">
        <f t="shared" si="146"/>
        <v/>
      </c>
      <c r="DBC116" s="77" t="str">
        <f t="shared" si="146"/>
        <v/>
      </c>
      <c r="DBD116" s="77" t="str">
        <f t="shared" si="146"/>
        <v/>
      </c>
      <c r="DBE116" s="77" t="str">
        <f t="shared" si="146"/>
        <v/>
      </c>
      <c r="DBF116" s="77" t="str">
        <f t="shared" si="146"/>
        <v/>
      </c>
      <c r="DBG116" s="77" t="str">
        <f t="shared" si="146"/>
        <v/>
      </c>
      <c r="DBH116" s="77" t="str">
        <f t="shared" si="146"/>
        <v/>
      </c>
      <c r="DBI116" s="77" t="str">
        <f t="shared" si="146"/>
        <v/>
      </c>
      <c r="DBJ116" s="77" t="str">
        <f t="shared" si="146"/>
        <v/>
      </c>
      <c r="DBK116" s="77" t="str">
        <f t="shared" si="146"/>
        <v/>
      </c>
      <c r="DBL116" s="77" t="str">
        <f t="shared" si="146"/>
        <v/>
      </c>
      <c r="DBM116" s="77" t="str">
        <f t="shared" si="146"/>
        <v/>
      </c>
      <c r="DBN116" s="77" t="str">
        <f t="shared" si="146"/>
        <v/>
      </c>
      <c r="DBO116" s="77" t="str">
        <f t="shared" si="146"/>
        <v/>
      </c>
      <c r="DBP116" s="77" t="str">
        <f t="shared" si="146"/>
        <v/>
      </c>
      <c r="DBQ116" s="77" t="str">
        <f t="shared" si="146"/>
        <v/>
      </c>
      <c r="DBR116" s="77" t="str">
        <f t="shared" si="146"/>
        <v/>
      </c>
      <c r="DBS116" s="77" t="str">
        <f t="shared" si="146"/>
        <v/>
      </c>
      <c r="DBT116" s="77" t="str">
        <f t="shared" si="146"/>
        <v/>
      </c>
      <c r="DBU116" s="77" t="str">
        <f t="shared" si="146"/>
        <v/>
      </c>
      <c r="DBV116" s="77" t="str">
        <f t="shared" si="146"/>
        <v/>
      </c>
      <c r="DBW116" s="77" t="str">
        <f t="shared" si="146"/>
        <v/>
      </c>
      <c r="DBX116" s="77" t="str">
        <f t="shared" si="146"/>
        <v/>
      </c>
      <c r="DBY116" s="77" t="str">
        <f t="shared" si="146"/>
        <v/>
      </c>
      <c r="DBZ116" s="77" t="str">
        <f t="shared" si="146"/>
        <v/>
      </c>
      <c r="DCA116" s="77" t="str">
        <f t="shared" si="146"/>
        <v/>
      </c>
      <c r="DCB116" s="77" t="str">
        <f t="shared" si="146"/>
        <v/>
      </c>
      <c r="DCC116" s="77" t="str">
        <f t="shared" si="146"/>
        <v/>
      </c>
      <c r="DCD116" s="77" t="str">
        <f t="shared" si="146"/>
        <v/>
      </c>
      <c r="DCE116" s="77" t="str">
        <f t="shared" si="146"/>
        <v/>
      </c>
      <c r="DCF116" s="77" t="str">
        <f t="shared" si="146"/>
        <v/>
      </c>
      <c r="DCG116" s="77" t="str">
        <f t="shared" si="146"/>
        <v/>
      </c>
      <c r="DCH116" s="77" t="str">
        <f t="shared" si="146"/>
        <v/>
      </c>
      <c r="DCI116" s="77" t="str">
        <f t="shared" ref="DCI116:DET116" si="147">IF(ISNUMBER(outYear),DCI69+DCI75+DCI81+DCI113,"")</f>
        <v/>
      </c>
      <c r="DCJ116" s="77" t="str">
        <f t="shared" si="147"/>
        <v/>
      </c>
      <c r="DCK116" s="77" t="str">
        <f t="shared" si="147"/>
        <v/>
      </c>
      <c r="DCL116" s="77" t="str">
        <f t="shared" si="147"/>
        <v/>
      </c>
      <c r="DCM116" s="77" t="str">
        <f t="shared" si="147"/>
        <v/>
      </c>
      <c r="DCN116" s="77" t="str">
        <f t="shared" si="147"/>
        <v/>
      </c>
      <c r="DCO116" s="77" t="str">
        <f t="shared" si="147"/>
        <v/>
      </c>
      <c r="DCP116" s="77" t="str">
        <f t="shared" si="147"/>
        <v/>
      </c>
      <c r="DCQ116" s="77" t="str">
        <f t="shared" si="147"/>
        <v/>
      </c>
      <c r="DCR116" s="77" t="str">
        <f t="shared" si="147"/>
        <v/>
      </c>
      <c r="DCS116" s="77" t="str">
        <f t="shared" si="147"/>
        <v/>
      </c>
      <c r="DCT116" s="77" t="str">
        <f t="shared" si="147"/>
        <v/>
      </c>
      <c r="DCU116" s="77" t="str">
        <f t="shared" si="147"/>
        <v/>
      </c>
      <c r="DCV116" s="77" t="str">
        <f t="shared" si="147"/>
        <v/>
      </c>
      <c r="DCW116" s="77" t="str">
        <f t="shared" si="147"/>
        <v/>
      </c>
      <c r="DCX116" s="77" t="str">
        <f t="shared" si="147"/>
        <v/>
      </c>
      <c r="DCY116" s="77" t="str">
        <f t="shared" si="147"/>
        <v/>
      </c>
      <c r="DCZ116" s="77" t="str">
        <f t="shared" si="147"/>
        <v/>
      </c>
      <c r="DDA116" s="77" t="str">
        <f t="shared" si="147"/>
        <v/>
      </c>
      <c r="DDB116" s="77" t="str">
        <f t="shared" si="147"/>
        <v/>
      </c>
      <c r="DDC116" s="77" t="str">
        <f t="shared" si="147"/>
        <v/>
      </c>
      <c r="DDD116" s="77" t="str">
        <f t="shared" si="147"/>
        <v/>
      </c>
      <c r="DDE116" s="77" t="str">
        <f t="shared" si="147"/>
        <v/>
      </c>
      <c r="DDF116" s="77" t="str">
        <f t="shared" si="147"/>
        <v/>
      </c>
      <c r="DDG116" s="77" t="str">
        <f t="shared" si="147"/>
        <v/>
      </c>
      <c r="DDH116" s="77" t="str">
        <f t="shared" si="147"/>
        <v/>
      </c>
      <c r="DDI116" s="77" t="str">
        <f t="shared" si="147"/>
        <v/>
      </c>
      <c r="DDJ116" s="77" t="str">
        <f t="shared" si="147"/>
        <v/>
      </c>
      <c r="DDK116" s="77" t="str">
        <f t="shared" si="147"/>
        <v/>
      </c>
      <c r="DDL116" s="77" t="str">
        <f t="shared" si="147"/>
        <v/>
      </c>
      <c r="DDM116" s="77" t="str">
        <f t="shared" si="147"/>
        <v/>
      </c>
      <c r="DDN116" s="77" t="str">
        <f t="shared" si="147"/>
        <v/>
      </c>
      <c r="DDO116" s="77" t="str">
        <f t="shared" si="147"/>
        <v/>
      </c>
      <c r="DDP116" s="77" t="str">
        <f t="shared" si="147"/>
        <v/>
      </c>
      <c r="DDQ116" s="77" t="str">
        <f t="shared" si="147"/>
        <v/>
      </c>
      <c r="DDR116" s="77" t="str">
        <f t="shared" si="147"/>
        <v/>
      </c>
      <c r="DDS116" s="77" t="str">
        <f t="shared" si="147"/>
        <v/>
      </c>
      <c r="DDT116" s="77" t="str">
        <f t="shared" si="147"/>
        <v/>
      </c>
      <c r="DDU116" s="77" t="str">
        <f t="shared" si="147"/>
        <v/>
      </c>
      <c r="DDV116" s="77" t="str">
        <f t="shared" si="147"/>
        <v/>
      </c>
      <c r="DDW116" s="77" t="str">
        <f t="shared" si="147"/>
        <v/>
      </c>
      <c r="DDX116" s="77" t="str">
        <f t="shared" si="147"/>
        <v/>
      </c>
      <c r="DDY116" s="77" t="str">
        <f t="shared" si="147"/>
        <v/>
      </c>
      <c r="DDZ116" s="77" t="str">
        <f t="shared" si="147"/>
        <v/>
      </c>
      <c r="DEA116" s="77" t="str">
        <f t="shared" si="147"/>
        <v/>
      </c>
      <c r="DEB116" s="77" t="str">
        <f t="shared" si="147"/>
        <v/>
      </c>
      <c r="DEC116" s="77" t="str">
        <f t="shared" si="147"/>
        <v/>
      </c>
      <c r="DED116" s="77" t="str">
        <f t="shared" si="147"/>
        <v/>
      </c>
      <c r="DEE116" s="77" t="str">
        <f t="shared" si="147"/>
        <v/>
      </c>
      <c r="DEF116" s="77" t="str">
        <f t="shared" si="147"/>
        <v/>
      </c>
      <c r="DEG116" s="77" t="str">
        <f t="shared" si="147"/>
        <v/>
      </c>
      <c r="DEH116" s="77" t="str">
        <f t="shared" si="147"/>
        <v/>
      </c>
      <c r="DEI116" s="77" t="str">
        <f t="shared" si="147"/>
        <v/>
      </c>
      <c r="DEJ116" s="77" t="str">
        <f t="shared" si="147"/>
        <v/>
      </c>
      <c r="DEK116" s="77" t="str">
        <f t="shared" si="147"/>
        <v/>
      </c>
      <c r="DEL116" s="77" t="str">
        <f t="shared" si="147"/>
        <v/>
      </c>
      <c r="DEM116" s="77" t="str">
        <f t="shared" si="147"/>
        <v/>
      </c>
      <c r="DEN116" s="77" t="str">
        <f t="shared" si="147"/>
        <v/>
      </c>
      <c r="DEO116" s="77" t="str">
        <f t="shared" si="147"/>
        <v/>
      </c>
      <c r="DEP116" s="77" t="str">
        <f t="shared" si="147"/>
        <v/>
      </c>
      <c r="DEQ116" s="77" t="str">
        <f t="shared" si="147"/>
        <v/>
      </c>
      <c r="DER116" s="77" t="str">
        <f t="shared" si="147"/>
        <v/>
      </c>
      <c r="DES116" s="77" t="str">
        <f t="shared" si="147"/>
        <v/>
      </c>
      <c r="DET116" s="77" t="str">
        <f t="shared" si="147"/>
        <v/>
      </c>
      <c r="DEU116" s="77" t="str">
        <f t="shared" ref="DEU116:DHF116" si="148">IF(ISNUMBER(outYear),DEU69+DEU75+DEU81+DEU113,"")</f>
        <v/>
      </c>
      <c r="DEV116" s="77" t="str">
        <f t="shared" si="148"/>
        <v/>
      </c>
      <c r="DEW116" s="77" t="str">
        <f t="shared" si="148"/>
        <v/>
      </c>
      <c r="DEX116" s="77" t="str">
        <f t="shared" si="148"/>
        <v/>
      </c>
      <c r="DEY116" s="77" t="str">
        <f t="shared" si="148"/>
        <v/>
      </c>
      <c r="DEZ116" s="77" t="str">
        <f t="shared" si="148"/>
        <v/>
      </c>
      <c r="DFA116" s="77" t="str">
        <f t="shared" si="148"/>
        <v/>
      </c>
      <c r="DFB116" s="77" t="str">
        <f t="shared" si="148"/>
        <v/>
      </c>
      <c r="DFC116" s="77" t="str">
        <f t="shared" si="148"/>
        <v/>
      </c>
      <c r="DFD116" s="77" t="str">
        <f t="shared" si="148"/>
        <v/>
      </c>
      <c r="DFE116" s="77" t="str">
        <f t="shared" si="148"/>
        <v/>
      </c>
      <c r="DFF116" s="77" t="str">
        <f t="shared" si="148"/>
        <v/>
      </c>
      <c r="DFG116" s="77" t="str">
        <f t="shared" si="148"/>
        <v/>
      </c>
      <c r="DFH116" s="77" t="str">
        <f t="shared" si="148"/>
        <v/>
      </c>
      <c r="DFI116" s="77" t="str">
        <f t="shared" si="148"/>
        <v/>
      </c>
      <c r="DFJ116" s="77" t="str">
        <f t="shared" si="148"/>
        <v/>
      </c>
      <c r="DFK116" s="77" t="str">
        <f t="shared" si="148"/>
        <v/>
      </c>
      <c r="DFL116" s="77" t="str">
        <f t="shared" si="148"/>
        <v/>
      </c>
      <c r="DFM116" s="77" t="str">
        <f t="shared" si="148"/>
        <v/>
      </c>
      <c r="DFN116" s="77" t="str">
        <f t="shared" si="148"/>
        <v/>
      </c>
      <c r="DFO116" s="77" t="str">
        <f t="shared" si="148"/>
        <v/>
      </c>
      <c r="DFP116" s="77" t="str">
        <f t="shared" si="148"/>
        <v/>
      </c>
      <c r="DFQ116" s="77" t="str">
        <f t="shared" si="148"/>
        <v/>
      </c>
      <c r="DFR116" s="77" t="str">
        <f t="shared" si="148"/>
        <v/>
      </c>
      <c r="DFS116" s="77" t="str">
        <f t="shared" si="148"/>
        <v/>
      </c>
      <c r="DFT116" s="77" t="str">
        <f t="shared" si="148"/>
        <v/>
      </c>
      <c r="DFU116" s="77" t="str">
        <f t="shared" si="148"/>
        <v/>
      </c>
      <c r="DFV116" s="77" t="str">
        <f t="shared" si="148"/>
        <v/>
      </c>
      <c r="DFW116" s="77" t="str">
        <f t="shared" si="148"/>
        <v/>
      </c>
      <c r="DFX116" s="77" t="str">
        <f t="shared" si="148"/>
        <v/>
      </c>
      <c r="DFY116" s="77" t="str">
        <f t="shared" si="148"/>
        <v/>
      </c>
      <c r="DFZ116" s="77" t="str">
        <f t="shared" si="148"/>
        <v/>
      </c>
      <c r="DGA116" s="77" t="str">
        <f t="shared" si="148"/>
        <v/>
      </c>
      <c r="DGB116" s="77" t="str">
        <f t="shared" si="148"/>
        <v/>
      </c>
      <c r="DGC116" s="77" t="str">
        <f t="shared" si="148"/>
        <v/>
      </c>
      <c r="DGD116" s="77" t="str">
        <f t="shared" si="148"/>
        <v/>
      </c>
      <c r="DGE116" s="77" t="str">
        <f t="shared" si="148"/>
        <v/>
      </c>
      <c r="DGF116" s="77" t="str">
        <f t="shared" si="148"/>
        <v/>
      </c>
      <c r="DGG116" s="77" t="str">
        <f t="shared" si="148"/>
        <v/>
      </c>
      <c r="DGH116" s="77" t="str">
        <f t="shared" si="148"/>
        <v/>
      </c>
      <c r="DGI116" s="77" t="str">
        <f t="shared" si="148"/>
        <v/>
      </c>
      <c r="DGJ116" s="77" t="str">
        <f t="shared" si="148"/>
        <v/>
      </c>
      <c r="DGK116" s="77" t="str">
        <f t="shared" si="148"/>
        <v/>
      </c>
      <c r="DGL116" s="77" t="str">
        <f t="shared" si="148"/>
        <v/>
      </c>
      <c r="DGM116" s="77" t="str">
        <f t="shared" si="148"/>
        <v/>
      </c>
      <c r="DGN116" s="77" t="str">
        <f t="shared" si="148"/>
        <v/>
      </c>
      <c r="DGO116" s="77" t="str">
        <f t="shared" si="148"/>
        <v/>
      </c>
      <c r="DGP116" s="77" t="str">
        <f t="shared" si="148"/>
        <v/>
      </c>
      <c r="DGQ116" s="77" t="str">
        <f t="shared" si="148"/>
        <v/>
      </c>
      <c r="DGR116" s="77" t="str">
        <f t="shared" si="148"/>
        <v/>
      </c>
      <c r="DGS116" s="77" t="str">
        <f t="shared" si="148"/>
        <v/>
      </c>
      <c r="DGT116" s="77" t="str">
        <f t="shared" si="148"/>
        <v/>
      </c>
      <c r="DGU116" s="77" t="str">
        <f t="shared" si="148"/>
        <v/>
      </c>
      <c r="DGV116" s="77" t="str">
        <f t="shared" si="148"/>
        <v/>
      </c>
      <c r="DGW116" s="77" t="str">
        <f t="shared" si="148"/>
        <v/>
      </c>
      <c r="DGX116" s="77" t="str">
        <f t="shared" si="148"/>
        <v/>
      </c>
      <c r="DGY116" s="77" t="str">
        <f t="shared" si="148"/>
        <v/>
      </c>
      <c r="DGZ116" s="77" t="str">
        <f t="shared" si="148"/>
        <v/>
      </c>
      <c r="DHA116" s="77" t="str">
        <f t="shared" si="148"/>
        <v/>
      </c>
      <c r="DHB116" s="77" t="str">
        <f t="shared" si="148"/>
        <v/>
      </c>
      <c r="DHC116" s="77" t="str">
        <f t="shared" si="148"/>
        <v/>
      </c>
      <c r="DHD116" s="77" t="str">
        <f t="shared" si="148"/>
        <v/>
      </c>
      <c r="DHE116" s="77" t="str">
        <f t="shared" si="148"/>
        <v/>
      </c>
      <c r="DHF116" s="77" t="str">
        <f t="shared" si="148"/>
        <v/>
      </c>
      <c r="DHG116" s="77" t="str">
        <f t="shared" ref="DHG116:DJR116" si="149">IF(ISNUMBER(outYear),DHG69+DHG75+DHG81+DHG113,"")</f>
        <v/>
      </c>
      <c r="DHH116" s="77" t="str">
        <f t="shared" si="149"/>
        <v/>
      </c>
      <c r="DHI116" s="77" t="str">
        <f t="shared" si="149"/>
        <v/>
      </c>
      <c r="DHJ116" s="77" t="str">
        <f t="shared" si="149"/>
        <v/>
      </c>
      <c r="DHK116" s="77" t="str">
        <f t="shared" si="149"/>
        <v/>
      </c>
      <c r="DHL116" s="77" t="str">
        <f t="shared" si="149"/>
        <v/>
      </c>
      <c r="DHM116" s="77" t="str">
        <f t="shared" si="149"/>
        <v/>
      </c>
      <c r="DHN116" s="77" t="str">
        <f t="shared" si="149"/>
        <v/>
      </c>
      <c r="DHO116" s="77" t="str">
        <f t="shared" si="149"/>
        <v/>
      </c>
      <c r="DHP116" s="77" t="str">
        <f t="shared" si="149"/>
        <v/>
      </c>
      <c r="DHQ116" s="77" t="str">
        <f t="shared" si="149"/>
        <v/>
      </c>
      <c r="DHR116" s="77" t="str">
        <f t="shared" si="149"/>
        <v/>
      </c>
      <c r="DHS116" s="77" t="str">
        <f t="shared" si="149"/>
        <v/>
      </c>
      <c r="DHT116" s="77" t="str">
        <f t="shared" si="149"/>
        <v/>
      </c>
      <c r="DHU116" s="77" t="str">
        <f t="shared" si="149"/>
        <v/>
      </c>
      <c r="DHV116" s="77" t="str">
        <f t="shared" si="149"/>
        <v/>
      </c>
      <c r="DHW116" s="77" t="str">
        <f t="shared" si="149"/>
        <v/>
      </c>
      <c r="DHX116" s="77" t="str">
        <f t="shared" si="149"/>
        <v/>
      </c>
      <c r="DHY116" s="77" t="str">
        <f t="shared" si="149"/>
        <v/>
      </c>
      <c r="DHZ116" s="77" t="str">
        <f t="shared" si="149"/>
        <v/>
      </c>
      <c r="DIA116" s="77" t="str">
        <f t="shared" si="149"/>
        <v/>
      </c>
      <c r="DIB116" s="77" t="str">
        <f t="shared" si="149"/>
        <v/>
      </c>
      <c r="DIC116" s="77" t="str">
        <f t="shared" si="149"/>
        <v/>
      </c>
      <c r="DID116" s="77" t="str">
        <f t="shared" si="149"/>
        <v/>
      </c>
      <c r="DIE116" s="77" t="str">
        <f t="shared" si="149"/>
        <v/>
      </c>
      <c r="DIF116" s="77" t="str">
        <f t="shared" si="149"/>
        <v/>
      </c>
      <c r="DIG116" s="77" t="str">
        <f t="shared" si="149"/>
        <v/>
      </c>
      <c r="DIH116" s="77" t="str">
        <f t="shared" si="149"/>
        <v/>
      </c>
      <c r="DII116" s="77" t="str">
        <f t="shared" si="149"/>
        <v/>
      </c>
      <c r="DIJ116" s="77" t="str">
        <f t="shared" si="149"/>
        <v/>
      </c>
      <c r="DIK116" s="77" t="str">
        <f t="shared" si="149"/>
        <v/>
      </c>
      <c r="DIL116" s="77" t="str">
        <f t="shared" si="149"/>
        <v/>
      </c>
      <c r="DIM116" s="77" t="str">
        <f t="shared" si="149"/>
        <v/>
      </c>
      <c r="DIN116" s="77" t="str">
        <f t="shared" si="149"/>
        <v/>
      </c>
      <c r="DIO116" s="77" t="str">
        <f t="shared" si="149"/>
        <v/>
      </c>
      <c r="DIP116" s="77" t="str">
        <f t="shared" si="149"/>
        <v/>
      </c>
      <c r="DIQ116" s="77" t="str">
        <f t="shared" si="149"/>
        <v/>
      </c>
      <c r="DIR116" s="77" t="str">
        <f t="shared" si="149"/>
        <v/>
      </c>
      <c r="DIS116" s="77" t="str">
        <f t="shared" si="149"/>
        <v/>
      </c>
      <c r="DIT116" s="77" t="str">
        <f t="shared" si="149"/>
        <v/>
      </c>
      <c r="DIU116" s="77" t="str">
        <f t="shared" si="149"/>
        <v/>
      </c>
      <c r="DIV116" s="77" t="str">
        <f t="shared" si="149"/>
        <v/>
      </c>
      <c r="DIW116" s="77" t="str">
        <f t="shared" si="149"/>
        <v/>
      </c>
      <c r="DIX116" s="77" t="str">
        <f t="shared" si="149"/>
        <v/>
      </c>
      <c r="DIY116" s="77" t="str">
        <f t="shared" si="149"/>
        <v/>
      </c>
      <c r="DIZ116" s="77" t="str">
        <f t="shared" si="149"/>
        <v/>
      </c>
      <c r="DJA116" s="77" t="str">
        <f t="shared" si="149"/>
        <v/>
      </c>
      <c r="DJB116" s="77" t="str">
        <f t="shared" si="149"/>
        <v/>
      </c>
      <c r="DJC116" s="77" t="str">
        <f t="shared" si="149"/>
        <v/>
      </c>
      <c r="DJD116" s="77" t="str">
        <f t="shared" si="149"/>
        <v/>
      </c>
      <c r="DJE116" s="77" t="str">
        <f t="shared" si="149"/>
        <v/>
      </c>
      <c r="DJF116" s="77" t="str">
        <f t="shared" si="149"/>
        <v/>
      </c>
      <c r="DJG116" s="77" t="str">
        <f t="shared" si="149"/>
        <v/>
      </c>
      <c r="DJH116" s="77" t="str">
        <f t="shared" si="149"/>
        <v/>
      </c>
      <c r="DJI116" s="77" t="str">
        <f t="shared" si="149"/>
        <v/>
      </c>
      <c r="DJJ116" s="77" t="str">
        <f t="shared" si="149"/>
        <v/>
      </c>
      <c r="DJK116" s="77" t="str">
        <f t="shared" si="149"/>
        <v/>
      </c>
      <c r="DJL116" s="77" t="str">
        <f t="shared" si="149"/>
        <v/>
      </c>
      <c r="DJM116" s="77" t="str">
        <f t="shared" si="149"/>
        <v/>
      </c>
      <c r="DJN116" s="77" t="str">
        <f t="shared" si="149"/>
        <v/>
      </c>
      <c r="DJO116" s="77" t="str">
        <f t="shared" si="149"/>
        <v/>
      </c>
      <c r="DJP116" s="77" t="str">
        <f t="shared" si="149"/>
        <v/>
      </c>
      <c r="DJQ116" s="77" t="str">
        <f t="shared" si="149"/>
        <v/>
      </c>
      <c r="DJR116" s="77" t="str">
        <f t="shared" si="149"/>
        <v/>
      </c>
      <c r="DJS116" s="77" t="str">
        <f t="shared" ref="DJS116:DMD116" si="150">IF(ISNUMBER(outYear),DJS69+DJS75+DJS81+DJS113,"")</f>
        <v/>
      </c>
      <c r="DJT116" s="77" t="str">
        <f t="shared" si="150"/>
        <v/>
      </c>
      <c r="DJU116" s="77" t="str">
        <f t="shared" si="150"/>
        <v/>
      </c>
      <c r="DJV116" s="77" t="str">
        <f t="shared" si="150"/>
        <v/>
      </c>
      <c r="DJW116" s="77" t="str">
        <f t="shared" si="150"/>
        <v/>
      </c>
      <c r="DJX116" s="77" t="str">
        <f t="shared" si="150"/>
        <v/>
      </c>
      <c r="DJY116" s="77" t="str">
        <f t="shared" si="150"/>
        <v/>
      </c>
      <c r="DJZ116" s="77" t="str">
        <f t="shared" si="150"/>
        <v/>
      </c>
      <c r="DKA116" s="77" t="str">
        <f t="shared" si="150"/>
        <v/>
      </c>
      <c r="DKB116" s="77" t="str">
        <f t="shared" si="150"/>
        <v/>
      </c>
      <c r="DKC116" s="77" t="str">
        <f t="shared" si="150"/>
        <v/>
      </c>
      <c r="DKD116" s="77" t="str">
        <f t="shared" si="150"/>
        <v/>
      </c>
      <c r="DKE116" s="77" t="str">
        <f t="shared" si="150"/>
        <v/>
      </c>
      <c r="DKF116" s="77" t="str">
        <f t="shared" si="150"/>
        <v/>
      </c>
      <c r="DKG116" s="77" t="str">
        <f t="shared" si="150"/>
        <v/>
      </c>
      <c r="DKH116" s="77" t="str">
        <f t="shared" si="150"/>
        <v/>
      </c>
      <c r="DKI116" s="77" t="str">
        <f t="shared" si="150"/>
        <v/>
      </c>
      <c r="DKJ116" s="77" t="str">
        <f t="shared" si="150"/>
        <v/>
      </c>
      <c r="DKK116" s="77" t="str">
        <f t="shared" si="150"/>
        <v/>
      </c>
      <c r="DKL116" s="77" t="str">
        <f t="shared" si="150"/>
        <v/>
      </c>
      <c r="DKM116" s="77" t="str">
        <f t="shared" si="150"/>
        <v/>
      </c>
      <c r="DKN116" s="77" t="str">
        <f t="shared" si="150"/>
        <v/>
      </c>
      <c r="DKO116" s="77" t="str">
        <f t="shared" si="150"/>
        <v/>
      </c>
      <c r="DKP116" s="77" t="str">
        <f t="shared" si="150"/>
        <v/>
      </c>
      <c r="DKQ116" s="77" t="str">
        <f t="shared" si="150"/>
        <v/>
      </c>
      <c r="DKR116" s="77" t="str">
        <f t="shared" si="150"/>
        <v/>
      </c>
      <c r="DKS116" s="77" t="str">
        <f t="shared" si="150"/>
        <v/>
      </c>
      <c r="DKT116" s="77" t="str">
        <f t="shared" si="150"/>
        <v/>
      </c>
      <c r="DKU116" s="77" t="str">
        <f t="shared" si="150"/>
        <v/>
      </c>
      <c r="DKV116" s="77" t="str">
        <f t="shared" si="150"/>
        <v/>
      </c>
      <c r="DKW116" s="77" t="str">
        <f t="shared" si="150"/>
        <v/>
      </c>
      <c r="DKX116" s="77" t="str">
        <f t="shared" si="150"/>
        <v/>
      </c>
      <c r="DKY116" s="77" t="str">
        <f t="shared" si="150"/>
        <v/>
      </c>
      <c r="DKZ116" s="77" t="str">
        <f t="shared" si="150"/>
        <v/>
      </c>
      <c r="DLA116" s="77" t="str">
        <f t="shared" si="150"/>
        <v/>
      </c>
      <c r="DLB116" s="77" t="str">
        <f t="shared" si="150"/>
        <v/>
      </c>
      <c r="DLC116" s="77" t="str">
        <f t="shared" si="150"/>
        <v/>
      </c>
      <c r="DLD116" s="77" t="str">
        <f t="shared" si="150"/>
        <v/>
      </c>
      <c r="DLE116" s="77" t="str">
        <f t="shared" si="150"/>
        <v/>
      </c>
      <c r="DLF116" s="77" t="str">
        <f t="shared" si="150"/>
        <v/>
      </c>
      <c r="DLG116" s="77" t="str">
        <f t="shared" si="150"/>
        <v/>
      </c>
      <c r="DLH116" s="77" t="str">
        <f t="shared" si="150"/>
        <v/>
      </c>
      <c r="DLI116" s="77" t="str">
        <f t="shared" si="150"/>
        <v/>
      </c>
      <c r="DLJ116" s="77" t="str">
        <f t="shared" si="150"/>
        <v/>
      </c>
      <c r="DLK116" s="77" t="str">
        <f t="shared" si="150"/>
        <v/>
      </c>
      <c r="DLL116" s="77" t="str">
        <f t="shared" si="150"/>
        <v/>
      </c>
      <c r="DLM116" s="77" t="str">
        <f t="shared" si="150"/>
        <v/>
      </c>
      <c r="DLN116" s="77" t="str">
        <f t="shared" si="150"/>
        <v/>
      </c>
      <c r="DLO116" s="77" t="str">
        <f t="shared" si="150"/>
        <v/>
      </c>
      <c r="DLP116" s="77" t="str">
        <f t="shared" si="150"/>
        <v/>
      </c>
      <c r="DLQ116" s="77" t="str">
        <f t="shared" si="150"/>
        <v/>
      </c>
      <c r="DLR116" s="77" t="str">
        <f t="shared" si="150"/>
        <v/>
      </c>
      <c r="DLS116" s="77" t="str">
        <f t="shared" si="150"/>
        <v/>
      </c>
      <c r="DLT116" s="77" t="str">
        <f t="shared" si="150"/>
        <v/>
      </c>
      <c r="DLU116" s="77" t="str">
        <f t="shared" si="150"/>
        <v/>
      </c>
      <c r="DLV116" s="77" t="str">
        <f t="shared" si="150"/>
        <v/>
      </c>
      <c r="DLW116" s="77" t="str">
        <f t="shared" si="150"/>
        <v/>
      </c>
      <c r="DLX116" s="77" t="str">
        <f t="shared" si="150"/>
        <v/>
      </c>
      <c r="DLY116" s="77" t="str">
        <f t="shared" si="150"/>
        <v/>
      </c>
      <c r="DLZ116" s="77" t="str">
        <f t="shared" si="150"/>
        <v/>
      </c>
      <c r="DMA116" s="77" t="str">
        <f t="shared" si="150"/>
        <v/>
      </c>
      <c r="DMB116" s="77" t="str">
        <f t="shared" si="150"/>
        <v/>
      </c>
      <c r="DMC116" s="77" t="str">
        <f t="shared" si="150"/>
        <v/>
      </c>
      <c r="DMD116" s="77" t="str">
        <f t="shared" si="150"/>
        <v/>
      </c>
      <c r="DME116" s="77" t="str">
        <f t="shared" ref="DME116:DOP116" si="151">IF(ISNUMBER(outYear),DME69+DME75+DME81+DME113,"")</f>
        <v/>
      </c>
      <c r="DMF116" s="77" t="str">
        <f t="shared" si="151"/>
        <v/>
      </c>
      <c r="DMG116" s="77" t="str">
        <f t="shared" si="151"/>
        <v/>
      </c>
      <c r="DMH116" s="77" t="str">
        <f t="shared" si="151"/>
        <v/>
      </c>
      <c r="DMI116" s="77" t="str">
        <f t="shared" si="151"/>
        <v/>
      </c>
      <c r="DMJ116" s="77" t="str">
        <f t="shared" si="151"/>
        <v/>
      </c>
      <c r="DMK116" s="77" t="str">
        <f t="shared" si="151"/>
        <v/>
      </c>
      <c r="DML116" s="77" t="str">
        <f t="shared" si="151"/>
        <v/>
      </c>
      <c r="DMM116" s="77" t="str">
        <f t="shared" si="151"/>
        <v/>
      </c>
      <c r="DMN116" s="77" t="str">
        <f t="shared" si="151"/>
        <v/>
      </c>
      <c r="DMO116" s="77" t="str">
        <f t="shared" si="151"/>
        <v/>
      </c>
      <c r="DMP116" s="77" t="str">
        <f t="shared" si="151"/>
        <v/>
      </c>
      <c r="DMQ116" s="77" t="str">
        <f t="shared" si="151"/>
        <v/>
      </c>
      <c r="DMR116" s="77" t="str">
        <f t="shared" si="151"/>
        <v/>
      </c>
      <c r="DMS116" s="77" t="str">
        <f t="shared" si="151"/>
        <v/>
      </c>
      <c r="DMT116" s="77" t="str">
        <f t="shared" si="151"/>
        <v/>
      </c>
      <c r="DMU116" s="77" t="str">
        <f t="shared" si="151"/>
        <v/>
      </c>
      <c r="DMV116" s="77" t="str">
        <f t="shared" si="151"/>
        <v/>
      </c>
      <c r="DMW116" s="77" t="str">
        <f t="shared" si="151"/>
        <v/>
      </c>
      <c r="DMX116" s="77" t="str">
        <f t="shared" si="151"/>
        <v/>
      </c>
      <c r="DMY116" s="77" t="str">
        <f t="shared" si="151"/>
        <v/>
      </c>
      <c r="DMZ116" s="77" t="str">
        <f t="shared" si="151"/>
        <v/>
      </c>
      <c r="DNA116" s="77" t="str">
        <f t="shared" si="151"/>
        <v/>
      </c>
      <c r="DNB116" s="77" t="str">
        <f t="shared" si="151"/>
        <v/>
      </c>
      <c r="DNC116" s="77" t="str">
        <f t="shared" si="151"/>
        <v/>
      </c>
      <c r="DND116" s="77" t="str">
        <f t="shared" si="151"/>
        <v/>
      </c>
      <c r="DNE116" s="77" t="str">
        <f t="shared" si="151"/>
        <v/>
      </c>
      <c r="DNF116" s="77" t="str">
        <f t="shared" si="151"/>
        <v/>
      </c>
      <c r="DNG116" s="77" t="str">
        <f t="shared" si="151"/>
        <v/>
      </c>
      <c r="DNH116" s="77" t="str">
        <f t="shared" si="151"/>
        <v/>
      </c>
      <c r="DNI116" s="77" t="str">
        <f t="shared" si="151"/>
        <v/>
      </c>
      <c r="DNJ116" s="77" t="str">
        <f t="shared" si="151"/>
        <v/>
      </c>
      <c r="DNK116" s="77" t="str">
        <f t="shared" si="151"/>
        <v/>
      </c>
      <c r="DNL116" s="77" t="str">
        <f t="shared" si="151"/>
        <v/>
      </c>
      <c r="DNM116" s="77" t="str">
        <f t="shared" si="151"/>
        <v/>
      </c>
      <c r="DNN116" s="77" t="str">
        <f t="shared" si="151"/>
        <v/>
      </c>
      <c r="DNO116" s="77" t="str">
        <f t="shared" si="151"/>
        <v/>
      </c>
      <c r="DNP116" s="77" t="str">
        <f t="shared" si="151"/>
        <v/>
      </c>
      <c r="DNQ116" s="77" t="str">
        <f t="shared" si="151"/>
        <v/>
      </c>
      <c r="DNR116" s="77" t="str">
        <f t="shared" si="151"/>
        <v/>
      </c>
      <c r="DNS116" s="77" t="str">
        <f t="shared" si="151"/>
        <v/>
      </c>
      <c r="DNT116" s="77" t="str">
        <f t="shared" si="151"/>
        <v/>
      </c>
      <c r="DNU116" s="77" t="str">
        <f t="shared" si="151"/>
        <v/>
      </c>
      <c r="DNV116" s="77" t="str">
        <f t="shared" si="151"/>
        <v/>
      </c>
      <c r="DNW116" s="77" t="str">
        <f t="shared" si="151"/>
        <v/>
      </c>
      <c r="DNX116" s="77" t="str">
        <f t="shared" si="151"/>
        <v/>
      </c>
      <c r="DNY116" s="77" t="str">
        <f t="shared" si="151"/>
        <v/>
      </c>
      <c r="DNZ116" s="77" t="str">
        <f t="shared" si="151"/>
        <v/>
      </c>
      <c r="DOA116" s="77" t="str">
        <f t="shared" si="151"/>
        <v/>
      </c>
      <c r="DOB116" s="77" t="str">
        <f t="shared" si="151"/>
        <v/>
      </c>
      <c r="DOC116" s="77" t="str">
        <f t="shared" si="151"/>
        <v/>
      </c>
      <c r="DOD116" s="77" t="str">
        <f t="shared" si="151"/>
        <v/>
      </c>
      <c r="DOE116" s="77" t="str">
        <f t="shared" si="151"/>
        <v/>
      </c>
      <c r="DOF116" s="77" t="str">
        <f t="shared" si="151"/>
        <v/>
      </c>
      <c r="DOG116" s="77" t="str">
        <f t="shared" si="151"/>
        <v/>
      </c>
      <c r="DOH116" s="77" t="str">
        <f t="shared" si="151"/>
        <v/>
      </c>
      <c r="DOI116" s="77" t="str">
        <f t="shared" si="151"/>
        <v/>
      </c>
      <c r="DOJ116" s="77" t="str">
        <f t="shared" si="151"/>
        <v/>
      </c>
      <c r="DOK116" s="77" t="str">
        <f t="shared" si="151"/>
        <v/>
      </c>
      <c r="DOL116" s="77" t="str">
        <f t="shared" si="151"/>
        <v/>
      </c>
      <c r="DOM116" s="77" t="str">
        <f t="shared" si="151"/>
        <v/>
      </c>
      <c r="DON116" s="77" t="str">
        <f t="shared" si="151"/>
        <v/>
      </c>
      <c r="DOO116" s="77" t="str">
        <f t="shared" si="151"/>
        <v/>
      </c>
      <c r="DOP116" s="77" t="str">
        <f t="shared" si="151"/>
        <v/>
      </c>
      <c r="DOQ116" s="77" t="str">
        <f t="shared" ref="DOQ116:DRB116" si="152">IF(ISNUMBER(outYear),DOQ69+DOQ75+DOQ81+DOQ113,"")</f>
        <v/>
      </c>
      <c r="DOR116" s="77" t="str">
        <f t="shared" si="152"/>
        <v/>
      </c>
      <c r="DOS116" s="77" t="str">
        <f t="shared" si="152"/>
        <v/>
      </c>
      <c r="DOT116" s="77" t="str">
        <f t="shared" si="152"/>
        <v/>
      </c>
      <c r="DOU116" s="77" t="str">
        <f t="shared" si="152"/>
        <v/>
      </c>
      <c r="DOV116" s="77" t="str">
        <f t="shared" si="152"/>
        <v/>
      </c>
      <c r="DOW116" s="77" t="str">
        <f t="shared" si="152"/>
        <v/>
      </c>
      <c r="DOX116" s="77" t="str">
        <f t="shared" si="152"/>
        <v/>
      </c>
      <c r="DOY116" s="77" t="str">
        <f t="shared" si="152"/>
        <v/>
      </c>
      <c r="DOZ116" s="77" t="str">
        <f t="shared" si="152"/>
        <v/>
      </c>
      <c r="DPA116" s="77" t="str">
        <f t="shared" si="152"/>
        <v/>
      </c>
      <c r="DPB116" s="77" t="str">
        <f t="shared" si="152"/>
        <v/>
      </c>
      <c r="DPC116" s="77" t="str">
        <f t="shared" si="152"/>
        <v/>
      </c>
      <c r="DPD116" s="77" t="str">
        <f t="shared" si="152"/>
        <v/>
      </c>
      <c r="DPE116" s="77" t="str">
        <f t="shared" si="152"/>
        <v/>
      </c>
      <c r="DPF116" s="77" t="str">
        <f t="shared" si="152"/>
        <v/>
      </c>
      <c r="DPG116" s="77" t="str">
        <f t="shared" si="152"/>
        <v/>
      </c>
      <c r="DPH116" s="77" t="str">
        <f t="shared" si="152"/>
        <v/>
      </c>
      <c r="DPI116" s="77" t="str">
        <f t="shared" si="152"/>
        <v/>
      </c>
      <c r="DPJ116" s="77" t="str">
        <f t="shared" si="152"/>
        <v/>
      </c>
      <c r="DPK116" s="77" t="str">
        <f t="shared" si="152"/>
        <v/>
      </c>
      <c r="DPL116" s="77" t="str">
        <f t="shared" si="152"/>
        <v/>
      </c>
      <c r="DPM116" s="77" t="str">
        <f t="shared" si="152"/>
        <v/>
      </c>
      <c r="DPN116" s="77" t="str">
        <f t="shared" si="152"/>
        <v/>
      </c>
      <c r="DPO116" s="77" t="str">
        <f t="shared" si="152"/>
        <v/>
      </c>
      <c r="DPP116" s="77" t="str">
        <f t="shared" si="152"/>
        <v/>
      </c>
      <c r="DPQ116" s="77" t="str">
        <f t="shared" si="152"/>
        <v/>
      </c>
      <c r="DPR116" s="77" t="str">
        <f t="shared" si="152"/>
        <v/>
      </c>
      <c r="DPS116" s="77" t="str">
        <f t="shared" si="152"/>
        <v/>
      </c>
      <c r="DPT116" s="77" t="str">
        <f t="shared" si="152"/>
        <v/>
      </c>
      <c r="DPU116" s="77" t="str">
        <f t="shared" si="152"/>
        <v/>
      </c>
      <c r="DPV116" s="77" t="str">
        <f t="shared" si="152"/>
        <v/>
      </c>
      <c r="DPW116" s="77" t="str">
        <f t="shared" si="152"/>
        <v/>
      </c>
      <c r="DPX116" s="77" t="str">
        <f t="shared" si="152"/>
        <v/>
      </c>
      <c r="DPY116" s="77" t="str">
        <f t="shared" si="152"/>
        <v/>
      </c>
      <c r="DPZ116" s="77" t="str">
        <f t="shared" si="152"/>
        <v/>
      </c>
      <c r="DQA116" s="77" t="str">
        <f t="shared" si="152"/>
        <v/>
      </c>
      <c r="DQB116" s="77" t="str">
        <f t="shared" si="152"/>
        <v/>
      </c>
      <c r="DQC116" s="77" t="str">
        <f t="shared" si="152"/>
        <v/>
      </c>
      <c r="DQD116" s="77" t="str">
        <f t="shared" si="152"/>
        <v/>
      </c>
      <c r="DQE116" s="77" t="str">
        <f t="shared" si="152"/>
        <v/>
      </c>
      <c r="DQF116" s="77" t="str">
        <f t="shared" si="152"/>
        <v/>
      </c>
      <c r="DQG116" s="77" t="str">
        <f t="shared" si="152"/>
        <v/>
      </c>
      <c r="DQH116" s="77" t="str">
        <f t="shared" si="152"/>
        <v/>
      </c>
      <c r="DQI116" s="77" t="str">
        <f t="shared" si="152"/>
        <v/>
      </c>
      <c r="DQJ116" s="77" t="str">
        <f t="shared" si="152"/>
        <v/>
      </c>
      <c r="DQK116" s="77" t="str">
        <f t="shared" si="152"/>
        <v/>
      </c>
      <c r="DQL116" s="77" t="str">
        <f t="shared" si="152"/>
        <v/>
      </c>
      <c r="DQM116" s="77" t="str">
        <f t="shared" si="152"/>
        <v/>
      </c>
      <c r="DQN116" s="77" t="str">
        <f t="shared" si="152"/>
        <v/>
      </c>
      <c r="DQO116" s="77" t="str">
        <f t="shared" si="152"/>
        <v/>
      </c>
      <c r="DQP116" s="77" t="str">
        <f t="shared" si="152"/>
        <v/>
      </c>
      <c r="DQQ116" s="77" t="str">
        <f t="shared" si="152"/>
        <v/>
      </c>
      <c r="DQR116" s="77" t="str">
        <f t="shared" si="152"/>
        <v/>
      </c>
      <c r="DQS116" s="77" t="str">
        <f t="shared" si="152"/>
        <v/>
      </c>
      <c r="DQT116" s="77" t="str">
        <f t="shared" si="152"/>
        <v/>
      </c>
      <c r="DQU116" s="77" t="str">
        <f t="shared" si="152"/>
        <v/>
      </c>
      <c r="DQV116" s="77" t="str">
        <f t="shared" si="152"/>
        <v/>
      </c>
      <c r="DQW116" s="77" t="str">
        <f t="shared" si="152"/>
        <v/>
      </c>
      <c r="DQX116" s="77" t="str">
        <f t="shared" si="152"/>
        <v/>
      </c>
      <c r="DQY116" s="77" t="str">
        <f t="shared" si="152"/>
        <v/>
      </c>
      <c r="DQZ116" s="77" t="str">
        <f t="shared" si="152"/>
        <v/>
      </c>
      <c r="DRA116" s="77" t="str">
        <f t="shared" si="152"/>
        <v/>
      </c>
      <c r="DRB116" s="77" t="str">
        <f t="shared" si="152"/>
        <v/>
      </c>
      <c r="DRC116" s="77" t="str">
        <f t="shared" ref="DRC116:DTN116" si="153">IF(ISNUMBER(outYear),DRC69+DRC75+DRC81+DRC113,"")</f>
        <v/>
      </c>
      <c r="DRD116" s="77" t="str">
        <f t="shared" si="153"/>
        <v/>
      </c>
      <c r="DRE116" s="77" t="str">
        <f t="shared" si="153"/>
        <v/>
      </c>
      <c r="DRF116" s="77" t="str">
        <f t="shared" si="153"/>
        <v/>
      </c>
      <c r="DRG116" s="77" t="str">
        <f t="shared" si="153"/>
        <v/>
      </c>
      <c r="DRH116" s="77" t="str">
        <f t="shared" si="153"/>
        <v/>
      </c>
      <c r="DRI116" s="77" t="str">
        <f t="shared" si="153"/>
        <v/>
      </c>
      <c r="DRJ116" s="77" t="str">
        <f t="shared" si="153"/>
        <v/>
      </c>
      <c r="DRK116" s="77" t="str">
        <f t="shared" si="153"/>
        <v/>
      </c>
      <c r="DRL116" s="77" t="str">
        <f t="shared" si="153"/>
        <v/>
      </c>
      <c r="DRM116" s="77" t="str">
        <f t="shared" si="153"/>
        <v/>
      </c>
      <c r="DRN116" s="77" t="str">
        <f t="shared" si="153"/>
        <v/>
      </c>
      <c r="DRO116" s="77" t="str">
        <f t="shared" si="153"/>
        <v/>
      </c>
      <c r="DRP116" s="77" t="str">
        <f t="shared" si="153"/>
        <v/>
      </c>
      <c r="DRQ116" s="77" t="str">
        <f t="shared" si="153"/>
        <v/>
      </c>
      <c r="DRR116" s="77" t="str">
        <f t="shared" si="153"/>
        <v/>
      </c>
      <c r="DRS116" s="77" t="str">
        <f t="shared" si="153"/>
        <v/>
      </c>
      <c r="DRT116" s="77" t="str">
        <f t="shared" si="153"/>
        <v/>
      </c>
      <c r="DRU116" s="77" t="str">
        <f t="shared" si="153"/>
        <v/>
      </c>
      <c r="DRV116" s="77" t="str">
        <f t="shared" si="153"/>
        <v/>
      </c>
      <c r="DRW116" s="77" t="str">
        <f t="shared" si="153"/>
        <v/>
      </c>
      <c r="DRX116" s="77" t="str">
        <f t="shared" si="153"/>
        <v/>
      </c>
      <c r="DRY116" s="77" t="str">
        <f t="shared" si="153"/>
        <v/>
      </c>
      <c r="DRZ116" s="77" t="str">
        <f t="shared" si="153"/>
        <v/>
      </c>
      <c r="DSA116" s="77" t="str">
        <f t="shared" si="153"/>
        <v/>
      </c>
      <c r="DSB116" s="77" t="str">
        <f t="shared" si="153"/>
        <v/>
      </c>
      <c r="DSC116" s="77" t="str">
        <f t="shared" si="153"/>
        <v/>
      </c>
      <c r="DSD116" s="77" t="str">
        <f t="shared" si="153"/>
        <v/>
      </c>
      <c r="DSE116" s="77" t="str">
        <f t="shared" si="153"/>
        <v/>
      </c>
      <c r="DSF116" s="77" t="str">
        <f t="shared" si="153"/>
        <v/>
      </c>
      <c r="DSG116" s="77" t="str">
        <f t="shared" si="153"/>
        <v/>
      </c>
      <c r="DSH116" s="77" t="str">
        <f t="shared" si="153"/>
        <v/>
      </c>
      <c r="DSI116" s="77" t="str">
        <f t="shared" si="153"/>
        <v/>
      </c>
      <c r="DSJ116" s="77" t="str">
        <f t="shared" si="153"/>
        <v/>
      </c>
      <c r="DSK116" s="77" t="str">
        <f t="shared" si="153"/>
        <v/>
      </c>
      <c r="DSL116" s="77" t="str">
        <f t="shared" si="153"/>
        <v/>
      </c>
      <c r="DSM116" s="77" t="str">
        <f t="shared" si="153"/>
        <v/>
      </c>
      <c r="DSN116" s="77" t="str">
        <f t="shared" si="153"/>
        <v/>
      </c>
      <c r="DSO116" s="77" t="str">
        <f t="shared" si="153"/>
        <v/>
      </c>
      <c r="DSP116" s="77" t="str">
        <f t="shared" si="153"/>
        <v/>
      </c>
      <c r="DSQ116" s="77" t="str">
        <f t="shared" si="153"/>
        <v/>
      </c>
      <c r="DSR116" s="77" t="str">
        <f t="shared" si="153"/>
        <v/>
      </c>
      <c r="DSS116" s="77" t="str">
        <f t="shared" si="153"/>
        <v/>
      </c>
      <c r="DST116" s="77" t="str">
        <f t="shared" si="153"/>
        <v/>
      </c>
      <c r="DSU116" s="77" t="str">
        <f t="shared" si="153"/>
        <v/>
      </c>
      <c r="DSV116" s="77" t="str">
        <f t="shared" si="153"/>
        <v/>
      </c>
      <c r="DSW116" s="77" t="str">
        <f t="shared" si="153"/>
        <v/>
      </c>
      <c r="DSX116" s="77" t="str">
        <f t="shared" si="153"/>
        <v/>
      </c>
      <c r="DSY116" s="77" t="str">
        <f t="shared" si="153"/>
        <v/>
      </c>
      <c r="DSZ116" s="77" t="str">
        <f t="shared" si="153"/>
        <v/>
      </c>
      <c r="DTA116" s="77" t="str">
        <f t="shared" si="153"/>
        <v/>
      </c>
      <c r="DTB116" s="77" t="str">
        <f t="shared" si="153"/>
        <v/>
      </c>
      <c r="DTC116" s="77" t="str">
        <f t="shared" si="153"/>
        <v/>
      </c>
      <c r="DTD116" s="77" t="str">
        <f t="shared" si="153"/>
        <v/>
      </c>
      <c r="DTE116" s="77" t="str">
        <f t="shared" si="153"/>
        <v/>
      </c>
      <c r="DTF116" s="77" t="str">
        <f t="shared" si="153"/>
        <v/>
      </c>
      <c r="DTG116" s="77" t="str">
        <f t="shared" si="153"/>
        <v/>
      </c>
      <c r="DTH116" s="77" t="str">
        <f t="shared" si="153"/>
        <v/>
      </c>
      <c r="DTI116" s="77" t="str">
        <f t="shared" si="153"/>
        <v/>
      </c>
      <c r="DTJ116" s="77" t="str">
        <f t="shared" si="153"/>
        <v/>
      </c>
      <c r="DTK116" s="77" t="str">
        <f t="shared" si="153"/>
        <v/>
      </c>
      <c r="DTL116" s="77" t="str">
        <f t="shared" si="153"/>
        <v/>
      </c>
      <c r="DTM116" s="77" t="str">
        <f t="shared" si="153"/>
        <v/>
      </c>
      <c r="DTN116" s="77" t="str">
        <f t="shared" si="153"/>
        <v/>
      </c>
      <c r="DTO116" s="77" t="str">
        <f t="shared" ref="DTO116:DVZ116" si="154">IF(ISNUMBER(outYear),DTO69+DTO75+DTO81+DTO113,"")</f>
        <v/>
      </c>
      <c r="DTP116" s="77" t="str">
        <f t="shared" si="154"/>
        <v/>
      </c>
      <c r="DTQ116" s="77" t="str">
        <f t="shared" si="154"/>
        <v/>
      </c>
      <c r="DTR116" s="77" t="str">
        <f t="shared" si="154"/>
        <v/>
      </c>
      <c r="DTS116" s="77" t="str">
        <f t="shared" si="154"/>
        <v/>
      </c>
      <c r="DTT116" s="77" t="str">
        <f t="shared" si="154"/>
        <v/>
      </c>
      <c r="DTU116" s="77" t="str">
        <f t="shared" si="154"/>
        <v/>
      </c>
      <c r="DTV116" s="77" t="str">
        <f t="shared" si="154"/>
        <v/>
      </c>
      <c r="DTW116" s="77" t="str">
        <f t="shared" si="154"/>
        <v/>
      </c>
      <c r="DTX116" s="77" t="str">
        <f t="shared" si="154"/>
        <v/>
      </c>
      <c r="DTY116" s="77" t="str">
        <f t="shared" si="154"/>
        <v/>
      </c>
      <c r="DTZ116" s="77" t="str">
        <f t="shared" si="154"/>
        <v/>
      </c>
      <c r="DUA116" s="77" t="str">
        <f t="shared" si="154"/>
        <v/>
      </c>
      <c r="DUB116" s="77" t="str">
        <f t="shared" si="154"/>
        <v/>
      </c>
      <c r="DUC116" s="77" t="str">
        <f t="shared" si="154"/>
        <v/>
      </c>
      <c r="DUD116" s="77" t="str">
        <f t="shared" si="154"/>
        <v/>
      </c>
      <c r="DUE116" s="77" t="str">
        <f t="shared" si="154"/>
        <v/>
      </c>
      <c r="DUF116" s="77" t="str">
        <f t="shared" si="154"/>
        <v/>
      </c>
      <c r="DUG116" s="77" t="str">
        <f t="shared" si="154"/>
        <v/>
      </c>
      <c r="DUH116" s="77" t="str">
        <f t="shared" si="154"/>
        <v/>
      </c>
      <c r="DUI116" s="77" t="str">
        <f t="shared" si="154"/>
        <v/>
      </c>
      <c r="DUJ116" s="77" t="str">
        <f t="shared" si="154"/>
        <v/>
      </c>
      <c r="DUK116" s="77" t="str">
        <f t="shared" si="154"/>
        <v/>
      </c>
      <c r="DUL116" s="77" t="str">
        <f t="shared" si="154"/>
        <v/>
      </c>
      <c r="DUM116" s="77" t="str">
        <f t="shared" si="154"/>
        <v/>
      </c>
      <c r="DUN116" s="77" t="str">
        <f t="shared" si="154"/>
        <v/>
      </c>
      <c r="DUO116" s="77" t="str">
        <f t="shared" si="154"/>
        <v/>
      </c>
      <c r="DUP116" s="77" t="str">
        <f t="shared" si="154"/>
        <v/>
      </c>
      <c r="DUQ116" s="77" t="str">
        <f t="shared" si="154"/>
        <v/>
      </c>
      <c r="DUR116" s="77" t="str">
        <f t="shared" si="154"/>
        <v/>
      </c>
      <c r="DUS116" s="77" t="str">
        <f t="shared" si="154"/>
        <v/>
      </c>
      <c r="DUT116" s="77" t="str">
        <f t="shared" si="154"/>
        <v/>
      </c>
      <c r="DUU116" s="77" t="str">
        <f t="shared" si="154"/>
        <v/>
      </c>
      <c r="DUV116" s="77" t="str">
        <f t="shared" si="154"/>
        <v/>
      </c>
      <c r="DUW116" s="77" t="str">
        <f t="shared" si="154"/>
        <v/>
      </c>
      <c r="DUX116" s="77" t="str">
        <f t="shared" si="154"/>
        <v/>
      </c>
      <c r="DUY116" s="77" t="str">
        <f t="shared" si="154"/>
        <v/>
      </c>
      <c r="DUZ116" s="77" t="str">
        <f t="shared" si="154"/>
        <v/>
      </c>
      <c r="DVA116" s="77" t="str">
        <f t="shared" si="154"/>
        <v/>
      </c>
      <c r="DVB116" s="77" t="str">
        <f t="shared" si="154"/>
        <v/>
      </c>
      <c r="DVC116" s="77" t="str">
        <f t="shared" si="154"/>
        <v/>
      </c>
      <c r="DVD116" s="77" t="str">
        <f t="shared" si="154"/>
        <v/>
      </c>
      <c r="DVE116" s="77" t="str">
        <f t="shared" si="154"/>
        <v/>
      </c>
      <c r="DVF116" s="77" t="str">
        <f t="shared" si="154"/>
        <v/>
      </c>
      <c r="DVG116" s="77" t="str">
        <f t="shared" si="154"/>
        <v/>
      </c>
      <c r="DVH116" s="77" t="str">
        <f t="shared" si="154"/>
        <v/>
      </c>
      <c r="DVI116" s="77" t="str">
        <f t="shared" si="154"/>
        <v/>
      </c>
      <c r="DVJ116" s="77" t="str">
        <f t="shared" si="154"/>
        <v/>
      </c>
      <c r="DVK116" s="77" t="str">
        <f t="shared" si="154"/>
        <v/>
      </c>
      <c r="DVL116" s="77" t="str">
        <f t="shared" si="154"/>
        <v/>
      </c>
      <c r="DVM116" s="77" t="str">
        <f t="shared" si="154"/>
        <v/>
      </c>
      <c r="DVN116" s="77" t="str">
        <f t="shared" si="154"/>
        <v/>
      </c>
      <c r="DVO116" s="77" t="str">
        <f t="shared" si="154"/>
        <v/>
      </c>
      <c r="DVP116" s="77" t="str">
        <f t="shared" si="154"/>
        <v/>
      </c>
      <c r="DVQ116" s="77" t="str">
        <f t="shared" si="154"/>
        <v/>
      </c>
      <c r="DVR116" s="77" t="str">
        <f t="shared" si="154"/>
        <v/>
      </c>
      <c r="DVS116" s="77" t="str">
        <f t="shared" si="154"/>
        <v/>
      </c>
      <c r="DVT116" s="77" t="str">
        <f t="shared" si="154"/>
        <v/>
      </c>
      <c r="DVU116" s="77" t="str">
        <f t="shared" si="154"/>
        <v/>
      </c>
      <c r="DVV116" s="77" t="str">
        <f t="shared" si="154"/>
        <v/>
      </c>
      <c r="DVW116" s="77" t="str">
        <f t="shared" si="154"/>
        <v/>
      </c>
      <c r="DVX116" s="77" t="str">
        <f t="shared" si="154"/>
        <v/>
      </c>
      <c r="DVY116" s="77" t="str">
        <f t="shared" si="154"/>
        <v/>
      </c>
      <c r="DVZ116" s="77" t="str">
        <f t="shared" si="154"/>
        <v/>
      </c>
      <c r="DWA116" s="77" t="str">
        <f t="shared" ref="DWA116:DYL116" si="155">IF(ISNUMBER(outYear),DWA69+DWA75+DWA81+DWA113,"")</f>
        <v/>
      </c>
      <c r="DWB116" s="77" t="str">
        <f t="shared" si="155"/>
        <v/>
      </c>
      <c r="DWC116" s="77" t="str">
        <f t="shared" si="155"/>
        <v/>
      </c>
      <c r="DWD116" s="77" t="str">
        <f t="shared" si="155"/>
        <v/>
      </c>
      <c r="DWE116" s="77" t="str">
        <f t="shared" si="155"/>
        <v/>
      </c>
      <c r="DWF116" s="77" t="str">
        <f t="shared" si="155"/>
        <v/>
      </c>
      <c r="DWG116" s="77" t="str">
        <f t="shared" si="155"/>
        <v/>
      </c>
      <c r="DWH116" s="77" t="str">
        <f t="shared" si="155"/>
        <v/>
      </c>
      <c r="DWI116" s="77" t="str">
        <f t="shared" si="155"/>
        <v/>
      </c>
      <c r="DWJ116" s="77" t="str">
        <f t="shared" si="155"/>
        <v/>
      </c>
      <c r="DWK116" s="77" t="str">
        <f t="shared" si="155"/>
        <v/>
      </c>
      <c r="DWL116" s="77" t="str">
        <f t="shared" si="155"/>
        <v/>
      </c>
      <c r="DWM116" s="77" t="str">
        <f t="shared" si="155"/>
        <v/>
      </c>
      <c r="DWN116" s="77" t="str">
        <f t="shared" si="155"/>
        <v/>
      </c>
      <c r="DWO116" s="77" t="str">
        <f t="shared" si="155"/>
        <v/>
      </c>
      <c r="DWP116" s="77" t="str">
        <f t="shared" si="155"/>
        <v/>
      </c>
      <c r="DWQ116" s="77" t="str">
        <f t="shared" si="155"/>
        <v/>
      </c>
      <c r="DWR116" s="77" t="str">
        <f t="shared" si="155"/>
        <v/>
      </c>
      <c r="DWS116" s="77" t="str">
        <f t="shared" si="155"/>
        <v/>
      </c>
      <c r="DWT116" s="77" t="str">
        <f t="shared" si="155"/>
        <v/>
      </c>
      <c r="DWU116" s="77" t="str">
        <f t="shared" si="155"/>
        <v/>
      </c>
      <c r="DWV116" s="77" t="str">
        <f t="shared" si="155"/>
        <v/>
      </c>
      <c r="DWW116" s="77" t="str">
        <f t="shared" si="155"/>
        <v/>
      </c>
      <c r="DWX116" s="77" t="str">
        <f t="shared" si="155"/>
        <v/>
      </c>
      <c r="DWY116" s="77" t="str">
        <f t="shared" si="155"/>
        <v/>
      </c>
      <c r="DWZ116" s="77" t="str">
        <f t="shared" si="155"/>
        <v/>
      </c>
      <c r="DXA116" s="77" t="str">
        <f t="shared" si="155"/>
        <v/>
      </c>
      <c r="DXB116" s="77" t="str">
        <f t="shared" si="155"/>
        <v/>
      </c>
      <c r="DXC116" s="77" t="str">
        <f t="shared" si="155"/>
        <v/>
      </c>
      <c r="DXD116" s="77" t="str">
        <f t="shared" si="155"/>
        <v/>
      </c>
      <c r="DXE116" s="77" t="str">
        <f t="shared" si="155"/>
        <v/>
      </c>
      <c r="DXF116" s="77" t="str">
        <f t="shared" si="155"/>
        <v/>
      </c>
      <c r="DXG116" s="77" t="str">
        <f t="shared" si="155"/>
        <v/>
      </c>
      <c r="DXH116" s="77" t="str">
        <f t="shared" si="155"/>
        <v/>
      </c>
      <c r="DXI116" s="77" t="str">
        <f t="shared" si="155"/>
        <v/>
      </c>
      <c r="DXJ116" s="77" t="str">
        <f t="shared" si="155"/>
        <v/>
      </c>
      <c r="DXK116" s="77" t="str">
        <f t="shared" si="155"/>
        <v/>
      </c>
      <c r="DXL116" s="77" t="str">
        <f t="shared" si="155"/>
        <v/>
      </c>
      <c r="DXM116" s="77" t="str">
        <f t="shared" si="155"/>
        <v/>
      </c>
      <c r="DXN116" s="77" t="str">
        <f t="shared" si="155"/>
        <v/>
      </c>
      <c r="DXO116" s="77" t="str">
        <f t="shared" si="155"/>
        <v/>
      </c>
      <c r="DXP116" s="77" t="str">
        <f t="shared" si="155"/>
        <v/>
      </c>
      <c r="DXQ116" s="77" t="str">
        <f t="shared" si="155"/>
        <v/>
      </c>
      <c r="DXR116" s="77" t="str">
        <f t="shared" si="155"/>
        <v/>
      </c>
      <c r="DXS116" s="77" t="str">
        <f t="shared" si="155"/>
        <v/>
      </c>
      <c r="DXT116" s="77" t="str">
        <f t="shared" si="155"/>
        <v/>
      </c>
      <c r="DXU116" s="77" t="str">
        <f t="shared" si="155"/>
        <v/>
      </c>
      <c r="DXV116" s="77" t="str">
        <f t="shared" si="155"/>
        <v/>
      </c>
      <c r="DXW116" s="77" t="str">
        <f t="shared" si="155"/>
        <v/>
      </c>
      <c r="DXX116" s="77" t="str">
        <f t="shared" si="155"/>
        <v/>
      </c>
      <c r="DXY116" s="77" t="str">
        <f t="shared" si="155"/>
        <v/>
      </c>
      <c r="DXZ116" s="77" t="str">
        <f t="shared" si="155"/>
        <v/>
      </c>
      <c r="DYA116" s="77" t="str">
        <f t="shared" si="155"/>
        <v/>
      </c>
      <c r="DYB116" s="77" t="str">
        <f t="shared" si="155"/>
        <v/>
      </c>
      <c r="DYC116" s="77" t="str">
        <f t="shared" si="155"/>
        <v/>
      </c>
      <c r="DYD116" s="77" t="str">
        <f t="shared" si="155"/>
        <v/>
      </c>
      <c r="DYE116" s="77" t="str">
        <f t="shared" si="155"/>
        <v/>
      </c>
      <c r="DYF116" s="77" t="str">
        <f t="shared" si="155"/>
        <v/>
      </c>
      <c r="DYG116" s="77" t="str">
        <f t="shared" si="155"/>
        <v/>
      </c>
      <c r="DYH116" s="77" t="str">
        <f t="shared" si="155"/>
        <v/>
      </c>
      <c r="DYI116" s="77" t="str">
        <f t="shared" si="155"/>
        <v/>
      </c>
      <c r="DYJ116" s="77" t="str">
        <f t="shared" si="155"/>
        <v/>
      </c>
      <c r="DYK116" s="77" t="str">
        <f t="shared" si="155"/>
        <v/>
      </c>
      <c r="DYL116" s="77" t="str">
        <f t="shared" si="155"/>
        <v/>
      </c>
      <c r="DYM116" s="77" t="str">
        <f t="shared" ref="DYM116:EAX116" si="156">IF(ISNUMBER(outYear),DYM69+DYM75+DYM81+DYM113,"")</f>
        <v/>
      </c>
      <c r="DYN116" s="77" t="str">
        <f t="shared" si="156"/>
        <v/>
      </c>
      <c r="DYO116" s="77" t="str">
        <f t="shared" si="156"/>
        <v/>
      </c>
      <c r="DYP116" s="77" t="str">
        <f t="shared" si="156"/>
        <v/>
      </c>
      <c r="DYQ116" s="77" t="str">
        <f t="shared" si="156"/>
        <v/>
      </c>
      <c r="DYR116" s="77" t="str">
        <f t="shared" si="156"/>
        <v/>
      </c>
      <c r="DYS116" s="77" t="str">
        <f t="shared" si="156"/>
        <v/>
      </c>
      <c r="DYT116" s="77" t="str">
        <f t="shared" si="156"/>
        <v/>
      </c>
      <c r="DYU116" s="77" t="str">
        <f t="shared" si="156"/>
        <v/>
      </c>
      <c r="DYV116" s="77" t="str">
        <f t="shared" si="156"/>
        <v/>
      </c>
      <c r="DYW116" s="77" t="str">
        <f t="shared" si="156"/>
        <v/>
      </c>
      <c r="DYX116" s="77" t="str">
        <f t="shared" si="156"/>
        <v/>
      </c>
      <c r="DYY116" s="77" t="str">
        <f t="shared" si="156"/>
        <v/>
      </c>
      <c r="DYZ116" s="77" t="str">
        <f t="shared" si="156"/>
        <v/>
      </c>
      <c r="DZA116" s="77" t="str">
        <f t="shared" si="156"/>
        <v/>
      </c>
      <c r="DZB116" s="77" t="str">
        <f t="shared" si="156"/>
        <v/>
      </c>
      <c r="DZC116" s="77" t="str">
        <f t="shared" si="156"/>
        <v/>
      </c>
      <c r="DZD116" s="77" t="str">
        <f t="shared" si="156"/>
        <v/>
      </c>
      <c r="DZE116" s="77" t="str">
        <f t="shared" si="156"/>
        <v/>
      </c>
      <c r="DZF116" s="77" t="str">
        <f t="shared" si="156"/>
        <v/>
      </c>
      <c r="DZG116" s="77" t="str">
        <f t="shared" si="156"/>
        <v/>
      </c>
      <c r="DZH116" s="77" t="str">
        <f t="shared" si="156"/>
        <v/>
      </c>
      <c r="DZI116" s="77" t="str">
        <f t="shared" si="156"/>
        <v/>
      </c>
      <c r="DZJ116" s="77" t="str">
        <f t="shared" si="156"/>
        <v/>
      </c>
      <c r="DZK116" s="77" t="str">
        <f t="shared" si="156"/>
        <v/>
      </c>
      <c r="DZL116" s="77" t="str">
        <f t="shared" si="156"/>
        <v/>
      </c>
      <c r="DZM116" s="77" t="str">
        <f t="shared" si="156"/>
        <v/>
      </c>
      <c r="DZN116" s="77" t="str">
        <f t="shared" si="156"/>
        <v/>
      </c>
      <c r="DZO116" s="77" t="str">
        <f t="shared" si="156"/>
        <v/>
      </c>
      <c r="DZP116" s="77" t="str">
        <f t="shared" si="156"/>
        <v/>
      </c>
      <c r="DZQ116" s="77" t="str">
        <f t="shared" si="156"/>
        <v/>
      </c>
      <c r="DZR116" s="77" t="str">
        <f t="shared" si="156"/>
        <v/>
      </c>
      <c r="DZS116" s="77" t="str">
        <f t="shared" si="156"/>
        <v/>
      </c>
      <c r="DZT116" s="77" t="str">
        <f t="shared" si="156"/>
        <v/>
      </c>
      <c r="DZU116" s="77" t="str">
        <f t="shared" si="156"/>
        <v/>
      </c>
      <c r="DZV116" s="77" t="str">
        <f t="shared" si="156"/>
        <v/>
      </c>
      <c r="DZW116" s="77" t="str">
        <f t="shared" si="156"/>
        <v/>
      </c>
      <c r="DZX116" s="77" t="str">
        <f t="shared" si="156"/>
        <v/>
      </c>
      <c r="DZY116" s="77" t="str">
        <f t="shared" si="156"/>
        <v/>
      </c>
      <c r="DZZ116" s="77" t="str">
        <f t="shared" si="156"/>
        <v/>
      </c>
      <c r="EAA116" s="77" t="str">
        <f t="shared" si="156"/>
        <v/>
      </c>
      <c r="EAB116" s="77" t="str">
        <f t="shared" si="156"/>
        <v/>
      </c>
      <c r="EAC116" s="77" t="str">
        <f t="shared" si="156"/>
        <v/>
      </c>
      <c r="EAD116" s="77" t="str">
        <f t="shared" si="156"/>
        <v/>
      </c>
      <c r="EAE116" s="77" t="str">
        <f t="shared" si="156"/>
        <v/>
      </c>
      <c r="EAF116" s="77" t="str">
        <f t="shared" si="156"/>
        <v/>
      </c>
      <c r="EAG116" s="77" t="str">
        <f t="shared" si="156"/>
        <v/>
      </c>
      <c r="EAH116" s="77" t="str">
        <f t="shared" si="156"/>
        <v/>
      </c>
      <c r="EAI116" s="77" t="str">
        <f t="shared" si="156"/>
        <v/>
      </c>
      <c r="EAJ116" s="77" t="str">
        <f t="shared" si="156"/>
        <v/>
      </c>
      <c r="EAK116" s="77" t="str">
        <f t="shared" si="156"/>
        <v/>
      </c>
      <c r="EAL116" s="77" t="str">
        <f t="shared" si="156"/>
        <v/>
      </c>
      <c r="EAM116" s="77" t="str">
        <f t="shared" si="156"/>
        <v/>
      </c>
      <c r="EAN116" s="77" t="str">
        <f t="shared" si="156"/>
        <v/>
      </c>
      <c r="EAO116" s="77" t="str">
        <f t="shared" si="156"/>
        <v/>
      </c>
      <c r="EAP116" s="77" t="str">
        <f t="shared" si="156"/>
        <v/>
      </c>
      <c r="EAQ116" s="77" t="str">
        <f t="shared" si="156"/>
        <v/>
      </c>
      <c r="EAR116" s="77" t="str">
        <f t="shared" si="156"/>
        <v/>
      </c>
      <c r="EAS116" s="77" t="str">
        <f t="shared" si="156"/>
        <v/>
      </c>
      <c r="EAT116" s="77" t="str">
        <f t="shared" si="156"/>
        <v/>
      </c>
      <c r="EAU116" s="77" t="str">
        <f t="shared" si="156"/>
        <v/>
      </c>
      <c r="EAV116" s="77" t="str">
        <f t="shared" si="156"/>
        <v/>
      </c>
      <c r="EAW116" s="77" t="str">
        <f t="shared" si="156"/>
        <v/>
      </c>
      <c r="EAX116" s="77" t="str">
        <f t="shared" si="156"/>
        <v/>
      </c>
      <c r="EAY116" s="77" t="str">
        <f t="shared" ref="EAY116:EDJ116" si="157">IF(ISNUMBER(outYear),EAY69+EAY75+EAY81+EAY113,"")</f>
        <v/>
      </c>
      <c r="EAZ116" s="77" t="str">
        <f t="shared" si="157"/>
        <v/>
      </c>
      <c r="EBA116" s="77" t="str">
        <f t="shared" si="157"/>
        <v/>
      </c>
      <c r="EBB116" s="77" t="str">
        <f t="shared" si="157"/>
        <v/>
      </c>
      <c r="EBC116" s="77" t="str">
        <f t="shared" si="157"/>
        <v/>
      </c>
      <c r="EBD116" s="77" t="str">
        <f t="shared" si="157"/>
        <v/>
      </c>
      <c r="EBE116" s="77" t="str">
        <f t="shared" si="157"/>
        <v/>
      </c>
      <c r="EBF116" s="77" t="str">
        <f t="shared" si="157"/>
        <v/>
      </c>
      <c r="EBG116" s="77" t="str">
        <f t="shared" si="157"/>
        <v/>
      </c>
      <c r="EBH116" s="77" t="str">
        <f t="shared" si="157"/>
        <v/>
      </c>
      <c r="EBI116" s="77" t="str">
        <f t="shared" si="157"/>
        <v/>
      </c>
      <c r="EBJ116" s="77" t="str">
        <f t="shared" si="157"/>
        <v/>
      </c>
      <c r="EBK116" s="77" t="str">
        <f t="shared" si="157"/>
        <v/>
      </c>
      <c r="EBL116" s="77" t="str">
        <f t="shared" si="157"/>
        <v/>
      </c>
      <c r="EBM116" s="77" t="str">
        <f t="shared" si="157"/>
        <v/>
      </c>
      <c r="EBN116" s="77" t="str">
        <f t="shared" si="157"/>
        <v/>
      </c>
      <c r="EBO116" s="77" t="str">
        <f t="shared" si="157"/>
        <v/>
      </c>
      <c r="EBP116" s="77" t="str">
        <f t="shared" si="157"/>
        <v/>
      </c>
      <c r="EBQ116" s="77" t="str">
        <f t="shared" si="157"/>
        <v/>
      </c>
      <c r="EBR116" s="77" t="str">
        <f t="shared" si="157"/>
        <v/>
      </c>
      <c r="EBS116" s="77" t="str">
        <f t="shared" si="157"/>
        <v/>
      </c>
      <c r="EBT116" s="77" t="str">
        <f t="shared" si="157"/>
        <v/>
      </c>
      <c r="EBU116" s="77" t="str">
        <f t="shared" si="157"/>
        <v/>
      </c>
      <c r="EBV116" s="77" t="str">
        <f t="shared" si="157"/>
        <v/>
      </c>
      <c r="EBW116" s="77" t="str">
        <f t="shared" si="157"/>
        <v/>
      </c>
      <c r="EBX116" s="77" t="str">
        <f t="shared" si="157"/>
        <v/>
      </c>
      <c r="EBY116" s="77" t="str">
        <f t="shared" si="157"/>
        <v/>
      </c>
      <c r="EBZ116" s="77" t="str">
        <f t="shared" si="157"/>
        <v/>
      </c>
      <c r="ECA116" s="77" t="str">
        <f t="shared" si="157"/>
        <v/>
      </c>
      <c r="ECB116" s="77" t="str">
        <f t="shared" si="157"/>
        <v/>
      </c>
      <c r="ECC116" s="77" t="str">
        <f t="shared" si="157"/>
        <v/>
      </c>
      <c r="ECD116" s="77" t="str">
        <f t="shared" si="157"/>
        <v/>
      </c>
      <c r="ECE116" s="77" t="str">
        <f t="shared" si="157"/>
        <v/>
      </c>
      <c r="ECF116" s="77" t="str">
        <f t="shared" si="157"/>
        <v/>
      </c>
      <c r="ECG116" s="77" t="str">
        <f t="shared" si="157"/>
        <v/>
      </c>
      <c r="ECH116" s="77" t="str">
        <f t="shared" si="157"/>
        <v/>
      </c>
      <c r="ECI116" s="77" t="str">
        <f t="shared" si="157"/>
        <v/>
      </c>
      <c r="ECJ116" s="77" t="str">
        <f t="shared" si="157"/>
        <v/>
      </c>
      <c r="ECK116" s="77" t="str">
        <f t="shared" si="157"/>
        <v/>
      </c>
      <c r="ECL116" s="77" t="str">
        <f t="shared" si="157"/>
        <v/>
      </c>
      <c r="ECM116" s="77" t="str">
        <f t="shared" si="157"/>
        <v/>
      </c>
      <c r="ECN116" s="77" t="str">
        <f t="shared" si="157"/>
        <v/>
      </c>
      <c r="ECO116" s="77" t="str">
        <f t="shared" si="157"/>
        <v/>
      </c>
      <c r="ECP116" s="77" t="str">
        <f t="shared" si="157"/>
        <v/>
      </c>
      <c r="ECQ116" s="77" t="str">
        <f t="shared" si="157"/>
        <v/>
      </c>
      <c r="ECR116" s="77" t="str">
        <f t="shared" si="157"/>
        <v/>
      </c>
      <c r="ECS116" s="77" t="str">
        <f t="shared" si="157"/>
        <v/>
      </c>
      <c r="ECT116" s="77" t="str">
        <f t="shared" si="157"/>
        <v/>
      </c>
      <c r="ECU116" s="77" t="str">
        <f t="shared" si="157"/>
        <v/>
      </c>
      <c r="ECV116" s="77" t="str">
        <f t="shared" si="157"/>
        <v/>
      </c>
      <c r="ECW116" s="77" t="str">
        <f t="shared" si="157"/>
        <v/>
      </c>
      <c r="ECX116" s="77" t="str">
        <f t="shared" si="157"/>
        <v/>
      </c>
      <c r="ECY116" s="77" t="str">
        <f t="shared" si="157"/>
        <v/>
      </c>
      <c r="ECZ116" s="77" t="str">
        <f t="shared" si="157"/>
        <v/>
      </c>
      <c r="EDA116" s="77" t="str">
        <f t="shared" si="157"/>
        <v/>
      </c>
      <c r="EDB116" s="77" t="str">
        <f t="shared" si="157"/>
        <v/>
      </c>
      <c r="EDC116" s="77" t="str">
        <f t="shared" si="157"/>
        <v/>
      </c>
      <c r="EDD116" s="77" t="str">
        <f t="shared" si="157"/>
        <v/>
      </c>
      <c r="EDE116" s="77" t="str">
        <f t="shared" si="157"/>
        <v/>
      </c>
      <c r="EDF116" s="77" t="str">
        <f t="shared" si="157"/>
        <v/>
      </c>
      <c r="EDG116" s="77" t="str">
        <f t="shared" si="157"/>
        <v/>
      </c>
      <c r="EDH116" s="77" t="str">
        <f t="shared" si="157"/>
        <v/>
      </c>
      <c r="EDI116" s="77" t="str">
        <f t="shared" si="157"/>
        <v/>
      </c>
      <c r="EDJ116" s="77" t="str">
        <f t="shared" si="157"/>
        <v/>
      </c>
      <c r="EDK116" s="77" t="str">
        <f t="shared" ref="EDK116:EFV116" si="158">IF(ISNUMBER(outYear),EDK69+EDK75+EDK81+EDK113,"")</f>
        <v/>
      </c>
      <c r="EDL116" s="77" t="str">
        <f t="shared" si="158"/>
        <v/>
      </c>
      <c r="EDM116" s="77" t="str">
        <f t="shared" si="158"/>
        <v/>
      </c>
      <c r="EDN116" s="77" t="str">
        <f t="shared" si="158"/>
        <v/>
      </c>
      <c r="EDO116" s="77" t="str">
        <f t="shared" si="158"/>
        <v/>
      </c>
      <c r="EDP116" s="77" t="str">
        <f t="shared" si="158"/>
        <v/>
      </c>
      <c r="EDQ116" s="77" t="str">
        <f t="shared" si="158"/>
        <v/>
      </c>
      <c r="EDR116" s="77" t="str">
        <f t="shared" si="158"/>
        <v/>
      </c>
      <c r="EDS116" s="77" t="str">
        <f t="shared" si="158"/>
        <v/>
      </c>
      <c r="EDT116" s="77" t="str">
        <f t="shared" si="158"/>
        <v/>
      </c>
      <c r="EDU116" s="77" t="str">
        <f t="shared" si="158"/>
        <v/>
      </c>
      <c r="EDV116" s="77" t="str">
        <f t="shared" si="158"/>
        <v/>
      </c>
      <c r="EDW116" s="77" t="str">
        <f t="shared" si="158"/>
        <v/>
      </c>
      <c r="EDX116" s="77" t="str">
        <f t="shared" si="158"/>
        <v/>
      </c>
      <c r="EDY116" s="77" t="str">
        <f t="shared" si="158"/>
        <v/>
      </c>
      <c r="EDZ116" s="77" t="str">
        <f t="shared" si="158"/>
        <v/>
      </c>
      <c r="EEA116" s="77" t="str">
        <f t="shared" si="158"/>
        <v/>
      </c>
      <c r="EEB116" s="77" t="str">
        <f t="shared" si="158"/>
        <v/>
      </c>
      <c r="EEC116" s="77" t="str">
        <f t="shared" si="158"/>
        <v/>
      </c>
      <c r="EED116" s="77" t="str">
        <f t="shared" si="158"/>
        <v/>
      </c>
      <c r="EEE116" s="77" t="str">
        <f t="shared" si="158"/>
        <v/>
      </c>
      <c r="EEF116" s="77" t="str">
        <f t="shared" si="158"/>
        <v/>
      </c>
      <c r="EEG116" s="77" t="str">
        <f t="shared" si="158"/>
        <v/>
      </c>
      <c r="EEH116" s="77" t="str">
        <f t="shared" si="158"/>
        <v/>
      </c>
      <c r="EEI116" s="77" t="str">
        <f t="shared" si="158"/>
        <v/>
      </c>
      <c r="EEJ116" s="77" t="str">
        <f t="shared" si="158"/>
        <v/>
      </c>
      <c r="EEK116" s="77" t="str">
        <f t="shared" si="158"/>
        <v/>
      </c>
      <c r="EEL116" s="77" t="str">
        <f t="shared" si="158"/>
        <v/>
      </c>
      <c r="EEM116" s="77" t="str">
        <f t="shared" si="158"/>
        <v/>
      </c>
      <c r="EEN116" s="77" t="str">
        <f t="shared" si="158"/>
        <v/>
      </c>
      <c r="EEO116" s="77" t="str">
        <f t="shared" si="158"/>
        <v/>
      </c>
      <c r="EEP116" s="77" t="str">
        <f t="shared" si="158"/>
        <v/>
      </c>
      <c r="EEQ116" s="77" t="str">
        <f t="shared" si="158"/>
        <v/>
      </c>
      <c r="EER116" s="77" t="str">
        <f t="shared" si="158"/>
        <v/>
      </c>
      <c r="EES116" s="77" t="str">
        <f t="shared" si="158"/>
        <v/>
      </c>
      <c r="EET116" s="77" t="str">
        <f t="shared" si="158"/>
        <v/>
      </c>
      <c r="EEU116" s="77" t="str">
        <f t="shared" si="158"/>
        <v/>
      </c>
      <c r="EEV116" s="77" t="str">
        <f t="shared" si="158"/>
        <v/>
      </c>
      <c r="EEW116" s="77" t="str">
        <f t="shared" si="158"/>
        <v/>
      </c>
      <c r="EEX116" s="77" t="str">
        <f t="shared" si="158"/>
        <v/>
      </c>
      <c r="EEY116" s="77" t="str">
        <f t="shared" si="158"/>
        <v/>
      </c>
      <c r="EEZ116" s="77" t="str">
        <f t="shared" si="158"/>
        <v/>
      </c>
      <c r="EFA116" s="77" t="str">
        <f t="shared" si="158"/>
        <v/>
      </c>
      <c r="EFB116" s="77" t="str">
        <f t="shared" si="158"/>
        <v/>
      </c>
      <c r="EFC116" s="77" t="str">
        <f t="shared" si="158"/>
        <v/>
      </c>
      <c r="EFD116" s="77" t="str">
        <f t="shared" si="158"/>
        <v/>
      </c>
      <c r="EFE116" s="77" t="str">
        <f t="shared" si="158"/>
        <v/>
      </c>
      <c r="EFF116" s="77" t="str">
        <f t="shared" si="158"/>
        <v/>
      </c>
      <c r="EFG116" s="77" t="str">
        <f t="shared" si="158"/>
        <v/>
      </c>
      <c r="EFH116" s="77" t="str">
        <f t="shared" si="158"/>
        <v/>
      </c>
      <c r="EFI116" s="77" t="str">
        <f t="shared" si="158"/>
        <v/>
      </c>
      <c r="EFJ116" s="77" t="str">
        <f t="shared" si="158"/>
        <v/>
      </c>
      <c r="EFK116" s="77" t="str">
        <f t="shared" si="158"/>
        <v/>
      </c>
      <c r="EFL116" s="77" t="str">
        <f t="shared" si="158"/>
        <v/>
      </c>
      <c r="EFM116" s="77" t="str">
        <f t="shared" si="158"/>
        <v/>
      </c>
      <c r="EFN116" s="77" t="str">
        <f t="shared" si="158"/>
        <v/>
      </c>
      <c r="EFO116" s="77" t="str">
        <f t="shared" si="158"/>
        <v/>
      </c>
      <c r="EFP116" s="77" t="str">
        <f t="shared" si="158"/>
        <v/>
      </c>
      <c r="EFQ116" s="77" t="str">
        <f t="shared" si="158"/>
        <v/>
      </c>
      <c r="EFR116" s="77" t="str">
        <f t="shared" si="158"/>
        <v/>
      </c>
      <c r="EFS116" s="77" t="str">
        <f t="shared" si="158"/>
        <v/>
      </c>
      <c r="EFT116" s="77" t="str">
        <f t="shared" si="158"/>
        <v/>
      </c>
      <c r="EFU116" s="77" t="str">
        <f t="shared" si="158"/>
        <v/>
      </c>
      <c r="EFV116" s="77" t="str">
        <f t="shared" si="158"/>
        <v/>
      </c>
      <c r="EFW116" s="77" t="str">
        <f t="shared" ref="EFW116:EIH116" si="159">IF(ISNUMBER(outYear),EFW69+EFW75+EFW81+EFW113,"")</f>
        <v/>
      </c>
      <c r="EFX116" s="77" t="str">
        <f t="shared" si="159"/>
        <v/>
      </c>
      <c r="EFY116" s="77" t="str">
        <f t="shared" si="159"/>
        <v/>
      </c>
      <c r="EFZ116" s="77" t="str">
        <f t="shared" si="159"/>
        <v/>
      </c>
      <c r="EGA116" s="77" t="str">
        <f t="shared" si="159"/>
        <v/>
      </c>
      <c r="EGB116" s="77" t="str">
        <f t="shared" si="159"/>
        <v/>
      </c>
      <c r="EGC116" s="77" t="str">
        <f t="shared" si="159"/>
        <v/>
      </c>
      <c r="EGD116" s="77" t="str">
        <f t="shared" si="159"/>
        <v/>
      </c>
      <c r="EGE116" s="77" t="str">
        <f t="shared" si="159"/>
        <v/>
      </c>
      <c r="EGF116" s="77" t="str">
        <f t="shared" si="159"/>
        <v/>
      </c>
      <c r="EGG116" s="77" t="str">
        <f t="shared" si="159"/>
        <v/>
      </c>
      <c r="EGH116" s="77" t="str">
        <f t="shared" si="159"/>
        <v/>
      </c>
      <c r="EGI116" s="77" t="str">
        <f t="shared" si="159"/>
        <v/>
      </c>
      <c r="EGJ116" s="77" t="str">
        <f t="shared" si="159"/>
        <v/>
      </c>
      <c r="EGK116" s="77" t="str">
        <f t="shared" si="159"/>
        <v/>
      </c>
      <c r="EGL116" s="77" t="str">
        <f t="shared" si="159"/>
        <v/>
      </c>
      <c r="EGM116" s="77" t="str">
        <f t="shared" si="159"/>
        <v/>
      </c>
      <c r="EGN116" s="77" t="str">
        <f t="shared" si="159"/>
        <v/>
      </c>
      <c r="EGO116" s="77" t="str">
        <f t="shared" si="159"/>
        <v/>
      </c>
      <c r="EGP116" s="77" t="str">
        <f t="shared" si="159"/>
        <v/>
      </c>
      <c r="EGQ116" s="77" t="str">
        <f t="shared" si="159"/>
        <v/>
      </c>
      <c r="EGR116" s="77" t="str">
        <f t="shared" si="159"/>
        <v/>
      </c>
      <c r="EGS116" s="77" t="str">
        <f t="shared" si="159"/>
        <v/>
      </c>
      <c r="EGT116" s="77" t="str">
        <f t="shared" si="159"/>
        <v/>
      </c>
      <c r="EGU116" s="77" t="str">
        <f t="shared" si="159"/>
        <v/>
      </c>
      <c r="EGV116" s="77" t="str">
        <f t="shared" si="159"/>
        <v/>
      </c>
      <c r="EGW116" s="77" t="str">
        <f t="shared" si="159"/>
        <v/>
      </c>
      <c r="EGX116" s="77" t="str">
        <f t="shared" si="159"/>
        <v/>
      </c>
      <c r="EGY116" s="77" t="str">
        <f t="shared" si="159"/>
        <v/>
      </c>
      <c r="EGZ116" s="77" t="str">
        <f t="shared" si="159"/>
        <v/>
      </c>
      <c r="EHA116" s="77" t="str">
        <f t="shared" si="159"/>
        <v/>
      </c>
      <c r="EHB116" s="77" t="str">
        <f t="shared" si="159"/>
        <v/>
      </c>
      <c r="EHC116" s="77" t="str">
        <f t="shared" si="159"/>
        <v/>
      </c>
      <c r="EHD116" s="77" t="str">
        <f t="shared" si="159"/>
        <v/>
      </c>
      <c r="EHE116" s="77" t="str">
        <f t="shared" si="159"/>
        <v/>
      </c>
      <c r="EHF116" s="77" t="str">
        <f t="shared" si="159"/>
        <v/>
      </c>
      <c r="EHG116" s="77" t="str">
        <f t="shared" si="159"/>
        <v/>
      </c>
      <c r="EHH116" s="77" t="str">
        <f t="shared" si="159"/>
        <v/>
      </c>
      <c r="EHI116" s="77" t="str">
        <f t="shared" si="159"/>
        <v/>
      </c>
      <c r="EHJ116" s="77" t="str">
        <f t="shared" si="159"/>
        <v/>
      </c>
      <c r="EHK116" s="77" t="str">
        <f t="shared" si="159"/>
        <v/>
      </c>
      <c r="EHL116" s="77" t="str">
        <f t="shared" si="159"/>
        <v/>
      </c>
      <c r="EHM116" s="77" t="str">
        <f t="shared" si="159"/>
        <v/>
      </c>
      <c r="EHN116" s="77" t="str">
        <f t="shared" si="159"/>
        <v/>
      </c>
      <c r="EHO116" s="77" t="str">
        <f t="shared" si="159"/>
        <v/>
      </c>
      <c r="EHP116" s="77" t="str">
        <f t="shared" si="159"/>
        <v/>
      </c>
      <c r="EHQ116" s="77" t="str">
        <f t="shared" si="159"/>
        <v/>
      </c>
      <c r="EHR116" s="77" t="str">
        <f t="shared" si="159"/>
        <v/>
      </c>
      <c r="EHS116" s="77" t="str">
        <f t="shared" si="159"/>
        <v/>
      </c>
      <c r="EHT116" s="77" t="str">
        <f t="shared" si="159"/>
        <v/>
      </c>
      <c r="EHU116" s="77" t="str">
        <f t="shared" si="159"/>
        <v/>
      </c>
      <c r="EHV116" s="77" t="str">
        <f t="shared" si="159"/>
        <v/>
      </c>
      <c r="EHW116" s="77" t="str">
        <f t="shared" si="159"/>
        <v/>
      </c>
      <c r="EHX116" s="77" t="str">
        <f t="shared" si="159"/>
        <v/>
      </c>
      <c r="EHY116" s="77" t="str">
        <f t="shared" si="159"/>
        <v/>
      </c>
      <c r="EHZ116" s="77" t="str">
        <f t="shared" si="159"/>
        <v/>
      </c>
      <c r="EIA116" s="77" t="str">
        <f t="shared" si="159"/>
        <v/>
      </c>
      <c r="EIB116" s="77" t="str">
        <f t="shared" si="159"/>
        <v/>
      </c>
      <c r="EIC116" s="77" t="str">
        <f t="shared" si="159"/>
        <v/>
      </c>
      <c r="EID116" s="77" t="str">
        <f t="shared" si="159"/>
        <v/>
      </c>
      <c r="EIE116" s="77" t="str">
        <f t="shared" si="159"/>
        <v/>
      </c>
      <c r="EIF116" s="77" t="str">
        <f t="shared" si="159"/>
        <v/>
      </c>
      <c r="EIG116" s="77" t="str">
        <f t="shared" si="159"/>
        <v/>
      </c>
      <c r="EIH116" s="77" t="str">
        <f t="shared" si="159"/>
        <v/>
      </c>
      <c r="EII116" s="77" t="str">
        <f t="shared" ref="EII116:EKT116" si="160">IF(ISNUMBER(outYear),EII69+EII75+EII81+EII113,"")</f>
        <v/>
      </c>
      <c r="EIJ116" s="77" t="str">
        <f t="shared" si="160"/>
        <v/>
      </c>
      <c r="EIK116" s="77" t="str">
        <f t="shared" si="160"/>
        <v/>
      </c>
      <c r="EIL116" s="77" t="str">
        <f t="shared" si="160"/>
        <v/>
      </c>
      <c r="EIM116" s="77" t="str">
        <f t="shared" si="160"/>
        <v/>
      </c>
      <c r="EIN116" s="77" t="str">
        <f t="shared" si="160"/>
        <v/>
      </c>
      <c r="EIO116" s="77" t="str">
        <f t="shared" si="160"/>
        <v/>
      </c>
      <c r="EIP116" s="77" t="str">
        <f t="shared" si="160"/>
        <v/>
      </c>
      <c r="EIQ116" s="77" t="str">
        <f t="shared" si="160"/>
        <v/>
      </c>
      <c r="EIR116" s="77" t="str">
        <f t="shared" si="160"/>
        <v/>
      </c>
      <c r="EIS116" s="77" t="str">
        <f t="shared" si="160"/>
        <v/>
      </c>
      <c r="EIT116" s="77" t="str">
        <f t="shared" si="160"/>
        <v/>
      </c>
      <c r="EIU116" s="77" t="str">
        <f t="shared" si="160"/>
        <v/>
      </c>
      <c r="EIV116" s="77" t="str">
        <f t="shared" si="160"/>
        <v/>
      </c>
      <c r="EIW116" s="77" t="str">
        <f t="shared" si="160"/>
        <v/>
      </c>
      <c r="EIX116" s="77" t="str">
        <f t="shared" si="160"/>
        <v/>
      </c>
      <c r="EIY116" s="77" t="str">
        <f t="shared" si="160"/>
        <v/>
      </c>
      <c r="EIZ116" s="77" t="str">
        <f t="shared" si="160"/>
        <v/>
      </c>
      <c r="EJA116" s="77" t="str">
        <f t="shared" si="160"/>
        <v/>
      </c>
      <c r="EJB116" s="77" t="str">
        <f t="shared" si="160"/>
        <v/>
      </c>
      <c r="EJC116" s="77" t="str">
        <f t="shared" si="160"/>
        <v/>
      </c>
      <c r="EJD116" s="77" t="str">
        <f t="shared" si="160"/>
        <v/>
      </c>
      <c r="EJE116" s="77" t="str">
        <f t="shared" si="160"/>
        <v/>
      </c>
      <c r="EJF116" s="77" t="str">
        <f t="shared" si="160"/>
        <v/>
      </c>
      <c r="EJG116" s="77" t="str">
        <f t="shared" si="160"/>
        <v/>
      </c>
      <c r="EJH116" s="77" t="str">
        <f t="shared" si="160"/>
        <v/>
      </c>
      <c r="EJI116" s="77" t="str">
        <f t="shared" si="160"/>
        <v/>
      </c>
      <c r="EJJ116" s="77" t="str">
        <f t="shared" si="160"/>
        <v/>
      </c>
      <c r="EJK116" s="77" t="str">
        <f t="shared" si="160"/>
        <v/>
      </c>
      <c r="EJL116" s="77" t="str">
        <f t="shared" si="160"/>
        <v/>
      </c>
      <c r="EJM116" s="77" t="str">
        <f t="shared" si="160"/>
        <v/>
      </c>
      <c r="EJN116" s="77" t="str">
        <f t="shared" si="160"/>
        <v/>
      </c>
      <c r="EJO116" s="77" t="str">
        <f t="shared" si="160"/>
        <v/>
      </c>
      <c r="EJP116" s="77" t="str">
        <f t="shared" si="160"/>
        <v/>
      </c>
      <c r="EJQ116" s="77" t="str">
        <f t="shared" si="160"/>
        <v/>
      </c>
      <c r="EJR116" s="77" t="str">
        <f t="shared" si="160"/>
        <v/>
      </c>
      <c r="EJS116" s="77" t="str">
        <f t="shared" si="160"/>
        <v/>
      </c>
      <c r="EJT116" s="77" t="str">
        <f t="shared" si="160"/>
        <v/>
      </c>
      <c r="EJU116" s="77" t="str">
        <f t="shared" si="160"/>
        <v/>
      </c>
      <c r="EJV116" s="77" t="str">
        <f t="shared" si="160"/>
        <v/>
      </c>
      <c r="EJW116" s="77" t="str">
        <f t="shared" si="160"/>
        <v/>
      </c>
      <c r="EJX116" s="77" t="str">
        <f t="shared" si="160"/>
        <v/>
      </c>
      <c r="EJY116" s="77" t="str">
        <f t="shared" si="160"/>
        <v/>
      </c>
      <c r="EJZ116" s="77" t="str">
        <f t="shared" si="160"/>
        <v/>
      </c>
      <c r="EKA116" s="77" t="str">
        <f t="shared" si="160"/>
        <v/>
      </c>
      <c r="EKB116" s="77" t="str">
        <f t="shared" si="160"/>
        <v/>
      </c>
      <c r="EKC116" s="77" t="str">
        <f t="shared" si="160"/>
        <v/>
      </c>
      <c r="EKD116" s="77" t="str">
        <f t="shared" si="160"/>
        <v/>
      </c>
      <c r="EKE116" s="77" t="str">
        <f t="shared" si="160"/>
        <v/>
      </c>
      <c r="EKF116" s="77" t="str">
        <f t="shared" si="160"/>
        <v/>
      </c>
      <c r="EKG116" s="77" t="str">
        <f t="shared" si="160"/>
        <v/>
      </c>
      <c r="EKH116" s="77" t="str">
        <f t="shared" si="160"/>
        <v/>
      </c>
      <c r="EKI116" s="77" t="str">
        <f t="shared" si="160"/>
        <v/>
      </c>
      <c r="EKJ116" s="77" t="str">
        <f t="shared" si="160"/>
        <v/>
      </c>
      <c r="EKK116" s="77" t="str">
        <f t="shared" si="160"/>
        <v/>
      </c>
      <c r="EKL116" s="77" t="str">
        <f t="shared" si="160"/>
        <v/>
      </c>
      <c r="EKM116" s="77" t="str">
        <f t="shared" si="160"/>
        <v/>
      </c>
      <c r="EKN116" s="77" t="str">
        <f t="shared" si="160"/>
        <v/>
      </c>
      <c r="EKO116" s="77" t="str">
        <f t="shared" si="160"/>
        <v/>
      </c>
      <c r="EKP116" s="77" t="str">
        <f t="shared" si="160"/>
        <v/>
      </c>
      <c r="EKQ116" s="77" t="str">
        <f t="shared" si="160"/>
        <v/>
      </c>
      <c r="EKR116" s="77" t="str">
        <f t="shared" si="160"/>
        <v/>
      </c>
      <c r="EKS116" s="77" t="str">
        <f t="shared" si="160"/>
        <v/>
      </c>
      <c r="EKT116" s="77" t="str">
        <f t="shared" si="160"/>
        <v/>
      </c>
      <c r="EKU116" s="77" t="str">
        <f t="shared" ref="EKU116:ENF116" si="161">IF(ISNUMBER(outYear),EKU69+EKU75+EKU81+EKU113,"")</f>
        <v/>
      </c>
      <c r="EKV116" s="77" t="str">
        <f t="shared" si="161"/>
        <v/>
      </c>
      <c r="EKW116" s="77" t="str">
        <f t="shared" si="161"/>
        <v/>
      </c>
      <c r="EKX116" s="77" t="str">
        <f t="shared" si="161"/>
        <v/>
      </c>
      <c r="EKY116" s="77" t="str">
        <f t="shared" si="161"/>
        <v/>
      </c>
      <c r="EKZ116" s="77" t="str">
        <f t="shared" si="161"/>
        <v/>
      </c>
      <c r="ELA116" s="77" t="str">
        <f t="shared" si="161"/>
        <v/>
      </c>
      <c r="ELB116" s="77" t="str">
        <f t="shared" si="161"/>
        <v/>
      </c>
      <c r="ELC116" s="77" t="str">
        <f t="shared" si="161"/>
        <v/>
      </c>
      <c r="ELD116" s="77" t="str">
        <f t="shared" si="161"/>
        <v/>
      </c>
      <c r="ELE116" s="77" t="str">
        <f t="shared" si="161"/>
        <v/>
      </c>
      <c r="ELF116" s="77" t="str">
        <f t="shared" si="161"/>
        <v/>
      </c>
      <c r="ELG116" s="77" t="str">
        <f t="shared" si="161"/>
        <v/>
      </c>
      <c r="ELH116" s="77" t="str">
        <f t="shared" si="161"/>
        <v/>
      </c>
      <c r="ELI116" s="77" t="str">
        <f t="shared" si="161"/>
        <v/>
      </c>
      <c r="ELJ116" s="77" t="str">
        <f t="shared" si="161"/>
        <v/>
      </c>
      <c r="ELK116" s="77" t="str">
        <f t="shared" si="161"/>
        <v/>
      </c>
      <c r="ELL116" s="77" t="str">
        <f t="shared" si="161"/>
        <v/>
      </c>
      <c r="ELM116" s="77" t="str">
        <f t="shared" si="161"/>
        <v/>
      </c>
      <c r="ELN116" s="77" t="str">
        <f t="shared" si="161"/>
        <v/>
      </c>
      <c r="ELO116" s="77" t="str">
        <f t="shared" si="161"/>
        <v/>
      </c>
      <c r="ELP116" s="77" t="str">
        <f t="shared" si="161"/>
        <v/>
      </c>
      <c r="ELQ116" s="77" t="str">
        <f t="shared" si="161"/>
        <v/>
      </c>
      <c r="ELR116" s="77" t="str">
        <f t="shared" si="161"/>
        <v/>
      </c>
      <c r="ELS116" s="77" t="str">
        <f t="shared" si="161"/>
        <v/>
      </c>
      <c r="ELT116" s="77" t="str">
        <f t="shared" si="161"/>
        <v/>
      </c>
      <c r="ELU116" s="77" t="str">
        <f t="shared" si="161"/>
        <v/>
      </c>
      <c r="ELV116" s="77" t="str">
        <f t="shared" si="161"/>
        <v/>
      </c>
      <c r="ELW116" s="77" t="str">
        <f t="shared" si="161"/>
        <v/>
      </c>
      <c r="ELX116" s="77" t="str">
        <f t="shared" si="161"/>
        <v/>
      </c>
      <c r="ELY116" s="77" t="str">
        <f t="shared" si="161"/>
        <v/>
      </c>
      <c r="ELZ116" s="77" t="str">
        <f t="shared" si="161"/>
        <v/>
      </c>
      <c r="EMA116" s="77" t="str">
        <f t="shared" si="161"/>
        <v/>
      </c>
      <c r="EMB116" s="77" t="str">
        <f t="shared" si="161"/>
        <v/>
      </c>
      <c r="EMC116" s="77" t="str">
        <f t="shared" si="161"/>
        <v/>
      </c>
      <c r="EMD116" s="77" t="str">
        <f t="shared" si="161"/>
        <v/>
      </c>
      <c r="EME116" s="77" t="str">
        <f t="shared" si="161"/>
        <v/>
      </c>
      <c r="EMF116" s="77" t="str">
        <f t="shared" si="161"/>
        <v/>
      </c>
      <c r="EMG116" s="77" t="str">
        <f t="shared" si="161"/>
        <v/>
      </c>
      <c r="EMH116" s="77" t="str">
        <f t="shared" si="161"/>
        <v/>
      </c>
      <c r="EMI116" s="77" t="str">
        <f t="shared" si="161"/>
        <v/>
      </c>
      <c r="EMJ116" s="77" t="str">
        <f t="shared" si="161"/>
        <v/>
      </c>
      <c r="EMK116" s="77" t="str">
        <f t="shared" si="161"/>
        <v/>
      </c>
      <c r="EML116" s="77" t="str">
        <f t="shared" si="161"/>
        <v/>
      </c>
      <c r="EMM116" s="77" t="str">
        <f t="shared" si="161"/>
        <v/>
      </c>
      <c r="EMN116" s="77" t="str">
        <f t="shared" si="161"/>
        <v/>
      </c>
      <c r="EMO116" s="77" t="str">
        <f t="shared" si="161"/>
        <v/>
      </c>
      <c r="EMP116" s="77" t="str">
        <f t="shared" si="161"/>
        <v/>
      </c>
      <c r="EMQ116" s="77" t="str">
        <f t="shared" si="161"/>
        <v/>
      </c>
      <c r="EMR116" s="77" t="str">
        <f t="shared" si="161"/>
        <v/>
      </c>
      <c r="EMS116" s="77" t="str">
        <f t="shared" si="161"/>
        <v/>
      </c>
      <c r="EMT116" s="77" t="str">
        <f t="shared" si="161"/>
        <v/>
      </c>
      <c r="EMU116" s="77" t="str">
        <f t="shared" si="161"/>
        <v/>
      </c>
      <c r="EMV116" s="77" t="str">
        <f t="shared" si="161"/>
        <v/>
      </c>
      <c r="EMW116" s="77" t="str">
        <f t="shared" si="161"/>
        <v/>
      </c>
      <c r="EMX116" s="77" t="str">
        <f t="shared" si="161"/>
        <v/>
      </c>
      <c r="EMY116" s="77" t="str">
        <f t="shared" si="161"/>
        <v/>
      </c>
      <c r="EMZ116" s="77" t="str">
        <f t="shared" si="161"/>
        <v/>
      </c>
      <c r="ENA116" s="77" t="str">
        <f t="shared" si="161"/>
        <v/>
      </c>
      <c r="ENB116" s="77" t="str">
        <f t="shared" si="161"/>
        <v/>
      </c>
      <c r="ENC116" s="77" t="str">
        <f t="shared" si="161"/>
        <v/>
      </c>
      <c r="END116" s="77" t="str">
        <f t="shared" si="161"/>
        <v/>
      </c>
      <c r="ENE116" s="77" t="str">
        <f t="shared" si="161"/>
        <v/>
      </c>
      <c r="ENF116" s="77" t="str">
        <f t="shared" si="161"/>
        <v/>
      </c>
      <c r="ENG116" s="77" t="str">
        <f t="shared" ref="ENG116:EPR116" si="162">IF(ISNUMBER(outYear),ENG69+ENG75+ENG81+ENG113,"")</f>
        <v/>
      </c>
      <c r="ENH116" s="77" t="str">
        <f t="shared" si="162"/>
        <v/>
      </c>
      <c r="ENI116" s="77" t="str">
        <f t="shared" si="162"/>
        <v/>
      </c>
      <c r="ENJ116" s="77" t="str">
        <f t="shared" si="162"/>
        <v/>
      </c>
      <c r="ENK116" s="77" t="str">
        <f t="shared" si="162"/>
        <v/>
      </c>
      <c r="ENL116" s="77" t="str">
        <f t="shared" si="162"/>
        <v/>
      </c>
      <c r="ENM116" s="77" t="str">
        <f t="shared" si="162"/>
        <v/>
      </c>
      <c r="ENN116" s="77" t="str">
        <f t="shared" si="162"/>
        <v/>
      </c>
      <c r="ENO116" s="77" t="str">
        <f t="shared" si="162"/>
        <v/>
      </c>
      <c r="ENP116" s="77" t="str">
        <f t="shared" si="162"/>
        <v/>
      </c>
      <c r="ENQ116" s="77" t="str">
        <f t="shared" si="162"/>
        <v/>
      </c>
      <c r="ENR116" s="77" t="str">
        <f t="shared" si="162"/>
        <v/>
      </c>
      <c r="ENS116" s="77" t="str">
        <f t="shared" si="162"/>
        <v/>
      </c>
      <c r="ENT116" s="77" t="str">
        <f t="shared" si="162"/>
        <v/>
      </c>
      <c r="ENU116" s="77" t="str">
        <f t="shared" si="162"/>
        <v/>
      </c>
      <c r="ENV116" s="77" t="str">
        <f t="shared" si="162"/>
        <v/>
      </c>
      <c r="ENW116" s="77" t="str">
        <f t="shared" si="162"/>
        <v/>
      </c>
      <c r="ENX116" s="77" t="str">
        <f t="shared" si="162"/>
        <v/>
      </c>
      <c r="ENY116" s="77" t="str">
        <f t="shared" si="162"/>
        <v/>
      </c>
      <c r="ENZ116" s="77" t="str">
        <f t="shared" si="162"/>
        <v/>
      </c>
      <c r="EOA116" s="77" t="str">
        <f t="shared" si="162"/>
        <v/>
      </c>
      <c r="EOB116" s="77" t="str">
        <f t="shared" si="162"/>
        <v/>
      </c>
      <c r="EOC116" s="77" t="str">
        <f t="shared" si="162"/>
        <v/>
      </c>
      <c r="EOD116" s="77" t="str">
        <f t="shared" si="162"/>
        <v/>
      </c>
      <c r="EOE116" s="77" t="str">
        <f t="shared" si="162"/>
        <v/>
      </c>
      <c r="EOF116" s="77" t="str">
        <f t="shared" si="162"/>
        <v/>
      </c>
      <c r="EOG116" s="77" t="str">
        <f t="shared" si="162"/>
        <v/>
      </c>
      <c r="EOH116" s="77" t="str">
        <f t="shared" si="162"/>
        <v/>
      </c>
      <c r="EOI116" s="77" t="str">
        <f t="shared" si="162"/>
        <v/>
      </c>
      <c r="EOJ116" s="77" t="str">
        <f t="shared" si="162"/>
        <v/>
      </c>
      <c r="EOK116" s="77" t="str">
        <f t="shared" si="162"/>
        <v/>
      </c>
      <c r="EOL116" s="77" t="str">
        <f t="shared" si="162"/>
        <v/>
      </c>
      <c r="EOM116" s="77" t="str">
        <f t="shared" si="162"/>
        <v/>
      </c>
      <c r="EON116" s="77" t="str">
        <f t="shared" si="162"/>
        <v/>
      </c>
      <c r="EOO116" s="77" t="str">
        <f t="shared" si="162"/>
        <v/>
      </c>
      <c r="EOP116" s="77" t="str">
        <f t="shared" si="162"/>
        <v/>
      </c>
      <c r="EOQ116" s="77" t="str">
        <f t="shared" si="162"/>
        <v/>
      </c>
      <c r="EOR116" s="77" t="str">
        <f t="shared" si="162"/>
        <v/>
      </c>
      <c r="EOS116" s="77" t="str">
        <f t="shared" si="162"/>
        <v/>
      </c>
      <c r="EOT116" s="77" t="str">
        <f t="shared" si="162"/>
        <v/>
      </c>
      <c r="EOU116" s="77" t="str">
        <f t="shared" si="162"/>
        <v/>
      </c>
      <c r="EOV116" s="77" t="str">
        <f t="shared" si="162"/>
        <v/>
      </c>
      <c r="EOW116" s="77" t="str">
        <f t="shared" si="162"/>
        <v/>
      </c>
      <c r="EOX116" s="77" t="str">
        <f t="shared" si="162"/>
        <v/>
      </c>
      <c r="EOY116" s="77" t="str">
        <f t="shared" si="162"/>
        <v/>
      </c>
      <c r="EOZ116" s="77" t="str">
        <f t="shared" si="162"/>
        <v/>
      </c>
      <c r="EPA116" s="77" t="str">
        <f t="shared" si="162"/>
        <v/>
      </c>
      <c r="EPB116" s="77" t="str">
        <f t="shared" si="162"/>
        <v/>
      </c>
      <c r="EPC116" s="77" t="str">
        <f t="shared" si="162"/>
        <v/>
      </c>
      <c r="EPD116" s="77" t="str">
        <f t="shared" si="162"/>
        <v/>
      </c>
      <c r="EPE116" s="77" t="str">
        <f t="shared" si="162"/>
        <v/>
      </c>
      <c r="EPF116" s="77" t="str">
        <f t="shared" si="162"/>
        <v/>
      </c>
      <c r="EPG116" s="77" t="str">
        <f t="shared" si="162"/>
        <v/>
      </c>
      <c r="EPH116" s="77" t="str">
        <f t="shared" si="162"/>
        <v/>
      </c>
      <c r="EPI116" s="77" t="str">
        <f t="shared" si="162"/>
        <v/>
      </c>
      <c r="EPJ116" s="77" t="str">
        <f t="shared" si="162"/>
        <v/>
      </c>
      <c r="EPK116" s="77" t="str">
        <f t="shared" si="162"/>
        <v/>
      </c>
      <c r="EPL116" s="77" t="str">
        <f t="shared" si="162"/>
        <v/>
      </c>
      <c r="EPM116" s="77" t="str">
        <f t="shared" si="162"/>
        <v/>
      </c>
      <c r="EPN116" s="77" t="str">
        <f t="shared" si="162"/>
        <v/>
      </c>
      <c r="EPO116" s="77" t="str">
        <f t="shared" si="162"/>
        <v/>
      </c>
      <c r="EPP116" s="77" t="str">
        <f t="shared" si="162"/>
        <v/>
      </c>
      <c r="EPQ116" s="77" t="str">
        <f t="shared" si="162"/>
        <v/>
      </c>
      <c r="EPR116" s="77" t="str">
        <f t="shared" si="162"/>
        <v/>
      </c>
      <c r="EPS116" s="77" t="str">
        <f t="shared" ref="EPS116:ESD116" si="163">IF(ISNUMBER(outYear),EPS69+EPS75+EPS81+EPS113,"")</f>
        <v/>
      </c>
      <c r="EPT116" s="77" t="str">
        <f t="shared" si="163"/>
        <v/>
      </c>
      <c r="EPU116" s="77" t="str">
        <f t="shared" si="163"/>
        <v/>
      </c>
      <c r="EPV116" s="77" t="str">
        <f t="shared" si="163"/>
        <v/>
      </c>
      <c r="EPW116" s="77" t="str">
        <f t="shared" si="163"/>
        <v/>
      </c>
      <c r="EPX116" s="77" t="str">
        <f t="shared" si="163"/>
        <v/>
      </c>
      <c r="EPY116" s="77" t="str">
        <f t="shared" si="163"/>
        <v/>
      </c>
      <c r="EPZ116" s="77" t="str">
        <f t="shared" si="163"/>
        <v/>
      </c>
      <c r="EQA116" s="77" t="str">
        <f t="shared" si="163"/>
        <v/>
      </c>
      <c r="EQB116" s="77" t="str">
        <f t="shared" si="163"/>
        <v/>
      </c>
      <c r="EQC116" s="77" t="str">
        <f t="shared" si="163"/>
        <v/>
      </c>
      <c r="EQD116" s="77" t="str">
        <f t="shared" si="163"/>
        <v/>
      </c>
      <c r="EQE116" s="77" t="str">
        <f t="shared" si="163"/>
        <v/>
      </c>
      <c r="EQF116" s="77" t="str">
        <f t="shared" si="163"/>
        <v/>
      </c>
      <c r="EQG116" s="77" t="str">
        <f t="shared" si="163"/>
        <v/>
      </c>
      <c r="EQH116" s="77" t="str">
        <f t="shared" si="163"/>
        <v/>
      </c>
      <c r="EQI116" s="77" t="str">
        <f t="shared" si="163"/>
        <v/>
      </c>
      <c r="EQJ116" s="77" t="str">
        <f t="shared" si="163"/>
        <v/>
      </c>
      <c r="EQK116" s="77" t="str">
        <f t="shared" si="163"/>
        <v/>
      </c>
      <c r="EQL116" s="77" t="str">
        <f t="shared" si="163"/>
        <v/>
      </c>
      <c r="EQM116" s="77" t="str">
        <f t="shared" si="163"/>
        <v/>
      </c>
      <c r="EQN116" s="77" t="str">
        <f t="shared" si="163"/>
        <v/>
      </c>
      <c r="EQO116" s="77" t="str">
        <f t="shared" si="163"/>
        <v/>
      </c>
      <c r="EQP116" s="77" t="str">
        <f t="shared" si="163"/>
        <v/>
      </c>
      <c r="EQQ116" s="77" t="str">
        <f t="shared" si="163"/>
        <v/>
      </c>
      <c r="EQR116" s="77" t="str">
        <f t="shared" si="163"/>
        <v/>
      </c>
      <c r="EQS116" s="77" t="str">
        <f t="shared" si="163"/>
        <v/>
      </c>
      <c r="EQT116" s="77" t="str">
        <f t="shared" si="163"/>
        <v/>
      </c>
      <c r="EQU116" s="77" t="str">
        <f t="shared" si="163"/>
        <v/>
      </c>
      <c r="EQV116" s="77" t="str">
        <f t="shared" si="163"/>
        <v/>
      </c>
      <c r="EQW116" s="77" t="str">
        <f t="shared" si="163"/>
        <v/>
      </c>
      <c r="EQX116" s="77" t="str">
        <f t="shared" si="163"/>
        <v/>
      </c>
      <c r="EQY116" s="77" t="str">
        <f t="shared" si="163"/>
        <v/>
      </c>
      <c r="EQZ116" s="77" t="str">
        <f t="shared" si="163"/>
        <v/>
      </c>
      <c r="ERA116" s="77" t="str">
        <f t="shared" si="163"/>
        <v/>
      </c>
      <c r="ERB116" s="77" t="str">
        <f t="shared" si="163"/>
        <v/>
      </c>
      <c r="ERC116" s="77" t="str">
        <f t="shared" si="163"/>
        <v/>
      </c>
      <c r="ERD116" s="77" t="str">
        <f t="shared" si="163"/>
        <v/>
      </c>
      <c r="ERE116" s="77" t="str">
        <f t="shared" si="163"/>
        <v/>
      </c>
      <c r="ERF116" s="77" t="str">
        <f t="shared" si="163"/>
        <v/>
      </c>
      <c r="ERG116" s="77" t="str">
        <f t="shared" si="163"/>
        <v/>
      </c>
      <c r="ERH116" s="77" t="str">
        <f t="shared" si="163"/>
        <v/>
      </c>
      <c r="ERI116" s="77" t="str">
        <f t="shared" si="163"/>
        <v/>
      </c>
      <c r="ERJ116" s="77" t="str">
        <f t="shared" si="163"/>
        <v/>
      </c>
      <c r="ERK116" s="77" t="str">
        <f t="shared" si="163"/>
        <v/>
      </c>
      <c r="ERL116" s="77" t="str">
        <f t="shared" si="163"/>
        <v/>
      </c>
      <c r="ERM116" s="77" t="str">
        <f t="shared" si="163"/>
        <v/>
      </c>
      <c r="ERN116" s="77" t="str">
        <f t="shared" si="163"/>
        <v/>
      </c>
      <c r="ERO116" s="77" t="str">
        <f t="shared" si="163"/>
        <v/>
      </c>
      <c r="ERP116" s="77" t="str">
        <f t="shared" si="163"/>
        <v/>
      </c>
      <c r="ERQ116" s="77" t="str">
        <f t="shared" si="163"/>
        <v/>
      </c>
      <c r="ERR116" s="77" t="str">
        <f t="shared" si="163"/>
        <v/>
      </c>
      <c r="ERS116" s="77" t="str">
        <f t="shared" si="163"/>
        <v/>
      </c>
      <c r="ERT116" s="77" t="str">
        <f t="shared" si="163"/>
        <v/>
      </c>
      <c r="ERU116" s="77" t="str">
        <f t="shared" si="163"/>
        <v/>
      </c>
      <c r="ERV116" s="77" t="str">
        <f t="shared" si="163"/>
        <v/>
      </c>
      <c r="ERW116" s="77" t="str">
        <f t="shared" si="163"/>
        <v/>
      </c>
      <c r="ERX116" s="77" t="str">
        <f t="shared" si="163"/>
        <v/>
      </c>
      <c r="ERY116" s="77" t="str">
        <f t="shared" si="163"/>
        <v/>
      </c>
      <c r="ERZ116" s="77" t="str">
        <f t="shared" si="163"/>
        <v/>
      </c>
      <c r="ESA116" s="77" t="str">
        <f t="shared" si="163"/>
        <v/>
      </c>
      <c r="ESB116" s="77" t="str">
        <f t="shared" si="163"/>
        <v/>
      </c>
      <c r="ESC116" s="77" t="str">
        <f t="shared" si="163"/>
        <v/>
      </c>
      <c r="ESD116" s="77" t="str">
        <f t="shared" si="163"/>
        <v/>
      </c>
      <c r="ESE116" s="77" t="str">
        <f t="shared" ref="ESE116:EUP116" si="164">IF(ISNUMBER(outYear),ESE69+ESE75+ESE81+ESE113,"")</f>
        <v/>
      </c>
      <c r="ESF116" s="77" t="str">
        <f t="shared" si="164"/>
        <v/>
      </c>
      <c r="ESG116" s="77" t="str">
        <f t="shared" si="164"/>
        <v/>
      </c>
      <c r="ESH116" s="77" t="str">
        <f t="shared" si="164"/>
        <v/>
      </c>
      <c r="ESI116" s="77" t="str">
        <f t="shared" si="164"/>
        <v/>
      </c>
      <c r="ESJ116" s="77" t="str">
        <f t="shared" si="164"/>
        <v/>
      </c>
      <c r="ESK116" s="77" t="str">
        <f t="shared" si="164"/>
        <v/>
      </c>
      <c r="ESL116" s="77" t="str">
        <f t="shared" si="164"/>
        <v/>
      </c>
      <c r="ESM116" s="77" t="str">
        <f t="shared" si="164"/>
        <v/>
      </c>
      <c r="ESN116" s="77" t="str">
        <f t="shared" si="164"/>
        <v/>
      </c>
      <c r="ESO116" s="77" t="str">
        <f t="shared" si="164"/>
        <v/>
      </c>
      <c r="ESP116" s="77" t="str">
        <f t="shared" si="164"/>
        <v/>
      </c>
      <c r="ESQ116" s="77" t="str">
        <f t="shared" si="164"/>
        <v/>
      </c>
      <c r="ESR116" s="77" t="str">
        <f t="shared" si="164"/>
        <v/>
      </c>
      <c r="ESS116" s="77" t="str">
        <f t="shared" si="164"/>
        <v/>
      </c>
      <c r="EST116" s="77" t="str">
        <f t="shared" si="164"/>
        <v/>
      </c>
      <c r="ESU116" s="77" t="str">
        <f t="shared" si="164"/>
        <v/>
      </c>
      <c r="ESV116" s="77" t="str">
        <f t="shared" si="164"/>
        <v/>
      </c>
      <c r="ESW116" s="77" t="str">
        <f t="shared" si="164"/>
        <v/>
      </c>
      <c r="ESX116" s="77" t="str">
        <f t="shared" si="164"/>
        <v/>
      </c>
      <c r="ESY116" s="77" t="str">
        <f t="shared" si="164"/>
        <v/>
      </c>
      <c r="ESZ116" s="77" t="str">
        <f t="shared" si="164"/>
        <v/>
      </c>
      <c r="ETA116" s="77" t="str">
        <f t="shared" si="164"/>
        <v/>
      </c>
      <c r="ETB116" s="77" t="str">
        <f t="shared" si="164"/>
        <v/>
      </c>
      <c r="ETC116" s="77" t="str">
        <f t="shared" si="164"/>
        <v/>
      </c>
      <c r="ETD116" s="77" t="str">
        <f t="shared" si="164"/>
        <v/>
      </c>
      <c r="ETE116" s="77" t="str">
        <f t="shared" si="164"/>
        <v/>
      </c>
      <c r="ETF116" s="77" t="str">
        <f t="shared" si="164"/>
        <v/>
      </c>
      <c r="ETG116" s="77" t="str">
        <f t="shared" si="164"/>
        <v/>
      </c>
      <c r="ETH116" s="77" t="str">
        <f t="shared" si="164"/>
        <v/>
      </c>
      <c r="ETI116" s="77" t="str">
        <f t="shared" si="164"/>
        <v/>
      </c>
      <c r="ETJ116" s="77" t="str">
        <f t="shared" si="164"/>
        <v/>
      </c>
      <c r="ETK116" s="77" t="str">
        <f t="shared" si="164"/>
        <v/>
      </c>
      <c r="ETL116" s="77" t="str">
        <f t="shared" si="164"/>
        <v/>
      </c>
      <c r="ETM116" s="77" t="str">
        <f t="shared" si="164"/>
        <v/>
      </c>
      <c r="ETN116" s="77" t="str">
        <f t="shared" si="164"/>
        <v/>
      </c>
      <c r="ETO116" s="77" t="str">
        <f t="shared" si="164"/>
        <v/>
      </c>
      <c r="ETP116" s="77" t="str">
        <f t="shared" si="164"/>
        <v/>
      </c>
      <c r="ETQ116" s="77" t="str">
        <f t="shared" si="164"/>
        <v/>
      </c>
      <c r="ETR116" s="77" t="str">
        <f t="shared" si="164"/>
        <v/>
      </c>
      <c r="ETS116" s="77" t="str">
        <f t="shared" si="164"/>
        <v/>
      </c>
      <c r="ETT116" s="77" t="str">
        <f t="shared" si="164"/>
        <v/>
      </c>
      <c r="ETU116" s="77" t="str">
        <f t="shared" si="164"/>
        <v/>
      </c>
      <c r="ETV116" s="77" t="str">
        <f t="shared" si="164"/>
        <v/>
      </c>
      <c r="ETW116" s="77" t="str">
        <f t="shared" si="164"/>
        <v/>
      </c>
      <c r="ETX116" s="77" t="str">
        <f t="shared" si="164"/>
        <v/>
      </c>
      <c r="ETY116" s="77" t="str">
        <f t="shared" si="164"/>
        <v/>
      </c>
      <c r="ETZ116" s="77" t="str">
        <f t="shared" si="164"/>
        <v/>
      </c>
      <c r="EUA116" s="77" t="str">
        <f t="shared" si="164"/>
        <v/>
      </c>
      <c r="EUB116" s="77" t="str">
        <f t="shared" si="164"/>
        <v/>
      </c>
      <c r="EUC116" s="77" t="str">
        <f t="shared" si="164"/>
        <v/>
      </c>
      <c r="EUD116" s="77" t="str">
        <f t="shared" si="164"/>
        <v/>
      </c>
      <c r="EUE116" s="77" t="str">
        <f t="shared" si="164"/>
        <v/>
      </c>
      <c r="EUF116" s="77" t="str">
        <f t="shared" si="164"/>
        <v/>
      </c>
      <c r="EUG116" s="77" t="str">
        <f t="shared" si="164"/>
        <v/>
      </c>
      <c r="EUH116" s="77" t="str">
        <f t="shared" si="164"/>
        <v/>
      </c>
      <c r="EUI116" s="77" t="str">
        <f t="shared" si="164"/>
        <v/>
      </c>
      <c r="EUJ116" s="77" t="str">
        <f t="shared" si="164"/>
        <v/>
      </c>
      <c r="EUK116" s="77" t="str">
        <f t="shared" si="164"/>
        <v/>
      </c>
      <c r="EUL116" s="77" t="str">
        <f t="shared" si="164"/>
        <v/>
      </c>
      <c r="EUM116" s="77" t="str">
        <f t="shared" si="164"/>
        <v/>
      </c>
      <c r="EUN116" s="77" t="str">
        <f t="shared" si="164"/>
        <v/>
      </c>
      <c r="EUO116" s="77" t="str">
        <f t="shared" si="164"/>
        <v/>
      </c>
      <c r="EUP116" s="77" t="str">
        <f t="shared" si="164"/>
        <v/>
      </c>
      <c r="EUQ116" s="77" t="str">
        <f t="shared" ref="EUQ116:EXB116" si="165">IF(ISNUMBER(outYear),EUQ69+EUQ75+EUQ81+EUQ113,"")</f>
        <v/>
      </c>
      <c r="EUR116" s="77" t="str">
        <f t="shared" si="165"/>
        <v/>
      </c>
      <c r="EUS116" s="77" t="str">
        <f t="shared" si="165"/>
        <v/>
      </c>
      <c r="EUT116" s="77" t="str">
        <f t="shared" si="165"/>
        <v/>
      </c>
      <c r="EUU116" s="77" t="str">
        <f t="shared" si="165"/>
        <v/>
      </c>
      <c r="EUV116" s="77" t="str">
        <f t="shared" si="165"/>
        <v/>
      </c>
      <c r="EUW116" s="77" t="str">
        <f t="shared" si="165"/>
        <v/>
      </c>
      <c r="EUX116" s="77" t="str">
        <f t="shared" si="165"/>
        <v/>
      </c>
      <c r="EUY116" s="77" t="str">
        <f t="shared" si="165"/>
        <v/>
      </c>
      <c r="EUZ116" s="77" t="str">
        <f t="shared" si="165"/>
        <v/>
      </c>
      <c r="EVA116" s="77" t="str">
        <f t="shared" si="165"/>
        <v/>
      </c>
      <c r="EVB116" s="77" t="str">
        <f t="shared" si="165"/>
        <v/>
      </c>
      <c r="EVC116" s="77" t="str">
        <f t="shared" si="165"/>
        <v/>
      </c>
      <c r="EVD116" s="77" t="str">
        <f t="shared" si="165"/>
        <v/>
      </c>
      <c r="EVE116" s="77" t="str">
        <f t="shared" si="165"/>
        <v/>
      </c>
      <c r="EVF116" s="77" t="str">
        <f t="shared" si="165"/>
        <v/>
      </c>
      <c r="EVG116" s="77" t="str">
        <f t="shared" si="165"/>
        <v/>
      </c>
      <c r="EVH116" s="77" t="str">
        <f t="shared" si="165"/>
        <v/>
      </c>
      <c r="EVI116" s="77" t="str">
        <f t="shared" si="165"/>
        <v/>
      </c>
      <c r="EVJ116" s="77" t="str">
        <f t="shared" si="165"/>
        <v/>
      </c>
      <c r="EVK116" s="77" t="str">
        <f t="shared" si="165"/>
        <v/>
      </c>
      <c r="EVL116" s="77" t="str">
        <f t="shared" si="165"/>
        <v/>
      </c>
      <c r="EVM116" s="77" t="str">
        <f t="shared" si="165"/>
        <v/>
      </c>
      <c r="EVN116" s="77" t="str">
        <f t="shared" si="165"/>
        <v/>
      </c>
      <c r="EVO116" s="77" t="str">
        <f t="shared" si="165"/>
        <v/>
      </c>
      <c r="EVP116" s="77" t="str">
        <f t="shared" si="165"/>
        <v/>
      </c>
      <c r="EVQ116" s="77" t="str">
        <f t="shared" si="165"/>
        <v/>
      </c>
      <c r="EVR116" s="77" t="str">
        <f t="shared" si="165"/>
        <v/>
      </c>
      <c r="EVS116" s="77" t="str">
        <f t="shared" si="165"/>
        <v/>
      </c>
      <c r="EVT116" s="77" t="str">
        <f t="shared" si="165"/>
        <v/>
      </c>
      <c r="EVU116" s="77" t="str">
        <f t="shared" si="165"/>
        <v/>
      </c>
      <c r="EVV116" s="77" t="str">
        <f t="shared" si="165"/>
        <v/>
      </c>
      <c r="EVW116" s="77" t="str">
        <f t="shared" si="165"/>
        <v/>
      </c>
      <c r="EVX116" s="77" t="str">
        <f t="shared" si="165"/>
        <v/>
      </c>
      <c r="EVY116" s="77" t="str">
        <f t="shared" si="165"/>
        <v/>
      </c>
      <c r="EVZ116" s="77" t="str">
        <f t="shared" si="165"/>
        <v/>
      </c>
      <c r="EWA116" s="77" t="str">
        <f t="shared" si="165"/>
        <v/>
      </c>
      <c r="EWB116" s="77" t="str">
        <f t="shared" si="165"/>
        <v/>
      </c>
      <c r="EWC116" s="77" t="str">
        <f t="shared" si="165"/>
        <v/>
      </c>
      <c r="EWD116" s="77" t="str">
        <f t="shared" si="165"/>
        <v/>
      </c>
      <c r="EWE116" s="77" t="str">
        <f t="shared" si="165"/>
        <v/>
      </c>
      <c r="EWF116" s="77" t="str">
        <f t="shared" si="165"/>
        <v/>
      </c>
      <c r="EWG116" s="77" t="str">
        <f t="shared" si="165"/>
        <v/>
      </c>
      <c r="EWH116" s="77" t="str">
        <f t="shared" si="165"/>
        <v/>
      </c>
      <c r="EWI116" s="77" t="str">
        <f t="shared" si="165"/>
        <v/>
      </c>
      <c r="EWJ116" s="77" t="str">
        <f t="shared" si="165"/>
        <v/>
      </c>
      <c r="EWK116" s="77" t="str">
        <f t="shared" si="165"/>
        <v/>
      </c>
      <c r="EWL116" s="77" t="str">
        <f t="shared" si="165"/>
        <v/>
      </c>
      <c r="EWM116" s="77" t="str">
        <f t="shared" si="165"/>
        <v/>
      </c>
      <c r="EWN116" s="77" t="str">
        <f t="shared" si="165"/>
        <v/>
      </c>
      <c r="EWO116" s="77" t="str">
        <f t="shared" si="165"/>
        <v/>
      </c>
      <c r="EWP116" s="77" t="str">
        <f t="shared" si="165"/>
        <v/>
      </c>
      <c r="EWQ116" s="77" t="str">
        <f t="shared" si="165"/>
        <v/>
      </c>
      <c r="EWR116" s="77" t="str">
        <f t="shared" si="165"/>
        <v/>
      </c>
      <c r="EWS116" s="77" t="str">
        <f t="shared" si="165"/>
        <v/>
      </c>
      <c r="EWT116" s="77" t="str">
        <f t="shared" si="165"/>
        <v/>
      </c>
      <c r="EWU116" s="77" t="str">
        <f t="shared" si="165"/>
        <v/>
      </c>
      <c r="EWV116" s="77" t="str">
        <f t="shared" si="165"/>
        <v/>
      </c>
      <c r="EWW116" s="77" t="str">
        <f t="shared" si="165"/>
        <v/>
      </c>
      <c r="EWX116" s="77" t="str">
        <f t="shared" si="165"/>
        <v/>
      </c>
      <c r="EWY116" s="77" t="str">
        <f t="shared" si="165"/>
        <v/>
      </c>
      <c r="EWZ116" s="77" t="str">
        <f t="shared" si="165"/>
        <v/>
      </c>
      <c r="EXA116" s="77" t="str">
        <f t="shared" si="165"/>
        <v/>
      </c>
      <c r="EXB116" s="77" t="str">
        <f t="shared" si="165"/>
        <v/>
      </c>
      <c r="EXC116" s="77" t="str">
        <f t="shared" ref="EXC116:EZN116" si="166">IF(ISNUMBER(outYear),EXC69+EXC75+EXC81+EXC113,"")</f>
        <v/>
      </c>
      <c r="EXD116" s="77" t="str">
        <f t="shared" si="166"/>
        <v/>
      </c>
      <c r="EXE116" s="77" t="str">
        <f t="shared" si="166"/>
        <v/>
      </c>
      <c r="EXF116" s="77" t="str">
        <f t="shared" si="166"/>
        <v/>
      </c>
      <c r="EXG116" s="77" t="str">
        <f t="shared" si="166"/>
        <v/>
      </c>
      <c r="EXH116" s="77" t="str">
        <f t="shared" si="166"/>
        <v/>
      </c>
      <c r="EXI116" s="77" t="str">
        <f t="shared" si="166"/>
        <v/>
      </c>
      <c r="EXJ116" s="77" t="str">
        <f t="shared" si="166"/>
        <v/>
      </c>
      <c r="EXK116" s="77" t="str">
        <f t="shared" si="166"/>
        <v/>
      </c>
      <c r="EXL116" s="77" t="str">
        <f t="shared" si="166"/>
        <v/>
      </c>
      <c r="EXM116" s="77" t="str">
        <f t="shared" si="166"/>
        <v/>
      </c>
      <c r="EXN116" s="77" t="str">
        <f t="shared" si="166"/>
        <v/>
      </c>
      <c r="EXO116" s="77" t="str">
        <f t="shared" si="166"/>
        <v/>
      </c>
      <c r="EXP116" s="77" t="str">
        <f t="shared" si="166"/>
        <v/>
      </c>
      <c r="EXQ116" s="77" t="str">
        <f t="shared" si="166"/>
        <v/>
      </c>
      <c r="EXR116" s="77" t="str">
        <f t="shared" si="166"/>
        <v/>
      </c>
      <c r="EXS116" s="77" t="str">
        <f t="shared" si="166"/>
        <v/>
      </c>
      <c r="EXT116" s="77" t="str">
        <f t="shared" si="166"/>
        <v/>
      </c>
      <c r="EXU116" s="77" t="str">
        <f t="shared" si="166"/>
        <v/>
      </c>
      <c r="EXV116" s="77" t="str">
        <f t="shared" si="166"/>
        <v/>
      </c>
      <c r="EXW116" s="77" t="str">
        <f t="shared" si="166"/>
        <v/>
      </c>
      <c r="EXX116" s="77" t="str">
        <f t="shared" si="166"/>
        <v/>
      </c>
      <c r="EXY116" s="77" t="str">
        <f t="shared" si="166"/>
        <v/>
      </c>
      <c r="EXZ116" s="77" t="str">
        <f t="shared" si="166"/>
        <v/>
      </c>
      <c r="EYA116" s="77" t="str">
        <f t="shared" si="166"/>
        <v/>
      </c>
      <c r="EYB116" s="77" t="str">
        <f t="shared" si="166"/>
        <v/>
      </c>
      <c r="EYC116" s="77" t="str">
        <f t="shared" si="166"/>
        <v/>
      </c>
      <c r="EYD116" s="77" t="str">
        <f t="shared" si="166"/>
        <v/>
      </c>
      <c r="EYE116" s="77" t="str">
        <f t="shared" si="166"/>
        <v/>
      </c>
      <c r="EYF116" s="77" t="str">
        <f t="shared" si="166"/>
        <v/>
      </c>
      <c r="EYG116" s="77" t="str">
        <f t="shared" si="166"/>
        <v/>
      </c>
      <c r="EYH116" s="77" t="str">
        <f t="shared" si="166"/>
        <v/>
      </c>
      <c r="EYI116" s="77" t="str">
        <f t="shared" si="166"/>
        <v/>
      </c>
      <c r="EYJ116" s="77" t="str">
        <f t="shared" si="166"/>
        <v/>
      </c>
      <c r="EYK116" s="77" t="str">
        <f t="shared" si="166"/>
        <v/>
      </c>
      <c r="EYL116" s="77" t="str">
        <f t="shared" si="166"/>
        <v/>
      </c>
      <c r="EYM116" s="77" t="str">
        <f t="shared" si="166"/>
        <v/>
      </c>
      <c r="EYN116" s="77" t="str">
        <f t="shared" si="166"/>
        <v/>
      </c>
      <c r="EYO116" s="77" t="str">
        <f t="shared" si="166"/>
        <v/>
      </c>
      <c r="EYP116" s="77" t="str">
        <f t="shared" si="166"/>
        <v/>
      </c>
      <c r="EYQ116" s="77" t="str">
        <f t="shared" si="166"/>
        <v/>
      </c>
      <c r="EYR116" s="77" t="str">
        <f t="shared" si="166"/>
        <v/>
      </c>
      <c r="EYS116" s="77" t="str">
        <f t="shared" si="166"/>
        <v/>
      </c>
      <c r="EYT116" s="77" t="str">
        <f t="shared" si="166"/>
        <v/>
      </c>
      <c r="EYU116" s="77" t="str">
        <f t="shared" si="166"/>
        <v/>
      </c>
      <c r="EYV116" s="77" t="str">
        <f t="shared" si="166"/>
        <v/>
      </c>
      <c r="EYW116" s="77" t="str">
        <f t="shared" si="166"/>
        <v/>
      </c>
      <c r="EYX116" s="77" t="str">
        <f t="shared" si="166"/>
        <v/>
      </c>
      <c r="EYY116" s="77" t="str">
        <f t="shared" si="166"/>
        <v/>
      </c>
      <c r="EYZ116" s="77" t="str">
        <f t="shared" si="166"/>
        <v/>
      </c>
      <c r="EZA116" s="77" t="str">
        <f t="shared" si="166"/>
        <v/>
      </c>
      <c r="EZB116" s="77" t="str">
        <f t="shared" si="166"/>
        <v/>
      </c>
      <c r="EZC116" s="77" t="str">
        <f t="shared" si="166"/>
        <v/>
      </c>
      <c r="EZD116" s="77" t="str">
        <f t="shared" si="166"/>
        <v/>
      </c>
      <c r="EZE116" s="77" t="str">
        <f t="shared" si="166"/>
        <v/>
      </c>
      <c r="EZF116" s="77" t="str">
        <f t="shared" si="166"/>
        <v/>
      </c>
      <c r="EZG116" s="77" t="str">
        <f t="shared" si="166"/>
        <v/>
      </c>
      <c r="EZH116" s="77" t="str">
        <f t="shared" si="166"/>
        <v/>
      </c>
      <c r="EZI116" s="77" t="str">
        <f t="shared" si="166"/>
        <v/>
      </c>
      <c r="EZJ116" s="77" t="str">
        <f t="shared" si="166"/>
        <v/>
      </c>
      <c r="EZK116" s="77" t="str">
        <f t="shared" si="166"/>
        <v/>
      </c>
      <c r="EZL116" s="77" t="str">
        <f t="shared" si="166"/>
        <v/>
      </c>
      <c r="EZM116" s="77" t="str">
        <f t="shared" si="166"/>
        <v/>
      </c>
      <c r="EZN116" s="77" t="str">
        <f t="shared" si="166"/>
        <v/>
      </c>
      <c r="EZO116" s="77" t="str">
        <f t="shared" ref="EZO116:FBZ116" si="167">IF(ISNUMBER(outYear),EZO69+EZO75+EZO81+EZO113,"")</f>
        <v/>
      </c>
      <c r="EZP116" s="77" t="str">
        <f t="shared" si="167"/>
        <v/>
      </c>
      <c r="EZQ116" s="77" t="str">
        <f t="shared" si="167"/>
        <v/>
      </c>
      <c r="EZR116" s="77" t="str">
        <f t="shared" si="167"/>
        <v/>
      </c>
      <c r="EZS116" s="77" t="str">
        <f t="shared" si="167"/>
        <v/>
      </c>
      <c r="EZT116" s="77" t="str">
        <f t="shared" si="167"/>
        <v/>
      </c>
      <c r="EZU116" s="77" t="str">
        <f t="shared" si="167"/>
        <v/>
      </c>
      <c r="EZV116" s="77" t="str">
        <f t="shared" si="167"/>
        <v/>
      </c>
      <c r="EZW116" s="77" t="str">
        <f t="shared" si="167"/>
        <v/>
      </c>
      <c r="EZX116" s="77" t="str">
        <f t="shared" si="167"/>
        <v/>
      </c>
      <c r="EZY116" s="77" t="str">
        <f t="shared" si="167"/>
        <v/>
      </c>
      <c r="EZZ116" s="77" t="str">
        <f t="shared" si="167"/>
        <v/>
      </c>
      <c r="FAA116" s="77" t="str">
        <f t="shared" si="167"/>
        <v/>
      </c>
      <c r="FAB116" s="77" t="str">
        <f t="shared" si="167"/>
        <v/>
      </c>
      <c r="FAC116" s="77" t="str">
        <f t="shared" si="167"/>
        <v/>
      </c>
      <c r="FAD116" s="77" t="str">
        <f t="shared" si="167"/>
        <v/>
      </c>
      <c r="FAE116" s="77" t="str">
        <f t="shared" si="167"/>
        <v/>
      </c>
      <c r="FAF116" s="77" t="str">
        <f t="shared" si="167"/>
        <v/>
      </c>
      <c r="FAG116" s="77" t="str">
        <f t="shared" si="167"/>
        <v/>
      </c>
      <c r="FAH116" s="77" t="str">
        <f t="shared" si="167"/>
        <v/>
      </c>
      <c r="FAI116" s="77" t="str">
        <f t="shared" si="167"/>
        <v/>
      </c>
      <c r="FAJ116" s="77" t="str">
        <f t="shared" si="167"/>
        <v/>
      </c>
      <c r="FAK116" s="77" t="str">
        <f t="shared" si="167"/>
        <v/>
      </c>
      <c r="FAL116" s="77" t="str">
        <f t="shared" si="167"/>
        <v/>
      </c>
      <c r="FAM116" s="77" t="str">
        <f t="shared" si="167"/>
        <v/>
      </c>
      <c r="FAN116" s="77" t="str">
        <f t="shared" si="167"/>
        <v/>
      </c>
      <c r="FAO116" s="77" t="str">
        <f t="shared" si="167"/>
        <v/>
      </c>
      <c r="FAP116" s="77" t="str">
        <f t="shared" si="167"/>
        <v/>
      </c>
      <c r="FAQ116" s="77" t="str">
        <f t="shared" si="167"/>
        <v/>
      </c>
      <c r="FAR116" s="77" t="str">
        <f t="shared" si="167"/>
        <v/>
      </c>
      <c r="FAS116" s="77" t="str">
        <f t="shared" si="167"/>
        <v/>
      </c>
      <c r="FAT116" s="77" t="str">
        <f t="shared" si="167"/>
        <v/>
      </c>
      <c r="FAU116" s="77" t="str">
        <f t="shared" si="167"/>
        <v/>
      </c>
      <c r="FAV116" s="77" t="str">
        <f t="shared" si="167"/>
        <v/>
      </c>
      <c r="FAW116" s="77" t="str">
        <f t="shared" si="167"/>
        <v/>
      </c>
      <c r="FAX116" s="77" t="str">
        <f t="shared" si="167"/>
        <v/>
      </c>
      <c r="FAY116" s="77" t="str">
        <f t="shared" si="167"/>
        <v/>
      </c>
      <c r="FAZ116" s="77" t="str">
        <f t="shared" si="167"/>
        <v/>
      </c>
      <c r="FBA116" s="77" t="str">
        <f t="shared" si="167"/>
        <v/>
      </c>
      <c r="FBB116" s="77" t="str">
        <f t="shared" si="167"/>
        <v/>
      </c>
      <c r="FBC116" s="77" t="str">
        <f t="shared" si="167"/>
        <v/>
      </c>
      <c r="FBD116" s="77" t="str">
        <f t="shared" si="167"/>
        <v/>
      </c>
      <c r="FBE116" s="77" t="str">
        <f t="shared" si="167"/>
        <v/>
      </c>
      <c r="FBF116" s="77" t="str">
        <f t="shared" si="167"/>
        <v/>
      </c>
      <c r="FBG116" s="77" t="str">
        <f t="shared" si="167"/>
        <v/>
      </c>
      <c r="FBH116" s="77" t="str">
        <f t="shared" si="167"/>
        <v/>
      </c>
      <c r="FBI116" s="77" t="str">
        <f t="shared" si="167"/>
        <v/>
      </c>
      <c r="FBJ116" s="77" t="str">
        <f t="shared" si="167"/>
        <v/>
      </c>
      <c r="FBK116" s="77" t="str">
        <f t="shared" si="167"/>
        <v/>
      </c>
      <c r="FBL116" s="77" t="str">
        <f t="shared" si="167"/>
        <v/>
      </c>
      <c r="FBM116" s="77" t="str">
        <f t="shared" si="167"/>
        <v/>
      </c>
      <c r="FBN116" s="77" t="str">
        <f t="shared" si="167"/>
        <v/>
      </c>
      <c r="FBO116" s="77" t="str">
        <f t="shared" si="167"/>
        <v/>
      </c>
      <c r="FBP116" s="77" t="str">
        <f t="shared" si="167"/>
        <v/>
      </c>
      <c r="FBQ116" s="77" t="str">
        <f t="shared" si="167"/>
        <v/>
      </c>
      <c r="FBR116" s="77" t="str">
        <f t="shared" si="167"/>
        <v/>
      </c>
      <c r="FBS116" s="77" t="str">
        <f t="shared" si="167"/>
        <v/>
      </c>
      <c r="FBT116" s="77" t="str">
        <f t="shared" si="167"/>
        <v/>
      </c>
      <c r="FBU116" s="77" t="str">
        <f t="shared" si="167"/>
        <v/>
      </c>
      <c r="FBV116" s="77" t="str">
        <f t="shared" si="167"/>
        <v/>
      </c>
      <c r="FBW116" s="77" t="str">
        <f t="shared" si="167"/>
        <v/>
      </c>
      <c r="FBX116" s="77" t="str">
        <f t="shared" si="167"/>
        <v/>
      </c>
      <c r="FBY116" s="77" t="str">
        <f t="shared" si="167"/>
        <v/>
      </c>
      <c r="FBZ116" s="77" t="str">
        <f t="shared" si="167"/>
        <v/>
      </c>
      <c r="FCA116" s="77" t="str">
        <f t="shared" ref="FCA116:FEL116" si="168">IF(ISNUMBER(outYear),FCA69+FCA75+FCA81+FCA113,"")</f>
        <v/>
      </c>
      <c r="FCB116" s="77" t="str">
        <f t="shared" si="168"/>
        <v/>
      </c>
      <c r="FCC116" s="77" t="str">
        <f t="shared" si="168"/>
        <v/>
      </c>
      <c r="FCD116" s="77" t="str">
        <f t="shared" si="168"/>
        <v/>
      </c>
      <c r="FCE116" s="77" t="str">
        <f t="shared" si="168"/>
        <v/>
      </c>
      <c r="FCF116" s="77" t="str">
        <f t="shared" si="168"/>
        <v/>
      </c>
      <c r="FCG116" s="77" t="str">
        <f t="shared" si="168"/>
        <v/>
      </c>
      <c r="FCH116" s="77" t="str">
        <f t="shared" si="168"/>
        <v/>
      </c>
      <c r="FCI116" s="77" t="str">
        <f t="shared" si="168"/>
        <v/>
      </c>
      <c r="FCJ116" s="77" t="str">
        <f t="shared" si="168"/>
        <v/>
      </c>
      <c r="FCK116" s="77" t="str">
        <f t="shared" si="168"/>
        <v/>
      </c>
      <c r="FCL116" s="77" t="str">
        <f t="shared" si="168"/>
        <v/>
      </c>
      <c r="FCM116" s="77" t="str">
        <f t="shared" si="168"/>
        <v/>
      </c>
      <c r="FCN116" s="77" t="str">
        <f t="shared" si="168"/>
        <v/>
      </c>
      <c r="FCO116" s="77" t="str">
        <f t="shared" si="168"/>
        <v/>
      </c>
      <c r="FCP116" s="77" t="str">
        <f t="shared" si="168"/>
        <v/>
      </c>
      <c r="FCQ116" s="77" t="str">
        <f t="shared" si="168"/>
        <v/>
      </c>
      <c r="FCR116" s="77" t="str">
        <f t="shared" si="168"/>
        <v/>
      </c>
      <c r="FCS116" s="77" t="str">
        <f t="shared" si="168"/>
        <v/>
      </c>
      <c r="FCT116" s="77" t="str">
        <f t="shared" si="168"/>
        <v/>
      </c>
      <c r="FCU116" s="77" t="str">
        <f t="shared" si="168"/>
        <v/>
      </c>
      <c r="FCV116" s="77" t="str">
        <f t="shared" si="168"/>
        <v/>
      </c>
      <c r="FCW116" s="77" t="str">
        <f t="shared" si="168"/>
        <v/>
      </c>
      <c r="FCX116" s="77" t="str">
        <f t="shared" si="168"/>
        <v/>
      </c>
      <c r="FCY116" s="77" t="str">
        <f t="shared" si="168"/>
        <v/>
      </c>
      <c r="FCZ116" s="77" t="str">
        <f t="shared" si="168"/>
        <v/>
      </c>
      <c r="FDA116" s="77" t="str">
        <f t="shared" si="168"/>
        <v/>
      </c>
      <c r="FDB116" s="77" t="str">
        <f t="shared" si="168"/>
        <v/>
      </c>
      <c r="FDC116" s="77" t="str">
        <f t="shared" si="168"/>
        <v/>
      </c>
      <c r="FDD116" s="77" t="str">
        <f t="shared" si="168"/>
        <v/>
      </c>
      <c r="FDE116" s="77" t="str">
        <f t="shared" si="168"/>
        <v/>
      </c>
      <c r="FDF116" s="77" t="str">
        <f t="shared" si="168"/>
        <v/>
      </c>
      <c r="FDG116" s="77" t="str">
        <f t="shared" si="168"/>
        <v/>
      </c>
      <c r="FDH116" s="77" t="str">
        <f t="shared" si="168"/>
        <v/>
      </c>
      <c r="FDI116" s="77" t="str">
        <f t="shared" si="168"/>
        <v/>
      </c>
      <c r="FDJ116" s="77" t="str">
        <f t="shared" si="168"/>
        <v/>
      </c>
      <c r="FDK116" s="77" t="str">
        <f t="shared" si="168"/>
        <v/>
      </c>
      <c r="FDL116" s="77" t="str">
        <f t="shared" si="168"/>
        <v/>
      </c>
      <c r="FDM116" s="77" t="str">
        <f t="shared" si="168"/>
        <v/>
      </c>
      <c r="FDN116" s="77" t="str">
        <f t="shared" si="168"/>
        <v/>
      </c>
      <c r="FDO116" s="77" t="str">
        <f t="shared" si="168"/>
        <v/>
      </c>
      <c r="FDP116" s="77" t="str">
        <f t="shared" si="168"/>
        <v/>
      </c>
      <c r="FDQ116" s="77" t="str">
        <f t="shared" si="168"/>
        <v/>
      </c>
      <c r="FDR116" s="77" t="str">
        <f t="shared" si="168"/>
        <v/>
      </c>
      <c r="FDS116" s="77" t="str">
        <f t="shared" si="168"/>
        <v/>
      </c>
      <c r="FDT116" s="77" t="str">
        <f t="shared" si="168"/>
        <v/>
      </c>
      <c r="FDU116" s="77" t="str">
        <f t="shared" si="168"/>
        <v/>
      </c>
      <c r="FDV116" s="77" t="str">
        <f t="shared" si="168"/>
        <v/>
      </c>
      <c r="FDW116" s="77" t="str">
        <f t="shared" si="168"/>
        <v/>
      </c>
      <c r="FDX116" s="77" t="str">
        <f t="shared" si="168"/>
        <v/>
      </c>
      <c r="FDY116" s="77" t="str">
        <f t="shared" si="168"/>
        <v/>
      </c>
      <c r="FDZ116" s="77" t="str">
        <f t="shared" si="168"/>
        <v/>
      </c>
      <c r="FEA116" s="77" t="str">
        <f t="shared" si="168"/>
        <v/>
      </c>
      <c r="FEB116" s="77" t="str">
        <f t="shared" si="168"/>
        <v/>
      </c>
      <c r="FEC116" s="77" t="str">
        <f t="shared" si="168"/>
        <v/>
      </c>
      <c r="FED116" s="77" t="str">
        <f t="shared" si="168"/>
        <v/>
      </c>
      <c r="FEE116" s="77" t="str">
        <f t="shared" si="168"/>
        <v/>
      </c>
      <c r="FEF116" s="77" t="str">
        <f t="shared" si="168"/>
        <v/>
      </c>
      <c r="FEG116" s="77" t="str">
        <f t="shared" si="168"/>
        <v/>
      </c>
      <c r="FEH116" s="77" t="str">
        <f t="shared" si="168"/>
        <v/>
      </c>
      <c r="FEI116" s="77" t="str">
        <f t="shared" si="168"/>
        <v/>
      </c>
      <c r="FEJ116" s="77" t="str">
        <f t="shared" si="168"/>
        <v/>
      </c>
      <c r="FEK116" s="77" t="str">
        <f t="shared" si="168"/>
        <v/>
      </c>
      <c r="FEL116" s="77" t="str">
        <f t="shared" si="168"/>
        <v/>
      </c>
      <c r="FEM116" s="77" t="str">
        <f t="shared" ref="FEM116:FGX116" si="169">IF(ISNUMBER(outYear),FEM69+FEM75+FEM81+FEM113,"")</f>
        <v/>
      </c>
      <c r="FEN116" s="77" t="str">
        <f t="shared" si="169"/>
        <v/>
      </c>
      <c r="FEO116" s="77" t="str">
        <f t="shared" si="169"/>
        <v/>
      </c>
      <c r="FEP116" s="77" t="str">
        <f t="shared" si="169"/>
        <v/>
      </c>
      <c r="FEQ116" s="77" t="str">
        <f t="shared" si="169"/>
        <v/>
      </c>
      <c r="FER116" s="77" t="str">
        <f t="shared" si="169"/>
        <v/>
      </c>
      <c r="FES116" s="77" t="str">
        <f t="shared" si="169"/>
        <v/>
      </c>
      <c r="FET116" s="77" t="str">
        <f t="shared" si="169"/>
        <v/>
      </c>
      <c r="FEU116" s="77" t="str">
        <f t="shared" si="169"/>
        <v/>
      </c>
      <c r="FEV116" s="77" t="str">
        <f t="shared" si="169"/>
        <v/>
      </c>
      <c r="FEW116" s="77" t="str">
        <f t="shared" si="169"/>
        <v/>
      </c>
      <c r="FEX116" s="77" t="str">
        <f t="shared" si="169"/>
        <v/>
      </c>
      <c r="FEY116" s="77" t="str">
        <f t="shared" si="169"/>
        <v/>
      </c>
      <c r="FEZ116" s="77" t="str">
        <f t="shared" si="169"/>
        <v/>
      </c>
      <c r="FFA116" s="77" t="str">
        <f t="shared" si="169"/>
        <v/>
      </c>
      <c r="FFB116" s="77" t="str">
        <f t="shared" si="169"/>
        <v/>
      </c>
      <c r="FFC116" s="77" t="str">
        <f t="shared" si="169"/>
        <v/>
      </c>
      <c r="FFD116" s="77" t="str">
        <f t="shared" si="169"/>
        <v/>
      </c>
      <c r="FFE116" s="77" t="str">
        <f t="shared" si="169"/>
        <v/>
      </c>
      <c r="FFF116" s="77" t="str">
        <f t="shared" si="169"/>
        <v/>
      </c>
      <c r="FFG116" s="77" t="str">
        <f t="shared" si="169"/>
        <v/>
      </c>
      <c r="FFH116" s="77" t="str">
        <f t="shared" si="169"/>
        <v/>
      </c>
      <c r="FFI116" s="77" t="str">
        <f t="shared" si="169"/>
        <v/>
      </c>
      <c r="FFJ116" s="77" t="str">
        <f t="shared" si="169"/>
        <v/>
      </c>
      <c r="FFK116" s="77" t="str">
        <f t="shared" si="169"/>
        <v/>
      </c>
      <c r="FFL116" s="77" t="str">
        <f t="shared" si="169"/>
        <v/>
      </c>
      <c r="FFM116" s="77" t="str">
        <f t="shared" si="169"/>
        <v/>
      </c>
      <c r="FFN116" s="77" t="str">
        <f t="shared" si="169"/>
        <v/>
      </c>
      <c r="FFO116" s="77" t="str">
        <f t="shared" si="169"/>
        <v/>
      </c>
      <c r="FFP116" s="77" t="str">
        <f t="shared" si="169"/>
        <v/>
      </c>
      <c r="FFQ116" s="77" t="str">
        <f t="shared" si="169"/>
        <v/>
      </c>
      <c r="FFR116" s="77" t="str">
        <f t="shared" si="169"/>
        <v/>
      </c>
      <c r="FFS116" s="77" t="str">
        <f t="shared" si="169"/>
        <v/>
      </c>
      <c r="FFT116" s="77" t="str">
        <f t="shared" si="169"/>
        <v/>
      </c>
      <c r="FFU116" s="77" t="str">
        <f t="shared" si="169"/>
        <v/>
      </c>
      <c r="FFV116" s="77" t="str">
        <f t="shared" si="169"/>
        <v/>
      </c>
      <c r="FFW116" s="77" t="str">
        <f t="shared" si="169"/>
        <v/>
      </c>
      <c r="FFX116" s="77" t="str">
        <f t="shared" si="169"/>
        <v/>
      </c>
      <c r="FFY116" s="77" t="str">
        <f t="shared" si="169"/>
        <v/>
      </c>
      <c r="FFZ116" s="77" t="str">
        <f t="shared" si="169"/>
        <v/>
      </c>
      <c r="FGA116" s="77" t="str">
        <f t="shared" si="169"/>
        <v/>
      </c>
      <c r="FGB116" s="77" t="str">
        <f t="shared" si="169"/>
        <v/>
      </c>
      <c r="FGC116" s="77" t="str">
        <f t="shared" si="169"/>
        <v/>
      </c>
      <c r="FGD116" s="77" t="str">
        <f t="shared" si="169"/>
        <v/>
      </c>
      <c r="FGE116" s="77" t="str">
        <f t="shared" si="169"/>
        <v/>
      </c>
      <c r="FGF116" s="77" t="str">
        <f t="shared" si="169"/>
        <v/>
      </c>
      <c r="FGG116" s="77" t="str">
        <f t="shared" si="169"/>
        <v/>
      </c>
      <c r="FGH116" s="77" t="str">
        <f t="shared" si="169"/>
        <v/>
      </c>
      <c r="FGI116" s="77" t="str">
        <f t="shared" si="169"/>
        <v/>
      </c>
      <c r="FGJ116" s="77" t="str">
        <f t="shared" si="169"/>
        <v/>
      </c>
      <c r="FGK116" s="77" t="str">
        <f t="shared" si="169"/>
        <v/>
      </c>
      <c r="FGL116" s="77" t="str">
        <f t="shared" si="169"/>
        <v/>
      </c>
      <c r="FGM116" s="77" t="str">
        <f t="shared" si="169"/>
        <v/>
      </c>
      <c r="FGN116" s="77" t="str">
        <f t="shared" si="169"/>
        <v/>
      </c>
      <c r="FGO116" s="77" t="str">
        <f t="shared" si="169"/>
        <v/>
      </c>
      <c r="FGP116" s="77" t="str">
        <f t="shared" si="169"/>
        <v/>
      </c>
      <c r="FGQ116" s="77" t="str">
        <f t="shared" si="169"/>
        <v/>
      </c>
      <c r="FGR116" s="77" t="str">
        <f t="shared" si="169"/>
        <v/>
      </c>
      <c r="FGS116" s="77" t="str">
        <f t="shared" si="169"/>
        <v/>
      </c>
      <c r="FGT116" s="77" t="str">
        <f t="shared" si="169"/>
        <v/>
      </c>
      <c r="FGU116" s="77" t="str">
        <f t="shared" si="169"/>
        <v/>
      </c>
      <c r="FGV116" s="77" t="str">
        <f t="shared" si="169"/>
        <v/>
      </c>
      <c r="FGW116" s="77" t="str">
        <f t="shared" si="169"/>
        <v/>
      </c>
      <c r="FGX116" s="77" t="str">
        <f t="shared" si="169"/>
        <v/>
      </c>
      <c r="FGY116" s="77" t="str">
        <f t="shared" ref="FGY116:FJJ116" si="170">IF(ISNUMBER(outYear),FGY69+FGY75+FGY81+FGY113,"")</f>
        <v/>
      </c>
      <c r="FGZ116" s="77" t="str">
        <f t="shared" si="170"/>
        <v/>
      </c>
      <c r="FHA116" s="77" t="str">
        <f t="shared" si="170"/>
        <v/>
      </c>
      <c r="FHB116" s="77" t="str">
        <f t="shared" si="170"/>
        <v/>
      </c>
      <c r="FHC116" s="77" t="str">
        <f t="shared" si="170"/>
        <v/>
      </c>
      <c r="FHD116" s="77" t="str">
        <f t="shared" si="170"/>
        <v/>
      </c>
      <c r="FHE116" s="77" t="str">
        <f t="shared" si="170"/>
        <v/>
      </c>
      <c r="FHF116" s="77" t="str">
        <f t="shared" si="170"/>
        <v/>
      </c>
      <c r="FHG116" s="77" t="str">
        <f t="shared" si="170"/>
        <v/>
      </c>
      <c r="FHH116" s="77" t="str">
        <f t="shared" si="170"/>
        <v/>
      </c>
      <c r="FHI116" s="77" t="str">
        <f t="shared" si="170"/>
        <v/>
      </c>
      <c r="FHJ116" s="77" t="str">
        <f t="shared" si="170"/>
        <v/>
      </c>
      <c r="FHK116" s="77" t="str">
        <f t="shared" si="170"/>
        <v/>
      </c>
      <c r="FHL116" s="77" t="str">
        <f t="shared" si="170"/>
        <v/>
      </c>
      <c r="FHM116" s="77" t="str">
        <f t="shared" si="170"/>
        <v/>
      </c>
      <c r="FHN116" s="77" t="str">
        <f t="shared" si="170"/>
        <v/>
      </c>
      <c r="FHO116" s="77" t="str">
        <f t="shared" si="170"/>
        <v/>
      </c>
      <c r="FHP116" s="77" t="str">
        <f t="shared" si="170"/>
        <v/>
      </c>
      <c r="FHQ116" s="77" t="str">
        <f t="shared" si="170"/>
        <v/>
      </c>
      <c r="FHR116" s="77" t="str">
        <f t="shared" si="170"/>
        <v/>
      </c>
      <c r="FHS116" s="77" t="str">
        <f t="shared" si="170"/>
        <v/>
      </c>
      <c r="FHT116" s="77" t="str">
        <f t="shared" si="170"/>
        <v/>
      </c>
      <c r="FHU116" s="77" t="str">
        <f t="shared" si="170"/>
        <v/>
      </c>
      <c r="FHV116" s="77" t="str">
        <f t="shared" si="170"/>
        <v/>
      </c>
      <c r="FHW116" s="77" t="str">
        <f t="shared" si="170"/>
        <v/>
      </c>
      <c r="FHX116" s="77" t="str">
        <f t="shared" si="170"/>
        <v/>
      </c>
      <c r="FHY116" s="77" t="str">
        <f t="shared" si="170"/>
        <v/>
      </c>
      <c r="FHZ116" s="77" t="str">
        <f t="shared" si="170"/>
        <v/>
      </c>
      <c r="FIA116" s="77" t="str">
        <f t="shared" si="170"/>
        <v/>
      </c>
      <c r="FIB116" s="77" t="str">
        <f t="shared" si="170"/>
        <v/>
      </c>
      <c r="FIC116" s="77" t="str">
        <f t="shared" si="170"/>
        <v/>
      </c>
      <c r="FID116" s="77" t="str">
        <f t="shared" si="170"/>
        <v/>
      </c>
      <c r="FIE116" s="77" t="str">
        <f t="shared" si="170"/>
        <v/>
      </c>
      <c r="FIF116" s="77" t="str">
        <f t="shared" si="170"/>
        <v/>
      </c>
      <c r="FIG116" s="77" t="str">
        <f t="shared" si="170"/>
        <v/>
      </c>
      <c r="FIH116" s="77" t="str">
        <f t="shared" si="170"/>
        <v/>
      </c>
      <c r="FII116" s="77" t="str">
        <f t="shared" si="170"/>
        <v/>
      </c>
      <c r="FIJ116" s="77" t="str">
        <f t="shared" si="170"/>
        <v/>
      </c>
      <c r="FIK116" s="77" t="str">
        <f t="shared" si="170"/>
        <v/>
      </c>
      <c r="FIL116" s="77" t="str">
        <f t="shared" si="170"/>
        <v/>
      </c>
      <c r="FIM116" s="77" t="str">
        <f t="shared" si="170"/>
        <v/>
      </c>
      <c r="FIN116" s="77" t="str">
        <f t="shared" si="170"/>
        <v/>
      </c>
      <c r="FIO116" s="77" t="str">
        <f t="shared" si="170"/>
        <v/>
      </c>
      <c r="FIP116" s="77" t="str">
        <f t="shared" si="170"/>
        <v/>
      </c>
      <c r="FIQ116" s="77" t="str">
        <f t="shared" si="170"/>
        <v/>
      </c>
      <c r="FIR116" s="77" t="str">
        <f t="shared" si="170"/>
        <v/>
      </c>
      <c r="FIS116" s="77" t="str">
        <f t="shared" si="170"/>
        <v/>
      </c>
      <c r="FIT116" s="77" t="str">
        <f t="shared" si="170"/>
        <v/>
      </c>
      <c r="FIU116" s="77" t="str">
        <f t="shared" si="170"/>
        <v/>
      </c>
      <c r="FIV116" s="77" t="str">
        <f t="shared" si="170"/>
        <v/>
      </c>
      <c r="FIW116" s="77" t="str">
        <f t="shared" si="170"/>
        <v/>
      </c>
      <c r="FIX116" s="77" t="str">
        <f t="shared" si="170"/>
        <v/>
      </c>
      <c r="FIY116" s="77" t="str">
        <f t="shared" si="170"/>
        <v/>
      </c>
      <c r="FIZ116" s="77" t="str">
        <f t="shared" si="170"/>
        <v/>
      </c>
      <c r="FJA116" s="77" t="str">
        <f t="shared" si="170"/>
        <v/>
      </c>
      <c r="FJB116" s="77" t="str">
        <f t="shared" si="170"/>
        <v/>
      </c>
      <c r="FJC116" s="77" t="str">
        <f t="shared" si="170"/>
        <v/>
      </c>
      <c r="FJD116" s="77" t="str">
        <f t="shared" si="170"/>
        <v/>
      </c>
      <c r="FJE116" s="77" t="str">
        <f t="shared" si="170"/>
        <v/>
      </c>
      <c r="FJF116" s="77" t="str">
        <f t="shared" si="170"/>
        <v/>
      </c>
      <c r="FJG116" s="77" t="str">
        <f t="shared" si="170"/>
        <v/>
      </c>
      <c r="FJH116" s="77" t="str">
        <f t="shared" si="170"/>
        <v/>
      </c>
      <c r="FJI116" s="77" t="str">
        <f t="shared" si="170"/>
        <v/>
      </c>
      <c r="FJJ116" s="77" t="str">
        <f t="shared" si="170"/>
        <v/>
      </c>
      <c r="FJK116" s="77" t="str">
        <f t="shared" ref="FJK116:FLV116" si="171">IF(ISNUMBER(outYear),FJK69+FJK75+FJK81+FJK113,"")</f>
        <v/>
      </c>
      <c r="FJL116" s="77" t="str">
        <f t="shared" si="171"/>
        <v/>
      </c>
      <c r="FJM116" s="77" t="str">
        <f t="shared" si="171"/>
        <v/>
      </c>
      <c r="FJN116" s="77" t="str">
        <f t="shared" si="171"/>
        <v/>
      </c>
      <c r="FJO116" s="77" t="str">
        <f t="shared" si="171"/>
        <v/>
      </c>
      <c r="FJP116" s="77" t="str">
        <f t="shared" si="171"/>
        <v/>
      </c>
      <c r="FJQ116" s="77" t="str">
        <f t="shared" si="171"/>
        <v/>
      </c>
      <c r="FJR116" s="77" t="str">
        <f t="shared" si="171"/>
        <v/>
      </c>
      <c r="FJS116" s="77" t="str">
        <f t="shared" si="171"/>
        <v/>
      </c>
      <c r="FJT116" s="77" t="str">
        <f t="shared" si="171"/>
        <v/>
      </c>
      <c r="FJU116" s="77" t="str">
        <f t="shared" si="171"/>
        <v/>
      </c>
      <c r="FJV116" s="77" t="str">
        <f t="shared" si="171"/>
        <v/>
      </c>
      <c r="FJW116" s="77" t="str">
        <f t="shared" si="171"/>
        <v/>
      </c>
      <c r="FJX116" s="77" t="str">
        <f t="shared" si="171"/>
        <v/>
      </c>
      <c r="FJY116" s="77" t="str">
        <f t="shared" si="171"/>
        <v/>
      </c>
      <c r="FJZ116" s="77" t="str">
        <f t="shared" si="171"/>
        <v/>
      </c>
      <c r="FKA116" s="77" t="str">
        <f t="shared" si="171"/>
        <v/>
      </c>
      <c r="FKB116" s="77" t="str">
        <f t="shared" si="171"/>
        <v/>
      </c>
      <c r="FKC116" s="77" t="str">
        <f t="shared" si="171"/>
        <v/>
      </c>
      <c r="FKD116" s="77" t="str">
        <f t="shared" si="171"/>
        <v/>
      </c>
      <c r="FKE116" s="77" t="str">
        <f t="shared" si="171"/>
        <v/>
      </c>
      <c r="FKF116" s="77" t="str">
        <f t="shared" si="171"/>
        <v/>
      </c>
      <c r="FKG116" s="77" t="str">
        <f t="shared" si="171"/>
        <v/>
      </c>
      <c r="FKH116" s="77" t="str">
        <f t="shared" si="171"/>
        <v/>
      </c>
      <c r="FKI116" s="77" t="str">
        <f t="shared" si="171"/>
        <v/>
      </c>
      <c r="FKJ116" s="77" t="str">
        <f t="shared" si="171"/>
        <v/>
      </c>
      <c r="FKK116" s="77" t="str">
        <f t="shared" si="171"/>
        <v/>
      </c>
      <c r="FKL116" s="77" t="str">
        <f t="shared" si="171"/>
        <v/>
      </c>
      <c r="FKM116" s="77" t="str">
        <f t="shared" si="171"/>
        <v/>
      </c>
      <c r="FKN116" s="77" t="str">
        <f t="shared" si="171"/>
        <v/>
      </c>
      <c r="FKO116" s="77" t="str">
        <f t="shared" si="171"/>
        <v/>
      </c>
      <c r="FKP116" s="77" t="str">
        <f t="shared" si="171"/>
        <v/>
      </c>
      <c r="FKQ116" s="77" t="str">
        <f t="shared" si="171"/>
        <v/>
      </c>
      <c r="FKR116" s="77" t="str">
        <f t="shared" si="171"/>
        <v/>
      </c>
      <c r="FKS116" s="77" t="str">
        <f t="shared" si="171"/>
        <v/>
      </c>
      <c r="FKT116" s="77" t="str">
        <f t="shared" si="171"/>
        <v/>
      </c>
      <c r="FKU116" s="77" t="str">
        <f t="shared" si="171"/>
        <v/>
      </c>
      <c r="FKV116" s="77" t="str">
        <f t="shared" si="171"/>
        <v/>
      </c>
      <c r="FKW116" s="77" t="str">
        <f t="shared" si="171"/>
        <v/>
      </c>
      <c r="FKX116" s="77" t="str">
        <f t="shared" si="171"/>
        <v/>
      </c>
      <c r="FKY116" s="77" t="str">
        <f t="shared" si="171"/>
        <v/>
      </c>
      <c r="FKZ116" s="77" t="str">
        <f t="shared" si="171"/>
        <v/>
      </c>
      <c r="FLA116" s="77" t="str">
        <f t="shared" si="171"/>
        <v/>
      </c>
      <c r="FLB116" s="77" t="str">
        <f t="shared" si="171"/>
        <v/>
      </c>
      <c r="FLC116" s="77" t="str">
        <f t="shared" si="171"/>
        <v/>
      </c>
      <c r="FLD116" s="77" t="str">
        <f t="shared" si="171"/>
        <v/>
      </c>
      <c r="FLE116" s="77" t="str">
        <f t="shared" si="171"/>
        <v/>
      </c>
      <c r="FLF116" s="77" t="str">
        <f t="shared" si="171"/>
        <v/>
      </c>
      <c r="FLG116" s="77" t="str">
        <f t="shared" si="171"/>
        <v/>
      </c>
      <c r="FLH116" s="77" t="str">
        <f t="shared" si="171"/>
        <v/>
      </c>
      <c r="FLI116" s="77" t="str">
        <f t="shared" si="171"/>
        <v/>
      </c>
      <c r="FLJ116" s="77" t="str">
        <f t="shared" si="171"/>
        <v/>
      </c>
      <c r="FLK116" s="77" t="str">
        <f t="shared" si="171"/>
        <v/>
      </c>
      <c r="FLL116" s="77" t="str">
        <f t="shared" si="171"/>
        <v/>
      </c>
      <c r="FLM116" s="77" t="str">
        <f t="shared" si="171"/>
        <v/>
      </c>
      <c r="FLN116" s="77" t="str">
        <f t="shared" si="171"/>
        <v/>
      </c>
      <c r="FLO116" s="77" t="str">
        <f t="shared" si="171"/>
        <v/>
      </c>
      <c r="FLP116" s="77" t="str">
        <f t="shared" si="171"/>
        <v/>
      </c>
      <c r="FLQ116" s="77" t="str">
        <f t="shared" si="171"/>
        <v/>
      </c>
      <c r="FLR116" s="77" t="str">
        <f t="shared" si="171"/>
        <v/>
      </c>
      <c r="FLS116" s="77" t="str">
        <f t="shared" si="171"/>
        <v/>
      </c>
      <c r="FLT116" s="77" t="str">
        <f t="shared" si="171"/>
        <v/>
      </c>
      <c r="FLU116" s="77" t="str">
        <f t="shared" si="171"/>
        <v/>
      </c>
      <c r="FLV116" s="77" t="str">
        <f t="shared" si="171"/>
        <v/>
      </c>
      <c r="FLW116" s="77" t="str">
        <f t="shared" ref="FLW116:FOH116" si="172">IF(ISNUMBER(outYear),FLW69+FLW75+FLW81+FLW113,"")</f>
        <v/>
      </c>
      <c r="FLX116" s="77" t="str">
        <f t="shared" si="172"/>
        <v/>
      </c>
      <c r="FLY116" s="77" t="str">
        <f t="shared" si="172"/>
        <v/>
      </c>
      <c r="FLZ116" s="77" t="str">
        <f t="shared" si="172"/>
        <v/>
      </c>
      <c r="FMA116" s="77" t="str">
        <f t="shared" si="172"/>
        <v/>
      </c>
      <c r="FMB116" s="77" t="str">
        <f t="shared" si="172"/>
        <v/>
      </c>
      <c r="FMC116" s="77" t="str">
        <f t="shared" si="172"/>
        <v/>
      </c>
      <c r="FMD116" s="77" t="str">
        <f t="shared" si="172"/>
        <v/>
      </c>
      <c r="FME116" s="77" t="str">
        <f t="shared" si="172"/>
        <v/>
      </c>
      <c r="FMF116" s="77" t="str">
        <f t="shared" si="172"/>
        <v/>
      </c>
      <c r="FMG116" s="77" t="str">
        <f t="shared" si="172"/>
        <v/>
      </c>
      <c r="FMH116" s="77" t="str">
        <f t="shared" si="172"/>
        <v/>
      </c>
      <c r="FMI116" s="77" t="str">
        <f t="shared" si="172"/>
        <v/>
      </c>
      <c r="FMJ116" s="77" t="str">
        <f t="shared" si="172"/>
        <v/>
      </c>
      <c r="FMK116" s="77" t="str">
        <f t="shared" si="172"/>
        <v/>
      </c>
      <c r="FML116" s="77" t="str">
        <f t="shared" si="172"/>
        <v/>
      </c>
      <c r="FMM116" s="77" t="str">
        <f t="shared" si="172"/>
        <v/>
      </c>
      <c r="FMN116" s="77" t="str">
        <f t="shared" si="172"/>
        <v/>
      </c>
      <c r="FMO116" s="77" t="str">
        <f t="shared" si="172"/>
        <v/>
      </c>
      <c r="FMP116" s="77" t="str">
        <f t="shared" si="172"/>
        <v/>
      </c>
      <c r="FMQ116" s="77" t="str">
        <f t="shared" si="172"/>
        <v/>
      </c>
      <c r="FMR116" s="77" t="str">
        <f t="shared" si="172"/>
        <v/>
      </c>
      <c r="FMS116" s="77" t="str">
        <f t="shared" si="172"/>
        <v/>
      </c>
      <c r="FMT116" s="77" t="str">
        <f t="shared" si="172"/>
        <v/>
      </c>
      <c r="FMU116" s="77" t="str">
        <f t="shared" si="172"/>
        <v/>
      </c>
      <c r="FMV116" s="77" t="str">
        <f t="shared" si="172"/>
        <v/>
      </c>
      <c r="FMW116" s="77" t="str">
        <f t="shared" si="172"/>
        <v/>
      </c>
      <c r="FMX116" s="77" t="str">
        <f t="shared" si="172"/>
        <v/>
      </c>
      <c r="FMY116" s="77" t="str">
        <f t="shared" si="172"/>
        <v/>
      </c>
      <c r="FMZ116" s="77" t="str">
        <f t="shared" si="172"/>
        <v/>
      </c>
      <c r="FNA116" s="77" t="str">
        <f t="shared" si="172"/>
        <v/>
      </c>
      <c r="FNB116" s="77" t="str">
        <f t="shared" si="172"/>
        <v/>
      </c>
      <c r="FNC116" s="77" t="str">
        <f t="shared" si="172"/>
        <v/>
      </c>
      <c r="FND116" s="77" t="str">
        <f t="shared" si="172"/>
        <v/>
      </c>
      <c r="FNE116" s="77" t="str">
        <f t="shared" si="172"/>
        <v/>
      </c>
      <c r="FNF116" s="77" t="str">
        <f t="shared" si="172"/>
        <v/>
      </c>
      <c r="FNG116" s="77" t="str">
        <f t="shared" si="172"/>
        <v/>
      </c>
      <c r="FNH116" s="77" t="str">
        <f t="shared" si="172"/>
        <v/>
      </c>
      <c r="FNI116" s="77" t="str">
        <f t="shared" si="172"/>
        <v/>
      </c>
      <c r="FNJ116" s="77" t="str">
        <f t="shared" si="172"/>
        <v/>
      </c>
      <c r="FNK116" s="77" t="str">
        <f t="shared" si="172"/>
        <v/>
      </c>
      <c r="FNL116" s="77" t="str">
        <f t="shared" si="172"/>
        <v/>
      </c>
      <c r="FNM116" s="77" t="str">
        <f t="shared" si="172"/>
        <v/>
      </c>
      <c r="FNN116" s="77" t="str">
        <f t="shared" si="172"/>
        <v/>
      </c>
      <c r="FNO116" s="77" t="str">
        <f t="shared" si="172"/>
        <v/>
      </c>
      <c r="FNP116" s="77" t="str">
        <f t="shared" si="172"/>
        <v/>
      </c>
      <c r="FNQ116" s="77" t="str">
        <f t="shared" si="172"/>
        <v/>
      </c>
      <c r="FNR116" s="77" t="str">
        <f t="shared" si="172"/>
        <v/>
      </c>
      <c r="FNS116" s="77" t="str">
        <f t="shared" si="172"/>
        <v/>
      </c>
      <c r="FNT116" s="77" t="str">
        <f t="shared" si="172"/>
        <v/>
      </c>
      <c r="FNU116" s="77" t="str">
        <f t="shared" si="172"/>
        <v/>
      </c>
      <c r="FNV116" s="77" t="str">
        <f t="shared" si="172"/>
        <v/>
      </c>
      <c r="FNW116" s="77" t="str">
        <f t="shared" si="172"/>
        <v/>
      </c>
      <c r="FNX116" s="77" t="str">
        <f t="shared" si="172"/>
        <v/>
      </c>
      <c r="FNY116" s="77" t="str">
        <f t="shared" si="172"/>
        <v/>
      </c>
      <c r="FNZ116" s="77" t="str">
        <f t="shared" si="172"/>
        <v/>
      </c>
      <c r="FOA116" s="77" t="str">
        <f t="shared" si="172"/>
        <v/>
      </c>
      <c r="FOB116" s="77" t="str">
        <f t="shared" si="172"/>
        <v/>
      </c>
      <c r="FOC116" s="77" t="str">
        <f t="shared" si="172"/>
        <v/>
      </c>
      <c r="FOD116" s="77" t="str">
        <f t="shared" si="172"/>
        <v/>
      </c>
      <c r="FOE116" s="77" t="str">
        <f t="shared" si="172"/>
        <v/>
      </c>
      <c r="FOF116" s="77" t="str">
        <f t="shared" si="172"/>
        <v/>
      </c>
      <c r="FOG116" s="77" t="str">
        <f t="shared" si="172"/>
        <v/>
      </c>
      <c r="FOH116" s="77" t="str">
        <f t="shared" si="172"/>
        <v/>
      </c>
      <c r="FOI116" s="77" t="str">
        <f t="shared" ref="FOI116:FQT116" si="173">IF(ISNUMBER(outYear),FOI69+FOI75+FOI81+FOI113,"")</f>
        <v/>
      </c>
      <c r="FOJ116" s="77" t="str">
        <f t="shared" si="173"/>
        <v/>
      </c>
      <c r="FOK116" s="77" t="str">
        <f t="shared" si="173"/>
        <v/>
      </c>
      <c r="FOL116" s="77" t="str">
        <f t="shared" si="173"/>
        <v/>
      </c>
      <c r="FOM116" s="77" t="str">
        <f t="shared" si="173"/>
        <v/>
      </c>
      <c r="FON116" s="77" t="str">
        <f t="shared" si="173"/>
        <v/>
      </c>
      <c r="FOO116" s="77" t="str">
        <f t="shared" si="173"/>
        <v/>
      </c>
      <c r="FOP116" s="77" t="str">
        <f t="shared" si="173"/>
        <v/>
      </c>
      <c r="FOQ116" s="77" t="str">
        <f t="shared" si="173"/>
        <v/>
      </c>
      <c r="FOR116" s="77" t="str">
        <f t="shared" si="173"/>
        <v/>
      </c>
      <c r="FOS116" s="77" t="str">
        <f t="shared" si="173"/>
        <v/>
      </c>
      <c r="FOT116" s="77" t="str">
        <f t="shared" si="173"/>
        <v/>
      </c>
      <c r="FOU116" s="77" t="str">
        <f t="shared" si="173"/>
        <v/>
      </c>
      <c r="FOV116" s="77" t="str">
        <f t="shared" si="173"/>
        <v/>
      </c>
      <c r="FOW116" s="77" t="str">
        <f t="shared" si="173"/>
        <v/>
      </c>
      <c r="FOX116" s="77" t="str">
        <f t="shared" si="173"/>
        <v/>
      </c>
      <c r="FOY116" s="77" t="str">
        <f t="shared" si="173"/>
        <v/>
      </c>
      <c r="FOZ116" s="77" t="str">
        <f t="shared" si="173"/>
        <v/>
      </c>
      <c r="FPA116" s="77" t="str">
        <f t="shared" si="173"/>
        <v/>
      </c>
      <c r="FPB116" s="77" t="str">
        <f t="shared" si="173"/>
        <v/>
      </c>
      <c r="FPC116" s="77" t="str">
        <f t="shared" si="173"/>
        <v/>
      </c>
      <c r="FPD116" s="77" t="str">
        <f t="shared" si="173"/>
        <v/>
      </c>
      <c r="FPE116" s="77" t="str">
        <f t="shared" si="173"/>
        <v/>
      </c>
      <c r="FPF116" s="77" t="str">
        <f t="shared" si="173"/>
        <v/>
      </c>
      <c r="FPG116" s="77" t="str">
        <f t="shared" si="173"/>
        <v/>
      </c>
      <c r="FPH116" s="77" t="str">
        <f t="shared" si="173"/>
        <v/>
      </c>
      <c r="FPI116" s="77" t="str">
        <f t="shared" si="173"/>
        <v/>
      </c>
      <c r="FPJ116" s="77" t="str">
        <f t="shared" si="173"/>
        <v/>
      </c>
      <c r="FPK116" s="77" t="str">
        <f t="shared" si="173"/>
        <v/>
      </c>
      <c r="FPL116" s="77" t="str">
        <f t="shared" si="173"/>
        <v/>
      </c>
      <c r="FPM116" s="77" t="str">
        <f t="shared" si="173"/>
        <v/>
      </c>
      <c r="FPN116" s="77" t="str">
        <f t="shared" si="173"/>
        <v/>
      </c>
      <c r="FPO116" s="77" t="str">
        <f t="shared" si="173"/>
        <v/>
      </c>
      <c r="FPP116" s="77" t="str">
        <f t="shared" si="173"/>
        <v/>
      </c>
      <c r="FPQ116" s="77" t="str">
        <f t="shared" si="173"/>
        <v/>
      </c>
      <c r="FPR116" s="77" t="str">
        <f t="shared" si="173"/>
        <v/>
      </c>
      <c r="FPS116" s="77" t="str">
        <f t="shared" si="173"/>
        <v/>
      </c>
      <c r="FPT116" s="77" t="str">
        <f t="shared" si="173"/>
        <v/>
      </c>
      <c r="FPU116" s="77" t="str">
        <f t="shared" si="173"/>
        <v/>
      </c>
      <c r="FPV116" s="77" t="str">
        <f t="shared" si="173"/>
        <v/>
      </c>
      <c r="FPW116" s="77" t="str">
        <f t="shared" si="173"/>
        <v/>
      </c>
      <c r="FPX116" s="77" t="str">
        <f t="shared" si="173"/>
        <v/>
      </c>
      <c r="FPY116" s="77" t="str">
        <f t="shared" si="173"/>
        <v/>
      </c>
      <c r="FPZ116" s="77" t="str">
        <f t="shared" si="173"/>
        <v/>
      </c>
      <c r="FQA116" s="77" t="str">
        <f t="shared" si="173"/>
        <v/>
      </c>
      <c r="FQB116" s="77" t="str">
        <f t="shared" si="173"/>
        <v/>
      </c>
      <c r="FQC116" s="77" t="str">
        <f t="shared" si="173"/>
        <v/>
      </c>
      <c r="FQD116" s="77" t="str">
        <f t="shared" si="173"/>
        <v/>
      </c>
      <c r="FQE116" s="77" t="str">
        <f t="shared" si="173"/>
        <v/>
      </c>
      <c r="FQF116" s="77" t="str">
        <f t="shared" si="173"/>
        <v/>
      </c>
      <c r="FQG116" s="77" t="str">
        <f t="shared" si="173"/>
        <v/>
      </c>
      <c r="FQH116" s="77" t="str">
        <f t="shared" si="173"/>
        <v/>
      </c>
      <c r="FQI116" s="77" t="str">
        <f t="shared" si="173"/>
        <v/>
      </c>
      <c r="FQJ116" s="77" t="str">
        <f t="shared" si="173"/>
        <v/>
      </c>
      <c r="FQK116" s="77" t="str">
        <f t="shared" si="173"/>
        <v/>
      </c>
      <c r="FQL116" s="77" t="str">
        <f t="shared" si="173"/>
        <v/>
      </c>
      <c r="FQM116" s="77" t="str">
        <f t="shared" si="173"/>
        <v/>
      </c>
      <c r="FQN116" s="77" t="str">
        <f t="shared" si="173"/>
        <v/>
      </c>
      <c r="FQO116" s="77" t="str">
        <f t="shared" si="173"/>
        <v/>
      </c>
      <c r="FQP116" s="77" t="str">
        <f t="shared" si="173"/>
        <v/>
      </c>
      <c r="FQQ116" s="77" t="str">
        <f t="shared" si="173"/>
        <v/>
      </c>
      <c r="FQR116" s="77" t="str">
        <f t="shared" si="173"/>
        <v/>
      </c>
      <c r="FQS116" s="77" t="str">
        <f t="shared" si="173"/>
        <v/>
      </c>
      <c r="FQT116" s="77" t="str">
        <f t="shared" si="173"/>
        <v/>
      </c>
      <c r="FQU116" s="77" t="str">
        <f t="shared" ref="FQU116:FTF116" si="174">IF(ISNUMBER(outYear),FQU69+FQU75+FQU81+FQU113,"")</f>
        <v/>
      </c>
      <c r="FQV116" s="77" t="str">
        <f t="shared" si="174"/>
        <v/>
      </c>
      <c r="FQW116" s="77" t="str">
        <f t="shared" si="174"/>
        <v/>
      </c>
      <c r="FQX116" s="77" t="str">
        <f t="shared" si="174"/>
        <v/>
      </c>
      <c r="FQY116" s="77" t="str">
        <f t="shared" si="174"/>
        <v/>
      </c>
      <c r="FQZ116" s="77" t="str">
        <f t="shared" si="174"/>
        <v/>
      </c>
      <c r="FRA116" s="77" t="str">
        <f t="shared" si="174"/>
        <v/>
      </c>
      <c r="FRB116" s="77" t="str">
        <f t="shared" si="174"/>
        <v/>
      </c>
      <c r="FRC116" s="77" t="str">
        <f t="shared" si="174"/>
        <v/>
      </c>
      <c r="FRD116" s="77" t="str">
        <f t="shared" si="174"/>
        <v/>
      </c>
      <c r="FRE116" s="77" t="str">
        <f t="shared" si="174"/>
        <v/>
      </c>
      <c r="FRF116" s="77" t="str">
        <f t="shared" si="174"/>
        <v/>
      </c>
      <c r="FRG116" s="77" t="str">
        <f t="shared" si="174"/>
        <v/>
      </c>
      <c r="FRH116" s="77" t="str">
        <f t="shared" si="174"/>
        <v/>
      </c>
      <c r="FRI116" s="77" t="str">
        <f t="shared" si="174"/>
        <v/>
      </c>
      <c r="FRJ116" s="77" t="str">
        <f t="shared" si="174"/>
        <v/>
      </c>
      <c r="FRK116" s="77" t="str">
        <f t="shared" si="174"/>
        <v/>
      </c>
      <c r="FRL116" s="77" t="str">
        <f t="shared" si="174"/>
        <v/>
      </c>
      <c r="FRM116" s="77" t="str">
        <f t="shared" si="174"/>
        <v/>
      </c>
      <c r="FRN116" s="77" t="str">
        <f t="shared" si="174"/>
        <v/>
      </c>
      <c r="FRO116" s="77" t="str">
        <f t="shared" si="174"/>
        <v/>
      </c>
      <c r="FRP116" s="77" t="str">
        <f t="shared" si="174"/>
        <v/>
      </c>
      <c r="FRQ116" s="77" t="str">
        <f t="shared" si="174"/>
        <v/>
      </c>
      <c r="FRR116" s="77" t="str">
        <f t="shared" si="174"/>
        <v/>
      </c>
      <c r="FRS116" s="77" t="str">
        <f t="shared" si="174"/>
        <v/>
      </c>
      <c r="FRT116" s="77" t="str">
        <f t="shared" si="174"/>
        <v/>
      </c>
      <c r="FRU116" s="77" t="str">
        <f t="shared" si="174"/>
        <v/>
      </c>
      <c r="FRV116" s="77" t="str">
        <f t="shared" si="174"/>
        <v/>
      </c>
      <c r="FRW116" s="77" t="str">
        <f t="shared" si="174"/>
        <v/>
      </c>
      <c r="FRX116" s="77" t="str">
        <f t="shared" si="174"/>
        <v/>
      </c>
      <c r="FRY116" s="77" t="str">
        <f t="shared" si="174"/>
        <v/>
      </c>
      <c r="FRZ116" s="77" t="str">
        <f t="shared" si="174"/>
        <v/>
      </c>
      <c r="FSA116" s="77" t="str">
        <f t="shared" si="174"/>
        <v/>
      </c>
      <c r="FSB116" s="77" t="str">
        <f t="shared" si="174"/>
        <v/>
      </c>
      <c r="FSC116" s="77" t="str">
        <f t="shared" si="174"/>
        <v/>
      </c>
      <c r="FSD116" s="77" t="str">
        <f t="shared" si="174"/>
        <v/>
      </c>
      <c r="FSE116" s="77" t="str">
        <f t="shared" si="174"/>
        <v/>
      </c>
      <c r="FSF116" s="77" t="str">
        <f t="shared" si="174"/>
        <v/>
      </c>
      <c r="FSG116" s="77" t="str">
        <f t="shared" si="174"/>
        <v/>
      </c>
      <c r="FSH116" s="77" t="str">
        <f t="shared" si="174"/>
        <v/>
      </c>
      <c r="FSI116" s="77" t="str">
        <f t="shared" si="174"/>
        <v/>
      </c>
      <c r="FSJ116" s="77" t="str">
        <f t="shared" si="174"/>
        <v/>
      </c>
      <c r="FSK116" s="77" t="str">
        <f t="shared" si="174"/>
        <v/>
      </c>
      <c r="FSL116" s="77" t="str">
        <f t="shared" si="174"/>
        <v/>
      </c>
      <c r="FSM116" s="77" t="str">
        <f t="shared" si="174"/>
        <v/>
      </c>
      <c r="FSN116" s="77" t="str">
        <f t="shared" si="174"/>
        <v/>
      </c>
      <c r="FSO116" s="77" t="str">
        <f t="shared" si="174"/>
        <v/>
      </c>
      <c r="FSP116" s="77" t="str">
        <f t="shared" si="174"/>
        <v/>
      </c>
      <c r="FSQ116" s="77" t="str">
        <f t="shared" si="174"/>
        <v/>
      </c>
      <c r="FSR116" s="77" t="str">
        <f t="shared" si="174"/>
        <v/>
      </c>
      <c r="FSS116" s="77" t="str">
        <f t="shared" si="174"/>
        <v/>
      </c>
      <c r="FST116" s="77" t="str">
        <f t="shared" si="174"/>
        <v/>
      </c>
      <c r="FSU116" s="77" t="str">
        <f t="shared" si="174"/>
        <v/>
      </c>
      <c r="FSV116" s="77" t="str">
        <f t="shared" si="174"/>
        <v/>
      </c>
      <c r="FSW116" s="77" t="str">
        <f t="shared" si="174"/>
        <v/>
      </c>
      <c r="FSX116" s="77" t="str">
        <f t="shared" si="174"/>
        <v/>
      </c>
      <c r="FSY116" s="77" t="str">
        <f t="shared" si="174"/>
        <v/>
      </c>
      <c r="FSZ116" s="77" t="str">
        <f t="shared" si="174"/>
        <v/>
      </c>
      <c r="FTA116" s="77" t="str">
        <f t="shared" si="174"/>
        <v/>
      </c>
      <c r="FTB116" s="77" t="str">
        <f t="shared" si="174"/>
        <v/>
      </c>
      <c r="FTC116" s="77" t="str">
        <f t="shared" si="174"/>
        <v/>
      </c>
      <c r="FTD116" s="77" t="str">
        <f t="shared" si="174"/>
        <v/>
      </c>
      <c r="FTE116" s="77" t="str">
        <f t="shared" si="174"/>
        <v/>
      </c>
      <c r="FTF116" s="77" t="str">
        <f t="shared" si="174"/>
        <v/>
      </c>
      <c r="FTG116" s="77" t="str">
        <f t="shared" ref="FTG116:FVR116" si="175">IF(ISNUMBER(outYear),FTG69+FTG75+FTG81+FTG113,"")</f>
        <v/>
      </c>
      <c r="FTH116" s="77" t="str">
        <f t="shared" si="175"/>
        <v/>
      </c>
      <c r="FTI116" s="77" t="str">
        <f t="shared" si="175"/>
        <v/>
      </c>
      <c r="FTJ116" s="77" t="str">
        <f t="shared" si="175"/>
        <v/>
      </c>
      <c r="FTK116" s="77" t="str">
        <f t="shared" si="175"/>
        <v/>
      </c>
      <c r="FTL116" s="77" t="str">
        <f t="shared" si="175"/>
        <v/>
      </c>
      <c r="FTM116" s="77" t="str">
        <f t="shared" si="175"/>
        <v/>
      </c>
      <c r="FTN116" s="77" t="str">
        <f t="shared" si="175"/>
        <v/>
      </c>
      <c r="FTO116" s="77" t="str">
        <f t="shared" si="175"/>
        <v/>
      </c>
      <c r="FTP116" s="77" t="str">
        <f t="shared" si="175"/>
        <v/>
      </c>
      <c r="FTQ116" s="77" t="str">
        <f t="shared" si="175"/>
        <v/>
      </c>
      <c r="FTR116" s="77" t="str">
        <f t="shared" si="175"/>
        <v/>
      </c>
      <c r="FTS116" s="77" t="str">
        <f t="shared" si="175"/>
        <v/>
      </c>
      <c r="FTT116" s="77" t="str">
        <f t="shared" si="175"/>
        <v/>
      </c>
      <c r="FTU116" s="77" t="str">
        <f t="shared" si="175"/>
        <v/>
      </c>
      <c r="FTV116" s="77" t="str">
        <f t="shared" si="175"/>
        <v/>
      </c>
      <c r="FTW116" s="77" t="str">
        <f t="shared" si="175"/>
        <v/>
      </c>
      <c r="FTX116" s="77" t="str">
        <f t="shared" si="175"/>
        <v/>
      </c>
      <c r="FTY116" s="77" t="str">
        <f t="shared" si="175"/>
        <v/>
      </c>
      <c r="FTZ116" s="77" t="str">
        <f t="shared" si="175"/>
        <v/>
      </c>
      <c r="FUA116" s="77" t="str">
        <f t="shared" si="175"/>
        <v/>
      </c>
      <c r="FUB116" s="77" t="str">
        <f t="shared" si="175"/>
        <v/>
      </c>
      <c r="FUC116" s="77" t="str">
        <f t="shared" si="175"/>
        <v/>
      </c>
      <c r="FUD116" s="77" t="str">
        <f t="shared" si="175"/>
        <v/>
      </c>
      <c r="FUE116" s="77" t="str">
        <f t="shared" si="175"/>
        <v/>
      </c>
      <c r="FUF116" s="77" t="str">
        <f t="shared" si="175"/>
        <v/>
      </c>
      <c r="FUG116" s="77" t="str">
        <f t="shared" si="175"/>
        <v/>
      </c>
      <c r="FUH116" s="77" t="str">
        <f t="shared" si="175"/>
        <v/>
      </c>
      <c r="FUI116" s="77" t="str">
        <f t="shared" si="175"/>
        <v/>
      </c>
      <c r="FUJ116" s="77" t="str">
        <f t="shared" si="175"/>
        <v/>
      </c>
      <c r="FUK116" s="77" t="str">
        <f t="shared" si="175"/>
        <v/>
      </c>
      <c r="FUL116" s="77" t="str">
        <f t="shared" si="175"/>
        <v/>
      </c>
      <c r="FUM116" s="77" t="str">
        <f t="shared" si="175"/>
        <v/>
      </c>
      <c r="FUN116" s="77" t="str">
        <f t="shared" si="175"/>
        <v/>
      </c>
      <c r="FUO116" s="77" t="str">
        <f t="shared" si="175"/>
        <v/>
      </c>
      <c r="FUP116" s="77" t="str">
        <f t="shared" si="175"/>
        <v/>
      </c>
      <c r="FUQ116" s="77" t="str">
        <f t="shared" si="175"/>
        <v/>
      </c>
      <c r="FUR116" s="77" t="str">
        <f t="shared" si="175"/>
        <v/>
      </c>
      <c r="FUS116" s="77" t="str">
        <f t="shared" si="175"/>
        <v/>
      </c>
      <c r="FUT116" s="77" t="str">
        <f t="shared" si="175"/>
        <v/>
      </c>
      <c r="FUU116" s="77" t="str">
        <f t="shared" si="175"/>
        <v/>
      </c>
      <c r="FUV116" s="77" t="str">
        <f t="shared" si="175"/>
        <v/>
      </c>
      <c r="FUW116" s="77" t="str">
        <f t="shared" si="175"/>
        <v/>
      </c>
      <c r="FUX116" s="77" t="str">
        <f t="shared" si="175"/>
        <v/>
      </c>
      <c r="FUY116" s="77" t="str">
        <f t="shared" si="175"/>
        <v/>
      </c>
      <c r="FUZ116" s="77" t="str">
        <f t="shared" si="175"/>
        <v/>
      </c>
      <c r="FVA116" s="77" t="str">
        <f t="shared" si="175"/>
        <v/>
      </c>
      <c r="FVB116" s="77" t="str">
        <f t="shared" si="175"/>
        <v/>
      </c>
      <c r="FVC116" s="77" t="str">
        <f t="shared" si="175"/>
        <v/>
      </c>
      <c r="FVD116" s="77" t="str">
        <f t="shared" si="175"/>
        <v/>
      </c>
      <c r="FVE116" s="77" t="str">
        <f t="shared" si="175"/>
        <v/>
      </c>
      <c r="FVF116" s="77" t="str">
        <f t="shared" si="175"/>
        <v/>
      </c>
      <c r="FVG116" s="77" t="str">
        <f t="shared" si="175"/>
        <v/>
      </c>
      <c r="FVH116" s="77" t="str">
        <f t="shared" si="175"/>
        <v/>
      </c>
      <c r="FVI116" s="77" t="str">
        <f t="shared" si="175"/>
        <v/>
      </c>
      <c r="FVJ116" s="77" t="str">
        <f t="shared" si="175"/>
        <v/>
      </c>
      <c r="FVK116" s="77" t="str">
        <f t="shared" si="175"/>
        <v/>
      </c>
      <c r="FVL116" s="77" t="str">
        <f t="shared" si="175"/>
        <v/>
      </c>
      <c r="FVM116" s="77" t="str">
        <f t="shared" si="175"/>
        <v/>
      </c>
      <c r="FVN116" s="77" t="str">
        <f t="shared" si="175"/>
        <v/>
      </c>
      <c r="FVO116" s="77" t="str">
        <f t="shared" si="175"/>
        <v/>
      </c>
      <c r="FVP116" s="77" t="str">
        <f t="shared" si="175"/>
        <v/>
      </c>
      <c r="FVQ116" s="77" t="str">
        <f t="shared" si="175"/>
        <v/>
      </c>
      <c r="FVR116" s="77" t="str">
        <f t="shared" si="175"/>
        <v/>
      </c>
      <c r="FVS116" s="77" t="str">
        <f t="shared" ref="FVS116:FYD116" si="176">IF(ISNUMBER(outYear),FVS69+FVS75+FVS81+FVS113,"")</f>
        <v/>
      </c>
      <c r="FVT116" s="77" t="str">
        <f t="shared" si="176"/>
        <v/>
      </c>
      <c r="FVU116" s="77" t="str">
        <f t="shared" si="176"/>
        <v/>
      </c>
      <c r="FVV116" s="77" t="str">
        <f t="shared" si="176"/>
        <v/>
      </c>
      <c r="FVW116" s="77" t="str">
        <f t="shared" si="176"/>
        <v/>
      </c>
      <c r="FVX116" s="77" t="str">
        <f t="shared" si="176"/>
        <v/>
      </c>
      <c r="FVY116" s="77" t="str">
        <f t="shared" si="176"/>
        <v/>
      </c>
      <c r="FVZ116" s="77" t="str">
        <f t="shared" si="176"/>
        <v/>
      </c>
      <c r="FWA116" s="77" t="str">
        <f t="shared" si="176"/>
        <v/>
      </c>
      <c r="FWB116" s="77" t="str">
        <f t="shared" si="176"/>
        <v/>
      </c>
      <c r="FWC116" s="77" t="str">
        <f t="shared" si="176"/>
        <v/>
      </c>
      <c r="FWD116" s="77" t="str">
        <f t="shared" si="176"/>
        <v/>
      </c>
      <c r="FWE116" s="77" t="str">
        <f t="shared" si="176"/>
        <v/>
      </c>
      <c r="FWF116" s="77" t="str">
        <f t="shared" si="176"/>
        <v/>
      </c>
      <c r="FWG116" s="77" t="str">
        <f t="shared" si="176"/>
        <v/>
      </c>
      <c r="FWH116" s="77" t="str">
        <f t="shared" si="176"/>
        <v/>
      </c>
      <c r="FWI116" s="77" t="str">
        <f t="shared" si="176"/>
        <v/>
      </c>
      <c r="FWJ116" s="77" t="str">
        <f t="shared" si="176"/>
        <v/>
      </c>
      <c r="FWK116" s="77" t="str">
        <f t="shared" si="176"/>
        <v/>
      </c>
      <c r="FWL116" s="77" t="str">
        <f t="shared" si="176"/>
        <v/>
      </c>
      <c r="FWM116" s="77" t="str">
        <f t="shared" si="176"/>
        <v/>
      </c>
      <c r="FWN116" s="77" t="str">
        <f t="shared" si="176"/>
        <v/>
      </c>
      <c r="FWO116" s="77" t="str">
        <f t="shared" si="176"/>
        <v/>
      </c>
      <c r="FWP116" s="77" t="str">
        <f t="shared" si="176"/>
        <v/>
      </c>
      <c r="FWQ116" s="77" t="str">
        <f t="shared" si="176"/>
        <v/>
      </c>
      <c r="FWR116" s="77" t="str">
        <f t="shared" si="176"/>
        <v/>
      </c>
      <c r="FWS116" s="77" t="str">
        <f t="shared" si="176"/>
        <v/>
      </c>
      <c r="FWT116" s="77" t="str">
        <f t="shared" si="176"/>
        <v/>
      </c>
      <c r="FWU116" s="77" t="str">
        <f t="shared" si="176"/>
        <v/>
      </c>
      <c r="FWV116" s="77" t="str">
        <f t="shared" si="176"/>
        <v/>
      </c>
      <c r="FWW116" s="77" t="str">
        <f t="shared" si="176"/>
        <v/>
      </c>
      <c r="FWX116" s="77" t="str">
        <f t="shared" si="176"/>
        <v/>
      </c>
      <c r="FWY116" s="77" t="str">
        <f t="shared" si="176"/>
        <v/>
      </c>
      <c r="FWZ116" s="77" t="str">
        <f t="shared" si="176"/>
        <v/>
      </c>
      <c r="FXA116" s="77" t="str">
        <f t="shared" si="176"/>
        <v/>
      </c>
      <c r="FXB116" s="77" t="str">
        <f t="shared" si="176"/>
        <v/>
      </c>
      <c r="FXC116" s="77" t="str">
        <f t="shared" si="176"/>
        <v/>
      </c>
      <c r="FXD116" s="77" t="str">
        <f t="shared" si="176"/>
        <v/>
      </c>
      <c r="FXE116" s="77" t="str">
        <f t="shared" si="176"/>
        <v/>
      </c>
      <c r="FXF116" s="77" t="str">
        <f t="shared" si="176"/>
        <v/>
      </c>
      <c r="FXG116" s="77" t="str">
        <f t="shared" si="176"/>
        <v/>
      </c>
      <c r="FXH116" s="77" t="str">
        <f t="shared" si="176"/>
        <v/>
      </c>
      <c r="FXI116" s="77" t="str">
        <f t="shared" si="176"/>
        <v/>
      </c>
      <c r="FXJ116" s="77" t="str">
        <f t="shared" si="176"/>
        <v/>
      </c>
      <c r="FXK116" s="77" t="str">
        <f t="shared" si="176"/>
        <v/>
      </c>
      <c r="FXL116" s="77" t="str">
        <f t="shared" si="176"/>
        <v/>
      </c>
      <c r="FXM116" s="77" t="str">
        <f t="shared" si="176"/>
        <v/>
      </c>
      <c r="FXN116" s="77" t="str">
        <f t="shared" si="176"/>
        <v/>
      </c>
      <c r="FXO116" s="77" t="str">
        <f t="shared" si="176"/>
        <v/>
      </c>
      <c r="FXP116" s="77" t="str">
        <f t="shared" si="176"/>
        <v/>
      </c>
      <c r="FXQ116" s="77" t="str">
        <f t="shared" si="176"/>
        <v/>
      </c>
      <c r="FXR116" s="77" t="str">
        <f t="shared" si="176"/>
        <v/>
      </c>
      <c r="FXS116" s="77" t="str">
        <f t="shared" si="176"/>
        <v/>
      </c>
      <c r="FXT116" s="77" t="str">
        <f t="shared" si="176"/>
        <v/>
      </c>
      <c r="FXU116" s="77" t="str">
        <f t="shared" si="176"/>
        <v/>
      </c>
      <c r="FXV116" s="77" t="str">
        <f t="shared" si="176"/>
        <v/>
      </c>
      <c r="FXW116" s="77" t="str">
        <f t="shared" si="176"/>
        <v/>
      </c>
      <c r="FXX116" s="77" t="str">
        <f t="shared" si="176"/>
        <v/>
      </c>
      <c r="FXY116" s="77" t="str">
        <f t="shared" si="176"/>
        <v/>
      </c>
      <c r="FXZ116" s="77" t="str">
        <f t="shared" si="176"/>
        <v/>
      </c>
      <c r="FYA116" s="77" t="str">
        <f t="shared" si="176"/>
        <v/>
      </c>
      <c r="FYB116" s="77" t="str">
        <f t="shared" si="176"/>
        <v/>
      </c>
      <c r="FYC116" s="77" t="str">
        <f t="shared" si="176"/>
        <v/>
      </c>
      <c r="FYD116" s="77" t="str">
        <f t="shared" si="176"/>
        <v/>
      </c>
      <c r="FYE116" s="77" t="str">
        <f t="shared" ref="FYE116:GAP116" si="177">IF(ISNUMBER(outYear),FYE69+FYE75+FYE81+FYE113,"")</f>
        <v/>
      </c>
      <c r="FYF116" s="77" t="str">
        <f t="shared" si="177"/>
        <v/>
      </c>
      <c r="FYG116" s="77" t="str">
        <f t="shared" si="177"/>
        <v/>
      </c>
      <c r="FYH116" s="77" t="str">
        <f t="shared" si="177"/>
        <v/>
      </c>
      <c r="FYI116" s="77" t="str">
        <f t="shared" si="177"/>
        <v/>
      </c>
      <c r="FYJ116" s="77" t="str">
        <f t="shared" si="177"/>
        <v/>
      </c>
      <c r="FYK116" s="77" t="str">
        <f t="shared" si="177"/>
        <v/>
      </c>
      <c r="FYL116" s="77" t="str">
        <f t="shared" si="177"/>
        <v/>
      </c>
      <c r="FYM116" s="77" t="str">
        <f t="shared" si="177"/>
        <v/>
      </c>
      <c r="FYN116" s="77" t="str">
        <f t="shared" si="177"/>
        <v/>
      </c>
      <c r="FYO116" s="77" t="str">
        <f t="shared" si="177"/>
        <v/>
      </c>
      <c r="FYP116" s="77" t="str">
        <f t="shared" si="177"/>
        <v/>
      </c>
      <c r="FYQ116" s="77" t="str">
        <f t="shared" si="177"/>
        <v/>
      </c>
      <c r="FYR116" s="77" t="str">
        <f t="shared" si="177"/>
        <v/>
      </c>
      <c r="FYS116" s="77" t="str">
        <f t="shared" si="177"/>
        <v/>
      </c>
      <c r="FYT116" s="77" t="str">
        <f t="shared" si="177"/>
        <v/>
      </c>
      <c r="FYU116" s="77" t="str">
        <f t="shared" si="177"/>
        <v/>
      </c>
      <c r="FYV116" s="77" t="str">
        <f t="shared" si="177"/>
        <v/>
      </c>
      <c r="FYW116" s="77" t="str">
        <f t="shared" si="177"/>
        <v/>
      </c>
      <c r="FYX116" s="77" t="str">
        <f t="shared" si="177"/>
        <v/>
      </c>
      <c r="FYY116" s="77" t="str">
        <f t="shared" si="177"/>
        <v/>
      </c>
      <c r="FYZ116" s="77" t="str">
        <f t="shared" si="177"/>
        <v/>
      </c>
      <c r="FZA116" s="77" t="str">
        <f t="shared" si="177"/>
        <v/>
      </c>
      <c r="FZB116" s="77" t="str">
        <f t="shared" si="177"/>
        <v/>
      </c>
      <c r="FZC116" s="77" t="str">
        <f t="shared" si="177"/>
        <v/>
      </c>
      <c r="FZD116" s="77" t="str">
        <f t="shared" si="177"/>
        <v/>
      </c>
      <c r="FZE116" s="77" t="str">
        <f t="shared" si="177"/>
        <v/>
      </c>
      <c r="FZF116" s="77" t="str">
        <f t="shared" si="177"/>
        <v/>
      </c>
      <c r="FZG116" s="77" t="str">
        <f t="shared" si="177"/>
        <v/>
      </c>
      <c r="FZH116" s="77" t="str">
        <f t="shared" si="177"/>
        <v/>
      </c>
      <c r="FZI116" s="77" t="str">
        <f t="shared" si="177"/>
        <v/>
      </c>
      <c r="FZJ116" s="77" t="str">
        <f t="shared" si="177"/>
        <v/>
      </c>
      <c r="FZK116" s="77" t="str">
        <f t="shared" si="177"/>
        <v/>
      </c>
      <c r="FZL116" s="77" t="str">
        <f t="shared" si="177"/>
        <v/>
      </c>
      <c r="FZM116" s="77" t="str">
        <f t="shared" si="177"/>
        <v/>
      </c>
      <c r="FZN116" s="77" t="str">
        <f t="shared" si="177"/>
        <v/>
      </c>
      <c r="FZO116" s="77" t="str">
        <f t="shared" si="177"/>
        <v/>
      </c>
      <c r="FZP116" s="77" t="str">
        <f t="shared" si="177"/>
        <v/>
      </c>
      <c r="FZQ116" s="77" t="str">
        <f t="shared" si="177"/>
        <v/>
      </c>
      <c r="FZR116" s="77" t="str">
        <f t="shared" si="177"/>
        <v/>
      </c>
      <c r="FZS116" s="77" t="str">
        <f t="shared" si="177"/>
        <v/>
      </c>
      <c r="FZT116" s="77" t="str">
        <f t="shared" si="177"/>
        <v/>
      </c>
      <c r="FZU116" s="77" t="str">
        <f t="shared" si="177"/>
        <v/>
      </c>
      <c r="FZV116" s="77" t="str">
        <f t="shared" si="177"/>
        <v/>
      </c>
      <c r="FZW116" s="77" t="str">
        <f t="shared" si="177"/>
        <v/>
      </c>
      <c r="FZX116" s="77" t="str">
        <f t="shared" si="177"/>
        <v/>
      </c>
      <c r="FZY116" s="77" t="str">
        <f t="shared" si="177"/>
        <v/>
      </c>
      <c r="FZZ116" s="77" t="str">
        <f t="shared" si="177"/>
        <v/>
      </c>
      <c r="GAA116" s="77" t="str">
        <f t="shared" si="177"/>
        <v/>
      </c>
      <c r="GAB116" s="77" t="str">
        <f t="shared" si="177"/>
        <v/>
      </c>
      <c r="GAC116" s="77" t="str">
        <f t="shared" si="177"/>
        <v/>
      </c>
      <c r="GAD116" s="77" t="str">
        <f t="shared" si="177"/>
        <v/>
      </c>
      <c r="GAE116" s="77" t="str">
        <f t="shared" si="177"/>
        <v/>
      </c>
      <c r="GAF116" s="77" t="str">
        <f t="shared" si="177"/>
        <v/>
      </c>
      <c r="GAG116" s="77" t="str">
        <f t="shared" si="177"/>
        <v/>
      </c>
      <c r="GAH116" s="77" t="str">
        <f t="shared" si="177"/>
        <v/>
      </c>
      <c r="GAI116" s="77" t="str">
        <f t="shared" si="177"/>
        <v/>
      </c>
      <c r="GAJ116" s="77" t="str">
        <f t="shared" si="177"/>
        <v/>
      </c>
      <c r="GAK116" s="77" t="str">
        <f t="shared" si="177"/>
        <v/>
      </c>
      <c r="GAL116" s="77" t="str">
        <f t="shared" si="177"/>
        <v/>
      </c>
      <c r="GAM116" s="77" t="str">
        <f t="shared" si="177"/>
        <v/>
      </c>
      <c r="GAN116" s="77" t="str">
        <f t="shared" si="177"/>
        <v/>
      </c>
      <c r="GAO116" s="77" t="str">
        <f t="shared" si="177"/>
        <v/>
      </c>
      <c r="GAP116" s="77" t="str">
        <f t="shared" si="177"/>
        <v/>
      </c>
      <c r="GAQ116" s="77" t="str">
        <f t="shared" ref="GAQ116:GDB116" si="178">IF(ISNUMBER(outYear),GAQ69+GAQ75+GAQ81+GAQ113,"")</f>
        <v/>
      </c>
      <c r="GAR116" s="77" t="str">
        <f t="shared" si="178"/>
        <v/>
      </c>
      <c r="GAS116" s="77" t="str">
        <f t="shared" si="178"/>
        <v/>
      </c>
      <c r="GAT116" s="77" t="str">
        <f t="shared" si="178"/>
        <v/>
      </c>
      <c r="GAU116" s="77" t="str">
        <f t="shared" si="178"/>
        <v/>
      </c>
      <c r="GAV116" s="77" t="str">
        <f t="shared" si="178"/>
        <v/>
      </c>
      <c r="GAW116" s="77" t="str">
        <f t="shared" si="178"/>
        <v/>
      </c>
      <c r="GAX116" s="77" t="str">
        <f t="shared" si="178"/>
        <v/>
      </c>
      <c r="GAY116" s="77" t="str">
        <f t="shared" si="178"/>
        <v/>
      </c>
      <c r="GAZ116" s="77" t="str">
        <f t="shared" si="178"/>
        <v/>
      </c>
      <c r="GBA116" s="77" t="str">
        <f t="shared" si="178"/>
        <v/>
      </c>
      <c r="GBB116" s="77" t="str">
        <f t="shared" si="178"/>
        <v/>
      </c>
      <c r="GBC116" s="77" t="str">
        <f t="shared" si="178"/>
        <v/>
      </c>
      <c r="GBD116" s="77" t="str">
        <f t="shared" si="178"/>
        <v/>
      </c>
      <c r="GBE116" s="77" t="str">
        <f t="shared" si="178"/>
        <v/>
      </c>
      <c r="GBF116" s="77" t="str">
        <f t="shared" si="178"/>
        <v/>
      </c>
      <c r="GBG116" s="77" t="str">
        <f t="shared" si="178"/>
        <v/>
      </c>
      <c r="GBH116" s="77" t="str">
        <f t="shared" si="178"/>
        <v/>
      </c>
      <c r="GBI116" s="77" t="str">
        <f t="shared" si="178"/>
        <v/>
      </c>
      <c r="GBJ116" s="77" t="str">
        <f t="shared" si="178"/>
        <v/>
      </c>
      <c r="GBK116" s="77" t="str">
        <f t="shared" si="178"/>
        <v/>
      </c>
      <c r="GBL116" s="77" t="str">
        <f t="shared" si="178"/>
        <v/>
      </c>
      <c r="GBM116" s="77" t="str">
        <f t="shared" si="178"/>
        <v/>
      </c>
      <c r="GBN116" s="77" t="str">
        <f t="shared" si="178"/>
        <v/>
      </c>
      <c r="GBO116" s="77" t="str">
        <f t="shared" si="178"/>
        <v/>
      </c>
      <c r="GBP116" s="77" t="str">
        <f t="shared" si="178"/>
        <v/>
      </c>
      <c r="GBQ116" s="77" t="str">
        <f t="shared" si="178"/>
        <v/>
      </c>
      <c r="GBR116" s="77" t="str">
        <f t="shared" si="178"/>
        <v/>
      </c>
      <c r="GBS116" s="77" t="str">
        <f t="shared" si="178"/>
        <v/>
      </c>
      <c r="GBT116" s="77" t="str">
        <f t="shared" si="178"/>
        <v/>
      </c>
      <c r="GBU116" s="77" t="str">
        <f t="shared" si="178"/>
        <v/>
      </c>
      <c r="GBV116" s="77" t="str">
        <f t="shared" si="178"/>
        <v/>
      </c>
      <c r="GBW116" s="77" t="str">
        <f t="shared" si="178"/>
        <v/>
      </c>
      <c r="GBX116" s="77" t="str">
        <f t="shared" si="178"/>
        <v/>
      </c>
      <c r="GBY116" s="77" t="str">
        <f t="shared" si="178"/>
        <v/>
      </c>
      <c r="GBZ116" s="77" t="str">
        <f t="shared" si="178"/>
        <v/>
      </c>
      <c r="GCA116" s="77" t="str">
        <f t="shared" si="178"/>
        <v/>
      </c>
      <c r="GCB116" s="77" t="str">
        <f t="shared" si="178"/>
        <v/>
      </c>
      <c r="GCC116" s="77" t="str">
        <f t="shared" si="178"/>
        <v/>
      </c>
      <c r="GCD116" s="77" t="str">
        <f t="shared" si="178"/>
        <v/>
      </c>
      <c r="GCE116" s="77" t="str">
        <f t="shared" si="178"/>
        <v/>
      </c>
      <c r="GCF116" s="77" t="str">
        <f t="shared" si="178"/>
        <v/>
      </c>
      <c r="GCG116" s="77" t="str">
        <f t="shared" si="178"/>
        <v/>
      </c>
      <c r="GCH116" s="77" t="str">
        <f t="shared" si="178"/>
        <v/>
      </c>
      <c r="GCI116" s="77" t="str">
        <f t="shared" si="178"/>
        <v/>
      </c>
      <c r="GCJ116" s="77" t="str">
        <f t="shared" si="178"/>
        <v/>
      </c>
      <c r="GCK116" s="77" t="str">
        <f t="shared" si="178"/>
        <v/>
      </c>
      <c r="GCL116" s="77" t="str">
        <f t="shared" si="178"/>
        <v/>
      </c>
      <c r="GCM116" s="77" t="str">
        <f t="shared" si="178"/>
        <v/>
      </c>
      <c r="GCN116" s="77" t="str">
        <f t="shared" si="178"/>
        <v/>
      </c>
      <c r="GCO116" s="77" t="str">
        <f t="shared" si="178"/>
        <v/>
      </c>
      <c r="GCP116" s="77" t="str">
        <f t="shared" si="178"/>
        <v/>
      </c>
      <c r="GCQ116" s="77" t="str">
        <f t="shared" si="178"/>
        <v/>
      </c>
      <c r="GCR116" s="77" t="str">
        <f t="shared" si="178"/>
        <v/>
      </c>
      <c r="GCS116" s="77" t="str">
        <f t="shared" si="178"/>
        <v/>
      </c>
      <c r="GCT116" s="77" t="str">
        <f t="shared" si="178"/>
        <v/>
      </c>
      <c r="GCU116" s="77" t="str">
        <f t="shared" si="178"/>
        <v/>
      </c>
      <c r="GCV116" s="77" t="str">
        <f t="shared" si="178"/>
        <v/>
      </c>
      <c r="GCW116" s="77" t="str">
        <f t="shared" si="178"/>
        <v/>
      </c>
      <c r="GCX116" s="77" t="str">
        <f t="shared" si="178"/>
        <v/>
      </c>
      <c r="GCY116" s="77" t="str">
        <f t="shared" si="178"/>
        <v/>
      </c>
      <c r="GCZ116" s="77" t="str">
        <f t="shared" si="178"/>
        <v/>
      </c>
      <c r="GDA116" s="77" t="str">
        <f t="shared" si="178"/>
        <v/>
      </c>
      <c r="GDB116" s="77" t="str">
        <f t="shared" si="178"/>
        <v/>
      </c>
      <c r="GDC116" s="77" t="str">
        <f t="shared" ref="GDC116:GFN116" si="179">IF(ISNUMBER(outYear),GDC69+GDC75+GDC81+GDC113,"")</f>
        <v/>
      </c>
      <c r="GDD116" s="77" t="str">
        <f t="shared" si="179"/>
        <v/>
      </c>
      <c r="GDE116" s="77" t="str">
        <f t="shared" si="179"/>
        <v/>
      </c>
      <c r="GDF116" s="77" t="str">
        <f t="shared" si="179"/>
        <v/>
      </c>
      <c r="GDG116" s="77" t="str">
        <f t="shared" si="179"/>
        <v/>
      </c>
      <c r="GDH116" s="77" t="str">
        <f t="shared" si="179"/>
        <v/>
      </c>
      <c r="GDI116" s="77" t="str">
        <f t="shared" si="179"/>
        <v/>
      </c>
      <c r="GDJ116" s="77" t="str">
        <f t="shared" si="179"/>
        <v/>
      </c>
      <c r="GDK116" s="77" t="str">
        <f t="shared" si="179"/>
        <v/>
      </c>
      <c r="GDL116" s="77" t="str">
        <f t="shared" si="179"/>
        <v/>
      </c>
      <c r="GDM116" s="77" t="str">
        <f t="shared" si="179"/>
        <v/>
      </c>
      <c r="GDN116" s="77" t="str">
        <f t="shared" si="179"/>
        <v/>
      </c>
      <c r="GDO116" s="77" t="str">
        <f t="shared" si="179"/>
        <v/>
      </c>
      <c r="GDP116" s="77" t="str">
        <f t="shared" si="179"/>
        <v/>
      </c>
      <c r="GDQ116" s="77" t="str">
        <f t="shared" si="179"/>
        <v/>
      </c>
      <c r="GDR116" s="77" t="str">
        <f t="shared" si="179"/>
        <v/>
      </c>
      <c r="GDS116" s="77" t="str">
        <f t="shared" si="179"/>
        <v/>
      </c>
      <c r="GDT116" s="77" t="str">
        <f t="shared" si="179"/>
        <v/>
      </c>
      <c r="GDU116" s="77" t="str">
        <f t="shared" si="179"/>
        <v/>
      </c>
      <c r="GDV116" s="77" t="str">
        <f t="shared" si="179"/>
        <v/>
      </c>
      <c r="GDW116" s="77" t="str">
        <f t="shared" si="179"/>
        <v/>
      </c>
      <c r="GDX116" s="77" t="str">
        <f t="shared" si="179"/>
        <v/>
      </c>
      <c r="GDY116" s="77" t="str">
        <f t="shared" si="179"/>
        <v/>
      </c>
      <c r="GDZ116" s="77" t="str">
        <f t="shared" si="179"/>
        <v/>
      </c>
      <c r="GEA116" s="77" t="str">
        <f t="shared" si="179"/>
        <v/>
      </c>
      <c r="GEB116" s="77" t="str">
        <f t="shared" si="179"/>
        <v/>
      </c>
      <c r="GEC116" s="77" t="str">
        <f t="shared" si="179"/>
        <v/>
      </c>
      <c r="GED116" s="77" t="str">
        <f t="shared" si="179"/>
        <v/>
      </c>
      <c r="GEE116" s="77" t="str">
        <f t="shared" si="179"/>
        <v/>
      </c>
      <c r="GEF116" s="77" t="str">
        <f t="shared" si="179"/>
        <v/>
      </c>
      <c r="GEG116" s="77" t="str">
        <f t="shared" si="179"/>
        <v/>
      </c>
      <c r="GEH116" s="77" t="str">
        <f t="shared" si="179"/>
        <v/>
      </c>
      <c r="GEI116" s="77" t="str">
        <f t="shared" si="179"/>
        <v/>
      </c>
      <c r="GEJ116" s="77" t="str">
        <f t="shared" si="179"/>
        <v/>
      </c>
      <c r="GEK116" s="77" t="str">
        <f t="shared" si="179"/>
        <v/>
      </c>
      <c r="GEL116" s="77" t="str">
        <f t="shared" si="179"/>
        <v/>
      </c>
      <c r="GEM116" s="77" t="str">
        <f t="shared" si="179"/>
        <v/>
      </c>
      <c r="GEN116" s="77" t="str">
        <f t="shared" si="179"/>
        <v/>
      </c>
      <c r="GEO116" s="77" t="str">
        <f t="shared" si="179"/>
        <v/>
      </c>
      <c r="GEP116" s="77" t="str">
        <f t="shared" si="179"/>
        <v/>
      </c>
      <c r="GEQ116" s="77" t="str">
        <f t="shared" si="179"/>
        <v/>
      </c>
      <c r="GER116" s="77" t="str">
        <f t="shared" si="179"/>
        <v/>
      </c>
      <c r="GES116" s="77" t="str">
        <f t="shared" si="179"/>
        <v/>
      </c>
      <c r="GET116" s="77" t="str">
        <f t="shared" si="179"/>
        <v/>
      </c>
      <c r="GEU116" s="77" t="str">
        <f t="shared" si="179"/>
        <v/>
      </c>
      <c r="GEV116" s="77" t="str">
        <f t="shared" si="179"/>
        <v/>
      </c>
      <c r="GEW116" s="77" t="str">
        <f t="shared" si="179"/>
        <v/>
      </c>
      <c r="GEX116" s="77" t="str">
        <f t="shared" si="179"/>
        <v/>
      </c>
      <c r="GEY116" s="77" t="str">
        <f t="shared" si="179"/>
        <v/>
      </c>
      <c r="GEZ116" s="77" t="str">
        <f t="shared" si="179"/>
        <v/>
      </c>
      <c r="GFA116" s="77" t="str">
        <f t="shared" si="179"/>
        <v/>
      </c>
      <c r="GFB116" s="77" t="str">
        <f t="shared" si="179"/>
        <v/>
      </c>
      <c r="GFC116" s="77" t="str">
        <f t="shared" si="179"/>
        <v/>
      </c>
      <c r="GFD116" s="77" t="str">
        <f t="shared" si="179"/>
        <v/>
      </c>
      <c r="GFE116" s="77" t="str">
        <f t="shared" si="179"/>
        <v/>
      </c>
      <c r="GFF116" s="77" t="str">
        <f t="shared" si="179"/>
        <v/>
      </c>
      <c r="GFG116" s="77" t="str">
        <f t="shared" si="179"/>
        <v/>
      </c>
      <c r="GFH116" s="77" t="str">
        <f t="shared" si="179"/>
        <v/>
      </c>
      <c r="GFI116" s="77" t="str">
        <f t="shared" si="179"/>
        <v/>
      </c>
      <c r="GFJ116" s="77" t="str">
        <f t="shared" si="179"/>
        <v/>
      </c>
      <c r="GFK116" s="77" t="str">
        <f t="shared" si="179"/>
        <v/>
      </c>
      <c r="GFL116" s="77" t="str">
        <f t="shared" si="179"/>
        <v/>
      </c>
      <c r="GFM116" s="77" t="str">
        <f t="shared" si="179"/>
        <v/>
      </c>
      <c r="GFN116" s="77" t="str">
        <f t="shared" si="179"/>
        <v/>
      </c>
      <c r="GFO116" s="77" t="str">
        <f t="shared" ref="GFO116:GHZ116" si="180">IF(ISNUMBER(outYear),GFO69+GFO75+GFO81+GFO113,"")</f>
        <v/>
      </c>
      <c r="GFP116" s="77" t="str">
        <f t="shared" si="180"/>
        <v/>
      </c>
      <c r="GFQ116" s="77" t="str">
        <f t="shared" si="180"/>
        <v/>
      </c>
      <c r="GFR116" s="77" t="str">
        <f t="shared" si="180"/>
        <v/>
      </c>
      <c r="GFS116" s="77" t="str">
        <f t="shared" si="180"/>
        <v/>
      </c>
      <c r="GFT116" s="77" t="str">
        <f t="shared" si="180"/>
        <v/>
      </c>
      <c r="GFU116" s="77" t="str">
        <f t="shared" si="180"/>
        <v/>
      </c>
      <c r="GFV116" s="77" t="str">
        <f t="shared" si="180"/>
        <v/>
      </c>
      <c r="GFW116" s="77" t="str">
        <f t="shared" si="180"/>
        <v/>
      </c>
      <c r="GFX116" s="77" t="str">
        <f t="shared" si="180"/>
        <v/>
      </c>
      <c r="GFY116" s="77" t="str">
        <f t="shared" si="180"/>
        <v/>
      </c>
      <c r="GFZ116" s="77" t="str">
        <f t="shared" si="180"/>
        <v/>
      </c>
      <c r="GGA116" s="77" t="str">
        <f t="shared" si="180"/>
        <v/>
      </c>
      <c r="GGB116" s="77" t="str">
        <f t="shared" si="180"/>
        <v/>
      </c>
      <c r="GGC116" s="77" t="str">
        <f t="shared" si="180"/>
        <v/>
      </c>
      <c r="GGD116" s="77" t="str">
        <f t="shared" si="180"/>
        <v/>
      </c>
      <c r="GGE116" s="77" t="str">
        <f t="shared" si="180"/>
        <v/>
      </c>
      <c r="GGF116" s="77" t="str">
        <f t="shared" si="180"/>
        <v/>
      </c>
      <c r="GGG116" s="77" t="str">
        <f t="shared" si="180"/>
        <v/>
      </c>
      <c r="GGH116" s="77" t="str">
        <f t="shared" si="180"/>
        <v/>
      </c>
      <c r="GGI116" s="77" t="str">
        <f t="shared" si="180"/>
        <v/>
      </c>
      <c r="GGJ116" s="77" t="str">
        <f t="shared" si="180"/>
        <v/>
      </c>
      <c r="GGK116" s="77" t="str">
        <f t="shared" si="180"/>
        <v/>
      </c>
      <c r="GGL116" s="77" t="str">
        <f t="shared" si="180"/>
        <v/>
      </c>
      <c r="GGM116" s="77" t="str">
        <f t="shared" si="180"/>
        <v/>
      </c>
      <c r="GGN116" s="77" t="str">
        <f t="shared" si="180"/>
        <v/>
      </c>
      <c r="GGO116" s="77" t="str">
        <f t="shared" si="180"/>
        <v/>
      </c>
      <c r="GGP116" s="77" t="str">
        <f t="shared" si="180"/>
        <v/>
      </c>
      <c r="GGQ116" s="77" t="str">
        <f t="shared" si="180"/>
        <v/>
      </c>
      <c r="GGR116" s="77" t="str">
        <f t="shared" si="180"/>
        <v/>
      </c>
      <c r="GGS116" s="77" t="str">
        <f t="shared" si="180"/>
        <v/>
      </c>
      <c r="GGT116" s="77" t="str">
        <f t="shared" si="180"/>
        <v/>
      </c>
      <c r="GGU116" s="77" t="str">
        <f t="shared" si="180"/>
        <v/>
      </c>
      <c r="GGV116" s="77" t="str">
        <f t="shared" si="180"/>
        <v/>
      </c>
      <c r="GGW116" s="77" t="str">
        <f t="shared" si="180"/>
        <v/>
      </c>
      <c r="GGX116" s="77" t="str">
        <f t="shared" si="180"/>
        <v/>
      </c>
      <c r="GGY116" s="77" t="str">
        <f t="shared" si="180"/>
        <v/>
      </c>
      <c r="GGZ116" s="77" t="str">
        <f t="shared" si="180"/>
        <v/>
      </c>
      <c r="GHA116" s="77" t="str">
        <f t="shared" si="180"/>
        <v/>
      </c>
      <c r="GHB116" s="77" t="str">
        <f t="shared" si="180"/>
        <v/>
      </c>
      <c r="GHC116" s="77" t="str">
        <f t="shared" si="180"/>
        <v/>
      </c>
      <c r="GHD116" s="77" t="str">
        <f t="shared" si="180"/>
        <v/>
      </c>
      <c r="GHE116" s="77" t="str">
        <f t="shared" si="180"/>
        <v/>
      </c>
      <c r="GHF116" s="77" t="str">
        <f t="shared" si="180"/>
        <v/>
      </c>
      <c r="GHG116" s="77" t="str">
        <f t="shared" si="180"/>
        <v/>
      </c>
      <c r="GHH116" s="77" t="str">
        <f t="shared" si="180"/>
        <v/>
      </c>
      <c r="GHI116" s="77" t="str">
        <f t="shared" si="180"/>
        <v/>
      </c>
      <c r="GHJ116" s="77" t="str">
        <f t="shared" si="180"/>
        <v/>
      </c>
      <c r="GHK116" s="77" t="str">
        <f t="shared" si="180"/>
        <v/>
      </c>
      <c r="GHL116" s="77" t="str">
        <f t="shared" si="180"/>
        <v/>
      </c>
      <c r="GHM116" s="77" t="str">
        <f t="shared" si="180"/>
        <v/>
      </c>
      <c r="GHN116" s="77" t="str">
        <f t="shared" si="180"/>
        <v/>
      </c>
      <c r="GHO116" s="77" t="str">
        <f t="shared" si="180"/>
        <v/>
      </c>
      <c r="GHP116" s="77" t="str">
        <f t="shared" si="180"/>
        <v/>
      </c>
      <c r="GHQ116" s="77" t="str">
        <f t="shared" si="180"/>
        <v/>
      </c>
      <c r="GHR116" s="77" t="str">
        <f t="shared" si="180"/>
        <v/>
      </c>
      <c r="GHS116" s="77" t="str">
        <f t="shared" si="180"/>
        <v/>
      </c>
      <c r="GHT116" s="77" t="str">
        <f t="shared" si="180"/>
        <v/>
      </c>
      <c r="GHU116" s="77" t="str">
        <f t="shared" si="180"/>
        <v/>
      </c>
      <c r="GHV116" s="77" t="str">
        <f t="shared" si="180"/>
        <v/>
      </c>
      <c r="GHW116" s="77" t="str">
        <f t="shared" si="180"/>
        <v/>
      </c>
      <c r="GHX116" s="77" t="str">
        <f t="shared" si="180"/>
        <v/>
      </c>
      <c r="GHY116" s="77" t="str">
        <f t="shared" si="180"/>
        <v/>
      </c>
      <c r="GHZ116" s="77" t="str">
        <f t="shared" si="180"/>
        <v/>
      </c>
      <c r="GIA116" s="77" t="str">
        <f t="shared" ref="GIA116:GKL116" si="181">IF(ISNUMBER(outYear),GIA69+GIA75+GIA81+GIA113,"")</f>
        <v/>
      </c>
      <c r="GIB116" s="77" t="str">
        <f t="shared" si="181"/>
        <v/>
      </c>
      <c r="GIC116" s="77" t="str">
        <f t="shared" si="181"/>
        <v/>
      </c>
      <c r="GID116" s="77" t="str">
        <f t="shared" si="181"/>
        <v/>
      </c>
      <c r="GIE116" s="77" t="str">
        <f t="shared" si="181"/>
        <v/>
      </c>
      <c r="GIF116" s="77" t="str">
        <f t="shared" si="181"/>
        <v/>
      </c>
      <c r="GIG116" s="77" t="str">
        <f t="shared" si="181"/>
        <v/>
      </c>
      <c r="GIH116" s="77" t="str">
        <f t="shared" si="181"/>
        <v/>
      </c>
      <c r="GII116" s="77" t="str">
        <f t="shared" si="181"/>
        <v/>
      </c>
      <c r="GIJ116" s="77" t="str">
        <f t="shared" si="181"/>
        <v/>
      </c>
      <c r="GIK116" s="77" t="str">
        <f t="shared" si="181"/>
        <v/>
      </c>
      <c r="GIL116" s="77" t="str">
        <f t="shared" si="181"/>
        <v/>
      </c>
      <c r="GIM116" s="77" t="str">
        <f t="shared" si="181"/>
        <v/>
      </c>
      <c r="GIN116" s="77" t="str">
        <f t="shared" si="181"/>
        <v/>
      </c>
      <c r="GIO116" s="77" t="str">
        <f t="shared" si="181"/>
        <v/>
      </c>
      <c r="GIP116" s="77" t="str">
        <f t="shared" si="181"/>
        <v/>
      </c>
      <c r="GIQ116" s="77" t="str">
        <f t="shared" si="181"/>
        <v/>
      </c>
      <c r="GIR116" s="77" t="str">
        <f t="shared" si="181"/>
        <v/>
      </c>
      <c r="GIS116" s="77" t="str">
        <f t="shared" si="181"/>
        <v/>
      </c>
      <c r="GIT116" s="77" t="str">
        <f t="shared" si="181"/>
        <v/>
      </c>
      <c r="GIU116" s="77" t="str">
        <f t="shared" si="181"/>
        <v/>
      </c>
      <c r="GIV116" s="77" t="str">
        <f t="shared" si="181"/>
        <v/>
      </c>
      <c r="GIW116" s="77" t="str">
        <f t="shared" si="181"/>
        <v/>
      </c>
      <c r="GIX116" s="77" t="str">
        <f t="shared" si="181"/>
        <v/>
      </c>
      <c r="GIY116" s="77" t="str">
        <f t="shared" si="181"/>
        <v/>
      </c>
      <c r="GIZ116" s="77" t="str">
        <f t="shared" si="181"/>
        <v/>
      </c>
      <c r="GJA116" s="77" t="str">
        <f t="shared" si="181"/>
        <v/>
      </c>
      <c r="GJB116" s="77" t="str">
        <f t="shared" si="181"/>
        <v/>
      </c>
      <c r="GJC116" s="77" t="str">
        <f t="shared" si="181"/>
        <v/>
      </c>
      <c r="GJD116" s="77" t="str">
        <f t="shared" si="181"/>
        <v/>
      </c>
      <c r="GJE116" s="77" t="str">
        <f t="shared" si="181"/>
        <v/>
      </c>
      <c r="GJF116" s="77" t="str">
        <f t="shared" si="181"/>
        <v/>
      </c>
      <c r="GJG116" s="77" t="str">
        <f t="shared" si="181"/>
        <v/>
      </c>
      <c r="GJH116" s="77" t="str">
        <f t="shared" si="181"/>
        <v/>
      </c>
      <c r="GJI116" s="77" t="str">
        <f t="shared" si="181"/>
        <v/>
      </c>
      <c r="GJJ116" s="77" t="str">
        <f t="shared" si="181"/>
        <v/>
      </c>
      <c r="GJK116" s="77" t="str">
        <f t="shared" si="181"/>
        <v/>
      </c>
      <c r="GJL116" s="77" t="str">
        <f t="shared" si="181"/>
        <v/>
      </c>
      <c r="GJM116" s="77" t="str">
        <f t="shared" si="181"/>
        <v/>
      </c>
      <c r="GJN116" s="77" t="str">
        <f t="shared" si="181"/>
        <v/>
      </c>
      <c r="GJO116" s="77" t="str">
        <f t="shared" si="181"/>
        <v/>
      </c>
      <c r="GJP116" s="77" t="str">
        <f t="shared" si="181"/>
        <v/>
      </c>
      <c r="GJQ116" s="77" t="str">
        <f t="shared" si="181"/>
        <v/>
      </c>
      <c r="GJR116" s="77" t="str">
        <f t="shared" si="181"/>
        <v/>
      </c>
      <c r="GJS116" s="77" t="str">
        <f t="shared" si="181"/>
        <v/>
      </c>
      <c r="GJT116" s="77" t="str">
        <f t="shared" si="181"/>
        <v/>
      </c>
      <c r="GJU116" s="77" t="str">
        <f t="shared" si="181"/>
        <v/>
      </c>
      <c r="GJV116" s="77" t="str">
        <f t="shared" si="181"/>
        <v/>
      </c>
      <c r="GJW116" s="77" t="str">
        <f t="shared" si="181"/>
        <v/>
      </c>
      <c r="GJX116" s="77" t="str">
        <f t="shared" si="181"/>
        <v/>
      </c>
      <c r="GJY116" s="77" t="str">
        <f t="shared" si="181"/>
        <v/>
      </c>
      <c r="GJZ116" s="77" t="str">
        <f t="shared" si="181"/>
        <v/>
      </c>
      <c r="GKA116" s="77" t="str">
        <f t="shared" si="181"/>
        <v/>
      </c>
      <c r="GKB116" s="77" t="str">
        <f t="shared" si="181"/>
        <v/>
      </c>
      <c r="GKC116" s="77" t="str">
        <f t="shared" si="181"/>
        <v/>
      </c>
      <c r="GKD116" s="77" t="str">
        <f t="shared" si="181"/>
        <v/>
      </c>
      <c r="GKE116" s="77" t="str">
        <f t="shared" si="181"/>
        <v/>
      </c>
      <c r="GKF116" s="77" t="str">
        <f t="shared" si="181"/>
        <v/>
      </c>
      <c r="GKG116" s="77" t="str">
        <f t="shared" si="181"/>
        <v/>
      </c>
      <c r="GKH116" s="77" t="str">
        <f t="shared" si="181"/>
        <v/>
      </c>
      <c r="GKI116" s="77" t="str">
        <f t="shared" si="181"/>
        <v/>
      </c>
      <c r="GKJ116" s="77" t="str">
        <f t="shared" si="181"/>
        <v/>
      </c>
      <c r="GKK116" s="77" t="str">
        <f t="shared" si="181"/>
        <v/>
      </c>
      <c r="GKL116" s="77" t="str">
        <f t="shared" si="181"/>
        <v/>
      </c>
      <c r="GKM116" s="77" t="str">
        <f t="shared" ref="GKM116:GMX116" si="182">IF(ISNUMBER(outYear),GKM69+GKM75+GKM81+GKM113,"")</f>
        <v/>
      </c>
      <c r="GKN116" s="77" t="str">
        <f t="shared" si="182"/>
        <v/>
      </c>
      <c r="GKO116" s="77" t="str">
        <f t="shared" si="182"/>
        <v/>
      </c>
      <c r="GKP116" s="77" t="str">
        <f t="shared" si="182"/>
        <v/>
      </c>
      <c r="GKQ116" s="77" t="str">
        <f t="shared" si="182"/>
        <v/>
      </c>
      <c r="GKR116" s="77" t="str">
        <f t="shared" si="182"/>
        <v/>
      </c>
      <c r="GKS116" s="77" t="str">
        <f t="shared" si="182"/>
        <v/>
      </c>
      <c r="GKT116" s="77" t="str">
        <f t="shared" si="182"/>
        <v/>
      </c>
      <c r="GKU116" s="77" t="str">
        <f t="shared" si="182"/>
        <v/>
      </c>
      <c r="GKV116" s="77" t="str">
        <f t="shared" si="182"/>
        <v/>
      </c>
      <c r="GKW116" s="77" t="str">
        <f t="shared" si="182"/>
        <v/>
      </c>
      <c r="GKX116" s="77" t="str">
        <f t="shared" si="182"/>
        <v/>
      </c>
      <c r="GKY116" s="77" t="str">
        <f t="shared" si="182"/>
        <v/>
      </c>
      <c r="GKZ116" s="77" t="str">
        <f t="shared" si="182"/>
        <v/>
      </c>
      <c r="GLA116" s="77" t="str">
        <f t="shared" si="182"/>
        <v/>
      </c>
      <c r="GLB116" s="77" t="str">
        <f t="shared" si="182"/>
        <v/>
      </c>
      <c r="GLC116" s="77" t="str">
        <f t="shared" si="182"/>
        <v/>
      </c>
      <c r="GLD116" s="77" t="str">
        <f t="shared" si="182"/>
        <v/>
      </c>
      <c r="GLE116" s="77" t="str">
        <f t="shared" si="182"/>
        <v/>
      </c>
      <c r="GLF116" s="77" t="str">
        <f t="shared" si="182"/>
        <v/>
      </c>
      <c r="GLG116" s="77" t="str">
        <f t="shared" si="182"/>
        <v/>
      </c>
      <c r="GLH116" s="77" t="str">
        <f t="shared" si="182"/>
        <v/>
      </c>
      <c r="GLI116" s="77" t="str">
        <f t="shared" si="182"/>
        <v/>
      </c>
      <c r="GLJ116" s="77" t="str">
        <f t="shared" si="182"/>
        <v/>
      </c>
      <c r="GLK116" s="77" t="str">
        <f t="shared" si="182"/>
        <v/>
      </c>
      <c r="GLL116" s="77" t="str">
        <f t="shared" si="182"/>
        <v/>
      </c>
      <c r="GLM116" s="77" t="str">
        <f t="shared" si="182"/>
        <v/>
      </c>
      <c r="GLN116" s="77" t="str">
        <f t="shared" si="182"/>
        <v/>
      </c>
      <c r="GLO116" s="77" t="str">
        <f t="shared" si="182"/>
        <v/>
      </c>
      <c r="GLP116" s="77" t="str">
        <f t="shared" si="182"/>
        <v/>
      </c>
      <c r="GLQ116" s="77" t="str">
        <f t="shared" si="182"/>
        <v/>
      </c>
      <c r="GLR116" s="77" t="str">
        <f t="shared" si="182"/>
        <v/>
      </c>
      <c r="GLS116" s="77" t="str">
        <f t="shared" si="182"/>
        <v/>
      </c>
      <c r="GLT116" s="77" t="str">
        <f t="shared" si="182"/>
        <v/>
      </c>
      <c r="GLU116" s="77" t="str">
        <f t="shared" si="182"/>
        <v/>
      </c>
      <c r="GLV116" s="77" t="str">
        <f t="shared" si="182"/>
        <v/>
      </c>
      <c r="GLW116" s="77" t="str">
        <f t="shared" si="182"/>
        <v/>
      </c>
      <c r="GLX116" s="77" t="str">
        <f t="shared" si="182"/>
        <v/>
      </c>
      <c r="GLY116" s="77" t="str">
        <f t="shared" si="182"/>
        <v/>
      </c>
      <c r="GLZ116" s="77" t="str">
        <f t="shared" si="182"/>
        <v/>
      </c>
      <c r="GMA116" s="77" t="str">
        <f t="shared" si="182"/>
        <v/>
      </c>
      <c r="GMB116" s="77" t="str">
        <f t="shared" si="182"/>
        <v/>
      </c>
      <c r="GMC116" s="77" t="str">
        <f t="shared" si="182"/>
        <v/>
      </c>
      <c r="GMD116" s="77" t="str">
        <f t="shared" si="182"/>
        <v/>
      </c>
      <c r="GME116" s="77" t="str">
        <f t="shared" si="182"/>
        <v/>
      </c>
      <c r="GMF116" s="77" t="str">
        <f t="shared" si="182"/>
        <v/>
      </c>
      <c r="GMG116" s="77" t="str">
        <f t="shared" si="182"/>
        <v/>
      </c>
      <c r="GMH116" s="77" t="str">
        <f t="shared" si="182"/>
        <v/>
      </c>
      <c r="GMI116" s="77" t="str">
        <f t="shared" si="182"/>
        <v/>
      </c>
      <c r="GMJ116" s="77" t="str">
        <f t="shared" si="182"/>
        <v/>
      </c>
      <c r="GMK116" s="77" t="str">
        <f t="shared" si="182"/>
        <v/>
      </c>
      <c r="GML116" s="77" t="str">
        <f t="shared" si="182"/>
        <v/>
      </c>
      <c r="GMM116" s="77" t="str">
        <f t="shared" si="182"/>
        <v/>
      </c>
      <c r="GMN116" s="77" t="str">
        <f t="shared" si="182"/>
        <v/>
      </c>
      <c r="GMO116" s="77" t="str">
        <f t="shared" si="182"/>
        <v/>
      </c>
      <c r="GMP116" s="77" t="str">
        <f t="shared" si="182"/>
        <v/>
      </c>
      <c r="GMQ116" s="77" t="str">
        <f t="shared" si="182"/>
        <v/>
      </c>
      <c r="GMR116" s="77" t="str">
        <f t="shared" si="182"/>
        <v/>
      </c>
      <c r="GMS116" s="77" t="str">
        <f t="shared" si="182"/>
        <v/>
      </c>
      <c r="GMT116" s="77" t="str">
        <f t="shared" si="182"/>
        <v/>
      </c>
      <c r="GMU116" s="77" t="str">
        <f t="shared" si="182"/>
        <v/>
      </c>
      <c r="GMV116" s="77" t="str">
        <f t="shared" si="182"/>
        <v/>
      </c>
      <c r="GMW116" s="77" t="str">
        <f t="shared" si="182"/>
        <v/>
      </c>
      <c r="GMX116" s="77" t="str">
        <f t="shared" si="182"/>
        <v/>
      </c>
      <c r="GMY116" s="77" t="str">
        <f t="shared" ref="GMY116:GPJ116" si="183">IF(ISNUMBER(outYear),GMY69+GMY75+GMY81+GMY113,"")</f>
        <v/>
      </c>
      <c r="GMZ116" s="77" t="str">
        <f t="shared" si="183"/>
        <v/>
      </c>
      <c r="GNA116" s="77" t="str">
        <f t="shared" si="183"/>
        <v/>
      </c>
      <c r="GNB116" s="77" t="str">
        <f t="shared" si="183"/>
        <v/>
      </c>
      <c r="GNC116" s="77" t="str">
        <f t="shared" si="183"/>
        <v/>
      </c>
      <c r="GND116" s="77" t="str">
        <f t="shared" si="183"/>
        <v/>
      </c>
      <c r="GNE116" s="77" t="str">
        <f t="shared" si="183"/>
        <v/>
      </c>
      <c r="GNF116" s="77" t="str">
        <f t="shared" si="183"/>
        <v/>
      </c>
      <c r="GNG116" s="77" t="str">
        <f t="shared" si="183"/>
        <v/>
      </c>
      <c r="GNH116" s="77" t="str">
        <f t="shared" si="183"/>
        <v/>
      </c>
      <c r="GNI116" s="77" t="str">
        <f t="shared" si="183"/>
        <v/>
      </c>
      <c r="GNJ116" s="77" t="str">
        <f t="shared" si="183"/>
        <v/>
      </c>
      <c r="GNK116" s="77" t="str">
        <f t="shared" si="183"/>
        <v/>
      </c>
      <c r="GNL116" s="77" t="str">
        <f t="shared" si="183"/>
        <v/>
      </c>
      <c r="GNM116" s="77" t="str">
        <f t="shared" si="183"/>
        <v/>
      </c>
      <c r="GNN116" s="77" t="str">
        <f t="shared" si="183"/>
        <v/>
      </c>
      <c r="GNO116" s="77" t="str">
        <f t="shared" si="183"/>
        <v/>
      </c>
      <c r="GNP116" s="77" t="str">
        <f t="shared" si="183"/>
        <v/>
      </c>
      <c r="GNQ116" s="77" t="str">
        <f t="shared" si="183"/>
        <v/>
      </c>
      <c r="GNR116" s="77" t="str">
        <f t="shared" si="183"/>
        <v/>
      </c>
      <c r="GNS116" s="77" t="str">
        <f t="shared" si="183"/>
        <v/>
      </c>
      <c r="GNT116" s="77" t="str">
        <f t="shared" si="183"/>
        <v/>
      </c>
      <c r="GNU116" s="77" t="str">
        <f t="shared" si="183"/>
        <v/>
      </c>
      <c r="GNV116" s="77" t="str">
        <f t="shared" si="183"/>
        <v/>
      </c>
      <c r="GNW116" s="77" t="str">
        <f t="shared" si="183"/>
        <v/>
      </c>
      <c r="GNX116" s="77" t="str">
        <f t="shared" si="183"/>
        <v/>
      </c>
      <c r="GNY116" s="77" t="str">
        <f t="shared" si="183"/>
        <v/>
      </c>
      <c r="GNZ116" s="77" t="str">
        <f t="shared" si="183"/>
        <v/>
      </c>
      <c r="GOA116" s="77" t="str">
        <f t="shared" si="183"/>
        <v/>
      </c>
      <c r="GOB116" s="77" t="str">
        <f t="shared" si="183"/>
        <v/>
      </c>
      <c r="GOC116" s="77" t="str">
        <f t="shared" si="183"/>
        <v/>
      </c>
      <c r="GOD116" s="77" t="str">
        <f t="shared" si="183"/>
        <v/>
      </c>
      <c r="GOE116" s="77" t="str">
        <f t="shared" si="183"/>
        <v/>
      </c>
      <c r="GOF116" s="77" t="str">
        <f t="shared" si="183"/>
        <v/>
      </c>
      <c r="GOG116" s="77" t="str">
        <f t="shared" si="183"/>
        <v/>
      </c>
      <c r="GOH116" s="77" t="str">
        <f t="shared" si="183"/>
        <v/>
      </c>
      <c r="GOI116" s="77" t="str">
        <f t="shared" si="183"/>
        <v/>
      </c>
      <c r="GOJ116" s="77" t="str">
        <f t="shared" si="183"/>
        <v/>
      </c>
      <c r="GOK116" s="77" t="str">
        <f t="shared" si="183"/>
        <v/>
      </c>
      <c r="GOL116" s="77" t="str">
        <f t="shared" si="183"/>
        <v/>
      </c>
      <c r="GOM116" s="77" t="str">
        <f t="shared" si="183"/>
        <v/>
      </c>
      <c r="GON116" s="77" t="str">
        <f t="shared" si="183"/>
        <v/>
      </c>
      <c r="GOO116" s="77" t="str">
        <f t="shared" si="183"/>
        <v/>
      </c>
      <c r="GOP116" s="77" t="str">
        <f t="shared" si="183"/>
        <v/>
      </c>
      <c r="GOQ116" s="77" t="str">
        <f t="shared" si="183"/>
        <v/>
      </c>
      <c r="GOR116" s="77" t="str">
        <f t="shared" si="183"/>
        <v/>
      </c>
      <c r="GOS116" s="77" t="str">
        <f t="shared" si="183"/>
        <v/>
      </c>
      <c r="GOT116" s="77" t="str">
        <f t="shared" si="183"/>
        <v/>
      </c>
      <c r="GOU116" s="77" t="str">
        <f t="shared" si="183"/>
        <v/>
      </c>
      <c r="GOV116" s="77" t="str">
        <f t="shared" si="183"/>
        <v/>
      </c>
      <c r="GOW116" s="77" t="str">
        <f t="shared" si="183"/>
        <v/>
      </c>
      <c r="GOX116" s="77" t="str">
        <f t="shared" si="183"/>
        <v/>
      </c>
      <c r="GOY116" s="77" t="str">
        <f t="shared" si="183"/>
        <v/>
      </c>
      <c r="GOZ116" s="77" t="str">
        <f t="shared" si="183"/>
        <v/>
      </c>
      <c r="GPA116" s="77" t="str">
        <f t="shared" si="183"/>
        <v/>
      </c>
      <c r="GPB116" s="77" t="str">
        <f t="shared" si="183"/>
        <v/>
      </c>
      <c r="GPC116" s="77" t="str">
        <f t="shared" si="183"/>
        <v/>
      </c>
      <c r="GPD116" s="77" t="str">
        <f t="shared" si="183"/>
        <v/>
      </c>
      <c r="GPE116" s="77" t="str">
        <f t="shared" si="183"/>
        <v/>
      </c>
      <c r="GPF116" s="77" t="str">
        <f t="shared" si="183"/>
        <v/>
      </c>
      <c r="GPG116" s="77" t="str">
        <f t="shared" si="183"/>
        <v/>
      </c>
      <c r="GPH116" s="77" t="str">
        <f t="shared" si="183"/>
        <v/>
      </c>
      <c r="GPI116" s="77" t="str">
        <f t="shared" si="183"/>
        <v/>
      </c>
      <c r="GPJ116" s="77" t="str">
        <f t="shared" si="183"/>
        <v/>
      </c>
      <c r="GPK116" s="77" t="str">
        <f t="shared" ref="GPK116:GRV116" si="184">IF(ISNUMBER(outYear),GPK69+GPK75+GPK81+GPK113,"")</f>
        <v/>
      </c>
      <c r="GPL116" s="77" t="str">
        <f t="shared" si="184"/>
        <v/>
      </c>
      <c r="GPM116" s="77" t="str">
        <f t="shared" si="184"/>
        <v/>
      </c>
      <c r="GPN116" s="77" t="str">
        <f t="shared" si="184"/>
        <v/>
      </c>
      <c r="GPO116" s="77" t="str">
        <f t="shared" si="184"/>
        <v/>
      </c>
      <c r="GPP116" s="77" t="str">
        <f t="shared" si="184"/>
        <v/>
      </c>
      <c r="GPQ116" s="77" t="str">
        <f t="shared" si="184"/>
        <v/>
      </c>
      <c r="GPR116" s="77" t="str">
        <f t="shared" si="184"/>
        <v/>
      </c>
      <c r="GPS116" s="77" t="str">
        <f t="shared" si="184"/>
        <v/>
      </c>
      <c r="GPT116" s="77" t="str">
        <f t="shared" si="184"/>
        <v/>
      </c>
      <c r="GPU116" s="77" t="str">
        <f t="shared" si="184"/>
        <v/>
      </c>
      <c r="GPV116" s="77" t="str">
        <f t="shared" si="184"/>
        <v/>
      </c>
      <c r="GPW116" s="77" t="str">
        <f t="shared" si="184"/>
        <v/>
      </c>
      <c r="GPX116" s="77" t="str">
        <f t="shared" si="184"/>
        <v/>
      </c>
      <c r="GPY116" s="77" t="str">
        <f t="shared" si="184"/>
        <v/>
      </c>
      <c r="GPZ116" s="77" t="str">
        <f t="shared" si="184"/>
        <v/>
      </c>
      <c r="GQA116" s="77" t="str">
        <f t="shared" si="184"/>
        <v/>
      </c>
      <c r="GQB116" s="77" t="str">
        <f t="shared" si="184"/>
        <v/>
      </c>
      <c r="GQC116" s="77" t="str">
        <f t="shared" si="184"/>
        <v/>
      </c>
      <c r="GQD116" s="77" t="str">
        <f t="shared" si="184"/>
        <v/>
      </c>
      <c r="GQE116" s="77" t="str">
        <f t="shared" si="184"/>
        <v/>
      </c>
      <c r="GQF116" s="77" t="str">
        <f t="shared" si="184"/>
        <v/>
      </c>
      <c r="GQG116" s="77" t="str">
        <f t="shared" si="184"/>
        <v/>
      </c>
      <c r="GQH116" s="77" t="str">
        <f t="shared" si="184"/>
        <v/>
      </c>
      <c r="GQI116" s="77" t="str">
        <f t="shared" si="184"/>
        <v/>
      </c>
      <c r="GQJ116" s="77" t="str">
        <f t="shared" si="184"/>
        <v/>
      </c>
      <c r="GQK116" s="77" t="str">
        <f t="shared" si="184"/>
        <v/>
      </c>
      <c r="GQL116" s="77" t="str">
        <f t="shared" si="184"/>
        <v/>
      </c>
      <c r="GQM116" s="77" t="str">
        <f t="shared" si="184"/>
        <v/>
      </c>
      <c r="GQN116" s="77" t="str">
        <f t="shared" si="184"/>
        <v/>
      </c>
      <c r="GQO116" s="77" t="str">
        <f t="shared" si="184"/>
        <v/>
      </c>
      <c r="GQP116" s="77" t="str">
        <f t="shared" si="184"/>
        <v/>
      </c>
      <c r="GQQ116" s="77" t="str">
        <f t="shared" si="184"/>
        <v/>
      </c>
      <c r="GQR116" s="77" t="str">
        <f t="shared" si="184"/>
        <v/>
      </c>
      <c r="GQS116" s="77" t="str">
        <f t="shared" si="184"/>
        <v/>
      </c>
      <c r="GQT116" s="77" t="str">
        <f t="shared" si="184"/>
        <v/>
      </c>
      <c r="GQU116" s="77" t="str">
        <f t="shared" si="184"/>
        <v/>
      </c>
      <c r="GQV116" s="77" t="str">
        <f t="shared" si="184"/>
        <v/>
      </c>
      <c r="GQW116" s="77" t="str">
        <f t="shared" si="184"/>
        <v/>
      </c>
      <c r="GQX116" s="77" t="str">
        <f t="shared" si="184"/>
        <v/>
      </c>
      <c r="GQY116" s="77" t="str">
        <f t="shared" si="184"/>
        <v/>
      </c>
      <c r="GQZ116" s="77" t="str">
        <f t="shared" si="184"/>
        <v/>
      </c>
      <c r="GRA116" s="77" t="str">
        <f t="shared" si="184"/>
        <v/>
      </c>
      <c r="GRB116" s="77" t="str">
        <f t="shared" si="184"/>
        <v/>
      </c>
      <c r="GRC116" s="77" t="str">
        <f t="shared" si="184"/>
        <v/>
      </c>
      <c r="GRD116" s="77" t="str">
        <f t="shared" si="184"/>
        <v/>
      </c>
      <c r="GRE116" s="77" t="str">
        <f t="shared" si="184"/>
        <v/>
      </c>
      <c r="GRF116" s="77" t="str">
        <f t="shared" si="184"/>
        <v/>
      </c>
      <c r="GRG116" s="77" t="str">
        <f t="shared" si="184"/>
        <v/>
      </c>
      <c r="GRH116" s="77" t="str">
        <f t="shared" si="184"/>
        <v/>
      </c>
      <c r="GRI116" s="77" t="str">
        <f t="shared" si="184"/>
        <v/>
      </c>
      <c r="GRJ116" s="77" t="str">
        <f t="shared" si="184"/>
        <v/>
      </c>
      <c r="GRK116" s="77" t="str">
        <f t="shared" si="184"/>
        <v/>
      </c>
      <c r="GRL116" s="77" t="str">
        <f t="shared" si="184"/>
        <v/>
      </c>
      <c r="GRM116" s="77" t="str">
        <f t="shared" si="184"/>
        <v/>
      </c>
      <c r="GRN116" s="77" t="str">
        <f t="shared" si="184"/>
        <v/>
      </c>
      <c r="GRO116" s="77" t="str">
        <f t="shared" si="184"/>
        <v/>
      </c>
      <c r="GRP116" s="77" t="str">
        <f t="shared" si="184"/>
        <v/>
      </c>
      <c r="GRQ116" s="77" t="str">
        <f t="shared" si="184"/>
        <v/>
      </c>
      <c r="GRR116" s="77" t="str">
        <f t="shared" si="184"/>
        <v/>
      </c>
      <c r="GRS116" s="77" t="str">
        <f t="shared" si="184"/>
        <v/>
      </c>
      <c r="GRT116" s="77" t="str">
        <f t="shared" si="184"/>
        <v/>
      </c>
      <c r="GRU116" s="77" t="str">
        <f t="shared" si="184"/>
        <v/>
      </c>
      <c r="GRV116" s="77" t="str">
        <f t="shared" si="184"/>
        <v/>
      </c>
      <c r="GRW116" s="77" t="str">
        <f t="shared" ref="GRW116:GUH116" si="185">IF(ISNUMBER(outYear),GRW69+GRW75+GRW81+GRW113,"")</f>
        <v/>
      </c>
      <c r="GRX116" s="77" t="str">
        <f t="shared" si="185"/>
        <v/>
      </c>
      <c r="GRY116" s="77" t="str">
        <f t="shared" si="185"/>
        <v/>
      </c>
      <c r="GRZ116" s="77" t="str">
        <f t="shared" si="185"/>
        <v/>
      </c>
      <c r="GSA116" s="77" t="str">
        <f t="shared" si="185"/>
        <v/>
      </c>
      <c r="GSB116" s="77" t="str">
        <f t="shared" si="185"/>
        <v/>
      </c>
      <c r="GSC116" s="77" t="str">
        <f t="shared" si="185"/>
        <v/>
      </c>
      <c r="GSD116" s="77" t="str">
        <f t="shared" si="185"/>
        <v/>
      </c>
      <c r="GSE116" s="77" t="str">
        <f t="shared" si="185"/>
        <v/>
      </c>
      <c r="GSF116" s="77" t="str">
        <f t="shared" si="185"/>
        <v/>
      </c>
      <c r="GSG116" s="77" t="str">
        <f t="shared" si="185"/>
        <v/>
      </c>
      <c r="GSH116" s="77" t="str">
        <f t="shared" si="185"/>
        <v/>
      </c>
      <c r="GSI116" s="77" t="str">
        <f t="shared" si="185"/>
        <v/>
      </c>
      <c r="GSJ116" s="77" t="str">
        <f t="shared" si="185"/>
        <v/>
      </c>
      <c r="GSK116" s="77" t="str">
        <f t="shared" si="185"/>
        <v/>
      </c>
      <c r="GSL116" s="77" t="str">
        <f t="shared" si="185"/>
        <v/>
      </c>
      <c r="GSM116" s="77" t="str">
        <f t="shared" si="185"/>
        <v/>
      </c>
      <c r="GSN116" s="77" t="str">
        <f t="shared" si="185"/>
        <v/>
      </c>
      <c r="GSO116" s="77" t="str">
        <f t="shared" si="185"/>
        <v/>
      </c>
      <c r="GSP116" s="77" t="str">
        <f t="shared" si="185"/>
        <v/>
      </c>
      <c r="GSQ116" s="77" t="str">
        <f t="shared" si="185"/>
        <v/>
      </c>
      <c r="GSR116" s="77" t="str">
        <f t="shared" si="185"/>
        <v/>
      </c>
      <c r="GSS116" s="77" t="str">
        <f t="shared" si="185"/>
        <v/>
      </c>
      <c r="GST116" s="77" t="str">
        <f t="shared" si="185"/>
        <v/>
      </c>
      <c r="GSU116" s="77" t="str">
        <f t="shared" si="185"/>
        <v/>
      </c>
      <c r="GSV116" s="77" t="str">
        <f t="shared" si="185"/>
        <v/>
      </c>
      <c r="GSW116" s="77" t="str">
        <f t="shared" si="185"/>
        <v/>
      </c>
      <c r="GSX116" s="77" t="str">
        <f t="shared" si="185"/>
        <v/>
      </c>
      <c r="GSY116" s="77" t="str">
        <f t="shared" si="185"/>
        <v/>
      </c>
      <c r="GSZ116" s="77" t="str">
        <f t="shared" si="185"/>
        <v/>
      </c>
      <c r="GTA116" s="77" t="str">
        <f t="shared" si="185"/>
        <v/>
      </c>
      <c r="GTB116" s="77" t="str">
        <f t="shared" si="185"/>
        <v/>
      </c>
      <c r="GTC116" s="77" t="str">
        <f t="shared" si="185"/>
        <v/>
      </c>
      <c r="GTD116" s="77" t="str">
        <f t="shared" si="185"/>
        <v/>
      </c>
      <c r="GTE116" s="77" t="str">
        <f t="shared" si="185"/>
        <v/>
      </c>
      <c r="GTF116" s="77" t="str">
        <f t="shared" si="185"/>
        <v/>
      </c>
      <c r="GTG116" s="77" t="str">
        <f t="shared" si="185"/>
        <v/>
      </c>
      <c r="GTH116" s="77" t="str">
        <f t="shared" si="185"/>
        <v/>
      </c>
      <c r="GTI116" s="77" t="str">
        <f t="shared" si="185"/>
        <v/>
      </c>
      <c r="GTJ116" s="77" t="str">
        <f t="shared" si="185"/>
        <v/>
      </c>
      <c r="GTK116" s="77" t="str">
        <f t="shared" si="185"/>
        <v/>
      </c>
      <c r="GTL116" s="77" t="str">
        <f t="shared" si="185"/>
        <v/>
      </c>
      <c r="GTM116" s="77" t="str">
        <f t="shared" si="185"/>
        <v/>
      </c>
      <c r="GTN116" s="77" t="str">
        <f t="shared" si="185"/>
        <v/>
      </c>
      <c r="GTO116" s="77" t="str">
        <f t="shared" si="185"/>
        <v/>
      </c>
      <c r="GTP116" s="77" t="str">
        <f t="shared" si="185"/>
        <v/>
      </c>
      <c r="GTQ116" s="77" t="str">
        <f t="shared" si="185"/>
        <v/>
      </c>
      <c r="GTR116" s="77" t="str">
        <f t="shared" si="185"/>
        <v/>
      </c>
      <c r="GTS116" s="77" t="str">
        <f t="shared" si="185"/>
        <v/>
      </c>
      <c r="GTT116" s="77" t="str">
        <f t="shared" si="185"/>
        <v/>
      </c>
      <c r="GTU116" s="77" t="str">
        <f t="shared" si="185"/>
        <v/>
      </c>
      <c r="GTV116" s="77" t="str">
        <f t="shared" si="185"/>
        <v/>
      </c>
      <c r="GTW116" s="77" t="str">
        <f t="shared" si="185"/>
        <v/>
      </c>
      <c r="GTX116" s="77" t="str">
        <f t="shared" si="185"/>
        <v/>
      </c>
      <c r="GTY116" s="77" t="str">
        <f t="shared" si="185"/>
        <v/>
      </c>
      <c r="GTZ116" s="77" t="str">
        <f t="shared" si="185"/>
        <v/>
      </c>
      <c r="GUA116" s="77" t="str">
        <f t="shared" si="185"/>
        <v/>
      </c>
      <c r="GUB116" s="77" t="str">
        <f t="shared" si="185"/>
        <v/>
      </c>
      <c r="GUC116" s="77" t="str">
        <f t="shared" si="185"/>
        <v/>
      </c>
      <c r="GUD116" s="77" t="str">
        <f t="shared" si="185"/>
        <v/>
      </c>
      <c r="GUE116" s="77" t="str">
        <f t="shared" si="185"/>
        <v/>
      </c>
      <c r="GUF116" s="77" t="str">
        <f t="shared" si="185"/>
        <v/>
      </c>
      <c r="GUG116" s="77" t="str">
        <f t="shared" si="185"/>
        <v/>
      </c>
      <c r="GUH116" s="77" t="str">
        <f t="shared" si="185"/>
        <v/>
      </c>
      <c r="GUI116" s="77" t="str">
        <f t="shared" ref="GUI116:GWT116" si="186">IF(ISNUMBER(outYear),GUI69+GUI75+GUI81+GUI113,"")</f>
        <v/>
      </c>
      <c r="GUJ116" s="77" t="str">
        <f t="shared" si="186"/>
        <v/>
      </c>
      <c r="GUK116" s="77" t="str">
        <f t="shared" si="186"/>
        <v/>
      </c>
      <c r="GUL116" s="77" t="str">
        <f t="shared" si="186"/>
        <v/>
      </c>
      <c r="GUM116" s="77" t="str">
        <f t="shared" si="186"/>
        <v/>
      </c>
      <c r="GUN116" s="77" t="str">
        <f t="shared" si="186"/>
        <v/>
      </c>
      <c r="GUO116" s="77" t="str">
        <f t="shared" si="186"/>
        <v/>
      </c>
      <c r="GUP116" s="77" t="str">
        <f t="shared" si="186"/>
        <v/>
      </c>
      <c r="GUQ116" s="77" t="str">
        <f t="shared" si="186"/>
        <v/>
      </c>
      <c r="GUR116" s="77" t="str">
        <f t="shared" si="186"/>
        <v/>
      </c>
      <c r="GUS116" s="77" t="str">
        <f t="shared" si="186"/>
        <v/>
      </c>
      <c r="GUT116" s="77" t="str">
        <f t="shared" si="186"/>
        <v/>
      </c>
      <c r="GUU116" s="77" t="str">
        <f t="shared" si="186"/>
        <v/>
      </c>
      <c r="GUV116" s="77" t="str">
        <f t="shared" si="186"/>
        <v/>
      </c>
      <c r="GUW116" s="77" t="str">
        <f t="shared" si="186"/>
        <v/>
      </c>
      <c r="GUX116" s="77" t="str">
        <f t="shared" si="186"/>
        <v/>
      </c>
      <c r="GUY116" s="77" t="str">
        <f t="shared" si="186"/>
        <v/>
      </c>
      <c r="GUZ116" s="77" t="str">
        <f t="shared" si="186"/>
        <v/>
      </c>
      <c r="GVA116" s="77" t="str">
        <f t="shared" si="186"/>
        <v/>
      </c>
      <c r="GVB116" s="77" t="str">
        <f t="shared" si="186"/>
        <v/>
      </c>
      <c r="GVC116" s="77" t="str">
        <f t="shared" si="186"/>
        <v/>
      </c>
      <c r="GVD116" s="77" t="str">
        <f t="shared" si="186"/>
        <v/>
      </c>
      <c r="GVE116" s="77" t="str">
        <f t="shared" si="186"/>
        <v/>
      </c>
      <c r="GVF116" s="77" t="str">
        <f t="shared" si="186"/>
        <v/>
      </c>
      <c r="GVG116" s="77" t="str">
        <f t="shared" si="186"/>
        <v/>
      </c>
      <c r="GVH116" s="77" t="str">
        <f t="shared" si="186"/>
        <v/>
      </c>
      <c r="GVI116" s="77" t="str">
        <f t="shared" si="186"/>
        <v/>
      </c>
      <c r="GVJ116" s="77" t="str">
        <f t="shared" si="186"/>
        <v/>
      </c>
      <c r="GVK116" s="77" t="str">
        <f t="shared" si="186"/>
        <v/>
      </c>
      <c r="GVL116" s="77" t="str">
        <f t="shared" si="186"/>
        <v/>
      </c>
      <c r="GVM116" s="77" t="str">
        <f t="shared" si="186"/>
        <v/>
      </c>
      <c r="GVN116" s="77" t="str">
        <f t="shared" si="186"/>
        <v/>
      </c>
      <c r="GVO116" s="77" t="str">
        <f t="shared" si="186"/>
        <v/>
      </c>
      <c r="GVP116" s="77" t="str">
        <f t="shared" si="186"/>
        <v/>
      </c>
      <c r="GVQ116" s="77" t="str">
        <f t="shared" si="186"/>
        <v/>
      </c>
      <c r="GVR116" s="77" t="str">
        <f t="shared" si="186"/>
        <v/>
      </c>
      <c r="GVS116" s="77" t="str">
        <f t="shared" si="186"/>
        <v/>
      </c>
      <c r="GVT116" s="77" t="str">
        <f t="shared" si="186"/>
        <v/>
      </c>
      <c r="GVU116" s="77" t="str">
        <f t="shared" si="186"/>
        <v/>
      </c>
      <c r="GVV116" s="77" t="str">
        <f t="shared" si="186"/>
        <v/>
      </c>
      <c r="GVW116" s="77" t="str">
        <f t="shared" si="186"/>
        <v/>
      </c>
      <c r="GVX116" s="77" t="str">
        <f t="shared" si="186"/>
        <v/>
      </c>
      <c r="GVY116" s="77" t="str">
        <f t="shared" si="186"/>
        <v/>
      </c>
      <c r="GVZ116" s="77" t="str">
        <f t="shared" si="186"/>
        <v/>
      </c>
      <c r="GWA116" s="77" t="str">
        <f t="shared" si="186"/>
        <v/>
      </c>
      <c r="GWB116" s="77" t="str">
        <f t="shared" si="186"/>
        <v/>
      </c>
      <c r="GWC116" s="77" t="str">
        <f t="shared" si="186"/>
        <v/>
      </c>
      <c r="GWD116" s="77" t="str">
        <f t="shared" si="186"/>
        <v/>
      </c>
      <c r="GWE116" s="77" t="str">
        <f t="shared" si="186"/>
        <v/>
      </c>
      <c r="GWF116" s="77" t="str">
        <f t="shared" si="186"/>
        <v/>
      </c>
      <c r="GWG116" s="77" t="str">
        <f t="shared" si="186"/>
        <v/>
      </c>
      <c r="GWH116" s="77" t="str">
        <f t="shared" si="186"/>
        <v/>
      </c>
      <c r="GWI116" s="77" t="str">
        <f t="shared" si="186"/>
        <v/>
      </c>
      <c r="GWJ116" s="77" t="str">
        <f t="shared" si="186"/>
        <v/>
      </c>
      <c r="GWK116" s="77" t="str">
        <f t="shared" si="186"/>
        <v/>
      </c>
      <c r="GWL116" s="77" t="str">
        <f t="shared" si="186"/>
        <v/>
      </c>
      <c r="GWM116" s="77" t="str">
        <f t="shared" si="186"/>
        <v/>
      </c>
      <c r="GWN116" s="77" t="str">
        <f t="shared" si="186"/>
        <v/>
      </c>
      <c r="GWO116" s="77" t="str">
        <f t="shared" si="186"/>
        <v/>
      </c>
      <c r="GWP116" s="77" t="str">
        <f t="shared" si="186"/>
        <v/>
      </c>
      <c r="GWQ116" s="77" t="str">
        <f t="shared" si="186"/>
        <v/>
      </c>
      <c r="GWR116" s="77" t="str">
        <f t="shared" si="186"/>
        <v/>
      </c>
      <c r="GWS116" s="77" t="str">
        <f t="shared" si="186"/>
        <v/>
      </c>
      <c r="GWT116" s="77" t="str">
        <f t="shared" si="186"/>
        <v/>
      </c>
      <c r="GWU116" s="77" t="str">
        <f t="shared" ref="GWU116:GZF116" si="187">IF(ISNUMBER(outYear),GWU69+GWU75+GWU81+GWU113,"")</f>
        <v/>
      </c>
      <c r="GWV116" s="77" t="str">
        <f t="shared" si="187"/>
        <v/>
      </c>
      <c r="GWW116" s="77" t="str">
        <f t="shared" si="187"/>
        <v/>
      </c>
      <c r="GWX116" s="77" t="str">
        <f t="shared" si="187"/>
        <v/>
      </c>
      <c r="GWY116" s="77" t="str">
        <f t="shared" si="187"/>
        <v/>
      </c>
      <c r="GWZ116" s="77" t="str">
        <f t="shared" si="187"/>
        <v/>
      </c>
      <c r="GXA116" s="77" t="str">
        <f t="shared" si="187"/>
        <v/>
      </c>
      <c r="GXB116" s="77" t="str">
        <f t="shared" si="187"/>
        <v/>
      </c>
      <c r="GXC116" s="77" t="str">
        <f t="shared" si="187"/>
        <v/>
      </c>
      <c r="GXD116" s="77" t="str">
        <f t="shared" si="187"/>
        <v/>
      </c>
      <c r="GXE116" s="77" t="str">
        <f t="shared" si="187"/>
        <v/>
      </c>
      <c r="GXF116" s="77" t="str">
        <f t="shared" si="187"/>
        <v/>
      </c>
      <c r="GXG116" s="77" t="str">
        <f t="shared" si="187"/>
        <v/>
      </c>
      <c r="GXH116" s="77" t="str">
        <f t="shared" si="187"/>
        <v/>
      </c>
      <c r="GXI116" s="77" t="str">
        <f t="shared" si="187"/>
        <v/>
      </c>
      <c r="GXJ116" s="77" t="str">
        <f t="shared" si="187"/>
        <v/>
      </c>
      <c r="GXK116" s="77" t="str">
        <f t="shared" si="187"/>
        <v/>
      </c>
      <c r="GXL116" s="77" t="str">
        <f t="shared" si="187"/>
        <v/>
      </c>
      <c r="GXM116" s="77" t="str">
        <f t="shared" si="187"/>
        <v/>
      </c>
      <c r="GXN116" s="77" t="str">
        <f t="shared" si="187"/>
        <v/>
      </c>
      <c r="GXO116" s="77" t="str">
        <f t="shared" si="187"/>
        <v/>
      </c>
      <c r="GXP116" s="77" t="str">
        <f t="shared" si="187"/>
        <v/>
      </c>
      <c r="GXQ116" s="77" t="str">
        <f t="shared" si="187"/>
        <v/>
      </c>
      <c r="GXR116" s="77" t="str">
        <f t="shared" si="187"/>
        <v/>
      </c>
      <c r="GXS116" s="77" t="str">
        <f t="shared" si="187"/>
        <v/>
      </c>
      <c r="GXT116" s="77" t="str">
        <f t="shared" si="187"/>
        <v/>
      </c>
      <c r="GXU116" s="77" t="str">
        <f t="shared" si="187"/>
        <v/>
      </c>
      <c r="GXV116" s="77" t="str">
        <f t="shared" si="187"/>
        <v/>
      </c>
      <c r="GXW116" s="77" t="str">
        <f t="shared" si="187"/>
        <v/>
      </c>
      <c r="GXX116" s="77" t="str">
        <f t="shared" si="187"/>
        <v/>
      </c>
      <c r="GXY116" s="77" t="str">
        <f t="shared" si="187"/>
        <v/>
      </c>
      <c r="GXZ116" s="77" t="str">
        <f t="shared" si="187"/>
        <v/>
      </c>
      <c r="GYA116" s="77" t="str">
        <f t="shared" si="187"/>
        <v/>
      </c>
      <c r="GYB116" s="77" t="str">
        <f t="shared" si="187"/>
        <v/>
      </c>
      <c r="GYC116" s="77" t="str">
        <f t="shared" si="187"/>
        <v/>
      </c>
      <c r="GYD116" s="77" t="str">
        <f t="shared" si="187"/>
        <v/>
      </c>
      <c r="GYE116" s="77" t="str">
        <f t="shared" si="187"/>
        <v/>
      </c>
      <c r="GYF116" s="77" t="str">
        <f t="shared" si="187"/>
        <v/>
      </c>
      <c r="GYG116" s="77" t="str">
        <f t="shared" si="187"/>
        <v/>
      </c>
      <c r="GYH116" s="77" t="str">
        <f t="shared" si="187"/>
        <v/>
      </c>
      <c r="GYI116" s="77" t="str">
        <f t="shared" si="187"/>
        <v/>
      </c>
      <c r="GYJ116" s="77" t="str">
        <f t="shared" si="187"/>
        <v/>
      </c>
      <c r="GYK116" s="77" t="str">
        <f t="shared" si="187"/>
        <v/>
      </c>
      <c r="GYL116" s="77" t="str">
        <f t="shared" si="187"/>
        <v/>
      </c>
      <c r="GYM116" s="77" t="str">
        <f t="shared" si="187"/>
        <v/>
      </c>
      <c r="GYN116" s="77" t="str">
        <f t="shared" si="187"/>
        <v/>
      </c>
      <c r="GYO116" s="77" t="str">
        <f t="shared" si="187"/>
        <v/>
      </c>
      <c r="GYP116" s="77" t="str">
        <f t="shared" si="187"/>
        <v/>
      </c>
      <c r="GYQ116" s="77" t="str">
        <f t="shared" si="187"/>
        <v/>
      </c>
      <c r="GYR116" s="77" t="str">
        <f t="shared" si="187"/>
        <v/>
      </c>
      <c r="GYS116" s="77" t="str">
        <f t="shared" si="187"/>
        <v/>
      </c>
      <c r="GYT116" s="77" t="str">
        <f t="shared" si="187"/>
        <v/>
      </c>
      <c r="GYU116" s="77" t="str">
        <f t="shared" si="187"/>
        <v/>
      </c>
      <c r="GYV116" s="77" t="str">
        <f t="shared" si="187"/>
        <v/>
      </c>
      <c r="GYW116" s="77" t="str">
        <f t="shared" si="187"/>
        <v/>
      </c>
      <c r="GYX116" s="77" t="str">
        <f t="shared" si="187"/>
        <v/>
      </c>
      <c r="GYY116" s="77" t="str">
        <f t="shared" si="187"/>
        <v/>
      </c>
      <c r="GYZ116" s="77" t="str">
        <f t="shared" si="187"/>
        <v/>
      </c>
      <c r="GZA116" s="77" t="str">
        <f t="shared" si="187"/>
        <v/>
      </c>
      <c r="GZB116" s="77" t="str">
        <f t="shared" si="187"/>
        <v/>
      </c>
      <c r="GZC116" s="77" t="str">
        <f t="shared" si="187"/>
        <v/>
      </c>
      <c r="GZD116" s="77" t="str">
        <f t="shared" si="187"/>
        <v/>
      </c>
      <c r="GZE116" s="77" t="str">
        <f t="shared" si="187"/>
        <v/>
      </c>
      <c r="GZF116" s="77" t="str">
        <f t="shared" si="187"/>
        <v/>
      </c>
      <c r="GZG116" s="77" t="str">
        <f t="shared" ref="GZG116:HBR116" si="188">IF(ISNUMBER(outYear),GZG69+GZG75+GZG81+GZG113,"")</f>
        <v/>
      </c>
      <c r="GZH116" s="77" t="str">
        <f t="shared" si="188"/>
        <v/>
      </c>
      <c r="GZI116" s="77" t="str">
        <f t="shared" si="188"/>
        <v/>
      </c>
      <c r="GZJ116" s="77" t="str">
        <f t="shared" si="188"/>
        <v/>
      </c>
      <c r="GZK116" s="77" t="str">
        <f t="shared" si="188"/>
        <v/>
      </c>
      <c r="GZL116" s="77" t="str">
        <f t="shared" si="188"/>
        <v/>
      </c>
      <c r="GZM116" s="77" t="str">
        <f t="shared" si="188"/>
        <v/>
      </c>
      <c r="GZN116" s="77" t="str">
        <f t="shared" si="188"/>
        <v/>
      </c>
      <c r="GZO116" s="77" t="str">
        <f t="shared" si="188"/>
        <v/>
      </c>
      <c r="GZP116" s="77" t="str">
        <f t="shared" si="188"/>
        <v/>
      </c>
      <c r="GZQ116" s="77" t="str">
        <f t="shared" si="188"/>
        <v/>
      </c>
      <c r="GZR116" s="77" t="str">
        <f t="shared" si="188"/>
        <v/>
      </c>
      <c r="GZS116" s="77" t="str">
        <f t="shared" si="188"/>
        <v/>
      </c>
      <c r="GZT116" s="77" t="str">
        <f t="shared" si="188"/>
        <v/>
      </c>
      <c r="GZU116" s="77" t="str">
        <f t="shared" si="188"/>
        <v/>
      </c>
      <c r="GZV116" s="77" t="str">
        <f t="shared" si="188"/>
        <v/>
      </c>
      <c r="GZW116" s="77" t="str">
        <f t="shared" si="188"/>
        <v/>
      </c>
      <c r="GZX116" s="77" t="str">
        <f t="shared" si="188"/>
        <v/>
      </c>
      <c r="GZY116" s="77" t="str">
        <f t="shared" si="188"/>
        <v/>
      </c>
      <c r="GZZ116" s="77" t="str">
        <f t="shared" si="188"/>
        <v/>
      </c>
      <c r="HAA116" s="77" t="str">
        <f t="shared" si="188"/>
        <v/>
      </c>
      <c r="HAB116" s="77" t="str">
        <f t="shared" si="188"/>
        <v/>
      </c>
      <c r="HAC116" s="77" t="str">
        <f t="shared" si="188"/>
        <v/>
      </c>
      <c r="HAD116" s="77" t="str">
        <f t="shared" si="188"/>
        <v/>
      </c>
      <c r="HAE116" s="77" t="str">
        <f t="shared" si="188"/>
        <v/>
      </c>
      <c r="HAF116" s="77" t="str">
        <f t="shared" si="188"/>
        <v/>
      </c>
      <c r="HAG116" s="77" t="str">
        <f t="shared" si="188"/>
        <v/>
      </c>
      <c r="HAH116" s="77" t="str">
        <f t="shared" si="188"/>
        <v/>
      </c>
      <c r="HAI116" s="77" t="str">
        <f t="shared" si="188"/>
        <v/>
      </c>
      <c r="HAJ116" s="77" t="str">
        <f t="shared" si="188"/>
        <v/>
      </c>
      <c r="HAK116" s="77" t="str">
        <f t="shared" si="188"/>
        <v/>
      </c>
      <c r="HAL116" s="77" t="str">
        <f t="shared" si="188"/>
        <v/>
      </c>
      <c r="HAM116" s="77" t="str">
        <f t="shared" si="188"/>
        <v/>
      </c>
      <c r="HAN116" s="77" t="str">
        <f t="shared" si="188"/>
        <v/>
      </c>
      <c r="HAO116" s="77" t="str">
        <f t="shared" si="188"/>
        <v/>
      </c>
      <c r="HAP116" s="77" t="str">
        <f t="shared" si="188"/>
        <v/>
      </c>
      <c r="HAQ116" s="77" t="str">
        <f t="shared" si="188"/>
        <v/>
      </c>
      <c r="HAR116" s="77" t="str">
        <f t="shared" si="188"/>
        <v/>
      </c>
      <c r="HAS116" s="77" t="str">
        <f t="shared" si="188"/>
        <v/>
      </c>
      <c r="HAT116" s="77" t="str">
        <f t="shared" si="188"/>
        <v/>
      </c>
      <c r="HAU116" s="77" t="str">
        <f t="shared" si="188"/>
        <v/>
      </c>
      <c r="HAV116" s="77" t="str">
        <f t="shared" si="188"/>
        <v/>
      </c>
      <c r="HAW116" s="77" t="str">
        <f t="shared" si="188"/>
        <v/>
      </c>
      <c r="HAX116" s="77" t="str">
        <f t="shared" si="188"/>
        <v/>
      </c>
      <c r="HAY116" s="77" t="str">
        <f t="shared" si="188"/>
        <v/>
      </c>
      <c r="HAZ116" s="77" t="str">
        <f t="shared" si="188"/>
        <v/>
      </c>
      <c r="HBA116" s="77" t="str">
        <f t="shared" si="188"/>
        <v/>
      </c>
      <c r="HBB116" s="77" t="str">
        <f t="shared" si="188"/>
        <v/>
      </c>
      <c r="HBC116" s="77" t="str">
        <f t="shared" si="188"/>
        <v/>
      </c>
      <c r="HBD116" s="77" t="str">
        <f t="shared" si="188"/>
        <v/>
      </c>
      <c r="HBE116" s="77" t="str">
        <f t="shared" si="188"/>
        <v/>
      </c>
      <c r="HBF116" s="77" t="str">
        <f t="shared" si="188"/>
        <v/>
      </c>
      <c r="HBG116" s="77" t="str">
        <f t="shared" si="188"/>
        <v/>
      </c>
      <c r="HBH116" s="77" t="str">
        <f t="shared" si="188"/>
        <v/>
      </c>
      <c r="HBI116" s="77" t="str">
        <f t="shared" si="188"/>
        <v/>
      </c>
      <c r="HBJ116" s="77" t="str">
        <f t="shared" si="188"/>
        <v/>
      </c>
      <c r="HBK116" s="77" t="str">
        <f t="shared" si="188"/>
        <v/>
      </c>
      <c r="HBL116" s="77" t="str">
        <f t="shared" si="188"/>
        <v/>
      </c>
      <c r="HBM116" s="77" t="str">
        <f t="shared" si="188"/>
        <v/>
      </c>
      <c r="HBN116" s="77" t="str">
        <f t="shared" si="188"/>
        <v/>
      </c>
      <c r="HBO116" s="77" t="str">
        <f t="shared" si="188"/>
        <v/>
      </c>
      <c r="HBP116" s="77" t="str">
        <f t="shared" si="188"/>
        <v/>
      </c>
      <c r="HBQ116" s="77" t="str">
        <f t="shared" si="188"/>
        <v/>
      </c>
      <c r="HBR116" s="77" t="str">
        <f t="shared" si="188"/>
        <v/>
      </c>
      <c r="HBS116" s="77" t="str">
        <f t="shared" ref="HBS116:HED116" si="189">IF(ISNUMBER(outYear),HBS69+HBS75+HBS81+HBS113,"")</f>
        <v/>
      </c>
      <c r="HBT116" s="77" t="str">
        <f t="shared" si="189"/>
        <v/>
      </c>
      <c r="HBU116" s="77" t="str">
        <f t="shared" si="189"/>
        <v/>
      </c>
      <c r="HBV116" s="77" t="str">
        <f t="shared" si="189"/>
        <v/>
      </c>
      <c r="HBW116" s="77" t="str">
        <f t="shared" si="189"/>
        <v/>
      </c>
      <c r="HBX116" s="77" t="str">
        <f t="shared" si="189"/>
        <v/>
      </c>
      <c r="HBY116" s="77" t="str">
        <f t="shared" si="189"/>
        <v/>
      </c>
      <c r="HBZ116" s="77" t="str">
        <f t="shared" si="189"/>
        <v/>
      </c>
      <c r="HCA116" s="77" t="str">
        <f t="shared" si="189"/>
        <v/>
      </c>
      <c r="HCB116" s="77" t="str">
        <f t="shared" si="189"/>
        <v/>
      </c>
      <c r="HCC116" s="77" t="str">
        <f t="shared" si="189"/>
        <v/>
      </c>
      <c r="HCD116" s="77" t="str">
        <f t="shared" si="189"/>
        <v/>
      </c>
      <c r="HCE116" s="77" t="str">
        <f t="shared" si="189"/>
        <v/>
      </c>
      <c r="HCF116" s="77" t="str">
        <f t="shared" si="189"/>
        <v/>
      </c>
      <c r="HCG116" s="77" t="str">
        <f t="shared" si="189"/>
        <v/>
      </c>
      <c r="HCH116" s="77" t="str">
        <f t="shared" si="189"/>
        <v/>
      </c>
      <c r="HCI116" s="77" t="str">
        <f t="shared" si="189"/>
        <v/>
      </c>
      <c r="HCJ116" s="77" t="str">
        <f t="shared" si="189"/>
        <v/>
      </c>
      <c r="HCK116" s="77" t="str">
        <f t="shared" si="189"/>
        <v/>
      </c>
      <c r="HCL116" s="77" t="str">
        <f t="shared" si="189"/>
        <v/>
      </c>
      <c r="HCM116" s="77" t="str">
        <f t="shared" si="189"/>
        <v/>
      </c>
      <c r="HCN116" s="77" t="str">
        <f t="shared" si="189"/>
        <v/>
      </c>
      <c r="HCO116" s="77" t="str">
        <f t="shared" si="189"/>
        <v/>
      </c>
      <c r="HCP116" s="77" t="str">
        <f t="shared" si="189"/>
        <v/>
      </c>
      <c r="HCQ116" s="77" t="str">
        <f t="shared" si="189"/>
        <v/>
      </c>
      <c r="HCR116" s="77" t="str">
        <f t="shared" si="189"/>
        <v/>
      </c>
      <c r="HCS116" s="77" t="str">
        <f t="shared" si="189"/>
        <v/>
      </c>
      <c r="HCT116" s="77" t="str">
        <f t="shared" si="189"/>
        <v/>
      </c>
      <c r="HCU116" s="77" t="str">
        <f t="shared" si="189"/>
        <v/>
      </c>
      <c r="HCV116" s="77" t="str">
        <f t="shared" si="189"/>
        <v/>
      </c>
      <c r="HCW116" s="77" t="str">
        <f t="shared" si="189"/>
        <v/>
      </c>
      <c r="HCX116" s="77" t="str">
        <f t="shared" si="189"/>
        <v/>
      </c>
      <c r="HCY116" s="77" t="str">
        <f t="shared" si="189"/>
        <v/>
      </c>
      <c r="HCZ116" s="77" t="str">
        <f t="shared" si="189"/>
        <v/>
      </c>
      <c r="HDA116" s="77" t="str">
        <f t="shared" si="189"/>
        <v/>
      </c>
      <c r="HDB116" s="77" t="str">
        <f t="shared" si="189"/>
        <v/>
      </c>
      <c r="HDC116" s="77" t="str">
        <f t="shared" si="189"/>
        <v/>
      </c>
      <c r="HDD116" s="77" t="str">
        <f t="shared" si="189"/>
        <v/>
      </c>
      <c r="HDE116" s="77" t="str">
        <f t="shared" si="189"/>
        <v/>
      </c>
      <c r="HDF116" s="77" t="str">
        <f t="shared" si="189"/>
        <v/>
      </c>
      <c r="HDG116" s="77" t="str">
        <f t="shared" si="189"/>
        <v/>
      </c>
      <c r="HDH116" s="77" t="str">
        <f t="shared" si="189"/>
        <v/>
      </c>
      <c r="HDI116" s="77" t="str">
        <f t="shared" si="189"/>
        <v/>
      </c>
      <c r="HDJ116" s="77" t="str">
        <f t="shared" si="189"/>
        <v/>
      </c>
      <c r="HDK116" s="77" t="str">
        <f t="shared" si="189"/>
        <v/>
      </c>
      <c r="HDL116" s="77" t="str">
        <f t="shared" si="189"/>
        <v/>
      </c>
      <c r="HDM116" s="77" t="str">
        <f t="shared" si="189"/>
        <v/>
      </c>
      <c r="HDN116" s="77" t="str">
        <f t="shared" si="189"/>
        <v/>
      </c>
      <c r="HDO116" s="77" t="str">
        <f t="shared" si="189"/>
        <v/>
      </c>
      <c r="HDP116" s="77" t="str">
        <f t="shared" si="189"/>
        <v/>
      </c>
      <c r="HDQ116" s="77" t="str">
        <f t="shared" si="189"/>
        <v/>
      </c>
      <c r="HDR116" s="77" t="str">
        <f t="shared" si="189"/>
        <v/>
      </c>
      <c r="HDS116" s="77" t="str">
        <f t="shared" si="189"/>
        <v/>
      </c>
      <c r="HDT116" s="77" t="str">
        <f t="shared" si="189"/>
        <v/>
      </c>
      <c r="HDU116" s="77" t="str">
        <f t="shared" si="189"/>
        <v/>
      </c>
      <c r="HDV116" s="77" t="str">
        <f t="shared" si="189"/>
        <v/>
      </c>
      <c r="HDW116" s="77" t="str">
        <f t="shared" si="189"/>
        <v/>
      </c>
      <c r="HDX116" s="77" t="str">
        <f t="shared" si="189"/>
        <v/>
      </c>
      <c r="HDY116" s="77" t="str">
        <f t="shared" si="189"/>
        <v/>
      </c>
      <c r="HDZ116" s="77" t="str">
        <f t="shared" si="189"/>
        <v/>
      </c>
      <c r="HEA116" s="77" t="str">
        <f t="shared" si="189"/>
        <v/>
      </c>
      <c r="HEB116" s="77" t="str">
        <f t="shared" si="189"/>
        <v/>
      </c>
      <c r="HEC116" s="77" t="str">
        <f t="shared" si="189"/>
        <v/>
      </c>
      <c r="HED116" s="77" t="str">
        <f t="shared" si="189"/>
        <v/>
      </c>
      <c r="HEE116" s="77" t="str">
        <f t="shared" ref="HEE116:HGP116" si="190">IF(ISNUMBER(outYear),HEE69+HEE75+HEE81+HEE113,"")</f>
        <v/>
      </c>
      <c r="HEF116" s="77" t="str">
        <f t="shared" si="190"/>
        <v/>
      </c>
      <c r="HEG116" s="77" t="str">
        <f t="shared" si="190"/>
        <v/>
      </c>
      <c r="HEH116" s="77" t="str">
        <f t="shared" si="190"/>
        <v/>
      </c>
      <c r="HEI116" s="77" t="str">
        <f t="shared" si="190"/>
        <v/>
      </c>
      <c r="HEJ116" s="77" t="str">
        <f t="shared" si="190"/>
        <v/>
      </c>
      <c r="HEK116" s="77" t="str">
        <f t="shared" si="190"/>
        <v/>
      </c>
      <c r="HEL116" s="77" t="str">
        <f t="shared" si="190"/>
        <v/>
      </c>
      <c r="HEM116" s="77" t="str">
        <f t="shared" si="190"/>
        <v/>
      </c>
      <c r="HEN116" s="77" t="str">
        <f t="shared" si="190"/>
        <v/>
      </c>
      <c r="HEO116" s="77" t="str">
        <f t="shared" si="190"/>
        <v/>
      </c>
      <c r="HEP116" s="77" t="str">
        <f t="shared" si="190"/>
        <v/>
      </c>
      <c r="HEQ116" s="77" t="str">
        <f t="shared" si="190"/>
        <v/>
      </c>
      <c r="HER116" s="77" t="str">
        <f t="shared" si="190"/>
        <v/>
      </c>
      <c r="HES116" s="77" t="str">
        <f t="shared" si="190"/>
        <v/>
      </c>
      <c r="HET116" s="77" t="str">
        <f t="shared" si="190"/>
        <v/>
      </c>
      <c r="HEU116" s="77" t="str">
        <f t="shared" si="190"/>
        <v/>
      </c>
      <c r="HEV116" s="77" t="str">
        <f t="shared" si="190"/>
        <v/>
      </c>
      <c r="HEW116" s="77" t="str">
        <f t="shared" si="190"/>
        <v/>
      </c>
      <c r="HEX116" s="77" t="str">
        <f t="shared" si="190"/>
        <v/>
      </c>
      <c r="HEY116" s="77" t="str">
        <f t="shared" si="190"/>
        <v/>
      </c>
      <c r="HEZ116" s="77" t="str">
        <f t="shared" si="190"/>
        <v/>
      </c>
      <c r="HFA116" s="77" t="str">
        <f t="shared" si="190"/>
        <v/>
      </c>
      <c r="HFB116" s="77" t="str">
        <f t="shared" si="190"/>
        <v/>
      </c>
      <c r="HFC116" s="77" t="str">
        <f t="shared" si="190"/>
        <v/>
      </c>
      <c r="HFD116" s="77" t="str">
        <f t="shared" si="190"/>
        <v/>
      </c>
      <c r="HFE116" s="77" t="str">
        <f t="shared" si="190"/>
        <v/>
      </c>
      <c r="HFF116" s="77" t="str">
        <f t="shared" si="190"/>
        <v/>
      </c>
      <c r="HFG116" s="77" t="str">
        <f t="shared" si="190"/>
        <v/>
      </c>
      <c r="HFH116" s="77" t="str">
        <f t="shared" si="190"/>
        <v/>
      </c>
      <c r="HFI116" s="77" t="str">
        <f t="shared" si="190"/>
        <v/>
      </c>
      <c r="HFJ116" s="77" t="str">
        <f t="shared" si="190"/>
        <v/>
      </c>
      <c r="HFK116" s="77" t="str">
        <f t="shared" si="190"/>
        <v/>
      </c>
      <c r="HFL116" s="77" t="str">
        <f t="shared" si="190"/>
        <v/>
      </c>
      <c r="HFM116" s="77" t="str">
        <f t="shared" si="190"/>
        <v/>
      </c>
      <c r="HFN116" s="77" t="str">
        <f t="shared" si="190"/>
        <v/>
      </c>
      <c r="HFO116" s="77" t="str">
        <f t="shared" si="190"/>
        <v/>
      </c>
      <c r="HFP116" s="77" t="str">
        <f t="shared" si="190"/>
        <v/>
      </c>
      <c r="HFQ116" s="77" t="str">
        <f t="shared" si="190"/>
        <v/>
      </c>
      <c r="HFR116" s="77" t="str">
        <f t="shared" si="190"/>
        <v/>
      </c>
      <c r="HFS116" s="77" t="str">
        <f t="shared" si="190"/>
        <v/>
      </c>
      <c r="HFT116" s="77" t="str">
        <f t="shared" si="190"/>
        <v/>
      </c>
      <c r="HFU116" s="77" t="str">
        <f t="shared" si="190"/>
        <v/>
      </c>
      <c r="HFV116" s="77" t="str">
        <f t="shared" si="190"/>
        <v/>
      </c>
      <c r="HFW116" s="77" t="str">
        <f t="shared" si="190"/>
        <v/>
      </c>
      <c r="HFX116" s="77" t="str">
        <f t="shared" si="190"/>
        <v/>
      </c>
      <c r="HFY116" s="77" t="str">
        <f t="shared" si="190"/>
        <v/>
      </c>
      <c r="HFZ116" s="77" t="str">
        <f t="shared" si="190"/>
        <v/>
      </c>
      <c r="HGA116" s="77" t="str">
        <f t="shared" si="190"/>
        <v/>
      </c>
      <c r="HGB116" s="77" t="str">
        <f t="shared" si="190"/>
        <v/>
      </c>
      <c r="HGC116" s="77" t="str">
        <f t="shared" si="190"/>
        <v/>
      </c>
      <c r="HGD116" s="77" t="str">
        <f t="shared" si="190"/>
        <v/>
      </c>
      <c r="HGE116" s="77" t="str">
        <f t="shared" si="190"/>
        <v/>
      </c>
      <c r="HGF116" s="77" t="str">
        <f t="shared" si="190"/>
        <v/>
      </c>
      <c r="HGG116" s="77" t="str">
        <f t="shared" si="190"/>
        <v/>
      </c>
      <c r="HGH116" s="77" t="str">
        <f t="shared" si="190"/>
        <v/>
      </c>
      <c r="HGI116" s="77" t="str">
        <f t="shared" si="190"/>
        <v/>
      </c>
      <c r="HGJ116" s="77" t="str">
        <f t="shared" si="190"/>
        <v/>
      </c>
      <c r="HGK116" s="77" t="str">
        <f t="shared" si="190"/>
        <v/>
      </c>
      <c r="HGL116" s="77" t="str">
        <f t="shared" si="190"/>
        <v/>
      </c>
      <c r="HGM116" s="77" t="str">
        <f t="shared" si="190"/>
        <v/>
      </c>
      <c r="HGN116" s="77" t="str">
        <f t="shared" si="190"/>
        <v/>
      </c>
      <c r="HGO116" s="77" t="str">
        <f t="shared" si="190"/>
        <v/>
      </c>
      <c r="HGP116" s="77" t="str">
        <f t="shared" si="190"/>
        <v/>
      </c>
      <c r="HGQ116" s="77" t="str">
        <f t="shared" ref="HGQ116:HJB116" si="191">IF(ISNUMBER(outYear),HGQ69+HGQ75+HGQ81+HGQ113,"")</f>
        <v/>
      </c>
      <c r="HGR116" s="77" t="str">
        <f t="shared" si="191"/>
        <v/>
      </c>
      <c r="HGS116" s="77" t="str">
        <f t="shared" si="191"/>
        <v/>
      </c>
      <c r="HGT116" s="77" t="str">
        <f t="shared" si="191"/>
        <v/>
      </c>
      <c r="HGU116" s="77" t="str">
        <f t="shared" si="191"/>
        <v/>
      </c>
      <c r="HGV116" s="77" t="str">
        <f t="shared" si="191"/>
        <v/>
      </c>
      <c r="HGW116" s="77" t="str">
        <f t="shared" si="191"/>
        <v/>
      </c>
      <c r="HGX116" s="77" t="str">
        <f t="shared" si="191"/>
        <v/>
      </c>
      <c r="HGY116" s="77" t="str">
        <f t="shared" si="191"/>
        <v/>
      </c>
      <c r="HGZ116" s="77" t="str">
        <f t="shared" si="191"/>
        <v/>
      </c>
      <c r="HHA116" s="77" t="str">
        <f t="shared" si="191"/>
        <v/>
      </c>
      <c r="HHB116" s="77" t="str">
        <f t="shared" si="191"/>
        <v/>
      </c>
      <c r="HHC116" s="77" t="str">
        <f t="shared" si="191"/>
        <v/>
      </c>
      <c r="HHD116" s="77" t="str">
        <f t="shared" si="191"/>
        <v/>
      </c>
      <c r="HHE116" s="77" t="str">
        <f t="shared" si="191"/>
        <v/>
      </c>
      <c r="HHF116" s="77" t="str">
        <f t="shared" si="191"/>
        <v/>
      </c>
      <c r="HHG116" s="77" t="str">
        <f t="shared" si="191"/>
        <v/>
      </c>
      <c r="HHH116" s="77" t="str">
        <f t="shared" si="191"/>
        <v/>
      </c>
      <c r="HHI116" s="77" t="str">
        <f t="shared" si="191"/>
        <v/>
      </c>
      <c r="HHJ116" s="77" t="str">
        <f t="shared" si="191"/>
        <v/>
      </c>
      <c r="HHK116" s="77" t="str">
        <f t="shared" si="191"/>
        <v/>
      </c>
      <c r="HHL116" s="77" t="str">
        <f t="shared" si="191"/>
        <v/>
      </c>
      <c r="HHM116" s="77" t="str">
        <f t="shared" si="191"/>
        <v/>
      </c>
      <c r="HHN116" s="77" t="str">
        <f t="shared" si="191"/>
        <v/>
      </c>
      <c r="HHO116" s="77" t="str">
        <f t="shared" si="191"/>
        <v/>
      </c>
      <c r="HHP116" s="77" t="str">
        <f t="shared" si="191"/>
        <v/>
      </c>
      <c r="HHQ116" s="77" t="str">
        <f t="shared" si="191"/>
        <v/>
      </c>
      <c r="HHR116" s="77" t="str">
        <f t="shared" si="191"/>
        <v/>
      </c>
      <c r="HHS116" s="77" t="str">
        <f t="shared" si="191"/>
        <v/>
      </c>
      <c r="HHT116" s="77" t="str">
        <f t="shared" si="191"/>
        <v/>
      </c>
      <c r="HHU116" s="77" t="str">
        <f t="shared" si="191"/>
        <v/>
      </c>
      <c r="HHV116" s="77" t="str">
        <f t="shared" si="191"/>
        <v/>
      </c>
      <c r="HHW116" s="77" t="str">
        <f t="shared" si="191"/>
        <v/>
      </c>
      <c r="HHX116" s="77" t="str">
        <f t="shared" si="191"/>
        <v/>
      </c>
      <c r="HHY116" s="77" t="str">
        <f t="shared" si="191"/>
        <v/>
      </c>
      <c r="HHZ116" s="77" t="str">
        <f t="shared" si="191"/>
        <v/>
      </c>
      <c r="HIA116" s="77" t="str">
        <f t="shared" si="191"/>
        <v/>
      </c>
      <c r="HIB116" s="77" t="str">
        <f t="shared" si="191"/>
        <v/>
      </c>
      <c r="HIC116" s="77" t="str">
        <f t="shared" si="191"/>
        <v/>
      </c>
      <c r="HID116" s="77" t="str">
        <f t="shared" si="191"/>
        <v/>
      </c>
      <c r="HIE116" s="77" t="str">
        <f t="shared" si="191"/>
        <v/>
      </c>
      <c r="HIF116" s="77" t="str">
        <f t="shared" si="191"/>
        <v/>
      </c>
      <c r="HIG116" s="77" t="str">
        <f t="shared" si="191"/>
        <v/>
      </c>
      <c r="HIH116" s="77" t="str">
        <f t="shared" si="191"/>
        <v/>
      </c>
      <c r="HII116" s="77" t="str">
        <f t="shared" si="191"/>
        <v/>
      </c>
      <c r="HIJ116" s="77" t="str">
        <f t="shared" si="191"/>
        <v/>
      </c>
      <c r="HIK116" s="77" t="str">
        <f t="shared" si="191"/>
        <v/>
      </c>
      <c r="HIL116" s="77" t="str">
        <f t="shared" si="191"/>
        <v/>
      </c>
      <c r="HIM116" s="77" t="str">
        <f t="shared" si="191"/>
        <v/>
      </c>
      <c r="HIN116" s="77" t="str">
        <f t="shared" si="191"/>
        <v/>
      </c>
      <c r="HIO116" s="77" t="str">
        <f t="shared" si="191"/>
        <v/>
      </c>
      <c r="HIP116" s="77" t="str">
        <f t="shared" si="191"/>
        <v/>
      </c>
      <c r="HIQ116" s="77" t="str">
        <f t="shared" si="191"/>
        <v/>
      </c>
      <c r="HIR116" s="77" t="str">
        <f t="shared" si="191"/>
        <v/>
      </c>
      <c r="HIS116" s="77" t="str">
        <f t="shared" si="191"/>
        <v/>
      </c>
      <c r="HIT116" s="77" t="str">
        <f t="shared" si="191"/>
        <v/>
      </c>
      <c r="HIU116" s="77" t="str">
        <f t="shared" si="191"/>
        <v/>
      </c>
      <c r="HIV116" s="77" t="str">
        <f t="shared" si="191"/>
        <v/>
      </c>
      <c r="HIW116" s="77" t="str">
        <f t="shared" si="191"/>
        <v/>
      </c>
      <c r="HIX116" s="77" t="str">
        <f t="shared" si="191"/>
        <v/>
      </c>
      <c r="HIY116" s="77" t="str">
        <f t="shared" si="191"/>
        <v/>
      </c>
      <c r="HIZ116" s="77" t="str">
        <f t="shared" si="191"/>
        <v/>
      </c>
      <c r="HJA116" s="77" t="str">
        <f t="shared" si="191"/>
        <v/>
      </c>
      <c r="HJB116" s="77" t="str">
        <f t="shared" si="191"/>
        <v/>
      </c>
      <c r="HJC116" s="77" t="str">
        <f t="shared" ref="HJC116:HLN116" si="192">IF(ISNUMBER(outYear),HJC69+HJC75+HJC81+HJC113,"")</f>
        <v/>
      </c>
      <c r="HJD116" s="77" t="str">
        <f t="shared" si="192"/>
        <v/>
      </c>
      <c r="HJE116" s="77" t="str">
        <f t="shared" si="192"/>
        <v/>
      </c>
      <c r="HJF116" s="77" t="str">
        <f t="shared" si="192"/>
        <v/>
      </c>
      <c r="HJG116" s="77" t="str">
        <f t="shared" si="192"/>
        <v/>
      </c>
      <c r="HJH116" s="77" t="str">
        <f t="shared" si="192"/>
        <v/>
      </c>
      <c r="HJI116" s="77" t="str">
        <f t="shared" si="192"/>
        <v/>
      </c>
      <c r="HJJ116" s="77" t="str">
        <f t="shared" si="192"/>
        <v/>
      </c>
      <c r="HJK116" s="77" t="str">
        <f t="shared" si="192"/>
        <v/>
      </c>
      <c r="HJL116" s="77" t="str">
        <f t="shared" si="192"/>
        <v/>
      </c>
      <c r="HJM116" s="77" t="str">
        <f t="shared" si="192"/>
        <v/>
      </c>
      <c r="HJN116" s="77" t="str">
        <f t="shared" si="192"/>
        <v/>
      </c>
      <c r="HJO116" s="77" t="str">
        <f t="shared" si="192"/>
        <v/>
      </c>
      <c r="HJP116" s="77" t="str">
        <f t="shared" si="192"/>
        <v/>
      </c>
      <c r="HJQ116" s="77" t="str">
        <f t="shared" si="192"/>
        <v/>
      </c>
      <c r="HJR116" s="77" t="str">
        <f t="shared" si="192"/>
        <v/>
      </c>
      <c r="HJS116" s="77" t="str">
        <f t="shared" si="192"/>
        <v/>
      </c>
      <c r="HJT116" s="77" t="str">
        <f t="shared" si="192"/>
        <v/>
      </c>
      <c r="HJU116" s="77" t="str">
        <f t="shared" si="192"/>
        <v/>
      </c>
      <c r="HJV116" s="77" t="str">
        <f t="shared" si="192"/>
        <v/>
      </c>
      <c r="HJW116" s="77" t="str">
        <f t="shared" si="192"/>
        <v/>
      </c>
      <c r="HJX116" s="77" t="str">
        <f t="shared" si="192"/>
        <v/>
      </c>
      <c r="HJY116" s="77" t="str">
        <f t="shared" si="192"/>
        <v/>
      </c>
      <c r="HJZ116" s="77" t="str">
        <f t="shared" si="192"/>
        <v/>
      </c>
      <c r="HKA116" s="77" t="str">
        <f t="shared" si="192"/>
        <v/>
      </c>
      <c r="HKB116" s="77" t="str">
        <f t="shared" si="192"/>
        <v/>
      </c>
      <c r="HKC116" s="77" t="str">
        <f t="shared" si="192"/>
        <v/>
      </c>
      <c r="HKD116" s="77" t="str">
        <f t="shared" si="192"/>
        <v/>
      </c>
      <c r="HKE116" s="77" t="str">
        <f t="shared" si="192"/>
        <v/>
      </c>
      <c r="HKF116" s="77" t="str">
        <f t="shared" si="192"/>
        <v/>
      </c>
      <c r="HKG116" s="77" t="str">
        <f t="shared" si="192"/>
        <v/>
      </c>
      <c r="HKH116" s="77" t="str">
        <f t="shared" si="192"/>
        <v/>
      </c>
      <c r="HKI116" s="77" t="str">
        <f t="shared" si="192"/>
        <v/>
      </c>
      <c r="HKJ116" s="77" t="str">
        <f t="shared" si="192"/>
        <v/>
      </c>
      <c r="HKK116" s="77" t="str">
        <f t="shared" si="192"/>
        <v/>
      </c>
      <c r="HKL116" s="77" t="str">
        <f t="shared" si="192"/>
        <v/>
      </c>
      <c r="HKM116" s="77" t="str">
        <f t="shared" si="192"/>
        <v/>
      </c>
      <c r="HKN116" s="77" t="str">
        <f t="shared" si="192"/>
        <v/>
      </c>
      <c r="HKO116" s="77" t="str">
        <f t="shared" si="192"/>
        <v/>
      </c>
      <c r="HKP116" s="77" t="str">
        <f t="shared" si="192"/>
        <v/>
      </c>
      <c r="HKQ116" s="77" t="str">
        <f t="shared" si="192"/>
        <v/>
      </c>
      <c r="HKR116" s="77" t="str">
        <f t="shared" si="192"/>
        <v/>
      </c>
      <c r="HKS116" s="77" t="str">
        <f t="shared" si="192"/>
        <v/>
      </c>
      <c r="HKT116" s="77" t="str">
        <f t="shared" si="192"/>
        <v/>
      </c>
      <c r="HKU116" s="77" t="str">
        <f t="shared" si="192"/>
        <v/>
      </c>
      <c r="HKV116" s="77" t="str">
        <f t="shared" si="192"/>
        <v/>
      </c>
      <c r="HKW116" s="77" t="str">
        <f t="shared" si="192"/>
        <v/>
      </c>
      <c r="HKX116" s="77" t="str">
        <f t="shared" si="192"/>
        <v/>
      </c>
      <c r="HKY116" s="77" t="str">
        <f t="shared" si="192"/>
        <v/>
      </c>
      <c r="HKZ116" s="77" t="str">
        <f t="shared" si="192"/>
        <v/>
      </c>
      <c r="HLA116" s="77" t="str">
        <f t="shared" si="192"/>
        <v/>
      </c>
      <c r="HLB116" s="77" t="str">
        <f t="shared" si="192"/>
        <v/>
      </c>
      <c r="HLC116" s="77" t="str">
        <f t="shared" si="192"/>
        <v/>
      </c>
      <c r="HLD116" s="77" t="str">
        <f t="shared" si="192"/>
        <v/>
      </c>
      <c r="HLE116" s="77" t="str">
        <f t="shared" si="192"/>
        <v/>
      </c>
      <c r="HLF116" s="77" t="str">
        <f t="shared" si="192"/>
        <v/>
      </c>
      <c r="HLG116" s="77" t="str">
        <f t="shared" si="192"/>
        <v/>
      </c>
      <c r="HLH116" s="77" t="str">
        <f t="shared" si="192"/>
        <v/>
      </c>
      <c r="HLI116" s="77" t="str">
        <f t="shared" si="192"/>
        <v/>
      </c>
      <c r="HLJ116" s="77" t="str">
        <f t="shared" si="192"/>
        <v/>
      </c>
      <c r="HLK116" s="77" t="str">
        <f t="shared" si="192"/>
        <v/>
      </c>
      <c r="HLL116" s="77" t="str">
        <f t="shared" si="192"/>
        <v/>
      </c>
      <c r="HLM116" s="77" t="str">
        <f t="shared" si="192"/>
        <v/>
      </c>
      <c r="HLN116" s="77" t="str">
        <f t="shared" si="192"/>
        <v/>
      </c>
      <c r="HLO116" s="77" t="str">
        <f t="shared" ref="HLO116:HNZ116" si="193">IF(ISNUMBER(outYear),HLO69+HLO75+HLO81+HLO113,"")</f>
        <v/>
      </c>
      <c r="HLP116" s="77" t="str">
        <f t="shared" si="193"/>
        <v/>
      </c>
      <c r="HLQ116" s="77" t="str">
        <f t="shared" si="193"/>
        <v/>
      </c>
      <c r="HLR116" s="77" t="str">
        <f t="shared" si="193"/>
        <v/>
      </c>
      <c r="HLS116" s="77" t="str">
        <f t="shared" si="193"/>
        <v/>
      </c>
      <c r="HLT116" s="77" t="str">
        <f t="shared" si="193"/>
        <v/>
      </c>
      <c r="HLU116" s="77" t="str">
        <f t="shared" si="193"/>
        <v/>
      </c>
      <c r="HLV116" s="77" t="str">
        <f t="shared" si="193"/>
        <v/>
      </c>
      <c r="HLW116" s="77" t="str">
        <f t="shared" si="193"/>
        <v/>
      </c>
      <c r="HLX116" s="77" t="str">
        <f t="shared" si="193"/>
        <v/>
      </c>
      <c r="HLY116" s="77" t="str">
        <f t="shared" si="193"/>
        <v/>
      </c>
      <c r="HLZ116" s="77" t="str">
        <f t="shared" si="193"/>
        <v/>
      </c>
      <c r="HMA116" s="77" t="str">
        <f t="shared" si="193"/>
        <v/>
      </c>
      <c r="HMB116" s="77" t="str">
        <f t="shared" si="193"/>
        <v/>
      </c>
      <c r="HMC116" s="77" t="str">
        <f t="shared" si="193"/>
        <v/>
      </c>
      <c r="HMD116" s="77" t="str">
        <f t="shared" si="193"/>
        <v/>
      </c>
      <c r="HME116" s="77" t="str">
        <f t="shared" si="193"/>
        <v/>
      </c>
      <c r="HMF116" s="77" t="str">
        <f t="shared" si="193"/>
        <v/>
      </c>
      <c r="HMG116" s="77" t="str">
        <f t="shared" si="193"/>
        <v/>
      </c>
      <c r="HMH116" s="77" t="str">
        <f t="shared" si="193"/>
        <v/>
      </c>
      <c r="HMI116" s="77" t="str">
        <f t="shared" si="193"/>
        <v/>
      </c>
      <c r="HMJ116" s="77" t="str">
        <f t="shared" si="193"/>
        <v/>
      </c>
      <c r="HMK116" s="77" t="str">
        <f t="shared" si="193"/>
        <v/>
      </c>
      <c r="HML116" s="77" t="str">
        <f t="shared" si="193"/>
        <v/>
      </c>
      <c r="HMM116" s="77" t="str">
        <f t="shared" si="193"/>
        <v/>
      </c>
      <c r="HMN116" s="77" t="str">
        <f t="shared" si="193"/>
        <v/>
      </c>
      <c r="HMO116" s="77" t="str">
        <f t="shared" si="193"/>
        <v/>
      </c>
      <c r="HMP116" s="77" t="str">
        <f t="shared" si="193"/>
        <v/>
      </c>
      <c r="HMQ116" s="77" t="str">
        <f t="shared" si="193"/>
        <v/>
      </c>
      <c r="HMR116" s="77" t="str">
        <f t="shared" si="193"/>
        <v/>
      </c>
      <c r="HMS116" s="77" t="str">
        <f t="shared" si="193"/>
        <v/>
      </c>
      <c r="HMT116" s="77" t="str">
        <f t="shared" si="193"/>
        <v/>
      </c>
      <c r="HMU116" s="77" t="str">
        <f t="shared" si="193"/>
        <v/>
      </c>
      <c r="HMV116" s="77" t="str">
        <f t="shared" si="193"/>
        <v/>
      </c>
      <c r="HMW116" s="77" t="str">
        <f t="shared" si="193"/>
        <v/>
      </c>
      <c r="HMX116" s="77" t="str">
        <f t="shared" si="193"/>
        <v/>
      </c>
      <c r="HMY116" s="77" t="str">
        <f t="shared" si="193"/>
        <v/>
      </c>
      <c r="HMZ116" s="77" t="str">
        <f t="shared" si="193"/>
        <v/>
      </c>
      <c r="HNA116" s="77" t="str">
        <f t="shared" si="193"/>
        <v/>
      </c>
      <c r="HNB116" s="77" t="str">
        <f t="shared" si="193"/>
        <v/>
      </c>
      <c r="HNC116" s="77" t="str">
        <f t="shared" si="193"/>
        <v/>
      </c>
      <c r="HND116" s="77" t="str">
        <f t="shared" si="193"/>
        <v/>
      </c>
      <c r="HNE116" s="77" t="str">
        <f t="shared" si="193"/>
        <v/>
      </c>
      <c r="HNF116" s="77" t="str">
        <f t="shared" si="193"/>
        <v/>
      </c>
      <c r="HNG116" s="77" t="str">
        <f t="shared" si="193"/>
        <v/>
      </c>
      <c r="HNH116" s="77" t="str">
        <f t="shared" si="193"/>
        <v/>
      </c>
      <c r="HNI116" s="77" t="str">
        <f t="shared" si="193"/>
        <v/>
      </c>
      <c r="HNJ116" s="77" t="str">
        <f t="shared" si="193"/>
        <v/>
      </c>
      <c r="HNK116" s="77" t="str">
        <f t="shared" si="193"/>
        <v/>
      </c>
      <c r="HNL116" s="77" t="str">
        <f t="shared" si="193"/>
        <v/>
      </c>
      <c r="HNM116" s="77" t="str">
        <f t="shared" si="193"/>
        <v/>
      </c>
      <c r="HNN116" s="77" t="str">
        <f t="shared" si="193"/>
        <v/>
      </c>
      <c r="HNO116" s="77" t="str">
        <f t="shared" si="193"/>
        <v/>
      </c>
      <c r="HNP116" s="77" t="str">
        <f t="shared" si="193"/>
        <v/>
      </c>
      <c r="HNQ116" s="77" t="str">
        <f t="shared" si="193"/>
        <v/>
      </c>
      <c r="HNR116" s="77" t="str">
        <f t="shared" si="193"/>
        <v/>
      </c>
      <c r="HNS116" s="77" t="str">
        <f t="shared" si="193"/>
        <v/>
      </c>
      <c r="HNT116" s="77" t="str">
        <f t="shared" si="193"/>
        <v/>
      </c>
      <c r="HNU116" s="77" t="str">
        <f t="shared" si="193"/>
        <v/>
      </c>
      <c r="HNV116" s="77" t="str">
        <f t="shared" si="193"/>
        <v/>
      </c>
      <c r="HNW116" s="77" t="str">
        <f t="shared" si="193"/>
        <v/>
      </c>
      <c r="HNX116" s="77" t="str">
        <f t="shared" si="193"/>
        <v/>
      </c>
      <c r="HNY116" s="77" t="str">
        <f t="shared" si="193"/>
        <v/>
      </c>
      <c r="HNZ116" s="77" t="str">
        <f t="shared" si="193"/>
        <v/>
      </c>
      <c r="HOA116" s="77" t="str">
        <f t="shared" ref="HOA116:HQL116" si="194">IF(ISNUMBER(outYear),HOA69+HOA75+HOA81+HOA113,"")</f>
        <v/>
      </c>
      <c r="HOB116" s="77" t="str">
        <f t="shared" si="194"/>
        <v/>
      </c>
      <c r="HOC116" s="77" t="str">
        <f t="shared" si="194"/>
        <v/>
      </c>
      <c r="HOD116" s="77" t="str">
        <f t="shared" si="194"/>
        <v/>
      </c>
      <c r="HOE116" s="77" t="str">
        <f t="shared" si="194"/>
        <v/>
      </c>
      <c r="HOF116" s="77" t="str">
        <f t="shared" si="194"/>
        <v/>
      </c>
      <c r="HOG116" s="77" t="str">
        <f t="shared" si="194"/>
        <v/>
      </c>
      <c r="HOH116" s="77" t="str">
        <f t="shared" si="194"/>
        <v/>
      </c>
      <c r="HOI116" s="77" t="str">
        <f t="shared" si="194"/>
        <v/>
      </c>
      <c r="HOJ116" s="77" t="str">
        <f t="shared" si="194"/>
        <v/>
      </c>
      <c r="HOK116" s="77" t="str">
        <f t="shared" si="194"/>
        <v/>
      </c>
      <c r="HOL116" s="77" t="str">
        <f t="shared" si="194"/>
        <v/>
      </c>
      <c r="HOM116" s="77" t="str">
        <f t="shared" si="194"/>
        <v/>
      </c>
      <c r="HON116" s="77" t="str">
        <f t="shared" si="194"/>
        <v/>
      </c>
      <c r="HOO116" s="77" t="str">
        <f t="shared" si="194"/>
        <v/>
      </c>
      <c r="HOP116" s="77" t="str">
        <f t="shared" si="194"/>
        <v/>
      </c>
      <c r="HOQ116" s="77" t="str">
        <f t="shared" si="194"/>
        <v/>
      </c>
      <c r="HOR116" s="77" t="str">
        <f t="shared" si="194"/>
        <v/>
      </c>
      <c r="HOS116" s="77" t="str">
        <f t="shared" si="194"/>
        <v/>
      </c>
      <c r="HOT116" s="77" t="str">
        <f t="shared" si="194"/>
        <v/>
      </c>
      <c r="HOU116" s="77" t="str">
        <f t="shared" si="194"/>
        <v/>
      </c>
      <c r="HOV116" s="77" t="str">
        <f t="shared" si="194"/>
        <v/>
      </c>
      <c r="HOW116" s="77" t="str">
        <f t="shared" si="194"/>
        <v/>
      </c>
      <c r="HOX116" s="77" t="str">
        <f t="shared" si="194"/>
        <v/>
      </c>
      <c r="HOY116" s="77" t="str">
        <f t="shared" si="194"/>
        <v/>
      </c>
      <c r="HOZ116" s="77" t="str">
        <f t="shared" si="194"/>
        <v/>
      </c>
      <c r="HPA116" s="77" t="str">
        <f t="shared" si="194"/>
        <v/>
      </c>
      <c r="HPB116" s="77" t="str">
        <f t="shared" si="194"/>
        <v/>
      </c>
      <c r="HPC116" s="77" t="str">
        <f t="shared" si="194"/>
        <v/>
      </c>
      <c r="HPD116" s="77" t="str">
        <f t="shared" si="194"/>
        <v/>
      </c>
      <c r="HPE116" s="77" t="str">
        <f t="shared" si="194"/>
        <v/>
      </c>
      <c r="HPF116" s="77" t="str">
        <f t="shared" si="194"/>
        <v/>
      </c>
      <c r="HPG116" s="77" t="str">
        <f t="shared" si="194"/>
        <v/>
      </c>
      <c r="HPH116" s="77" t="str">
        <f t="shared" si="194"/>
        <v/>
      </c>
      <c r="HPI116" s="77" t="str">
        <f t="shared" si="194"/>
        <v/>
      </c>
      <c r="HPJ116" s="77" t="str">
        <f t="shared" si="194"/>
        <v/>
      </c>
      <c r="HPK116" s="77" t="str">
        <f t="shared" si="194"/>
        <v/>
      </c>
      <c r="HPL116" s="77" t="str">
        <f t="shared" si="194"/>
        <v/>
      </c>
      <c r="HPM116" s="77" t="str">
        <f t="shared" si="194"/>
        <v/>
      </c>
      <c r="HPN116" s="77" t="str">
        <f t="shared" si="194"/>
        <v/>
      </c>
      <c r="HPO116" s="77" t="str">
        <f t="shared" si="194"/>
        <v/>
      </c>
      <c r="HPP116" s="77" t="str">
        <f t="shared" si="194"/>
        <v/>
      </c>
      <c r="HPQ116" s="77" t="str">
        <f t="shared" si="194"/>
        <v/>
      </c>
      <c r="HPR116" s="77" t="str">
        <f t="shared" si="194"/>
        <v/>
      </c>
      <c r="HPS116" s="77" t="str">
        <f t="shared" si="194"/>
        <v/>
      </c>
      <c r="HPT116" s="77" t="str">
        <f t="shared" si="194"/>
        <v/>
      </c>
      <c r="HPU116" s="77" t="str">
        <f t="shared" si="194"/>
        <v/>
      </c>
      <c r="HPV116" s="77" t="str">
        <f t="shared" si="194"/>
        <v/>
      </c>
      <c r="HPW116" s="77" t="str">
        <f t="shared" si="194"/>
        <v/>
      </c>
      <c r="HPX116" s="77" t="str">
        <f t="shared" si="194"/>
        <v/>
      </c>
      <c r="HPY116" s="77" t="str">
        <f t="shared" si="194"/>
        <v/>
      </c>
      <c r="HPZ116" s="77" t="str">
        <f t="shared" si="194"/>
        <v/>
      </c>
      <c r="HQA116" s="77" t="str">
        <f t="shared" si="194"/>
        <v/>
      </c>
      <c r="HQB116" s="77" t="str">
        <f t="shared" si="194"/>
        <v/>
      </c>
      <c r="HQC116" s="77" t="str">
        <f t="shared" si="194"/>
        <v/>
      </c>
      <c r="HQD116" s="77" t="str">
        <f t="shared" si="194"/>
        <v/>
      </c>
      <c r="HQE116" s="77" t="str">
        <f t="shared" si="194"/>
        <v/>
      </c>
      <c r="HQF116" s="77" t="str">
        <f t="shared" si="194"/>
        <v/>
      </c>
      <c r="HQG116" s="77" t="str">
        <f t="shared" si="194"/>
        <v/>
      </c>
      <c r="HQH116" s="77" t="str">
        <f t="shared" si="194"/>
        <v/>
      </c>
      <c r="HQI116" s="77" t="str">
        <f t="shared" si="194"/>
        <v/>
      </c>
      <c r="HQJ116" s="77" t="str">
        <f t="shared" si="194"/>
        <v/>
      </c>
      <c r="HQK116" s="77" t="str">
        <f t="shared" si="194"/>
        <v/>
      </c>
      <c r="HQL116" s="77" t="str">
        <f t="shared" si="194"/>
        <v/>
      </c>
      <c r="HQM116" s="77" t="str">
        <f t="shared" ref="HQM116:HSX116" si="195">IF(ISNUMBER(outYear),HQM69+HQM75+HQM81+HQM113,"")</f>
        <v/>
      </c>
      <c r="HQN116" s="77" t="str">
        <f t="shared" si="195"/>
        <v/>
      </c>
      <c r="HQO116" s="77" t="str">
        <f t="shared" si="195"/>
        <v/>
      </c>
      <c r="HQP116" s="77" t="str">
        <f t="shared" si="195"/>
        <v/>
      </c>
      <c r="HQQ116" s="77" t="str">
        <f t="shared" si="195"/>
        <v/>
      </c>
      <c r="HQR116" s="77" t="str">
        <f t="shared" si="195"/>
        <v/>
      </c>
      <c r="HQS116" s="77" t="str">
        <f t="shared" si="195"/>
        <v/>
      </c>
      <c r="HQT116" s="77" t="str">
        <f t="shared" si="195"/>
        <v/>
      </c>
      <c r="HQU116" s="77" t="str">
        <f t="shared" si="195"/>
        <v/>
      </c>
      <c r="HQV116" s="77" t="str">
        <f t="shared" si="195"/>
        <v/>
      </c>
      <c r="HQW116" s="77" t="str">
        <f t="shared" si="195"/>
        <v/>
      </c>
      <c r="HQX116" s="77" t="str">
        <f t="shared" si="195"/>
        <v/>
      </c>
      <c r="HQY116" s="77" t="str">
        <f t="shared" si="195"/>
        <v/>
      </c>
      <c r="HQZ116" s="77" t="str">
        <f t="shared" si="195"/>
        <v/>
      </c>
      <c r="HRA116" s="77" t="str">
        <f t="shared" si="195"/>
        <v/>
      </c>
      <c r="HRB116" s="77" t="str">
        <f t="shared" si="195"/>
        <v/>
      </c>
      <c r="HRC116" s="77" t="str">
        <f t="shared" si="195"/>
        <v/>
      </c>
      <c r="HRD116" s="77" t="str">
        <f t="shared" si="195"/>
        <v/>
      </c>
      <c r="HRE116" s="77" t="str">
        <f t="shared" si="195"/>
        <v/>
      </c>
      <c r="HRF116" s="77" t="str">
        <f t="shared" si="195"/>
        <v/>
      </c>
      <c r="HRG116" s="77" t="str">
        <f t="shared" si="195"/>
        <v/>
      </c>
      <c r="HRH116" s="77" t="str">
        <f t="shared" si="195"/>
        <v/>
      </c>
      <c r="HRI116" s="77" t="str">
        <f t="shared" si="195"/>
        <v/>
      </c>
      <c r="HRJ116" s="77" t="str">
        <f t="shared" si="195"/>
        <v/>
      </c>
      <c r="HRK116" s="77" t="str">
        <f t="shared" si="195"/>
        <v/>
      </c>
      <c r="HRL116" s="77" t="str">
        <f t="shared" si="195"/>
        <v/>
      </c>
      <c r="HRM116" s="77" t="str">
        <f t="shared" si="195"/>
        <v/>
      </c>
      <c r="HRN116" s="77" t="str">
        <f t="shared" si="195"/>
        <v/>
      </c>
      <c r="HRO116" s="77" t="str">
        <f t="shared" si="195"/>
        <v/>
      </c>
      <c r="HRP116" s="77" t="str">
        <f t="shared" si="195"/>
        <v/>
      </c>
      <c r="HRQ116" s="77" t="str">
        <f t="shared" si="195"/>
        <v/>
      </c>
      <c r="HRR116" s="77" t="str">
        <f t="shared" si="195"/>
        <v/>
      </c>
      <c r="HRS116" s="77" t="str">
        <f t="shared" si="195"/>
        <v/>
      </c>
      <c r="HRT116" s="77" t="str">
        <f t="shared" si="195"/>
        <v/>
      </c>
      <c r="HRU116" s="77" t="str">
        <f t="shared" si="195"/>
        <v/>
      </c>
      <c r="HRV116" s="77" t="str">
        <f t="shared" si="195"/>
        <v/>
      </c>
      <c r="HRW116" s="77" t="str">
        <f t="shared" si="195"/>
        <v/>
      </c>
      <c r="HRX116" s="77" t="str">
        <f t="shared" si="195"/>
        <v/>
      </c>
      <c r="HRY116" s="77" t="str">
        <f t="shared" si="195"/>
        <v/>
      </c>
      <c r="HRZ116" s="77" t="str">
        <f t="shared" si="195"/>
        <v/>
      </c>
      <c r="HSA116" s="77" t="str">
        <f t="shared" si="195"/>
        <v/>
      </c>
      <c r="HSB116" s="77" t="str">
        <f t="shared" si="195"/>
        <v/>
      </c>
      <c r="HSC116" s="77" t="str">
        <f t="shared" si="195"/>
        <v/>
      </c>
      <c r="HSD116" s="77" t="str">
        <f t="shared" si="195"/>
        <v/>
      </c>
      <c r="HSE116" s="77" t="str">
        <f t="shared" si="195"/>
        <v/>
      </c>
      <c r="HSF116" s="77" t="str">
        <f t="shared" si="195"/>
        <v/>
      </c>
      <c r="HSG116" s="77" t="str">
        <f t="shared" si="195"/>
        <v/>
      </c>
      <c r="HSH116" s="77" t="str">
        <f t="shared" si="195"/>
        <v/>
      </c>
      <c r="HSI116" s="77" t="str">
        <f t="shared" si="195"/>
        <v/>
      </c>
      <c r="HSJ116" s="77" t="str">
        <f t="shared" si="195"/>
        <v/>
      </c>
      <c r="HSK116" s="77" t="str">
        <f t="shared" si="195"/>
        <v/>
      </c>
      <c r="HSL116" s="77" t="str">
        <f t="shared" si="195"/>
        <v/>
      </c>
      <c r="HSM116" s="77" t="str">
        <f t="shared" si="195"/>
        <v/>
      </c>
      <c r="HSN116" s="77" t="str">
        <f t="shared" si="195"/>
        <v/>
      </c>
      <c r="HSO116" s="77" t="str">
        <f t="shared" si="195"/>
        <v/>
      </c>
      <c r="HSP116" s="77" t="str">
        <f t="shared" si="195"/>
        <v/>
      </c>
      <c r="HSQ116" s="77" t="str">
        <f t="shared" si="195"/>
        <v/>
      </c>
      <c r="HSR116" s="77" t="str">
        <f t="shared" si="195"/>
        <v/>
      </c>
      <c r="HSS116" s="77" t="str">
        <f t="shared" si="195"/>
        <v/>
      </c>
      <c r="HST116" s="77" t="str">
        <f t="shared" si="195"/>
        <v/>
      </c>
      <c r="HSU116" s="77" t="str">
        <f t="shared" si="195"/>
        <v/>
      </c>
      <c r="HSV116" s="77" t="str">
        <f t="shared" si="195"/>
        <v/>
      </c>
      <c r="HSW116" s="77" t="str">
        <f t="shared" si="195"/>
        <v/>
      </c>
      <c r="HSX116" s="77" t="str">
        <f t="shared" si="195"/>
        <v/>
      </c>
      <c r="HSY116" s="77" t="str">
        <f t="shared" ref="HSY116:HVJ116" si="196">IF(ISNUMBER(outYear),HSY69+HSY75+HSY81+HSY113,"")</f>
        <v/>
      </c>
      <c r="HSZ116" s="77" t="str">
        <f t="shared" si="196"/>
        <v/>
      </c>
      <c r="HTA116" s="77" t="str">
        <f t="shared" si="196"/>
        <v/>
      </c>
      <c r="HTB116" s="77" t="str">
        <f t="shared" si="196"/>
        <v/>
      </c>
      <c r="HTC116" s="77" t="str">
        <f t="shared" si="196"/>
        <v/>
      </c>
      <c r="HTD116" s="77" t="str">
        <f t="shared" si="196"/>
        <v/>
      </c>
      <c r="HTE116" s="77" t="str">
        <f t="shared" si="196"/>
        <v/>
      </c>
      <c r="HTF116" s="77" t="str">
        <f t="shared" si="196"/>
        <v/>
      </c>
      <c r="HTG116" s="77" t="str">
        <f t="shared" si="196"/>
        <v/>
      </c>
      <c r="HTH116" s="77" t="str">
        <f t="shared" si="196"/>
        <v/>
      </c>
      <c r="HTI116" s="77" t="str">
        <f t="shared" si="196"/>
        <v/>
      </c>
      <c r="HTJ116" s="77" t="str">
        <f t="shared" si="196"/>
        <v/>
      </c>
      <c r="HTK116" s="77" t="str">
        <f t="shared" si="196"/>
        <v/>
      </c>
      <c r="HTL116" s="77" t="str">
        <f t="shared" si="196"/>
        <v/>
      </c>
      <c r="HTM116" s="77" t="str">
        <f t="shared" si="196"/>
        <v/>
      </c>
      <c r="HTN116" s="77" t="str">
        <f t="shared" si="196"/>
        <v/>
      </c>
      <c r="HTO116" s="77" t="str">
        <f t="shared" si="196"/>
        <v/>
      </c>
      <c r="HTP116" s="77" t="str">
        <f t="shared" si="196"/>
        <v/>
      </c>
      <c r="HTQ116" s="77" t="str">
        <f t="shared" si="196"/>
        <v/>
      </c>
      <c r="HTR116" s="77" t="str">
        <f t="shared" si="196"/>
        <v/>
      </c>
      <c r="HTS116" s="77" t="str">
        <f t="shared" si="196"/>
        <v/>
      </c>
      <c r="HTT116" s="77" t="str">
        <f t="shared" si="196"/>
        <v/>
      </c>
      <c r="HTU116" s="77" t="str">
        <f t="shared" si="196"/>
        <v/>
      </c>
      <c r="HTV116" s="77" t="str">
        <f t="shared" si="196"/>
        <v/>
      </c>
      <c r="HTW116" s="77" t="str">
        <f t="shared" si="196"/>
        <v/>
      </c>
      <c r="HTX116" s="77" t="str">
        <f t="shared" si="196"/>
        <v/>
      </c>
      <c r="HTY116" s="77" t="str">
        <f t="shared" si="196"/>
        <v/>
      </c>
      <c r="HTZ116" s="77" t="str">
        <f t="shared" si="196"/>
        <v/>
      </c>
      <c r="HUA116" s="77" t="str">
        <f t="shared" si="196"/>
        <v/>
      </c>
      <c r="HUB116" s="77" t="str">
        <f t="shared" si="196"/>
        <v/>
      </c>
      <c r="HUC116" s="77" t="str">
        <f t="shared" si="196"/>
        <v/>
      </c>
      <c r="HUD116" s="77" t="str">
        <f t="shared" si="196"/>
        <v/>
      </c>
      <c r="HUE116" s="77" t="str">
        <f t="shared" si="196"/>
        <v/>
      </c>
      <c r="HUF116" s="77" t="str">
        <f t="shared" si="196"/>
        <v/>
      </c>
      <c r="HUG116" s="77" t="str">
        <f t="shared" si="196"/>
        <v/>
      </c>
      <c r="HUH116" s="77" t="str">
        <f t="shared" si="196"/>
        <v/>
      </c>
      <c r="HUI116" s="77" t="str">
        <f t="shared" si="196"/>
        <v/>
      </c>
      <c r="HUJ116" s="77" t="str">
        <f t="shared" si="196"/>
        <v/>
      </c>
      <c r="HUK116" s="77" t="str">
        <f t="shared" si="196"/>
        <v/>
      </c>
      <c r="HUL116" s="77" t="str">
        <f t="shared" si="196"/>
        <v/>
      </c>
      <c r="HUM116" s="77" t="str">
        <f t="shared" si="196"/>
        <v/>
      </c>
      <c r="HUN116" s="77" t="str">
        <f t="shared" si="196"/>
        <v/>
      </c>
      <c r="HUO116" s="77" t="str">
        <f t="shared" si="196"/>
        <v/>
      </c>
      <c r="HUP116" s="77" t="str">
        <f t="shared" si="196"/>
        <v/>
      </c>
      <c r="HUQ116" s="77" t="str">
        <f t="shared" si="196"/>
        <v/>
      </c>
      <c r="HUR116" s="77" t="str">
        <f t="shared" si="196"/>
        <v/>
      </c>
      <c r="HUS116" s="77" t="str">
        <f t="shared" si="196"/>
        <v/>
      </c>
      <c r="HUT116" s="77" t="str">
        <f t="shared" si="196"/>
        <v/>
      </c>
      <c r="HUU116" s="77" t="str">
        <f t="shared" si="196"/>
        <v/>
      </c>
      <c r="HUV116" s="77" t="str">
        <f t="shared" si="196"/>
        <v/>
      </c>
      <c r="HUW116" s="77" t="str">
        <f t="shared" si="196"/>
        <v/>
      </c>
      <c r="HUX116" s="77" t="str">
        <f t="shared" si="196"/>
        <v/>
      </c>
      <c r="HUY116" s="77" t="str">
        <f t="shared" si="196"/>
        <v/>
      </c>
      <c r="HUZ116" s="77" t="str">
        <f t="shared" si="196"/>
        <v/>
      </c>
      <c r="HVA116" s="77" t="str">
        <f t="shared" si="196"/>
        <v/>
      </c>
      <c r="HVB116" s="77" t="str">
        <f t="shared" si="196"/>
        <v/>
      </c>
      <c r="HVC116" s="77" t="str">
        <f t="shared" si="196"/>
        <v/>
      </c>
      <c r="HVD116" s="77" t="str">
        <f t="shared" si="196"/>
        <v/>
      </c>
      <c r="HVE116" s="77" t="str">
        <f t="shared" si="196"/>
        <v/>
      </c>
      <c r="HVF116" s="77" t="str">
        <f t="shared" si="196"/>
        <v/>
      </c>
      <c r="HVG116" s="77" t="str">
        <f t="shared" si="196"/>
        <v/>
      </c>
      <c r="HVH116" s="77" t="str">
        <f t="shared" si="196"/>
        <v/>
      </c>
      <c r="HVI116" s="77" t="str">
        <f t="shared" si="196"/>
        <v/>
      </c>
      <c r="HVJ116" s="77" t="str">
        <f t="shared" si="196"/>
        <v/>
      </c>
      <c r="HVK116" s="77" t="str">
        <f t="shared" ref="HVK116:HXV116" si="197">IF(ISNUMBER(outYear),HVK69+HVK75+HVK81+HVK113,"")</f>
        <v/>
      </c>
      <c r="HVL116" s="77" t="str">
        <f t="shared" si="197"/>
        <v/>
      </c>
      <c r="HVM116" s="77" t="str">
        <f t="shared" si="197"/>
        <v/>
      </c>
      <c r="HVN116" s="77" t="str">
        <f t="shared" si="197"/>
        <v/>
      </c>
      <c r="HVO116" s="77" t="str">
        <f t="shared" si="197"/>
        <v/>
      </c>
      <c r="HVP116" s="77" t="str">
        <f t="shared" si="197"/>
        <v/>
      </c>
      <c r="HVQ116" s="77" t="str">
        <f t="shared" si="197"/>
        <v/>
      </c>
      <c r="HVR116" s="77" t="str">
        <f t="shared" si="197"/>
        <v/>
      </c>
      <c r="HVS116" s="77" t="str">
        <f t="shared" si="197"/>
        <v/>
      </c>
      <c r="HVT116" s="77" t="str">
        <f t="shared" si="197"/>
        <v/>
      </c>
      <c r="HVU116" s="77" t="str">
        <f t="shared" si="197"/>
        <v/>
      </c>
      <c r="HVV116" s="77" t="str">
        <f t="shared" si="197"/>
        <v/>
      </c>
      <c r="HVW116" s="77" t="str">
        <f t="shared" si="197"/>
        <v/>
      </c>
      <c r="HVX116" s="77" t="str">
        <f t="shared" si="197"/>
        <v/>
      </c>
      <c r="HVY116" s="77" t="str">
        <f t="shared" si="197"/>
        <v/>
      </c>
      <c r="HVZ116" s="77" t="str">
        <f t="shared" si="197"/>
        <v/>
      </c>
      <c r="HWA116" s="77" t="str">
        <f t="shared" si="197"/>
        <v/>
      </c>
      <c r="HWB116" s="77" t="str">
        <f t="shared" si="197"/>
        <v/>
      </c>
      <c r="HWC116" s="77" t="str">
        <f t="shared" si="197"/>
        <v/>
      </c>
      <c r="HWD116" s="77" t="str">
        <f t="shared" si="197"/>
        <v/>
      </c>
      <c r="HWE116" s="77" t="str">
        <f t="shared" si="197"/>
        <v/>
      </c>
      <c r="HWF116" s="77" t="str">
        <f t="shared" si="197"/>
        <v/>
      </c>
      <c r="HWG116" s="77" t="str">
        <f t="shared" si="197"/>
        <v/>
      </c>
      <c r="HWH116" s="77" t="str">
        <f t="shared" si="197"/>
        <v/>
      </c>
      <c r="HWI116" s="77" t="str">
        <f t="shared" si="197"/>
        <v/>
      </c>
      <c r="HWJ116" s="77" t="str">
        <f t="shared" si="197"/>
        <v/>
      </c>
      <c r="HWK116" s="77" t="str">
        <f t="shared" si="197"/>
        <v/>
      </c>
      <c r="HWL116" s="77" t="str">
        <f t="shared" si="197"/>
        <v/>
      </c>
      <c r="HWM116" s="77" t="str">
        <f t="shared" si="197"/>
        <v/>
      </c>
      <c r="HWN116" s="77" t="str">
        <f t="shared" si="197"/>
        <v/>
      </c>
      <c r="HWO116" s="77" t="str">
        <f t="shared" si="197"/>
        <v/>
      </c>
      <c r="HWP116" s="77" t="str">
        <f t="shared" si="197"/>
        <v/>
      </c>
      <c r="HWQ116" s="77" t="str">
        <f t="shared" si="197"/>
        <v/>
      </c>
      <c r="HWR116" s="77" t="str">
        <f t="shared" si="197"/>
        <v/>
      </c>
      <c r="HWS116" s="77" t="str">
        <f t="shared" si="197"/>
        <v/>
      </c>
      <c r="HWT116" s="77" t="str">
        <f t="shared" si="197"/>
        <v/>
      </c>
      <c r="HWU116" s="77" t="str">
        <f t="shared" si="197"/>
        <v/>
      </c>
      <c r="HWV116" s="77" t="str">
        <f t="shared" si="197"/>
        <v/>
      </c>
      <c r="HWW116" s="77" t="str">
        <f t="shared" si="197"/>
        <v/>
      </c>
      <c r="HWX116" s="77" t="str">
        <f t="shared" si="197"/>
        <v/>
      </c>
      <c r="HWY116" s="77" t="str">
        <f t="shared" si="197"/>
        <v/>
      </c>
      <c r="HWZ116" s="77" t="str">
        <f t="shared" si="197"/>
        <v/>
      </c>
      <c r="HXA116" s="77" t="str">
        <f t="shared" si="197"/>
        <v/>
      </c>
      <c r="HXB116" s="77" t="str">
        <f t="shared" si="197"/>
        <v/>
      </c>
      <c r="HXC116" s="77" t="str">
        <f t="shared" si="197"/>
        <v/>
      </c>
      <c r="HXD116" s="77" t="str">
        <f t="shared" si="197"/>
        <v/>
      </c>
      <c r="HXE116" s="77" t="str">
        <f t="shared" si="197"/>
        <v/>
      </c>
      <c r="HXF116" s="77" t="str">
        <f t="shared" si="197"/>
        <v/>
      </c>
      <c r="HXG116" s="77" t="str">
        <f t="shared" si="197"/>
        <v/>
      </c>
      <c r="HXH116" s="77" t="str">
        <f t="shared" si="197"/>
        <v/>
      </c>
      <c r="HXI116" s="77" t="str">
        <f t="shared" si="197"/>
        <v/>
      </c>
      <c r="HXJ116" s="77" t="str">
        <f t="shared" si="197"/>
        <v/>
      </c>
      <c r="HXK116" s="77" t="str">
        <f t="shared" si="197"/>
        <v/>
      </c>
      <c r="HXL116" s="77" t="str">
        <f t="shared" si="197"/>
        <v/>
      </c>
      <c r="HXM116" s="77" t="str">
        <f t="shared" si="197"/>
        <v/>
      </c>
      <c r="HXN116" s="77" t="str">
        <f t="shared" si="197"/>
        <v/>
      </c>
      <c r="HXO116" s="77" t="str">
        <f t="shared" si="197"/>
        <v/>
      </c>
      <c r="HXP116" s="77" t="str">
        <f t="shared" si="197"/>
        <v/>
      </c>
      <c r="HXQ116" s="77" t="str">
        <f t="shared" si="197"/>
        <v/>
      </c>
      <c r="HXR116" s="77" t="str">
        <f t="shared" si="197"/>
        <v/>
      </c>
      <c r="HXS116" s="77" t="str">
        <f t="shared" si="197"/>
        <v/>
      </c>
      <c r="HXT116" s="77" t="str">
        <f t="shared" si="197"/>
        <v/>
      </c>
      <c r="HXU116" s="77" t="str">
        <f t="shared" si="197"/>
        <v/>
      </c>
      <c r="HXV116" s="77" t="str">
        <f t="shared" si="197"/>
        <v/>
      </c>
      <c r="HXW116" s="77" t="str">
        <f t="shared" ref="HXW116:IAH116" si="198">IF(ISNUMBER(outYear),HXW69+HXW75+HXW81+HXW113,"")</f>
        <v/>
      </c>
      <c r="HXX116" s="77" t="str">
        <f t="shared" si="198"/>
        <v/>
      </c>
      <c r="HXY116" s="77" t="str">
        <f t="shared" si="198"/>
        <v/>
      </c>
      <c r="HXZ116" s="77" t="str">
        <f t="shared" si="198"/>
        <v/>
      </c>
      <c r="HYA116" s="77" t="str">
        <f t="shared" si="198"/>
        <v/>
      </c>
      <c r="HYB116" s="77" t="str">
        <f t="shared" si="198"/>
        <v/>
      </c>
      <c r="HYC116" s="77" t="str">
        <f t="shared" si="198"/>
        <v/>
      </c>
      <c r="HYD116" s="77" t="str">
        <f t="shared" si="198"/>
        <v/>
      </c>
      <c r="HYE116" s="77" t="str">
        <f t="shared" si="198"/>
        <v/>
      </c>
      <c r="HYF116" s="77" t="str">
        <f t="shared" si="198"/>
        <v/>
      </c>
      <c r="HYG116" s="77" t="str">
        <f t="shared" si="198"/>
        <v/>
      </c>
      <c r="HYH116" s="77" t="str">
        <f t="shared" si="198"/>
        <v/>
      </c>
      <c r="HYI116" s="77" t="str">
        <f t="shared" si="198"/>
        <v/>
      </c>
      <c r="HYJ116" s="77" t="str">
        <f t="shared" si="198"/>
        <v/>
      </c>
      <c r="HYK116" s="77" t="str">
        <f t="shared" si="198"/>
        <v/>
      </c>
      <c r="HYL116" s="77" t="str">
        <f t="shared" si="198"/>
        <v/>
      </c>
      <c r="HYM116" s="77" t="str">
        <f t="shared" si="198"/>
        <v/>
      </c>
      <c r="HYN116" s="77" t="str">
        <f t="shared" si="198"/>
        <v/>
      </c>
      <c r="HYO116" s="77" t="str">
        <f t="shared" si="198"/>
        <v/>
      </c>
      <c r="HYP116" s="77" t="str">
        <f t="shared" si="198"/>
        <v/>
      </c>
      <c r="HYQ116" s="77" t="str">
        <f t="shared" si="198"/>
        <v/>
      </c>
      <c r="HYR116" s="77" t="str">
        <f t="shared" si="198"/>
        <v/>
      </c>
      <c r="HYS116" s="77" t="str">
        <f t="shared" si="198"/>
        <v/>
      </c>
      <c r="HYT116" s="77" t="str">
        <f t="shared" si="198"/>
        <v/>
      </c>
      <c r="HYU116" s="77" t="str">
        <f t="shared" si="198"/>
        <v/>
      </c>
      <c r="HYV116" s="77" t="str">
        <f t="shared" si="198"/>
        <v/>
      </c>
      <c r="HYW116" s="77" t="str">
        <f t="shared" si="198"/>
        <v/>
      </c>
      <c r="HYX116" s="77" t="str">
        <f t="shared" si="198"/>
        <v/>
      </c>
      <c r="HYY116" s="77" t="str">
        <f t="shared" si="198"/>
        <v/>
      </c>
      <c r="HYZ116" s="77" t="str">
        <f t="shared" si="198"/>
        <v/>
      </c>
      <c r="HZA116" s="77" t="str">
        <f t="shared" si="198"/>
        <v/>
      </c>
      <c r="HZB116" s="77" t="str">
        <f t="shared" si="198"/>
        <v/>
      </c>
      <c r="HZC116" s="77" t="str">
        <f t="shared" si="198"/>
        <v/>
      </c>
      <c r="HZD116" s="77" t="str">
        <f t="shared" si="198"/>
        <v/>
      </c>
      <c r="HZE116" s="77" t="str">
        <f t="shared" si="198"/>
        <v/>
      </c>
      <c r="HZF116" s="77" t="str">
        <f t="shared" si="198"/>
        <v/>
      </c>
      <c r="HZG116" s="77" t="str">
        <f t="shared" si="198"/>
        <v/>
      </c>
      <c r="HZH116" s="77" t="str">
        <f t="shared" si="198"/>
        <v/>
      </c>
      <c r="HZI116" s="77" t="str">
        <f t="shared" si="198"/>
        <v/>
      </c>
      <c r="HZJ116" s="77" t="str">
        <f t="shared" si="198"/>
        <v/>
      </c>
      <c r="HZK116" s="77" t="str">
        <f t="shared" si="198"/>
        <v/>
      </c>
      <c r="HZL116" s="77" t="str">
        <f t="shared" si="198"/>
        <v/>
      </c>
      <c r="HZM116" s="77" t="str">
        <f t="shared" si="198"/>
        <v/>
      </c>
      <c r="HZN116" s="77" t="str">
        <f t="shared" si="198"/>
        <v/>
      </c>
      <c r="HZO116" s="77" t="str">
        <f t="shared" si="198"/>
        <v/>
      </c>
      <c r="HZP116" s="77" t="str">
        <f t="shared" si="198"/>
        <v/>
      </c>
      <c r="HZQ116" s="77" t="str">
        <f t="shared" si="198"/>
        <v/>
      </c>
      <c r="HZR116" s="77" t="str">
        <f t="shared" si="198"/>
        <v/>
      </c>
      <c r="HZS116" s="77" t="str">
        <f t="shared" si="198"/>
        <v/>
      </c>
      <c r="HZT116" s="77" t="str">
        <f t="shared" si="198"/>
        <v/>
      </c>
      <c r="HZU116" s="77" t="str">
        <f t="shared" si="198"/>
        <v/>
      </c>
      <c r="HZV116" s="77" t="str">
        <f t="shared" si="198"/>
        <v/>
      </c>
      <c r="HZW116" s="77" t="str">
        <f t="shared" si="198"/>
        <v/>
      </c>
      <c r="HZX116" s="77" t="str">
        <f t="shared" si="198"/>
        <v/>
      </c>
      <c r="HZY116" s="77" t="str">
        <f t="shared" si="198"/>
        <v/>
      </c>
      <c r="HZZ116" s="77" t="str">
        <f t="shared" si="198"/>
        <v/>
      </c>
      <c r="IAA116" s="77" t="str">
        <f t="shared" si="198"/>
        <v/>
      </c>
      <c r="IAB116" s="77" t="str">
        <f t="shared" si="198"/>
        <v/>
      </c>
      <c r="IAC116" s="77" t="str">
        <f t="shared" si="198"/>
        <v/>
      </c>
      <c r="IAD116" s="77" t="str">
        <f t="shared" si="198"/>
        <v/>
      </c>
      <c r="IAE116" s="77" t="str">
        <f t="shared" si="198"/>
        <v/>
      </c>
      <c r="IAF116" s="77" t="str">
        <f t="shared" si="198"/>
        <v/>
      </c>
      <c r="IAG116" s="77" t="str">
        <f t="shared" si="198"/>
        <v/>
      </c>
      <c r="IAH116" s="77" t="str">
        <f t="shared" si="198"/>
        <v/>
      </c>
      <c r="IAI116" s="77" t="str">
        <f t="shared" ref="IAI116:ICT116" si="199">IF(ISNUMBER(outYear),IAI69+IAI75+IAI81+IAI113,"")</f>
        <v/>
      </c>
      <c r="IAJ116" s="77" t="str">
        <f t="shared" si="199"/>
        <v/>
      </c>
      <c r="IAK116" s="77" t="str">
        <f t="shared" si="199"/>
        <v/>
      </c>
      <c r="IAL116" s="77" t="str">
        <f t="shared" si="199"/>
        <v/>
      </c>
      <c r="IAM116" s="77" t="str">
        <f t="shared" si="199"/>
        <v/>
      </c>
      <c r="IAN116" s="77" t="str">
        <f t="shared" si="199"/>
        <v/>
      </c>
      <c r="IAO116" s="77" t="str">
        <f t="shared" si="199"/>
        <v/>
      </c>
      <c r="IAP116" s="77" t="str">
        <f t="shared" si="199"/>
        <v/>
      </c>
      <c r="IAQ116" s="77" t="str">
        <f t="shared" si="199"/>
        <v/>
      </c>
      <c r="IAR116" s="77" t="str">
        <f t="shared" si="199"/>
        <v/>
      </c>
      <c r="IAS116" s="77" t="str">
        <f t="shared" si="199"/>
        <v/>
      </c>
      <c r="IAT116" s="77" t="str">
        <f t="shared" si="199"/>
        <v/>
      </c>
      <c r="IAU116" s="77" t="str">
        <f t="shared" si="199"/>
        <v/>
      </c>
      <c r="IAV116" s="77" t="str">
        <f t="shared" si="199"/>
        <v/>
      </c>
      <c r="IAW116" s="77" t="str">
        <f t="shared" si="199"/>
        <v/>
      </c>
      <c r="IAX116" s="77" t="str">
        <f t="shared" si="199"/>
        <v/>
      </c>
      <c r="IAY116" s="77" t="str">
        <f t="shared" si="199"/>
        <v/>
      </c>
      <c r="IAZ116" s="77" t="str">
        <f t="shared" si="199"/>
        <v/>
      </c>
      <c r="IBA116" s="77" t="str">
        <f t="shared" si="199"/>
        <v/>
      </c>
      <c r="IBB116" s="77" t="str">
        <f t="shared" si="199"/>
        <v/>
      </c>
      <c r="IBC116" s="77" t="str">
        <f t="shared" si="199"/>
        <v/>
      </c>
      <c r="IBD116" s="77" t="str">
        <f t="shared" si="199"/>
        <v/>
      </c>
      <c r="IBE116" s="77" t="str">
        <f t="shared" si="199"/>
        <v/>
      </c>
      <c r="IBF116" s="77" t="str">
        <f t="shared" si="199"/>
        <v/>
      </c>
      <c r="IBG116" s="77" t="str">
        <f t="shared" si="199"/>
        <v/>
      </c>
      <c r="IBH116" s="77" t="str">
        <f t="shared" si="199"/>
        <v/>
      </c>
      <c r="IBI116" s="77" t="str">
        <f t="shared" si="199"/>
        <v/>
      </c>
      <c r="IBJ116" s="77" t="str">
        <f t="shared" si="199"/>
        <v/>
      </c>
      <c r="IBK116" s="77" t="str">
        <f t="shared" si="199"/>
        <v/>
      </c>
      <c r="IBL116" s="77" t="str">
        <f t="shared" si="199"/>
        <v/>
      </c>
      <c r="IBM116" s="77" t="str">
        <f t="shared" si="199"/>
        <v/>
      </c>
      <c r="IBN116" s="77" t="str">
        <f t="shared" si="199"/>
        <v/>
      </c>
      <c r="IBO116" s="77" t="str">
        <f t="shared" si="199"/>
        <v/>
      </c>
      <c r="IBP116" s="77" t="str">
        <f t="shared" si="199"/>
        <v/>
      </c>
      <c r="IBQ116" s="77" t="str">
        <f t="shared" si="199"/>
        <v/>
      </c>
      <c r="IBR116" s="77" t="str">
        <f t="shared" si="199"/>
        <v/>
      </c>
      <c r="IBS116" s="77" t="str">
        <f t="shared" si="199"/>
        <v/>
      </c>
      <c r="IBT116" s="77" t="str">
        <f t="shared" si="199"/>
        <v/>
      </c>
      <c r="IBU116" s="77" t="str">
        <f t="shared" si="199"/>
        <v/>
      </c>
      <c r="IBV116" s="77" t="str">
        <f t="shared" si="199"/>
        <v/>
      </c>
      <c r="IBW116" s="77" t="str">
        <f t="shared" si="199"/>
        <v/>
      </c>
      <c r="IBX116" s="77" t="str">
        <f t="shared" si="199"/>
        <v/>
      </c>
      <c r="IBY116" s="77" t="str">
        <f t="shared" si="199"/>
        <v/>
      </c>
      <c r="IBZ116" s="77" t="str">
        <f t="shared" si="199"/>
        <v/>
      </c>
      <c r="ICA116" s="77" t="str">
        <f t="shared" si="199"/>
        <v/>
      </c>
      <c r="ICB116" s="77" t="str">
        <f t="shared" si="199"/>
        <v/>
      </c>
      <c r="ICC116" s="77" t="str">
        <f t="shared" si="199"/>
        <v/>
      </c>
      <c r="ICD116" s="77" t="str">
        <f t="shared" si="199"/>
        <v/>
      </c>
      <c r="ICE116" s="77" t="str">
        <f t="shared" si="199"/>
        <v/>
      </c>
      <c r="ICF116" s="77" t="str">
        <f t="shared" si="199"/>
        <v/>
      </c>
      <c r="ICG116" s="77" t="str">
        <f t="shared" si="199"/>
        <v/>
      </c>
      <c r="ICH116" s="77" t="str">
        <f t="shared" si="199"/>
        <v/>
      </c>
      <c r="ICI116" s="77" t="str">
        <f t="shared" si="199"/>
        <v/>
      </c>
      <c r="ICJ116" s="77" t="str">
        <f t="shared" si="199"/>
        <v/>
      </c>
      <c r="ICK116" s="77" t="str">
        <f t="shared" si="199"/>
        <v/>
      </c>
      <c r="ICL116" s="77" t="str">
        <f t="shared" si="199"/>
        <v/>
      </c>
      <c r="ICM116" s="77" t="str">
        <f t="shared" si="199"/>
        <v/>
      </c>
      <c r="ICN116" s="77" t="str">
        <f t="shared" si="199"/>
        <v/>
      </c>
      <c r="ICO116" s="77" t="str">
        <f t="shared" si="199"/>
        <v/>
      </c>
      <c r="ICP116" s="77" t="str">
        <f t="shared" si="199"/>
        <v/>
      </c>
      <c r="ICQ116" s="77" t="str">
        <f t="shared" si="199"/>
        <v/>
      </c>
      <c r="ICR116" s="77" t="str">
        <f t="shared" si="199"/>
        <v/>
      </c>
      <c r="ICS116" s="77" t="str">
        <f t="shared" si="199"/>
        <v/>
      </c>
      <c r="ICT116" s="77" t="str">
        <f t="shared" si="199"/>
        <v/>
      </c>
      <c r="ICU116" s="77" t="str">
        <f t="shared" ref="ICU116:IFF116" si="200">IF(ISNUMBER(outYear),ICU69+ICU75+ICU81+ICU113,"")</f>
        <v/>
      </c>
      <c r="ICV116" s="77" t="str">
        <f t="shared" si="200"/>
        <v/>
      </c>
      <c r="ICW116" s="77" t="str">
        <f t="shared" si="200"/>
        <v/>
      </c>
      <c r="ICX116" s="77" t="str">
        <f t="shared" si="200"/>
        <v/>
      </c>
      <c r="ICY116" s="77" t="str">
        <f t="shared" si="200"/>
        <v/>
      </c>
      <c r="ICZ116" s="77" t="str">
        <f t="shared" si="200"/>
        <v/>
      </c>
      <c r="IDA116" s="77" t="str">
        <f t="shared" si="200"/>
        <v/>
      </c>
      <c r="IDB116" s="77" t="str">
        <f t="shared" si="200"/>
        <v/>
      </c>
      <c r="IDC116" s="77" t="str">
        <f t="shared" si="200"/>
        <v/>
      </c>
      <c r="IDD116" s="77" t="str">
        <f t="shared" si="200"/>
        <v/>
      </c>
      <c r="IDE116" s="77" t="str">
        <f t="shared" si="200"/>
        <v/>
      </c>
      <c r="IDF116" s="77" t="str">
        <f t="shared" si="200"/>
        <v/>
      </c>
      <c r="IDG116" s="77" t="str">
        <f t="shared" si="200"/>
        <v/>
      </c>
      <c r="IDH116" s="77" t="str">
        <f t="shared" si="200"/>
        <v/>
      </c>
      <c r="IDI116" s="77" t="str">
        <f t="shared" si="200"/>
        <v/>
      </c>
      <c r="IDJ116" s="77" t="str">
        <f t="shared" si="200"/>
        <v/>
      </c>
      <c r="IDK116" s="77" t="str">
        <f t="shared" si="200"/>
        <v/>
      </c>
      <c r="IDL116" s="77" t="str">
        <f t="shared" si="200"/>
        <v/>
      </c>
      <c r="IDM116" s="77" t="str">
        <f t="shared" si="200"/>
        <v/>
      </c>
      <c r="IDN116" s="77" t="str">
        <f t="shared" si="200"/>
        <v/>
      </c>
      <c r="IDO116" s="77" t="str">
        <f t="shared" si="200"/>
        <v/>
      </c>
      <c r="IDP116" s="77" t="str">
        <f t="shared" si="200"/>
        <v/>
      </c>
      <c r="IDQ116" s="77" t="str">
        <f t="shared" si="200"/>
        <v/>
      </c>
      <c r="IDR116" s="77" t="str">
        <f t="shared" si="200"/>
        <v/>
      </c>
      <c r="IDS116" s="77" t="str">
        <f t="shared" si="200"/>
        <v/>
      </c>
      <c r="IDT116" s="77" t="str">
        <f t="shared" si="200"/>
        <v/>
      </c>
      <c r="IDU116" s="77" t="str">
        <f t="shared" si="200"/>
        <v/>
      </c>
      <c r="IDV116" s="77" t="str">
        <f t="shared" si="200"/>
        <v/>
      </c>
      <c r="IDW116" s="77" t="str">
        <f t="shared" si="200"/>
        <v/>
      </c>
      <c r="IDX116" s="77" t="str">
        <f t="shared" si="200"/>
        <v/>
      </c>
      <c r="IDY116" s="77" t="str">
        <f t="shared" si="200"/>
        <v/>
      </c>
      <c r="IDZ116" s="77" t="str">
        <f t="shared" si="200"/>
        <v/>
      </c>
      <c r="IEA116" s="77" t="str">
        <f t="shared" si="200"/>
        <v/>
      </c>
      <c r="IEB116" s="77" t="str">
        <f t="shared" si="200"/>
        <v/>
      </c>
      <c r="IEC116" s="77" t="str">
        <f t="shared" si="200"/>
        <v/>
      </c>
      <c r="IED116" s="77" t="str">
        <f t="shared" si="200"/>
        <v/>
      </c>
      <c r="IEE116" s="77" t="str">
        <f t="shared" si="200"/>
        <v/>
      </c>
      <c r="IEF116" s="77" t="str">
        <f t="shared" si="200"/>
        <v/>
      </c>
      <c r="IEG116" s="77" t="str">
        <f t="shared" si="200"/>
        <v/>
      </c>
      <c r="IEH116" s="77" t="str">
        <f t="shared" si="200"/>
        <v/>
      </c>
      <c r="IEI116" s="77" t="str">
        <f t="shared" si="200"/>
        <v/>
      </c>
      <c r="IEJ116" s="77" t="str">
        <f t="shared" si="200"/>
        <v/>
      </c>
      <c r="IEK116" s="77" t="str">
        <f t="shared" si="200"/>
        <v/>
      </c>
      <c r="IEL116" s="77" t="str">
        <f t="shared" si="200"/>
        <v/>
      </c>
      <c r="IEM116" s="77" t="str">
        <f t="shared" si="200"/>
        <v/>
      </c>
      <c r="IEN116" s="77" t="str">
        <f t="shared" si="200"/>
        <v/>
      </c>
      <c r="IEO116" s="77" t="str">
        <f t="shared" si="200"/>
        <v/>
      </c>
      <c r="IEP116" s="77" t="str">
        <f t="shared" si="200"/>
        <v/>
      </c>
      <c r="IEQ116" s="77" t="str">
        <f t="shared" si="200"/>
        <v/>
      </c>
      <c r="IER116" s="77" t="str">
        <f t="shared" si="200"/>
        <v/>
      </c>
      <c r="IES116" s="77" t="str">
        <f t="shared" si="200"/>
        <v/>
      </c>
      <c r="IET116" s="77" t="str">
        <f t="shared" si="200"/>
        <v/>
      </c>
      <c r="IEU116" s="77" t="str">
        <f t="shared" si="200"/>
        <v/>
      </c>
      <c r="IEV116" s="77" t="str">
        <f t="shared" si="200"/>
        <v/>
      </c>
      <c r="IEW116" s="77" t="str">
        <f t="shared" si="200"/>
        <v/>
      </c>
      <c r="IEX116" s="77" t="str">
        <f t="shared" si="200"/>
        <v/>
      </c>
      <c r="IEY116" s="77" t="str">
        <f t="shared" si="200"/>
        <v/>
      </c>
      <c r="IEZ116" s="77" t="str">
        <f t="shared" si="200"/>
        <v/>
      </c>
      <c r="IFA116" s="77" t="str">
        <f t="shared" si="200"/>
        <v/>
      </c>
      <c r="IFB116" s="77" t="str">
        <f t="shared" si="200"/>
        <v/>
      </c>
      <c r="IFC116" s="77" t="str">
        <f t="shared" si="200"/>
        <v/>
      </c>
      <c r="IFD116" s="77" t="str">
        <f t="shared" si="200"/>
        <v/>
      </c>
      <c r="IFE116" s="77" t="str">
        <f t="shared" si="200"/>
        <v/>
      </c>
      <c r="IFF116" s="77" t="str">
        <f t="shared" si="200"/>
        <v/>
      </c>
      <c r="IFG116" s="77" t="str">
        <f t="shared" ref="IFG116:IHR116" si="201">IF(ISNUMBER(outYear),IFG69+IFG75+IFG81+IFG113,"")</f>
        <v/>
      </c>
      <c r="IFH116" s="77" t="str">
        <f t="shared" si="201"/>
        <v/>
      </c>
      <c r="IFI116" s="77" t="str">
        <f t="shared" si="201"/>
        <v/>
      </c>
      <c r="IFJ116" s="77" t="str">
        <f t="shared" si="201"/>
        <v/>
      </c>
      <c r="IFK116" s="77" t="str">
        <f t="shared" si="201"/>
        <v/>
      </c>
      <c r="IFL116" s="77" t="str">
        <f t="shared" si="201"/>
        <v/>
      </c>
      <c r="IFM116" s="77" t="str">
        <f t="shared" si="201"/>
        <v/>
      </c>
      <c r="IFN116" s="77" t="str">
        <f t="shared" si="201"/>
        <v/>
      </c>
      <c r="IFO116" s="77" t="str">
        <f t="shared" si="201"/>
        <v/>
      </c>
      <c r="IFP116" s="77" t="str">
        <f t="shared" si="201"/>
        <v/>
      </c>
      <c r="IFQ116" s="77" t="str">
        <f t="shared" si="201"/>
        <v/>
      </c>
      <c r="IFR116" s="77" t="str">
        <f t="shared" si="201"/>
        <v/>
      </c>
      <c r="IFS116" s="77" t="str">
        <f t="shared" si="201"/>
        <v/>
      </c>
      <c r="IFT116" s="77" t="str">
        <f t="shared" si="201"/>
        <v/>
      </c>
      <c r="IFU116" s="77" t="str">
        <f t="shared" si="201"/>
        <v/>
      </c>
      <c r="IFV116" s="77" t="str">
        <f t="shared" si="201"/>
        <v/>
      </c>
      <c r="IFW116" s="77" t="str">
        <f t="shared" si="201"/>
        <v/>
      </c>
      <c r="IFX116" s="77" t="str">
        <f t="shared" si="201"/>
        <v/>
      </c>
      <c r="IFY116" s="77" t="str">
        <f t="shared" si="201"/>
        <v/>
      </c>
      <c r="IFZ116" s="77" t="str">
        <f t="shared" si="201"/>
        <v/>
      </c>
      <c r="IGA116" s="77" t="str">
        <f t="shared" si="201"/>
        <v/>
      </c>
      <c r="IGB116" s="77" t="str">
        <f t="shared" si="201"/>
        <v/>
      </c>
      <c r="IGC116" s="77" t="str">
        <f t="shared" si="201"/>
        <v/>
      </c>
      <c r="IGD116" s="77" t="str">
        <f t="shared" si="201"/>
        <v/>
      </c>
      <c r="IGE116" s="77" t="str">
        <f t="shared" si="201"/>
        <v/>
      </c>
      <c r="IGF116" s="77" t="str">
        <f t="shared" si="201"/>
        <v/>
      </c>
      <c r="IGG116" s="77" t="str">
        <f t="shared" si="201"/>
        <v/>
      </c>
      <c r="IGH116" s="77" t="str">
        <f t="shared" si="201"/>
        <v/>
      </c>
      <c r="IGI116" s="77" t="str">
        <f t="shared" si="201"/>
        <v/>
      </c>
      <c r="IGJ116" s="77" t="str">
        <f t="shared" si="201"/>
        <v/>
      </c>
      <c r="IGK116" s="77" t="str">
        <f t="shared" si="201"/>
        <v/>
      </c>
      <c r="IGL116" s="77" t="str">
        <f t="shared" si="201"/>
        <v/>
      </c>
      <c r="IGM116" s="77" t="str">
        <f t="shared" si="201"/>
        <v/>
      </c>
      <c r="IGN116" s="77" t="str">
        <f t="shared" si="201"/>
        <v/>
      </c>
      <c r="IGO116" s="77" t="str">
        <f t="shared" si="201"/>
        <v/>
      </c>
      <c r="IGP116" s="77" t="str">
        <f t="shared" si="201"/>
        <v/>
      </c>
      <c r="IGQ116" s="77" t="str">
        <f t="shared" si="201"/>
        <v/>
      </c>
      <c r="IGR116" s="77" t="str">
        <f t="shared" si="201"/>
        <v/>
      </c>
      <c r="IGS116" s="77" t="str">
        <f t="shared" si="201"/>
        <v/>
      </c>
      <c r="IGT116" s="77" t="str">
        <f t="shared" si="201"/>
        <v/>
      </c>
      <c r="IGU116" s="77" t="str">
        <f t="shared" si="201"/>
        <v/>
      </c>
      <c r="IGV116" s="77" t="str">
        <f t="shared" si="201"/>
        <v/>
      </c>
      <c r="IGW116" s="77" t="str">
        <f t="shared" si="201"/>
        <v/>
      </c>
      <c r="IGX116" s="77" t="str">
        <f t="shared" si="201"/>
        <v/>
      </c>
      <c r="IGY116" s="77" t="str">
        <f t="shared" si="201"/>
        <v/>
      </c>
      <c r="IGZ116" s="77" t="str">
        <f t="shared" si="201"/>
        <v/>
      </c>
      <c r="IHA116" s="77" t="str">
        <f t="shared" si="201"/>
        <v/>
      </c>
      <c r="IHB116" s="77" t="str">
        <f t="shared" si="201"/>
        <v/>
      </c>
      <c r="IHC116" s="77" t="str">
        <f t="shared" si="201"/>
        <v/>
      </c>
      <c r="IHD116" s="77" t="str">
        <f t="shared" si="201"/>
        <v/>
      </c>
      <c r="IHE116" s="77" t="str">
        <f t="shared" si="201"/>
        <v/>
      </c>
      <c r="IHF116" s="77" t="str">
        <f t="shared" si="201"/>
        <v/>
      </c>
      <c r="IHG116" s="77" t="str">
        <f t="shared" si="201"/>
        <v/>
      </c>
      <c r="IHH116" s="77" t="str">
        <f t="shared" si="201"/>
        <v/>
      </c>
      <c r="IHI116" s="77" t="str">
        <f t="shared" si="201"/>
        <v/>
      </c>
      <c r="IHJ116" s="77" t="str">
        <f t="shared" si="201"/>
        <v/>
      </c>
      <c r="IHK116" s="77" t="str">
        <f t="shared" si="201"/>
        <v/>
      </c>
      <c r="IHL116" s="77" t="str">
        <f t="shared" si="201"/>
        <v/>
      </c>
      <c r="IHM116" s="77" t="str">
        <f t="shared" si="201"/>
        <v/>
      </c>
      <c r="IHN116" s="77" t="str">
        <f t="shared" si="201"/>
        <v/>
      </c>
      <c r="IHO116" s="77" t="str">
        <f t="shared" si="201"/>
        <v/>
      </c>
      <c r="IHP116" s="77" t="str">
        <f t="shared" si="201"/>
        <v/>
      </c>
      <c r="IHQ116" s="77" t="str">
        <f t="shared" si="201"/>
        <v/>
      </c>
      <c r="IHR116" s="77" t="str">
        <f t="shared" si="201"/>
        <v/>
      </c>
      <c r="IHS116" s="77" t="str">
        <f t="shared" ref="IHS116:IKD116" si="202">IF(ISNUMBER(outYear),IHS69+IHS75+IHS81+IHS113,"")</f>
        <v/>
      </c>
      <c r="IHT116" s="77" t="str">
        <f t="shared" si="202"/>
        <v/>
      </c>
      <c r="IHU116" s="77" t="str">
        <f t="shared" si="202"/>
        <v/>
      </c>
      <c r="IHV116" s="77" t="str">
        <f t="shared" si="202"/>
        <v/>
      </c>
      <c r="IHW116" s="77" t="str">
        <f t="shared" si="202"/>
        <v/>
      </c>
      <c r="IHX116" s="77" t="str">
        <f t="shared" si="202"/>
        <v/>
      </c>
      <c r="IHY116" s="77" t="str">
        <f t="shared" si="202"/>
        <v/>
      </c>
      <c r="IHZ116" s="77" t="str">
        <f t="shared" si="202"/>
        <v/>
      </c>
      <c r="IIA116" s="77" t="str">
        <f t="shared" si="202"/>
        <v/>
      </c>
      <c r="IIB116" s="77" t="str">
        <f t="shared" si="202"/>
        <v/>
      </c>
      <c r="IIC116" s="77" t="str">
        <f t="shared" si="202"/>
        <v/>
      </c>
      <c r="IID116" s="77" t="str">
        <f t="shared" si="202"/>
        <v/>
      </c>
      <c r="IIE116" s="77" t="str">
        <f t="shared" si="202"/>
        <v/>
      </c>
      <c r="IIF116" s="77" t="str">
        <f t="shared" si="202"/>
        <v/>
      </c>
      <c r="IIG116" s="77" t="str">
        <f t="shared" si="202"/>
        <v/>
      </c>
      <c r="IIH116" s="77" t="str">
        <f t="shared" si="202"/>
        <v/>
      </c>
      <c r="III116" s="77" t="str">
        <f t="shared" si="202"/>
        <v/>
      </c>
      <c r="IIJ116" s="77" t="str">
        <f t="shared" si="202"/>
        <v/>
      </c>
      <c r="IIK116" s="77" t="str">
        <f t="shared" si="202"/>
        <v/>
      </c>
      <c r="IIL116" s="77" t="str">
        <f t="shared" si="202"/>
        <v/>
      </c>
      <c r="IIM116" s="77" t="str">
        <f t="shared" si="202"/>
        <v/>
      </c>
      <c r="IIN116" s="77" t="str">
        <f t="shared" si="202"/>
        <v/>
      </c>
      <c r="IIO116" s="77" t="str">
        <f t="shared" si="202"/>
        <v/>
      </c>
      <c r="IIP116" s="77" t="str">
        <f t="shared" si="202"/>
        <v/>
      </c>
      <c r="IIQ116" s="77" t="str">
        <f t="shared" si="202"/>
        <v/>
      </c>
      <c r="IIR116" s="77" t="str">
        <f t="shared" si="202"/>
        <v/>
      </c>
      <c r="IIS116" s="77" t="str">
        <f t="shared" si="202"/>
        <v/>
      </c>
      <c r="IIT116" s="77" t="str">
        <f t="shared" si="202"/>
        <v/>
      </c>
      <c r="IIU116" s="77" t="str">
        <f t="shared" si="202"/>
        <v/>
      </c>
      <c r="IIV116" s="77" t="str">
        <f t="shared" si="202"/>
        <v/>
      </c>
      <c r="IIW116" s="77" t="str">
        <f t="shared" si="202"/>
        <v/>
      </c>
      <c r="IIX116" s="77" t="str">
        <f t="shared" si="202"/>
        <v/>
      </c>
      <c r="IIY116" s="77" t="str">
        <f t="shared" si="202"/>
        <v/>
      </c>
      <c r="IIZ116" s="77" t="str">
        <f t="shared" si="202"/>
        <v/>
      </c>
      <c r="IJA116" s="77" t="str">
        <f t="shared" si="202"/>
        <v/>
      </c>
      <c r="IJB116" s="77" t="str">
        <f t="shared" si="202"/>
        <v/>
      </c>
      <c r="IJC116" s="77" t="str">
        <f t="shared" si="202"/>
        <v/>
      </c>
      <c r="IJD116" s="77" t="str">
        <f t="shared" si="202"/>
        <v/>
      </c>
      <c r="IJE116" s="77" t="str">
        <f t="shared" si="202"/>
        <v/>
      </c>
      <c r="IJF116" s="77" t="str">
        <f t="shared" si="202"/>
        <v/>
      </c>
      <c r="IJG116" s="77" t="str">
        <f t="shared" si="202"/>
        <v/>
      </c>
      <c r="IJH116" s="77" t="str">
        <f t="shared" si="202"/>
        <v/>
      </c>
      <c r="IJI116" s="77" t="str">
        <f t="shared" si="202"/>
        <v/>
      </c>
      <c r="IJJ116" s="77" t="str">
        <f t="shared" si="202"/>
        <v/>
      </c>
      <c r="IJK116" s="77" t="str">
        <f t="shared" si="202"/>
        <v/>
      </c>
      <c r="IJL116" s="77" t="str">
        <f t="shared" si="202"/>
        <v/>
      </c>
      <c r="IJM116" s="77" t="str">
        <f t="shared" si="202"/>
        <v/>
      </c>
      <c r="IJN116" s="77" t="str">
        <f t="shared" si="202"/>
        <v/>
      </c>
      <c r="IJO116" s="77" t="str">
        <f t="shared" si="202"/>
        <v/>
      </c>
      <c r="IJP116" s="77" t="str">
        <f t="shared" si="202"/>
        <v/>
      </c>
      <c r="IJQ116" s="77" t="str">
        <f t="shared" si="202"/>
        <v/>
      </c>
      <c r="IJR116" s="77" t="str">
        <f t="shared" si="202"/>
        <v/>
      </c>
      <c r="IJS116" s="77" t="str">
        <f t="shared" si="202"/>
        <v/>
      </c>
      <c r="IJT116" s="77" t="str">
        <f t="shared" si="202"/>
        <v/>
      </c>
      <c r="IJU116" s="77" t="str">
        <f t="shared" si="202"/>
        <v/>
      </c>
      <c r="IJV116" s="77" t="str">
        <f t="shared" si="202"/>
        <v/>
      </c>
      <c r="IJW116" s="77" t="str">
        <f t="shared" si="202"/>
        <v/>
      </c>
      <c r="IJX116" s="77" t="str">
        <f t="shared" si="202"/>
        <v/>
      </c>
      <c r="IJY116" s="77" t="str">
        <f t="shared" si="202"/>
        <v/>
      </c>
      <c r="IJZ116" s="77" t="str">
        <f t="shared" si="202"/>
        <v/>
      </c>
      <c r="IKA116" s="77" t="str">
        <f t="shared" si="202"/>
        <v/>
      </c>
      <c r="IKB116" s="77" t="str">
        <f t="shared" si="202"/>
        <v/>
      </c>
      <c r="IKC116" s="77" t="str">
        <f t="shared" si="202"/>
        <v/>
      </c>
      <c r="IKD116" s="77" t="str">
        <f t="shared" si="202"/>
        <v/>
      </c>
      <c r="IKE116" s="77" t="str">
        <f t="shared" ref="IKE116:IMP116" si="203">IF(ISNUMBER(outYear),IKE69+IKE75+IKE81+IKE113,"")</f>
        <v/>
      </c>
      <c r="IKF116" s="77" t="str">
        <f t="shared" si="203"/>
        <v/>
      </c>
      <c r="IKG116" s="77" t="str">
        <f t="shared" si="203"/>
        <v/>
      </c>
      <c r="IKH116" s="77" t="str">
        <f t="shared" si="203"/>
        <v/>
      </c>
      <c r="IKI116" s="77" t="str">
        <f t="shared" si="203"/>
        <v/>
      </c>
      <c r="IKJ116" s="77" t="str">
        <f t="shared" si="203"/>
        <v/>
      </c>
      <c r="IKK116" s="77" t="str">
        <f t="shared" si="203"/>
        <v/>
      </c>
      <c r="IKL116" s="77" t="str">
        <f t="shared" si="203"/>
        <v/>
      </c>
      <c r="IKM116" s="77" t="str">
        <f t="shared" si="203"/>
        <v/>
      </c>
      <c r="IKN116" s="77" t="str">
        <f t="shared" si="203"/>
        <v/>
      </c>
      <c r="IKO116" s="77" t="str">
        <f t="shared" si="203"/>
        <v/>
      </c>
      <c r="IKP116" s="77" t="str">
        <f t="shared" si="203"/>
        <v/>
      </c>
      <c r="IKQ116" s="77" t="str">
        <f t="shared" si="203"/>
        <v/>
      </c>
      <c r="IKR116" s="77" t="str">
        <f t="shared" si="203"/>
        <v/>
      </c>
      <c r="IKS116" s="77" t="str">
        <f t="shared" si="203"/>
        <v/>
      </c>
      <c r="IKT116" s="77" t="str">
        <f t="shared" si="203"/>
        <v/>
      </c>
      <c r="IKU116" s="77" t="str">
        <f t="shared" si="203"/>
        <v/>
      </c>
      <c r="IKV116" s="77" t="str">
        <f t="shared" si="203"/>
        <v/>
      </c>
      <c r="IKW116" s="77" t="str">
        <f t="shared" si="203"/>
        <v/>
      </c>
      <c r="IKX116" s="77" t="str">
        <f t="shared" si="203"/>
        <v/>
      </c>
      <c r="IKY116" s="77" t="str">
        <f t="shared" si="203"/>
        <v/>
      </c>
      <c r="IKZ116" s="77" t="str">
        <f t="shared" si="203"/>
        <v/>
      </c>
      <c r="ILA116" s="77" t="str">
        <f t="shared" si="203"/>
        <v/>
      </c>
      <c r="ILB116" s="77" t="str">
        <f t="shared" si="203"/>
        <v/>
      </c>
      <c r="ILC116" s="77" t="str">
        <f t="shared" si="203"/>
        <v/>
      </c>
      <c r="ILD116" s="77" t="str">
        <f t="shared" si="203"/>
        <v/>
      </c>
      <c r="ILE116" s="77" t="str">
        <f t="shared" si="203"/>
        <v/>
      </c>
      <c r="ILF116" s="77" t="str">
        <f t="shared" si="203"/>
        <v/>
      </c>
      <c r="ILG116" s="77" t="str">
        <f t="shared" si="203"/>
        <v/>
      </c>
      <c r="ILH116" s="77" t="str">
        <f t="shared" si="203"/>
        <v/>
      </c>
      <c r="ILI116" s="77" t="str">
        <f t="shared" si="203"/>
        <v/>
      </c>
      <c r="ILJ116" s="77" t="str">
        <f t="shared" si="203"/>
        <v/>
      </c>
      <c r="ILK116" s="77" t="str">
        <f t="shared" si="203"/>
        <v/>
      </c>
      <c r="ILL116" s="77" t="str">
        <f t="shared" si="203"/>
        <v/>
      </c>
      <c r="ILM116" s="77" t="str">
        <f t="shared" si="203"/>
        <v/>
      </c>
      <c r="ILN116" s="77" t="str">
        <f t="shared" si="203"/>
        <v/>
      </c>
      <c r="ILO116" s="77" t="str">
        <f t="shared" si="203"/>
        <v/>
      </c>
      <c r="ILP116" s="77" t="str">
        <f t="shared" si="203"/>
        <v/>
      </c>
      <c r="ILQ116" s="77" t="str">
        <f t="shared" si="203"/>
        <v/>
      </c>
      <c r="ILR116" s="77" t="str">
        <f t="shared" si="203"/>
        <v/>
      </c>
      <c r="ILS116" s="77" t="str">
        <f t="shared" si="203"/>
        <v/>
      </c>
      <c r="ILT116" s="77" t="str">
        <f t="shared" si="203"/>
        <v/>
      </c>
      <c r="ILU116" s="77" t="str">
        <f t="shared" si="203"/>
        <v/>
      </c>
      <c r="ILV116" s="77" t="str">
        <f t="shared" si="203"/>
        <v/>
      </c>
      <c r="ILW116" s="77" t="str">
        <f t="shared" si="203"/>
        <v/>
      </c>
      <c r="ILX116" s="77" t="str">
        <f t="shared" si="203"/>
        <v/>
      </c>
      <c r="ILY116" s="77" t="str">
        <f t="shared" si="203"/>
        <v/>
      </c>
      <c r="ILZ116" s="77" t="str">
        <f t="shared" si="203"/>
        <v/>
      </c>
      <c r="IMA116" s="77" t="str">
        <f t="shared" si="203"/>
        <v/>
      </c>
      <c r="IMB116" s="77" t="str">
        <f t="shared" si="203"/>
        <v/>
      </c>
      <c r="IMC116" s="77" t="str">
        <f t="shared" si="203"/>
        <v/>
      </c>
      <c r="IMD116" s="77" t="str">
        <f t="shared" si="203"/>
        <v/>
      </c>
      <c r="IME116" s="77" t="str">
        <f t="shared" si="203"/>
        <v/>
      </c>
      <c r="IMF116" s="77" t="str">
        <f t="shared" si="203"/>
        <v/>
      </c>
      <c r="IMG116" s="77" t="str">
        <f t="shared" si="203"/>
        <v/>
      </c>
      <c r="IMH116" s="77" t="str">
        <f t="shared" si="203"/>
        <v/>
      </c>
      <c r="IMI116" s="77" t="str">
        <f t="shared" si="203"/>
        <v/>
      </c>
      <c r="IMJ116" s="77" t="str">
        <f t="shared" si="203"/>
        <v/>
      </c>
      <c r="IMK116" s="77" t="str">
        <f t="shared" si="203"/>
        <v/>
      </c>
      <c r="IML116" s="77" t="str">
        <f t="shared" si="203"/>
        <v/>
      </c>
      <c r="IMM116" s="77" t="str">
        <f t="shared" si="203"/>
        <v/>
      </c>
      <c r="IMN116" s="77" t="str">
        <f t="shared" si="203"/>
        <v/>
      </c>
      <c r="IMO116" s="77" t="str">
        <f t="shared" si="203"/>
        <v/>
      </c>
      <c r="IMP116" s="77" t="str">
        <f t="shared" si="203"/>
        <v/>
      </c>
      <c r="IMQ116" s="77" t="str">
        <f t="shared" ref="IMQ116:IPB116" si="204">IF(ISNUMBER(outYear),IMQ69+IMQ75+IMQ81+IMQ113,"")</f>
        <v/>
      </c>
      <c r="IMR116" s="77" t="str">
        <f t="shared" si="204"/>
        <v/>
      </c>
      <c r="IMS116" s="77" t="str">
        <f t="shared" si="204"/>
        <v/>
      </c>
      <c r="IMT116" s="77" t="str">
        <f t="shared" si="204"/>
        <v/>
      </c>
      <c r="IMU116" s="77" t="str">
        <f t="shared" si="204"/>
        <v/>
      </c>
      <c r="IMV116" s="77" t="str">
        <f t="shared" si="204"/>
        <v/>
      </c>
      <c r="IMW116" s="77" t="str">
        <f t="shared" si="204"/>
        <v/>
      </c>
      <c r="IMX116" s="77" t="str">
        <f t="shared" si="204"/>
        <v/>
      </c>
      <c r="IMY116" s="77" t="str">
        <f t="shared" si="204"/>
        <v/>
      </c>
      <c r="IMZ116" s="77" t="str">
        <f t="shared" si="204"/>
        <v/>
      </c>
      <c r="INA116" s="77" t="str">
        <f t="shared" si="204"/>
        <v/>
      </c>
      <c r="INB116" s="77" t="str">
        <f t="shared" si="204"/>
        <v/>
      </c>
      <c r="INC116" s="77" t="str">
        <f t="shared" si="204"/>
        <v/>
      </c>
      <c r="IND116" s="77" t="str">
        <f t="shared" si="204"/>
        <v/>
      </c>
      <c r="INE116" s="77" t="str">
        <f t="shared" si="204"/>
        <v/>
      </c>
      <c r="INF116" s="77" t="str">
        <f t="shared" si="204"/>
        <v/>
      </c>
      <c r="ING116" s="77" t="str">
        <f t="shared" si="204"/>
        <v/>
      </c>
      <c r="INH116" s="77" t="str">
        <f t="shared" si="204"/>
        <v/>
      </c>
      <c r="INI116" s="77" t="str">
        <f t="shared" si="204"/>
        <v/>
      </c>
      <c r="INJ116" s="77" t="str">
        <f t="shared" si="204"/>
        <v/>
      </c>
      <c r="INK116" s="77" t="str">
        <f t="shared" si="204"/>
        <v/>
      </c>
      <c r="INL116" s="77" t="str">
        <f t="shared" si="204"/>
        <v/>
      </c>
      <c r="INM116" s="77" t="str">
        <f t="shared" si="204"/>
        <v/>
      </c>
      <c r="INN116" s="77" t="str">
        <f t="shared" si="204"/>
        <v/>
      </c>
      <c r="INO116" s="77" t="str">
        <f t="shared" si="204"/>
        <v/>
      </c>
      <c r="INP116" s="77" t="str">
        <f t="shared" si="204"/>
        <v/>
      </c>
      <c r="INQ116" s="77" t="str">
        <f t="shared" si="204"/>
        <v/>
      </c>
      <c r="INR116" s="77" t="str">
        <f t="shared" si="204"/>
        <v/>
      </c>
      <c r="INS116" s="77" t="str">
        <f t="shared" si="204"/>
        <v/>
      </c>
      <c r="INT116" s="77" t="str">
        <f t="shared" si="204"/>
        <v/>
      </c>
      <c r="INU116" s="77" t="str">
        <f t="shared" si="204"/>
        <v/>
      </c>
      <c r="INV116" s="77" t="str">
        <f t="shared" si="204"/>
        <v/>
      </c>
      <c r="INW116" s="77" t="str">
        <f t="shared" si="204"/>
        <v/>
      </c>
      <c r="INX116" s="77" t="str">
        <f t="shared" si="204"/>
        <v/>
      </c>
      <c r="INY116" s="77" t="str">
        <f t="shared" si="204"/>
        <v/>
      </c>
      <c r="INZ116" s="77" t="str">
        <f t="shared" si="204"/>
        <v/>
      </c>
      <c r="IOA116" s="77" t="str">
        <f t="shared" si="204"/>
        <v/>
      </c>
      <c r="IOB116" s="77" t="str">
        <f t="shared" si="204"/>
        <v/>
      </c>
      <c r="IOC116" s="77" t="str">
        <f t="shared" si="204"/>
        <v/>
      </c>
      <c r="IOD116" s="77" t="str">
        <f t="shared" si="204"/>
        <v/>
      </c>
      <c r="IOE116" s="77" t="str">
        <f t="shared" si="204"/>
        <v/>
      </c>
      <c r="IOF116" s="77" t="str">
        <f t="shared" si="204"/>
        <v/>
      </c>
      <c r="IOG116" s="77" t="str">
        <f t="shared" si="204"/>
        <v/>
      </c>
      <c r="IOH116" s="77" t="str">
        <f t="shared" si="204"/>
        <v/>
      </c>
      <c r="IOI116" s="77" t="str">
        <f t="shared" si="204"/>
        <v/>
      </c>
      <c r="IOJ116" s="77" t="str">
        <f t="shared" si="204"/>
        <v/>
      </c>
      <c r="IOK116" s="77" t="str">
        <f t="shared" si="204"/>
        <v/>
      </c>
      <c r="IOL116" s="77" t="str">
        <f t="shared" si="204"/>
        <v/>
      </c>
      <c r="IOM116" s="77" t="str">
        <f t="shared" si="204"/>
        <v/>
      </c>
      <c r="ION116" s="77" t="str">
        <f t="shared" si="204"/>
        <v/>
      </c>
      <c r="IOO116" s="77" t="str">
        <f t="shared" si="204"/>
        <v/>
      </c>
      <c r="IOP116" s="77" t="str">
        <f t="shared" si="204"/>
        <v/>
      </c>
      <c r="IOQ116" s="77" t="str">
        <f t="shared" si="204"/>
        <v/>
      </c>
      <c r="IOR116" s="77" t="str">
        <f t="shared" si="204"/>
        <v/>
      </c>
      <c r="IOS116" s="77" t="str">
        <f t="shared" si="204"/>
        <v/>
      </c>
      <c r="IOT116" s="77" t="str">
        <f t="shared" si="204"/>
        <v/>
      </c>
      <c r="IOU116" s="77" t="str">
        <f t="shared" si="204"/>
        <v/>
      </c>
      <c r="IOV116" s="77" t="str">
        <f t="shared" si="204"/>
        <v/>
      </c>
      <c r="IOW116" s="77" t="str">
        <f t="shared" si="204"/>
        <v/>
      </c>
      <c r="IOX116" s="77" t="str">
        <f t="shared" si="204"/>
        <v/>
      </c>
      <c r="IOY116" s="77" t="str">
        <f t="shared" si="204"/>
        <v/>
      </c>
      <c r="IOZ116" s="77" t="str">
        <f t="shared" si="204"/>
        <v/>
      </c>
      <c r="IPA116" s="77" t="str">
        <f t="shared" si="204"/>
        <v/>
      </c>
      <c r="IPB116" s="77" t="str">
        <f t="shared" si="204"/>
        <v/>
      </c>
      <c r="IPC116" s="77" t="str">
        <f t="shared" ref="IPC116:IRN116" si="205">IF(ISNUMBER(outYear),IPC69+IPC75+IPC81+IPC113,"")</f>
        <v/>
      </c>
      <c r="IPD116" s="77" t="str">
        <f t="shared" si="205"/>
        <v/>
      </c>
      <c r="IPE116" s="77" t="str">
        <f t="shared" si="205"/>
        <v/>
      </c>
      <c r="IPF116" s="77" t="str">
        <f t="shared" si="205"/>
        <v/>
      </c>
      <c r="IPG116" s="77" t="str">
        <f t="shared" si="205"/>
        <v/>
      </c>
      <c r="IPH116" s="77" t="str">
        <f t="shared" si="205"/>
        <v/>
      </c>
      <c r="IPI116" s="77" t="str">
        <f t="shared" si="205"/>
        <v/>
      </c>
      <c r="IPJ116" s="77" t="str">
        <f t="shared" si="205"/>
        <v/>
      </c>
      <c r="IPK116" s="77" t="str">
        <f t="shared" si="205"/>
        <v/>
      </c>
      <c r="IPL116" s="77" t="str">
        <f t="shared" si="205"/>
        <v/>
      </c>
      <c r="IPM116" s="77" t="str">
        <f t="shared" si="205"/>
        <v/>
      </c>
      <c r="IPN116" s="77" t="str">
        <f t="shared" si="205"/>
        <v/>
      </c>
      <c r="IPO116" s="77" t="str">
        <f t="shared" si="205"/>
        <v/>
      </c>
      <c r="IPP116" s="77" t="str">
        <f t="shared" si="205"/>
        <v/>
      </c>
      <c r="IPQ116" s="77" t="str">
        <f t="shared" si="205"/>
        <v/>
      </c>
      <c r="IPR116" s="77" t="str">
        <f t="shared" si="205"/>
        <v/>
      </c>
      <c r="IPS116" s="77" t="str">
        <f t="shared" si="205"/>
        <v/>
      </c>
      <c r="IPT116" s="77" t="str">
        <f t="shared" si="205"/>
        <v/>
      </c>
      <c r="IPU116" s="77" t="str">
        <f t="shared" si="205"/>
        <v/>
      </c>
      <c r="IPV116" s="77" t="str">
        <f t="shared" si="205"/>
        <v/>
      </c>
      <c r="IPW116" s="77" t="str">
        <f t="shared" si="205"/>
        <v/>
      </c>
      <c r="IPX116" s="77" t="str">
        <f t="shared" si="205"/>
        <v/>
      </c>
      <c r="IPY116" s="77" t="str">
        <f t="shared" si="205"/>
        <v/>
      </c>
      <c r="IPZ116" s="77" t="str">
        <f t="shared" si="205"/>
        <v/>
      </c>
      <c r="IQA116" s="77" t="str">
        <f t="shared" si="205"/>
        <v/>
      </c>
      <c r="IQB116" s="77" t="str">
        <f t="shared" si="205"/>
        <v/>
      </c>
      <c r="IQC116" s="77" t="str">
        <f t="shared" si="205"/>
        <v/>
      </c>
      <c r="IQD116" s="77" t="str">
        <f t="shared" si="205"/>
        <v/>
      </c>
      <c r="IQE116" s="77" t="str">
        <f t="shared" si="205"/>
        <v/>
      </c>
      <c r="IQF116" s="77" t="str">
        <f t="shared" si="205"/>
        <v/>
      </c>
      <c r="IQG116" s="77" t="str">
        <f t="shared" si="205"/>
        <v/>
      </c>
      <c r="IQH116" s="77" t="str">
        <f t="shared" si="205"/>
        <v/>
      </c>
      <c r="IQI116" s="77" t="str">
        <f t="shared" si="205"/>
        <v/>
      </c>
      <c r="IQJ116" s="77" t="str">
        <f t="shared" si="205"/>
        <v/>
      </c>
      <c r="IQK116" s="77" t="str">
        <f t="shared" si="205"/>
        <v/>
      </c>
      <c r="IQL116" s="77" t="str">
        <f t="shared" si="205"/>
        <v/>
      </c>
      <c r="IQM116" s="77" t="str">
        <f t="shared" si="205"/>
        <v/>
      </c>
      <c r="IQN116" s="77" t="str">
        <f t="shared" si="205"/>
        <v/>
      </c>
      <c r="IQO116" s="77" t="str">
        <f t="shared" si="205"/>
        <v/>
      </c>
      <c r="IQP116" s="77" t="str">
        <f t="shared" si="205"/>
        <v/>
      </c>
      <c r="IQQ116" s="77" t="str">
        <f t="shared" si="205"/>
        <v/>
      </c>
      <c r="IQR116" s="77" t="str">
        <f t="shared" si="205"/>
        <v/>
      </c>
      <c r="IQS116" s="77" t="str">
        <f t="shared" si="205"/>
        <v/>
      </c>
      <c r="IQT116" s="77" t="str">
        <f t="shared" si="205"/>
        <v/>
      </c>
      <c r="IQU116" s="77" t="str">
        <f t="shared" si="205"/>
        <v/>
      </c>
      <c r="IQV116" s="77" t="str">
        <f t="shared" si="205"/>
        <v/>
      </c>
      <c r="IQW116" s="77" t="str">
        <f t="shared" si="205"/>
        <v/>
      </c>
      <c r="IQX116" s="77" t="str">
        <f t="shared" si="205"/>
        <v/>
      </c>
      <c r="IQY116" s="77" t="str">
        <f t="shared" si="205"/>
        <v/>
      </c>
      <c r="IQZ116" s="77" t="str">
        <f t="shared" si="205"/>
        <v/>
      </c>
      <c r="IRA116" s="77" t="str">
        <f t="shared" si="205"/>
        <v/>
      </c>
      <c r="IRB116" s="77" t="str">
        <f t="shared" si="205"/>
        <v/>
      </c>
      <c r="IRC116" s="77" t="str">
        <f t="shared" si="205"/>
        <v/>
      </c>
      <c r="IRD116" s="77" t="str">
        <f t="shared" si="205"/>
        <v/>
      </c>
      <c r="IRE116" s="77" t="str">
        <f t="shared" si="205"/>
        <v/>
      </c>
      <c r="IRF116" s="77" t="str">
        <f t="shared" si="205"/>
        <v/>
      </c>
      <c r="IRG116" s="77" t="str">
        <f t="shared" si="205"/>
        <v/>
      </c>
      <c r="IRH116" s="77" t="str">
        <f t="shared" si="205"/>
        <v/>
      </c>
      <c r="IRI116" s="77" t="str">
        <f t="shared" si="205"/>
        <v/>
      </c>
      <c r="IRJ116" s="77" t="str">
        <f t="shared" si="205"/>
        <v/>
      </c>
      <c r="IRK116" s="77" t="str">
        <f t="shared" si="205"/>
        <v/>
      </c>
      <c r="IRL116" s="77" t="str">
        <f t="shared" si="205"/>
        <v/>
      </c>
      <c r="IRM116" s="77" t="str">
        <f t="shared" si="205"/>
        <v/>
      </c>
      <c r="IRN116" s="77" t="str">
        <f t="shared" si="205"/>
        <v/>
      </c>
      <c r="IRO116" s="77" t="str">
        <f t="shared" ref="IRO116:ITZ116" si="206">IF(ISNUMBER(outYear),IRO69+IRO75+IRO81+IRO113,"")</f>
        <v/>
      </c>
      <c r="IRP116" s="77" t="str">
        <f t="shared" si="206"/>
        <v/>
      </c>
      <c r="IRQ116" s="77" t="str">
        <f t="shared" si="206"/>
        <v/>
      </c>
      <c r="IRR116" s="77" t="str">
        <f t="shared" si="206"/>
        <v/>
      </c>
      <c r="IRS116" s="77" t="str">
        <f t="shared" si="206"/>
        <v/>
      </c>
      <c r="IRT116" s="77" t="str">
        <f t="shared" si="206"/>
        <v/>
      </c>
      <c r="IRU116" s="77" t="str">
        <f t="shared" si="206"/>
        <v/>
      </c>
      <c r="IRV116" s="77" t="str">
        <f t="shared" si="206"/>
        <v/>
      </c>
      <c r="IRW116" s="77" t="str">
        <f t="shared" si="206"/>
        <v/>
      </c>
      <c r="IRX116" s="77" t="str">
        <f t="shared" si="206"/>
        <v/>
      </c>
      <c r="IRY116" s="77" t="str">
        <f t="shared" si="206"/>
        <v/>
      </c>
      <c r="IRZ116" s="77" t="str">
        <f t="shared" si="206"/>
        <v/>
      </c>
      <c r="ISA116" s="77" t="str">
        <f t="shared" si="206"/>
        <v/>
      </c>
      <c r="ISB116" s="77" t="str">
        <f t="shared" si="206"/>
        <v/>
      </c>
      <c r="ISC116" s="77" t="str">
        <f t="shared" si="206"/>
        <v/>
      </c>
      <c r="ISD116" s="77" t="str">
        <f t="shared" si="206"/>
        <v/>
      </c>
      <c r="ISE116" s="77" t="str">
        <f t="shared" si="206"/>
        <v/>
      </c>
      <c r="ISF116" s="77" t="str">
        <f t="shared" si="206"/>
        <v/>
      </c>
      <c r="ISG116" s="77" t="str">
        <f t="shared" si="206"/>
        <v/>
      </c>
      <c r="ISH116" s="77" t="str">
        <f t="shared" si="206"/>
        <v/>
      </c>
      <c r="ISI116" s="77" t="str">
        <f t="shared" si="206"/>
        <v/>
      </c>
      <c r="ISJ116" s="77" t="str">
        <f t="shared" si="206"/>
        <v/>
      </c>
      <c r="ISK116" s="77" t="str">
        <f t="shared" si="206"/>
        <v/>
      </c>
      <c r="ISL116" s="77" t="str">
        <f t="shared" si="206"/>
        <v/>
      </c>
      <c r="ISM116" s="77" t="str">
        <f t="shared" si="206"/>
        <v/>
      </c>
      <c r="ISN116" s="77" t="str">
        <f t="shared" si="206"/>
        <v/>
      </c>
      <c r="ISO116" s="77" t="str">
        <f t="shared" si="206"/>
        <v/>
      </c>
      <c r="ISP116" s="77" t="str">
        <f t="shared" si="206"/>
        <v/>
      </c>
      <c r="ISQ116" s="77" t="str">
        <f t="shared" si="206"/>
        <v/>
      </c>
      <c r="ISR116" s="77" t="str">
        <f t="shared" si="206"/>
        <v/>
      </c>
      <c r="ISS116" s="77" t="str">
        <f t="shared" si="206"/>
        <v/>
      </c>
      <c r="IST116" s="77" t="str">
        <f t="shared" si="206"/>
        <v/>
      </c>
      <c r="ISU116" s="77" t="str">
        <f t="shared" si="206"/>
        <v/>
      </c>
      <c r="ISV116" s="77" t="str">
        <f t="shared" si="206"/>
        <v/>
      </c>
      <c r="ISW116" s="77" t="str">
        <f t="shared" si="206"/>
        <v/>
      </c>
      <c r="ISX116" s="77" t="str">
        <f t="shared" si="206"/>
        <v/>
      </c>
      <c r="ISY116" s="77" t="str">
        <f t="shared" si="206"/>
        <v/>
      </c>
      <c r="ISZ116" s="77" t="str">
        <f t="shared" si="206"/>
        <v/>
      </c>
      <c r="ITA116" s="77" t="str">
        <f t="shared" si="206"/>
        <v/>
      </c>
      <c r="ITB116" s="77" t="str">
        <f t="shared" si="206"/>
        <v/>
      </c>
      <c r="ITC116" s="77" t="str">
        <f t="shared" si="206"/>
        <v/>
      </c>
      <c r="ITD116" s="77" t="str">
        <f t="shared" si="206"/>
        <v/>
      </c>
      <c r="ITE116" s="77" t="str">
        <f t="shared" si="206"/>
        <v/>
      </c>
      <c r="ITF116" s="77" t="str">
        <f t="shared" si="206"/>
        <v/>
      </c>
      <c r="ITG116" s="77" t="str">
        <f t="shared" si="206"/>
        <v/>
      </c>
      <c r="ITH116" s="77" t="str">
        <f t="shared" si="206"/>
        <v/>
      </c>
      <c r="ITI116" s="77" t="str">
        <f t="shared" si="206"/>
        <v/>
      </c>
      <c r="ITJ116" s="77" t="str">
        <f t="shared" si="206"/>
        <v/>
      </c>
      <c r="ITK116" s="77" t="str">
        <f t="shared" si="206"/>
        <v/>
      </c>
      <c r="ITL116" s="77" t="str">
        <f t="shared" si="206"/>
        <v/>
      </c>
      <c r="ITM116" s="77" t="str">
        <f t="shared" si="206"/>
        <v/>
      </c>
      <c r="ITN116" s="77" t="str">
        <f t="shared" si="206"/>
        <v/>
      </c>
      <c r="ITO116" s="77" t="str">
        <f t="shared" si="206"/>
        <v/>
      </c>
      <c r="ITP116" s="77" t="str">
        <f t="shared" si="206"/>
        <v/>
      </c>
      <c r="ITQ116" s="77" t="str">
        <f t="shared" si="206"/>
        <v/>
      </c>
      <c r="ITR116" s="77" t="str">
        <f t="shared" si="206"/>
        <v/>
      </c>
      <c r="ITS116" s="77" t="str">
        <f t="shared" si="206"/>
        <v/>
      </c>
      <c r="ITT116" s="77" t="str">
        <f t="shared" si="206"/>
        <v/>
      </c>
      <c r="ITU116" s="77" t="str">
        <f t="shared" si="206"/>
        <v/>
      </c>
      <c r="ITV116" s="77" t="str">
        <f t="shared" si="206"/>
        <v/>
      </c>
      <c r="ITW116" s="77" t="str">
        <f t="shared" si="206"/>
        <v/>
      </c>
      <c r="ITX116" s="77" t="str">
        <f t="shared" si="206"/>
        <v/>
      </c>
      <c r="ITY116" s="77" t="str">
        <f t="shared" si="206"/>
        <v/>
      </c>
      <c r="ITZ116" s="77" t="str">
        <f t="shared" si="206"/>
        <v/>
      </c>
      <c r="IUA116" s="77" t="str">
        <f t="shared" ref="IUA116:IWL116" si="207">IF(ISNUMBER(outYear),IUA69+IUA75+IUA81+IUA113,"")</f>
        <v/>
      </c>
      <c r="IUB116" s="77" t="str">
        <f t="shared" si="207"/>
        <v/>
      </c>
      <c r="IUC116" s="77" t="str">
        <f t="shared" si="207"/>
        <v/>
      </c>
      <c r="IUD116" s="77" t="str">
        <f t="shared" si="207"/>
        <v/>
      </c>
      <c r="IUE116" s="77" t="str">
        <f t="shared" si="207"/>
        <v/>
      </c>
      <c r="IUF116" s="77" t="str">
        <f t="shared" si="207"/>
        <v/>
      </c>
      <c r="IUG116" s="77" t="str">
        <f t="shared" si="207"/>
        <v/>
      </c>
      <c r="IUH116" s="77" t="str">
        <f t="shared" si="207"/>
        <v/>
      </c>
      <c r="IUI116" s="77" t="str">
        <f t="shared" si="207"/>
        <v/>
      </c>
      <c r="IUJ116" s="77" t="str">
        <f t="shared" si="207"/>
        <v/>
      </c>
      <c r="IUK116" s="77" t="str">
        <f t="shared" si="207"/>
        <v/>
      </c>
      <c r="IUL116" s="77" t="str">
        <f t="shared" si="207"/>
        <v/>
      </c>
      <c r="IUM116" s="77" t="str">
        <f t="shared" si="207"/>
        <v/>
      </c>
      <c r="IUN116" s="77" t="str">
        <f t="shared" si="207"/>
        <v/>
      </c>
      <c r="IUO116" s="77" t="str">
        <f t="shared" si="207"/>
        <v/>
      </c>
      <c r="IUP116" s="77" t="str">
        <f t="shared" si="207"/>
        <v/>
      </c>
      <c r="IUQ116" s="77" t="str">
        <f t="shared" si="207"/>
        <v/>
      </c>
      <c r="IUR116" s="77" t="str">
        <f t="shared" si="207"/>
        <v/>
      </c>
      <c r="IUS116" s="77" t="str">
        <f t="shared" si="207"/>
        <v/>
      </c>
      <c r="IUT116" s="77" t="str">
        <f t="shared" si="207"/>
        <v/>
      </c>
      <c r="IUU116" s="77" t="str">
        <f t="shared" si="207"/>
        <v/>
      </c>
      <c r="IUV116" s="77" t="str">
        <f t="shared" si="207"/>
        <v/>
      </c>
      <c r="IUW116" s="77" t="str">
        <f t="shared" si="207"/>
        <v/>
      </c>
      <c r="IUX116" s="77" t="str">
        <f t="shared" si="207"/>
        <v/>
      </c>
      <c r="IUY116" s="77" t="str">
        <f t="shared" si="207"/>
        <v/>
      </c>
      <c r="IUZ116" s="77" t="str">
        <f t="shared" si="207"/>
        <v/>
      </c>
      <c r="IVA116" s="77" t="str">
        <f t="shared" si="207"/>
        <v/>
      </c>
      <c r="IVB116" s="77" t="str">
        <f t="shared" si="207"/>
        <v/>
      </c>
      <c r="IVC116" s="77" t="str">
        <f t="shared" si="207"/>
        <v/>
      </c>
      <c r="IVD116" s="77" t="str">
        <f t="shared" si="207"/>
        <v/>
      </c>
      <c r="IVE116" s="77" t="str">
        <f t="shared" si="207"/>
        <v/>
      </c>
      <c r="IVF116" s="77" t="str">
        <f t="shared" si="207"/>
        <v/>
      </c>
      <c r="IVG116" s="77" t="str">
        <f t="shared" si="207"/>
        <v/>
      </c>
      <c r="IVH116" s="77" t="str">
        <f t="shared" si="207"/>
        <v/>
      </c>
      <c r="IVI116" s="77" t="str">
        <f t="shared" si="207"/>
        <v/>
      </c>
      <c r="IVJ116" s="77" t="str">
        <f t="shared" si="207"/>
        <v/>
      </c>
      <c r="IVK116" s="77" t="str">
        <f t="shared" si="207"/>
        <v/>
      </c>
      <c r="IVL116" s="77" t="str">
        <f t="shared" si="207"/>
        <v/>
      </c>
      <c r="IVM116" s="77" t="str">
        <f t="shared" si="207"/>
        <v/>
      </c>
      <c r="IVN116" s="77" t="str">
        <f t="shared" si="207"/>
        <v/>
      </c>
      <c r="IVO116" s="77" t="str">
        <f t="shared" si="207"/>
        <v/>
      </c>
      <c r="IVP116" s="77" t="str">
        <f t="shared" si="207"/>
        <v/>
      </c>
      <c r="IVQ116" s="77" t="str">
        <f t="shared" si="207"/>
        <v/>
      </c>
      <c r="IVR116" s="77" t="str">
        <f t="shared" si="207"/>
        <v/>
      </c>
      <c r="IVS116" s="77" t="str">
        <f t="shared" si="207"/>
        <v/>
      </c>
      <c r="IVT116" s="77" t="str">
        <f t="shared" si="207"/>
        <v/>
      </c>
      <c r="IVU116" s="77" t="str">
        <f t="shared" si="207"/>
        <v/>
      </c>
      <c r="IVV116" s="77" t="str">
        <f t="shared" si="207"/>
        <v/>
      </c>
      <c r="IVW116" s="77" t="str">
        <f t="shared" si="207"/>
        <v/>
      </c>
      <c r="IVX116" s="77" t="str">
        <f t="shared" si="207"/>
        <v/>
      </c>
      <c r="IVY116" s="77" t="str">
        <f t="shared" si="207"/>
        <v/>
      </c>
      <c r="IVZ116" s="77" t="str">
        <f t="shared" si="207"/>
        <v/>
      </c>
      <c r="IWA116" s="77" t="str">
        <f t="shared" si="207"/>
        <v/>
      </c>
      <c r="IWB116" s="77" t="str">
        <f t="shared" si="207"/>
        <v/>
      </c>
      <c r="IWC116" s="77" t="str">
        <f t="shared" si="207"/>
        <v/>
      </c>
      <c r="IWD116" s="77" t="str">
        <f t="shared" si="207"/>
        <v/>
      </c>
      <c r="IWE116" s="77" t="str">
        <f t="shared" si="207"/>
        <v/>
      </c>
      <c r="IWF116" s="77" t="str">
        <f t="shared" si="207"/>
        <v/>
      </c>
      <c r="IWG116" s="77" t="str">
        <f t="shared" si="207"/>
        <v/>
      </c>
      <c r="IWH116" s="77" t="str">
        <f t="shared" si="207"/>
        <v/>
      </c>
      <c r="IWI116" s="77" t="str">
        <f t="shared" si="207"/>
        <v/>
      </c>
      <c r="IWJ116" s="77" t="str">
        <f t="shared" si="207"/>
        <v/>
      </c>
      <c r="IWK116" s="77" t="str">
        <f t="shared" si="207"/>
        <v/>
      </c>
      <c r="IWL116" s="77" t="str">
        <f t="shared" si="207"/>
        <v/>
      </c>
      <c r="IWM116" s="77" t="str">
        <f t="shared" ref="IWM116:IYX116" si="208">IF(ISNUMBER(outYear),IWM69+IWM75+IWM81+IWM113,"")</f>
        <v/>
      </c>
      <c r="IWN116" s="77" t="str">
        <f t="shared" si="208"/>
        <v/>
      </c>
      <c r="IWO116" s="77" t="str">
        <f t="shared" si="208"/>
        <v/>
      </c>
      <c r="IWP116" s="77" t="str">
        <f t="shared" si="208"/>
        <v/>
      </c>
      <c r="IWQ116" s="77" t="str">
        <f t="shared" si="208"/>
        <v/>
      </c>
      <c r="IWR116" s="77" t="str">
        <f t="shared" si="208"/>
        <v/>
      </c>
      <c r="IWS116" s="77" t="str">
        <f t="shared" si="208"/>
        <v/>
      </c>
      <c r="IWT116" s="77" t="str">
        <f t="shared" si="208"/>
        <v/>
      </c>
      <c r="IWU116" s="77" t="str">
        <f t="shared" si="208"/>
        <v/>
      </c>
      <c r="IWV116" s="77" t="str">
        <f t="shared" si="208"/>
        <v/>
      </c>
      <c r="IWW116" s="77" t="str">
        <f t="shared" si="208"/>
        <v/>
      </c>
      <c r="IWX116" s="77" t="str">
        <f t="shared" si="208"/>
        <v/>
      </c>
      <c r="IWY116" s="77" t="str">
        <f t="shared" si="208"/>
        <v/>
      </c>
      <c r="IWZ116" s="77" t="str">
        <f t="shared" si="208"/>
        <v/>
      </c>
      <c r="IXA116" s="77" t="str">
        <f t="shared" si="208"/>
        <v/>
      </c>
      <c r="IXB116" s="77" t="str">
        <f t="shared" si="208"/>
        <v/>
      </c>
      <c r="IXC116" s="77" t="str">
        <f t="shared" si="208"/>
        <v/>
      </c>
      <c r="IXD116" s="77" t="str">
        <f t="shared" si="208"/>
        <v/>
      </c>
      <c r="IXE116" s="77" t="str">
        <f t="shared" si="208"/>
        <v/>
      </c>
      <c r="IXF116" s="77" t="str">
        <f t="shared" si="208"/>
        <v/>
      </c>
      <c r="IXG116" s="77" t="str">
        <f t="shared" si="208"/>
        <v/>
      </c>
      <c r="IXH116" s="77" t="str">
        <f t="shared" si="208"/>
        <v/>
      </c>
      <c r="IXI116" s="77" t="str">
        <f t="shared" si="208"/>
        <v/>
      </c>
      <c r="IXJ116" s="77" t="str">
        <f t="shared" si="208"/>
        <v/>
      </c>
      <c r="IXK116" s="77" t="str">
        <f t="shared" si="208"/>
        <v/>
      </c>
      <c r="IXL116" s="77" t="str">
        <f t="shared" si="208"/>
        <v/>
      </c>
      <c r="IXM116" s="77" t="str">
        <f t="shared" si="208"/>
        <v/>
      </c>
      <c r="IXN116" s="77" t="str">
        <f t="shared" si="208"/>
        <v/>
      </c>
      <c r="IXO116" s="77" t="str">
        <f t="shared" si="208"/>
        <v/>
      </c>
      <c r="IXP116" s="77" t="str">
        <f t="shared" si="208"/>
        <v/>
      </c>
      <c r="IXQ116" s="77" t="str">
        <f t="shared" si="208"/>
        <v/>
      </c>
      <c r="IXR116" s="77" t="str">
        <f t="shared" si="208"/>
        <v/>
      </c>
      <c r="IXS116" s="77" t="str">
        <f t="shared" si="208"/>
        <v/>
      </c>
      <c r="IXT116" s="77" t="str">
        <f t="shared" si="208"/>
        <v/>
      </c>
      <c r="IXU116" s="77" t="str">
        <f t="shared" si="208"/>
        <v/>
      </c>
      <c r="IXV116" s="77" t="str">
        <f t="shared" si="208"/>
        <v/>
      </c>
      <c r="IXW116" s="77" t="str">
        <f t="shared" si="208"/>
        <v/>
      </c>
      <c r="IXX116" s="77" t="str">
        <f t="shared" si="208"/>
        <v/>
      </c>
      <c r="IXY116" s="77" t="str">
        <f t="shared" si="208"/>
        <v/>
      </c>
      <c r="IXZ116" s="77" t="str">
        <f t="shared" si="208"/>
        <v/>
      </c>
      <c r="IYA116" s="77" t="str">
        <f t="shared" si="208"/>
        <v/>
      </c>
      <c r="IYB116" s="77" t="str">
        <f t="shared" si="208"/>
        <v/>
      </c>
      <c r="IYC116" s="77" t="str">
        <f t="shared" si="208"/>
        <v/>
      </c>
      <c r="IYD116" s="77" t="str">
        <f t="shared" si="208"/>
        <v/>
      </c>
      <c r="IYE116" s="77" t="str">
        <f t="shared" si="208"/>
        <v/>
      </c>
      <c r="IYF116" s="77" t="str">
        <f t="shared" si="208"/>
        <v/>
      </c>
      <c r="IYG116" s="77" t="str">
        <f t="shared" si="208"/>
        <v/>
      </c>
      <c r="IYH116" s="77" t="str">
        <f t="shared" si="208"/>
        <v/>
      </c>
      <c r="IYI116" s="77" t="str">
        <f t="shared" si="208"/>
        <v/>
      </c>
      <c r="IYJ116" s="77" t="str">
        <f t="shared" si="208"/>
        <v/>
      </c>
      <c r="IYK116" s="77" t="str">
        <f t="shared" si="208"/>
        <v/>
      </c>
      <c r="IYL116" s="77" t="str">
        <f t="shared" si="208"/>
        <v/>
      </c>
      <c r="IYM116" s="77" t="str">
        <f t="shared" si="208"/>
        <v/>
      </c>
      <c r="IYN116" s="77" t="str">
        <f t="shared" si="208"/>
        <v/>
      </c>
      <c r="IYO116" s="77" t="str">
        <f t="shared" si="208"/>
        <v/>
      </c>
      <c r="IYP116" s="77" t="str">
        <f t="shared" si="208"/>
        <v/>
      </c>
      <c r="IYQ116" s="77" t="str">
        <f t="shared" si="208"/>
        <v/>
      </c>
      <c r="IYR116" s="77" t="str">
        <f t="shared" si="208"/>
        <v/>
      </c>
      <c r="IYS116" s="77" t="str">
        <f t="shared" si="208"/>
        <v/>
      </c>
      <c r="IYT116" s="77" t="str">
        <f t="shared" si="208"/>
        <v/>
      </c>
      <c r="IYU116" s="77" t="str">
        <f t="shared" si="208"/>
        <v/>
      </c>
      <c r="IYV116" s="77" t="str">
        <f t="shared" si="208"/>
        <v/>
      </c>
      <c r="IYW116" s="77" t="str">
        <f t="shared" si="208"/>
        <v/>
      </c>
      <c r="IYX116" s="77" t="str">
        <f t="shared" si="208"/>
        <v/>
      </c>
      <c r="IYY116" s="77" t="str">
        <f t="shared" ref="IYY116:JBJ116" si="209">IF(ISNUMBER(outYear),IYY69+IYY75+IYY81+IYY113,"")</f>
        <v/>
      </c>
      <c r="IYZ116" s="77" t="str">
        <f t="shared" si="209"/>
        <v/>
      </c>
      <c r="IZA116" s="77" t="str">
        <f t="shared" si="209"/>
        <v/>
      </c>
      <c r="IZB116" s="77" t="str">
        <f t="shared" si="209"/>
        <v/>
      </c>
      <c r="IZC116" s="77" t="str">
        <f t="shared" si="209"/>
        <v/>
      </c>
      <c r="IZD116" s="77" t="str">
        <f t="shared" si="209"/>
        <v/>
      </c>
      <c r="IZE116" s="77" t="str">
        <f t="shared" si="209"/>
        <v/>
      </c>
      <c r="IZF116" s="77" t="str">
        <f t="shared" si="209"/>
        <v/>
      </c>
      <c r="IZG116" s="77" t="str">
        <f t="shared" si="209"/>
        <v/>
      </c>
      <c r="IZH116" s="77" t="str">
        <f t="shared" si="209"/>
        <v/>
      </c>
      <c r="IZI116" s="77" t="str">
        <f t="shared" si="209"/>
        <v/>
      </c>
      <c r="IZJ116" s="77" t="str">
        <f t="shared" si="209"/>
        <v/>
      </c>
      <c r="IZK116" s="77" t="str">
        <f t="shared" si="209"/>
        <v/>
      </c>
      <c r="IZL116" s="77" t="str">
        <f t="shared" si="209"/>
        <v/>
      </c>
      <c r="IZM116" s="77" t="str">
        <f t="shared" si="209"/>
        <v/>
      </c>
      <c r="IZN116" s="77" t="str">
        <f t="shared" si="209"/>
        <v/>
      </c>
      <c r="IZO116" s="77" t="str">
        <f t="shared" si="209"/>
        <v/>
      </c>
      <c r="IZP116" s="77" t="str">
        <f t="shared" si="209"/>
        <v/>
      </c>
      <c r="IZQ116" s="77" t="str">
        <f t="shared" si="209"/>
        <v/>
      </c>
      <c r="IZR116" s="77" t="str">
        <f t="shared" si="209"/>
        <v/>
      </c>
      <c r="IZS116" s="77" t="str">
        <f t="shared" si="209"/>
        <v/>
      </c>
      <c r="IZT116" s="77" t="str">
        <f t="shared" si="209"/>
        <v/>
      </c>
      <c r="IZU116" s="77" t="str">
        <f t="shared" si="209"/>
        <v/>
      </c>
      <c r="IZV116" s="77" t="str">
        <f t="shared" si="209"/>
        <v/>
      </c>
      <c r="IZW116" s="77" t="str">
        <f t="shared" si="209"/>
        <v/>
      </c>
      <c r="IZX116" s="77" t="str">
        <f t="shared" si="209"/>
        <v/>
      </c>
      <c r="IZY116" s="77" t="str">
        <f t="shared" si="209"/>
        <v/>
      </c>
      <c r="IZZ116" s="77" t="str">
        <f t="shared" si="209"/>
        <v/>
      </c>
      <c r="JAA116" s="77" t="str">
        <f t="shared" si="209"/>
        <v/>
      </c>
      <c r="JAB116" s="77" t="str">
        <f t="shared" si="209"/>
        <v/>
      </c>
      <c r="JAC116" s="77" t="str">
        <f t="shared" si="209"/>
        <v/>
      </c>
      <c r="JAD116" s="77" t="str">
        <f t="shared" si="209"/>
        <v/>
      </c>
      <c r="JAE116" s="77" t="str">
        <f t="shared" si="209"/>
        <v/>
      </c>
      <c r="JAF116" s="77" t="str">
        <f t="shared" si="209"/>
        <v/>
      </c>
      <c r="JAG116" s="77" t="str">
        <f t="shared" si="209"/>
        <v/>
      </c>
      <c r="JAH116" s="77" t="str">
        <f t="shared" si="209"/>
        <v/>
      </c>
      <c r="JAI116" s="77" t="str">
        <f t="shared" si="209"/>
        <v/>
      </c>
      <c r="JAJ116" s="77" t="str">
        <f t="shared" si="209"/>
        <v/>
      </c>
      <c r="JAK116" s="77" t="str">
        <f t="shared" si="209"/>
        <v/>
      </c>
      <c r="JAL116" s="77" t="str">
        <f t="shared" si="209"/>
        <v/>
      </c>
      <c r="JAM116" s="77" t="str">
        <f t="shared" si="209"/>
        <v/>
      </c>
      <c r="JAN116" s="77" t="str">
        <f t="shared" si="209"/>
        <v/>
      </c>
      <c r="JAO116" s="77" t="str">
        <f t="shared" si="209"/>
        <v/>
      </c>
      <c r="JAP116" s="77" t="str">
        <f t="shared" si="209"/>
        <v/>
      </c>
      <c r="JAQ116" s="77" t="str">
        <f t="shared" si="209"/>
        <v/>
      </c>
      <c r="JAR116" s="77" t="str">
        <f t="shared" si="209"/>
        <v/>
      </c>
      <c r="JAS116" s="77" t="str">
        <f t="shared" si="209"/>
        <v/>
      </c>
      <c r="JAT116" s="77" t="str">
        <f t="shared" si="209"/>
        <v/>
      </c>
      <c r="JAU116" s="77" t="str">
        <f t="shared" si="209"/>
        <v/>
      </c>
      <c r="JAV116" s="77" t="str">
        <f t="shared" si="209"/>
        <v/>
      </c>
      <c r="JAW116" s="77" t="str">
        <f t="shared" si="209"/>
        <v/>
      </c>
      <c r="JAX116" s="77" t="str">
        <f t="shared" si="209"/>
        <v/>
      </c>
      <c r="JAY116" s="77" t="str">
        <f t="shared" si="209"/>
        <v/>
      </c>
      <c r="JAZ116" s="77" t="str">
        <f t="shared" si="209"/>
        <v/>
      </c>
      <c r="JBA116" s="77" t="str">
        <f t="shared" si="209"/>
        <v/>
      </c>
      <c r="JBB116" s="77" t="str">
        <f t="shared" si="209"/>
        <v/>
      </c>
      <c r="JBC116" s="77" t="str">
        <f t="shared" si="209"/>
        <v/>
      </c>
      <c r="JBD116" s="77" t="str">
        <f t="shared" si="209"/>
        <v/>
      </c>
      <c r="JBE116" s="77" t="str">
        <f t="shared" si="209"/>
        <v/>
      </c>
      <c r="JBF116" s="77" t="str">
        <f t="shared" si="209"/>
        <v/>
      </c>
      <c r="JBG116" s="77" t="str">
        <f t="shared" si="209"/>
        <v/>
      </c>
      <c r="JBH116" s="77" t="str">
        <f t="shared" si="209"/>
        <v/>
      </c>
      <c r="JBI116" s="77" t="str">
        <f t="shared" si="209"/>
        <v/>
      </c>
      <c r="JBJ116" s="77" t="str">
        <f t="shared" si="209"/>
        <v/>
      </c>
      <c r="JBK116" s="77" t="str">
        <f t="shared" ref="JBK116:JDV116" si="210">IF(ISNUMBER(outYear),JBK69+JBK75+JBK81+JBK113,"")</f>
        <v/>
      </c>
      <c r="JBL116" s="77" t="str">
        <f t="shared" si="210"/>
        <v/>
      </c>
      <c r="JBM116" s="77" t="str">
        <f t="shared" si="210"/>
        <v/>
      </c>
      <c r="JBN116" s="77" t="str">
        <f t="shared" si="210"/>
        <v/>
      </c>
      <c r="JBO116" s="77" t="str">
        <f t="shared" si="210"/>
        <v/>
      </c>
      <c r="JBP116" s="77" t="str">
        <f t="shared" si="210"/>
        <v/>
      </c>
      <c r="JBQ116" s="77" t="str">
        <f t="shared" si="210"/>
        <v/>
      </c>
      <c r="JBR116" s="77" t="str">
        <f t="shared" si="210"/>
        <v/>
      </c>
      <c r="JBS116" s="77" t="str">
        <f t="shared" si="210"/>
        <v/>
      </c>
      <c r="JBT116" s="77" t="str">
        <f t="shared" si="210"/>
        <v/>
      </c>
      <c r="JBU116" s="77" t="str">
        <f t="shared" si="210"/>
        <v/>
      </c>
      <c r="JBV116" s="77" t="str">
        <f t="shared" si="210"/>
        <v/>
      </c>
      <c r="JBW116" s="77" t="str">
        <f t="shared" si="210"/>
        <v/>
      </c>
      <c r="JBX116" s="77" t="str">
        <f t="shared" si="210"/>
        <v/>
      </c>
      <c r="JBY116" s="77" t="str">
        <f t="shared" si="210"/>
        <v/>
      </c>
      <c r="JBZ116" s="77" t="str">
        <f t="shared" si="210"/>
        <v/>
      </c>
      <c r="JCA116" s="77" t="str">
        <f t="shared" si="210"/>
        <v/>
      </c>
      <c r="JCB116" s="77" t="str">
        <f t="shared" si="210"/>
        <v/>
      </c>
      <c r="JCC116" s="77" t="str">
        <f t="shared" si="210"/>
        <v/>
      </c>
      <c r="JCD116" s="77" t="str">
        <f t="shared" si="210"/>
        <v/>
      </c>
      <c r="JCE116" s="77" t="str">
        <f t="shared" si="210"/>
        <v/>
      </c>
      <c r="JCF116" s="77" t="str">
        <f t="shared" si="210"/>
        <v/>
      </c>
      <c r="JCG116" s="77" t="str">
        <f t="shared" si="210"/>
        <v/>
      </c>
      <c r="JCH116" s="77" t="str">
        <f t="shared" si="210"/>
        <v/>
      </c>
      <c r="JCI116" s="77" t="str">
        <f t="shared" si="210"/>
        <v/>
      </c>
      <c r="JCJ116" s="77" t="str">
        <f t="shared" si="210"/>
        <v/>
      </c>
      <c r="JCK116" s="77" t="str">
        <f t="shared" si="210"/>
        <v/>
      </c>
      <c r="JCL116" s="77" t="str">
        <f t="shared" si="210"/>
        <v/>
      </c>
      <c r="JCM116" s="77" t="str">
        <f t="shared" si="210"/>
        <v/>
      </c>
      <c r="JCN116" s="77" t="str">
        <f t="shared" si="210"/>
        <v/>
      </c>
      <c r="JCO116" s="77" t="str">
        <f t="shared" si="210"/>
        <v/>
      </c>
      <c r="JCP116" s="77" t="str">
        <f t="shared" si="210"/>
        <v/>
      </c>
      <c r="JCQ116" s="77" t="str">
        <f t="shared" si="210"/>
        <v/>
      </c>
      <c r="JCR116" s="77" t="str">
        <f t="shared" si="210"/>
        <v/>
      </c>
      <c r="JCS116" s="77" t="str">
        <f t="shared" si="210"/>
        <v/>
      </c>
      <c r="JCT116" s="77" t="str">
        <f t="shared" si="210"/>
        <v/>
      </c>
      <c r="JCU116" s="77" t="str">
        <f t="shared" si="210"/>
        <v/>
      </c>
      <c r="JCV116" s="77" t="str">
        <f t="shared" si="210"/>
        <v/>
      </c>
      <c r="JCW116" s="77" t="str">
        <f t="shared" si="210"/>
        <v/>
      </c>
      <c r="JCX116" s="77" t="str">
        <f t="shared" si="210"/>
        <v/>
      </c>
      <c r="JCY116" s="77" t="str">
        <f t="shared" si="210"/>
        <v/>
      </c>
      <c r="JCZ116" s="77" t="str">
        <f t="shared" si="210"/>
        <v/>
      </c>
      <c r="JDA116" s="77" t="str">
        <f t="shared" si="210"/>
        <v/>
      </c>
      <c r="JDB116" s="77" t="str">
        <f t="shared" si="210"/>
        <v/>
      </c>
      <c r="JDC116" s="77" t="str">
        <f t="shared" si="210"/>
        <v/>
      </c>
      <c r="JDD116" s="77" t="str">
        <f t="shared" si="210"/>
        <v/>
      </c>
      <c r="JDE116" s="77" t="str">
        <f t="shared" si="210"/>
        <v/>
      </c>
      <c r="JDF116" s="77" t="str">
        <f t="shared" si="210"/>
        <v/>
      </c>
      <c r="JDG116" s="77" t="str">
        <f t="shared" si="210"/>
        <v/>
      </c>
      <c r="JDH116" s="77" t="str">
        <f t="shared" si="210"/>
        <v/>
      </c>
      <c r="JDI116" s="77" t="str">
        <f t="shared" si="210"/>
        <v/>
      </c>
      <c r="JDJ116" s="77" t="str">
        <f t="shared" si="210"/>
        <v/>
      </c>
      <c r="JDK116" s="77" t="str">
        <f t="shared" si="210"/>
        <v/>
      </c>
      <c r="JDL116" s="77" t="str">
        <f t="shared" si="210"/>
        <v/>
      </c>
      <c r="JDM116" s="77" t="str">
        <f t="shared" si="210"/>
        <v/>
      </c>
      <c r="JDN116" s="77" t="str">
        <f t="shared" si="210"/>
        <v/>
      </c>
      <c r="JDO116" s="77" t="str">
        <f t="shared" si="210"/>
        <v/>
      </c>
      <c r="JDP116" s="77" t="str">
        <f t="shared" si="210"/>
        <v/>
      </c>
      <c r="JDQ116" s="77" t="str">
        <f t="shared" si="210"/>
        <v/>
      </c>
      <c r="JDR116" s="77" t="str">
        <f t="shared" si="210"/>
        <v/>
      </c>
      <c r="JDS116" s="77" t="str">
        <f t="shared" si="210"/>
        <v/>
      </c>
      <c r="JDT116" s="77" t="str">
        <f t="shared" si="210"/>
        <v/>
      </c>
      <c r="JDU116" s="77" t="str">
        <f t="shared" si="210"/>
        <v/>
      </c>
      <c r="JDV116" s="77" t="str">
        <f t="shared" si="210"/>
        <v/>
      </c>
      <c r="JDW116" s="77" t="str">
        <f t="shared" ref="JDW116:JGH116" si="211">IF(ISNUMBER(outYear),JDW69+JDW75+JDW81+JDW113,"")</f>
        <v/>
      </c>
      <c r="JDX116" s="77" t="str">
        <f t="shared" si="211"/>
        <v/>
      </c>
      <c r="JDY116" s="77" t="str">
        <f t="shared" si="211"/>
        <v/>
      </c>
      <c r="JDZ116" s="77" t="str">
        <f t="shared" si="211"/>
        <v/>
      </c>
      <c r="JEA116" s="77" t="str">
        <f t="shared" si="211"/>
        <v/>
      </c>
      <c r="JEB116" s="77" t="str">
        <f t="shared" si="211"/>
        <v/>
      </c>
      <c r="JEC116" s="77" t="str">
        <f t="shared" si="211"/>
        <v/>
      </c>
      <c r="JED116" s="77" t="str">
        <f t="shared" si="211"/>
        <v/>
      </c>
      <c r="JEE116" s="77" t="str">
        <f t="shared" si="211"/>
        <v/>
      </c>
      <c r="JEF116" s="77" t="str">
        <f t="shared" si="211"/>
        <v/>
      </c>
      <c r="JEG116" s="77" t="str">
        <f t="shared" si="211"/>
        <v/>
      </c>
      <c r="JEH116" s="77" t="str">
        <f t="shared" si="211"/>
        <v/>
      </c>
      <c r="JEI116" s="77" t="str">
        <f t="shared" si="211"/>
        <v/>
      </c>
      <c r="JEJ116" s="77" t="str">
        <f t="shared" si="211"/>
        <v/>
      </c>
      <c r="JEK116" s="77" t="str">
        <f t="shared" si="211"/>
        <v/>
      </c>
      <c r="JEL116" s="77" t="str">
        <f t="shared" si="211"/>
        <v/>
      </c>
      <c r="JEM116" s="77" t="str">
        <f t="shared" si="211"/>
        <v/>
      </c>
      <c r="JEN116" s="77" t="str">
        <f t="shared" si="211"/>
        <v/>
      </c>
      <c r="JEO116" s="77" t="str">
        <f t="shared" si="211"/>
        <v/>
      </c>
      <c r="JEP116" s="77" t="str">
        <f t="shared" si="211"/>
        <v/>
      </c>
      <c r="JEQ116" s="77" t="str">
        <f t="shared" si="211"/>
        <v/>
      </c>
      <c r="JER116" s="77" t="str">
        <f t="shared" si="211"/>
        <v/>
      </c>
      <c r="JES116" s="77" t="str">
        <f t="shared" si="211"/>
        <v/>
      </c>
      <c r="JET116" s="77" t="str">
        <f t="shared" si="211"/>
        <v/>
      </c>
      <c r="JEU116" s="77" t="str">
        <f t="shared" si="211"/>
        <v/>
      </c>
      <c r="JEV116" s="77" t="str">
        <f t="shared" si="211"/>
        <v/>
      </c>
      <c r="JEW116" s="77" t="str">
        <f t="shared" si="211"/>
        <v/>
      </c>
      <c r="JEX116" s="77" t="str">
        <f t="shared" si="211"/>
        <v/>
      </c>
      <c r="JEY116" s="77" t="str">
        <f t="shared" si="211"/>
        <v/>
      </c>
      <c r="JEZ116" s="77" t="str">
        <f t="shared" si="211"/>
        <v/>
      </c>
      <c r="JFA116" s="77" t="str">
        <f t="shared" si="211"/>
        <v/>
      </c>
      <c r="JFB116" s="77" t="str">
        <f t="shared" si="211"/>
        <v/>
      </c>
      <c r="JFC116" s="77" t="str">
        <f t="shared" si="211"/>
        <v/>
      </c>
      <c r="JFD116" s="77" t="str">
        <f t="shared" si="211"/>
        <v/>
      </c>
      <c r="JFE116" s="77" t="str">
        <f t="shared" si="211"/>
        <v/>
      </c>
      <c r="JFF116" s="77" t="str">
        <f t="shared" si="211"/>
        <v/>
      </c>
      <c r="JFG116" s="77" t="str">
        <f t="shared" si="211"/>
        <v/>
      </c>
      <c r="JFH116" s="77" t="str">
        <f t="shared" si="211"/>
        <v/>
      </c>
      <c r="JFI116" s="77" t="str">
        <f t="shared" si="211"/>
        <v/>
      </c>
      <c r="JFJ116" s="77" t="str">
        <f t="shared" si="211"/>
        <v/>
      </c>
      <c r="JFK116" s="77" t="str">
        <f t="shared" si="211"/>
        <v/>
      </c>
      <c r="JFL116" s="77" t="str">
        <f t="shared" si="211"/>
        <v/>
      </c>
      <c r="JFM116" s="77" t="str">
        <f t="shared" si="211"/>
        <v/>
      </c>
      <c r="JFN116" s="77" t="str">
        <f t="shared" si="211"/>
        <v/>
      </c>
      <c r="JFO116" s="77" t="str">
        <f t="shared" si="211"/>
        <v/>
      </c>
      <c r="JFP116" s="77" t="str">
        <f t="shared" si="211"/>
        <v/>
      </c>
      <c r="JFQ116" s="77" t="str">
        <f t="shared" si="211"/>
        <v/>
      </c>
      <c r="JFR116" s="77" t="str">
        <f t="shared" si="211"/>
        <v/>
      </c>
      <c r="JFS116" s="77" t="str">
        <f t="shared" si="211"/>
        <v/>
      </c>
      <c r="JFT116" s="77" t="str">
        <f t="shared" si="211"/>
        <v/>
      </c>
      <c r="JFU116" s="77" t="str">
        <f t="shared" si="211"/>
        <v/>
      </c>
      <c r="JFV116" s="77" t="str">
        <f t="shared" si="211"/>
        <v/>
      </c>
      <c r="JFW116" s="77" t="str">
        <f t="shared" si="211"/>
        <v/>
      </c>
      <c r="JFX116" s="77" t="str">
        <f t="shared" si="211"/>
        <v/>
      </c>
      <c r="JFY116" s="77" t="str">
        <f t="shared" si="211"/>
        <v/>
      </c>
      <c r="JFZ116" s="77" t="str">
        <f t="shared" si="211"/>
        <v/>
      </c>
      <c r="JGA116" s="77" t="str">
        <f t="shared" si="211"/>
        <v/>
      </c>
      <c r="JGB116" s="77" t="str">
        <f t="shared" si="211"/>
        <v/>
      </c>
      <c r="JGC116" s="77" t="str">
        <f t="shared" si="211"/>
        <v/>
      </c>
      <c r="JGD116" s="77" t="str">
        <f t="shared" si="211"/>
        <v/>
      </c>
      <c r="JGE116" s="77" t="str">
        <f t="shared" si="211"/>
        <v/>
      </c>
      <c r="JGF116" s="77" t="str">
        <f t="shared" si="211"/>
        <v/>
      </c>
      <c r="JGG116" s="77" t="str">
        <f t="shared" si="211"/>
        <v/>
      </c>
      <c r="JGH116" s="77" t="str">
        <f t="shared" si="211"/>
        <v/>
      </c>
      <c r="JGI116" s="77" t="str">
        <f t="shared" ref="JGI116:JIT116" si="212">IF(ISNUMBER(outYear),JGI69+JGI75+JGI81+JGI113,"")</f>
        <v/>
      </c>
      <c r="JGJ116" s="77" t="str">
        <f t="shared" si="212"/>
        <v/>
      </c>
      <c r="JGK116" s="77" t="str">
        <f t="shared" si="212"/>
        <v/>
      </c>
      <c r="JGL116" s="77" t="str">
        <f t="shared" si="212"/>
        <v/>
      </c>
      <c r="JGM116" s="77" t="str">
        <f t="shared" si="212"/>
        <v/>
      </c>
      <c r="JGN116" s="77" t="str">
        <f t="shared" si="212"/>
        <v/>
      </c>
      <c r="JGO116" s="77" t="str">
        <f t="shared" si="212"/>
        <v/>
      </c>
      <c r="JGP116" s="77" t="str">
        <f t="shared" si="212"/>
        <v/>
      </c>
      <c r="JGQ116" s="77" t="str">
        <f t="shared" si="212"/>
        <v/>
      </c>
      <c r="JGR116" s="77" t="str">
        <f t="shared" si="212"/>
        <v/>
      </c>
      <c r="JGS116" s="77" t="str">
        <f t="shared" si="212"/>
        <v/>
      </c>
      <c r="JGT116" s="77" t="str">
        <f t="shared" si="212"/>
        <v/>
      </c>
      <c r="JGU116" s="77" t="str">
        <f t="shared" si="212"/>
        <v/>
      </c>
      <c r="JGV116" s="77" t="str">
        <f t="shared" si="212"/>
        <v/>
      </c>
      <c r="JGW116" s="77" t="str">
        <f t="shared" si="212"/>
        <v/>
      </c>
      <c r="JGX116" s="77" t="str">
        <f t="shared" si="212"/>
        <v/>
      </c>
      <c r="JGY116" s="77" t="str">
        <f t="shared" si="212"/>
        <v/>
      </c>
      <c r="JGZ116" s="77" t="str">
        <f t="shared" si="212"/>
        <v/>
      </c>
      <c r="JHA116" s="77" t="str">
        <f t="shared" si="212"/>
        <v/>
      </c>
      <c r="JHB116" s="77" t="str">
        <f t="shared" si="212"/>
        <v/>
      </c>
      <c r="JHC116" s="77" t="str">
        <f t="shared" si="212"/>
        <v/>
      </c>
      <c r="JHD116" s="77" t="str">
        <f t="shared" si="212"/>
        <v/>
      </c>
      <c r="JHE116" s="77" t="str">
        <f t="shared" si="212"/>
        <v/>
      </c>
      <c r="JHF116" s="77" t="str">
        <f t="shared" si="212"/>
        <v/>
      </c>
      <c r="JHG116" s="77" t="str">
        <f t="shared" si="212"/>
        <v/>
      </c>
      <c r="JHH116" s="77" t="str">
        <f t="shared" si="212"/>
        <v/>
      </c>
      <c r="JHI116" s="77" t="str">
        <f t="shared" si="212"/>
        <v/>
      </c>
      <c r="JHJ116" s="77" t="str">
        <f t="shared" si="212"/>
        <v/>
      </c>
      <c r="JHK116" s="77" t="str">
        <f t="shared" si="212"/>
        <v/>
      </c>
      <c r="JHL116" s="77" t="str">
        <f t="shared" si="212"/>
        <v/>
      </c>
      <c r="JHM116" s="77" t="str">
        <f t="shared" si="212"/>
        <v/>
      </c>
      <c r="JHN116" s="77" t="str">
        <f t="shared" si="212"/>
        <v/>
      </c>
      <c r="JHO116" s="77" t="str">
        <f t="shared" si="212"/>
        <v/>
      </c>
      <c r="JHP116" s="77" t="str">
        <f t="shared" si="212"/>
        <v/>
      </c>
      <c r="JHQ116" s="77" t="str">
        <f t="shared" si="212"/>
        <v/>
      </c>
      <c r="JHR116" s="77" t="str">
        <f t="shared" si="212"/>
        <v/>
      </c>
      <c r="JHS116" s="77" t="str">
        <f t="shared" si="212"/>
        <v/>
      </c>
      <c r="JHT116" s="77" t="str">
        <f t="shared" si="212"/>
        <v/>
      </c>
      <c r="JHU116" s="77" t="str">
        <f t="shared" si="212"/>
        <v/>
      </c>
      <c r="JHV116" s="77" t="str">
        <f t="shared" si="212"/>
        <v/>
      </c>
      <c r="JHW116" s="77" t="str">
        <f t="shared" si="212"/>
        <v/>
      </c>
      <c r="JHX116" s="77" t="str">
        <f t="shared" si="212"/>
        <v/>
      </c>
      <c r="JHY116" s="77" t="str">
        <f t="shared" si="212"/>
        <v/>
      </c>
      <c r="JHZ116" s="77" t="str">
        <f t="shared" si="212"/>
        <v/>
      </c>
      <c r="JIA116" s="77" t="str">
        <f t="shared" si="212"/>
        <v/>
      </c>
      <c r="JIB116" s="77" t="str">
        <f t="shared" si="212"/>
        <v/>
      </c>
      <c r="JIC116" s="77" t="str">
        <f t="shared" si="212"/>
        <v/>
      </c>
      <c r="JID116" s="77" t="str">
        <f t="shared" si="212"/>
        <v/>
      </c>
      <c r="JIE116" s="77" t="str">
        <f t="shared" si="212"/>
        <v/>
      </c>
      <c r="JIF116" s="77" t="str">
        <f t="shared" si="212"/>
        <v/>
      </c>
      <c r="JIG116" s="77" t="str">
        <f t="shared" si="212"/>
        <v/>
      </c>
      <c r="JIH116" s="77" t="str">
        <f t="shared" si="212"/>
        <v/>
      </c>
      <c r="JII116" s="77" t="str">
        <f t="shared" si="212"/>
        <v/>
      </c>
      <c r="JIJ116" s="77" t="str">
        <f t="shared" si="212"/>
        <v/>
      </c>
      <c r="JIK116" s="77" t="str">
        <f t="shared" si="212"/>
        <v/>
      </c>
      <c r="JIL116" s="77" t="str">
        <f t="shared" si="212"/>
        <v/>
      </c>
      <c r="JIM116" s="77" t="str">
        <f t="shared" si="212"/>
        <v/>
      </c>
      <c r="JIN116" s="77" t="str">
        <f t="shared" si="212"/>
        <v/>
      </c>
      <c r="JIO116" s="77" t="str">
        <f t="shared" si="212"/>
        <v/>
      </c>
      <c r="JIP116" s="77" t="str">
        <f t="shared" si="212"/>
        <v/>
      </c>
      <c r="JIQ116" s="77" t="str">
        <f t="shared" si="212"/>
        <v/>
      </c>
      <c r="JIR116" s="77" t="str">
        <f t="shared" si="212"/>
        <v/>
      </c>
      <c r="JIS116" s="77" t="str">
        <f t="shared" si="212"/>
        <v/>
      </c>
      <c r="JIT116" s="77" t="str">
        <f t="shared" si="212"/>
        <v/>
      </c>
      <c r="JIU116" s="77" t="str">
        <f t="shared" ref="JIU116:JLF116" si="213">IF(ISNUMBER(outYear),JIU69+JIU75+JIU81+JIU113,"")</f>
        <v/>
      </c>
      <c r="JIV116" s="77" t="str">
        <f t="shared" si="213"/>
        <v/>
      </c>
      <c r="JIW116" s="77" t="str">
        <f t="shared" si="213"/>
        <v/>
      </c>
      <c r="JIX116" s="77" t="str">
        <f t="shared" si="213"/>
        <v/>
      </c>
      <c r="JIY116" s="77" t="str">
        <f t="shared" si="213"/>
        <v/>
      </c>
      <c r="JIZ116" s="77" t="str">
        <f t="shared" si="213"/>
        <v/>
      </c>
      <c r="JJA116" s="77" t="str">
        <f t="shared" si="213"/>
        <v/>
      </c>
      <c r="JJB116" s="77" t="str">
        <f t="shared" si="213"/>
        <v/>
      </c>
      <c r="JJC116" s="77" t="str">
        <f t="shared" si="213"/>
        <v/>
      </c>
      <c r="JJD116" s="77" t="str">
        <f t="shared" si="213"/>
        <v/>
      </c>
      <c r="JJE116" s="77" t="str">
        <f t="shared" si="213"/>
        <v/>
      </c>
      <c r="JJF116" s="77" t="str">
        <f t="shared" si="213"/>
        <v/>
      </c>
      <c r="JJG116" s="77" t="str">
        <f t="shared" si="213"/>
        <v/>
      </c>
      <c r="JJH116" s="77" t="str">
        <f t="shared" si="213"/>
        <v/>
      </c>
      <c r="JJI116" s="77" t="str">
        <f t="shared" si="213"/>
        <v/>
      </c>
      <c r="JJJ116" s="77" t="str">
        <f t="shared" si="213"/>
        <v/>
      </c>
      <c r="JJK116" s="77" t="str">
        <f t="shared" si="213"/>
        <v/>
      </c>
      <c r="JJL116" s="77" t="str">
        <f t="shared" si="213"/>
        <v/>
      </c>
      <c r="JJM116" s="77" t="str">
        <f t="shared" si="213"/>
        <v/>
      </c>
      <c r="JJN116" s="77" t="str">
        <f t="shared" si="213"/>
        <v/>
      </c>
      <c r="JJO116" s="77" t="str">
        <f t="shared" si="213"/>
        <v/>
      </c>
      <c r="JJP116" s="77" t="str">
        <f t="shared" si="213"/>
        <v/>
      </c>
      <c r="JJQ116" s="77" t="str">
        <f t="shared" si="213"/>
        <v/>
      </c>
      <c r="JJR116" s="77" t="str">
        <f t="shared" si="213"/>
        <v/>
      </c>
      <c r="JJS116" s="77" t="str">
        <f t="shared" si="213"/>
        <v/>
      </c>
      <c r="JJT116" s="77" t="str">
        <f t="shared" si="213"/>
        <v/>
      </c>
      <c r="JJU116" s="77" t="str">
        <f t="shared" si="213"/>
        <v/>
      </c>
      <c r="JJV116" s="77" t="str">
        <f t="shared" si="213"/>
        <v/>
      </c>
      <c r="JJW116" s="77" t="str">
        <f t="shared" si="213"/>
        <v/>
      </c>
      <c r="JJX116" s="77" t="str">
        <f t="shared" si="213"/>
        <v/>
      </c>
      <c r="JJY116" s="77" t="str">
        <f t="shared" si="213"/>
        <v/>
      </c>
      <c r="JJZ116" s="77" t="str">
        <f t="shared" si="213"/>
        <v/>
      </c>
      <c r="JKA116" s="77" t="str">
        <f t="shared" si="213"/>
        <v/>
      </c>
      <c r="JKB116" s="77" t="str">
        <f t="shared" si="213"/>
        <v/>
      </c>
      <c r="JKC116" s="77" t="str">
        <f t="shared" si="213"/>
        <v/>
      </c>
      <c r="JKD116" s="77" t="str">
        <f t="shared" si="213"/>
        <v/>
      </c>
      <c r="JKE116" s="77" t="str">
        <f t="shared" si="213"/>
        <v/>
      </c>
      <c r="JKF116" s="77" t="str">
        <f t="shared" si="213"/>
        <v/>
      </c>
      <c r="JKG116" s="77" t="str">
        <f t="shared" si="213"/>
        <v/>
      </c>
      <c r="JKH116" s="77" t="str">
        <f t="shared" si="213"/>
        <v/>
      </c>
      <c r="JKI116" s="77" t="str">
        <f t="shared" si="213"/>
        <v/>
      </c>
      <c r="JKJ116" s="77" t="str">
        <f t="shared" si="213"/>
        <v/>
      </c>
      <c r="JKK116" s="77" t="str">
        <f t="shared" si="213"/>
        <v/>
      </c>
      <c r="JKL116" s="77" t="str">
        <f t="shared" si="213"/>
        <v/>
      </c>
      <c r="JKM116" s="77" t="str">
        <f t="shared" si="213"/>
        <v/>
      </c>
      <c r="JKN116" s="77" t="str">
        <f t="shared" si="213"/>
        <v/>
      </c>
      <c r="JKO116" s="77" t="str">
        <f t="shared" si="213"/>
        <v/>
      </c>
      <c r="JKP116" s="77" t="str">
        <f t="shared" si="213"/>
        <v/>
      </c>
      <c r="JKQ116" s="77" t="str">
        <f t="shared" si="213"/>
        <v/>
      </c>
      <c r="JKR116" s="77" t="str">
        <f t="shared" si="213"/>
        <v/>
      </c>
      <c r="JKS116" s="77" t="str">
        <f t="shared" si="213"/>
        <v/>
      </c>
      <c r="JKT116" s="77" t="str">
        <f t="shared" si="213"/>
        <v/>
      </c>
      <c r="JKU116" s="77" t="str">
        <f t="shared" si="213"/>
        <v/>
      </c>
      <c r="JKV116" s="77" t="str">
        <f t="shared" si="213"/>
        <v/>
      </c>
      <c r="JKW116" s="77" t="str">
        <f t="shared" si="213"/>
        <v/>
      </c>
      <c r="JKX116" s="77" t="str">
        <f t="shared" si="213"/>
        <v/>
      </c>
      <c r="JKY116" s="77" t="str">
        <f t="shared" si="213"/>
        <v/>
      </c>
      <c r="JKZ116" s="77" t="str">
        <f t="shared" si="213"/>
        <v/>
      </c>
      <c r="JLA116" s="77" t="str">
        <f t="shared" si="213"/>
        <v/>
      </c>
      <c r="JLB116" s="77" t="str">
        <f t="shared" si="213"/>
        <v/>
      </c>
      <c r="JLC116" s="77" t="str">
        <f t="shared" si="213"/>
        <v/>
      </c>
      <c r="JLD116" s="77" t="str">
        <f t="shared" si="213"/>
        <v/>
      </c>
      <c r="JLE116" s="77" t="str">
        <f t="shared" si="213"/>
        <v/>
      </c>
      <c r="JLF116" s="77" t="str">
        <f t="shared" si="213"/>
        <v/>
      </c>
      <c r="JLG116" s="77" t="str">
        <f t="shared" ref="JLG116:JNR116" si="214">IF(ISNUMBER(outYear),JLG69+JLG75+JLG81+JLG113,"")</f>
        <v/>
      </c>
      <c r="JLH116" s="77" t="str">
        <f t="shared" si="214"/>
        <v/>
      </c>
      <c r="JLI116" s="77" t="str">
        <f t="shared" si="214"/>
        <v/>
      </c>
      <c r="JLJ116" s="77" t="str">
        <f t="shared" si="214"/>
        <v/>
      </c>
      <c r="JLK116" s="77" t="str">
        <f t="shared" si="214"/>
        <v/>
      </c>
      <c r="JLL116" s="77" t="str">
        <f t="shared" si="214"/>
        <v/>
      </c>
      <c r="JLM116" s="77" t="str">
        <f t="shared" si="214"/>
        <v/>
      </c>
      <c r="JLN116" s="77" t="str">
        <f t="shared" si="214"/>
        <v/>
      </c>
      <c r="JLO116" s="77" t="str">
        <f t="shared" si="214"/>
        <v/>
      </c>
      <c r="JLP116" s="77" t="str">
        <f t="shared" si="214"/>
        <v/>
      </c>
      <c r="JLQ116" s="77" t="str">
        <f t="shared" si="214"/>
        <v/>
      </c>
      <c r="JLR116" s="77" t="str">
        <f t="shared" si="214"/>
        <v/>
      </c>
      <c r="JLS116" s="77" t="str">
        <f t="shared" si="214"/>
        <v/>
      </c>
      <c r="JLT116" s="77" t="str">
        <f t="shared" si="214"/>
        <v/>
      </c>
      <c r="JLU116" s="77" t="str">
        <f t="shared" si="214"/>
        <v/>
      </c>
      <c r="JLV116" s="77" t="str">
        <f t="shared" si="214"/>
        <v/>
      </c>
      <c r="JLW116" s="77" t="str">
        <f t="shared" si="214"/>
        <v/>
      </c>
      <c r="JLX116" s="77" t="str">
        <f t="shared" si="214"/>
        <v/>
      </c>
      <c r="JLY116" s="77" t="str">
        <f t="shared" si="214"/>
        <v/>
      </c>
      <c r="JLZ116" s="77" t="str">
        <f t="shared" si="214"/>
        <v/>
      </c>
      <c r="JMA116" s="77" t="str">
        <f t="shared" si="214"/>
        <v/>
      </c>
      <c r="JMB116" s="77" t="str">
        <f t="shared" si="214"/>
        <v/>
      </c>
      <c r="JMC116" s="77" t="str">
        <f t="shared" si="214"/>
        <v/>
      </c>
      <c r="JMD116" s="77" t="str">
        <f t="shared" si="214"/>
        <v/>
      </c>
      <c r="JME116" s="77" t="str">
        <f t="shared" si="214"/>
        <v/>
      </c>
      <c r="JMF116" s="77" t="str">
        <f t="shared" si="214"/>
        <v/>
      </c>
      <c r="JMG116" s="77" t="str">
        <f t="shared" si="214"/>
        <v/>
      </c>
      <c r="JMH116" s="77" t="str">
        <f t="shared" si="214"/>
        <v/>
      </c>
      <c r="JMI116" s="77" t="str">
        <f t="shared" si="214"/>
        <v/>
      </c>
      <c r="JMJ116" s="77" t="str">
        <f t="shared" si="214"/>
        <v/>
      </c>
      <c r="JMK116" s="77" t="str">
        <f t="shared" si="214"/>
        <v/>
      </c>
      <c r="JML116" s="77" t="str">
        <f t="shared" si="214"/>
        <v/>
      </c>
      <c r="JMM116" s="77" t="str">
        <f t="shared" si="214"/>
        <v/>
      </c>
      <c r="JMN116" s="77" t="str">
        <f t="shared" si="214"/>
        <v/>
      </c>
      <c r="JMO116" s="77" t="str">
        <f t="shared" si="214"/>
        <v/>
      </c>
      <c r="JMP116" s="77" t="str">
        <f t="shared" si="214"/>
        <v/>
      </c>
      <c r="JMQ116" s="77" t="str">
        <f t="shared" si="214"/>
        <v/>
      </c>
      <c r="JMR116" s="77" t="str">
        <f t="shared" si="214"/>
        <v/>
      </c>
      <c r="JMS116" s="77" t="str">
        <f t="shared" si="214"/>
        <v/>
      </c>
      <c r="JMT116" s="77" t="str">
        <f t="shared" si="214"/>
        <v/>
      </c>
      <c r="JMU116" s="77" t="str">
        <f t="shared" si="214"/>
        <v/>
      </c>
      <c r="JMV116" s="77" t="str">
        <f t="shared" si="214"/>
        <v/>
      </c>
      <c r="JMW116" s="77" t="str">
        <f t="shared" si="214"/>
        <v/>
      </c>
      <c r="JMX116" s="77" t="str">
        <f t="shared" si="214"/>
        <v/>
      </c>
      <c r="JMY116" s="77" t="str">
        <f t="shared" si="214"/>
        <v/>
      </c>
      <c r="JMZ116" s="77" t="str">
        <f t="shared" si="214"/>
        <v/>
      </c>
      <c r="JNA116" s="77" t="str">
        <f t="shared" si="214"/>
        <v/>
      </c>
      <c r="JNB116" s="77" t="str">
        <f t="shared" si="214"/>
        <v/>
      </c>
      <c r="JNC116" s="77" t="str">
        <f t="shared" si="214"/>
        <v/>
      </c>
      <c r="JND116" s="77" t="str">
        <f t="shared" si="214"/>
        <v/>
      </c>
      <c r="JNE116" s="77" t="str">
        <f t="shared" si="214"/>
        <v/>
      </c>
      <c r="JNF116" s="77" t="str">
        <f t="shared" si="214"/>
        <v/>
      </c>
      <c r="JNG116" s="77" t="str">
        <f t="shared" si="214"/>
        <v/>
      </c>
      <c r="JNH116" s="77" t="str">
        <f t="shared" si="214"/>
        <v/>
      </c>
      <c r="JNI116" s="77" t="str">
        <f t="shared" si="214"/>
        <v/>
      </c>
      <c r="JNJ116" s="77" t="str">
        <f t="shared" si="214"/>
        <v/>
      </c>
      <c r="JNK116" s="77" t="str">
        <f t="shared" si="214"/>
        <v/>
      </c>
      <c r="JNL116" s="77" t="str">
        <f t="shared" si="214"/>
        <v/>
      </c>
      <c r="JNM116" s="77" t="str">
        <f t="shared" si="214"/>
        <v/>
      </c>
      <c r="JNN116" s="77" t="str">
        <f t="shared" si="214"/>
        <v/>
      </c>
      <c r="JNO116" s="77" t="str">
        <f t="shared" si="214"/>
        <v/>
      </c>
      <c r="JNP116" s="77" t="str">
        <f t="shared" si="214"/>
        <v/>
      </c>
      <c r="JNQ116" s="77" t="str">
        <f t="shared" si="214"/>
        <v/>
      </c>
      <c r="JNR116" s="77" t="str">
        <f t="shared" si="214"/>
        <v/>
      </c>
      <c r="JNS116" s="77" t="str">
        <f t="shared" ref="JNS116:JQD116" si="215">IF(ISNUMBER(outYear),JNS69+JNS75+JNS81+JNS113,"")</f>
        <v/>
      </c>
      <c r="JNT116" s="77" t="str">
        <f t="shared" si="215"/>
        <v/>
      </c>
      <c r="JNU116" s="77" t="str">
        <f t="shared" si="215"/>
        <v/>
      </c>
      <c r="JNV116" s="77" t="str">
        <f t="shared" si="215"/>
        <v/>
      </c>
      <c r="JNW116" s="77" t="str">
        <f t="shared" si="215"/>
        <v/>
      </c>
      <c r="JNX116" s="77" t="str">
        <f t="shared" si="215"/>
        <v/>
      </c>
      <c r="JNY116" s="77" t="str">
        <f t="shared" si="215"/>
        <v/>
      </c>
      <c r="JNZ116" s="77" t="str">
        <f t="shared" si="215"/>
        <v/>
      </c>
      <c r="JOA116" s="77" t="str">
        <f t="shared" si="215"/>
        <v/>
      </c>
      <c r="JOB116" s="77" t="str">
        <f t="shared" si="215"/>
        <v/>
      </c>
      <c r="JOC116" s="77" t="str">
        <f t="shared" si="215"/>
        <v/>
      </c>
      <c r="JOD116" s="77" t="str">
        <f t="shared" si="215"/>
        <v/>
      </c>
      <c r="JOE116" s="77" t="str">
        <f t="shared" si="215"/>
        <v/>
      </c>
      <c r="JOF116" s="77" t="str">
        <f t="shared" si="215"/>
        <v/>
      </c>
      <c r="JOG116" s="77" t="str">
        <f t="shared" si="215"/>
        <v/>
      </c>
      <c r="JOH116" s="77" t="str">
        <f t="shared" si="215"/>
        <v/>
      </c>
      <c r="JOI116" s="77" t="str">
        <f t="shared" si="215"/>
        <v/>
      </c>
      <c r="JOJ116" s="77" t="str">
        <f t="shared" si="215"/>
        <v/>
      </c>
      <c r="JOK116" s="77" t="str">
        <f t="shared" si="215"/>
        <v/>
      </c>
      <c r="JOL116" s="77" t="str">
        <f t="shared" si="215"/>
        <v/>
      </c>
      <c r="JOM116" s="77" t="str">
        <f t="shared" si="215"/>
        <v/>
      </c>
      <c r="JON116" s="77" t="str">
        <f t="shared" si="215"/>
        <v/>
      </c>
      <c r="JOO116" s="77" t="str">
        <f t="shared" si="215"/>
        <v/>
      </c>
      <c r="JOP116" s="77" t="str">
        <f t="shared" si="215"/>
        <v/>
      </c>
      <c r="JOQ116" s="77" t="str">
        <f t="shared" si="215"/>
        <v/>
      </c>
      <c r="JOR116" s="77" t="str">
        <f t="shared" si="215"/>
        <v/>
      </c>
      <c r="JOS116" s="77" t="str">
        <f t="shared" si="215"/>
        <v/>
      </c>
      <c r="JOT116" s="77" t="str">
        <f t="shared" si="215"/>
        <v/>
      </c>
      <c r="JOU116" s="77" t="str">
        <f t="shared" si="215"/>
        <v/>
      </c>
      <c r="JOV116" s="77" t="str">
        <f t="shared" si="215"/>
        <v/>
      </c>
      <c r="JOW116" s="77" t="str">
        <f t="shared" si="215"/>
        <v/>
      </c>
      <c r="JOX116" s="77" t="str">
        <f t="shared" si="215"/>
        <v/>
      </c>
      <c r="JOY116" s="77" t="str">
        <f t="shared" si="215"/>
        <v/>
      </c>
      <c r="JOZ116" s="77" t="str">
        <f t="shared" si="215"/>
        <v/>
      </c>
      <c r="JPA116" s="77" t="str">
        <f t="shared" si="215"/>
        <v/>
      </c>
      <c r="JPB116" s="77" t="str">
        <f t="shared" si="215"/>
        <v/>
      </c>
      <c r="JPC116" s="77" t="str">
        <f t="shared" si="215"/>
        <v/>
      </c>
      <c r="JPD116" s="77" t="str">
        <f t="shared" si="215"/>
        <v/>
      </c>
      <c r="JPE116" s="77" t="str">
        <f t="shared" si="215"/>
        <v/>
      </c>
      <c r="JPF116" s="77" t="str">
        <f t="shared" si="215"/>
        <v/>
      </c>
      <c r="JPG116" s="77" t="str">
        <f t="shared" si="215"/>
        <v/>
      </c>
      <c r="JPH116" s="77" t="str">
        <f t="shared" si="215"/>
        <v/>
      </c>
      <c r="JPI116" s="77" t="str">
        <f t="shared" si="215"/>
        <v/>
      </c>
      <c r="JPJ116" s="77" t="str">
        <f t="shared" si="215"/>
        <v/>
      </c>
      <c r="JPK116" s="77" t="str">
        <f t="shared" si="215"/>
        <v/>
      </c>
      <c r="JPL116" s="77" t="str">
        <f t="shared" si="215"/>
        <v/>
      </c>
      <c r="JPM116" s="77" t="str">
        <f t="shared" si="215"/>
        <v/>
      </c>
      <c r="JPN116" s="77" t="str">
        <f t="shared" si="215"/>
        <v/>
      </c>
      <c r="JPO116" s="77" t="str">
        <f t="shared" si="215"/>
        <v/>
      </c>
      <c r="JPP116" s="77" t="str">
        <f t="shared" si="215"/>
        <v/>
      </c>
      <c r="JPQ116" s="77" t="str">
        <f t="shared" si="215"/>
        <v/>
      </c>
      <c r="JPR116" s="77" t="str">
        <f t="shared" si="215"/>
        <v/>
      </c>
      <c r="JPS116" s="77" t="str">
        <f t="shared" si="215"/>
        <v/>
      </c>
      <c r="JPT116" s="77" t="str">
        <f t="shared" si="215"/>
        <v/>
      </c>
      <c r="JPU116" s="77" t="str">
        <f t="shared" si="215"/>
        <v/>
      </c>
      <c r="JPV116" s="77" t="str">
        <f t="shared" si="215"/>
        <v/>
      </c>
      <c r="JPW116" s="77" t="str">
        <f t="shared" si="215"/>
        <v/>
      </c>
      <c r="JPX116" s="77" t="str">
        <f t="shared" si="215"/>
        <v/>
      </c>
      <c r="JPY116" s="77" t="str">
        <f t="shared" si="215"/>
        <v/>
      </c>
      <c r="JPZ116" s="77" t="str">
        <f t="shared" si="215"/>
        <v/>
      </c>
      <c r="JQA116" s="77" t="str">
        <f t="shared" si="215"/>
        <v/>
      </c>
      <c r="JQB116" s="77" t="str">
        <f t="shared" si="215"/>
        <v/>
      </c>
      <c r="JQC116" s="77" t="str">
        <f t="shared" si="215"/>
        <v/>
      </c>
      <c r="JQD116" s="77" t="str">
        <f t="shared" si="215"/>
        <v/>
      </c>
      <c r="JQE116" s="77" t="str">
        <f t="shared" ref="JQE116:JSP116" si="216">IF(ISNUMBER(outYear),JQE69+JQE75+JQE81+JQE113,"")</f>
        <v/>
      </c>
      <c r="JQF116" s="77" t="str">
        <f t="shared" si="216"/>
        <v/>
      </c>
      <c r="JQG116" s="77" t="str">
        <f t="shared" si="216"/>
        <v/>
      </c>
      <c r="JQH116" s="77" t="str">
        <f t="shared" si="216"/>
        <v/>
      </c>
      <c r="JQI116" s="77" t="str">
        <f t="shared" si="216"/>
        <v/>
      </c>
      <c r="JQJ116" s="77" t="str">
        <f t="shared" si="216"/>
        <v/>
      </c>
      <c r="JQK116" s="77" t="str">
        <f t="shared" si="216"/>
        <v/>
      </c>
      <c r="JQL116" s="77" t="str">
        <f t="shared" si="216"/>
        <v/>
      </c>
      <c r="JQM116" s="77" t="str">
        <f t="shared" si="216"/>
        <v/>
      </c>
      <c r="JQN116" s="77" t="str">
        <f t="shared" si="216"/>
        <v/>
      </c>
      <c r="JQO116" s="77" t="str">
        <f t="shared" si="216"/>
        <v/>
      </c>
      <c r="JQP116" s="77" t="str">
        <f t="shared" si="216"/>
        <v/>
      </c>
      <c r="JQQ116" s="77" t="str">
        <f t="shared" si="216"/>
        <v/>
      </c>
      <c r="JQR116" s="77" t="str">
        <f t="shared" si="216"/>
        <v/>
      </c>
      <c r="JQS116" s="77" t="str">
        <f t="shared" si="216"/>
        <v/>
      </c>
      <c r="JQT116" s="77" t="str">
        <f t="shared" si="216"/>
        <v/>
      </c>
      <c r="JQU116" s="77" t="str">
        <f t="shared" si="216"/>
        <v/>
      </c>
      <c r="JQV116" s="77" t="str">
        <f t="shared" si="216"/>
        <v/>
      </c>
      <c r="JQW116" s="77" t="str">
        <f t="shared" si="216"/>
        <v/>
      </c>
      <c r="JQX116" s="77" t="str">
        <f t="shared" si="216"/>
        <v/>
      </c>
      <c r="JQY116" s="77" t="str">
        <f t="shared" si="216"/>
        <v/>
      </c>
      <c r="JQZ116" s="77" t="str">
        <f t="shared" si="216"/>
        <v/>
      </c>
      <c r="JRA116" s="77" t="str">
        <f t="shared" si="216"/>
        <v/>
      </c>
      <c r="JRB116" s="77" t="str">
        <f t="shared" si="216"/>
        <v/>
      </c>
      <c r="JRC116" s="77" t="str">
        <f t="shared" si="216"/>
        <v/>
      </c>
      <c r="JRD116" s="77" t="str">
        <f t="shared" si="216"/>
        <v/>
      </c>
      <c r="JRE116" s="77" t="str">
        <f t="shared" si="216"/>
        <v/>
      </c>
      <c r="JRF116" s="77" t="str">
        <f t="shared" si="216"/>
        <v/>
      </c>
      <c r="JRG116" s="77" t="str">
        <f t="shared" si="216"/>
        <v/>
      </c>
      <c r="JRH116" s="77" t="str">
        <f t="shared" si="216"/>
        <v/>
      </c>
      <c r="JRI116" s="77" t="str">
        <f t="shared" si="216"/>
        <v/>
      </c>
      <c r="JRJ116" s="77" t="str">
        <f t="shared" si="216"/>
        <v/>
      </c>
      <c r="JRK116" s="77" t="str">
        <f t="shared" si="216"/>
        <v/>
      </c>
      <c r="JRL116" s="77" t="str">
        <f t="shared" si="216"/>
        <v/>
      </c>
      <c r="JRM116" s="77" t="str">
        <f t="shared" si="216"/>
        <v/>
      </c>
      <c r="JRN116" s="77" t="str">
        <f t="shared" si="216"/>
        <v/>
      </c>
      <c r="JRO116" s="77" t="str">
        <f t="shared" si="216"/>
        <v/>
      </c>
      <c r="JRP116" s="77" t="str">
        <f t="shared" si="216"/>
        <v/>
      </c>
      <c r="JRQ116" s="77" t="str">
        <f t="shared" si="216"/>
        <v/>
      </c>
      <c r="JRR116" s="77" t="str">
        <f t="shared" si="216"/>
        <v/>
      </c>
      <c r="JRS116" s="77" t="str">
        <f t="shared" si="216"/>
        <v/>
      </c>
      <c r="JRT116" s="77" t="str">
        <f t="shared" si="216"/>
        <v/>
      </c>
      <c r="JRU116" s="77" t="str">
        <f t="shared" si="216"/>
        <v/>
      </c>
      <c r="JRV116" s="77" t="str">
        <f t="shared" si="216"/>
        <v/>
      </c>
      <c r="JRW116" s="77" t="str">
        <f t="shared" si="216"/>
        <v/>
      </c>
      <c r="JRX116" s="77" t="str">
        <f t="shared" si="216"/>
        <v/>
      </c>
      <c r="JRY116" s="77" t="str">
        <f t="shared" si="216"/>
        <v/>
      </c>
      <c r="JRZ116" s="77" t="str">
        <f t="shared" si="216"/>
        <v/>
      </c>
      <c r="JSA116" s="77" t="str">
        <f t="shared" si="216"/>
        <v/>
      </c>
      <c r="JSB116" s="77" t="str">
        <f t="shared" si="216"/>
        <v/>
      </c>
      <c r="JSC116" s="77" t="str">
        <f t="shared" si="216"/>
        <v/>
      </c>
      <c r="JSD116" s="77" t="str">
        <f t="shared" si="216"/>
        <v/>
      </c>
      <c r="JSE116" s="77" t="str">
        <f t="shared" si="216"/>
        <v/>
      </c>
      <c r="JSF116" s="77" t="str">
        <f t="shared" si="216"/>
        <v/>
      </c>
      <c r="JSG116" s="77" t="str">
        <f t="shared" si="216"/>
        <v/>
      </c>
      <c r="JSH116" s="77" t="str">
        <f t="shared" si="216"/>
        <v/>
      </c>
      <c r="JSI116" s="77" t="str">
        <f t="shared" si="216"/>
        <v/>
      </c>
      <c r="JSJ116" s="77" t="str">
        <f t="shared" si="216"/>
        <v/>
      </c>
      <c r="JSK116" s="77" t="str">
        <f t="shared" si="216"/>
        <v/>
      </c>
      <c r="JSL116" s="77" t="str">
        <f t="shared" si="216"/>
        <v/>
      </c>
      <c r="JSM116" s="77" t="str">
        <f t="shared" si="216"/>
        <v/>
      </c>
      <c r="JSN116" s="77" t="str">
        <f t="shared" si="216"/>
        <v/>
      </c>
      <c r="JSO116" s="77" t="str">
        <f t="shared" si="216"/>
        <v/>
      </c>
      <c r="JSP116" s="77" t="str">
        <f t="shared" si="216"/>
        <v/>
      </c>
      <c r="JSQ116" s="77" t="str">
        <f t="shared" ref="JSQ116:JVB116" si="217">IF(ISNUMBER(outYear),JSQ69+JSQ75+JSQ81+JSQ113,"")</f>
        <v/>
      </c>
      <c r="JSR116" s="77" t="str">
        <f t="shared" si="217"/>
        <v/>
      </c>
      <c r="JSS116" s="77" t="str">
        <f t="shared" si="217"/>
        <v/>
      </c>
      <c r="JST116" s="77" t="str">
        <f t="shared" si="217"/>
        <v/>
      </c>
      <c r="JSU116" s="77" t="str">
        <f t="shared" si="217"/>
        <v/>
      </c>
      <c r="JSV116" s="77" t="str">
        <f t="shared" si="217"/>
        <v/>
      </c>
      <c r="JSW116" s="77" t="str">
        <f t="shared" si="217"/>
        <v/>
      </c>
      <c r="JSX116" s="77" t="str">
        <f t="shared" si="217"/>
        <v/>
      </c>
      <c r="JSY116" s="77" t="str">
        <f t="shared" si="217"/>
        <v/>
      </c>
      <c r="JSZ116" s="77" t="str">
        <f t="shared" si="217"/>
        <v/>
      </c>
      <c r="JTA116" s="77" t="str">
        <f t="shared" si="217"/>
        <v/>
      </c>
      <c r="JTB116" s="77" t="str">
        <f t="shared" si="217"/>
        <v/>
      </c>
      <c r="JTC116" s="77" t="str">
        <f t="shared" si="217"/>
        <v/>
      </c>
      <c r="JTD116" s="77" t="str">
        <f t="shared" si="217"/>
        <v/>
      </c>
      <c r="JTE116" s="77" t="str">
        <f t="shared" si="217"/>
        <v/>
      </c>
      <c r="JTF116" s="77" t="str">
        <f t="shared" si="217"/>
        <v/>
      </c>
      <c r="JTG116" s="77" t="str">
        <f t="shared" si="217"/>
        <v/>
      </c>
      <c r="JTH116" s="77" t="str">
        <f t="shared" si="217"/>
        <v/>
      </c>
      <c r="JTI116" s="77" t="str">
        <f t="shared" si="217"/>
        <v/>
      </c>
      <c r="JTJ116" s="77" t="str">
        <f t="shared" si="217"/>
        <v/>
      </c>
      <c r="JTK116" s="77" t="str">
        <f t="shared" si="217"/>
        <v/>
      </c>
      <c r="JTL116" s="77" t="str">
        <f t="shared" si="217"/>
        <v/>
      </c>
      <c r="JTM116" s="77" t="str">
        <f t="shared" si="217"/>
        <v/>
      </c>
      <c r="JTN116" s="77" t="str">
        <f t="shared" si="217"/>
        <v/>
      </c>
      <c r="JTO116" s="77" t="str">
        <f t="shared" si="217"/>
        <v/>
      </c>
      <c r="JTP116" s="77" t="str">
        <f t="shared" si="217"/>
        <v/>
      </c>
      <c r="JTQ116" s="77" t="str">
        <f t="shared" si="217"/>
        <v/>
      </c>
      <c r="JTR116" s="77" t="str">
        <f t="shared" si="217"/>
        <v/>
      </c>
      <c r="JTS116" s="77" t="str">
        <f t="shared" si="217"/>
        <v/>
      </c>
      <c r="JTT116" s="77" t="str">
        <f t="shared" si="217"/>
        <v/>
      </c>
      <c r="JTU116" s="77" t="str">
        <f t="shared" si="217"/>
        <v/>
      </c>
      <c r="JTV116" s="77" t="str">
        <f t="shared" si="217"/>
        <v/>
      </c>
      <c r="JTW116" s="77" t="str">
        <f t="shared" si="217"/>
        <v/>
      </c>
      <c r="JTX116" s="77" t="str">
        <f t="shared" si="217"/>
        <v/>
      </c>
      <c r="JTY116" s="77" t="str">
        <f t="shared" si="217"/>
        <v/>
      </c>
      <c r="JTZ116" s="77" t="str">
        <f t="shared" si="217"/>
        <v/>
      </c>
      <c r="JUA116" s="77" t="str">
        <f t="shared" si="217"/>
        <v/>
      </c>
      <c r="JUB116" s="77" t="str">
        <f t="shared" si="217"/>
        <v/>
      </c>
      <c r="JUC116" s="77" t="str">
        <f t="shared" si="217"/>
        <v/>
      </c>
      <c r="JUD116" s="77" t="str">
        <f t="shared" si="217"/>
        <v/>
      </c>
      <c r="JUE116" s="77" t="str">
        <f t="shared" si="217"/>
        <v/>
      </c>
      <c r="JUF116" s="77" t="str">
        <f t="shared" si="217"/>
        <v/>
      </c>
      <c r="JUG116" s="77" t="str">
        <f t="shared" si="217"/>
        <v/>
      </c>
      <c r="JUH116" s="77" t="str">
        <f t="shared" si="217"/>
        <v/>
      </c>
      <c r="JUI116" s="77" t="str">
        <f t="shared" si="217"/>
        <v/>
      </c>
      <c r="JUJ116" s="77" t="str">
        <f t="shared" si="217"/>
        <v/>
      </c>
      <c r="JUK116" s="77" t="str">
        <f t="shared" si="217"/>
        <v/>
      </c>
      <c r="JUL116" s="77" t="str">
        <f t="shared" si="217"/>
        <v/>
      </c>
      <c r="JUM116" s="77" t="str">
        <f t="shared" si="217"/>
        <v/>
      </c>
      <c r="JUN116" s="77" t="str">
        <f t="shared" si="217"/>
        <v/>
      </c>
      <c r="JUO116" s="77" t="str">
        <f t="shared" si="217"/>
        <v/>
      </c>
      <c r="JUP116" s="77" t="str">
        <f t="shared" si="217"/>
        <v/>
      </c>
      <c r="JUQ116" s="77" t="str">
        <f t="shared" si="217"/>
        <v/>
      </c>
      <c r="JUR116" s="77" t="str">
        <f t="shared" si="217"/>
        <v/>
      </c>
      <c r="JUS116" s="77" t="str">
        <f t="shared" si="217"/>
        <v/>
      </c>
      <c r="JUT116" s="77" t="str">
        <f t="shared" si="217"/>
        <v/>
      </c>
      <c r="JUU116" s="77" t="str">
        <f t="shared" si="217"/>
        <v/>
      </c>
      <c r="JUV116" s="77" t="str">
        <f t="shared" si="217"/>
        <v/>
      </c>
      <c r="JUW116" s="77" t="str">
        <f t="shared" si="217"/>
        <v/>
      </c>
      <c r="JUX116" s="77" t="str">
        <f t="shared" si="217"/>
        <v/>
      </c>
      <c r="JUY116" s="77" t="str">
        <f t="shared" si="217"/>
        <v/>
      </c>
      <c r="JUZ116" s="77" t="str">
        <f t="shared" si="217"/>
        <v/>
      </c>
      <c r="JVA116" s="77" t="str">
        <f t="shared" si="217"/>
        <v/>
      </c>
      <c r="JVB116" s="77" t="str">
        <f t="shared" si="217"/>
        <v/>
      </c>
      <c r="JVC116" s="77" t="str">
        <f t="shared" ref="JVC116:JXN116" si="218">IF(ISNUMBER(outYear),JVC69+JVC75+JVC81+JVC113,"")</f>
        <v/>
      </c>
      <c r="JVD116" s="77" t="str">
        <f t="shared" si="218"/>
        <v/>
      </c>
      <c r="JVE116" s="77" t="str">
        <f t="shared" si="218"/>
        <v/>
      </c>
      <c r="JVF116" s="77" t="str">
        <f t="shared" si="218"/>
        <v/>
      </c>
      <c r="JVG116" s="77" t="str">
        <f t="shared" si="218"/>
        <v/>
      </c>
      <c r="JVH116" s="77" t="str">
        <f t="shared" si="218"/>
        <v/>
      </c>
      <c r="JVI116" s="77" t="str">
        <f t="shared" si="218"/>
        <v/>
      </c>
      <c r="JVJ116" s="77" t="str">
        <f t="shared" si="218"/>
        <v/>
      </c>
      <c r="JVK116" s="77" t="str">
        <f t="shared" si="218"/>
        <v/>
      </c>
      <c r="JVL116" s="77" t="str">
        <f t="shared" si="218"/>
        <v/>
      </c>
      <c r="JVM116" s="77" t="str">
        <f t="shared" si="218"/>
        <v/>
      </c>
      <c r="JVN116" s="77" t="str">
        <f t="shared" si="218"/>
        <v/>
      </c>
      <c r="JVO116" s="77" t="str">
        <f t="shared" si="218"/>
        <v/>
      </c>
      <c r="JVP116" s="77" t="str">
        <f t="shared" si="218"/>
        <v/>
      </c>
      <c r="JVQ116" s="77" t="str">
        <f t="shared" si="218"/>
        <v/>
      </c>
      <c r="JVR116" s="77" t="str">
        <f t="shared" si="218"/>
        <v/>
      </c>
      <c r="JVS116" s="77" t="str">
        <f t="shared" si="218"/>
        <v/>
      </c>
      <c r="JVT116" s="77" t="str">
        <f t="shared" si="218"/>
        <v/>
      </c>
      <c r="JVU116" s="77" t="str">
        <f t="shared" si="218"/>
        <v/>
      </c>
      <c r="JVV116" s="77" t="str">
        <f t="shared" si="218"/>
        <v/>
      </c>
      <c r="JVW116" s="77" t="str">
        <f t="shared" si="218"/>
        <v/>
      </c>
      <c r="JVX116" s="77" t="str">
        <f t="shared" si="218"/>
        <v/>
      </c>
      <c r="JVY116" s="77" t="str">
        <f t="shared" si="218"/>
        <v/>
      </c>
      <c r="JVZ116" s="77" t="str">
        <f t="shared" si="218"/>
        <v/>
      </c>
      <c r="JWA116" s="77" t="str">
        <f t="shared" si="218"/>
        <v/>
      </c>
      <c r="JWB116" s="77" t="str">
        <f t="shared" si="218"/>
        <v/>
      </c>
      <c r="JWC116" s="77" t="str">
        <f t="shared" si="218"/>
        <v/>
      </c>
      <c r="JWD116" s="77" t="str">
        <f t="shared" si="218"/>
        <v/>
      </c>
      <c r="JWE116" s="77" t="str">
        <f t="shared" si="218"/>
        <v/>
      </c>
      <c r="JWF116" s="77" t="str">
        <f t="shared" si="218"/>
        <v/>
      </c>
      <c r="JWG116" s="77" t="str">
        <f t="shared" si="218"/>
        <v/>
      </c>
      <c r="JWH116" s="77" t="str">
        <f t="shared" si="218"/>
        <v/>
      </c>
      <c r="JWI116" s="77" t="str">
        <f t="shared" si="218"/>
        <v/>
      </c>
      <c r="JWJ116" s="77" t="str">
        <f t="shared" si="218"/>
        <v/>
      </c>
      <c r="JWK116" s="77" t="str">
        <f t="shared" si="218"/>
        <v/>
      </c>
      <c r="JWL116" s="77" t="str">
        <f t="shared" si="218"/>
        <v/>
      </c>
      <c r="JWM116" s="77" t="str">
        <f t="shared" si="218"/>
        <v/>
      </c>
      <c r="JWN116" s="77" t="str">
        <f t="shared" si="218"/>
        <v/>
      </c>
      <c r="JWO116" s="77" t="str">
        <f t="shared" si="218"/>
        <v/>
      </c>
      <c r="JWP116" s="77" t="str">
        <f t="shared" si="218"/>
        <v/>
      </c>
      <c r="JWQ116" s="77" t="str">
        <f t="shared" si="218"/>
        <v/>
      </c>
      <c r="JWR116" s="77" t="str">
        <f t="shared" si="218"/>
        <v/>
      </c>
      <c r="JWS116" s="77" t="str">
        <f t="shared" si="218"/>
        <v/>
      </c>
      <c r="JWT116" s="77" t="str">
        <f t="shared" si="218"/>
        <v/>
      </c>
      <c r="JWU116" s="77" t="str">
        <f t="shared" si="218"/>
        <v/>
      </c>
      <c r="JWV116" s="77" t="str">
        <f t="shared" si="218"/>
        <v/>
      </c>
      <c r="JWW116" s="77" t="str">
        <f t="shared" si="218"/>
        <v/>
      </c>
      <c r="JWX116" s="77" t="str">
        <f t="shared" si="218"/>
        <v/>
      </c>
      <c r="JWY116" s="77" t="str">
        <f t="shared" si="218"/>
        <v/>
      </c>
      <c r="JWZ116" s="77" t="str">
        <f t="shared" si="218"/>
        <v/>
      </c>
      <c r="JXA116" s="77" t="str">
        <f t="shared" si="218"/>
        <v/>
      </c>
      <c r="JXB116" s="77" t="str">
        <f t="shared" si="218"/>
        <v/>
      </c>
      <c r="JXC116" s="77" t="str">
        <f t="shared" si="218"/>
        <v/>
      </c>
      <c r="JXD116" s="77" t="str">
        <f t="shared" si="218"/>
        <v/>
      </c>
      <c r="JXE116" s="77" t="str">
        <f t="shared" si="218"/>
        <v/>
      </c>
      <c r="JXF116" s="77" t="str">
        <f t="shared" si="218"/>
        <v/>
      </c>
      <c r="JXG116" s="77" t="str">
        <f t="shared" si="218"/>
        <v/>
      </c>
      <c r="JXH116" s="77" t="str">
        <f t="shared" si="218"/>
        <v/>
      </c>
      <c r="JXI116" s="77" t="str">
        <f t="shared" si="218"/>
        <v/>
      </c>
      <c r="JXJ116" s="77" t="str">
        <f t="shared" si="218"/>
        <v/>
      </c>
      <c r="JXK116" s="77" t="str">
        <f t="shared" si="218"/>
        <v/>
      </c>
      <c r="JXL116" s="77" t="str">
        <f t="shared" si="218"/>
        <v/>
      </c>
      <c r="JXM116" s="77" t="str">
        <f t="shared" si="218"/>
        <v/>
      </c>
      <c r="JXN116" s="77" t="str">
        <f t="shared" si="218"/>
        <v/>
      </c>
      <c r="JXO116" s="77" t="str">
        <f t="shared" ref="JXO116:JZZ116" si="219">IF(ISNUMBER(outYear),JXO69+JXO75+JXO81+JXO113,"")</f>
        <v/>
      </c>
      <c r="JXP116" s="77" t="str">
        <f t="shared" si="219"/>
        <v/>
      </c>
      <c r="JXQ116" s="77" t="str">
        <f t="shared" si="219"/>
        <v/>
      </c>
      <c r="JXR116" s="77" t="str">
        <f t="shared" si="219"/>
        <v/>
      </c>
      <c r="JXS116" s="77" t="str">
        <f t="shared" si="219"/>
        <v/>
      </c>
      <c r="JXT116" s="77" t="str">
        <f t="shared" si="219"/>
        <v/>
      </c>
      <c r="JXU116" s="77" t="str">
        <f t="shared" si="219"/>
        <v/>
      </c>
      <c r="JXV116" s="77" t="str">
        <f t="shared" si="219"/>
        <v/>
      </c>
      <c r="JXW116" s="77" t="str">
        <f t="shared" si="219"/>
        <v/>
      </c>
      <c r="JXX116" s="77" t="str">
        <f t="shared" si="219"/>
        <v/>
      </c>
      <c r="JXY116" s="77" t="str">
        <f t="shared" si="219"/>
        <v/>
      </c>
      <c r="JXZ116" s="77" t="str">
        <f t="shared" si="219"/>
        <v/>
      </c>
      <c r="JYA116" s="77" t="str">
        <f t="shared" si="219"/>
        <v/>
      </c>
      <c r="JYB116" s="77" t="str">
        <f t="shared" si="219"/>
        <v/>
      </c>
      <c r="JYC116" s="77" t="str">
        <f t="shared" si="219"/>
        <v/>
      </c>
      <c r="JYD116" s="77" t="str">
        <f t="shared" si="219"/>
        <v/>
      </c>
      <c r="JYE116" s="77" t="str">
        <f t="shared" si="219"/>
        <v/>
      </c>
      <c r="JYF116" s="77" t="str">
        <f t="shared" si="219"/>
        <v/>
      </c>
      <c r="JYG116" s="77" t="str">
        <f t="shared" si="219"/>
        <v/>
      </c>
      <c r="JYH116" s="77" t="str">
        <f t="shared" si="219"/>
        <v/>
      </c>
      <c r="JYI116" s="77" t="str">
        <f t="shared" si="219"/>
        <v/>
      </c>
      <c r="JYJ116" s="77" t="str">
        <f t="shared" si="219"/>
        <v/>
      </c>
      <c r="JYK116" s="77" t="str">
        <f t="shared" si="219"/>
        <v/>
      </c>
      <c r="JYL116" s="77" t="str">
        <f t="shared" si="219"/>
        <v/>
      </c>
      <c r="JYM116" s="77" t="str">
        <f t="shared" si="219"/>
        <v/>
      </c>
      <c r="JYN116" s="77" t="str">
        <f t="shared" si="219"/>
        <v/>
      </c>
      <c r="JYO116" s="77" t="str">
        <f t="shared" si="219"/>
        <v/>
      </c>
      <c r="JYP116" s="77" t="str">
        <f t="shared" si="219"/>
        <v/>
      </c>
      <c r="JYQ116" s="77" t="str">
        <f t="shared" si="219"/>
        <v/>
      </c>
      <c r="JYR116" s="77" t="str">
        <f t="shared" si="219"/>
        <v/>
      </c>
      <c r="JYS116" s="77" t="str">
        <f t="shared" si="219"/>
        <v/>
      </c>
      <c r="JYT116" s="77" t="str">
        <f t="shared" si="219"/>
        <v/>
      </c>
      <c r="JYU116" s="77" t="str">
        <f t="shared" si="219"/>
        <v/>
      </c>
      <c r="JYV116" s="77" t="str">
        <f t="shared" si="219"/>
        <v/>
      </c>
      <c r="JYW116" s="77" t="str">
        <f t="shared" si="219"/>
        <v/>
      </c>
      <c r="JYX116" s="77" t="str">
        <f t="shared" si="219"/>
        <v/>
      </c>
      <c r="JYY116" s="77" t="str">
        <f t="shared" si="219"/>
        <v/>
      </c>
      <c r="JYZ116" s="77" t="str">
        <f t="shared" si="219"/>
        <v/>
      </c>
      <c r="JZA116" s="77" t="str">
        <f t="shared" si="219"/>
        <v/>
      </c>
      <c r="JZB116" s="77" t="str">
        <f t="shared" si="219"/>
        <v/>
      </c>
      <c r="JZC116" s="77" t="str">
        <f t="shared" si="219"/>
        <v/>
      </c>
      <c r="JZD116" s="77" t="str">
        <f t="shared" si="219"/>
        <v/>
      </c>
      <c r="JZE116" s="77" t="str">
        <f t="shared" si="219"/>
        <v/>
      </c>
      <c r="JZF116" s="77" t="str">
        <f t="shared" si="219"/>
        <v/>
      </c>
      <c r="JZG116" s="77" t="str">
        <f t="shared" si="219"/>
        <v/>
      </c>
      <c r="JZH116" s="77" t="str">
        <f t="shared" si="219"/>
        <v/>
      </c>
      <c r="JZI116" s="77" t="str">
        <f t="shared" si="219"/>
        <v/>
      </c>
      <c r="JZJ116" s="77" t="str">
        <f t="shared" si="219"/>
        <v/>
      </c>
      <c r="JZK116" s="77" t="str">
        <f t="shared" si="219"/>
        <v/>
      </c>
      <c r="JZL116" s="77" t="str">
        <f t="shared" si="219"/>
        <v/>
      </c>
      <c r="JZM116" s="77" t="str">
        <f t="shared" si="219"/>
        <v/>
      </c>
      <c r="JZN116" s="77" t="str">
        <f t="shared" si="219"/>
        <v/>
      </c>
      <c r="JZO116" s="77" t="str">
        <f t="shared" si="219"/>
        <v/>
      </c>
      <c r="JZP116" s="77" t="str">
        <f t="shared" si="219"/>
        <v/>
      </c>
      <c r="JZQ116" s="77" t="str">
        <f t="shared" si="219"/>
        <v/>
      </c>
      <c r="JZR116" s="77" t="str">
        <f t="shared" si="219"/>
        <v/>
      </c>
      <c r="JZS116" s="77" t="str">
        <f t="shared" si="219"/>
        <v/>
      </c>
      <c r="JZT116" s="77" t="str">
        <f t="shared" si="219"/>
        <v/>
      </c>
      <c r="JZU116" s="77" t="str">
        <f t="shared" si="219"/>
        <v/>
      </c>
      <c r="JZV116" s="77" t="str">
        <f t="shared" si="219"/>
        <v/>
      </c>
      <c r="JZW116" s="77" t="str">
        <f t="shared" si="219"/>
        <v/>
      </c>
      <c r="JZX116" s="77" t="str">
        <f t="shared" si="219"/>
        <v/>
      </c>
      <c r="JZY116" s="77" t="str">
        <f t="shared" si="219"/>
        <v/>
      </c>
      <c r="JZZ116" s="77" t="str">
        <f t="shared" si="219"/>
        <v/>
      </c>
      <c r="KAA116" s="77" t="str">
        <f t="shared" ref="KAA116:KCL116" si="220">IF(ISNUMBER(outYear),KAA69+KAA75+KAA81+KAA113,"")</f>
        <v/>
      </c>
      <c r="KAB116" s="77" t="str">
        <f t="shared" si="220"/>
        <v/>
      </c>
      <c r="KAC116" s="77" t="str">
        <f t="shared" si="220"/>
        <v/>
      </c>
      <c r="KAD116" s="77" t="str">
        <f t="shared" si="220"/>
        <v/>
      </c>
      <c r="KAE116" s="77" t="str">
        <f t="shared" si="220"/>
        <v/>
      </c>
      <c r="KAF116" s="77" t="str">
        <f t="shared" si="220"/>
        <v/>
      </c>
      <c r="KAG116" s="77" t="str">
        <f t="shared" si="220"/>
        <v/>
      </c>
      <c r="KAH116" s="77" t="str">
        <f t="shared" si="220"/>
        <v/>
      </c>
      <c r="KAI116" s="77" t="str">
        <f t="shared" si="220"/>
        <v/>
      </c>
      <c r="KAJ116" s="77" t="str">
        <f t="shared" si="220"/>
        <v/>
      </c>
      <c r="KAK116" s="77" t="str">
        <f t="shared" si="220"/>
        <v/>
      </c>
      <c r="KAL116" s="77" t="str">
        <f t="shared" si="220"/>
        <v/>
      </c>
      <c r="KAM116" s="77" t="str">
        <f t="shared" si="220"/>
        <v/>
      </c>
      <c r="KAN116" s="77" t="str">
        <f t="shared" si="220"/>
        <v/>
      </c>
      <c r="KAO116" s="77" t="str">
        <f t="shared" si="220"/>
        <v/>
      </c>
      <c r="KAP116" s="77" t="str">
        <f t="shared" si="220"/>
        <v/>
      </c>
      <c r="KAQ116" s="77" t="str">
        <f t="shared" si="220"/>
        <v/>
      </c>
      <c r="KAR116" s="77" t="str">
        <f t="shared" si="220"/>
        <v/>
      </c>
      <c r="KAS116" s="77" t="str">
        <f t="shared" si="220"/>
        <v/>
      </c>
      <c r="KAT116" s="77" t="str">
        <f t="shared" si="220"/>
        <v/>
      </c>
      <c r="KAU116" s="77" t="str">
        <f t="shared" si="220"/>
        <v/>
      </c>
      <c r="KAV116" s="77" t="str">
        <f t="shared" si="220"/>
        <v/>
      </c>
      <c r="KAW116" s="77" t="str">
        <f t="shared" si="220"/>
        <v/>
      </c>
      <c r="KAX116" s="77" t="str">
        <f t="shared" si="220"/>
        <v/>
      </c>
      <c r="KAY116" s="77" t="str">
        <f t="shared" si="220"/>
        <v/>
      </c>
      <c r="KAZ116" s="77" t="str">
        <f t="shared" si="220"/>
        <v/>
      </c>
      <c r="KBA116" s="77" t="str">
        <f t="shared" si="220"/>
        <v/>
      </c>
      <c r="KBB116" s="77" t="str">
        <f t="shared" si="220"/>
        <v/>
      </c>
      <c r="KBC116" s="77" t="str">
        <f t="shared" si="220"/>
        <v/>
      </c>
      <c r="KBD116" s="77" t="str">
        <f t="shared" si="220"/>
        <v/>
      </c>
      <c r="KBE116" s="77" t="str">
        <f t="shared" si="220"/>
        <v/>
      </c>
      <c r="KBF116" s="77" t="str">
        <f t="shared" si="220"/>
        <v/>
      </c>
      <c r="KBG116" s="77" t="str">
        <f t="shared" si="220"/>
        <v/>
      </c>
      <c r="KBH116" s="77" t="str">
        <f t="shared" si="220"/>
        <v/>
      </c>
      <c r="KBI116" s="77" t="str">
        <f t="shared" si="220"/>
        <v/>
      </c>
      <c r="KBJ116" s="77" t="str">
        <f t="shared" si="220"/>
        <v/>
      </c>
      <c r="KBK116" s="77" t="str">
        <f t="shared" si="220"/>
        <v/>
      </c>
      <c r="KBL116" s="77" t="str">
        <f t="shared" si="220"/>
        <v/>
      </c>
      <c r="KBM116" s="77" t="str">
        <f t="shared" si="220"/>
        <v/>
      </c>
      <c r="KBN116" s="77" t="str">
        <f t="shared" si="220"/>
        <v/>
      </c>
      <c r="KBO116" s="77" t="str">
        <f t="shared" si="220"/>
        <v/>
      </c>
      <c r="KBP116" s="77" t="str">
        <f t="shared" si="220"/>
        <v/>
      </c>
      <c r="KBQ116" s="77" t="str">
        <f t="shared" si="220"/>
        <v/>
      </c>
      <c r="KBR116" s="77" t="str">
        <f t="shared" si="220"/>
        <v/>
      </c>
      <c r="KBS116" s="77" t="str">
        <f t="shared" si="220"/>
        <v/>
      </c>
      <c r="KBT116" s="77" t="str">
        <f t="shared" si="220"/>
        <v/>
      </c>
      <c r="KBU116" s="77" t="str">
        <f t="shared" si="220"/>
        <v/>
      </c>
      <c r="KBV116" s="77" t="str">
        <f t="shared" si="220"/>
        <v/>
      </c>
      <c r="KBW116" s="77" t="str">
        <f t="shared" si="220"/>
        <v/>
      </c>
      <c r="KBX116" s="77" t="str">
        <f t="shared" si="220"/>
        <v/>
      </c>
      <c r="KBY116" s="77" t="str">
        <f t="shared" si="220"/>
        <v/>
      </c>
      <c r="KBZ116" s="77" t="str">
        <f t="shared" si="220"/>
        <v/>
      </c>
      <c r="KCA116" s="77" t="str">
        <f t="shared" si="220"/>
        <v/>
      </c>
      <c r="KCB116" s="77" t="str">
        <f t="shared" si="220"/>
        <v/>
      </c>
      <c r="KCC116" s="77" t="str">
        <f t="shared" si="220"/>
        <v/>
      </c>
      <c r="KCD116" s="77" t="str">
        <f t="shared" si="220"/>
        <v/>
      </c>
      <c r="KCE116" s="77" t="str">
        <f t="shared" si="220"/>
        <v/>
      </c>
      <c r="KCF116" s="77" t="str">
        <f t="shared" si="220"/>
        <v/>
      </c>
      <c r="KCG116" s="77" t="str">
        <f t="shared" si="220"/>
        <v/>
      </c>
      <c r="KCH116" s="77" t="str">
        <f t="shared" si="220"/>
        <v/>
      </c>
      <c r="KCI116" s="77" t="str">
        <f t="shared" si="220"/>
        <v/>
      </c>
      <c r="KCJ116" s="77" t="str">
        <f t="shared" si="220"/>
        <v/>
      </c>
      <c r="KCK116" s="77" t="str">
        <f t="shared" si="220"/>
        <v/>
      </c>
      <c r="KCL116" s="77" t="str">
        <f t="shared" si="220"/>
        <v/>
      </c>
      <c r="KCM116" s="77" t="str">
        <f t="shared" ref="KCM116:KEX116" si="221">IF(ISNUMBER(outYear),KCM69+KCM75+KCM81+KCM113,"")</f>
        <v/>
      </c>
      <c r="KCN116" s="77" t="str">
        <f t="shared" si="221"/>
        <v/>
      </c>
      <c r="KCO116" s="77" t="str">
        <f t="shared" si="221"/>
        <v/>
      </c>
      <c r="KCP116" s="77" t="str">
        <f t="shared" si="221"/>
        <v/>
      </c>
      <c r="KCQ116" s="77" t="str">
        <f t="shared" si="221"/>
        <v/>
      </c>
      <c r="KCR116" s="77" t="str">
        <f t="shared" si="221"/>
        <v/>
      </c>
      <c r="KCS116" s="77" t="str">
        <f t="shared" si="221"/>
        <v/>
      </c>
      <c r="KCT116" s="77" t="str">
        <f t="shared" si="221"/>
        <v/>
      </c>
      <c r="KCU116" s="77" t="str">
        <f t="shared" si="221"/>
        <v/>
      </c>
      <c r="KCV116" s="77" t="str">
        <f t="shared" si="221"/>
        <v/>
      </c>
      <c r="KCW116" s="77" t="str">
        <f t="shared" si="221"/>
        <v/>
      </c>
      <c r="KCX116" s="77" t="str">
        <f t="shared" si="221"/>
        <v/>
      </c>
      <c r="KCY116" s="77" t="str">
        <f t="shared" si="221"/>
        <v/>
      </c>
      <c r="KCZ116" s="77" t="str">
        <f t="shared" si="221"/>
        <v/>
      </c>
      <c r="KDA116" s="77" t="str">
        <f t="shared" si="221"/>
        <v/>
      </c>
      <c r="KDB116" s="77" t="str">
        <f t="shared" si="221"/>
        <v/>
      </c>
      <c r="KDC116" s="77" t="str">
        <f t="shared" si="221"/>
        <v/>
      </c>
      <c r="KDD116" s="77" t="str">
        <f t="shared" si="221"/>
        <v/>
      </c>
      <c r="KDE116" s="77" t="str">
        <f t="shared" si="221"/>
        <v/>
      </c>
      <c r="KDF116" s="77" t="str">
        <f t="shared" si="221"/>
        <v/>
      </c>
      <c r="KDG116" s="77" t="str">
        <f t="shared" si="221"/>
        <v/>
      </c>
      <c r="KDH116" s="77" t="str">
        <f t="shared" si="221"/>
        <v/>
      </c>
      <c r="KDI116" s="77" t="str">
        <f t="shared" si="221"/>
        <v/>
      </c>
      <c r="KDJ116" s="77" t="str">
        <f t="shared" si="221"/>
        <v/>
      </c>
      <c r="KDK116" s="77" t="str">
        <f t="shared" si="221"/>
        <v/>
      </c>
      <c r="KDL116" s="77" t="str">
        <f t="shared" si="221"/>
        <v/>
      </c>
      <c r="KDM116" s="77" t="str">
        <f t="shared" si="221"/>
        <v/>
      </c>
      <c r="KDN116" s="77" t="str">
        <f t="shared" si="221"/>
        <v/>
      </c>
      <c r="KDO116" s="77" t="str">
        <f t="shared" si="221"/>
        <v/>
      </c>
      <c r="KDP116" s="77" t="str">
        <f t="shared" si="221"/>
        <v/>
      </c>
      <c r="KDQ116" s="77" t="str">
        <f t="shared" si="221"/>
        <v/>
      </c>
      <c r="KDR116" s="77" t="str">
        <f t="shared" si="221"/>
        <v/>
      </c>
      <c r="KDS116" s="77" t="str">
        <f t="shared" si="221"/>
        <v/>
      </c>
      <c r="KDT116" s="77" t="str">
        <f t="shared" si="221"/>
        <v/>
      </c>
      <c r="KDU116" s="77" t="str">
        <f t="shared" si="221"/>
        <v/>
      </c>
      <c r="KDV116" s="77" t="str">
        <f t="shared" si="221"/>
        <v/>
      </c>
      <c r="KDW116" s="77" t="str">
        <f t="shared" si="221"/>
        <v/>
      </c>
      <c r="KDX116" s="77" t="str">
        <f t="shared" si="221"/>
        <v/>
      </c>
      <c r="KDY116" s="77" t="str">
        <f t="shared" si="221"/>
        <v/>
      </c>
      <c r="KDZ116" s="77" t="str">
        <f t="shared" si="221"/>
        <v/>
      </c>
      <c r="KEA116" s="77" t="str">
        <f t="shared" si="221"/>
        <v/>
      </c>
      <c r="KEB116" s="77" t="str">
        <f t="shared" si="221"/>
        <v/>
      </c>
      <c r="KEC116" s="77" t="str">
        <f t="shared" si="221"/>
        <v/>
      </c>
      <c r="KED116" s="77" t="str">
        <f t="shared" si="221"/>
        <v/>
      </c>
      <c r="KEE116" s="77" t="str">
        <f t="shared" si="221"/>
        <v/>
      </c>
      <c r="KEF116" s="77" t="str">
        <f t="shared" si="221"/>
        <v/>
      </c>
      <c r="KEG116" s="77" t="str">
        <f t="shared" si="221"/>
        <v/>
      </c>
      <c r="KEH116" s="77" t="str">
        <f t="shared" si="221"/>
        <v/>
      </c>
      <c r="KEI116" s="77" t="str">
        <f t="shared" si="221"/>
        <v/>
      </c>
      <c r="KEJ116" s="77" t="str">
        <f t="shared" si="221"/>
        <v/>
      </c>
      <c r="KEK116" s="77" t="str">
        <f t="shared" si="221"/>
        <v/>
      </c>
      <c r="KEL116" s="77" t="str">
        <f t="shared" si="221"/>
        <v/>
      </c>
      <c r="KEM116" s="77" t="str">
        <f t="shared" si="221"/>
        <v/>
      </c>
      <c r="KEN116" s="77" t="str">
        <f t="shared" si="221"/>
        <v/>
      </c>
      <c r="KEO116" s="77" t="str">
        <f t="shared" si="221"/>
        <v/>
      </c>
      <c r="KEP116" s="77" t="str">
        <f t="shared" si="221"/>
        <v/>
      </c>
      <c r="KEQ116" s="77" t="str">
        <f t="shared" si="221"/>
        <v/>
      </c>
      <c r="KER116" s="77" t="str">
        <f t="shared" si="221"/>
        <v/>
      </c>
      <c r="KES116" s="77" t="str">
        <f t="shared" si="221"/>
        <v/>
      </c>
      <c r="KET116" s="77" t="str">
        <f t="shared" si="221"/>
        <v/>
      </c>
      <c r="KEU116" s="77" t="str">
        <f t="shared" si="221"/>
        <v/>
      </c>
      <c r="KEV116" s="77" t="str">
        <f t="shared" si="221"/>
        <v/>
      </c>
      <c r="KEW116" s="77" t="str">
        <f t="shared" si="221"/>
        <v/>
      </c>
      <c r="KEX116" s="77" t="str">
        <f t="shared" si="221"/>
        <v/>
      </c>
      <c r="KEY116" s="77" t="str">
        <f t="shared" ref="KEY116:KHJ116" si="222">IF(ISNUMBER(outYear),KEY69+KEY75+KEY81+KEY113,"")</f>
        <v/>
      </c>
      <c r="KEZ116" s="77" t="str">
        <f t="shared" si="222"/>
        <v/>
      </c>
      <c r="KFA116" s="77" t="str">
        <f t="shared" si="222"/>
        <v/>
      </c>
      <c r="KFB116" s="77" t="str">
        <f t="shared" si="222"/>
        <v/>
      </c>
      <c r="KFC116" s="77" t="str">
        <f t="shared" si="222"/>
        <v/>
      </c>
      <c r="KFD116" s="77" t="str">
        <f t="shared" si="222"/>
        <v/>
      </c>
      <c r="KFE116" s="77" t="str">
        <f t="shared" si="222"/>
        <v/>
      </c>
      <c r="KFF116" s="77" t="str">
        <f t="shared" si="222"/>
        <v/>
      </c>
      <c r="KFG116" s="77" t="str">
        <f t="shared" si="222"/>
        <v/>
      </c>
      <c r="KFH116" s="77" t="str">
        <f t="shared" si="222"/>
        <v/>
      </c>
      <c r="KFI116" s="77" t="str">
        <f t="shared" si="222"/>
        <v/>
      </c>
      <c r="KFJ116" s="77" t="str">
        <f t="shared" si="222"/>
        <v/>
      </c>
      <c r="KFK116" s="77" t="str">
        <f t="shared" si="222"/>
        <v/>
      </c>
      <c r="KFL116" s="77" t="str">
        <f t="shared" si="222"/>
        <v/>
      </c>
      <c r="KFM116" s="77" t="str">
        <f t="shared" si="222"/>
        <v/>
      </c>
      <c r="KFN116" s="77" t="str">
        <f t="shared" si="222"/>
        <v/>
      </c>
      <c r="KFO116" s="77" t="str">
        <f t="shared" si="222"/>
        <v/>
      </c>
      <c r="KFP116" s="77" t="str">
        <f t="shared" si="222"/>
        <v/>
      </c>
      <c r="KFQ116" s="77" t="str">
        <f t="shared" si="222"/>
        <v/>
      </c>
      <c r="KFR116" s="77" t="str">
        <f t="shared" si="222"/>
        <v/>
      </c>
      <c r="KFS116" s="77" t="str">
        <f t="shared" si="222"/>
        <v/>
      </c>
      <c r="KFT116" s="77" t="str">
        <f t="shared" si="222"/>
        <v/>
      </c>
      <c r="KFU116" s="77" t="str">
        <f t="shared" si="222"/>
        <v/>
      </c>
      <c r="KFV116" s="77" t="str">
        <f t="shared" si="222"/>
        <v/>
      </c>
      <c r="KFW116" s="77" t="str">
        <f t="shared" si="222"/>
        <v/>
      </c>
      <c r="KFX116" s="77" t="str">
        <f t="shared" si="222"/>
        <v/>
      </c>
      <c r="KFY116" s="77" t="str">
        <f t="shared" si="222"/>
        <v/>
      </c>
      <c r="KFZ116" s="77" t="str">
        <f t="shared" si="222"/>
        <v/>
      </c>
      <c r="KGA116" s="77" t="str">
        <f t="shared" si="222"/>
        <v/>
      </c>
      <c r="KGB116" s="77" t="str">
        <f t="shared" si="222"/>
        <v/>
      </c>
      <c r="KGC116" s="77" t="str">
        <f t="shared" si="222"/>
        <v/>
      </c>
      <c r="KGD116" s="77" t="str">
        <f t="shared" si="222"/>
        <v/>
      </c>
      <c r="KGE116" s="77" t="str">
        <f t="shared" si="222"/>
        <v/>
      </c>
      <c r="KGF116" s="77" t="str">
        <f t="shared" si="222"/>
        <v/>
      </c>
      <c r="KGG116" s="77" t="str">
        <f t="shared" si="222"/>
        <v/>
      </c>
      <c r="KGH116" s="77" t="str">
        <f t="shared" si="222"/>
        <v/>
      </c>
      <c r="KGI116" s="77" t="str">
        <f t="shared" si="222"/>
        <v/>
      </c>
      <c r="KGJ116" s="77" t="str">
        <f t="shared" si="222"/>
        <v/>
      </c>
      <c r="KGK116" s="77" t="str">
        <f t="shared" si="222"/>
        <v/>
      </c>
      <c r="KGL116" s="77" t="str">
        <f t="shared" si="222"/>
        <v/>
      </c>
      <c r="KGM116" s="77" t="str">
        <f t="shared" si="222"/>
        <v/>
      </c>
      <c r="KGN116" s="77" t="str">
        <f t="shared" si="222"/>
        <v/>
      </c>
      <c r="KGO116" s="77" t="str">
        <f t="shared" si="222"/>
        <v/>
      </c>
      <c r="KGP116" s="77" t="str">
        <f t="shared" si="222"/>
        <v/>
      </c>
      <c r="KGQ116" s="77" t="str">
        <f t="shared" si="222"/>
        <v/>
      </c>
      <c r="KGR116" s="77" t="str">
        <f t="shared" si="222"/>
        <v/>
      </c>
      <c r="KGS116" s="77" t="str">
        <f t="shared" si="222"/>
        <v/>
      </c>
      <c r="KGT116" s="77" t="str">
        <f t="shared" si="222"/>
        <v/>
      </c>
      <c r="KGU116" s="77" t="str">
        <f t="shared" si="222"/>
        <v/>
      </c>
      <c r="KGV116" s="77" t="str">
        <f t="shared" si="222"/>
        <v/>
      </c>
      <c r="KGW116" s="77" t="str">
        <f t="shared" si="222"/>
        <v/>
      </c>
      <c r="KGX116" s="77" t="str">
        <f t="shared" si="222"/>
        <v/>
      </c>
      <c r="KGY116" s="77" t="str">
        <f t="shared" si="222"/>
        <v/>
      </c>
      <c r="KGZ116" s="77" t="str">
        <f t="shared" si="222"/>
        <v/>
      </c>
      <c r="KHA116" s="77" t="str">
        <f t="shared" si="222"/>
        <v/>
      </c>
      <c r="KHB116" s="77" t="str">
        <f t="shared" si="222"/>
        <v/>
      </c>
      <c r="KHC116" s="77" t="str">
        <f t="shared" si="222"/>
        <v/>
      </c>
      <c r="KHD116" s="77" t="str">
        <f t="shared" si="222"/>
        <v/>
      </c>
      <c r="KHE116" s="77" t="str">
        <f t="shared" si="222"/>
        <v/>
      </c>
      <c r="KHF116" s="77" t="str">
        <f t="shared" si="222"/>
        <v/>
      </c>
      <c r="KHG116" s="77" t="str">
        <f t="shared" si="222"/>
        <v/>
      </c>
      <c r="KHH116" s="77" t="str">
        <f t="shared" si="222"/>
        <v/>
      </c>
      <c r="KHI116" s="77" t="str">
        <f t="shared" si="222"/>
        <v/>
      </c>
      <c r="KHJ116" s="77" t="str">
        <f t="shared" si="222"/>
        <v/>
      </c>
      <c r="KHK116" s="77" t="str">
        <f t="shared" ref="KHK116:KJV116" si="223">IF(ISNUMBER(outYear),KHK69+KHK75+KHK81+KHK113,"")</f>
        <v/>
      </c>
      <c r="KHL116" s="77" t="str">
        <f t="shared" si="223"/>
        <v/>
      </c>
      <c r="KHM116" s="77" t="str">
        <f t="shared" si="223"/>
        <v/>
      </c>
      <c r="KHN116" s="77" t="str">
        <f t="shared" si="223"/>
        <v/>
      </c>
      <c r="KHO116" s="77" t="str">
        <f t="shared" si="223"/>
        <v/>
      </c>
      <c r="KHP116" s="77" t="str">
        <f t="shared" si="223"/>
        <v/>
      </c>
      <c r="KHQ116" s="77" t="str">
        <f t="shared" si="223"/>
        <v/>
      </c>
      <c r="KHR116" s="77" t="str">
        <f t="shared" si="223"/>
        <v/>
      </c>
      <c r="KHS116" s="77" t="str">
        <f t="shared" si="223"/>
        <v/>
      </c>
      <c r="KHT116" s="77" t="str">
        <f t="shared" si="223"/>
        <v/>
      </c>
      <c r="KHU116" s="77" t="str">
        <f t="shared" si="223"/>
        <v/>
      </c>
      <c r="KHV116" s="77" t="str">
        <f t="shared" si="223"/>
        <v/>
      </c>
      <c r="KHW116" s="77" t="str">
        <f t="shared" si="223"/>
        <v/>
      </c>
      <c r="KHX116" s="77" t="str">
        <f t="shared" si="223"/>
        <v/>
      </c>
      <c r="KHY116" s="77" t="str">
        <f t="shared" si="223"/>
        <v/>
      </c>
      <c r="KHZ116" s="77" t="str">
        <f t="shared" si="223"/>
        <v/>
      </c>
      <c r="KIA116" s="77" t="str">
        <f t="shared" si="223"/>
        <v/>
      </c>
      <c r="KIB116" s="77" t="str">
        <f t="shared" si="223"/>
        <v/>
      </c>
      <c r="KIC116" s="77" t="str">
        <f t="shared" si="223"/>
        <v/>
      </c>
      <c r="KID116" s="77" t="str">
        <f t="shared" si="223"/>
        <v/>
      </c>
      <c r="KIE116" s="77" t="str">
        <f t="shared" si="223"/>
        <v/>
      </c>
      <c r="KIF116" s="77" t="str">
        <f t="shared" si="223"/>
        <v/>
      </c>
      <c r="KIG116" s="77" t="str">
        <f t="shared" si="223"/>
        <v/>
      </c>
      <c r="KIH116" s="77" t="str">
        <f t="shared" si="223"/>
        <v/>
      </c>
      <c r="KII116" s="77" t="str">
        <f t="shared" si="223"/>
        <v/>
      </c>
      <c r="KIJ116" s="77" t="str">
        <f t="shared" si="223"/>
        <v/>
      </c>
      <c r="KIK116" s="77" t="str">
        <f t="shared" si="223"/>
        <v/>
      </c>
      <c r="KIL116" s="77" t="str">
        <f t="shared" si="223"/>
        <v/>
      </c>
      <c r="KIM116" s="77" t="str">
        <f t="shared" si="223"/>
        <v/>
      </c>
      <c r="KIN116" s="77" t="str">
        <f t="shared" si="223"/>
        <v/>
      </c>
      <c r="KIO116" s="77" t="str">
        <f t="shared" si="223"/>
        <v/>
      </c>
      <c r="KIP116" s="77" t="str">
        <f t="shared" si="223"/>
        <v/>
      </c>
      <c r="KIQ116" s="77" t="str">
        <f t="shared" si="223"/>
        <v/>
      </c>
      <c r="KIR116" s="77" t="str">
        <f t="shared" si="223"/>
        <v/>
      </c>
      <c r="KIS116" s="77" t="str">
        <f t="shared" si="223"/>
        <v/>
      </c>
      <c r="KIT116" s="77" t="str">
        <f t="shared" si="223"/>
        <v/>
      </c>
      <c r="KIU116" s="77" t="str">
        <f t="shared" si="223"/>
        <v/>
      </c>
      <c r="KIV116" s="77" t="str">
        <f t="shared" si="223"/>
        <v/>
      </c>
      <c r="KIW116" s="77" t="str">
        <f t="shared" si="223"/>
        <v/>
      </c>
      <c r="KIX116" s="77" t="str">
        <f t="shared" si="223"/>
        <v/>
      </c>
      <c r="KIY116" s="77" t="str">
        <f t="shared" si="223"/>
        <v/>
      </c>
      <c r="KIZ116" s="77" t="str">
        <f t="shared" si="223"/>
        <v/>
      </c>
      <c r="KJA116" s="77" t="str">
        <f t="shared" si="223"/>
        <v/>
      </c>
      <c r="KJB116" s="77" t="str">
        <f t="shared" si="223"/>
        <v/>
      </c>
      <c r="KJC116" s="77" t="str">
        <f t="shared" si="223"/>
        <v/>
      </c>
      <c r="KJD116" s="77" t="str">
        <f t="shared" si="223"/>
        <v/>
      </c>
      <c r="KJE116" s="77" t="str">
        <f t="shared" si="223"/>
        <v/>
      </c>
      <c r="KJF116" s="77" t="str">
        <f t="shared" si="223"/>
        <v/>
      </c>
      <c r="KJG116" s="77" t="str">
        <f t="shared" si="223"/>
        <v/>
      </c>
      <c r="KJH116" s="77" t="str">
        <f t="shared" si="223"/>
        <v/>
      </c>
      <c r="KJI116" s="77" t="str">
        <f t="shared" si="223"/>
        <v/>
      </c>
      <c r="KJJ116" s="77" t="str">
        <f t="shared" si="223"/>
        <v/>
      </c>
      <c r="KJK116" s="77" t="str">
        <f t="shared" si="223"/>
        <v/>
      </c>
      <c r="KJL116" s="77" t="str">
        <f t="shared" si="223"/>
        <v/>
      </c>
      <c r="KJM116" s="77" t="str">
        <f t="shared" si="223"/>
        <v/>
      </c>
      <c r="KJN116" s="77" t="str">
        <f t="shared" si="223"/>
        <v/>
      </c>
      <c r="KJO116" s="77" t="str">
        <f t="shared" si="223"/>
        <v/>
      </c>
      <c r="KJP116" s="77" t="str">
        <f t="shared" si="223"/>
        <v/>
      </c>
      <c r="KJQ116" s="77" t="str">
        <f t="shared" si="223"/>
        <v/>
      </c>
      <c r="KJR116" s="77" t="str">
        <f t="shared" si="223"/>
        <v/>
      </c>
      <c r="KJS116" s="77" t="str">
        <f t="shared" si="223"/>
        <v/>
      </c>
      <c r="KJT116" s="77" t="str">
        <f t="shared" si="223"/>
        <v/>
      </c>
      <c r="KJU116" s="77" t="str">
        <f t="shared" si="223"/>
        <v/>
      </c>
      <c r="KJV116" s="77" t="str">
        <f t="shared" si="223"/>
        <v/>
      </c>
      <c r="KJW116" s="77" t="str">
        <f t="shared" ref="KJW116:KMH116" si="224">IF(ISNUMBER(outYear),KJW69+KJW75+KJW81+KJW113,"")</f>
        <v/>
      </c>
      <c r="KJX116" s="77" t="str">
        <f t="shared" si="224"/>
        <v/>
      </c>
      <c r="KJY116" s="77" t="str">
        <f t="shared" si="224"/>
        <v/>
      </c>
      <c r="KJZ116" s="77" t="str">
        <f t="shared" si="224"/>
        <v/>
      </c>
      <c r="KKA116" s="77" t="str">
        <f t="shared" si="224"/>
        <v/>
      </c>
      <c r="KKB116" s="77" t="str">
        <f t="shared" si="224"/>
        <v/>
      </c>
      <c r="KKC116" s="77" t="str">
        <f t="shared" si="224"/>
        <v/>
      </c>
      <c r="KKD116" s="77" t="str">
        <f t="shared" si="224"/>
        <v/>
      </c>
      <c r="KKE116" s="77" t="str">
        <f t="shared" si="224"/>
        <v/>
      </c>
      <c r="KKF116" s="77" t="str">
        <f t="shared" si="224"/>
        <v/>
      </c>
      <c r="KKG116" s="77" t="str">
        <f t="shared" si="224"/>
        <v/>
      </c>
      <c r="KKH116" s="77" t="str">
        <f t="shared" si="224"/>
        <v/>
      </c>
      <c r="KKI116" s="77" t="str">
        <f t="shared" si="224"/>
        <v/>
      </c>
      <c r="KKJ116" s="77" t="str">
        <f t="shared" si="224"/>
        <v/>
      </c>
      <c r="KKK116" s="77" t="str">
        <f t="shared" si="224"/>
        <v/>
      </c>
      <c r="KKL116" s="77" t="str">
        <f t="shared" si="224"/>
        <v/>
      </c>
      <c r="KKM116" s="77" t="str">
        <f t="shared" si="224"/>
        <v/>
      </c>
      <c r="KKN116" s="77" t="str">
        <f t="shared" si="224"/>
        <v/>
      </c>
      <c r="KKO116" s="77" t="str">
        <f t="shared" si="224"/>
        <v/>
      </c>
      <c r="KKP116" s="77" t="str">
        <f t="shared" si="224"/>
        <v/>
      </c>
      <c r="KKQ116" s="77" t="str">
        <f t="shared" si="224"/>
        <v/>
      </c>
      <c r="KKR116" s="77" t="str">
        <f t="shared" si="224"/>
        <v/>
      </c>
      <c r="KKS116" s="77" t="str">
        <f t="shared" si="224"/>
        <v/>
      </c>
      <c r="KKT116" s="77" t="str">
        <f t="shared" si="224"/>
        <v/>
      </c>
      <c r="KKU116" s="77" t="str">
        <f t="shared" si="224"/>
        <v/>
      </c>
      <c r="KKV116" s="77" t="str">
        <f t="shared" si="224"/>
        <v/>
      </c>
      <c r="KKW116" s="77" t="str">
        <f t="shared" si="224"/>
        <v/>
      </c>
      <c r="KKX116" s="77" t="str">
        <f t="shared" si="224"/>
        <v/>
      </c>
      <c r="KKY116" s="77" t="str">
        <f t="shared" si="224"/>
        <v/>
      </c>
      <c r="KKZ116" s="77" t="str">
        <f t="shared" si="224"/>
        <v/>
      </c>
      <c r="KLA116" s="77" t="str">
        <f t="shared" si="224"/>
        <v/>
      </c>
      <c r="KLB116" s="77" t="str">
        <f t="shared" si="224"/>
        <v/>
      </c>
      <c r="KLC116" s="77" t="str">
        <f t="shared" si="224"/>
        <v/>
      </c>
      <c r="KLD116" s="77" t="str">
        <f t="shared" si="224"/>
        <v/>
      </c>
      <c r="KLE116" s="77" t="str">
        <f t="shared" si="224"/>
        <v/>
      </c>
      <c r="KLF116" s="77" t="str">
        <f t="shared" si="224"/>
        <v/>
      </c>
      <c r="KLG116" s="77" t="str">
        <f t="shared" si="224"/>
        <v/>
      </c>
      <c r="KLH116" s="77" t="str">
        <f t="shared" si="224"/>
        <v/>
      </c>
      <c r="KLI116" s="77" t="str">
        <f t="shared" si="224"/>
        <v/>
      </c>
      <c r="KLJ116" s="77" t="str">
        <f t="shared" si="224"/>
        <v/>
      </c>
      <c r="KLK116" s="77" t="str">
        <f t="shared" si="224"/>
        <v/>
      </c>
      <c r="KLL116" s="77" t="str">
        <f t="shared" si="224"/>
        <v/>
      </c>
      <c r="KLM116" s="77" t="str">
        <f t="shared" si="224"/>
        <v/>
      </c>
      <c r="KLN116" s="77" t="str">
        <f t="shared" si="224"/>
        <v/>
      </c>
      <c r="KLO116" s="77" t="str">
        <f t="shared" si="224"/>
        <v/>
      </c>
      <c r="KLP116" s="77" t="str">
        <f t="shared" si="224"/>
        <v/>
      </c>
      <c r="KLQ116" s="77" t="str">
        <f t="shared" si="224"/>
        <v/>
      </c>
      <c r="KLR116" s="77" t="str">
        <f t="shared" si="224"/>
        <v/>
      </c>
      <c r="KLS116" s="77" t="str">
        <f t="shared" si="224"/>
        <v/>
      </c>
      <c r="KLT116" s="77" t="str">
        <f t="shared" si="224"/>
        <v/>
      </c>
      <c r="KLU116" s="77" t="str">
        <f t="shared" si="224"/>
        <v/>
      </c>
      <c r="KLV116" s="77" t="str">
        <f t="shared" si="224"/>
        <v/>
      </c>
      <c r="KLW116" s="77" t="str">
        <f t="shared" si="224"/>
        <v/>
      </c>
      <c r="KLX116" s="77" t="str">
        <f t="shared" si="224"/>
        <v/>
      </c>
      <c r="KLY116" s="77" t="str">
        <f t="shared" si="224"/>
        <v/>
      </c>
      <c r="KLZ116" s="77" t="str">
        <f t="shared" si="224"/>
        <v/>
      </c>
      <c r="KMA116" s="77" t="str">
        <f t="shared" si="224"/>
        <v/>
      </c>
      <c r="KMB116" s="77" t="str">
        <f t="shared" si="224"/>
        <v/>
      </c>
      <c r="KMC116" s="77" t="str">
        <f t="shared" si="224"/>
        <v/>
      </c>
      <c r="KMD116" s="77" t="str">
        <f t="shared" si="224"/>
        <v/>
      </c>
      <c r="KME116" s="77" t="str">
        <f t="shared" si="224"/>
        <v/>
      </c>
      <c r="KMF116" s="77" t="str">
        <f t="shared" si="224"/>
        <v/>
      </c>
      <c r="KMG116" s="77" t="str">
        <f t="shared" si="224"/>
        <v/>
      </c>
      <c r="KMH116" s="77" t="str">
        <f t="shared" si="224"/>
        <v/>
      </c>
      <c r="KMI116" s="77" t="str">
        <f t="shared" ref="KMI116:KOT116" si="225">IF(ISNUMBER(outYear),KMI69+KMI75+KMI81+KMI113,"")</f>
        <v/>
      </c>
      <c r="KMJ116" s="77" t="str">
        <f t="shared" si="225"/>
        <v/>
      </c>
      <c r="KMK116" s="77" t="str">
        <f t="shared" si="225"/>
        <v/>
      </c>
      <c r="KML116" s="77" t="str">
        <f t="shared" si="225"/>
        <v/>
      </c>
      <c r="KMM116" s="77" t="str">
        <f t="shared" si="225"/>
        <v/>
      </c>
      <c r="KMN116" s="77" t="str">
        <f t="shared" si="225"/>
        <v/>
      </c>
      <c r="KMO116" s="77" t="str">
        <f t="shared" si="225"/>
        <v/>
      </c>
      <c r="KMP116" s="77" t="str">
        <f t="shared" si="225"/>
        <v/>
      </c>
      <c r="KMQ116" s="77" t="str">
        <f t="shared" si="225"/>
        <v/>
      </c>
      <c r="KMR116" s="77" t="str">
        <f t="shared" si="225"/>
        <v/>
      </c>
      <c r="KMS116" s="77" t="str">
        <f t="shared" si="225"/>
        <v/>
      </c>
      <c r="KMT116" s="77" t="str">
        <f t="shared" si="225"/>
        <v/>
      </c>
      <c r="KMU116" s="77" t="str">
        <f t="shared" si="225"/>
        <v/>
      </c>
      <c r="KMV116" s="77" t="str">
        <f t="shared" si="225"/>
        <v/>
      </c>
      <c r="KMW116" s="77" t="str">
        <f t="shared" si="225"/>
        <v/>
      </c>
      <c r="KMX116" s="77" t="str">
        <f t="shared" si="225"/>
        <v/>
      </c>
      <c r="KMY116" s="77" t="str">
        <f t="shared" si="225"/>
        <v/>
      </c>
      <c r="KMZ116" s="77" t="str">
        <f t="shared" si="225"/>
        <v/>
      </c>
      <c r="KNA116" s="77" t="str">
        <f t="shared" si="225"/>
        <v/>
      </c>
      <c r="KNB116" s="77" t="str">
        <f t="shared" si="225"/>
        <v/>
      </c>
      <c r="KNC116" s="77" t="str">
        <f t="shared" si="225"/>
        <v/>
      </c>
      <c r="KND116" s="77" t="str">
        <f t="shared" si="225"/>
        <v/>
      </c>
      <c r="KNE116" s="77" t="str">
        <f t="shared" si="225"/>
        <v/>
      </c>
      <c r="KNF116" s="77" t="str">
        <f t="shared" si="225"/>
        <v/>
      </c>
      <c r="KNG116" s="77" t="str">
        <f t="shared" si="225"/>
        <v/>
      </c>
      <c r="KNH116" s="77" t="str">
        <f t="shared" si="225"/>
        <v/>
      </c>
      <c r="KNI116" s="77" t="str">
        <f t="shared" si="225"/>
        <v/>
      </c>
      <c r="KNJ116" s="77" t="str">
        <f t="shared" si="225"/>
        <v/>
      </c>
      <c r="KNK116" s="77" t="str">
        <f t="shared" si="225"/>
        <v/>
      </c>
      <c r="KNL116" s="77" t="str">
        <f t="shared" si="225"/>
        <v/>
      </c>
      <c r="KNM116" s="77" t="str">
        <f t="shared" si="225"/>
        <v/>
      </c>
      <c r="KNN116" s="77" t="str">
        <f t="shared" si="225"/>
        <v/>
      </c>
      <c r="KNO116" s="77" t="str">
        <f t="shared" si="225"/>
        <v/>
      </c>
      <c r="KNP116" s="77" t="str">
        <f t="shared" si="225"/>
        <v/>
      </c>
      <c r="KNQ116" s="77" t="str">
        <f t="shared" si="225"/>
        <v/>
      </c>
      <c r="KNR116" s="77" t="str">
        <f t="shared" si="225"/>
        <v/>
      </c>
      <c r="KNS116" s="77" t="str">
        <f t="shared" si="225"/>
        <v/>
      </c>
      <c r="KNT116" s="77" t="str">
        <f t="shared" si="225"/>
        <v/>
      </c>
      <c r="KNU116" s="77" t="str">
        <f t="shared" si="225"/>
        <v/>
      </c>
      <c r="KNV116" s="77" t="str">
        <f t="shared" si="225"/>
        <v/>
      </c>
      <c r="KNW116" s="77" t="str">
        <f t="shared" si="225"/>
        <v/>
      </c>
      <c r="KNX116" s="77" t="str">
        <f t="shared" si="225"/>
        <v/>
      </c>
      <c r="KNY116" s="77" t="str">
        <f t="shared" si="225"/>
        <v/>
      </c>
      <c r="KNZ116" s="77" t="str">
        <f t="shared" si="225"/>
        <v/>
      </c>
      <c r="KOA116" s="77" t="str">
        <f t="shared" si="225"/>
        <v/>
      </c>
      <c r="KOB116" s="77" t="str">
        <f t="shared" si="225"/>
        <v/>
      </c>
      <c r="KOC116" s="77" t="str">
        <f t="shared" si="225"/>
        <v/>
      </c>
      <c r="KOD116" s="77" t="str">
        <f t="shared" si="225"/>
        <v/>
      </c>
      <c r="KOE116" s="77" t="str">
        <f t="shared" si="225"/>
        <v/>
      </c>
      <c r="KOF116" s="77" t="str">
        <f t="shared" si="225"/>
        <v/>
      </c>
      <c r="KOG116" s="77" t="str">
        <f t="shared" si="225"/>
        <v/>
      </c>
      <c r="KOH116" s="77" t="str">
        <f t="shared" si="225"/>
        <v/>
      </c>
      <c r="KOI116" s="77" t="str">
        <f t="shared" si="225"/>
        <v/>
      </c>
      <c r="KOJ116" s="77" t="str">
        <f t="shared" si="225"/>
        <v/>
      </c>
      <c r="KOK116" s="77" t="str">
        <f t="shared" si="225"/>
        <v/>
      </c>
      <c r="KOL116" s="77" t="str">
        <f t="shared" si="225"/>
        <v/>
      </c>
      <c r="KOM116" s="77" t="str">
        <f t="shared" si="225"/>
        <v/>
      </c>
      <c r="KON116" s="77" t="str">
        <f t="shared" si="225"/>
        <v/>
      </c>
      <c r="KOO116" s="77" t="str">
        <f t="shared" si="225"/>
        <v/>
      </c>
      <c r="KOP116" s="77" t="str">
        <f t="shared" si="225"/>
        <v/>
      </c>
      <c r="KOQ116" s="77" t="str">
        <f t="shared" si="225"/>
        <v/>
      </c>
      <c r="KOR116" s="77" t="str">
        <f t="shared" si="225"/>
        <v/>
      </c>
      <c r="KOS116" s="77" t="str">
        <f t="shared" si="225"/>
        <v/>
      </c>
      <c r="KOT116" s="77" t="str">
        <f t="shared" si="225"/>
        <v/>
      </c>
      <c r="KOU116" s="77" t="str">
        <f t="shared" ref="KOU116:KRF116" si="226">IF(ISNUMBER(outYear),KOU69+KOU75+KOU81+KOU113,"")</f>
        <v/>
      </c>
      <c r="KOV116" s="77" t="str">
        <f t="shared" si="226"/>
        <v/>
      </c>
      <c r="KOW116" s="77" t="str">
        <f t="shared" si="226"/>
        <v/>
      </c>
      <c r="KOX116" s="77" t="str">
        <f t="shared" si="226"/>
        <v/>
      </c>
      <c r="KOY116" s="77" t="str">
        <f t="shared" si="226"/>
        <v/>
      </c>
      <c r="KOZ116" s="77" t="str">
        <f t="shared" si="226"/>
        <v/>
      </c>
      <c r="KPA116" s="77" t="str">
        <f t="shared" si="226"/>
        <v/>
      </c>
      <c r="KPB116" s="77" t="str">
        <f t="shared" si="226"/>
        <v/>
      </c>
      <c r="KPC116" s="77" t="str">
        <f t="shared" si="226"/>
        <v/>
      </c>
      <c r="KPD116" s="77" t="str">
        <f t="shared" si="226"/>
        <v/>
      </c>
      <c r="KPE116" s="77" t="str">
        <f t="shared" si="226"/>
        <v/>
      </c>
      <c r="KPF116" s="77" t="str">
        <f t="shared" si="226"/>
        <v/>
      </c>
      <c r="KPG116" s="77" t="str">
        <f t="shared" si="226"/>
        <v/>
      </c>
      <c r="KPH116" s="77" t="str">
        <f t="shared" si="226"/>
        <v/>
      </c>
      <c r="KPI116" s="77" t="str">
        <f t="shared" si="226"/>
        <v/>
      </c>
      <c r="KPJ116" s="77" t="str">
        <f t="shared" si="226"/>
        <v/>
      </c>
      <c r="KPK116" s="77" t="str">
        <f t="shared" si="226"/>
        <v/>
      </c>
      <c r="KPL116" s="77" t="str">
        <f t="shared" si="226"/>
        <v/>
      </c>
      <c r="KPM116" s="77" t="str">
        <f t="shared" si="226"/>
        <v/>
      </c>
      <c r="KPN116" s="77" t="str">
        <f t="shared" si="226"/>
        <v/>
      </c>
      <c r="KPO116" s="77" t="str">
        <f t="shared" si="226"/>
        <v/>
      </c>
      <c r="KPP116" s="77" t="str">
        <f t="shared" si="226"/>
        <v/>
      </c>
      <c r="KPQ116" s="77" t="str">
        <f t="shared" si="226"/>
        <v/>
      </c>
      <c r="KPR116" s="77" t="str">
        <f t="shared" si="226"/>
        <v/>
      </c>
      <c r="KPS116" s="77" t="str">
        <f t="shared" si="226"/>
        <v/>
      </c>
      <c r="KPT116" s="77" t="str">
        <f t="shared" si="226"/>
        <v/>
      </c>
      <c r="KPU116" s="77" t="str">
        <f t="shared" si="226"/>
        <v/>
      </c>
      <c r="KPV116" s="77" t="str">
        <f t="shared" si="226"/>
        <v/>
      </c>
      <c r="KPW116" s="77" t="str">
        <f t="shared" si="226"/>
        <v/>
      </c>
      <c r="KPX116" s="77" t="str">
        <f t="shared" si="226"/>
        <v/>
      </c>
      <c r="KPY116" s="77" t="str">
        <f t="shared" si="226"/>
        <v/>
      </c>
      <c r="KPZ116" s="77" t="str">
        <f t="shared" si="226"/>
        <v/>
      </c>
      <c r="KQA116" s="77" t="str">
        <f t="shared" si="226"/>
        <v/>
      </c>
      <c r="KQB116" s="77" t="str">
        <f t="shared" si="226"/>
        <v/>
      </c>
      <c r="KQC116" s="77" t="str">
        <f t="shared" si="226"/>
        <v/>
      </c>
      <c r="KQD116" s="77" t="str">
        <f t="shared" si="226"/>
        <v/>
      </c>
      <c r="KQE116" s="77" t="str">
        <f t="shared" si="226"/>
        <v/>
      </c>
      <c r="KQF116" s="77" t="str">
        <f t="shared" si="226"/>
        <v/>
      </c>
      <c r="KQG116" s="77" t="str">
        <f t="shared" si="226"/>
        <v/>
      </c>
      <c r="KQH116" s="77" t="str">
        <f t="shared" si="226"/>
        <v/>
      </c>
      <c r="KQI116" s="77" t="str">
        <f t="shared" si="226"/>
        <v/>
      </c>
      <c r="KQJ116" s="77" t="str">
        <f t="shared" si="226"/>
        <v/>
      </c>
      <c r="KQK116" s="77" t="str">
        <f t="shared" si="226"/>
        <v/>
      </c>
      <c r="KQL116" s="77" t="str">
        <f t="shared" si="226"/>
        <v/>
      </c>
      <c r="KQM116" s="77" t="str">
        <f t="shared" si="226"/>
        <v/>
      </c>
      <c r="KQN116" s="77" t="str">
        <f t="shared" si="226"/>
        <v/>
      </c>
      <c r="KQO116" s="77" t="str">
        <f t="shared" si="226"/>
        <v/>
      </c>
      <c r="KQP116" s="77" t="str">
        <f t="shared" si="226"/>
        <v/>
      </c>
      <c r="KQQ116" s="77" t="str">
        <f t="shared" si="226"/>
        <v/>
      </c>
      <c r="KQR116" s="77" t="str">
        <f t="shared" si="226"/>
        <v/>
      </c>
      <c r="KQS116" s="77" t="str">
        <f t="shared" si="226"/>
        <v/>
      </c>
      <c r="KQT116" s="77" t="str">
        <f t="shared" si="226"/>
        <v/>
      </c>
      <c r="KQU116" s="77" t="str">
        <f t="shared" si="226"/>
        <v/>
      </c>
      <c r="KQV116" s="77" t="str">
        <f t="shared" si="226"/>
        <v/>
      </c>
      <c r="KQW116" s="77" t="str">
        <f t="shared" si="226"/>
        <v/>
      </c>
      <c r="KQX116" s="77" t="str">
        <f t="shared" si="226"/>
        <v/>
      </c>
      <c r="KQY116" s="77" t="str">
        <f t="shared" si="226"/>
        <v/>
      </c>
      <c r="KQZ116" s="77" t="str">
        <f t="shared" si="226"/>
        <v/>
      </c>
      <c r="KRA116" s="77" t="str">
        <f t="shared" si="226"/>
        <v/>
      </c>
      <c r="KRB116" s="77" t="str">
        <f t="shared" si="226"/>
        <v/>
      </c>
      <c r="KRC116" s="77" t="str">
        <f t="shared" si="226"/>
        <v/>
      </c>
      <c r="KRD116" s="77" t="str">
        <f t="shared" si="226"/>
        <v/>
      </c>
      <c r="KRE116" s="77" t="str">
        <f t="shared" si="226"/>
        <v/>
      </c>
      <c r="KRF116" s="77" t="str">
        <f t="shared" si="226"/>
        <v/>
      </c>
      <c r="KRG116" s="77" t="str">
        <f t="shared" ref="KRG116:KTR116" si="227">IF(ISNUMBER(outYear),KRG69+KRG75+KRG81+KRG113,"")</f>
        <v/>
      </c>
      <c r="KRH116" s="77" t="str">
        <f t="shared" si="227"/>
        <v/>
      </c>
      <c r="KRI116" s="77" t="str">
        <f t="shared" si="227"/>
        <v/>
      </c>
      <c r="KRJ116" s="77" t="str">
        <f t="shared" si="227"/>
        <v/>
      </c>
      <c r="KRK116" s="77" t="str">
        <f t="shared" si="227"/>
        <v/>
      </c>
      <c r="KRL116" s="77" t="str">
        <f t="shared" si="227"/>
        <v/>
      </c>
      <c r="KRM116" s="77" t="str">
        <f t="shared" si="227"/>
        <v/>
      </c>
      <c r="KRN116" s="77" t="str">
        <f t="shared" si="227"/>
        <v/>
      </c>
      <c r="KRO116" s="77" t="str">
        <f t="shared" si="227"/>
        <v/>
      </c>
      <c r="KRP116" s="77" t="str">
        <f t="shared" si="227"/>
        <v/>
      </c>
      <c r="KRQ116" s="77" t="str">
        <f t="shared" si="227"/>
        <v/>
      </c>
      <c r="KRR116" s="77" t="str">
        <f t="shared" si="227"/>
        <v/>
      </c>
      <c r="KRS116" s="77" t="str">
        <f t="shared" si="227"/>
        <v/>
      </c>
      <c r="KRT116" s="77" t="str">
        <f t="shared" si="227"/>
        <v/>
      </c>
      <c r="KRU116" s="77" t="str">
        <f t="shared" si="227"/>
        <v/>
      </c>
      <c r="KRV116" s="77" t="str">
        <f t="shared" si="227"/>
        <v/>
      </c>
      <c r="KRW116" s="77" t="str">
        <f t="shared" si="227"/>
        <v/>
      </c>
      <c r="KRX116" s="77" t="str">
        <f t="shared" si="227"/>
        <v/>
      </c>
      <c r="KRY116" s="77" t="str">
        <f t="shared" si="227"/>
        <v/>
      </c>
      <c r="KRZ116" s="77" t="str">
        <f t="shared" si="227"/>
        <v/>
      </c>
      <c r="KSA116" s="77" t="str">
        <f t="shared" si="227"/>
        <v/>
      </c>
      <c r="KSB116" s="77" t="str">
        <f t="shared" si="227"/>
        <v/>
      </c>
      <c r="KSC116" s="77" t="str">
        <f t="shared" si="227"/>
        <v/>
      </c>
      <c r="KSD116" s="77" t="str">
        <f t="shared" si="227"/>
        <v/>
      </c>
      <c r="KSE116" s="77" t="str">
        <f t="shared" si="227"/>
        <v/>
      </c>
      <c r="KSF116" s="77" t="str">
        <f t="shared" si="227"/>
        <v/>
      </c>
      <c r="KSG116" s="77" t="str">
        <f t="shared" si="227"/>
        <v/>
      </c>
      <c r="KSH116" s="77" t="str">
        <f t="shared" si="227"/>
        <v/>
      </c>
      <c r="KSI116" s="77" t="str">
        <f t="shared" si="227"/>
        <v/>
      </c>
      <c r="KSJ116" s="77" t="str">
        <f t="shared" si="227"/>
        <v/>
      </c>
      <c r="KSK116" s="77" t="str">
        <f t="shared" si="227"/>
        <v/>
      </c>
      <c r="KSL116" s="77" t="str">
        <f t="shared" si="227"/>
        <v/>
      </c>
      <c r="KSM116" s="77" t="str">
        <f t="shared" si="227"/>
        <v/>
      </c>
      <c r="KSN116" s="77" t="str">
        <f t="shared" si="227"/>
        <v/>
      </c>
      <c r="KSO116" s="77" t="str">
        <f t="shared" si="227"/>
        <v/>
      </c>
      <c r="KSP116" s="77" t="str">
        <f t="shared" si="227"/>
        <v/>
      </c>
      <c r="KSQ116" s="77" t="str">
        <f t="shared" si="227"/>
        <v/>
      </c>
      <c r="KSR116" s="77" t="str">
        <f t="shared" si="227"/>
        <v/>
      </c>
      <c r="KSS116" s="77" t="str">
        <f t="shared" si="227"/>
        <v/>
      </c>
      <c r="KST116" s="77" t="str">
        <f t="shared" si="227"/>
        <v/>
      </c>
      <c r="KSU116" s="77" t="str">
        <f t="shared" si="227"/>
        <v/>
      </c>
      <c r="KSV116" s="77" t="str">
        <f t="shared" si="227"/>
        <v/>
      </c>
      <c r="KSW116" s="77" t="str">
        <f t="shared" si="227"/>
        <v/>
      </c>
      <c r="KSX116" s="77" t="str">
        <f t="shared" si="227"/>
        <v/>
      </c>
      <c r="KSY116" s="77" t="str">
        <f t="shared" si="227"/>
        <v/>
      </c>
      <c r="KSZ116" s="77" t="str">
        <f t="shared" si="227"/>
        <v/>
      </c>
      <c r="KTA116" s="77" t="str">
        <f t="shared" si="227"/>
        <v/>
      </c>
      <c r="KTB116" s="77" t="str">
        <f t="shared" si="227"/>
        <v/>
      </c>
      <c r="KTC116" s="77" t="str">
        <f t="shared" si="227"/>
        <v/>
      </c>
      <c r="KTD116" s="77" t="str">
        <f t="shared" si="227"/>
        <v/>
      </c>
      <c r="KTE116" s="77" t="str">
        <f t="shared" si="227"/>
        <v/>
      </c>
      <c r="KTF116" s="77" t="str">
        <f t="shared" si="227"/>
        <v/>
      </c>
      <c r="KTG116" s="77" t="str">
        <f t="shared" si="227"/>
        <v/>
      </c>
      <c r="KTH116" s="77" t="str">
        <f t="shared" si="227"/>
        <v/>
      </c>
      <c r="KTI116" s="77" t="str">
        <f t="shared" si="227"/>
        <v/>
      </c>
      <c r="KTJ116" s="77" t="str">
        <f t="shared" si="227"/>
        <v/>
      </c>
      <c r="KTK116" s="77" t="str">
        <f t="shared" si="227"/>
        <v/>
      </c>
      <c r="KTL116" s="77" t="str">
        <f t="shared" si="227"/>
        <v/>
      </c>
      <c r="KTM116" s="77" t="str">
        <f t="shared" si="227"/>
        <v/>
      </c>
      <c r="KTN116" s="77" t="str">
        <f t="shared" si="227"/>
        <v/>
      </c>
      <c r="KTO116" s="77" t="str">
        <f t="shared" si="227"/>
        <v/>
      </c>
      <c r="KTP116" s="77" t="str">
        <f t="shared" si="227"/>
        <v/>
      </c>
      <c r="KTQ116" s="77" t="str">
        <f t="shared" si="227"/>
        <v/>
      </c>
      <c r="KTR116" s="77" t="str">
        <f t="shared" si="227"/>
        <v/>
      </c>
      <c r="KTS116" s="77" t="str">
        <f t="shared" ref="KTS116:KWD116" si="228">IF(ISNUMBER(outYear),KTS69+KTS75+KTS81+KTS113,"")</f>
        <v/>
      </c>
      <c r="KTT116" s="77" t="str">
        <f t="shared" si="228"/>
        <v/>
      </c>
      <c r="KTU116" s="77" t="str">
        <f t="shared" si="228"/>
        <v/>
      </c>
      <c r="KTV116" s="77" t="str">
        <f t="shared" si="228"/>
        <v/>
      </c>
      <c r="KTW116" s="77" t="str">
        <f t="shared" si="228"/>
        <v/>
      </c>
      <c r="KTX116" s="77" t="str">
        <f t="shared" si="228"/>
        <v/>
      </c>
      <c r="KTY116" s="77" t="str">
        <f t="shared" si="228"/>
        <v/>
      </c>
      <c r="KTZ116" s="77" t="str">
        <f t="shared" si="228"/>
        <v/>
      </c>
      <c r="KUA116" s="77" t="str">
        <f t="shared" si="228"/>
        <v/>
      </c>
      <c r="KUB116" s="77" t="str">
        <f t="shared" si="228"/>
        <v/>
      </c>
      <c r="KUC116" s="77" t="str">
        <f t="shared" si="228"/>
        <v/>
      </c>
      <c r="KUD116" s="77" t="str">
        <f t="shared" si="228"/>
        <v/>
      </c>
      <c r="KUE116" s="77" t="str">
        <f t="shared" si="228"/>
        <v/>
      </c>
      <c r="KUF116" s="77" t="str">
        <f t="shared" si="228"/>
        <v/>
      </c>
      <c r="KUG116" s="77" t="str">
        <f t="shared" si="228"/>
        <v/>
      </c>
      <c r="KUH116" s="77" t="str">
        <f t="shared" si="228"/>
        <v/>
      </c>
      <c r="KUI116" s="77" t="str">
        <f t="shared" si="228"/>
        <v/>
      </c>
      <c r="KUJ116" s="77" t="str">
        <f t="shared" si="228"/>
        <v/>
      </c>
      <c r="KUK116" s="77" t="str">
        <f t="shared" si="228"/>
        <v/>
      </c>
      <c r="KUL116" s="77" t="str">
        <f t="shared" si="228"/>
        <v/>
      </c>
      <c r="KUM116" s="77" t="str">
        <f t="shared" si="228"/>
        <v/>
      </c>
      <c r="KUN116" s="77" t="str">
        <f t="shared" si="228"/>
        <v/>
      </c>
      <c r="KUO116" s="77" t="str">
        <f t="shared" si="228"/>
        <v/>
      </c>
      <c r="KUP116" s="77" t="str">
        <f t="shared" si="228"/>
        <v/>
      </c>
      <c r="KUQ116" s="77" t="str">
        <f t="shared" si="228"/>
        <v/>
      </c>
      <c r="KUR116" s="77" t="str">
        <f t="shared" si="228"/>
        <v/>
      </c>
      <c r="KUS116" s="77" t="str">
        <f t="shared" si="228"/>
        <v/>
      </c>
      <c r="KUT116" s="77" t="str">
        <f t="shared" si="228"/>
        <v/>
      </c>
      <c r="KUU116" s="77" t="str">
        <f t="shared" si="228"/>
        <v/>
      </c>
      <c r="KUV116" s="77" t="str">
        <f t="shared" si="228"/>
        <v/>
      </c>
      <c r="KUW116" s="77" t="str">
        <f t="shared" si="228"/>
        <v/>
      </c>
      <c r="KUX116" s="77" t="str">
        <f t="shared" si="228"/>
        <v/>
      </c>
      <c r="KUY116" s="77" t="str">
        <f t="shared" si="228"/>
        <v/>
      </c>
      <c r="KUZ116" s="77" t="str">
        <f t="shared" si="228"/>
        <v/>
      </c>
      <c r="KVA116" s="77" t="str">
        <f t="shared" si="228"/>
        <v/>
      </c>
      <c r="KVB116" s="77" t="str">
        <f t="shared" si="228"/>
        <v/>
      </c>
      <c r="KVC116" s="77" t="str">
        <f t="shared" si="228"/>
        <v/>
      </c>
      <c r="KVD116" s="77" t="str">
        <f t="shared" si="228"/>
        <v/>
      </c>
      <c r="KVE116" s="77" t="str">
        <f t="shared" si="228"/>
        <v/>
      </c>
      <c r="KVF116" s="77" t="str">
        <f t="shared" si="228"/>
        <v/>
      </c>
      <c r="KVG116" s="77" t="str">
        <f t="shared" si="228"/>
        <v/>
      </c>
      <c r="KVH116" s="77" t="str">
        <f t="shared" si="228"/>
        <v/>
      </c>
      <c r="KVI116" s="77" t="str">
        <f t="shared" si="228"/>
        <v/>
      </c>
      <c r="KVJ116" s="77" t="str">
        <f t="shared" si="228"/>
        <v/>
      </c>
      <c r="KVK116" s="77" t="str">
        <f t="shared" si="228"/>
        <v/>
      </c>
      <c r="KVL116" s="77" t="str">
        <f t="shared" si="228"/>
        <v/>
      </c>
      <c r="KVM116" s="77" t="str">
        <f t="shared" si="228"/>
        <v/>
      </c>
      <c r="KVN116" s="77" t="str">
        <f t="shared" si="228"/>
        <v/>
      </c>
      <c r="KVO116" s="77" t="str">
        <f t="shared" si="228"/>
        <v/>
      </c>
      <c r="KVP116" s="77" t="str">
        <f t="shared" si="228"/>
        <v/>
      </c>
      <c r="KVQ116" s="77" t="str">
        <f t="shared" si="228"/>
        <v/>
      </c>
      <c r="KVR116" s="77" t="str">
        <f t="shared" si="228"/>
        <v/>
      </c>
      <c r="KVS116" s="77" t="str">
        <f t="shared" si="228"/>
        <v/>
      </c>
      <c r="KVT116" s="77" t="str">
        <f t="shared" si="228"/>
        <v/>
      </c>
      <c r="KVU116" s="77" t="str">
        <f t="shared" si="228"/>
        <v/>
      </c>
      <c r="KVV116" s="77" t="str">
        <f t="shared" si="228"/>
        <v/>
      </c>
      <c r="KVW116" s="77" t="str">
        <f t="shared" si="228"/>
        <v/>
      </c>
      <c r="KVX116" s="77" t="str">
        <f t="shared" si="228"/>
        <v/>
      </c>
      <c r="KVY116" s="77" t="str">
        <f t="shared" si="228"/>
        <v/>
      </c>
      <c r="KVZ116" s="77" t="str">
        <f t="shared" si="228"/>
        <v/>
      </c>
      <c r="KWA116" s="77" t="str">
        <f t="shared" si="228"/>
        <v/>
      </c>
      <c r="KWB116" s="77" t="str">
        <f t="shared" si="228"/>
        <v/>
      </c>
      <c r="KWC116" s="77" t="str">
        <f t="shared" si="228"/>
        <v/>
      </c>
      <c r="KWD116" s="77" t="str">
        <f t="shared" si="228"/>
        <v/>
      </c>
      <c r="KWE116" s="77" t="str">
        <f t="shared" ref="KWE116:KYP116" si="229">IF(ISNUMBER(outYear),KWE69+KWE75+KWE81+KWE113,"")</f>
        <v/>
      </c>
      <c r="KWF116" s="77" t="str">
        <f t="shared" si="229"/>
        <v/>
      </c>
      <c r="KWG116" s="77" t="str">
        <f t="shared" si="229"/>
        <v/>
      </c>
      <c r="KWH116" s="77" t="str">
        <f t="shared" si="229"/>
        <v/>
      </c>
      <c r="KWI116" s="77" t="str">
        <f t="shared" si="229"/>
        <v/>
      </c>
      <c r="KWJ116" s="77" t="str">
        <f t="shared" si="229"/>
        <v/>
      </c>
      <c r="KWK116" s="77" t="str">
        <f t="shared" si="229"/>
        <v/>
      </c>
      <c r="KWL116" s="77" t="str">
        <f t="shared" si="229"/>
        <v/>
      </c>
      <c r="KWM116" s="77" t="str">
        <f t="shared" si="229"/>
        <v/>
      </c>
      <c r="KWN116" s="77" t="str">
        <f t="shared" si="229"/>
        <v/>
      </c>
      <c r="KWO116" s="77" t="str">
        <f t="shared" si="229"/>
        <v/>
      </c>
      <c r="KWP116" s="77" t="str">
        <f t="shared" si="229"/>
        <v/>
      </c>
      <c r="KWQ116" s="77" t="str">
        <f t="shared" si="229"/>
        <v/>
      </c>
      <c r="KWR116" s="77" t="str">
        <f t="shared" si="229"/>
        <v/>
      </c>
      <c r="KWS116" s="77" t="str">
        <f t="shared" si="229"/>
        <v/>
      </c>
      <c r="KWT116" s="77" t="str">
        <f t="shared" si="229"/>
        <v/>
      </c>
      <c r="KWU116" s="77" t="str">
        <f t="shared" si="229"/>
        <v/>
      </c>
      <c r="KWV116" s="77" t="str">
        <f t="shared" si="229"/>
        <v/>
      </c>
      <c r="KWW116" s="77" t="str">
        <f t="shared" si="229"/>
        <v/>
      </c>
      <c r="KWX116" s="77" t="str">
        <f t="shared" si="229"/>
        <v/>
      </c>
      <c r="KWY116" s="77" t="str">
        <f t="shared" si="229"/>
        <v/>
      </c>
      <c r="KWZ116" s="77" t="str">
        <f t="shared" si="229"/>
        <v/>
      </c>
      <c r="KXA116" s="77" t="str">
        <f t="shared" si="229"/>
        <v/>
      </c>
      <c r="KXB116" s="77" t="str">
        <f t="shared" si="229"/>
        <v/>
      </c>
      <c r="KXC116" s="77" t="str">
        <f t="shared" si="229"/>
        <v/>
      </c>
      <c r="KXD116" s="77" t="str">
        <f t="shared" si="229"/>
        <v/>
      </c>
      <c r="KXE116" s="77" t="str">
        <f t="shared" si="229"/>
        <v/>
      </c>
      <c r="KXF116" s="77" t="str">
        <f t="shared" si="229"/>
        <v/>
      </c>
      <c r="KXG116" s="77" t="str">
        <f t="shared" si="229"/>
        <v/>
      </c>
      <c r="KXH116" s="77" t="str">
        <f t="shared" si="229"/>
        <v/>
      </c>
      <c r="KXI116" s="77" t="str">
        <f t="shared" si="229"/>
        <v/>
      </c>
      <c r="KXJ116" s="77" t="str">
        <f t="shared" si="229"/>
        <v/>
      </c>
      <c r="KXK116" s="77" t="str">
        <f t="shared" si="229"/>
        <v/>
      </c>
      <c r="KXL116" s="77" t="str">
        <f t="shared" si="229"/>
        <v/>
      </c>
      <c r="KXM116" s="77" t="str">
        <f t="shared" si="229"/>
        <v/>
      </c>
      <c r="KXN116" s="77" t="str">
        <f t="shared" si="229"/>
        <v/>
      </c>
      <c r="KXO116" s="77" t="str">
        <f t="shared" si="229"/>
        <v/>
      </c>
      <c r="KXP116" s="77" t="str">
        <f t="shared" si="229"/>
        <v/>
      </c>
      <c r="KXQ116" s="77" t="str">
        <f t="shared" si="229"/>
        <v/>
      </c>
      <c r="KXR116" s="77" t="str">
        <f t="shared" si="229"/>
        <v/>
      </c>
      <c r="KXS116" s="77" t="str">
        <f t="shared" si="229"/>
        <v/>
      </c>
      <c r="KXT116" s="77" t="str">
        <f t="shared" si="229"/>
        <v/>
      </c>
      <c r="KXU116" s="77" t="str">
        <f t="shared" si="229"/>
        <v/>
      </c>
      <c r="KXV116" s="77" t="str">
        <f t="shared" si="229"/>
        <v/>
      </c>
      <c r="KXW116" s="77" t="str">
        <f t="shared" si="229"/>
        <v/>
      </c>
      <c r="KXX116" s="77" t="str">
        <f t="shared" si="229"/>
        <v/>
      </c>
      <c r="KXY116" s="77" t="str">
        <f t="shared" si="229"/>
        <v/>
      </c>
      <c r="KXZ116" s="77" t="str">
        <f t="shared" si="229"/>
        <v/>
      </c>
      <c r="KYA116" s="77" t="str">
        <f t="shared" si="229"/>
        <v/>
      </c>
      <c r="KYB116" s="77" t="str">
        <f t="shared" si="229"/>
        <v/>
      </c>
      <c r="KYC116" s="77" t="str">
        <f t="shared" si="229"/>
        <v/>
      </c>
      <c r="KYD116" s="77" t="str">
        <f t="shared" si="229"/>
        <v/>
      </c>
      <c r="KYE116" s="77" t="str">
        <f t="shared" si="229"/>
        <v/>
      </c>
      <c r="KYF116" s="77" t="str">
        <f t="shared" si="229"/>
        <v/>
      </c>
      <c r="KYG116" s="77" t="str">
        <f t="shared" si="229"/>
        <v/>
      </c>
      <c r="KYH116" s="77" t="str">
        <f t="shared" si="229"/>
        <v/>
      </c>
      <c r="KYI116" s="77" t="str">
        <f t="shared" si="229"/>
        <v/>
      </c>
      <c r="KYJ116" s="77" t="str">
        <f t="shared" si="229"/>
        <v/>
      </c>
      <c r="KYK116" s="77" t="str">
        <f t="shared" si="229"/>
        <v/>
      </c>
      <c r="KYL116" s="77" t="str">
        <f t="shared" si="229"/>
        <v/>
      </c>
      <c r="KYM116" s="77" t="str">
        <f t="shared" si="229"/>
        <v/>
      </c>
      <c r="KYN116" s="77" t="str">
        <f t="shared" si="229"/>
        <v/>
      </c>
      <c r="KYO116" s="77" t="str">
        <f t="shared" si="229"/>
        <v/>
      </c>
      <c r="KYP116" s="77" t="str">
        <f t="shared" si="229"/>
        <v/>
      </c>
      <c r="KYQ116" s="77" t="str">
        <f t="shared" ref="KYQ116:LBB116" si="230">IF(ISNUMBER(outYear),KYQ69+KYQ75+KYQ81+KYQ113,"")</f>
        <v/>
      </c>
      <c r="KYR116" s="77" t="str">
        <f t="shared" si="230"/>
        <v/>
      </c>
      <c r="KYS116" s="77" t="str">
        <f t="shared" si="230"/>
        <v/>
      </c>
      <c r="KYT116" s="77" t="str">
        <f t="shared" si="230"/>
        <v/>
      </c>
      <c r="KYU116" s="77" t="str">
        <f t="shared" si="230"/>
        <v/>
      </c>
      <c r="KYV116" s="77" t="str">
        <f t="shared" si="230"/>
        <v/>
      </c>
      <c r="KYW116" s="77" t="str">
        <f t="shared" si="230"/>
        <v/>
      </c>
      <c r="KYX116" s="77" t="str">
        <f t="shared" si="230"/>
        <v/>
      </c>
      <c r="KYY116" s="77" t="str">
        <f t="shared" si="230"/>
        <v/>
      </c>
      <c r="KYZ116" s="77" t="str">
        <f t="shared" si="230"/>
        <v/>
      </c>
      <c r="KZA116" s="77" t="str">
        <f t="shared" si="230"/>
        <v/>
      </c>
      <c r="KZB116" s="77" t="str">
        <f t="shared" si="230"/>
        <v/>
      </c>
      <c r="KZC116" s="77" t="str">
        <f t="shared" si="230"/>
        <v/>
      </c>
      <c r="KZD116" s="77" t="str">
        <f t="shared" si="230"/>
        <v/>
      </c>
      <c r="KZE116" s="77" t="str">
        <f t="shared" si="230"/>
        <v/>
      </c>
      <c r="KZF116" s="77" t="str">
        <f t="shared" si="230"/>
        <v/>
      </c>
      <c r="KZG116" s="77" t="str">
        <f t="shared" si="230"/>
        <v/>
      </c>
      <c r="KZH116" s="77" t="str">
        <f t="shared" si="230"/>
        <v/>
      </c>
      <c r="KZI116" s="77" t="str">
        <f t="shared" si="230"/>
        <v/>
      </c>
      <c r="KZJ116" s="77" t="str">
        <f t="shared" si="230"/>
        <v/>
      </c>
      <c r="KZK116" s="77" t="str">
        <f t="shared" si="230"/>
        <v/>
      </c>
      <c r="KZL116" s="77" t="str">
        <f t="shared" si="230"/>
        <v/>
      </c>
      <c r="KZM116" s="77" t="str">
        <f t="shared" si="230"/>
        <v/>
      </c>
      <c r="KZN116" s="77" t="str">
        <f t="shared" si="230"/>
        <v/>
      </c>
      <c r="KZO116" s="77" t="str">
        <f t="shared" si="230"/>
        <v/>
      </c>
      <c r="KZP116" s="77" t="str">
        <f t="shared" si="230"/>
        <v/>
      </c>
      <c r="KZQ116" s="77" t="str">
        <f t="shared" si="230"/>
        <v/>
      </c>
      <c r="KZR116" s="77" t="str">
        <f t="shared" si="230"/>
        <v/>
      </c>
      <c r="KZS116" s="77" t="str">
        <f t="shared" si="230"/>
        <v/>
      </c>
      <c r="KZT116" s="77" t="str">
        <f t="shared" si="230"/>
        <v/>
      </c>
      <c r="KZU116" s="77" t="str">
        <f t="shared" si="230"/>
        <v/>
      </c>
      <c r="KZV116" s="77" t="str">
        <f t="shared" si="230"/>
        <v/>
      </c>
      <c r="KZW116" s="77" t="str">
        <f t="shared" si="230"/>
        <v/>
      </c>
      <c r="KZX116" s="77" t="str">
        <f t="shared" si="230"/>
        <v/>
      </c>
      <c r="KZY116" s="77" t="str">
        <f t="shared" si="230"/>
        <v/>
      </c>
      <c r="KZZ116" s="77" t="str">
        <f t="shared" si="230"/>
        <v/>
      </c>
      <c r="LAA116" s="77" t="str">
        <f t="shared" si="230"/>
        <v/>
      </c>
      <c r="LAB116" s="77" t="str">
        <f t="shared" si="230"/>
        <v/>
      </c>
      <c r="LAC116" s="77" t="str">
        <f t="shared" si="230"/>
        <v/>
      </c>
      <c r="LAD116" s="77" t="str">
        <f t="shared" si="230"/>
        <v/>
      </c>
      <c r="LAE116" s="77" t="str">
        <f t="shared" si="230"/>
        <v/>
      </c>
      <c r="LAF116" s="77" t="str">
        <f t="shared" si="230"/>
        <v/>
      </c>
      <c r="LAG116" s="77" t="str">
        <f t="shared" si="230"/>
        <v/>
      </c>
      <c r="LAH116" s="77" t="str">
        <f t="shared" si="230"/>
        <v/>
      </c>
      <c r="LAI116" s="77" t="str">
        <f t="shared" si="230"/>
        <v/>
      </c>
      <c r="LAJ116" s="77" t="str">
        <f t="shared" si="230"/>
        <v/>
      </c>
      <c r="LAK116" s="77" t="str">
        <f t="shared" si="230"/>
        <v/>
      </c>
      <c r="LAL116" s="77" t="str">
        <f t="shared" si="230"/>
        <v/>
      </c>
      <c r="LAM116" s="77" t="str">
        <f t="shared" si="230"/>
        <v/>
      </c>
      <c r="LAN116" s="77" t="str">
        <f t="shared" si="230"/>
        <v/>
      </c>
      <c r="LAO116" s="77" t="str">
        <f t="shared" si="230"/>
        <v/>
      </c>
      <c r="LAP116" s="77" t="str">
        <f t="shared" si="230"/>
        <v/>
      </c>
      <c r="LAQ116" s="77" t="str">
        <f t="shared" si="230"/>
        <v/>
      </c>
      <c r="LAR116" s="77" t="str">
        <f t="shared" si="230"/>
        <v/>
      </c>
      <c r="LAS116" s="77" t="str">
        <f t="shared" si="230"/>
        <v/>
      </c>
      <c r="LAT116" s="77" t="str">
        <f t="shared" si="230"/>
        <v/>
      </c>
      <c r="LAU116" s="77" t="str">
        <f t="shared" si="230"/>
        <v/>
      </c>
      <c r="LAV116" s="77" t="str">
        <f t="shared" si="230"/>
        <v/>
      </c>
      <c r="LAW116" s="77" t="str">
        <f t="shared" si="230"/>
        <v/>
      </c>
      <c r="LAX116" s="77" t="str">
        <f t="shared" si="230"/>
        <v/>
      </c>
      <c r="LAY116" s="77" t="str">
        <f t="shared" si="230"/>
        <v/>
      </c>
      <c r="LAZ116" s="77" t="str">
        <f t="shared" si="230"/>
        <v/>
      </c>
      <c r="LBA116" s="77" t="str">
        <f t="shared" si="230"/>
        <v/>
      </c>
      <c r="LBB116" s="77" t="str">
        <f t="shared" si="230"/>
        <v/>
      </c>
      <c r="LBC116" s="77" t="str">
        <f t="shared" ref="LBC116:LDN116" si="231">IF(ISNUMBER(outYear),LBC69+LBC75+LBC81+LBC113,"")</f>
        <v/>
      </c>
      <c r="LBD116" s="77" t="str">
        <f t="shared" si="231"/>
        <v/>
      </c>
      <c r="LBE116" s="77" t="str">
        <f t="shared" si="231"/>
        <v/>
      </c>
      <c r="LBF116" s="77" t="str">
        <f t="shared" si="231"/>
        <v/>
      </c>
      <c r="LBG116" s="77" t="str">
        <f t="shared" si="231"/>
        <v/>
      </c>
      <c r="LBH116" s="77" t="str">
        <f t="shared" si="231"/>
        <v/>
      </c>
      <c r="LBI116" s="77" t="str">
        <f t="shared" si="231"/>
        <v/>
      </c>
      <c r="LBJ116" s="77" t="str">
        <f t="shared" si="231"/>
        <v/>
      </c>
      <c r="LBK116" s="77" t="str">
        <f t="shared" si="231"/>
        <v/>
      </c>
      <c r="LBL116" s="77" t="str">
        <f t="shared" si="231"/>
        <v/>
      </c>
      <c r="LBM116" s="77" t="str">
        <f t="shared" si="231"/>
        <v/>
      </c>
      <c r="LBN116" s="77" t="str">
        <f t="shared" si="231"/>
        <v/>
      </c>
      <c r="LBO116" s="77" t="str">
        <f t="shared" si="231"/>
        <v/>
      </c>
      <c r="LBP116" s="77" t="str">
        <f t="shared" si="231"/>
        <v/>
      </c>
      <c r="LBQ116" s="77" t="str">
        <f t="shared" si="231"/>
        <v/>
      </c>
      <c r="LBR116" s="77" t="str">
        <f t="shared" si="231"/>
        <v/>
      </c>
      <c r="LBS116" s="77" t="str">
        <f t="shared" si="231"/>
        <v/>
      </c>
      <c r="LBT116" s="77" t="str">
        <f t="shared" si="231"/>
        <v/>
      </c>
      <c r="LBU116" s="77" t="str">
        <f t="shared" si="231"/>
        <v/>
      </c>
      <c r="LBV116" s="77" t="str">
        <f t="shared" si="231"/>
        <v/>
      </c>
      <c r="LBW116" s="77" t="str">
        <f t="shared" si="231"/>
        <v/>
      </c>
      <c r="LBX116" s="77" t="str">
        <f t="shared" si="231"/>
        <v/>
      </c>
      <c r="LBY116" s="77" t="str">
        <f t="shared" si="231"/>
        <v/>
      </c>
      <c r="LBZ116" s="77" t="str">
        <f t="shared" si="231"/>
        <v/>
      </c>
      <c r="LCA116" s="77" t="str">
        <f t="shared" si="231"/>
        <v/>
      </c>
      <c r="LCB116" s="77" t="str">
        <f t="shared" si="231"/>
        <v/>
      </c>
      <c r="LCC116" s="77" t="str">
        <f t="shared" si="231"/>
        <v/>
      </c>
      <c r="LCD116" s="77" t="str">
        <f t="shared" si="231"/>
        <v/>
      </c>
      <c r="LCE116" s="77" t="str">
        <f t="shared" si="231"/>
        <v/>
      </c>
      <c r="LCF116" s="77" t="str">
        <f t="shared" si="231"/>
        <v/>
      </c>
      <c r="LCG116" s="77" t="str">
        <f t="shared" si="231"/>
        <v/>
      </c>
      <c r="LCH116" s="77" t="str">
        <f t="shared" si="231"/>
        <v/>
      </c>
      <c r="LCI116" s="77" t="str">
        <f t="shared" si="231"/>
        <v/>
      </c>
      <c r="LCJ116" s="77" t="str">
        <f t="shared" si="231"/>
        <v/>
      </c>
      <c r="LCK116" s="77" t="str">
        <f t="shared" si="231"/>
        <v/>
      </c>
      <c r="LCL116" s="77" t="str">
        <f t="shared" si="231"/>
        <v/>
      </c>
      <c r="LCM116" s="77" t="str">
        <f t="shared" si="231"/>
        <v/>
      </c>
      <c r="LCN116" s="77" t="str">
        <f t="shared" si="231"/>
        <v/>
      </c>
      <c r="LCO116" s="77" t="str">
        <f t="shared" si="231"/>
        <v/>
      </c>
      <c r="LCP116" s="77" t="str">
        <f t="shared" si="231"/>
        <v/>
      </c>
      <c r="LCQ116" s="77" t="str">
        <f t="shared" si="231"/>
        <v/>
      </c>
      <c r="LCR116" s="77" t="str">
        <f t="shared" si="231"/>
        <v/>
      </c>
      <c r="LCS116" s="77" t="str">
        <f t="shared" si="231"/>
        <v/>
      </c>
      <c r="LCT116" s="77" t="str">
        <f t="shared" si="231"/>
        <v/>
      </c>
      <c r="LCU116" s="77" t="str">
        <f t="shared" si="231"/>
        <v/>
      </c>
      <c r="LCV116" s="77" t="str">
        <f t="shared" si="231"/>
        <v/>
      </c>
      <c r="LCW116" s="77" t="str">
        <f t="shared" si="231"/>
        <v/>
      </c>
      <c r="LCX116" s="77" t="str">
        <f t="shared" si="231"/>
        <v/>
      </c>
      <c r="LCY116" s="77" t="str">
        <f t="shared" si="231"/>
        <v/>
      </c>
      <c r="LCZ116" s="77" t="str">
        <f t="shared" si="231"/>
        <v/>
      </c>
      <c r="LDA116" s="77" t="str">
        <f t="shared" si="231"/>
        <v/>
      </c>
      <c r="LDB116" s="77" t="str">
        <f t="shared" si="231"/>
        <v/>
      </c>
      <c r="LDC116" s="77" t="str">
        <f t="shared" si="231"/>
        <v/>
      </c>
      <c r="LDD116" s="77" t="str">
        <f t="shared" si="231"/>
        <v/>
      </c>
      <c r="LDE116" s="77" t="str">
        <f t="shared" si="231"/>
        <v/>
      </c>
      <c r="LDF116" s="77" t="str">
        <f t="shared" si="231"/>
        <v/>
      </c>
      <c r="LDG116" s="77" t="str">
        <f t="shared" si="231"/>
        <v/>
      </c>
      <c r="LDH116" s="77" t="str">
        <f t="shared" si="231"/>
        <v/>
      </c>
      <c r="LDI116" s="77" t="str">
        <f t="shared" si="231"/>
        <v/>
      </c>
      <c r="LDJ116" s="77" t="str">
        <f t="shared" si="231"/>
        <v/>
      </c>
      <c r="LDK116" s="77" t="str">
        <f t="shared" si="231"/>
        <v/>
      </c>
      <c r="LDL116" s="77" t="str">
        <f t="shared" si="231"/>
        <v/>
      </c>
      <c r="LDM116" s="77" t="str">
        <f t="shared" si="231"/>
        <v/>
      </c>
      <c r="LDN116" s="77" t="str">
        <f t="shared" si="231"/>
        <v/>
      </c>
      <c r="LDO116" s="77" t="str">
        <f t="shared" ref="LDO116:LFZ116" si="232">IF(ISNUMBER(outYear),LDO69+LDO75+LDO81+LDO113,"")</f>
        <v/>
      </c>
      <c r="LDP116" s="77" t="str">
        <f t="shared" si="232"/>
        <v/>
      </c>
      <c r="LDQ116" s="77" t="str">
        <f t="shared" si="232"/>
        <v/>
      </c>
      <c r="LDR116" s="77" t="str">
        <f t="shared" si="232"/>
        <v/>
      </c>
      <c r="LDS116" s="77" t="str">
        <f t="shared" si="232"/>
        <v/>
      </c>
      <c r="LDT116" s="77" t="str">
        <f t="shared" si="232"/>
        <v/>
      </c>
      <c r="LDU116" s="77" t="str">
        <f t="shared" si="232"/>
        <v/>
      </c>
      <c r="LDV116" s="77" t="str">
        <f t="shared" si="232"/>
        <v/>
      </c>
      <c r="LDW116" s="77" t="str">
        <f t="shared" si="232"/>
        <v/>
      </c>
      <c r="LDX116" s="77" t="str">
        <f t="shared" si="232"/>
        <v/>
      </c>
      <c r="LDY116" s="77" t="str">
        <f t="shared" si="232"/>
        <v/>
      </c>
      <c r="LDZ116" s="77" t="str">
        <f t="shared" si="232"/>
        <v/>
      </c>
      <c r="LEA116" s="77" t="str">
        <f t="shared" si="232"/>
        <v/>
      </c>
      <c r="LEB116" s="77" t="str">
        <f t="shared" si="232"/>
        <v/>
      </c>
      <c r="LEC116" s="77" t="str">
        <f t="shared" si="232"/>
        <v/>
      </c>
      <c r="LED116" s="77" t="str">
        <f t="shared" si="232"/>
        <v/>
      </c>
      <c r="LEE116" s="77" t="str">
        <f t="shared" si="232"/>
        <v/>
      </c>
      <c r="LEF116" s="77" t="str">
        <f t="shared" si="232"/>
        <v/>
      </c>
      <c r="LEG116" s="77" t="str">
        <f t="shared" si="232"/>
        <v/>
      </c>
      <c r="LEH116" s="77" t="str">
        <f t="shared" si="232"/>
        <v/>
      </c>
      <c r="LEI116" s="77" t="str">
        <f t="shared" si="232"/>
        <v/>
      </c>
      <c r="LEJ116" s="77" t="str">
        <f t="shared" si="232"/>
        <v/>
      </c>
      <c r="LEK116" s="77" t="str">
        <f t="shared" si="232"/>
        <v/>
      </c>
      <c r="LEL116" s="77" t="str">
        <f t="shared" si="232"/>
        <v/>
      </c>
      <c r="LEM116" s="77" t="str">
        <f t="shared" si="232"/>
        <v/>
      </c>
      <c r="LEN116" s="77" t="str">
        <f t="shared" si="232"/>
        <v/>
      </c>
      <c r="LEO116" s="77" t="str">
        <f t="shared" si="232"/>
        <v/>
      </c>
      <c r="LEP116" s="77" t="str">
        <f t="shared" si="232"/>
        <v/>
      </c>
      <c r="LEQ116" s="77" t="str">
        <f t="shared" si="232"/>
        <v/>
      </c>
      <c r="LER116" s="77" t="str">
        <f t="shared" si="232"/>
        <v/>
      </c>
      <c r="LES116" s="77" t="str">
        <f t="shared" si="232"/>
        <v/>
      </c>
      <c r="LET116" s="77" t="str">
        <f t="shared" si="232"/>
        <v/>
      </c>
      <c r="LEU116" s="77" t="str">
        <f t="shared" si="232"/>
        <v/>
      </c>
      <c r="LEV116" s="77" t="str">
        <f t="shared" si="232"/>
        <v/>
      </c>
      <c r="LEW116" s="77" t="str">
        <f t="shared" si="232"/>
        <v/>
      </c>
      <c r="LEX116" s="77" t="str">
        <f t="shared" si="232"/>
        <v/>
      </c>
      <c r="LEY116" s="77" t="str">
        <f t="shared" si="232"/>
        <v/>
      </c>
      <c r="LEZ116" s="77" t="str">
        <f t="shared" si="232"/>
        <v/>
      </c>
      <c r="LFA116" s="77" t="str">
        <f t="shared" si="232"/>
        <v/>
      </c>
      <c r="LFB116" s="77" t="str">
        <f t="shared" si="232"/>
        <v/>
      </c>
      <c r="LFC116" s="77" t="str">
        <f t="shared" si="232"/>
        <v/>
      </c>
      <c r="LFD116" s="77" t="str">
        <f t="shared" si="232"/>
        <v/>
      </c>
      <c r="LFE116" s="77" t="str">
        <f t="shared" si="232"/>
        <v/>
      </c>
      <c r="LFF116" s="77" t="str">
        <f t="shared" si="232"/>
        <v/>
      </c>
      <c r="LFG116" s="77" t="str">
        <f t="shared" si="232"/>
        <v/>
      </c>
      <c r="LFH116" s="77" t="str">
        <f t="shared" si="232"/>
        <v/>
      </c>
      <c r="LFI116" s="77" t="str">
        <f t="shared" si="232"/>
        <v/>
      </c>
      <c r="LFJ116" s="77" t="str">
        <f t="shared" si="232"/>
        <v/>
      </c>
      <c r="LFK116" s="77" t="str">
        <f t="shared" si="232"/>
        <v/>
      </c>
      <c r="LFL116" s="77" t="str">
        <f t="shared" si="232"/>
        <v/>
      </c>
      <c r="LFM116" s="77" t="str">
        <f t="shared" si="232"/>
        <v/>
      </c>
      <c r="LFN116" s="77" t="str">
        <f t="shared" si="232"/>
        <v/>
      </c>
      <c r="LFO116" s="77" t="str">
        <f t="shared" si="232"/>
        <v/>
      </c>
      <c r="LFP116" s="77" t="str">
        <f t="shared" si="232"/>
        <v/>
      </c>
      <c r="LFQ116" s="77" t="str">
        <f t="shared" si="232"/>
        <v/>
      </c>
      <c r="LFR116" s="77" t="str">
        <f t="shared" si="232"/>
        <v/>
      </c>
      <c r="LFS116" s="77" t="str">
        <f t="shared" si="232"/>
        <v/>
      </c>
      <c r="LFT116" s="77" t="str">
        <f t="shared" si="232"/>
        <v/>
      </c>
      <c r="LFU116" s="77" t="str">
        <f t="shared" si="232"/>
        <v/>
      </c>
      <c r="LFV116" s="77" t="str">
        <f t="shared" si="232"/>
        <v/>
      </c>
      <c r="LFW116" s="77" t="str">
        <f t="shared" si="232"/>
        <v/>
      </c>
      <c r="LFX116" s="77" t="str">
        <f t="shared" si="232"/>
        <v/>
      </c>
      <c r="LFY116" s="77" t="str">
        <f t="shared" si="232"/>
        <v/>
      </c>
      <c r="LFZ116" s="77" t="str">
        <f t="shared" si="232"/>
        <v/>
      </c>
      <c r="LGA116" s="77" t="str">
        <f t="shared" ref="LGA116:LIL116" si="233">IF(ISNUMBER(outYear),LGA69+LGA75+LGA81+LGA113,"")</f>
        <v/>
      </c>
      <c r="LGB116" s="77" t="str">
        <f t="shared" si="233"/>
        <v/>
      </c>
      <c r="LGC116" s="77" t="str">
        <f t="shared" si="233"/>
        <v/>
      </c>
      <c r="LGD116" s="77" t="str">
        <f t="shared" si="233"/>
        <v/>
      </c>
      <c r="LGE116" s="77" t="str">
        <f t="shared" si="233"/>
        <v/>
      </c>
      <c r="LGF116" s="77" t="str">
        <f t="shared" si="233"/>
        <v/>
      </c>
      <c r="LGG116" s="77" t="str">
        <f t="shared" si="233"/>
        <v/>
      </c>
      <c r="LGH116" s="77" t="str">
        <f t="shared" si="233"/>
        <v/>
      </c>
      <c r="LGI116" s="77" t="str">
        <f t="shared" si="233"/>
        <v/>
      </c>
      <c r="LGJ116" s="77" t="str">
        <f t="shared" si="233"/>
        <v/>
      </c>
      <c r="LGK116" s="77" t="str">
        <f t="shared" si="233"/>
        <v/>
      </c>
      <c r="LGL116" s="77" t="str">
        <f t="shared" si="233"/>
        <v/>
      </c>
      <c r="LGM116" s="77" t="str">
        <f t="shared" si="233"/>
        <v/>
      </c>
      <c r="LGN116" s="77" t="str">
        <f t="shared" si="233"/>
        <v/>
      </c>
      <c r="LGO116" s="77" t="str">
        <f t="shared" si="233"/>
        <v/>
      </c>
      <c r="LGP116" s="77" t="str">
        <f t="shared" si="233"/>
        <v/>
      </c>
      <c r="LGQ116" s="77" t="str">
        <f t="shared" si="233"/>
        <v/>
      </c>
      <c r="LGR116" s="77" t="str">
        <f t="shared" si="233"/>
        <v/>
      </c>
      <c r="LGS116" s="77" t="str">
        <f t="shared" si="233"/>
        <v/>
      </c>
      <c r="LGT116" s="77" t="str">
        <f t="shared" si="233"/>
        <v/>
      </c>
      <c r="LGU116" s="77" t="str">
        <f t="shared" si="233"/>
        <v/>
      </c>
      <c r="LGV116" s="77" t="str">
        <f t="shared" si="233"/>
        <v/>
      </c>
      <c r="LGW116" s="77" t="str">
        <f t="shared" si="233"/>
        <v/>
      </c>
      <c r="LGX116" s="77" t="str">
        <f t="shared" si="233"/>
        <v/>
      </c>
      <c r="LGY116" s="77" t="str">
        <f t="shared" si="233"/>
        <v/>
      </c>
      <c r="LGZ116" s="77" t="str">
        <f t="shared" si="233"/>
        <v/>
      </c>
      <c r="LHA116" s="77" t="str">
        <f t="shared" si="233"/>
        <v/>
      </c>
      <c r="LHB116" s="77" t="str">
        <f t="shared" si="233"/>
        <v/>
      </c>
      <c r="LHC116" s="77" t="str">
        <f t="shared" si="233"/>
        <v/>
      </c>
      <c r="LHD116" s="77" t="str">
        <f t="shared" si="233"/>
        <v/>
      </c>
      <c r="LHE116" s="77" t="str">
        <f t="shared" si="233"/>
        <v/>
      </c>
      <c r="LHF116" s="77" t="str">
        <f t="shared" si="233"/>
        <v/>
      </c>
      <c r="LHG116" s="77" t="str">
        <f t="shared" si="233"/>
        <v/>
      </c>
      <c r="LHH116" s="77" t="str">
        <f t="shared" si="233"/>
        <v/>
      </c>
      <c r="LHI116" s="77" t="str">
        <f t="shared" si="233"/>
        <v/>
      </c>
      <c r="LHJ116" s="77" t="str">
        <f t="shared" si="233"/>
        <v/>
      </c>
      <c r="LHK116" s="77" t="str">
        <f t="shared" si="233"/>
        <v/>
      </c>
      <c r="LHL116" s="77" t="str">
        <f t="shared" si="233"/>
        <v/>
      </c>
      <c r="LHM116" s="77" t="str">
        <f t="shared" si="233"/>
        <v/>
      </c>
      <c r="LHN116" s="77" t="str">
        <f t="shared" si="233"/>
        <v/>
      </c>
      <c r="LHO116" s="77" t="str">
        <f t="shared" si="233"/>
        <v/>
      </c>
      <c r="LHP116" s="77" t="str">
        <f t="shared" si="233"/>
        <v/>
      </c>
      <c r="LHQ116" s="77" t="str">
        <f t="shared" si="233"/>
        <v/>
      </c>
      <c r="LHR116" s="77" t="str">
        <f t="shared" si="233"/>
        <v/>
      </c>
      <c r="LHS116" s="77" t="str">
        <f t="shared" si="233"/>
        <v/>
      </c>
      <c r="LHT116" s="77" t="str">
        <f t="shared" si="233"/>
        <v/>
      </c>
      <c r="LHU116" s="77" t="str">
        <f t="shared" si="233"/>
        <v/>
      </c>
      <c r="LHV116" s="77" t="str">
        <f t="shared" si="233"/>
        <v/>
      </c>
      <c r="LHW116" s="77" t="str">
        <f t="shared" si="233"/>
        <v/>
      </c>
      <c r="LHX116" s="77" t="str">
        <f t="shared" si="233"/>
        <v/>
      </c>
      <c r="LHY116" s="77" t="str">
        <f t="shared" si="233"/>
        <v/>
      </c>
      <c r="LHZ116" s="77" t="str">
        <f t="shared" si="233"/>
        <v/>
      </c>
      <c r="LIA116" s="77" t="str">
        <f t="shared" si="233"/>
        <v/>
      </c>
      <c r="LIB116" s="77" t="str">
        <f t="shared" si="233"/>
        <v/>
      </c>
      <c r="LIC116" s="77" t="str">
        <f t="shared" si="233"/>
        <v/>
      </c>
      <c r="LID116" s="77" t="str">
        <f t="shared" si="233"/>
        <v/>
      </c>
      <c r="LIE116" s="77" t="str">
        <f t="shared" si="233"/>
        <v/>
      </c>
      <c r="LIF116" s="77" t="str">
        <f t="shared" si="233"/>
        <v/>
      </c>
      <c r="LIG116" s="77" t="str">
        <f t="shared" si="233"/>
        <v/>
      </c>
      <c r="LIH116" s="77" t="str">
        <f t="shared" si="233"/>
        <v/>
      </c>
      <c r="LII116" s="77" t="str">
        <f t="shared" si="233"/>
        <v/>
      </c>
      <c r="LIJ116" s="77" t="str">
        <f t="shared" si="233"/>
        <v/>
      </c>
      <c r="LIK116" s="77" t="str">
        <f t="shared" si="233"/>
        <v/>
      </c>
      <c r="LIL116" s="77" t="str">
        <f t="shared" si="233"/>
        <v/>
      </c>
      <c r="LIM116" s="77" t="str">
        <f t="shared" ref="LIM116:LKX116" si="234">IF(ISNUMBER(outYear),LIM69+LIM75+LIM81+LIM113,"")</f>
        <v/>
      </c>
      <c r="LIN116" s="77" t="str">
        <f t="shared" si="234"/>
        <v/>
      </c>
      <c r="LIO116" s="77" t="str">
        <f t="shared" si="234"/>
        <v/>
      </c>
      <c r="LIP116" s="77" t="str">
        <f t="shared" si="234"/>
        <v/>
      </c>
      <c r="LIQ116" s="77" t="str">
        <f t="shared" si="234"/>
        <v/>
      </c>
      <c r="LIR116" s="77" t="str">
        <f t="shared" si="234"/>
        <v/>
      </c>
      <c r="LIS116" s="77" t="str">
        <f t="shared" si="234"/>
        <v/>
      </c>
      <c r="LIT116" s="77" t="str">
        <f t="shared" si="234"/>
        <v/>
      </c>
      <c r="LIU116" s="77" t="str">
        <f t="shared" si="234"/>
        <v/>
      </c>
      <c r="LIV116" s="77" t="str">
        <f t="shared" si="234"/>
        <v/>
      </c>
      <c r="LIW116" s="77" t="str">
        <f t="shared" si="234"/>
        <v/>
      </c>
      <c r="LIX116" s="77" t="str">
        <f t="shared" si="234"/>
        <v/>
      </c>
      <c r="LIY116" s="77" t="str">
        <f t="shared" si="234"/>
        <v/>
      </c>
      <c r="LIZ116" s="77" t="str">
        <f t="shared" si="234"/>
        <v/>
      </c>
      <c r="LJA116" s="77" t="str">
        <f t="shared" si="234"/>
        <v/>
      </c>
      <c r="LJB116" s="77" t="str">
        <f t="shared" si="234"/>
        <v/>
      </c>
      <c r="LJC116" s="77" t="str">
        <f t="shared" si="234"/>
        <v/>
      </c>
      <c r="LJD116" s="77" t="str">
        <f t="shared" si="234"/>
        <v/>
      </c>
      <c r="LJE116" s="77" t="str">
        <f t="shared" si="234"/>
        <v/>
      </c>
      <c r="LJF116" s="77" t="str">
        <f t="shared" si="234"/>
        <v/>
      </c>
      <c r="LJG116" s="77" t="str">
        <f t="shared" si="234"/>
        <v/>
      </c>
      <c r="LJH116" s="77" t="str">
        <f t="shared" si="234"/>
        <v/>
      </c>
      <c r="LJI116" s="77" t="str">
        <f t="shared" si="234"/>
        <v/>
      </c>
      <c r="LJJ116" s="77" t="str">
        <f t="shared" si="234"/>
        <v/>
      </c>
      <c r="LJK116" s="77" t="str">
        <f t="shared" si="234"/>
        <v/>
      </c>
      <c r="LJL116" s="77" t="str">
        <f t="shared" si="234"/>
        <v/>
      </c>
      <c r="LJM116" s="77" t="str">
        <f t="shared" si="234"/>
        <v/>
      </c>
      <c r="LJN116" s="77" t="str">
        <f t="shared" si="234"/>
        <v/>
      </c>
      <c r="LJO116" s="77" t="str">
        <f t="shared" si="234"/>
        <v/>
      </c>
      <c r="LJP116" s="77" t="str">
        <f t="shared" si="234"/>
        <v/>
      </c>
      <c r="LJQ116" s="77" t="str">
        <f t="shared" si="234"/>
        <v/>
      </c>
      <c r="LJR116" s="77" t="str">
        <f t="shared" si="234"/>
        <v/>
      </c>
      <c r="LJS116" s="77" t="str">
        <f t="shared" si="234"/>
        <v/>
      </c>
      <c r="LJT116" s="77" t="str">
        <f t="shared" si="234"/>
        <v/>
      </c>
      <c r="LJU116" s="77" t="str">
        <f t="shared" si="234"/>
        <v/>
      </c>
      <c r="LJV116" s="77" t="str">
        <f t="shared" si="234"/>
        <v/>
      </c>
      <c r="LJW116" s="77" t="str">
        <f t="shared" si="234"/>
        <v/>
      </c>
      <c r="LJX116" s="77" t="str">
        <f t="shared" si="234"/>
        <v/>
      </c>
      <c r="LJY116" s="77" t="str">
        <f t="shared" si="234"/>
        <v/>
      </c>
      <c r="LJZ116" s="77" t="str">
        <f t="shared" si="234"/>
        <v/>
      </c>
      <c r="LKA116" s="77" t="str">
        <f t="shared" si="234"/>
        <v/>
      </c>
      <c r="LKB116" s="77" t="str">
        <f t="shared" si="234"/>
        <v/>
      </c>
      <c r="LKC116" s="77" t="str">
        <f t="shared" si="234"/>
        <v/>
      </c>
      <c r="LKD116" s="77" t="str">
        <f t="shared" si="234"/>
        <v/>
      </c>
      <c r="LKE116" s="77" t="str">
        <f t="shared" si="234"/>
        <v/>
      </c>
      <c r="LKF116" s="77" t="str">
        <f t="shared" si="234"/>
        <v/>
      </c>
      <c r="LKG116" s="77" t="str">
        <f t="shared" si="234"/>
        <v/>
      </c>
      <c r="LKH116" s="77" t="str">
        <f t="shared" si="234"/>
        <v/>
      </c>
      <c r="LKI116" s="77" t="str">
        <f t="shared" si="234"/>
        <v/>
      </c>
      <c r="LKJ116" s="77" t="str">
        <f t="shared" si="234"/>
        <v/>
      </c>
      <c r="LKK116" s="77" t="str">
        <f t="shared" si="234"/>
        <v/>
      </c>
      <c r="LKL116" s="77" t="str">
        <f t="shared" si="234"/>
        <v/>
      </c>
      <c r="LKM116" s="77" t="str">
        <f t="shared" si="234"/>
        <v/>
      </c>
      <c r="LKN116" s="77" t="str">
        <f t="shared" si="234"/>
        <v/>
      </c>
      <c r="LKO116" s="77" t="str">
        <f t="shared" si="234"/>
        <v/>
      </c>
      <c r="LKP116" s="77" t="str">
        <f t="shared" si="234"/>
        <v/>
      </c>
      <c r="LKQ116" s="77" t="str">
        <f t="shared" si="234"/>
        <v/>
      </c>
      <c r="LKR116" s="77" t="str">
        <f t="shared" si="234"/>
        <v/>
      </c>
      <c r="LKS116" s="77" t="str">
        <f t="shared" si="234"/>
        <v/>
      </c>
      <c r="LKT116" s="77" t="str">
        <f t="shared" si="234"/>
        <v/>
      </c>
      <c r="LKU116" s="77" t="str">
        <f t="shared" si="234"/>
        <v/>
      </c>
      <c r="LKV116" s="77" t="str">
        <f t="shared" si="234"/>
        <v/>
      </c>
      <c r="LKW116" s="77" t="str">
        <f t="shared" si="234"/>
        <v/>
      </c>
      <c r="LKX116" s="77" t="str">
        <f t="shared" si="234"/>
        <v/>
      </c>
      <c r="LKY116" s="77" t="str">
        <f t="shared" ref="LKY116:LNJ116" si="235">IF(ISNUMBER(outYear),LKY69+LKY75+LKY81+LKY113,"")</f>
        <v/>
      </c>
      <c r="LKZ116" s="77" t="str">
        <f t="shared" si="235"/>
        <v/>
      </c>
      <c r="LLA116" s="77" t="str">
        <f t="shared" si="235"/>
        <v/>
      </c>
      <c r="LLB116" s="77" t="str">
        <f t="shared" si="235"/>
        <v/>
      </c>
      <c r="LLC116" s="77" t="str">
        <f t="shared" si="235"/>
        <v/>
      </c>
      <c r="LLD116" s="77" t="str">
        <f t="shared" si="235"/>
        <v/>
      </c>
      <c r="LLE116" s="77" t="str">
        <f t="shared" si="235"/>
        <v/>
      </c>
      <c r="LLF116" s="77" t="str">
        <f t="shared" si="235"/>
        <v/>
      </c>
      <c r="LLG116" s="77" t="str">
        <f t="shared" si="235"/>
        <v/>
      </c>
      <c r="LLH116" s="77" t="str">
        <f t="shared" si="235"/>
        <v/>
      </c>
      <c r="LLI116" s="77" t="str">
        <f t="shared" si="235"/>
        <v/>
      </c>
      <c r="LLJ116" s="77" t="str">
        <f t="shared" si="235"/>
        <v/>
      </c>
      <c r="LLK116" s="77" t="str">
        <f t="shared" si="235"/>
        <v/>
      </c>
      <c r="LLL116" s="77" t="str">
        <f t="shared" si="235"/>
        <v/>
      </c>
      <c r="LLM116" s="77" t="str">
        <f t="shared" si="235"/>
        <v/>
      </c>
      <c r="LLN116" s="77" t="str">
        <f t="shared" si="235"/>
        <v/>
      </c>
      <c r="LLO116" s="77" t="str">
        <f t="shared" si="235"/>
        <v/>
      </c>
      <c r="LLP116" s="77" t="str">
        <f t="shared" si="235"/>
        <v/>
      </c>
      <c r="LLQ116" s="77" t="str">
        <f t="shared" si="235"/>
        <v/>
      </c>
      <c r="LLR116" s="77" t="str">
        <f t="shared" si="235"/>
        <v/>
      </c>
      <c r="LLS116" s="77" t="str">
        <f t="shared" si="235"/>
        <v/>
      </c>
      <c r="LLT116" s="77" t="str">
        <f t="shared" si="235"/>
        <v/>
      </c>
      <c r="LLU116" s="77" t="str">
        <f t="shared" si="235"/>
        <v/>
      </c>
      <c r="LLV116" s="77" t="str">
        <f t="shared" si="235"/>
        <v/>
      </c>
      <c r="LLW116" s="77" t="str">
        <f t="shared" si="235"/>
        <v/>
      </c>
      <c r="LLX116" s="77" t="str">
        <f t="shared" si="235"/>
        <v/>
      </c>
      <c r="LLY116" s="77" t="str">
        <f t="shared" si="235"/>
        <v/>
      </c>
      <c r="LLZ116" s="77" t="str">
        <f t="shared" si="235"/>
        <v/>
      </c>
      <c r="LMA116" s="77" t="str">
        <f t="shared" si="235"/>
        <v/>
      </c>
      <c r="LMB116" s="77" t="str">
        <f t="shared" si="235"/>
        <v/>
      </c>
      <c r="LMC116" s="77" t="str">
        <f t="shared" si="235"/>
        <v/>
      </c>
      <c r="LMD116" s="77" t="str">
        <f t="shared" si="235"/>
        <v/>
      </c>
      <c r="LME116" s="77" t="str">
        <f t="shared" si="235"/>
        <v/>
      </c>
      <c r="LMF116" s="77" t="str">
        <f t="shared" si="235"/>
        <v/>
      </c>
      <c r="LMG116" s="77" t="str">
        <f t="shared" si="235"/>
        <v/>
      </c>
      <c r="LMH116" s="77" t="str">
        <f t="shared" si="235"/>
        <v/>
      </c>
      <c r="LMI116" s="77" t="str">
        <f t="shared" si="235"/>
        <v/>
      </c>
      <c r="LMJ116" s="77" t="str">
        <f t="shared" si="235"/>
        <v/>
      </c>
      <c r="LMK116" s="77" t="str">
        <f t="shared" si="235"/>
        <v/>
      </c>
      <c r="LML116" s="77" t="str">
        <f t="shared" si="235"/>
        <v/>
      </c>
      <c r="LMM116" s="77" t="str">
        <f t="shared" si="235"/>
        <v/>
      </c>
      <c r="LMN116" s="77" t="str">
        <f t="shared" si="235"/>
        <v/>
      </c>
      <c r="LMO116" s="77" t="str">
        <f t="shared" si="235"/>
        <v/>
      </c>
      <c r="LMP116" s="77" t="str">
        <f t="shared" si="235"/>
        <v/>
      </c>
      <c r="LMQ116" s="77" t="str">
        <f t="shared" si="235"/>
        <v/>
      </c>
      <c r="LMR116" s="77" t="str">
        <f t="shared" si="235"/>
        <v/>
      </c>
      <c r="LMS116" s="77" t="str">
        <f t="shared" si="235"/>
        <v/>
      </c>
      <c r="LMT116" s="77" t="str">
        <f t="shared" si="235"/>
        <v/>
      </c>
      <c r="LMU116" s="77" t="str">
        <f t="shared" si="235"/>
        <v/>
      </c>
      <c r="LMV116" s="77" t="str">
        <f t="shared" si="235"/>
        <v/>
      </c>
      <c r="LMW116" s="77" t="str">
        <f t="shared" si="235"/>
        <v/>
      </c>
      <c r="LMX116" s="77" t="str">
        <f t="shared" si="235"/>
        <v/>
      </c>
      <c r="LMY116" s="77" t="str">
        <f t="shared" si="235"/>
        <v/>
      </c>
      <c r="LMZ116" s="77" t="str">
        <f t="shared" si="235"/>
        <v/>
      </c>
      <c r="LNA116" s="77" t="str">
        <f t="shared" si="235"/>
        <v/>
      </c>
      <c r="LNB116" s="77" t="str">
        <f t="shared" si="235"/>
        <v/>
      </c>
      <c r="LNC116" s="77" t="str">
        <f t="shared" si="235"/>
        <v/>
      </c>
      <c r="LND116" s="77" t="str">
        <f t="shared" si="235"/>
        <v/>
      </c>
      <c r="LNE116" s="77" t="str">
        <f t="shared" si="235"/>
        <v/>
      </c>
      <c r="LNF116" s="77" t="str">
        <f t="shared" si="235"/>
        <v/>
      </c>
      <c r="LNG116" s="77" t="str">
        <f t="shared" si="235"/>
        <v/>
      </c>
      <c r="LNH116" s="77" t="str">
        <f t="shared" si="235"/>
        <v/>
      </c>
      <c r="LNI116" s="77" t="str">
        <f t="shared" si="235"/>
        <v/>
      </c>
      <c r="LNJ116" s="77" t="str">
        <f t="shared" si="235"/>
        <v/>
      </c>
      <c r="LNK116" s="77" t="str">
        <f t="shared" ref="LNK116:LPV116" si="236">IF(ISNUMBER(outYear),LNK69+LNK75+LNK81+LNK113,"")</f>
        <v/>
      </c>
      <c r="LNL116" s="77" t="str">
        <f t="shared" si="236"/>
        <v/>
      </c>
      <c r="LNM116" s="77" t="str">
        <f t="shared" si="236"/>
        <v/>
      </c>
      <c r="LNN116" s="77" t="str">
        <f t="shared" si="236"/>
        <v/>
      </c>
      <c r="LNO116" s="77" t="str">
        <f t="shared" si="236"/>
        <v/>
      </c>
      <c r="LNP116" s="77" t="str">
        <f t="shared" si="236"/>
        <v/>
      </c>
      <c r="LNQ116" s="77" t="str">
        <f t="shared" si="236"/>
        <v/>
      </c>
      <c r="LNR116" s="77" t="str">
        <f t="shared" si="236"/>
        <v/>
      </c>
      <c r="LNS116" s="77" t="str">
        <f t="shared" si="236"/>
        <v/>
      </c>
      <c r="LNT116" s="77" t="str">
        <f t="shared" si="236"/>
        <v/>
      </c>
      <c r="LNU116" s="77" t="str">
        <f t="shared" si="236"/>
        <v/>
      </c>
      <c r="LNV116" s="77" t="str">
        <f t="shared" si="236"/>
        <v/>
      </c>
      <c r="LNW116" s="77" t="str">
        <f t="shared" si="236"/>
        <v/>
      </c>
      <c r="LNX116" s="77" t="str">
        <f t="shared" si="236"/>
        <v/>
      </c>
      <c r="LNY116" s="77" t="str">
        <f t="shared" si="236"/>
        <v/>
      </c>
      <c r="LNZ116" s="77" t="str">
        <f t="shared" si="236"/>
        <v/>
      </c>
      <c r="LOA116" s="77" t="str">
        <f t="shared" si="236"/>
        <v/>
      </c>
      <c r="LOB116" s="77" t="str">
        <f t="shared" si="236"/>
        <v/>
      </c>
      <c r="LOC116" s="77" t="str">
        <f t="shared" si="236"/>
        <v/>
      </c>
      <c r="LOD116" s="77" t="str">
        <f t="shared" si="236"/>
        <v/>
      </c>
      <c r="LOE116" s="77" t="str">
        <f t="shared" si="236"/>
        <v/>
      </c>
      <c r="LOF116" s="77" t="str">
        <f t="shared" si="236"/>
        <v/>
      </c>
      <c r="LOG116" s="77" t="str">
        <f t="shared" si="236"/>
        <v/>
      </c>
      <c r="LOH116" s="77" t="str">
        <f t="shared" si="236"/>
        <v/>
      </c>
      <c r="LOI116" s="77" t="str">
        <f t="shared" si="236"/>
        <v/>
      </c>
      <c r="LOJ116" s="77" t="str">
        <f t="shared" si="236"/>
        <v/>
      </c>
      <c r="LOK116" s="77" t="str">
        <f t="shared" si="236"/>
        <v/>
      </c>
      <c r="LOL116" s="77" t="str">
        <f t="shared" si="236"/>
        <v/>
      </c>
      <c r="LOM116" s="77" t="str">
        <f t="shared" si="236"/>
        <v/>
      </c>
      <c r="LON116" s="77" t="str">
        <f t="shared" si="236"/>
        <v/>
      </c>
      <c r="LOO116" s="77" t="str">
        <f t="shared" si="236"/>
        <v/>
      </c>
      <c r="LOP116" s="77" t="str">
        <f t="shared" si="236"/>
        <v/>
      </c>
      <c r="LOQ116" s="77" t="str">
        <f t="shared" si="236"/>
        <v/>
      </c>
      <c r="LOR116" s="77" t="str">
        <f t="shared" si="236"/>
        <v/>
      </c>
      <c r="LOS116" s="77" t="str">
        <f t="shared" si="236"/>
        <v/>
      </c>
      <c r="LOT116" s="77" t="str">
        <f t="shared" si="236"/>
        <v/>
      </c>
      <c r="LOU116" s="77" t="str">
        <f t="shared" si="236"/>
        <v/>
      </c>
      <c r="LOV116" s="77" t="str">
        <f t="shared" si="236"/>
        <v/>
      </c>
      <c r="LOW116" s="77" t="str">
        <f t="shared" si="236"/>
        <v/>
      </c>
      <c r="LOX116" s="77" t="str">
        <f t="shared" si="236"/>
        <v/>
      </c>
      <c r="LOY116" s="77" t="str">
        <f t="shared" si="236"/>
        <v/>
      </c>
      <c r="LOZ116" s="77" t="str">
        <f t="shared" si="236"/>
        <v/>
      </c>
      <c r="LPA116" s="77" t="str">
        <f t="shared" si="236"/>
        <v/>
      </c>
      <c r="LPB116" s="77" t="str">
        <f t="shared" si="236"/>
        <v/>
      </c>
      <c r="LPC116" s="77" t="str">
        <f t="shared" si="236"/>
        <v/>
      </c>
      <c r="LPD116" s="77" t="str">
        <f t="shared" si="236"/>
        <v/>
      </c>
      <c r="LPE116" s="77" t="str">
        <f t="shared" si="236"/>
        <v/>
      </c>
      <c r="LPF116" s="77" t="str">
        <f t="shared" si="236"/>
        <v/>
      </c>
      <c r="LPG116" s="77" t="str">
        <f t="shared" si="236"/>
        <v/>
      </c>
      <c r="LPH116" s="77" t="str">
        <f t="shared" si="236"/>
        <v/>
      </c>
      <c r="LPI116" s="77" t="str">
        <f t="shared" si="236"/>
        <v/>
      </c>
      <c r="LPJ116" s="77" t="str">
        <f t="shared" si="236"/>
        <v/>
      </c>
      <c r="LPK116" s="77" t="str">
        <f t="shared" si="236"/>
        <v/>
      </c>
      <c r="LPL116" s="77" t="str">
        <f t="shared" si="236"/>
        <v/>
      </c>
      <c r="LPM116" s="77" t="str">
        <f t="shared" si="236"/>
        <v/>
      </c>
      <c r="LPN116" s="77" t="str">
        <f t="shared" si="236"/>
        <v/>
      </c>
      <c r="LPO116" s="77" t="str">
        <f t="shared" si="236"/>
        <v/>
      </c>
      <c r="LPP116" s="77" t="str">
        <f t="shared" si="236"/>
        <v/>
      </c>
      <c r="LPQ116" s="77" t="str">
        <f t="shared" si="236"/>
        <v/>
      </c>
      <c r="LPR116" s="77" t="str">
        <f t="shared" si="236"/>
        <v/>
      </c>
      <c r="LPS116" s="77" t="str">
        <f t="shared" si="236"/>
        <v/>
      </c>
      <c r="LPT116" s="77" t="str">
        <f t="shared" si="236"/>
        <v/>
      </c>
      <c r="LPU116" s="77" t="str">
        <f t="shared" si="236"/>
        <v/>
      </c>
      <c r="LPV116" s="77" t="str">
        <f t="shared" si="236"/>
        <v/>
      </c>
      <c r="LPW116" s="77" t="str">
        <f t="shared" ref="LPW116:LSH116" si="237">IF(ISNUMBER(outYear),LPW69+LPW75+LPW81+LPW113,"")</f>
        <v/>
      </c>
      <c r="LPX116" s="77" t="str">
        <f t="shared" si="237"/>
        <v/>
      </c>
      <c r="LPY116" s="77" t="str">
        <f t="shared" si="237"/>
        <v/>
      </c>
      <c r="LPZ116" s="77" t="str">
        <f t="shared" si="237"/>
        <v/>
      </c>
      <c r="LQA116" s="77" t="str">
        <f t="shared" si="237"/>
        <v/>
      </c>
      <c r="LQB116" s="77" t="str">
        <f t="shared" si="237"/>
        <v/>
      </c>
      <c r="LQC116" s="77" t="str">
        <f t="shared" si="237"/>
        <v/>
      </c>
      <c r="LQD116" s="77" t="str">
        <f t="shared" si="237"/>
        <v/>
      </c>
      <c r="LQE116" s="77" t="str">
        <f t="shared" si="237"/>
        <v/>
      </c>
      <c r="LQF116" s="77" t="str">
        <f t="shared" si="237"/>
        <v/>
      </c>
      <c r="LQG116" s="77" t="str">
        <f t="shared" si="237"/>
        <v/>
      </c>
      <c r="LQH116" s="77" t="str">
        <f t="shared" si="237"/>
        <v/>
      </c>
      <c r="LQI116" s="77" t="str">
        <f t="shared" si="237"/>
        <v/>
      </c>
      <c r="LQJ116" s="77" t="str">
        <f t="shared" si="237"/>
        <v/>
      </c>
      <c r="LQK116" s="77" t="str">
        <f t="shared" si="237"/>
        <v/>
      </c>
      <c r="LQL116" s="77" t="str">
        <f t="shared" si="237"/>
        <v/>
      </c>
      <c r="LQM116" s="77" t="str">
        <f t="shared" si="237"/>
        <v/>
      </c>
      <c r="LQN116" s="77" t="str">
        <f t="shared" si="237"/>
        <v/>
      </c>
      <c r="LQO116" s="77" t="str">
        <f t="shared" si="237"/>
        <v/>
      </c>
      <c r="LQP116" s="77" t="str">
        <f t="shared" si="237"/>
        <v/>
      </c>
      <c r="LQQ116" s="77" t="str">
        <f t="shared" si="237"/>
        <v/>
      </c>
      <c r="LQR116" s="77" t="str">
        <f t="shared" si="237"/>
        <v/>
      </c>
      <c r="LQS116" s="77" t="str">
        <f t="shared" si="237"/>
        <v/>
      </c>
      <c r="LQT116" s="77" t="str">
        <f t="shared" si="237"/>
        <v/>
      </c>
      <c r="LQU116" s="77" t="str">
        <f t="shared" si="237"/>
        <v/>
      </c>
      <c r="LQV116" s="77" t="str">
        <f t="shared" si="237"/>
        <v/>
      </c>
      <c r="LQW116" s="77" t="str">
        <f t="shared" si="237"/>
        <v/>
      </c>
      <c r="LQX116" s="77" t="str">
        <f t="shared" si="237"/>
        <v/>
      </c>
      <c r="LQY116" s="77" t="str">
        <f t="shared" si="237"/>
        <v/>
      </c>
      <c r="LQZ116" s="77" t="str">
        <f t="shared" si="237"/>
        <v/>
      </c>
      <c r="LRA116" s="77" t="str">
        <f t="shared" si="237"/>
        <v/>
      </c>
      <c r="LRB116" s="77" t="str">
        <f t="shared" si="237"/>
        <v/>
      </c>
      <c r="LRC116" s="77" t="str">
        <f t="shared" si="237"/>
        <v/>
      </c>
      <c r="LRD116" s="77" t="str">
        <f t="shared" si="237"/>
        <v/>
      </c>
      <c r="LRE116" s="77" t="str">
        <f t="shared" si="237"/>
        <v/>
      </c>
      <c r="LRF116" s="77" t="str">
        <f t="shared" si="237"/>
        <v/>
      </c>
      <c r="LRG116" s="77" t="str">
        <f t="shared" si="237"/>
        <v/>
      </c>
      <c r="LRH116" s="77" t="str">
        <f t="shared" si="237"/>
        <v/>
      </c>
      <c r="LRI116" s="77" t="str">
        <f t="shared" si="237"/>
        <v/>
      </c>
      <c r="LRJ116" s="77" t="str">
        <f t="shared" si="237"/>
        <v/>
      </c>
      <c r="LRK116" s="77" t="str">
        <f t="shared" si="237"/>
        <v/>
      </c>
      <c r="LRL116" s="77" t="str">
        <f t="shared" si="237"/>
        <v/>
      </c>
      <c r="LRM116" s="77" t="str">
        <f t="shared" si="237"/>
        <v/>
      </c>
      <c r="LRN116" s="77" t="str">
        <f t="shared" si="237"/>
        <v/>
      </c>
      <c r="LRO116" s="77" t="str">
        <f t="shared" si="237"/>
        <v/>
      </c>
      <c r="LRP116" s="77" t="str">
        <f t="shared" si="237"/>
        <v/>
      </c>
      <c r="LRQ116" s="77" t="str">
        <f t="shared" si="237"/>
        <v/>
      </c>
      <c r="LRR116" s="77" t="str">
        <f t="shared" si="237"/>
        <v/>
      </c>
      <c r="LRS116" s="77" t="str">
        <f t="shared" si="237"/>
        <v/>
      </c>
      <c r="LRT116" s="77" t="str">
        <f t="shared" si="237"/>
        <v/>
      </c>
      <c r="LRU116" s="77" t="str">
        <f t="shared" si="237"/>
        <v/>
      </c>
      <c r="LRV116" s="77" t="str">
        <f t="shared" si="237"/>
        <v/>
      </c>
      <c r="LRW116" s="77" t="str">
        <f t="shared" si="237"/>
        <v/>
      </c>
      <c r="LRX116" s="77" t="str">
        <f t="shared" si="237"/>
        <v/>
      </c>
      <c r="LRY116" s="77" t="str">
        <f t="shared" si="237"/>
        <v/>
      </c>
      <c r="LRZ116" s="77" t="str">
        <f t="shared" si="237"/>
        <v/>
      </c>
      <c r="LSA116" s="77" t="str">
        <f t="shared" si="237"/>
        <v/>
      </c>
      <c r="LSB116" s="77" t="str">
        <f t="shared" si="237"/>
        <v/>
      </c>
      <c r="LSC116" s="77" t="str">
        <f t="shared" si="237"/>
        <v/>
      </c>
      <c r="LSD116" s="77" t="str">
        <f t="shared" si="237"/>
        <v/>
      </c>
      <c r="LSE116" s="77" t="str">
        <f t="shared" si="237"/>
        <v/>
      </c>
      <c r="LSF116" s="77" t="str">
        <f t="shared" si="237"/>
        <v/>
      </c>
      <c r="LSG116" s="77" t="str">
        <f t="shared" si="237"/>
        <v/>
      </c>
      <c r="LSH116" s="77" t="str">
        <f t="shared" si="237"/>
        <v/>
      </c>
      <c r="LSI116" s="77" t="str">
        <f t="shared" ref="LSI116:LUT116" si="238">IF(ISNUMBER(outYear),LSI69+LSI75+LSI81+LSI113,"")</f>
        <v/>
      </c>
      <c r="LSJ116" s="77" t="str">
        <f t="shared" si="238"/>
        <v/>
      </c>
      <c r="LSK116" s="77" t="str">
        <f t="shared" si="238"/>
        <v/>
      </c>
      <c r="LSL116" s="77" t="str">
        <f t="shared" si="238"/>
        <v/>
      </c>
      <c r="LSM116" s="77" t="str">
        <f t="shared" si="238"/>
        <v/>
      </c>
      <c r="LSN116" s="77" t="str">
        <f t="shared" si="238"/>
        <v/>
      </c>
      <c r="LSO116" s="77" t="str">
        <f t="shared" si="238"/>
        <v/>
      </c>
      <c r="LSP116" s="77" t="str">
        <f t="shared" si="238"/>
        <v/>
      </c>
      <c r="LSQ116" s="77" t="str">
        <f t="shared" si="238"/>
        <v/>
      </c>
      <c r="LSR116" s="77" t="str">
        <f t="shared" si="238"/>
        <v/>
      </c>
      <c r="LSS116" s="77" t="str">
        <f t="shared" si="238"/>
        <v/>
      </c>
      <c r="LST116" s="77" t="str">
        <f t="shared" si="238"/>
        <v/>
      </c>
      <c r="LSU116" s="77" t="str">
        <f t="shared" si="238"/>
        <v/>
      </c>
      <c r="LSV116" s="77" t="str">
        <f t="shared" si="238"/>
        <v/>
      </c>
      <c r="LSW116" s="77" t="str">
        <f t="shared" si="238"/>
        <v/>
      </c>
      <c r="LSX116" s="77" t="str">
        <f t="shared" si="238"/>
        <v/>
      </c>
      <c r="LSY116" s="77" t="str">
        <f t="shared" si="238"/>
        <v/>
      </c>
      <c r="LSZ116" s="77" t="str">
        <f t="shared" si="238"/>
        <v/>
      </c>
      <c r="LTA116" s="77" t="str">
        <f t="shared" si="238"/>
        <v/>
      </c>
      <c r="LTB116" s="77" t="str">
        <f t="shared" si="238"/>
        <v/>
      </c>
      <c r="LTC116" s="77" t="str">
        <f t="shared" si="238"/>
        <v/>
      </c>
      <c r="LTD116" s="77" t="str">
        <f t="shared" si="238"/>
        <v/>
      </c>
      <c r="LTE116" s="77" t="str">
        <f t="shared" si="238"/>
        <v/>
      </c>
      <c r="LTF116" s="77" t="str">
        <f t="shared" si="238"/>
        <v/>
      </c>
      <c r="LTG116" s="77" t="str">
        <f t="shared" si="238"/>
        <v/>
      </c>
      <c r="LTH116" s="77" t="str">
        <f t="shared" si="238"/>
        <v/>
      </c>
      <c r="LTI116" s="77" t="str">
        <f t="shared" si="238"/>
        <v/>
      </c>
      <c r="LTJ116" s="77" t="str">
        <f t="shared" si="238"/>
        <v/>
      </c>
      <c r="LTK116" s="77" t="str">
        <f t="shared" si="238"/>
        <v/>
      </c>
      <c r="LTL116" s="77" t="str">
        <f t="shared" si="238"/>
        <v/>
      </c>
      <c r="LTM116" s="77" t="str">
        <f t="shared" si="238"/>
        <v/>
      </c>
      <c r="LTN116" s="77" t="str">
        <f t="shared" si="238"/>
        <v/>
      </c>
      <c r="LTO116" s="77" t="str">
        <f t="shared" si="238"/>
        <v/>
      </c>
      <c r="LTP116" s="77" t="str">
        <f t="shared" si="238"/>
        <v/>
      </c>
      <c r="LTQ116" s="77" t="str">
        <f t="shared" si="238"/>
        <v/>
      </c>
      <c r="LTR116" s="77" t="str">
        <f t="shared" si="238"/>
        <v/>
      </c>
      <c r="LTS116" s="77" t="str">
        <f t="shared" si="238"/>
        <v/>
      </c>
      <c r="LTT116" s="77" t="str">
        <f t="shared" si="238"/>
        <v/>
      </c>
      <c r="LTU116" s="77" t="str">
        <f t="shared" si="238"/>
        <v/>
      </c>
      <c r="LTV116" s="77" t="str">
        <f t="shared" si="238"/>
        <v/>
      </c>
      <c r="LTW116" s="77" t="str">
        <f t="shared" si="238"/>
        <v/>
      </c>
      <c r="LTX116" s="77" t="str">
        <f t="shared" si="238"/>
        <v/>
      </c>
      <c r="LTY116" s="77" t="str">
        <f t="shared" si="238"/>
        <v/>
      </c>
      <c r="LTZ116" s="77" t="str">
        <f t="shared" si="238"/>
        <v/>
      </c>
      <c r="LUA116" s="77" t="str">
        <f t="shared" si="238"/>
        <v/>
      </c>
      <c r="LUB116" s="77" t="str">
        <f t="shared" si="238"/>
        <v/>
      </c>
      <c r="LUC116" s="77" t="str">
        <f t="shared" si="238"/>
        <v/>
      </c>
      <c r="LUD116" s="77" t="str">
        <f t="shared" si="238"/>
        <v/>
      </c>
      <c r="LUE116" s="77" t="str">
        <f t="shared" si="238"/>
        <v/>
      </c>
      <c r="LUF116" s="77" t="str">
        <f t="shared" si="238"/>
        <v/>
      </c>
      <c r="LUG116" s="77" t="str">
        <f t="shared" si="238"/>
        <v/>
      </c>
      <c r="LUH116" s="77" t="str">
        <f t="shared" si="238"/>
        <v/>
      </c>
      <c r="LUI116" s="77" t="str">
        <f t="shared" si="238"/>
        <v/>
      </c>
      <c r="LUJ116" s="77" t="str">
        <f t="shared" si="238"/>
        <v/>
      </c>
      <c r="LUK116" s="77" t="str">
        <f t="shared" si="238"/>
        <v/>
      </c>
      <c r="LUL116" s="77" t="str">
        <f t="shared" si="238"/>
        <v/>
      </c>
      <c r="LUM116" s="77" t="str">
        <f t="shared" si="238"/>
        <v/>
      </c>
      <c r="LUN116" s="77" t="str">
        <f t="shared" si="238"/>
        <v/>
      </c>
      <c r="LUO116" s="77" t="str">
        <f t="shared" si="238"/>
        <v/>
      </c>
      <c r="LUP116" s="77" t="str">
        <f t="shared" si="238"/>
        <v/>
      </c>
      <c r="LUQ116" s="77" t="str">
        <f t="shared" si="238"/>
        <v/>
      </c>
      <c r="LUR116" s="77" t="str">
        <f t="shared" si="238"/>
        <v/>
      </c>
      <c r="LUS116" s="77" t="str">
        <f t="shared" si="238"/>
        <v/>
      </c>
      <c r="LUT116" s="77" t="str">
        <f t="shared" si="238"/>
        <v/>
      </c>
      <c r="LUU116" s="77" t="str">
        <f t="shared" ref="LUU116:LXF116" si="239">IF(ISNUMBER(outYear),LUU69+LUU75+LUU81+LUU113,"")</f>
        <v/>
      </c>
      <c r="LUV116" s="77" t="str">
        <f t="shared" si="239"/>
        <v/>
      </c>
      <c r="LUW116" s="77" t="str">
        <f t="shared" si="239"/>
        <v/>
      </c>
      <c r="LUX116" s="77" t="str">
        <f t="shared" si="239"/>
        <v/>
      </c>
      <c r="LUY116" s="77" t="str">
        <f t="shared" si="239"/>
        <v/>
      </c>
      <c r="LUZ116" s="77" t="str">
        <f t="shared" si="239"/>
        <v/>
      </c>
      <c r="LVA116" s="77" t="str">
        <f t="shared" si="239"/>
        <v/>
      </c>
      <c r="LVB116" s="77" t="str">
        <f t="shared" si="239"/>
        <v/>
      </c>
      <c r="LVC116" s="77" t="str">
        <f t="shared" si="239"/>
        <v/>
      </c>
      <c r="LVD116" s="77" t="str">
        <f t="shared" si="239"/>
        <v/>
      </c>
      <c r="LVE116" s="77" t="str">
        <f t="shared" si="239"/>
        <v/>
      </c>
      <c r="LVF116" s="77" t="str">
        <f t="shared" si="239"/>
        <v/>
      </c>
      <c r="LVG116" s="77" t="str">
        <f t="shared" si="239"/>
        <v/>
      </c>
      <c r="LVH116" s="77" t="str">
        <f t="shared" si="239"/>
        <v/>
      </c>
      <c r="LVI116" s="77" t="str">
        <f t="shared" si="239"/>
        <v/>
      </c>
      <c r="LVJ116" s="77" t="str">
        <f t="shared" si="239"/>
        <v/>
      </c>
      <c r="LVK116" s="77" t="str">
        <f t="shared" si="239"/>
        <v/>
      </c>
      <c r="LVL116" s="77" t="str">
        <f t="shared" si="239"/>
        <v/>
      </c>
      <c r="LVM116" s="77" t="str">
        <f t="shared" si="239"/>
        <v/>
      </c>
      <c r="LVN116" s="77" t="str">
        <f t="shared" si="239"/>
        <v/>
      </c>
      <c r="LVO116" s="77" t="str">
        <f t="shared" si="239"/>
        <v/>
      </c>
      <c r="LVP116" s="77" t="str">
        <f t="shared" si="239"/>
        <v/>
      </c>
      <c r="LVQ116" s="77" t="str">
        <f t="shared" si="239"/>
        <v/>
      </c>
      <c r="LVR116" s="77" t="str">
        <f t="shared" si="239"/>
        <v/>
      </c>
      <c r="LVS116" s="77" t="str">
        <f t="shared" si="239"/>
        <v/>
      </c>
      <c r="LVT116" s="77" t="str">
        <f t="shared" si="239"/>
        <v/>
      </c>
      <c r="LVU116" s="77" t="str">
        <f t="shared" si="239"/>
        <v/>
      </c>
      <c r="LVV116" s="77" t="str">
        <f t="shared" si="239"/>
        <v/>
      </c>
      <c r="LVW116" s="77" t="str">
        <f t="shared" si="239"/>
        <v/>
      </c>
      <c r="LVX116" s="77" t="str">
        <f t="shared" si="239"/>
        <v/>
      </c>
      <c r="LVY116" s="77" t="str">
        <f t="shared" si="239"/>
        <v/>
      </c>
      <c r="LVZ116" s="77" t="str">
        <f t="shared" si="239"/>
        <v/>
      </c>
      <c r="LWA116" s="77" t="str">
        <f t="shared" si="239"/>
        <v/>
      </c>
      <c r="LWB116" s="77" t="str">
        <f t="shared" si="239"/>
        <v/>
      </c>
      <c r="LWC116" s="77" t="str">
        <f t="shared" si="239"/>
        <v/>
      </c>
      <c r="LWD116" s="77" t="str">
        <f t="shared" si="239"/>
        <v/>
      </c>
      <c r="LWE116" s="77" t="str">
        <f t="shared" si="239"/>
        <v/>
      </c>
      <c r="LWF116" s="77" t="str">
        <f t="shared" si="239"/>
        <v/>
      </c>
      <c r="LWG116" s="77" t="str">
        <f t="shared" si="239"/>
        <v/>
      </c>
      <c r="LWH116" s="77" t="str">
        <f t="shared" si="239"/>
        <v/>
      </c>
      <c r="LWI116" s="77" t="str">
        <f t="shared" si="239"/>
        <v/>
      </c>
      <c r="LWJ116" s="77" t="str">
        <f t="shared" si="239"/>
        <v/>
      </c>
      <c r="LWK116" s="77" t="str">
        <f t="shared" si="239"/>
        <v/>
      </c>
      <c r="LWL116" s="77" t="str">
        <f t="shared" si="239"/>
        <v/>
      </c>
      <c r="LWM116" s="77" t="str">
        <f t="shared" si="239"/>
        <v/>
      </c>
      <c r="LWN116" s="77" t="str">
        <f t="shared" si="239"/>
        <v/>
      </c>
      <c r="LWO116" s="77" t="str">
        <f t="shared" si="239"/>
        <v/>
      </c>
      <c r="LWP116" s="77" t="str">
        <f t="shared" si="239"/>
        <v/>
      </c>
      <c r="LWQ116" s="77" t="str">
        <f t="shared" si="239"/>
        <v/>
      </c>
      <c r="LWR116" s="77" t="str">
        <f t="shared" si="239"/>
        <v/>
      </c>
      <c r="LWS116" s="77" t="str">
        <f t="shared" si="239"/>
        <v/>
      </c>
      <c r="LWT116" s="77" t="str">
        <f t="shared" si="239"/>
        <v/>
      </c>
      <c r="LWU116" s="77" t="str">
        <f t="shared" si="239"/>
        <v/>
      </c>
      <c r="LWV116" s="77" t="str">
        <f t="shared" si="239"/>
        <v/>
      </c>
      <c r="LWW116" s="77" t="str">
        <f t="shared" si="239"/>
        <v/>
      </c>
      <c r="LWX116" s="77" t="str">
        <f t="shared" si="239"/>
        <v/>
      </c>
      <c r="LWY116" s="77" t="str">
        <f t="shared" si="239"/>
        <v/>
      </c>
      <c r="LWZ116" s="77" t="str">
        <f t="shared" si="239"/>
        <v/>
      </c>
      <c r="LXA116" s="77" t="str">
        <f t="shared" si="239"/>
        <v/>
      </c>
      <c r="LXB116" s="77" t="str">
        <f t="shared" si="239"/>
        <v/>
      </c>
      <c r="LXC116" s="77" t="str">
        <f t="shared" si="239"/>
        <v/>
      </c>
      <c r="LXD116" s="77" t="str">
        <f t="shared" si="239"/>
        <v/>
      </c>
      <c r="LXE116" s="77" t="str">
        <f t="shared" si="239"/>
        <v/>
      </c>
      <c r="LXF116" s="77" t="str">
        <f t="shared" si="239"/>
        <v/>
      </c>
      <c r="LXG116" s="77" t="str">
        <f t="shared" ref="LXG116:LZR116" si="240">IF(ISNUMBER(outYear),LXG69+LXG75+LXG81+LXG113,"")</f>
        <v/>
      </c>
      <c r="LXH116" s="77" t="str">
        <f t="shared" si="240"/>
        <v/>
      </c>
      <c r="LXI116" s="77" t="str">
        <f t="shared" si="240"/>
        <v/>
      </c>
      <c r="LXJ116" s="77" t="str">
        <f t="shared" si="240"/>
        <v/>
      </c>
      <c r="LXK116" s="77" t="str">
        <f t="shared" si="240"/>
        <v/>
      </c>
      <c r="LXL116" s="77" t="str">
        <f t="shared" si="240"/>
        <v/>
      </c>
      <c r="LXM116" s="77" t="str">
        <f t="shared" si="240"/>
        <v/>
      </c>
      <c r="LXN116" s="77" t="str">
        <f t="shared" si="240"/>
        <v/>
      </c>
      <c r="LXO116" s="77" t="str">
        <f t="shared" si="240"/>
        <v/>
      </c>
      <c r="LXP116" s="77" t="str">
        <f t="shared" si="240"/>
        <v/>
      </c>
      <c r="LXQ116" s="77" t="str">
        <f t="shared" si="240"/>
        <v/>
      </c>
      <c r="LXR116" s="77" t="str">
        <f t="shared" si="240"/>
        <v/>
      </c>
      <c r="LXS116" s="77" t="str">
        <f t="shared" si="240"/>
        <v/>
      </c>
      <c r="LXT116" s="77" t="str">
        <f t="shared" si="240"/>
        <v/>
      </c>
      <c r="LXU116" s="77" t="str">
        <f t="shared" si="240"/>
        <v/>
      </c>
      <c r="LXV116" s="77" t="str">
        <f t="shared" si="240"/>
        <v/>
      </c>
      <c r="LXW116" s="77" t="str">
        <f t="shared" si="240"/>
        <v/>
      </c>
      <c r="LXX116" s="77" t="str">
        <f t="shared" si="240"/>
        <v/>
      </c>
      <c r="LXY116" s="77" t="str">
        <f t="shared" si="240"/>
        <v/>
      </c>
      <c r="LXZ116" s="77" t="str">
        <f t="shared" si="240"/>
        <v/>
      </c>
      <c r="LYA116" s="77" t="str">
        <f t="shared" si="240"/>
        <v/>
      </c>
      <c r="LYB116" s="77" t="str">
        <f t="shared" si="240"/>
        <v/>
      </c>
      <c r="LYC116" s="77" t="str">
        <f t="shared" si="240"/>
        <v/>
      </c>
      <c r="LYD116" s="77" t="str">
        <f t="shared" si="240"/>
        <v/>
      </c>
      <c r="LYE116" s="77" t="str">
        <f t="shared" si="240"/>
        <v/>
      </c>
      <c r="LYF116" s="77" t="str">
        <f t="shared" si="240"/>
        <v/>
      </c>
      <c r="LYG116" s="77" t="str">
        <f t="shared" si="240"/>
        <v/>
      </c>
      <c r="LYH116" s="77" t="str">
        <f t="shared" si="240"/>
        <v/>
      </c>
      <c r="LYI116" s="77" t="str">
        <f t="shared" si="240"/>
        <v/>
      </c>
      <c r="LYJ116" s="77" t="str">
        <f t="shared" si="240"/>
        <v/>
      </c>
      <c r="LYK116" s="77" t="str">
        <f t="shared" si="240"/>
        <v/>
      </c>
      <c r="LYL116" s="77" t="str">
        <f t="shared" si="240"/>
        <v/>
      </c>
      <c r="LYM116" s="77" t="str">
        <f t="shared" si="240"/>
        <v/>
      </c>
      <c r="LYN116" s="77" t="str">
        <f t="shared" si="240"/>
        <v/>
      </c>
      <c r="LYO116" s="77" t="str">
        <f t="shared" si="240"/>
        <v/>
      </c>
      <c r="LYP116" s="77" t="str">
        <f t="shared" si="240"/>
        <v/>
      </c>
      <c r="LYQ116" s="77" t="str">
        <f t="shared" si="240"/>
        <v/>
      </c>
      <c r="LYR116" s="77" t="str">
        <f t="shared" si="240"/>
        <v/>
      </c>
      <c r="LYS116" s="77" t="str">
        <f t="shared" si="240"/>
        <v/>
      </c>
      <c r="LYT116" s="77" t="str">
        <f t="shared" si="240"/>
        <v/>
      </c>
      <c r="LYU116" s="77" t="str">
        <f t="shared" si="240"/>
        <v/>
      </c>
      <c r="LYV116" s="77" t="str">
        <f t="shared" si="240"/>
        <v/>
      </c>
      <c r="LYW116" s="77" t="str">
        <f t="shared" si="240"/>
        <v/>
      </c>
      <c r="LYX116" s="77" t="str">
        <f t="shared" si="240"/>
        <v/>
      </c>
      <c r="LYY116" s="77" t="str">
        <f t="shared" si="240"/>
        <v/>
      </c>
      <c r="LYZ116" s="77" t="str">
        <f t="shared" si="240"/>
        <v/>
      </c>
      <c r="LZA116" s="77" t="str">
        <f t="shared" si="240"/>
        <v/>
      </c>
      <c r="LZB116" s="77" t="str">
        <f t="shared" si="240"/>
        <v/>
      </c>
      <c r="LZC116" s="77" t="str">
        <f t="shared" si="240"/>
        <v/>
      </c>
      <c r="LZD116" s="77" t="str">
        <f t="shared" si="240"/>
        <v/>
      </c>
      <c r="LZE116" s="77" t="str">
        <f t="shared" si="240"/>
        <v/>
      </c>
      <c r="LZF116" s="77" t="str">
        <f t="shared" si="240"/>
        <v/>
      </c>
      <c r="LZG116" s="77" t="str">
        <f t="shared" si="240"/>
        <v/>
      </c>
      <c r="LZH116" s="77" t="str">
        <f t="shared" si="240"/>
        <v/>
      </c>
      <c r="LZI116" s="77" t="str">
        <f t="shared" si="240"/>
        <v/>
      </c>
      <c r="LZJ116" s="77" t="str">
        <f t="shared" si="240"/>
        <v/>
      </c>
      <c r="LZK116" s="77" t="str">
        <f t="shared" si="240"/>
        <v/>
      </c>
      <c r="LZL116" s="77" t="str">
        <f t="shared" si="240"/>
        <v/>
      </c>
      <c r="LZM116" s="77" t="str">
        <f t="shared" si="240"/>
        <v/>
      </c>
      <c r="LZN116" s="77" t="str">
        <f t="shared" si="240"/>
        <v/>
      </c>
      <c r="LZO116" s="77" t="str">
        <f t="shared" si="240"/>
        <v/>
      </c>
      <c r="LZP116" s="77" t="str">
        <f t="shared" si="240"/>
        <v/>
      </c>
      <c r="LZQ116" s="77" t="str">
        <f t="shared" si="240"/>
        <v/>
      </c>
      <c r="LZR116" s="77" t="str">
        <f t="shared" si="240"/>
        <v/>
      </c>
      <c r="LZS116" s="77" t="str">
        <f t="shared" ref="LZS116:MCD116" si="241">IF(ISNUMBER(outYear),LZS69+LZS75+LZS81+LZS113,"")</f>
        <v/>
      </c>
      <c r="LZT116" s="77" t="str">
        <f t="shared" si="241"/>
        <v/>
      </c>
      <c r="LZU116" s="77" t="str">
        <f t="shared" si="241"/>
        <v/>
      </c>
      <c r="LZV116" s="77" t="str">
        <f t="shared" si="241"/>
        <v/>
      </c>
      <c r="LZW116" s="77" t="str">
        <f t="shared" si="241"/>
        <v/>
      </c>
      <c r="LZX116" s="77" t="str">
        <f t="shared" si="241"/>
        <v/>
      </c>
      <c r="LZY116" s="77" t="str">
        <f t="shared" si="241"/>
        <v/>
      </c>
      <c r="LZZ116" s="77" t="str">
        <f t="shared" si="241"/>
        <v/>
      </c>
      <c r="MAA116" s="77" t="str">
        <f t="shared" si="241"/>
        <v/>
      </c>
      <c r="MAB116" s="77" t="str">
        <f t="shared" si="241"/>
        <v/>
      </c>
      <c r="MAC116" s="77" t="str">
        <f t="shared" si="241"/>
        <v/>
      </c>
      <c r="MAD116" s="77" t="str">
        <f t="shared" si="241"/>
        <v/>
      </c>
      <c r="MAE116" s="77" t="str">
        <f t="shared" si="241"/>
        <v/>
      </c>
      <c r="MAF116" s="77" t="str">
        <f t="shared" si="241"/>
        <v/>
      </c>
      <c r="MAG116" s="77" t="str">
        <f t="shared" si="241"/>
        <v/>
      </c>
      <c r="MAH116" s="77" t="str">
        <f t="shared" si="241"/>
        <v/>
      </c>
      <c r="MAI116" s="77" t="str">
        <f t="shared" si="241"/>
        <v/>
      </c>
      <c r="MAJ116" s="77" t="str">
        <f t="shared" si="241"/>
        <v/>
      </c>
      <c r="MAK116" s="77" t="str">
        <f t="shared" si="241"/>
        <v/>
      </c>
      <c r="MAL116" s="77" t="str">
        <f t="shared" si="241"/>
        <v/>
      </c>
      <c r="MAM116" s="77" t="str">
        <f t="shared" si="241"/>
        <v/>
      </c>
      <c r="MAN116" s="77" t="str">
        <f t="shared" si="241"/>
        <v/>
      </c>
      <c r="MAO116" s="77" t="str">
        <f t="shared" si="241"/>
        <v/>
      </c>
      <c r="MAP116" s="77" t="str">
        <f t="shared" si="241"/>
        <v/>
      </c>
      <c r="MAQ116" s="77" t="str">
        <f t="shared" si="241"/>
        <v/>
      </c>
      <c r="MAR116" s="77" t="str">
        <f t="shared" si="241"/>
        <v/>
      </c>
      <c r="MAS116" s="77" t="str">
        <f t="shared" si="241"/>
        <v/>
      </c>
      <c r="MAT116" s="77" t="str">
        <f t="shared" si="241"/>
        <v/>
      </c>
      <c r="MAU116" s="77" t="str">
        <f t="shared" si="241"/>
        <v/>
      </c>
      <c r="MAV116" s="77" t="str">
        <f t="shared" si="241"/>
        <v/>
      </c>
      <c r="MAW116" s="77" t="str">
        <f t="shared" si="241"/>
        <v/>
      </c>
      <c r="MAX116" s="77" t="str">
        <f t="shared" si="241"/>
        <v/>
      </c>
      <c r="MAY116" s="77" t="str">
        <f t="shared" si="241"/>
        <v/>
      </c>
      <c r="MAZ116" s="77" t="str">
        <f t="shared" si="241"/>
        <v/>
      </c>
      <c r="MBA116" s="77" t="str">
        <f t="shared" si="241"/>
        <v/>
      </c>
      <c r="MBB116" s="77" t="str">
        <f t="shared" si="241"/>
        <v/>
      </c>
      <c r="MBC116" s="77" t="str">
        <f t="shared" si="241"/>
        <v/>
      </c>
      <c r="MBD116" s="77" t="str">
        <f t="shared" si="241"/>
        <v/>
      </c>
      <c r="MBE116" s="77" t="str">
        <f t="shared" si="241"/>
        <v/>
      </c>
      <c r="MBF116" s="77" t="str">
        <f t="shared" si="241"/>
        <v/>
      </c>
      <c r="MBG116" s="77" t="str">
        <f t="shared" si="241"/>
        <v/>
      </c>
      <c r="MBH116" s="77" t="str">
        <f t="shared" si="241"/>
        <v/>
      </c>
      <c r="MBI116" s="77" t="str">
        <f t="shared" si="241"/>
        <v/>
      </c>
      <c r="MBJ116" s="77" t="str">
        <f t="shared" si="241"/>
        <v/>
      </c>
      <c r="MBK116" s="77" t="str">
        <f t="shared" si="241"/>
        <v/>
      </c>
      <c r="MBL116" s="77" t="str">
        <f t="shared" si="241"/>
        <v/>
      </c>
      <c r="MBM116" s="77" t="str">
        <f t="shared" si="241"/>
        <v/>
      </c>
      <c r="MBN116" s="77" t="str">
        <f t="shared" si="241"/>
        <v/>
      </c>
      <c r="MBO116" s="77" t="str">
        <f t="shared" si="241"/>
        <v/>
      </c>
      <c r="MBP116" s="77" t="str">
        <f t="shared" si="241"/>
        <v/>
      </c>
      <c r="MBQ116" s="77" t="str">
        <f t="shared" si="241"/>
        <v/>
      </c>
      <c r="MBR116" s="77" t="str">
        <f t="shared" si="241"/>
        <v/>
      </c>
      <c r="MBS116" s="77" t="str">
        <f t="shared" si="241"/>
        <v/>
      </c>
      <c r="MBT116" s="77" t="str">
        <f t="shared" si="241"/>
        <v/>
      </c>
      <c r="MBU116" s="77" t="str">
        <f t="shared" si="241"/>
        <v/>
      </c>
      <c r="MBV116" s="77" t="str">
        <f t="shared" si="241"/>
        <v/>
      </c>
      <c r="MBW116" s="77" t="str">
        <f t="shared" si="241"/>
        <v/>
      </c>
      <c r="MBX116" s="77" t="str">
        <f t="shared" si="241"/>
        <v/>
      </c>
      <c r="MBY116" s="77" t="str">
        <f t="shared" si="241"/>
        <v/>
      </c>
      <c r="MBZ116" s="77" t="str">
        <f t="shared" si="241"/>
        <v/>
      </c>
      <c r="MCA116" s="77" t="str">
        <f t="shared" si="241"/>
        <v/>
      </c>
      <c r="MCB116" s="77" t="str">
        <f t="shared" si="241"/>
        <v/>
      </c>
      <c r="MCC116" s="77" t="str">
        <f t="shared" si="241"/>
        <v/>
      </c>
      <c r="MCD116" s="77" t="str">
        <f t="shared" si="241"/>
        <v/>
      </c>
      <c r="MCE116" s="77" t="str">
        <f t="shared" ref="MCE116:MEP116" si="242">IF(ISNUMBER(outYear),MCE69+MCE75+MCE81+MCE113,"")</f>
        <v/>
      </c>
      <c r="MCF116" s="77" t="str">
        <f t="shared" si="242"/>
        <v/>
      </c>
      <c r="MCG116" s="77" t="str">
        <f t="shared" si="242"/>
        <v/>
      </c>
      <c r="MCH116" s="77" t="str">
        <f t="shared" si="242"/>
        <v/>
      </c>
      <c r="MCI116" s="77" t="str">
        <f t="shared" si="242"/>
        <v/>
      </c>
      <c r="MCJ116" s="77" t="str">
        <f t="shared" si="242"/>
        <v/>
      </c>
      <c r="MCK116" s="77" t="str">
        <f t="shared" si="242"/>
        <v/>
      </c>
      <c r="MCL116" s="77" t="str">
        <f t="shared" si="242"/>
        <v/>
      </c>
      <c r="MCM116" s="77" t="str">
        <f t="shared" si="242"/>
        <v/>
      </c>
      <c r="MCN116" s="77" t="str">
        <f t="shared" si="242"/>
        <v/>
      </c>
      <c r="MCO116" s="77" t="str">
        <f t="shared" si="242"/>
        <v/>
      </c>
      <c r="MCP116" s="77" t="str">
        <f t="shared" si="242"/>
        <v/>
      </c>
      <c r="MCQ116" s="77" t="str">
        <f t="shared" si="242"/>
        <v/>
      </c>
      <c r="MCR116" s="77" t="str">
        <f t="shared" si="242"/>
        <v/>
      </c>
      <c r="MCS116" s="77" t="str">
        <f t="shared" si="242"/>
        <v/>
      </c>
      <c r="MCT116" s="77" t="str">
        <f t="shared" si="242"/>
        <v/>
      </c>
      <c r="MCU116" s="77" t="str">
        <f t="shared" si="242"/>
        <v/>
      </c>
      <c r="MCV116" s="77" t="str">
        <f t="shared" si="242"/>
        <v/>
      </c>
      <c r="MCW116" s="77" t="str">
        <f t="shared" si="242"/>
        <v/>
      </c>
      <c r="MCX116" s="77" t="str">
        <f t="shared" si="242"/>
        <v/>
      </c>
      <c r="MCY116" s="77" t="str">
        <f t="shared" si="242"/>
        <v/>
      </c>
      <c r="MCZ116" s="77" t="str">
        <f t="shared" si="242"/>
        <v/>
      </c>
      <c r="MDA116" s="77" t="str">
        <f t="shared" si="242"/>
        <v/>
      </c>
      <c r="MDB116" s="77" t="str">
        <f t="shared" si="242"/>
        <v/>
      </c>
      <c r="MDC116" s="77" t="str">
        <f t="shared" si="242"/>
        <v/>
      </c>
      <c r="MDD116" s="77" t="str">
        <f t="shared" si="242"/>
        <v/>
      </c>
      <c r="MDE116" s="77" t="str">
        <f t="shared" si="242"/>
        <v/>
      </c>
      <c r="MDF116" s="77" t="str">
        <f t="shared" si="242"/>
        <v/>
      </c>
      <c r="MDG116" s="77" t="str">
        <f t="shared" si="242"/>
        <v/>
      </c>
      <c r="MDH116" s="77" t="str">
        <f t="shared" si="242"/>
        <v/>
      </c>
      <c r="MDI116" s="77" t="str">
        <f t="shared" si="242"/>
        <v/>
      </c>
      <c r="MDJ116" s="77" t="str">
        <f t="shared" si="242"/>
        <v/>
      </c>
      <c r="MDK116" s="77" t="str">
        <f t="shared" si="242"/>
        <v/>
      </c>
      <c r="MDL116" s="77" t="str">
        <f t="shared" si="242"/>
        <v/>
      </c>
      <c r="MDM116" s="77" t="str">
        <f t="shared" si="242"/>
        <v/>
      </c>
      <c r="MDN116" s="77" t="str">
        <f t="shared" si="242"/>
        <v/>
      </c>
      <c r="MDO116" s="77" t="str">
        <f t="shared" si="242"/>
        <v/>
      </c>
      <c r="MDP116" s="77" t="str">
        <f t="shared" si="242"/>
        <v/>
      </c>
      <c r="MDQ116" s="77" t="str">
        <f t="shared" si="242"/>
        <v/>
      </c>
      <c r="MDR116" s="77" t="str">
        <f t="shared" si="242"/>
        <v/>
      </c>
      <c r="MDS116" s="77" t="str">
        <f t="shared" si="242"/>
        <v/>
      </c>
      <c r="MDT116" s="77" t="str">
        <f t="shared" si="242"/>
        <v/>
      </c>
      <c r="MDU116" s="77" t="str">
        <f t="shared" si="242"/>
        <v/>
      </c>
      <c r="MDV116" s="77" t="str">
        <f t="shared" si="242"/>
        <v/>
      </c>
      <c r="MDW116" s="77" t="str">
        <f t="shared" si="242"/>
        <v/>
      </c>
      <c r="MDX116" s="77" t="str">
        <f t="shared" si="242"/>
        <v/>
      </c>
      <c r="MDY116" s="77" t="str">
        <f t="shared" si="242"/>
        <v/>
      </c>
      <c r="MDZ116" s="77" t="str">
        <f t="shared" si="242"/>
        <v/>
      </c>
      <c r="MEA116" s="77" t="str">
        <f t="shared" si="242"/>
        <v/>
      </c>
      <c r="MEB116" s="77" t="str">
        <f t="shared" si="242"/>
        <v/>
      </c>
      <c r="MEC116" s="77" t="str">
        <f t="shared" si="242"/>
        <v/>
      </c>
      <c r="MED116" s="77" t="str">
        <f t="shared" si="242"/>
        <v/>
      </c>
      <c r="MEE116" s="77" t="str">
        <f t="shared" si="242"/>
        <v/>
      </c>
      <c r="MEF116" s="77" t="str">
        <f t="shared" si="242"/>
        <v/>
      </c>
      <c r="MEG116" s="77" t="str">
        <f t="shared" si="242"/>
        <v/>
      </c>
      <c r="MEH116" s="77" t="str">
        <f t="shared" si="242"/>
        <v/>
      </c>
      <c r="MEI116" s="77" t="str">
        <f t="shared" si="242"/>
        <v/>
      </c>
      <c r="MEJ116" s="77" t="str">
        <f t="shared" si="242"/>
        <v/>
      </c>
      <c r="MEK116" s="77" t="str">
        <f t="shared" si="242"/>
        <v/>
      </c>
      <c r="MEL116" s="77" t="str">
        <f t="shared" si="242"/>
        <v/>
      </c>
      <c r="MEM116" s="77" t="str">
        <f t="shared" si="242"/>
        <v/>
      </c>
      <c r="MEN116" s="77" t="str">
        <f t="shared" si="242"/>
        <v/>
      </c>
      <c r="MEO116" s="77" t="str">
        <f t="shared" si="242"/>
        <v/>
      </c>
      <c r="MEP116" s="77" t="str">
        <f t="shared" si="242"/>
        <v/>
      </c>
      <c r="MEQ116" s="77" t="str">
        <f t="shared" ref="MEQ116:MHB116" si="243">IF(ISNUMBER(outYear),MEQ69+MEQ75+MEQ81+MEQ113,"")</f>
        <v/>
      </c>
      <c r="MER116" s="77" t="str">
        <f t="shared" si="243"/>
        <v/>
      </c>
      <c r="MES116" s="77" t="str">
        <f t="shared" si="243"/>
        <v/>
      </c>
      <c r="MET116" s="77" t="str">
        <f t="shared" si="243"/>
        <v/>
      </c>
      <c r="MEU116" s="77" t="str">
        <f t="shared" si="243"/>
        <v/>
      </c>
      <c r="MEV116" s="77" t="str">
        <f t="shared" si="243"/>
        <v/>
      </c>
      <c r="MEW116" s="77" t="str">
        <f t="shared" si="243"/>
        <v/>
      </c>
      <c r="MEX116" s="77" t="str">
        <f t="shared" si="243"/>
        <v/>
      </c>
      <c r="MEY116" s="77" t="str">
        <f t="shared" si="243"/>
        <v/>
      </c>
      <c r="MEZ116" s="77" t="str">
        <f t="shared" si="243"/>
        <v/>
      </c>
      <c r="MFA116" s="77" t="str">
        <f t="shared" si="243"/>
        <v/>
      </c>
      <c r="MFB116" s="77" t="str">
        <f t="shared" si="243"/>
        <v/>
      </c>
      <c r="MFC116" s="77" t="str">
        <f t="shared" si="243"/>
        <v/>
      </c>
      <c r="MFD116" s="77" t="str">
        <f t="shared" si="243"/>
        <v/>
      </c>
      <c r="MFE116" s="77" t="str">
        <f t="shared" si="243"/>
        <v/>
      </c>
      <c r="MFF116" s="77" t="str">
        <f t="shared" si="243"/>
        <v/>
      </c>
      <c r="MFG116" s="77" t="str">
        <f t="shared" si="243"/>
        <v/>
      </c>
      <c r="MFH116" s="77" t="str">
        <f t="shared" si="243"/>
        <v/>
      </c>
      <c r="MFI116" s="77" t="str">
        <f t="shared" si="243"/>
        <v/>
      </c>
      <c r="MFJ116" s="77" t="str">
        <f t="shared" si="243"/>
        <v/>
      </c>
      <c r="MFK116" s="77" t="str">
        <f t="shared" si="243"/>
        <v/>
      </c>
      <c r="MFL116" s="77" t="str">
        <f t="shared" si="243"/>
        <v/>
      </c>
      <c r="MFM116" s="77" t="str">
        <f t="shared" si="243"/>
        <v/>
      </c>
      <c r="MFN116" s="77" t="str">
        <f t="shared" si="243"/>
        <v/>
      </c>
      <c r="MFO116" s="77" t="str">
        <f t="shared" si="243"/>
        <v/>
      </c>
      <c r="MFP116" s="77" t="str">
        <f t="shared" si="243"/>
        <v/>
      </c>
      <c r="MFQ116" s="77" t="str">
        <f t="shared" si="243"/>
        <v/>
      </c>
      <c r="MFR116" s="77" t="str">
        <f t="shared" si="243"/>
        <v/>
      </c>
      <c r="MFS116" s="77" t="str">
        <f t="shared" si="243"/>
        <v/>
      </c>
      <c r="MFT116" s="77" t="str">
        <f t="shared" si="243"/>
        <v/>
      </c>
      <c r="MFU116" s="77" t="str">
        <f t="shared" si="243"/>
        <v/>
      </c>
      <c r="MFV116" s="77" t="str">
        <f t="shared" si="243"/>
        <v/>
      </c>
      <c r="MFW116" s="77" t="str">
        <f t="shared" si="243"/>
        <v/>
      </c>
      <c r="MFX116" s="77" t="str">
        <f t="shared" si="243"/>
        <v/>
      </c>
      <c r="MFY116" s="77" t="str">
        <f t="shared" si="243"/>
        <v/>
      </c>
      <c r="MFZ116" s="77" t="str">
        <f t="shared" si="243"/>
        <v/>
      </c>
      <c r="MGA116" s="77" t="str">
        <f t="shared" si="243"/>
        <v/>
      </c>
      <c r="MGB116" s="77" t="str">
        <f t="shared" si="243"/>
        <v/>
      </c>
      <c r="MGC116" s="77" t="str">
        <f t="shared" si="243"/>
        <v/>
      </c>
      <c r="MGD116" s="77" t="str">
        <f t="shared" si="243"/>
        <v/>
      </c>
      <c r="MGE116" s="77" t="str">
        <f t="shared" si="243"/>
        <v/>
      </c>
      <c r="MGF116" s="77" t="str">
        <f t="shared" si="243"/>
        <v/>
      </c>
      <c r="MGG116" s="77" t="str">
        <f t="shared" si="243"/>
        <v/>
      </c>
      <c r="MGH116" s="77" t="str">
        <f t="shared" si="243"/>
        <v/>
      </c>
      <c r="MGI116" s="77" t="str">
        <f t="shared" si="243"/>
        <v/>
      </c>
      <c r="MGJ116" s="77" t="str">
        <f t="shared" si="243"/>
        <v/>
      </c>
      <c r="MGK116" s="77" t="str">
        <f t="shared" si="243"/>
        <v/>
      </c>
      <c r="MGL116" s="77" t="str">
        <f t="shared" si="243"/>
        <v/>
      </c>
      <c r="MGM116" s="77" t="str">
        <f t="shared" si="243"/>
        <v/>
      </c>
      <c r="MGN116" s="77" t="str">
        <f t="shared" si="243"/>
        <v/>
      </c>
      <c r="MGO116" s="77" t="str">
        <f t="shared" si="243"/>
        <v/>
      </c>
      <c r="MGP116" s="77" t="str">
        <f t="shared" si="243"/>
        <v/>
      </c>
      <c r="MGQ116" s="77" t="str">
        <f t="shared" si="243"/>
        <v/>
      </c>
      <c r="MGR116" s="77" t="str">
        <f t="shared" si="243"/>
        <v/>
      </c>
      <c r="MGS116" s="77" t="str">
        <f t="shared" si="243"/>
        <v/>
      </c>
      <c r="MGT116" s="77" t="str">
        <f t="shared" si="243"/>
        <v/>
      </c>
      <c r="MGU116" s="77" t="str">
        <f t="shared" si="243"/>
        <v/>
      </c>
      <c r="MGV116" s="77" t="str">
        <f t="shared" si="243"/>
        <v/>
      </c>
      <c r="MGW116" s="77" t="str">
        <f t="shared" si="243"/>
        <v/>
      </c>
      <c r="MGX116" s="77" t="str">
        <f t="shared" si="243"/>
        <v/>
      </c>
      <c r="MGY116" s="77" t="str">
        <f t="shared" si="243"/>
        <v/>
      </c>
      <c r="MGZ116" s="77" t="str">
        <f t="shared" si="243"/>
        <v/>
      </c>
      <c r="MHA116" s="77" t="str">
        <f t="shared" si="243"/>
        <v/>
      </c>
      <c r="MHB116" s="77" t="str">
        <f t="shared" si="243"/>
        <v/>
      </c>
      <c r="MHC116" s="77" t="str">
        <f t="shared" ref="MHC116:MJN116" si="244">IF(ISNUMBER(outYear),MHC69+MHC75+MHC81+MHC113,"")</f>
        <v/>
      </c>
      <c r="MHD116" s="77" t="str">
        <f t="shared" si="244"/>
        <v/>
      </c>
      <c r="MHE116" s="77" t="str">
        <f t="shared" si="244"/>
        <v/>
      </c>
      <c r="MHF116" s="77" t="str">
        <f t="shared" si="244"/>
        <v/>
      </c>
      <c r="MHG116" s="77" t="str">
        <f t="shared" si="244"/>
        <v/>
      </c>
      <c r="MHH116" s="77" t="str">
        <f t="shared" si="244"/>
        <v/>
      </c>
      <c r="MHI116" s="77" t="str">
        <f t="shared" si="244"/>
        <v/>
      </c>
      <c r="MHJ116" s="77" t="str">
        <f t="shared" si="244"/>
        <v/>
      </c>
      <c r="MHK116" s="77" t="str">
        <f t="shared" si="244"/>
        <v/>
      </c>
      <c r="MHL116" s="77" t="str">
        <f t="shared" si="244"/>
        <v/>
      </c>
      <c r="MHM116" s="77" t="str">
        <f t="shared" si="244"/>
        <v/>
      </c>
      <c r="MHN116" s="77" t="str">
        <f t="shared" si="244"/>
        <v/>
      </c>
      <c r="MHO116" s="77" t="str">
        <f t="shared" si="244"/>
        <v/>
      </c>
      <c r="MHP116" s="77" t="str">
        <f t="shared" si="244"/>
        <v/>
      </c>
      <c r="MHQ116" s="77" t="str">
        <f t="shared" si="244"/>
        <v/>
      </c>
      <c r="MHR116" s="77" t="str">
        <f t="shared" si="244"/>
        <v/>
      </c>
      <c r="MHS116" s="77" t="str">
        <f t="shared" si="244"/>
        <v/>
      </c>
      <c r="MHT116" s="77" t="str">
        <f t="shared" si="244"/>
        <v/>
      </c>
      <c r="MHU116" s="77" t="str">
        <f t="shared" si="244"/>
        <v/>
      </c>
      <c r="MHV116" s="77" t="str">
        <f t="shared" si="244"/>
        <v/>
      </c>
      <c r="MHW116" s="77" t="str">
        <f t="shared" si="244"/>
        <v/>
      </c>
      <c r="MHX116" s="77" t="str">
        <f t="shared" si="244"/>
        <v/>
      </c>
      <c r="MHY116" s="77" t="str">
        <f t="shared" si="244"/>
        <v/>
      </c>
      <c r="MHZ116" s="77" t="str">
        <f t="shared" si="244"/>
        <v/>
      </c>
      <c r="MIA116" s="77" t="str">
        <f t="shared" si="244"/>
        <v/>
      </c>
      <c r="MIB116" s="77" t="str">
        <f t="shared" si="244"/>
        <v/>
      </c>
      <c r="MIC116" s="77" t="str">
        <f t="shared" si="244"/>
        <v/>
      </c>
      <c r="MID116" s="77" t="str">
        <f t="shared" si="244"/>
        <v/>
      </c>
      <c r="MIE116" s="77" t="str">
        <f t="shared" si="244"/>
        <v/>
      </c>
      <c r="MIF116" s="77" t="str">
        <f t="shared" si="244"/>
        <v/>
      </c>
      <c r="MIG116" s="77" t="str">
        <f t="shared" si="244"/>
        <v/>
      </c>
      <c r="MIH116" s="77" t="str">
        <f t="shared" si="244"/>
        <v/>
      </c>
      <c r="MII116" s="77" t="str">
        <f t="shared" si="244"/>
        <v/>
      </c>
      <c r="MIJ116" s="77" t="str">
        <f t="shared" si="244"/>
        <v/>
      </c>
      <c r="MIK116" s="77" t="str">
        <f t="shared" si="244"/>
        <v/>
      </c>
      <c r="MIL116" s="77" t="str">
        <f t="shared" si="244"/>
        <v/>
      </c>
      <c r="MIM116" s="77" t="str">
        <f t="shared" si="244"/>
        <v/>
      </c>
      <c r="MIN116" s="77" t="str">
        <f t="shared" si="244"/>
        <v/>
      </c>
      <c r="MIO116" s="77" t="str">
        <f t="shared" si="244"/>
        <v/>
      </c>
      <c r="MIP116" s="77" t="str">
        <f t="shared" si="244"/>
        <v/>
      </c>
      <c r="MIQ116" s="77" t="str">
        <f t="shared" si="244"/>
        <v/>
      </c>
      <c r="MIR116" s="77" t="str">
        <f t="shared" si="244"/>
        <v/>
      </c>
      <c r="MIS116" s="77" t="str">
        <f t="shared" si="244"/>
        <v/>
      </c>
      <c r="MIT116" s="77" t="str">
        <f t="shared" si="244"/>
        <v/>
      </c>
      <c r="MIU116" s="77" t="str">
        <f t="shared" si="244"/>
        <v/>
      </c>
      <c r="MIV116" s="77" t="str">
        <f t="shared" si="244"/>
        <v/>
      </c>
      <c r="MIW116" s="77" t="str">
        <f t="shared" si="244"/>
        <v/>
      </c>
      <c r="MIX116" s="77" t="str">
        <f t="shared" si="244"/>
        <v/>
      </c>
      <c r="MIY116" s="77" t="str">
        <f t="shared" si="244"/>
        <v/>
      </c>
      <c r="MIZ116" s="77" t="str">
        <f t="shared" si="244"/>
        <v/>
      </c>
      <c r="MJA116" s="77" t="str">
        <f t="shared" si="244"/>
        <v/>
      </c>
      <c r="MJB116" s="77" t="str">
        <f t="shared" si="244"/>
        <v/>
      </c>
      <c r="MJC116" s="77" t="str">
        <f t="shared" si="244"/>
        <v/>
      </c>
      <c r="MJD116" s="77" t="str">
        <f t="shared" si="244"/>
        <v/>
      </c>
      <c r="MJE116" s="77" t="str">
        <f t="shared" si="244"/>
        <v/>
      </c>
      <c r="MJF116" s="77" t="str">
        <f t="shared" si="244"/>
        <v/>
      </c>
      <c r="MJG116" s="77" t="str">
        <f t="shared" si="244"/>
        <v/>
      </c>
      <c r="MJH116" s="77" t="str">
        <f t="shared" si="244"/>
        <v/>
      </c>
      <c r="MJI116" s="77" t="str">
        <f t="shared" si="244"/>
        <v/>
      </c>
      <c r="MJJ116" s="77" t="str">
        <f t="shared" si="244"/>
        <v/>
      </c>
      <c r="MJK116" s="77" t="str">
        <f t="shared" si="244"/>
        <v/>
      </c>
      <c r="MJL116" s="77" t="str">
        <f t="shared" si="244"/>
        <v/>
      </c>
      <c r="MJM116" s="77" t="str">
        <f t="shared" si="244"/>
        <v/>
      </c>
      <c r="MJN116" s="77" t="str">
        <f t="shared" si="244"/>
        <v/>
      </c>
      <c r="MJO116" s="77" t="str">
        <f t="shared" ref="MJO116:MLZ116" si="245">IF(ISNUMBER(outYear),MJO69+MJO75+MJO81+MJO113,"")</f>
        <v/>
      </c>
      <c r="MJP116" s="77" t="str">
        <f t="shared" si="245"/>
        <v/>
      </c>
      <c r="MJQ116" s="77" t="str">
        <f t="shared" si="245"/>
        <v/>
      </c>
      <c r="MJR116" s="77" t="str">
        <f t="shared" si="245"/>
        <v/>
      </c>
      <c r="MJS116" s="77" t="str">
        <f t="shared" si="245"/>
        <v/>
      </c>
      <c r="MJT116" s="77" t="str">
        <f t="shared" si="245"/>
        <v/>
      </c>
      <c r="MJU116" s="77" t="str">
        <f t="shared" si="245"/>
        <v/>
      </c>
      <c r="MJV116" s="77" t="str">
        <f t="shared" si="245"/>
        <v/>
      </c>
      <c r="MJW116" s="77" t="str">
        <f t="shared" si="245"/>
        <v/>
      </c>
      <c r="MJX116" s="77" t="str">
        <f t="shared" si="245"/>
        <v/>
      </c>
      <c r="MJY116" s="77" t="str">
        <f t="shared" si="245"/>
        <v/>
      </c>
      <c r="MJZ116" s="77" t="str">
        <f t="shared" si="245"/>
        <v/>
      </c>
      <c r="MKA116" s="77" t="str">
        <f t="shared" si="245"/>
        <v/>
      </c>
      <c r="MKB116" s="77" t="str">
        <f t="shared" si="245"/>
        <v/>
      </c>
      <c r="MKC116" s="77" t="str">
        <f t="shared" si="245"/>
        <v/>
      </c>
      <c r="MKD116" s="77" t="str">
        <f t="shared" si="245"/>
        <v/>
      </c>
      <c r="MKE116" s="77" t="str">
        <f t="shared" si="245"/>
        <v/>
      </c>
      <c r="MKF116" s="77" t="str">
        <f t="shared" si="245"/>
        <v/>
      </c>
      <c r="MKG116" s="77" t="str">
        <f t="shared" si="245"/>
        <v/>
      </c>
      <c r="MKH116" s="77" t="str">
        <f t="shared" si="245"/>
        <v/>
      </c>
      <c r="MKI116" s="77" t="str">
        <f t="shared" si="245"/>
        <v/>
      </c>
      <c r="MKJ116" s="77" t="str">
        <f t="shared" si="245"/>
        <v/>
      </c>
      <c r="MKK116" s="77" t="str">
        <f t="shared" si="245"/>
        <v/>
      </c>
      <c r="MKL116" s="77" t="str">
        <f t="shared" si="245"/>
        <v/>
      </c>
      <c r="MKM116" s="77" t="str">
        <f t="shared" si="245"/>
        <v/>
      </c>
      <c r="MKN116" s="77" t="str">
        <f t="shared" si="245"/>
        <v/>
      </c>
      <c r="MKO116" s="77" t="str">
        <f t="shared" si="245"/>
        <v/>
      </c>
      <c r="MKP116" s="77" t="str">
        <f t="shared" si="245"/>
        <v/>
      </c>
      <c r="MKQ116" s="77" t="str">
        <f t="shared" si="245"/>
        <v/>
      </c>
      <c r="MKR116" s="77" t="str">
        <f t="shared" si="245"/>
        <v/>
      </c>
      <c r="MKS116" s="77" t="str">
        <f t="shared" si="245"/>
        <v/>
      </c>
      <c r="MKT116" s="77" t="str">
        <f t="shared" si="245"/>
        <v/>
      </c>
      <c r="MKU116" s="77" t="str">
        <f t="shared" si="245"/>
        <v/>
      </c>
      <c r="MKV116" s="77" t="str">
        <f t="shared" si="245"/>
        <v/>
      </c>
      <c r="MKW116" s="77" t="str">
        <f t="shared" si="245"/>
        <v/>
      </c>
      <c r="MKX116" s="77" t="str">
        <f t="shared" si="245"/>
        <v/>
      </c>
      <c r="MKY116" s="77" t="str">
        <f t="shared" si="245"/>
        <v/>
      </c>
      <c r="MKZ116" s="77" t="str">
        <f t="shared" si="245"/>
        <v/>
      </c>
      <c r="MLA116" s="77" t="str">
        <f t="shared" si="245"/>
        <v/>
      </c>
      <c r="MLB116" s="77" t="str">
        <f t="shared" si="245"/>
        <v/>
      </c>
      <c r="MLC116" s="77" t="str">
        <f t="shared" si="245"/>
        <v/>
      </c>
      <c r="MLD116" s="77" t="str">
        <f t="shared" si="245"/>
        <v/>
      </c>
      <c r="MLE116" s="77" t="str">
        <f t="shared" si="245"/>
        <v/>
      </c>
      <c r="MLF116" s="77" t="str">
        <f t="shared" si="245"/>
        <v/>
      </c>
      <c r="MLG116" s="77" t="str">
        <f t="shared" si="245"/>
        <v/>
      </c>
      <c r="MLH116" s="77" t="str">
        <f t="shared" si="245"/>
        <v/>
      </c>
      <c r="MLI116" s="77" t="str">
        <f t="shared" si="245"/>
        <v/>
      </c>
      <c r="MLJ116" s="77" t="str">
        <f t="shared" si="245"/>
        <v/>
      </c>
      <c r="MLK116" s="77" t="str">
        <f t="shared" si="245"/>
        <v/>
      </c>
      <c r="MLL116" s="77" t="str">
        <f t="shared" si="245"/>
        <v/>
      </c>
      <c r="MLM116" s="77" t="str">
        <f t="shared" si="245"/>
        <v/>
      </c>
      <c r="MLN116" s="77" t="str">
        <f t="shared" si="245"/>
        <v/>
      </c>
      <c r="MLO116" s="77" t="str">
        <f t="shared" si="245"/>
        <v/>
      </c>
      <c r="MLP116" s="77" t="str">
        <f t="shared" si="245"/>
        <v/>
      </c>
      <c r="MLQ116" s="77" t="str">
        <f t="shared" si="245"/>
        <v/>
      </c>
      <c r="MLR116" s="77" t="str">
        <f t="shared" si="245"/>
        <v/>
      </c>
      <c r="MLS116" s="77" t="str">
        <f t="shared" si="245"/>
        <v/>
      </c>
      <c r="MLT116" s="77" t="str">
        <f t="shared" si="245"/>
        <v/>
      </c>
      <c r="MLU116" s="77" t="str">
        <f t="shared" si="245"/>
        <v/>
      </c>
      <c r="MLV116" s="77" t="str">
        <f t="shared" si="245"/>
        <v/>
      </c>
      <c r="MLW116" s="77" t="str">
        <f t="shared" si="245"/>
        <v/>
      </c>
      <c r="MLX116" s="77" t="str">
        <f t="shared" si="245"/>
        <v/>
      </c>
      <c r="MLY116" s="77" t="str">
        <f t="shared" si="245"/>
        <v/>
      </c>
      <c r="MLZ116" s="77" t="str">
        <f t="shared" si="245"/>
        <v/>
      </c>
      <c r="MMA116" s="77" t="str">
        <f t="shared" ref="MMA116:MOL116" si="246">IF(ISNUMBER(outYear),MMA69+MMA75+MMA81+MMA113,"")</f>
        <v/>
      </c>
      <c r="MMB116" s="77" t="str">
        <f t="shared" si="246"/>
        <v/>
      </c>
      <c r="MMC116" s="77" t="str">
        <f t="shared" si="246"/>
        <v/>
      </c>
      <c r="MMD116" s="77" t="str">
        <f t="shared" si="246"/>
        <v/>
      </c>
      <c r="MME116" s="77" t="str">
        <f t="shared" si="246"/>
        <v/>
      </c>
      <c r="MMF116" s="77" t="str">
        <f t="shared" si="246"/>
        <v/>
      </c>
      <c r="MMG116" s="77" t="str">
        <f t="shared" si="246"/>
        <v/>
      </c>
      <c r="MMH116" s="77" t="str">
        <f t="shared" si="246"/>
        <v/>
      </c>
      <c r="MMI116" s="77" t="str">
        <f t="shared" si="246"/>
        <v/>
      </c>
      <c r="MMJ116" s="77" t="str">
        <f t="shared" si="246"/>
        <v/>
      </c>
      <c r="MMK116" s="77" t="str">
        <f t="shared" si="246"/>
        <v/>
      </c>
      <c r="MML116" s="77" t="str">
        <f t="shared" si="246"/>
        <v/>
      </c>
      <c r="MMM116" s="77" t="str">
        <f t="shared" si="246"/>
        <v/>
      </c>
      <c r="MMN116" s="77" t="str">
        <f t="shared" si="246"/>
        <v/>
      </c>
      <c r="MMO116" s="77" t="str">
        <f t="shared" si="246"/>
        <v/>
      </c>
      <c r="MMP116" s="77" t="str">
        <f t="shared" si="246"/>
        <v/>
      </c>
      <c r="MMQ116" s="77" t="str">
        <f t="shared" si="246"/>
        <v/>
      </c>
      <c r="MMR116" s="77" t="str">
        <f t="shared" si="246"/>
        <v/>
      </c>
      <c r="MMS116" s="77" t="str">
        <f t="shared" si="246"/>
        <v/>
      </c>
      <c r="MMT116" s="77" t="str">
        <f t="shared" si="246"/>
        <v/>
      </c>
      <c r="MMU116" s="77" t="str">
        <f t="shared" si="246"/>
        <v/>
      </c>
      <c r="MMV116" s="77" t="str">
        <f t="shared" si="246"/>
        <v/>
      </c>
      <c r="MMW116" s="77" t="str">
        <f t="shared" si="246"/>
        <v/>
      </c>
      <c r="MMX116" s="77" t="str">
        <f t="shared" si="246"/>
        <v/>
      </c>
      <c r="MMY116" s="77" t="str">
        <f t="shared" si="246"/>
        <v/>
      </c>
      <c r="MMZ116" s="77" t="str">
        <f t="shared" si="246"/>
        <v/>
      </c>
      <c r="MNA116" s="77" t="str">
        <f t="shared" si="246"/>
        <v/>
      </c>
      <c r="MNB116" s="77" t="str">
        <f t="shared" si="246"/>
        <v/>
      </c>
      <c r="MNC116" s="77" t="str">
        <f t="shared" si="246"/>
        <v/>
      </c>
      <c r="MND116" s="77" t="str">
        <f t="shared" si="246"/>
        <v/>
      </c>
      <c r="MNE116" s="77" t="str">
        <f t="shared" si="246"/>
        <v/>
      </c>
      <c r="MNF116" s="77" t="str">
        <f t="shared" si="246"/>
        <v/>
      </c>
      <c r="MNG116" s="77" t="str">
        <f t="shared" si="246"/>
        <v/>
      </c>
      <c r="MNH116" s="77" t="str">
        <f t="shared" si="246"/>
        <v/>
      </c>
      <c r="MNI116" s="77" t="str">
        <f t="shared" si="246"/>
        <v/>
      </c>
      <c r="MNJ116" s="77" t="str">
        <f t="shared" si="246"/>
        <v/>
      </c>
      <c r="MNK116" s="77" t="str">
        <f t="shared" si="246"/>
        <v/>
      </c>
      <c r="MNL116" s="77" t="str">
        <f t="shared" si="246"/>
        <v/>
      </c>
      <c r="MNM116" s="77" t="str">
        <f t="shared" si="246"/>
        <v/>
      </c>
      <c r="MNN116" s="77" t="str">
        <f t="shared" si="246"/>
        <v/>
      </c>
      <c r="MNO116" s="77" t="str">
        <f t="shared" si="246"/>
        <v/>
      </c>
      <c r="MNP116" s="77" t="str">
        <f t="shared" si="246"/>
        <v/>
      </c>
      <c r="MNQ116" s="77" t="str">
        <f t="shared" si="246"/>
        <v/>
      </c>
      <c r="MNR116" s="77" t="str">
        <f t="shared" si="246"/>
        <v/>
      </c>
      <c r="MNS116" s="77" t="str">
        <f t="shared" si="246"/>
        <v/>
      </c>
      <c r="MNT116" s="77" t="str">
        <f t="shared" si="246"/>
        <v/>
      </c>
      <c r="MNU116" s="77" t="str">
        <f t="shared" si="246"/>
        <v/>
      </c>
      <c r="MNV116" s="77" t="str">
        <f t="shared" si="246"/>
        <v/>
      </c>
      <c r="MNW116" s="77" t="str">
        <f t="shared" si="246"/>
        <v/>
      </c>
      <c r="MNX116" s="77" t="str">
        <f t="shared" si="246"/>
        <v/>
      </c>
      <c r="MNY116" s="77" t="str">
        <f t="shared" si="246"/>
        <v/>
      </c>
      <c r="MNZ116" s="77" t="str">
        <f t="shared" si="246"/>
        <v/>
      </c>
      <c r="MOA116" s="77" t="str">
        <f t="shared" si="246"/>
        <v/>
      </c>
      <c r="MOB116" s="77" t="str">
        <f t="shared" si="246"/>
        <v/>
      </c>
      <c r="MOC116" s="77" t="str">
        <f t="shared" si="246"/>
        <v/>
      </c>
      <c r="MOD116" s="77" t="str">
        <f t="shared" si="246"/>
        <v/>
      </c>
      <c r="MOE116" s="77" t="str">
        <f t="shared" si="246"/>
        <v/>
      </c>
      <c r="MOF116" s="77" t="str">
        <f t="shared" si="246"/>
        <v/>
      </c>
      <c r="MOG116" s="77" t="str">
        <f t="shared" si="246"/>
        <v/>
      </c>
      <c r="MOH116" s="77" t="str">
        <f t="shared" si="246"/>
        <v/>
      </c>
      <c r="MOI116" s="77" t="str">
        <f t="shared" si="246"/>
        <v/>
      </c>
      <c r="MOJ116" s="77" t="str">
        <f t="shared" si="246"/>
        <v/>
      </c>
      <c r="MOK116" s="77" t="str">
        <f t="shared" si="246"/>
        <v/>
      </c>
      <c r="MOL116" s="77" t="str">
        <f t="shared" si="246"/>
        <v/>
      </c>
      <c r="MOM116" s="77" t="str">
        <f t="shared" ref="MOM116:MQX116" si="247">IF(ISNUMBER(outYear),MOM69+MOM75+MOM81+MOM113,"")</f>
        <v/>
      </c>
      <c r="MON116" s="77" t="str">
        <f t="shared" si="247"/>
        <v/>
      </c>
      <c r="MOO116" s="77" t="str">
        <f t="shared" si="247"/>
        <v/>
      </c>
      <c r="MOP116" s="77" t="str">
        <f t="shared" si="247"/>
        <v/>
      </c>
      <c r="MOQ116" s="77" t="str">
        <f t="shared" si="247"/>
        <v/>
      </c>
      <c r="MOR116" s="77" t="str">
        <f t="shared" si="247"/>
        <v/>
      </c>
      <c r="MOS116" s="77" t="str">
        <f t="shared" si="247"/>
        <v/>
      </c>
      <c r="MOT116" s="77" t="str">
        <f t="shared" si="247"/>
        <v/>
      </c>
      <c r="MOU116" s="77" t="str">
        <f t="shared" si="247"/>
        <v/>
      </c>
      <c r="MOV116" s="77" t="str">
        <f t="shared" si="247"/>
        <v/>
      </c>
      <c r="MOW116" s="77" t="str">
        <f t="shared" si="247"/>
        <v/>
      </c>
      <c r="MOX116" s="77" t="str">
        <f t="shared" si="247"/>
        <v/>
      </c>
      <c r="MOY116" s="77" t="str">
        <f t="shared" si="247"/>
        <v/>
      </c>
      <c r="MOZ116" s="77" t="str">
        <f t="shared" si="247"/>
        <v/>
      </c>
      <c r="MPA116" s="77" t="str">
        <f t="shared" si="247"/>
        <v/>
      </c>
      <c r="MPB116" s="77" t="str">
        <f t="shared" si="247"/>
        <v/>
      </c>
      <c r="MPC116" s="77" t="str">
        <f t="shared" si="247"/>
        <v/>
      </c>
      <c r="MPD116" s="77" t="str">
        <f t="shared" si="247"/>
        <v/>
      </c>
      <c r="MPE116" s="77" t="str">
        <f t="shared" si="247"/>
        <v/>
      </c>
      <c r="MPF116" s="77" t="str">
        <f t="shared" si="247"/>
        <v/>
      </c>
      <c r="MPG116" s="77" t="str">
        <f t="shared" si="247"/>
        <v/>
      </c>
      <c r="MPH116" s="77" t="str">
        <f t="shared" si="247"/>
        <v/>
      </c>
      <c r="MPI116" s="77" t="str">
        <f t="shared" si="247"/>
        <v/>
      </c>
      <c r="MPJ116" s="77" t="str">
        <f t="shared" si="247"/>
        <v/>
      </c>
      <c r="MPK116" s="77" t="str">
        <f t="shared" si="247"/>
        <v/>
      </c>
      <c r="MPL116" s="77" t="str">
        <f t="shared" si="247"/>
        <v/>
      </c>
      <c r="MPM116" s="77" t="str">
        <f t="shared" si="247"/>
        <v/>
      </c>
      <c r="MPN116" s="77" t="str">
        <f t="shared" si="247"/>
        <v/>
      </c>
      <c r="MPO116" s="77" t="str">
        <f t="shared" si="247"/>
        <v/>
      </c>
      <c r="MPP116" s="77" t="str">
        <f t="shared" si="247"/>
        <v/>
      </c>
      <c r="MPQ116" s="77" t="str">
        <f t="shared" si="247"/>
        <v/>
      </c>
      <c r="MPR116" s="77" t="str">
        <f t="shared" si="247"/>
        <v/>
      </c>
      <c r="MPS116" s="77" t="str">
        <f t="shared" si="247"/>
        <v/>
      </c>
      <c r="MPT116" s="77" t="str">
        <f t="shared" si="247"/>
        <v/>
      </c>
      <c r="MPU116" s="77" t="str">
        <f t="shared" si="247"/>
        <v/>
      </c>
      <c r="MPV116" s="77" t="str">
        <f t="shared" si="247"/>
        <v/>
      </c>
      <c r="MPW116" s="77" t="str">
        <f t="shared" si="247"/>
        <v/>
      </c>
      <c r="MPX116" s="77" t="str">
        <f t="shared" si="247"/>
        <v/>
      </c>
      <c r="MPY116" s="77" t="str">
        <f t="shared" si="247"/>
        <v/>
      </c>
      <c r="MPZ116" s="77" t="str">
        <f t="shared" si="247"/>
        <v/>
      </c>
      <c r="MQA116" s="77" t="str">
        <f t="shared" si="247"/>
        <v/>
      </c>
      <c r="MQB116" s="77" t="str">
        <f t="shared" si="247"/>
        <v/>
      </c>
      <c r="MQC116" s="77" t="str">
        <f t="shared" si="247"/>
        <v/>
      </c>
      <c r="MQD116" s="77" t="str">
        <f t="shared" si="247"/>
        <v/>
      </c>
      <c r="MQE116" s="77" t="str">
        <f t="shared" si="247"/>
        <v/>
      </c>
      <c r="MQF116" s="77" t="str">
        <f t="shared" si="247"/>
        <v/>
      </c>
      <c r="MQG116" s="77" t="str">
        <f t="shared" si="247"/>
        <v/>
      </c>
      <c r="MQH116" s="77" t="str">
        <f t="shared" si="247"/>
        <v/>
      </c>
      <c r="MQI116" s="77" t="str">
        <f t="shared" si="247"/>
        <v/>
      </c>
      <c r="MQJ116" s="77" t="str">
        <f t="shared" si="247"/>
        <v/>
      </c>
      <c r="MQK116" s="77" t="str">
        <f t="shared" si="247"/>
        <v/>
      </c>
      <c r="MQL116" s="77" t="str">
        <f t="shared" si="247"/>
        <v/>
      </c>
      <c r="MQM116" s="77" t="str">
        <f t="shared" si="247"/>
        <v/>
      </c>
      <c r="MQN116" s="77" t="str">
        <f t="shared" si="247"/>
        <v/>
      </c>
      <c r="MQO116" s="77" t="str">
        <f t="shared" si="247"/>
        <v/>
      </c>
      <c r="MQP116" s="77" t="str">
        <f t="shared" si="247"/>
        <v/>
      </c>
      <c r="MQQ116" s="77" t="str">
        <f t="shared" si="247"/>
        <v/>
      </c>
      <c r="MQR116" s="77" t="str">
        <f t="shared" si="247"/>
        <v/>
      </c>
      <c r="MQS116" s="77" t="str">
        <f t="shared" si="247"/>
        <v/>
      </c>
      <c r="MQT116" s="77" t="str">
        <f t="shared" si="247"/>
        <v/>
      </c>
      <c r="MQU116" s="77" t="str">
        <f t="shared" si="247"/>
        <v/>
      </c>
      <c r="MQV116" s="77" t="str">
        <f t="shared" si="247"/>
        <v/>
      </c>
      <c r="MQW116" s="77" t="str">
        <f t="shared" si="247"/>
        <v/>
      </c>
      <c r="MQX116" s="77" t="str">
        <f t="shared" si="247"/>
        <v/>
      </c>
      <c r="MQY116" s="77" t="str">
        <f t="shared" ref="MQY116:MTJ116" si="248">IF(ISNUMBER(outYear),MQY69+MQY75+MQY81+MQY113,"")</f>
        <v/>
      </c>
      <c r="MQZ116" s="77" t="str">
        <f t="shared" si="248"/>
        <v/>
      </c>
      <c r="MRA116" s="77" t="str">
        <f t="shared" si="248"/>
        <v/>
      </c>
      <c r="MRB116" s="77" t="str">
        <f t="shared" si="248"/>
        <v/>
      </c>
      <c r="MRC116" s="77" t="str">
        <f t="shared" si="248"/>
        <v/>
      </c>
      <c r="MRD116" s="77" t="str">
        <f t="shared" si="248"/>
        <v/>
      </c>
      <c r="MRE116" s="77" t="str">
        <f t="shared" si="248"/>
        <v/>
      </c>
      <c r="MRF116" s="77" t="str">
        <f t="shared" si="248"/>
        <v/>
      </c>
      <c r="MRG116" s="77" t="str">
        <f t="shared" si="248"/>
        <v/>
      </c>
      <c r="MRH116" s="77" t="str">
        <f t="shared" si="248"/>
        <v/>
      </c>
      <c r="MRI116" s="77" t="str">
        <f t="shared" si="248"/>
        <v/>
      </c>
      <c r="MRJ116" s="77" t="str">
        <f t="shared" si="248"/>
        <v/>
      </c>
      <c r="MRK116" s="77" t="str">
        <f t="shared" si="248"/>
        <v/>
      </c>
      <c r="MRL116" s="77" t="str">
        <f t="shared" si="248"/>
        <v/>
      </c>
      <c r="MRM116" s="77" t="str">
        <f t="shared" si="248"/>
        <v/>
      </c>
      <c r="MRN116" s="77" t="str">
        <f t="shared" si="248"/>
        <v/>
      </c>
      <c r="MRO116" s="77" t="str">
        <f t="shared" si="248"/>
        <v/>
      </c>
      <c r="MRP116" s="77" t="str">
        <f t="shared" si="248"/>
        <v/>
      </c>
      <c r="MRQ116" s="77" t="str">
        <f t="shared" si="248"/>
        <v/>
      </c>
      <c r="MRR116" s="77" t="str">
        <f t="shared" si="248"/>
        <v/>
      </c>
      <c r="MRS116" s="77" t="str">
        <f t="shared" si="248"/>
        <v/>
      </c>
      <c r="MRT116" s="77" t="str">
        <f t="shared" si="248"/>
        <v/>
      </c>
      <c r="MRU116" s="77" t="str">
        <f t="shared" si="248"/>
        <v/>
      </c>
      <c r="MRV116" s="77" t="str">
        <f t="shared" si="248"/>
        <v/>
      </c>
      <c r="MRW116" s="77" t="str">
        <f t="shared" si="248"/>
        <v/>
      </c>
      <c r="MRX116" s="77" t="str">
        <f t="shared" si="248"/>
        <v/>
      </c>
      <c r="MRY116" s="77" t="str">
        <f t="shared" si="248"/>
        <v/>
      </c>
      <c r="MRZ116" s="77" t="str">
        <f t="shared" si="248"/>
        <v/>
      </c>
      <c r="MSA116" s="77" t="str">
        <f t="shared" si="248"/>
        <v/>
      </c>
      <c r="MSB116" s="77" t="str">
        <f t="shared" si="248"/>
        <v/>
      </c>
      <c r="MSC116" s="77" t="str">
        <f t="shared" si="248"/>
        <v/>
      </c>
      <c r="MSD116" s="77" t="str">
        <f t="shared" si="248"/>
        <v/>
      </c>
      <c r="MSE116" s="77" t="str">
        <f t="shared" si="248"/>
        <v/>
      </c>
      <c r="MSF116" s="77" t="str">
        <f t="shared" si="248"/>
        <v/>
      </c>
      <c r="MSG116" s="77" t="str">
        <f t="shared" si="248"/>
        <v/>
      </c>
      <c r="MSH116" s="77" t="str">
        <f t="shared" si="248"/>
        <v/>
      </c>
      <c r="MSI116" s="77" t="str">
        <f t="shared" si="248"/>
        <v/>
      </c>
      <c r="MSJ116" s="77" t="str">
        <f t="shared" si="248"/>
        <v/>
      </c>
      <c r="MSK116" s="77" t="str">
        <f t="shared" si="248"/>
        <v/>
      </c>
      <c r="MSL116" s="77" t="str">
        <f t="shared" si="248"/>
        <v/>
      </c>
      <c r="MSM116" s="77" t="str">
        <f t="shared" si="248"/>
        <v/>
      </c>
      <c r="MSN116" s="77" t="str">
        <f t="shared" si="248"/>
        <v/>
      </c>
      <c r="MSO116" s="77" t="str">
        <f t="shared" si="248"/>
        <v/>
      </c>
      <c r="MSP116" s="77" t="str">
        <f t="shared" si="248"/>
        <v/>
      </c>
      <c r="MSQ116" s="77" t="str">
        <f t="shared" si="248"/>
        <v/>
      </c>
      <c r="MSR116" s="77" t="str">
        <f t="shared" si="248"/>
        <v/>
      </c>
      <c r="MSS116" s="77" t="str">
        <f t="shared" si="248"/>
        <v/>
      </c>
      <c r="MST116" s="77" t="str">
        <f t="shared" si="248"/>
        <v/>
      </c>
      <c r="MSU116" s="77" t="str">
        <f t="shared" si="248"/>
        <v/>
      </c>
      <c r="MSV116" s="77" t="str">
        <f t="shared" si="248"/>
        <v/>
      </c>
      <c r="MSW116" s="77" t="str">
        <f t="shared" si="248"/>
        <v/>
      </c>
      <c r="MSX116" s="77" t="str">
        <f t="shared" si="248"/>
        <v/>
      </c>
      <c r="MSY116" s="77" t="str">
        <f t="shared" si="248"/>
        <v/>
      </c>
      <c r="MSZ116" s="77" t="str">
        <f t="shared" si="248"/>
        <v/>
      </c>
      <c r="MTA116" s="77" t="str">
        <f t="shared" si="248"/>
        <v/>
      </c>
      <c r="MTB116" s="77" t="str">
        <f t="shared" si="248"/>
        <v/>
      </c>
      <c r="MTC116" s="77" t="str">
        <f t="shared" si="248"/>
        <v/>
      </c>
      <c r="MTD116" s="77" t="str">
        <f t="shared" si="248"/>
        <v/>
      </c>
      <c r="MTE116" s="77" t="str">
        <f t="shared" si="248"/>
        <v/>
      </c>
      <c r="MTF116" s="77" t="str">
        <f t="shared" si="248"/>
        <v/>
      </c>
      <c r="MTG116" s="77" t="str">
        <f t="shared" si="248"/>
        <v/>
      </c>
      <c r="MTH116" s="77" t="str">
        <f t="shared" si="248"/>
        <v/>
      </c>
      <c r="MTI116" s="77" t="str">
        <f t="shared" si="248"/>
        <v/>
      </c>
      <c r="MTJ116" s="77" t="str">
        <f t="shared" si="248"/>
        <v/>
      </c>
      <c r="MTK116" s="77" t="str">
        <f t="shared" ref="MTK116:MVV116" si="249">IF(ISNUMBER(outYear),MTK69+MTK75+MTK81+MTK113,"")</f>
        <v/>
      </c>
      <c r="MTL116" s="77" t="str">
        <f t="shared" si="249"/>
        <v/>
      </c>
      <c r="MTM116" s="77" t="str">
        <f t="shared" si="249"/>
        <v/>
      </c>
      <c r="MTN116" s="77" t="str">
        <f t="shared" si="249"/>
        <v/>
      </c>
      <c r="MTO116" s="77" t="str">
        <f t="shared" si="249"/>
        <v/>
      </c>
      <c r="MTP116" s="77" t="str">
        <f t="shared" si="249"/>
        <v/>
      </c>
      <c r="MTQ116" s="77" t="str">
        <f t="shared" si="249"/>
        <v/>
      </c>
      <c r="MTR116" s="77" t="str">
        <f t="shared" si="249"/>
        <v/>
      </c>
      <c r="MTS116" s="77" t="str">
        <f t="shared" si="249"/>
        <v/>
      </c>
      <c r="MTT116" s="77" t="str">
        <f t="shared" si="249"/>
        <v/>
      </c>
      <c r="MTU116" s="77" t="str">
        <f t="shared" si="249"/>
        <v/>
      </c>
      <c r="MTV116" s="77" t="str">
        <f t="shared" si="249"/>
        <v/>
      </c>
      <c r="MTW116" s="77" t="str">
        <f t="shared" si="249"/>
        <v/>
      </c>
      <c r="MTX116" s="77" t="str">
        <f t="shared" si="249"/>
        <v/>
      </c>
      <c r="MTY116" s="77" t="str">
        <f t="shared" si="249"/>
        <v/>
      </c>
      <c r="MTZ116" s="77" t="str">
        <f t="shared" si="249"/>
        <v/>
      </c>
      <c r="MUA116" s="77" t="str">
        <f t="shared" si="249"/>
        <v/>
      </c>
      <c r="MUB116" s="77" t="str">
        <f t="shared" si="249"/>
        <v/>
      </c>
      <c r="MUC116" s="77" t="str">
        <f t="shared" si="249"/>
        <v/>
      </c>
      <c r="MUD116" s="77" t="str">
        <f t="shared" si="249"/>
        <v/>
      </c>
      <c r="MUE116" s="77" t="str">
        <f t="shared" si="249"/>
        <v/>
      </c>
      <c r="MUF116" s="77" t="str">
        <f t="shared" si="249"/>
        <v/>
      </c>
      <c r="MUG116" s="77" t="str">
        <f t="shared" si="249"/>
        <v/>
      </c>
      <c r="MUH116" s="77" t="str">
        <f t="shared" si="249"/>
        <v/>
      </c>
      <c r="MUI116" s="77" t="str">
        <f t="shared" si="249"/>
        <v/>
      </c>
      <c r="MUJ116" s="77" t="str">
        <f t="shared" si="249"/>
        <v/>
      </c>
      <c r="MUK116" s="77" t="str">
        <f t="shared" si="249"/>
        <v/>
      </c>
      <c r="MUL116" s="77" t="str">
        <f t="shared" si="249"/>
        <v/>
      </c>
      <c r="MUM116" s="77" t="str">
        <f t="shared" si="249"/>
        <v/>
      </c>
      <c r="MUN116" s="77" t="str">
        <f t="shared" si="249"/>
        <v/>
      </c>
      <c r="MUO116" s="77" t="str">
        <f t="shared" si="249"/>
        <v/>
      </c>
      <c r="MUP116" s="77" t="str">
        <f t="shared" si="249"/>
        <v/>
      </c>
      <c r="MUQ116" s="77" t="str">
        <f t="shared" si="249"/>
        <v/>
      </c>
      <c r="MUR116" s="77" t="str">
        <f t="shared" si="249"/>
        <v/>
      </c>
      <c r="MUS116" s="77" t="str">
        <f t="shared" si="249"/>
        <v/>
      </c>
      <c r="MUT116" s="77" t="str">
        <f t="shared" si="249"/>
        <v/>
      </c>
      <c r="MUU116" s="77" t="str">
        <f t="shared" si="249"/>
        <v/>
      </c>
      <c r="MUV116" s="77" t="str">
        <f t="shared" si="249"/>
        <v/>
      </c>
      <c r="MUW116" s="77" t="str">
        <f t="shared" si="249"/>
        <v/>
      </c>
      <c r="MUX116" s="77" t="str">
        <f t="shared" si="249"/>
        <v/>
      </c>
      <c r="MUY116" s="77" t="str">
        <f t="shared" si="249"/>
        <v/>
      </c>
      <c r="MUZ116" s="77" t="str">
        <f t="shared" si="249"/>
        <v/>
      </c>
      <c r="MVA116" s="77" t="str">
        <f t="shared" si="249"/>
        <v/>
      </c>
      <c r="MVB116" s="77" t="str">
        <f t="shared" si="249"/>
        <v/>
      </c>
      <c r="MVC116" s="77" t="str">
        <f t="shared" si="249"/>
        <v/>
      </c>
      <c r="MVD116" s="77" t="str">
        <f t="shared" si="249"/>
        <v/>
      </c>
      <c r="MVE116" s="77" t="str">
        <f t="shared" si="249"/>
        <v/>
      </c>
      <c r="MVF116" s="77" t="str">
        <f t="shared" si="249"/>
        <v/>
      </c>
      <c r="MVG116" s="77" t="str">
        <f t="shared" si="249"/>
        <v/>
      </c>
      <c r="MVH116" s="77" t="str">
        <f t="shared" si="249"/>
        <v/>
      </c>
      <c r="MVI116" s="77" t="str">
        <f t="shared" si="249"/>
        <v/>
      </c>
      <c r="MVJ116" s="77" t="str">
        <f t="shared" si="249"/>
        <v/>
      </c>
      <c r="MVK116" s="77" t="str">
        <f t="shared" si="249"/>
        <v/>
      </c>
      <c r="MVL116" s="77" t="str">
        <f t="shared" si="249"/>
        <v/>
      </c>
      <c r="MVM116" s="77" t="str">
        <f t="shared" si="249"/>
        <v/>
      </c>
      <c r="MVN116" s="77" t="str">
        <f t="shared" si="249"/>
        <v/>
      </c>
      <c r="MVO116" s="77" t="str">
        <f t="shared" si="249"/>
        <v/>
      </c>
      <c r="MVP116" s="77" t="str">
        <f t="shared" si="249"/>
        <v/>
      </c>
      <c r="MVQ116" s="77" t="str">
        <f t="shared" si="249"/>
        <v/>
      </c>
      <c r="MVR116" s="77" t="str">
        <f t="shared" si="249"/>
        <v/>
      </c>
      <c r="MVS116" s="77" t="str">
        <f t="shared" si="249"/>
        <v/>
      </c>
      <c r="MVT116" s="77" t="str">
        <f t="shared" si="249"/>
        <v/>
      </c>
      <c r="MVU116" s="77" t="str">
        <f t="shared" si="249"/>
        <v/>
      </c>
      <c r="MVV116" s="77" t="str">
        <f t="shared" si="249"/>
        <v/>
      </c>
      <c r="MVW116" s="77" t="str">
        <f t="shared" ref="MVW116:MYH116" si="250">IF(ISNUMBER(outYear),MVW69+MVW75+MVW81+MVW113,"")</f>
        <v/>
      </c>
      <c r="MVX116" s="77" t="str">
        <f t="shared" si="250"/>
        <v/>
      </c>
      <c r="MVY116" s="77" t="str">
        <f t="shared" si="250"/>
        <v/>
      </c>
      <c r="MVZ116" s="77" t="str">
        <f t="shared" si="250"/>
        <v/>
      </c>
      <c r="MWA116" s="77" t="str">
        <f t="shared" si="250"/>
        <v/>
      </c>
      <c r="MWB116" s="77" t="str">
        <f t="shared" si="250"/>
        <v/>
      </c>
      <c r="MWC116" s="77" t="str">
        <f t="shared" si="250"/>
        <v/>
      </c>
      <c r="MWD116" s="77" t="str">
        <f t="shared" si="250"/>
        <v/>
      </c>
      <c r="MWE116" s="77" t="str">
        <f t="shared" si="250"/>
        <v/>
      </c>
      <c r="MWF116" s="77" t="str">
        <f t="shared" si="250"/>
        <v/>
      </c>
      <c r="MWG116" s="77" t="str">
        <f t="shared" si="250"/>
        <v/>
      </c>
      <c r="MWH116" s="77" t="str">
        <f t="shared" si="250"/>
        <v/>
      </c>
      <c r="MWI116" s="77" t="str">
        <f t="shared" si="250"/>
        <v/>
      </c>
      <c r="MWJ116" s="77" t="str">
        <f t="shared" si="250"/>
        <v/>
      </c>
      <c r="MWK116" s="77" t="str">
        <f t="shared" si="250"/>
        <v/>
      </c>
      <c r="MWL116" s="77" t="str">
        <f t="shared" si="250"/>
        <v/>
      </c>
      <c r="MWM116" s="77" t="str">
        <f t="shared" si="250"/>
        <v/>
      </c>
      <c r="MWN116" s="77" t="str">
        <f t="shared" si="250"/>
        <v/>
      </c>
      <c r="MWO116" s="77" t="str">
        <f t="shared" si="250"/>
        <v/>
      </c>
      <c r="MWP116" s="77" t="str">
        <f t="shared" si="250"/>
        <v/>
      </c>
      <c r="MWQ116" s="77" t="str">
        <f t="shared" si="250"/>
        <v/>
      </c>
      <c r="MWR116" s="77" t="str">
        <f t="shared" si="250"/>
        <v/>
      </c>
      <c r="MWS116" s="77" t="str">
        <f t="shared" si="250"/>
        <v/>
      </c>
      <c r="MWT116" s="77" t="str">
        <f t="shared" si="250"/>
        <v/>
      </c>
      <c r="MWU116" s="77" t="str">
        <f t="shared" si="250"/>
        <v/>
      </c>
      <c r="MWV116" s="77" t="str">
        <f t="shared" si="250"/>
        <v/>
      </c>
      <c r="MWW116" s="77" t="str">
        <f t="shared" si="250"/>
        <v/>
      </c>
      <c r="MWX116" s="77" t="str">
        <f t="shared" si="250"/>
        <v/>
      </c>
      <c r="MWY116" s="77" t="str">
        <f t="shared" si="250"/>
        <v/>
      </c>
      <c r="MWZ116" s="77" t="str">
        <f t="shared" si="250"/>
        <v/>
      </c>
      <c r="MXA116" s="77" t="str">
        <f t="shared" si="250"/>
        <v/>
      </c>
      <c r="MXB116" s="77" t="str">
        <f t="shared" si="250"/>
        <v/>
      </c>
      <c r="MXC116" s="77" t="str">
        <f t="shared" si="250"/>
        <v/>
      </c>
      <c r="MXD116" s="77" t="str">
        <f t="shared" si="250"/>
        <v/>
      </c>
      <c r="MXE116" s="77" t="str">
        <f t="shared" si="250"/>
        <v/>
      </c>
      <c r="MXF116" s="77" t="str">
        <f t="shared" si="250"/>
        <v/>
      </c>
      <c r="MXG116" s="77" t="str">
        <f t="shared" si="250"/>
        <v/>
      </c>
      <c r="MXH116" s="77" t="str">
        <f t="shared" si="250"/>
        <v/>
      </c>
      <c r="MXI116" s="77" t="str">
        <f t="shared" si="250"/>
        <v/>
      </c>
      <c r="MXJ116" s="77" t="str">
        <f t="shared" si="250"/>
        <v/>
      </c>
      <c r="MXK116" s="77" t="str">
        <f t="shared" si="250"/>
        <v/>
      </c>
      <c r="MXL116" s="77" t="str">
        <f t="shared" si="250"/>
        <v/>
      </c>
      <c r="MXM116" s="77" t="str">
        <f t="shared" si="250"/>
        <v/>
      </c>
      <c r="MXN116" s="77" t="str">
        <f t="shared" si="250"/>
        <v/>
      </c>
      <c r="MXO116" s="77" t="str">
        <f t="shared" si="250"/>
        <v/>
      </c>
      <c r="MXP116" s="77" t="str">
        <f t="shared" si="250"/>
        <v/>
      </c>
      <c r="MXQ116" s="77" t="str">
        <f t="shared" si="250"/>
        <v/>
      </c>
      <c r="MXR116" s="77" t="str">
        <f t="shared" si="250"/>
        <v/>
      </c>
      <c r="MXS116" s="77" t="str">
        <f t="shared" si="250"/>
        <v/>
      </c>
      <c r="MXT116" s="77" t="str">
        <f t="shared" si="250"/>
        <v/>
      </c>
      <c r="MXU116" s="77" t="str">
        <f t="shared" si="250"/>
        <v/>
      </c>
      <c r="MXV116" s="77" t="str">
        <f t="shared" si="250"/>
        <v/>
      </c>
      <c r="MXW116" s="77" t="str">
        <f t="shared" si="250"/>
        <v/>
      </c>
      <c r="MXX116" s="77" t="str">
        <f t="shared" si="250"/>
        <v/>
      </c>
      <c r="MXY116" s="77" t="str">
        <f t="shared" si="250"/>
        <v/>
      </c>
      <c r="MXZ116" s="77" t="str">
        <f t="shared" si="250"/>
        <v/>
      </c>
      <c r="MYA116" s="77" t="str">
        <f t="shared" si="250"/>
        <v/>
      </c>
      <c r="MYB116" s="77" t="str">
        <f t="shared" si="250"/>
        <v/>
      </c>
      <c r="MYC116" s="77" t="str">
        <f t="shared" si="250"/>
        <v/>
      </c>
      <c r="MYD116" s="77" t="str">
        <f t="shared" si="250"/>
        <v/>
      </c>
      <c r="MYE116" s="77" t="str">
        <f t="shared" si="250"/>
        <v/>
      </c>
      <c r="MYF116" s="77" t="str">
        <f t="shared" si="250"/>
        <v/>
      </c>
      <c r="MYG116" s="77" t="str">
        <f t="shared" si="250"/>
        <v/>
      </c>
      <c r="MYH116" s="77" t="str">
        <f t="shared" si="250"/>
        <v/>
      </c>
      <c r="MYI116" s="77" t="str">
        <f t="shared" ref="MYI116:NAT116" si="251">IF(ISNUMBER(outYear),MYI69+MYI75+MYI81+MYI113,"")</f>
        <v/>
      </c>
      <c r="MYJ116" s="77" t="str">
        <f t="shared" si="251"/>
        <v/>
      </c>
      <c r="MYK116" s="77" t="str">
        <f t="shared" si="251"/>
        <v/>
      </c>
      <c r="MYL116" s="77" t="str">
        <f t="shared" si="251"/>
        <v/>
      </c>
      <c r="MYM116" s="77" t="str">
        <f t="shared" si="251"/>
        <v/>
      </c>
      <c r="MYN116" s="77" t="str">
        <f t="shared" si="251"/>
        <v/>
      </c>
      <c r="MYO116" s="77" t="str">
        <f t="shared" si="251"/>
        <v/>
      </c>
      <c r="MYP116" s="77" t="str">
        <f t="shared" si="251"/>
        <v/>
      </c>
      <c r="MYQ116" s="77" t="str">
        <f t="shared" si="251"/>
        <v/>
      </c>
      <c r="MYR116" s="77" t="str">
        <f t="shared" si="251"/>
        <v/>
      </c>
      <c r="MYS116" s="77" t="str">
        <f t="shared" si="251"/>
        <v/>
      </c>
      <c r="MYT116" s="77" t="str">
        <f t="shared" si="251"/>
        <v/>
      </c>
      <c r="MYU116" s="77" t="str">
        <f t="shared" si="251"/>
        <v/>
      </c>
      <c r="MYV116" s="77" t="str">
        <f t="shared" si="251"/>
        <v/>
      </c>
      <c r="MYW116" s="77" t="str">
        <f t="shared" si="251"/>
        <v/>
      </c>
      <c r="MYX116" s="77" t="str">
        <f t="shared" si="251"/>
        <v/>
      </c>
      <c r="MYY116" s="77" t="str">
        <f t="shared" si="251"/>
        <v/>
      </c>
      <c r="MYZ116" s="77" t="str">
        <f t="shared" si="251"/>
        <v/>
      </c>
      <c r="MZA116" s="77" t="str">
        <f t="shared" si="251"/>
        <v/>
      </c>
      <c r="MZB116" s="77" t="str">
        <f t="shared" si="251"/>
        <v/>
      </c>
      <c r="MZC116" s="77" t="str">
        <f t="shared" si="251"/>
        <v/>
      </c>
      <c r="MZD116" s="77" t="str">
        <f t="shared" si="251"/>
        <v/>
      </c>
      <c r="MZE116" s="77" t="str">
        <f t="shared" si="251"/>
        <v/>
      </c>
      <c r="MZF116" s="77" t="str">
        <f t="shared" si="251"/>
        <v/>
      </c>
      <c r="MZG116" s="77" t="str">
        <f t="shared" si="251"/>
        <v/>
      </c>
      <c r="MZH116" s="77" t="str">
        <f t="shared" si="251"/>
        <v/>
      </c>
      <c r="MZI116" s="77" t="str">
        <f t="shared" si="251"/>
        <v/>
      </c>
      <c r="MZJ116" s="77" t="str">
        <f t="shared" si="251"/>
        <v/>
      </c>
      <c r="MZK116" s="77" t="str">
        <f t="shared" si="251"/>
        <v/>
      </c>
      <c r="MZL116" s="77" t="str">
        <f t="shared" si="251"/>
        <v/>
      </c>
      <c r="MZM116" s="77" t="str">
        <f t="shared" si="251"/>
        <v/>
      </c>
      <c r="MZN116" s="77" t="str">
        <f t="shared" si="251"/>
        <v/>
      </c>
      <c r="MZO116" s="77" t="str">
        <f t="shared" si="251"/>
        <v/>
      </c>
      <c r="MZP116" s="77" t="str">
        <f t="shared" si="251"/>
        <v/>
      </c>
      <c r="MZQ116" s="77" t="str">
        <f t="shared" si="251"/>
        <v/>
      </c>
      <c r="MZR116" s="77" t="str">
        <f t="shared" si="251"/>
        <v/>
      </c>
      <c r="MZS116" s="77" t="str">
        <f t="shared" si="251"/>
        <v/>
      </c>
      <c r="MZT116" s="77" t="str">
        <f t="shared" si="251"/>
        <v/>
      </c>
      <c r="MZU116" s="77" t="str">
        <f t="shared" si="251"/>
        <v/>
      </c>
      <c r="MZV116" s="77" t="str">
        <f t="shared" si="251"/>
        <v/>
      </c>
      <c r="MZW116" s="77" t="str">
        <f t="shared" si="251"/>
        <v/>
      </c>
      <c r="MZX116" s="77" t="str">
        <f t="shared" si="251"/>
        <v/>
      </c>
      <c r="MZY116" s="77" t="str">
        <f t="shared" si="251"/>
        <v/>
      </c>
      <c r="MZZ116" s="77" t="str">
        <f t="shared" si="251"/>
        <v/>
      </c>
      <c r="NAA116" s="77" t="str">
        <f t="shared" si="251"/>
        <v/>
      </c>
      <c r="NAB116" s="77" t="str">
        <f t="shared" si="251"/>
        <v/>
      </c>
      <c r="NAC116" s="77" t="str">
        <f t="shared" si="251"/>
        <v/>
      </c>
      <c r="NAD116" s="77" t="str">
        <f t="shared" si="251"/>
        <v/>
      </c>
      <c r="NAE116" s="77" t="str">
        <f t="shared" si="251"/>
        <v/>
      </c>
      <c r="NAF116" s="77" t="str">
        <f t="shared" si="251"/>
        <v/>
      </c>
      <c r="NAG116" s="77" t="str">
        <f t="shared" si="251"/>
        <v/>
      </c>
      <c r="NAH116" s="77" t="str">
        <f t="shared" si="251"/>
        <v/>
      </c>
      <c r="NAI116" s="77" t="str">
        <f t="shared" si="251"/>
        <v/>
      </c>
      <c r="NAJ116" s="77" t="str">
        <f t="shared" si="251"/>
        <v/>
      </c>
      <c r="NAK116" s="77" t="str">
        <f t="shared" si="251"/>
        <v/>
      </c>
      <c r="NAL116" s="77" t="str">
        <f t="shared" si="251"/>
        <v/>
      </c>
      <c r="NAM116" s="77" t="str">
        <f t="shared" si="251"/>
        <v/>
      </c>
      <c r="NAN116" s="77" t="str">
        <f t="shared" si="251"/>
        <v/>
      </c>
      <c r="NAO116" s="77" t="str">
        <f t="shared" si="251"/>
        <v/>
      </c>
      <c r="NAP116" s="77" t="str">
        <f t="shared" si="251"/>
        <v/>
      </c>
      <c r="NAQ116" s="77" t="str">
        <f t="shared" si="251"/>
        <v/>
      </c>
      <c r="NAR116" s="77" t="str">
        <f t="shared" si="251"/>
        <v/>
      </c>
      <c r="NAS116" s="77" t="str">
        <f t="shared" si="251"/>
        <v/>
      </c>
      <c r="NAT116" s="77" t="str">
        <f t="shared" si="251"/>
        <v/>
      </c>
      <c r="NAU116" s="77" t="str">
        <f t="shared" ref="NAU116:NDF116" si="252">IF(ISNUMBER(outYear),NAU69+NAU75+NAU81+NAU113,"")</f>
        <v/>
      </c>
      <c r="NAV116" s="77" t="str">
        <f t="shared" si="252"/>
        <v/>
      </c>
      <c r="NAW116" s="77" t="str">
        <f t="shared" si="252"/>
        <v/>
      </c>
      <c r="NAX116" s="77" t="str">
        <f t="shared" si="252"/>
        <v/>
      </c>
      <c r="NAY116" s="77" t="str">
        <f t="shared" si="252"/>
        <v/>
      </c>
      <c r="NAZ116" s="77" t="str">
        <f t="shared" si="252"/>
        <v/>
      </c>
      <c r="NBA116" s="77" t="str">
        <f t="shared" si="252"/>
        <v/>
      </c>
      <c r="NBB116" s="77" t="str">
        <f t="shared" si="252"/>
        <v/>
      </c>
      <c r="NBC116" s="77" t="str">
        <f t="shared" si="252"/>
        <v/>
      </c>
      <c r="NBD116" s="77" t="str">
        <f t="shared" si="252"/>
        <v/>
      </c>
      <c r="NBE116" s="77" t="str">
        <f t="shared" si="252"/>
        <v/>
      </c>
      <c r="NBF116" s="77" t="str">
        <f t="shared" si="252"/>
        <v/>
      </c>
      <c r="NBG116" s="77" t="str">
        <f t="shared" si="252"/>
        <v/>
      </c>
      <c r="NBH116" s="77" t="str">
        <f t="shared" si="252"/>
        <v/>
      </c>
      <c r="NBI116" s="77" t="str">
        <f t="shared" si="252"/>
        <v/>
      </c>
      <c r="NBJ116" s="77" t="str">
        <f t="shared" si="252"/>
        <v/>
      </c>
      <c r="NBK116" s="77" t="str">
        <f t="shared" si="252"/>
        <v/>
      </c>
      <c r="NBL116" s="77" t="str">
        <f t="shared" si="252"/>
        <v/>
      </c>
      <c r="NBM116" s="77" t="str">
        <f t="shared" si="252"/>
        <v/>
      </c>
      <c r="NBN116" s="77" t="str">
        <f t="shared" si="252"/>
        <v/>
      </c>
      <c r="NBO116" s="77" t="str">
        <f t="shared" si="252"/>
        <v/>
      </c>
      <c r="NBP116" s="77" t="str">
        <f t="shared" si="252"/>
        <v/>
      </c>
      <c r="NBQ116" s="77" t="str">
        <f t="shared" si="252"/>
        <v/>
      </c>
      <c r="NBR116" s="77" t="str">
        <f t="shared" si="252"/>
        <v/>
      </c>
      <c r="NBS116" s="77" t="str">
        <f t="shared" si="252"/>
        <v/>
      </c>
      <c r="NBT116" s="77" t="str">
        <f t="shared" si="252"/>
        <v/>
      </c>
      <c r="NBU116" s="77" t="str">
        <f t="shared" si="252"/>
        <v/>
      </c>
      <c r="NBV116" s="77" t="str">
        <f t="shared" si="252"/>
        <v/>
      </c>
      <c r="NBW116" s="77" t="str">
        <f t="shared" si="252"/>
        <v/>
      </c>
      <c r="NBX116" s="77" t="str">
        <f t="shared" si="252"/>
        <v/>
      </c>
      <c r="NBY116" s="77" t="str">
        <f t="shared" si="252"/>
        <v/>
      </c>
      <c r="NBZ116" s="77" t="str">
        <f t="shared" si="252"/>
        <v/>
      </c>
      <c r="NCA116" s="77" t="str">
        <f t="shared" si="252"/>
        <v/>
      </c>
      <c r="NCB116" s="77" t="str">
        <f t="shared" si="252"/>
        <v/>
      </c>
      <c r="NCC116" s="77" t="str">
        <f t="shared" si="252"/>
        <v/>
      </c>
      <c r="NCD116" s="77" t="str">
        <f t="shared" si="252"/>
        <v/>
      </c>
      <c r="NCE116" s="77" t="str">
        <f t="shared" si="252"/>
        <v/>
      </c>
      <c r="NCF116" s="77" t="str">
        <f t="shared" si="252"/>
        <v/>
      </c>
      <c r="NCG116" s="77" t="str">
        <f t="shared" si="252"/>
        <v/>
      </c>
      <c r="NCH116" s="77" t="str">
        <f t="shared" si="252"/>
        <v/>
      </c>
      <c r="NCI116" s="77" t="str">
        <f t="shared" si="252"/>
        <v/>
      </c>
      <c r="NCJ116" s="77" t="str">
        <f t="shared" si="252"/>
        <v/>
      </c>
      <c r="NCK116" s="77" t="str">
        <f t="shared" si="252"/>
        <v/>
      </c>
      <c r="NCL116" s="77" t="str">
        <f t="shared" si="252"/>
        <v/>
      </c>
      <c r="NCM116" s="77" t="str">
        <f t="shared" si="252"/>
        <v/>
      </c>
      <c r="NCN116" s="77" t="str">
        <f t="shared" si="252"/>
        <v/>
      </c>
      <c r="NCO116" s="77" t="str">
        <f t="shared" si="252"/>
        <v/>
      </c>
      <c r="NCP116" s="77" t="str">
        <f t="shared" si="252"/>
        <v/>
      </c>
      <c r="NCQ116" s="77" t="str">
        <f t="shared" si="252"/>
        <v/>
      </c>
      <c r="NCR116" s="77" t="str">
        <f t="shared" si="252"/>
        <v/>
      </c>
      <c r="NCS116" s="77" t="str">
        <f t="shared" si="252"/>
        <v/>
      </c>
      <c r="NCT116" s="77" t="str">
        <f t="shared" si="252"/>
        <v/>
      </c>
      <c r="NCU116" s="77" t="str">
        <f t="shared" si="252"/>
        <v/>
      </c>
      <c r="NCV116" s="77" t="str">
        <f t="shared" si="252"/>
        <v/>
      </c>
      <c r="NCW116" s="77" t="str">
        <f t="shared" si="252"/>
        <v/>
      </c>
      <c r="NCX116" s="77" t="str">
        <f t="shared" si="252"/>
        <v/>
      </c>
      <c r="NCY116" s="77" t="str">
        <f t="shared" si="252"/>
        <v/>
      </c>
      <c r="NCZ116" s="77" t="str">
        <f t="shared" si="252"/>
        <v/>
      </c>
      <c r="NDA116" s="77" t="str">
        <f t="shared" si="252"/>
        <v/>
      </c>
      <c r="NDB116" s="77" t="str">
        <f t="shared" si="252"/>
        <v/>
      </c>
      <c r="NDC116" s="77" t="str">
        <f t="shared" si="252"/>
        <v/>
      </c>
      <c r="NDD116" s="77" t="str">
        <f t="shared" si="252"/>
        <v/>
      </c>
      <c r="NDE116" s="77" t="str">
        <f t="shared" si="252"/>
        <v/>
      </c>
      <c r="NDF116" s="77" t="str">
        <f t="shared" si="252"/>
        <v/>
      </c>
      <c r="NDG116" s="77" t="str">
        <f t="shared" ref="NDG116:NFR116" si="253">IF(ISNUMBER(outYear),NDG69+NDG75+NDG81+NDG113,"")</f>
        <v/>
      </c>
      <c r="NDH116" s="77" t="str">
        <f t="shared" si="253"/>
        <v/>
      </c>
      <c r="NDI116" s="77" t="str">
        <f t="shared" si="253"/>
        <v/>
      </c>
      <c r="NDJ116" s="77" t="str">
        <f t="shared" si="253"/>
        <v/>
      </c>
      <c r="NDK116" s="77" t="str">
        <f t="shared" si="253"/>
        <v/>
      </c>
      <c r="NDL116" s="77" t="str">
        <f t="shared" si="253"/>
        <v/>
      </c>
      <c r="NDM116" s="77" t="str">
        <f t="shared" si="253"/>
        <v/>
      </c>
      <c r="NDN116" s="77" t="str">
        <f t="shared" si="253"/>
        <v/>
      </c>
      <c r="NDO116" s="77" t="str">
        <f t="shared" si="253"/>
        <v/>
      </c>
      <c r="NDP116" s="77" t="str">
        <f t="shared" si="253"/>
        <v/>
      </c>
      <c r="NDQ116" s="77" t="str">
        <f t="shared" si="253"/>
        <v/>
      </c>
      <c r="NDR116" s="77" t="str">
        <f t="shared" si="253"/>
        <v/>
      </c>
      <c r="NDS116" s="77" t="str">
        <f t="shared" si="253"/>
        <v/>
      </c>
      <c r="NDT116" s="77" t="str">
        <f t="shared" si="253"/>
        <v/>
      </c>
      <c r="NDU116" s="77" t="str">
        <f t="shared" si="253"/>
        <v/>
      </c>
      <c r="NDV116" s="77" t="str">
        <f t="shared" si="253"/>
        <v/>
      </c>
      <c r="NDW116" s="77" t="str">
        <f t="shared" si="253"/>
        <v/>
      </c>
      <c r="NDX116" s="77" t="str">
        <f t="shared" si="253"/>
        <v/>
      </c>
      <c r="NDY116" s="77" t="str">
        <f t="shared" si="253"/>
        <v/>
      </c>
      <c r="NDZ116" s="77" t="str">
        <f t="shared" si="253"/>
        <v/>
      </c>
      <c r="NEA116" s="77" t="str">
        <f t="shared" si="253"/>
        <v/>
      </c>
      <c r="NEB116" s="77" t="str">
        <f t="shared" si="253"/>
        <v/>
      </c>
      <c r="NEC116" s="77" t="str">
        <f t="shared" si="253"/>
        <v/>
      </c>
      <c r="NED116" s="77" t="str">
        <f t="shared" si="253"/>
        <v/>
      </c>
      <c r="NEE116" s="77" t="str">
        <f t="shared" si="253"/>
        <v/>
      </c>
      <c r="NEF116" s="77" t="str">
        <f t="shared" si="253"/>
        <v/>
      </c>
      <c r="NEG116" s="77" t="str">
        <f t="shared" si="253"/>
        <v/>
      </c>
      <c r="NEH116" s="77" t="str">
        <f t="shared" si="253"/>
        <v/>
      </c>
      <c r="NEI116" s="77" t="str">
        <f t="shared" si="253"/>
        <v/>
      </c>
      <c r="NEJ116" s="77" t="str">
        <f t="shared" si="253"/>
        <v/>
      </c>
      <c r="NEK116" s="77" t="str">
        <f t="shared" si="253"/>
        <v/>
      </c>
      <c r="NEL116" s="77" t="str">
        <f t="shared" si="253"/>
        <v/>
      </c>
      <c r="NEM116" s="77" t="str">
        <f t="shared" si="253"/>
        <v/>
      </c>
      <c r="NEN116" s="77" t="str">
        <f t="shared" si="253"/>
        <v/>
      </c>
      <c r="NEO116" s="77" t="str">
        <f t="shared" si="253"/>
        <v/>
      </c>
      <c r="NEP116" s="77" t="str">
        <f t="shared" si="253"/>
        <v/>
      </c>
      <c r="NEQ116" s="77" t="str">
        <f t="shared" si="253"/>
        <v/>
      </c>
      <c r="NER116" s="77" t="str">
        <f t="shared" si="253"/>
        <v/>
      </c>
      <c r="NES116" s="77" t="str">
        <f t="shared" si="253"/>
        <v/>
      </c>
      <c r="NET116" s="77" t="str">
        <f t="shared" si="253"/>
        <v/>
      </c>
      <c r="NEU116" s="77" t="str">
        <f t="shared" si="253"/>
        <v/>
      </c>
      <c r="NEV116" s="77" t="str">
        <f t="shared" si="253"/>
        <v/>
      </c>
      <c r="NEW116" s="77" t="str">
        <f t="shared" si="253"/>
        <v/>
      </c>
      <c r="NEX116" s="77" t="str">
        <f t="shared" si="253"/>
        <v/>
      </c>
      <c r="NEY116" s="77" t="str">
        <f t="shared" si="253"/>
        <v/>
      </c>
      <c r="NEZ116" s="77" t="str">
        <f t="shared" si="253"/>
        <v/>
      </c>
      <c r="NFA116" s="77" t="str">
        <f t="shared" si="253"/>
        <v/>
      </c>
      <c r="NFB116" s="77" t="str">
        <f t="shared" si="253"/>
        <v/>
      </c>
      <c r="NFC116" s="77" t="str">
        <f t="shared" si="253"/>
        <v/>
      </c>
      <c r="NFD116" s="77" t="str">
        <f t="shared" si="253"/>
        <v/>
      </c>
      <c r="NFE116" s="77" t="str">
        <f t="shared" si="253"/>
        <v/>
      </c>
      <c r="NFF116" s="77" t="str">
        <f t="shared" si="253"/>
        <v/>
      </c>
      <c r="NFG116" s="77" t="str">
        <f t="shared" si="253"/>
        <v/>
      </c>
      <c r="NFH116" s="77" t="str">
        <f t="shared" si="253"/>
        <v/>
      </c>
      <c r="NFI116" s="77" t="str">
        <f t="shared" si="253"/>
        <v/>
      </c>
      <c r="NFJ116" s="77" t="str">
        <f t="shared" si="253"/>
        <v/>
      </c>
      <c r="NFK116" s="77" t="str">
        <f t="shared" si="253"/>
        <v/>
      </c>
      <c r="NFL116" s="77" t="str">
        <f t="shared" si="253"/>
        <v/>
      </c>
      <c r="NFM116" s="77" t="str">
        <f t="shared" si="253"/>
        <v/>
      </c>
      <c r="NFN116" s="77" t="str">
        <f t="shared" si="253"/>
        <v/>
      </c>
      <c r="NFO116" s="77" t="str">
        <f t="shared" si="253"/>
        <v/>
      </c>
      <c r="NFP116" s="77" t="str">
        <f t="shared" si="253"/>
        <v/>
      </c>
      <c r="NFQ116" s="77" t="str">
        <f t="shared" si="253"/>
        <v/>
      </c>
      <c r="NFR116" s="77" t="str">
        <f t="shared" si="253"/>
        <v/>
      </c>
      <c r="NFS116" s="77" t="str">
        <f t="shared" ref="NFS116:NID116" si="254">IF(ISNUMBER(outYear),NFS69+NFS75+NFS81+NFS113,"")</f>
        <v/>
      </c>
      <c r="NFT116" s="77" t="str">
        <f t="shared" si="254"/>
        <v/>
      </c>
      <c r="NFU116" s="77" t="str">
        <f t="shared" si="254"/>
        <v/>
      </c>
      <c r="NFV116" s="77" t="str">
        <f t="shared" si="254"/>
        <v/>
      </c>
      <c r="NFW116" s="77" t="str">
        <f t="shared" si="254"/>
        <v/>
      </c>
      <c r="NFX116" s="77" t="str">
        <f t="shared" si="254"/>
        <v/>
      </c>
      <c r="NFY116" s="77" t="str">
        <f t="shared" si="254"/>
        <v/>
      </c>
      <c r="NFZ116" s="77" t="str">
        <f t="shared" si="254"/>
        <v/>
      </c>
      <c r="NGA116" s="77" t="str">
        <f t="shared" si="254"/>
        <v/>
      </c>
      <c r="NGB116" s="77" t="str">
        <f t="shared" si="254"/>
        <v/>
      </c>
      <c r="NGC116" s="77" t="str">
        <f t="shared" si="254"/>
        <v/>
      </c>
      <c r="NGD116" s="77" t="str">
        <f t="shared" si="254"/>
        <v/>
      </c>
      <c r="NGE116" s="77" t="str">
        <f t="shared" si="254"/>
        <v/>
      </c>
      <c r="NGF116" s="77" t="str">
        <f t="shared" si="254"/>
        <v/>
      </c>
      <c r="NGG116" s="77" t="str">
        <f t="shared" si="254"/>
        <v/>
      </c>
      <c r="NGH116" s="77" t="str">
        <f t="shared" si="254"/>
        <v/>
      </c>
      <c r="NGI116" s="77" t="str">
        <f t="shared" si="254"/>
        <v/>
      </c>
      <c r="NGJ116" s="77" t="str">
        <f t="shared" si="254"/>
        <v/>
      </c>
      <c r="NGK116" s="77" t="str">
        <f t="shared" si="254"/>
        <v/>
      </c>
      <c r="NGL116" s="77" t="str">
        <f t="shared" si="254"/>
        <v/>
      </c>
      <c r="NGM116" s="77" t="str">
        <f t="shared" si="254"/>
        <v/>
      </c>
      <c r="NGN116" s="77" t="str">
        <f t="shared" si="254"/>
        <v/>
      </c>
      <c r="NGO116" s="77" t="str">
        <f t="shared" si="254"/>
        <v/>
      </c>
      <c r="NGP116" s="77" t="str">
        <f t="shared" si="254"/>
        <v/>
      </c>
      <c r="NGQ116" s="77" t="str">
        <f t="shared" si="254"/>
        <v/>
      </c>
      <c r="NGR116" s="77" t="str">
        <f t="shared" si="254"/>
        <v/>
      </c>
      <c r="NGS116" s="77" t="str">
        <f t="shared" si="254"/>
        <v/>
      </c>
      <c r="NGT116" s="77" t="str">
        <f t="shared" si="254"/>
        <v/>
      </c>
      <c r="NGU116" s="77" t="str">
        <f t="shared" si="254"/>
        <v/>
      </c>
      <c r="NGV116" s="77" t="str">
        <f t="shared" si="254"/>
        <v/>
      </c>
      <c r="NGW116" s="77" t="str">
        <f t="shared" si="254"/>
        <v/>
      </c>
      <c r="NGX116" s="77" t="str">
        <f t="shared" si="254"/>
        <v/>
      </c>
      <c r="NGY116" s="77" t="str">
        <f t="shared" si="254"/>
        <v/>
      </c>
      <c r="NGZ116" s="77" t="str">
        <f t="shared" si="254"/>
        <v/>
      </c>
      <c r="NHA116" s="77" t="str">
        <f t="shared" si="254"/>
        <v/>
      </c>
      <c r="NHB116" s="77" t="str">
        <f t="shared" si="254"/>
        <v/>
      </c>
      <c r="NHC116" s="77" t="str">
        <f t="shared" si="254"/>
        <v/>
      </c>
      <c r="NHD116" s="77" t="str">
        <f t="shared" si="254"/>
        <v/>
      </c>
      <c r="NHE116" s="77" t="str">
        <f t="shared" si="254"/>
        <v/>
      </c>
      <c r="NHF116" s="77" t="str">
        <f t="shared" si="254"/>
        <v/>
      </c>
      <c r="NHG116" s="77" t="str">
        <f t="shared" si="254"/>
        <v/>
      </c>
      <c r="NHH116" s="77" t="str">
        <f t="shared" si="254"/>
        <v/>
      </c>
      <c r="NHI116" s="77" t="str">
        <f t="shared" si="254"/>
        <v/>
      </c>
      <c r="NHJ116" s="77" t="str">
        <f t="shared" si="254"/>
        <v/>
      </c>
      <c r="NHK116" s="77" t="str">
        <f t="shared" si="254"/>
        <v/>
      </c>
      <c r="NHL116" s="77" t="str">
        <f t="shared" si="254"/>
        <v/>
      </c>
      <c r="NHM116" s="77" t="str">
        <f t="shared" si="254"/>
        <v/>
      </c>
      <c r="NHN116" s="77" t="str">
        <f t="shared" si="254"/>
        <v/>
      </c>
      <c r="NHO116" s="77" t="str">
        <f t="shared" si="254"/>
        <v/>
      </c>
      <c r="NHP116" s="77" t="str">
        <f t="shared" si="254"/>
        <v/>
      </c>
      <c r="NHQ116" s="77" t="str">
        <f t="shared" si="254"/>
        <v/>
      </c>
      <c r="NHR116" s="77" t="str">
        <f t="shared" si="254"/>
        <v/>
      </c>
      <c r="NHS116" s="77" t="str">
        <f t="shared" si="254"/>
        <v/>
      </c>
      <c r="NHT116" s="77" t="str">
        <f t="shared" si="254"/>
        <v/>
      </c>
      <c r="NHU116" s="77" t="str">
        <f t="shared" si="254"/>
        <v/>
      </c>
      <c r="NHV116" s="77" t="str">
        <f t="shared" si="254"/>
        <v/>
      </c>
      <c r="NHW116" s="77" t="str">
        <f t="shared" si="254"/>
        <v/>
      </c>
      <c r="NHX116" s="77" t="str">
        <f t="shared" si="254"/>
        <v/>
      </c>
      <c r="NHY116" s="77" t="str">
        <f t="shared" si="254"/>
        <v/>
      </c>
      <c r="NHZ116" s="77" t="str">
        <f t="shared" si="254"/>
        <v/>
      </c>
      <c r="NIA116" s="77" t="str">
        <f t="shared" si="254"/>
        <v/>
      </c>
      <c r="NIB116" s="77" t="str">
        <f t="shared" si="254"/>
        <v/>
      </c>
      <c r="NIC116" s="77" t="str">
        <f t="shared" si="254"/>
        <v/>
      </c>
      <c r="NID116" s="77" t="str">
        <f t="shared" si="254"/>
        <v/>
      </c>
      <c r="NIE116" s="77" t="str">
        <f t="shared" ref="NIE116:NKP116" si="255">IF(ISNUMBER(outYear),NIE69+NIE75+NIE81+NIE113,"")</f>
        <v/>
      </c>
      <c r="NIF116" s="77" t="str">
        <f t="shared" si="255"/>
        <v/>
      </c>
      <c r="NIG116" s="77" t="str">
        <f t="shared" si="255"/>
        <v/>
      </c>
      <c r="NIH116" s="77" t="str">
        <f t="shared" si="255"/>
        <v/>
      </c>
      <c r="NII116" s="77" t="str">
        <f t="shared" si="255"/>
        <v/>
      </c>
      <c r="NIJ116" s="77" t="str">
        <f t="shared" si="255"/>
        <v/>
      </c>
      <c r="NIK116" s="77" t="str">
        <f t="shared" si="255"/>
        <v/>
      </c>
      <c r="NIL116" s="77" t="str">
        <f t="shared" si="255"/>
        <v/>
      </c>
      <c r="NIM116" s="77" t="str">
        <f t="shared" si="255"/>
        <v/>
      </c>
      <c r="NIN116" s="77" t="str">
        <f t="shared" si="255"/>
        <v/>
      </c>
      <c r="NIO116" s="77" t="str">
        <f t="shared" si="255"/>
        <v/>
      </c>
      <c r="NIP116" s="77" t="str">
        <f t="shared" si="255"/>
        <v/>
      </c>
      <c r="NIQ116" s="77" t="str">
        <f t="shared" si="255"/>
        <v/>
      </c>
      <c r="NIR116" s="77" t="str">
        <f t="shared" si="255"/>
        <v/>
      </c>
      <c r="NIS116" s="77" t="str">
        <f t="shared" si="255"/>
        <v/>
      </c>
      <c r="NIT116" s="77" t="str">
        <f t="shared" si="255"/>
        <v/>
      </c>
      <c r="NIU116" s="77" t="str">
        <f t="shared" si="255"/>
        <v/>
      </c>
      <c r="NIV116" s="77" t="str">
        <f t="shared" si="255"/>
        <v/>
      </c>
      <c r="NIW116" s="77" t="str">
        <f t="shared" si="255"/>
        <v/>
      </c>
      <c r="NIX116" s="77" t="str">
        <f t="shared" si="255"/>
        <v/>
      </c>
      <c r="NIY116" s="77" t="str">
        <f t="shared" si="255"/>
        <v/>
      </c>
      <c r="NIZ116" s="77" t="str">
        <f t="shared" si="255"/>
        <v/>
      </c>
      <c r="NJA116" s="77" t="str">
        <f t="shared" si="255"/>
        <v/>
      </c>
      <c r="NJB116" s="77" t="str">
        <f t="shared" si="255"/>
        <v/>
      </c>
      <c r="NJC116" s="77" t="str">
        <f t="shared" si="255"/>
        <v/>
      </c>
      <c r="NJD116" s="77" t="str">
        <f t="shared" si="255"/>
        <v/>
      </c>
      <c r="NJE116" s="77" t="str">
        <f t="shared" si="255"/>
        <v/>
      </c>
      <c r="NJF116" s="77" t="str">
        <f t="shared" si="255"/>
        <v/>
      </c>
      <c r="NJG116" s="77" t="str">
        <f t="shared" si="255"/>
        <v/>
      </c>
      <c r="NJH116" s="77" t="str">
        <f t="shared" si="255"/>
        <v/>
      </c>
      <c r="NJI116" s="77" t="str">
        <f t="shared" si="255"/>
        <v/>
      </c>
      <c r="NJJ116" s="77" t="str">
        <f t="shared" si="255"/>
        <v/>
      </c>
      <c r="NJK116" s="77" t="str">
        <f t="shared" si="255"/>
        <v/>
      </c>
      <c r="NJL116" s="77" t="str">
        <f t="shared" si="255"/>
        <v/>
      </c>
      <c r="NJM116" s="77" t="str">
        <f t="shared" si="255"/>
        <v/>
      </c>
      <c r="NJN116" s="77" t="str">
        <f t="shared" si="255"/>
        <v/>
      </c>
      <c r="NJO116" s="77" t="str">
        <f t="shared" si="255"/>
        <v/>
      </c>
      <c r="NJP116" s="77" t="str">
        <f t="shared" si="255"/>
        <v/>
      </c>
      <c r="NJQ116" s="77" t="str">
        <f t="shared" si="255"/>
        <v/>
      </c>
      <c r="NJR116" s="77" t="str">
        <f t="shared" si="255"/>
        <v/>
      </c>
      <c r="NJS116" s="77" t="str">
        <f t="shared" si="255"/>
        <v/>
      </c>
      <c r="NJT116" s="77" t="str">
        <f t="shared" si="255"/>
        <v/>
      </c>
      <c r="NJU116" s="77" t="str">
        <f t="shared" si="255"/>
        <v/>
      </c>
      <c r="NJV116" s="77" t="str">
        <f t="shared" si="255"/>
        <v/>
      </c>
      <c r="NJW116" s="77" t="str">
        <f t="shared" si="255"/>
        <v/>
      </c>
      <c r="NJX116" s="77" t="str">
        <f t="shared" si="255"/>
        <v/>
      </c>
      <c r="NJY116" s="77" t="str">
        <f t="shared" si="255"/>
        <v/>
      </c>
      <c r="NJZ116" s="77" t="str">
        <f t="shared" si="255"/>
        <v/>
      </c>
      <c r="NKA116" s="77" t="str">
        <f t="shared" si="255"/>
        <v/>
      </c>
      <c r="NKB116" s="77" t="str">
        <f t="shared" si="255"/>
        <v/>
      </c>
      <c r="NKC116" s="77" t="str">
        <f t="shared" si="255"/>
        <v/>
      </c>
      <c r="NKD116" s="77" t="str">
        <f t="shared" si="255"/>
        <v/>
      </c>
      <c r="NKE116" s="77" t="str">
        <f t="shared" si="255"/>
        <v/>
      </c>
      <c r="NKF116" s="77" t="str">
        <f t="shared" si="255"/>
        <v/>
      </c>
      <c r="NKG116" s="77" t="str">
        <f t="shared" si="255"/>
        <v/>
      </c>
      <c r="NKH116" s="77" t="str">
        <f t="shared" si="255"/>
        <v/>
      </c>
      <c r="NKI116" s="77" t="str">
        <f t="shared" si="255"/>
        <v/>
      </c>
      <c r="NKJ116" s="77" t="str">
        <f t="shared" si="255"/>
        <v/>
      </c>
      <c r="NKK116" s="77" t="str">
        <f t="shared" si="255"/>
        <v/>
      </c>
      <c r="NKL116" s="77" t="str">
        <f t="shared" si="255"/>
        <v/>
      </c>
      <c r="NKM116" s="77" t="str">
        <f t="shared" si="255"/>
        <v/>
      </c>
      <c r="NKN116" s="77" t="str">
        <f t="shared" si="255"/>
        <v/>
      </c>
      <c r="NKO116" s="77" t="str">
        <f t="shared" si="255"/>
        <v/>
      </c>
      <c r="NKP116" s="77" t="str">
        <f t="shared" si="255"/>
        <v/>
      </c>
      <c r="NKQ116" s="77" t="str">
        <f t="shared" ref="NKQ116:NNB116" si="256">IF(ISNUMBER(outYear),NKQ69+NKQ75+NKQ81+NKQ113,"")</f>
        <v/>
      </c>
      <c r="NKR116" s="77" t="str">
        <f t="shared" si="256"/>
        <v/>
      </c>
      <c r="NKS116" s="77" t="str">
        <f t="shared" si="256"/>
        <v/>
      </c>
      <c r="NKT116" s="77" t="str">
        <f t="shared" si="256"/>
        <v/>
      </c>
      <c r="NKU116" s="77" t="str">
        <f t="shared" si="256"/>
        <v/>
      </c>
      <c r="NKV116" s="77" t="str">
        <f t="shared" si="256"/>
        <v/>
      </c>
      <c r="NKW116" s="77" t="str">
        <f t="shared" si="256"/>
        <v/>
      </c>
      <c r="NKX116" s="77" t="str">
        <f t="shared" si="256"/>
        <v/>
      </c>
      <c r="NKY116" s="77" t="str">
        <f t="shared" si="256"/>
        <v/>
      </c>
      <c r="NKZ116" s="77" t="str">
        <f t="shared" si="256"/>
        <v/>
      </c>
      <c r="NLA116" s="77" t="str">
        <f t="shared" si="256"/>
        <v/>
      </c>
      <c r="NLB116" s="77" t="str">
        <f t="shared" si="256"/>
        <v/>
      </c>
      <c r="NLC116" s="77" t="str">
        <f t="shared" si="256"/>
        <v/>
      </c>
      <c r="NLD116" s="77" t="str">
        <f t="shared" si="256"/>
        <v/>
      </c>
      <c r="NLE116" s="77" t="str">
        <f t="shared" si="256"/>
        <v/>
      </c>
      <c r="NLF116" s="77" t="str">
        <f t="shared" si="256"/>
        <v/>
      </c>
      <c r="NLG116" s="77" t="str">
        <f t="shared" si="256"/>
        <v/>
      </c>
      <c r="NLH116" s="77" t="str">
        <f t="shared" si="256"/>
        <v/>
      </c>
      <c r="NLI116" s="77" t="str">
        <f t="shared" si="256"/>
        <v/>
      </c>
      <c r="NLJ116" s="77" t="str">
        <f t="shared" si="256"/>
        <v/>
      </c>
      <c r="NLK116" s="77" t="str">
        <f t="shared" si="256"/>
        <v/>
      </c>
      <c r="NLL116" s="77" t="str">
        <f t="shared" si="256"/>
        <v/>
      </c>
      <c r="NLM116" s="77" t="str">
        <f t="shared" si="256"/>
        <v/>
      </c>
      <c r="NLN116" s="77" t="str">
        <f t="shared" si="256"/>
        <v/>
      </c>
      <c r="NLO116" s="77" t="str">
        <f t="shared" si="256"/>
        <v/>
      </c>
      <c r="NLP116" s="77" t="str">
        <f t="shared" si="256"/>
        <v/>
      </c>
      <c r="NLQ116" s="77" t="str">
        <f t="shared" si="256"/>
        <v/>
      </c>
      <c r="NLR116" s="77" t="str">
        <f t="shared" si="256"/>
        <v/>
      </c>
      <c r="NLS116" s="77" t="str">
        <f t="shared" si="256"/>
        <v/>
      </c>
      <c r="NLT116" s="77" t="str">
        <f t="shared" si="256"/>
        <v/>
      </c>
      <c r="NLU116" s="77" t="str">
        <f t="shared" si="256"/>
        <v/>
      </c>
      <c r="NLV116" s="77" t="str">
        <f t="shared" si="256"/>
        <v/>
      </c>
      <c r="NLW116" s="77" t="str">
        <f t="shared" si="256"/>
        <v/>
      </c>
      <c r="NLX116" s="77" t="str">
        <f t="shared" si="256"/>
        <v/>
      </c>
      <c r="NLY116" s="77" t="str">
        <f t="shared" si="256"/>
        <v/>
      </c>
      <c r="NLZ116" s="77" t="str">
        <f t="shared" si="256"/>
        <v/>
      </c>
      <c r="NMA116" s="77" t="str">
        <f t="shared" si="256"/>
        <v/>
      </c>
      <c r="NMB116" s="77" t="str">
        <f t="shared" si="256"/>
        <v/>
      </c>
      <c r="NMC116" s="77" t="str">
        <f t="shared" si="256"/>
        <v/>
      </c>
      <c r="NMD116" s="77" t="str">
        <f t="shared" si="256"/>
        <v/>
      </c>
      <c r="NME116" s="77" t="str">
        <f t="shared" si="256"/>
        <v/>
      </c>
      <c r="NMF116" s="77" t="str">
        <f t="shared" si="256"/>
        <v/>
      </c>
      <c r="NMG116" s="77" t="str">
        <f t="shared" si="256"/>
        <v/>
      </c>
      <c r="NMH116" s="77" t="str">
        <f t="shared" si="256"/>
        <v/>
      </c>
      <c r="NMI116" s="77" t="str">
        <f t="shared" si="256"/>
        <v/>
      </c>
      <c r="NMJ116" s="77" t="str">
        <f t="shared" si="256"/>
        <v/>
      </c>
      <c r="NMK116" s="77" t="str">
        <f t="shared" si="256"/>
        <v/>
      </c>
      <c r="NML116" s="77" t="str">
        <f t="shared" si="256"/>
        <v/>
      </c>
      <c r="NMM116" s="77" t="str">
        <f t="shared" si="256"/>
        <v/>
      </c>
      <c r="NMN116" s="77" t="str">
        <f t="shared" si="256"/>
        <v/>
      </c>
      <c r="NMO116" s="77" t="str">
        <f t="shared" si="256"/>
        <v/>
      </c>
      <c r="NMP116" s="77" t="str">
        <f t="shared" si="256"/>
        <v/>
      </c>
      <c r="NMQ116" s="77" t="str">
        <f t="shared" si="256"/>
        <v/>
      </c>
      <c r="NMR116" s="77" t="str">
        <f t="shared" si="256"/>
        <v/>
      </c>
      <c r="NMS116" s="77" t="str">
        <f t="shared" si="256"/>
        <v/>
      </c>
      <c r="NMT116" s="77" t="str">
        <f t="shared" si="256"/>
        <v/>
      </c>
      <c r="NMU116" s="77" t="str">
        <f t="shared" si="256"/>
        <v/>
      </c>
      <c r="NMV116" s="77" t="str">
        <f t="shared" si="256"/>
        <v/>
      </c>
      <c r="NMW116" s="77" t="str">
        <f t="shared" si="256"/>
        <v/>
      </c>
      <c r="NMX116" s="77" t="str">
        <f t="shared" si="256"/>
        <v/>
      </c>
      <c r="NMY116" s="77" t="str">
        <f t="shared" si="256"/>
        <v/>
      </c>
      <c r="NMZ116" s="77" t="str">
        <f t="shared" si="256"/>
        <v/>
      </c>
      <c r="NNA116" s="77" t="str">
        <f t="shared" si="256"/>
        <v/>
      </c>
      <c r="NNB116" s="77" t="str">
        <f t="shared" si="256"/>
        <v/>
      </c>
      <c r="NNC116" s="77" t="str">
        <f t="shared" ref="NNC116:NPN116" si="257">IF(ISNUMBER(outYear),NNC69+NNC75+NNC81+NNC113,"")</f>
        <v/>
      </c>
      <c r="NND116" s="77" t="str">
        <f t="shared" si="257"/>
        <v/>
      </c>
      <c r="NNE116" s="77" t="str">
        <f t="shared" si="257"/>
        <v/>
      </c>
      <c r="NNF116" s="77" t="str">
        <f t="shared" si="257"/>
        <v/>
      </c>
      <c r="NNG116" s="77" t="str">
        <f t="shared" si="257"/>
        <v/>
      </c>
      <c r="NNH116" s="77" t="str">
        <f t="shared" si="257"/>
        <v/>
      </c>
      <c r="NNI116" s="77" t="str">
        <f t="shared" si="257"/>
        <v/>
      </c>
      <c r="NNJ116" s="77" t="str">
        <f t="shared" si="257"/>
        <v/>
      </c>
      <c r="NNK116" s="77" t="str">
        <f t="shared" si="257"/>
        <v/>
      </c>
      <c r="NNL116" s="77" t="str">
        <f t="shared" si="257"/>
        <v/>
      </c>
      <c r="NNM116" s="77" t="str">
        <f t="shared" si="257"/>
        <v/>
      </c>
      <c r="NNN116" s="77" t="str">
        <f t="shared" si="257"/>
        <v/>
      </c>
      <c r="NNO116" s="77" t="str">
        <f t="shared" si="257"/>
        <v/>
      </c>
      <c r="NNP116" s="77" t="str">
        <f t="shared" si="257"/>
        <v/>
      </c>
      <c r="NNQ116" s="77" t="str">
        <f t="shared" si="257"/>
        <v/>
      </c>
      <c r="NNR116" s="77" t="str">
        <f t="shared" si="257"/>
        <v/>
      </c>
      <c r="NNS116" s="77" t="str">
        <f t="shared" si="257"/>
        <v/>
      </c>
      <c r="NNT116" s="77" t="str">
        <f t="shared" si="257"/>
        <v/>
      </c>
      <c r="NNU116" s="77" t="str">
        <f t="shared" si="257"/>
        <v/>
      </c>
      <c r="NNV116" s="77" t="str">
        <f t="shared" si="257"/>
        <v/>
      </c>
      <c r="NNW116" s="77" t="str">
        <f t="shared" si="257"/>
        <v/>
      </c>
      <c r="NNX116" s="77" t="str">
        <f t="shared" si="257"/>
        <v/>
      </c>
      <c r="NNY116" s="77" t="str">
        <f t="shared" si="257"/>
        <v/>
      </c>
      <c r="NNZ116" s="77" t="str">
        <f t="shared" si="257"/>
        <v/>
      </c>
      <c r="NOA116" s="77" t="str">
        <f t="shared" si="257"/>
        <v/>
      </c>
      <c r="NOB116" s="77" t="str">
        <f t="shared" si="257"/>
        <v/>
      </c>
      <c r="NOC116" s="77" t="str">
        <f t="shared" si="257"/>
        <v/>
      </c>
      <c r="NOD116" s="77" t="str">
        <f t="shared" si="257"/>
        <v/>
      </c>
      <c r="NOE116" s="77" t="str">
        <f t="shared" si="257"/>
        <v/>
      </c>
      <c r="NOF116" s="77" t="str">
        <f t="shared" si="257"/>
        <v/>
      </c>
      <c r="NOG116" s="77" t="str">
        <f t="shared" si="257"/>
        <v/>
      </c>
      <c r="NOH116" s="77" t="str">
        <f t="shared" si="257"/>
        <v/>
      </c>
      <c r="NOI116" s="77" t="str">
        <f t="shared" si="257"/>
        <v/>
      </c>
      <c r="NOJ116" s="77" t="str">
        <f t="shared" si="257"/>
        <v/>
      </c>
      <c r="NOK116" s="77" t="str">
        <f t="shared" si="257"/>
        <v/>
      </c>
      <c r="NOL116" s="77" t="str">
        <f t="shared" si="257"/>
        <v/>
      </c>
      <c r="NOM116" s="77" t="str">
        <f t="shared" si="257"/>
        <v/>
      </c>
      <c r="NON116" s="77" t="str">
        <f t="shared" si="257"/>
        <v/>
      </c>
      <c r="NOO116" s="77" t="str">
        <f t="shared" si="257"/>
        <v/>
      </c>
      <c r="NOP116" s="77" t="str">
        <f t="shared" si="257"/>
        <v/>
      </c>
      <c r="NOQ116" s="77" t="str">
        <f t="shared" si="257"/>
        <v/>
      </c>
      <c r="NOR116" s="77" t="str">
        <f t="shared" si="257"/>
        <v/>
      </c>
      <c r="NOS116" s="77" t="str">
        <f t="shared" si="257"/>
        <v/>
      </c>
      <c r="NOT116" s="77" t="str">
        <f t="shared" si="257"/>
        <v/>
      </c>
      <c r="NOU116" s="77" t="str">
        <f t="shared" si="257"/>
        <v/>
      </c>
      <c r="NOV116" s="77" t="str">
        <f t="shared" si="257"/>
        <v/>
      </c>
      <c r="NOW116" s="77" t="str">
        <f t="shared" si="257"/>
        <v/>
      </c>
      <c r="NOX116" s="77" t="str">
        <f t="shared" si="257"/>
        <v/>
      </c>
      <c r="NOY116" s="77" t="str">
        <f t="shared" si="257"/>
        <v/>
      </c>
      <c r="NOZ116" s="77" t="str">
        <f t="shared" si="257"/>
        <v/>
      </c>
      <c r="NPA116" s="77" t="str">
        <f t="shared" si="257"/>
        <v/>
      </c>
      <c r="NPB116" s="77" t="str">
        <f t="shared" si="257"/>
        <v/>
      </c>
      <c r="NPC116" s="77" t="str">
        <f t="shared" si="257"/>
        <v/>
      </c>
      <c r="NPD116" s="77" t="str">
        <f t="shared" si="257"/>
        <v/>
      </c>
      <c r="NPE116" s="77" t="str">
        <f t="shared" si="257"/>
        <v/>
      </c>
      <c r="NPF116" s="77" t="str">
        <f t="shared" si="257"/>
        <v/>
      </c>
      <c r="NPG116" s="77" t="str">
        <f t="shared" si="257"/>
        <v/>
      </c>
      <c r="NPH116" s="77" t="str">
        <f t="shared" si="257"/>
        <v/>
      </c>
      <c r="NPI116" s="77" t="str">
        <f t="shared" si="257"/>
        <v/>
      </c>
      <c r="NPJ116" s="77" t="str">
        <f t="shared" si="257"/>
        <v/>
      </c>
      <c r="NPK116" s="77" t="str">
        <f t="shared" si="257"/>
        <v/>
      </c>
      <c r="NPL116" s="77" t="str">
        <f t="shared" si="257"/>
        <v/>
      </c>
      <c r="NPM116" s="77" t="str">
        <f t="shared" si="257"/>
        <v/>
      </c>
      <c r="NPN116" s="77" t="str">
        <f t="shared" si="257"/>
        <v/>
      </c>
      <c r="NPO116" s="77" t="str">
        <f t="shared" ref="NPO116:NRZ116" si="258">IF(ISNUMBER(outYear),NPO69+NPO75+NPO81+NPO113,"")</f>
        <v/>
      </c>
      <c r="NPP116" s="77" t="str">
        <f t="shared" si="258"/>
        <v/>
      </c>
      <c r="NPQ116" s="77" t="str">
        <f t="shared" si="258"/>
        <v/>
      </c>
      <c r="NPR116" s="77" t="str">
        <f t="shared" si="258"/>
        <v/>
      </c>
      <c r="NPS116" s="77" t="str">
        <f t="shared" si="258"/>
        <v/>
      </c>
      <c r="NPT116" s="77" t="str">
        <f t="shared" si="258"/>
        <v/>
      </c>
      <c r="NPU116" s="77" t="str">
        <f t="shared" si="258"/>
        <v/>
      </c>
      <c r="NPV116" s="77" t="str">
        <f t="shared" si="258"/>
        <v/>
      </c>
      <c r="NPW116" s="77" t="str">
        <f t="shared" si="258"/>
        <v/>
      </c>
      <c r="NPX116" s="77" t="str">
        <f t="shared" si="258"/>
        <v/>
      </c>
      <c r="NPY116" s="77" t="str">
        <f t="shared" si="258"/>
        <v/>
      </c>
      <c r="NPZ116" s="77" t="str">
        <f t="shared" si="258"/>
        <v/>
      </c>
      <c r="NQA116" s="77" t="str">
        <f t="shared" si="258"/>
        <v/>
      </c>
      <c r="NQB116" s="77" t="str">
        <f t="shared" si="258"/>
        <v/>
      </c>
      <c r="NQC116" s="77" t="str">
        <f t="shared" si="258"/>
        <v/>
      </c>
      <c r="NQD116" s="77" t="str">
        <f t="shared" si="258"/>
        <v/>
      </c>
      <c r="NQE116" s="77" t="str">
        <f t="shared" si="258"/>
        <v/>
      </c>
      <c r="NQF116" s="77" t="str">
        <f t="shared" si="258"/>
        <v/>
      </c>
      <c r="NQG116" s="77" t="str">
        <f t="shared" si="258"/>
        <v/>
      </c>
      <c r="NQH116" s="77" t="str">
        <f t="shared" si="258"/>
        <v/>
      </c>
      <c r="NQI116" s="77" t="str">
        <f t="shared" si="258"/>
        <v/>
      </c>
      <c r="NQJ116" s="77" t="str">
        <f t="shared" si="258"/>
        <v/>
      </c>
      <c r="NQK116" s="77" t="str">
        <f t="shared" si="258"/>
        <v/>
      </c>
      <c r="NQL116" s="77" t="str">
        <f t="shared" si="258"/>
        <v/>
      </c>
      <c r="NQM116" s="77" t="str">
        <f t="shared" si="258"/>
        <v/>
      </c>
      <c r="NQN116" s="77" t="str">
        <f t="shared" si="258"/>
        <v/>
      </c>
      <c r="NQO116" s="77" t="str">
        <f t="shared" si="258"/>
        <v/>
      </c>
      <c r="NQP116" s="77" t="str">
        <f t="shared" si="258"/>
        <v/>
      </c>
      <c r="NQQ116" s="77" t="str">
        <f t="shared" si="258"/>
        <v/>
      </c>
      <c r="NQR116" s="77" t="str">
        <f t="shared" si="258"/>
        <v/>
      </c>
      <c r="NQS116" s="77" t="str">
        <f t="shared" si="258"/>
        <v/>
      </c>
      <c r="NQT116" s="77" t="str">
        <f t="shared" si="258"/>
        <v/>
      </c>
      <c r="NQU116" s="77" t="str">
        <f t="shared" si="258"/>
        <v/>
      </c>
      <c r="NQV116" s="77" t="str">
        <f t="shared" si="258"/>
        <v/>
      </c>
      <c r="NQW116" s="77" t="str">
        <f t="shared" si="258"/>
        <v/>
      </c>
      <c r="NQX116" s="77" t="str">
        <f t="shared" si="258"/>
        <v/>
      </c>
      <c r="NQY116" s="77" t="str">
        <f t="shared" si="258"/>
        <v/>
      </c>
      <c r="NQZ116" s="77" t="str">
        <f t="shared" si="258"/>
        <v/>
      </c>
      <c r="NRA116" s="77" t="str">
        <f t="shared" si="258"/>
        <v/>
      </c>
      <c r="NRB116" s="77" t="str">
        <f t="shared" si="258"/>
        <v/>
      </c>
      <c r="NRC116" s="77" t="str">
        <f t="shared" si="258"/>
        <v/>
      </c>
      <c r="NRD116" s="77" t="str">
        <f t="shared" si="258"/>
        <v/>
      </c>
      <c r="NRE116" s="77" t="str">
        <f t="shared" si="258"/>
        <v/>
      </c>
      <c r="NRF116" s="77" t="str">
        <f t="shared" si="258"/>
        <v/>
      </c>
      <c r="NRG116" s="77" t="str">
        <f t="shared" si="258"/>
        <v/>
      </c>
      <c r="NRH116" s="77" t="str">
        <f t="shared" si="258"/>
        <v/>
      </c>
      <c r="NRI116" s="77" t="str">
        <f t="shared" si="258"/>
        <v/>
      </c>
      <c r="NRJ116" s="77" t="str">
        <f t="shared" si="258"/>
        <v/>
      </c>
      <c r="NRK116" s="77" t="str">
        <f t="shared" si="258"/>
        <v/>
      </c>
      <c r="NRL116" s="77" t="str">
        <f t="shared" si="258"/>
        <v/>
      </c>
      <c r="NRM116" s="77" t="str">
        <f t="shared" si="258"/>
        <v/>
      </c>
      <c r="NRN116" s="77" t="str">
        <f t="shared" si="258"/>
        <v/>
      </c>
      <c r="NRO116" s="77" t="str">
        <f t="shared" si="258"/>
        <v/>
      </c>
      <c r="NRP116" s="77" t="str">
        <f t="shared" si="258"/>
        <v/>
      </c>
      <c r="NRQ116" s="77" t="str">
        <f t="shared" si="258"/>
        <v/>
      </c>
      <c r="NRR116" s="77" t="str">
        <f t="shared" si="258"/>
        <v/>
      </c>
      <c r="NRS116" s="77" t="str">
        <f t="shared" si="258"/>
        <v/>
      </c>
      <c r="NRT116" s="77" t="str">
        <f t="shared" si="258"/>
        <v/>
      </c>
      <c r="NRU116" s="77" t="str">
        <f t="shared" si="258"/>
        <v/>
      </c>
      <c r="NRV116" s="77" t="str">
        <f t="shared" si="258"/>
        <v/>
      </c>
      <c r="NRW116" s="77" t="str">
        <f t="shared" si="258"/>
        <v/>
      </c>
      <c r="NRX116" s="77" t="str">
        <f t="shared" si="258"/>
        <v/>
      </c>
      <c r="NRY116" s="77" t="str">
        <f t="shared" si="258"/>
        <v/>
      </c>
      <c r="NRZ116" s="77" t="str">
        <f t="shared" si="258"/>
        <v/>
      </c>
      <c r="NSA116" s="77" t="str">
        <f t="shared" ref="NSA116:NUL116" si="259">IF(ISNUMBER(outYear),NSA69+NSA75+NSA81+NSA113,"")</f>
        <v/>
      </c>
      <c r="NSB116" s="77" t="str">
        <f t="shared" si="259"/>
        <v/>
      </c>
      <c r="NSC116" s="77" t="str">
        <f t="shared" si="259"/>
        <v/>
      </c>
      <c r="NSD116" s="77" t="str">
        <f t="shared" si="259"/>
        <v/>
      </c>
      <c r="NSE116" s="77" t="str">
        <f t="shared" si="259"/>
        <v/>
      </c>
      <c r="NSF116" s="77" t="str">
        <f t="shared" si="259"/>
        <v/>
      </c>
      <c r="NSG116" s="77" t="str">
        <f t="shared" si="259"/>
        <v/>
      </c>
      <c r="NSH116" s="77" t="str">
        <f t="shared" si="259"/>
        <v/>
      </c>
      <c r="NSI116" s="77" t="str">
        <f t="shared" si="259"/>
        <v/>
      </c>
      <c r="NSJ116" s="77" t="str">
        <f t="shared" si="259"/>
        <v/>
      </c>
      <c r="NSK116" s="77" t="str">
        <f t="shared" si="259"/>
        <v/>
      </c>
      <c r="NSL116" s="77" t="str">
        <f t="shared" si="259"/>
        <v/>
      </c>
      <c r="NSM116" s="77" t="str">
        <f t="shared" si="259"/>
        <v/>
      </c>
      <c r="NSN116" s="77" t="str">
        <f t="shared" si="259"/>
        <v/>
      </c>
      <c r="NSO116" s="77" t="str">
        <f t="shared" si="259"/>
        <v/>
      </c>
      <c r="NSP116" s="77" t="str">
        <f t="shared" si="259"/>
        <v/>
      </c>
      <c r="NSQ116" s="77" t="str">
        <f t="shared" si="259"/>
        <v/>
      </c>
      <c r="NSR116" s="77" t="str">
        <f t="shared" si="259"/>
        <v/>
      </c>
      <c r="NSS116" s="77" t="str">
        <f t="shared" si="259"/>
        <v/>
      </c>
      <c r="NST116" s="77" t="str">
        <f t="shared" si="259"/>
        <v/>
      </c>
      <c r="NSU116" s="77" t="str">
        <f t="shared" si="259"/>
        <v/>
      </c>
      <c r="NSV116" s="77" t="str">
        <f t="shared" si="259"/>
        <v/>
      </c>
      <c r="NSW116" s="77" t="str">
        <f t="shared" si="259"/>
        <v/>
      </c>
      <c r="NSX116" s="77" t="str">
        <f t="shared" si="259"/>
        <v/>
      </c>
      <c r="NSY116" s="77" t="str">
        <f t="shared" si="259"/>
        <v/>
      </c>
      <c r="NSZ116" s="77" t="str">
        <f t="shared" si="259"/>
        <v/>
      </c>
      <c r="NTA116" s="77" t="str">
        <f t="shared" si="259"/>
        <v/>
      </c>
      <c r="NTB116" s="77" t="str">
        <f t="shared" si="259"/>
        <v/>
      </c>
      <c r="NTC116" s="77" t="str">
        <f t="shared" si="259"/>
        <v/>
      </c>
      <c r="NTD116" s="77" t="str">
        <f t="shared" si="259"/>
        <v/>
      </c>
      <c r="NTE116" s="77" t="str">
        <f t="shared" si="259"/>
        <v/>
      </c>
      <c r="NTF116" s="77" t="str">
        <f t="shared" si="259"/>
        <v/>
      </c>
      <c r="NTG116" s="77" t="str">
        <f t="shared" si="259"/>
        <v/>
      </c>
      <c r="NTH116" s="77" t="str">
        <f t="shared" si="259"/>
        <v/>
      </c>
      <c r="NTI116" s="77" t="str">
        <f t="shared" si="259"/>
        <v/>
      </c>
      <c r="NTJ116" s="77" t="str">
        <f t="shared" si="259"/>
        <v/>
      </c>
      <c r="NTK116" s="77" t="str">
        <f t="shared" si="259"/>
        <v/>
      </c>
      <c r="NTL116" s="77" t="str">
        <f t="shared" si="259"/>
        <v/>
      </c>
      <c r="NTM116" s="77" t="str">
        <f t="shared" si="259"/>
        <v/>
      </c>
      <c r="NTN116" s="77" t="str">
        <f t="shared" si="259"/>
        <v/>
      </c>
      <c r="NTO116" s="77" t="str">
        <f t="shared" si="259"/>
        <v/>
      </c>
      <c r="NTP116" s="77" t="str">
        <f t="shared" si="259"/>
        <v/>
      </c>
      <c r="NTQ116" s="77" t="str">
        <f t="shared" si="259"/>
        <v/>
      </c>
      <c r="NTR116" s="77" t="str">
        <f t="shared" si="259"/>
        <v/>
      </c>
      <c r="NTS116" s="77" t="str">
        <f t="shared" si="259"/>
        <v/>
      </c>
      <c r="NTT116" s="77" t="str">
        <f t="shared" si="259"/>
        <v/>
      </c>
      <c r="NTU116" s="77" t="str">
        <f t="shared" si="259"/>
        <v/>
      </c>
      <c r="NTV116" s="77" t="str">
        <f t="shared" si="259"/>
        <v/>
      </c>
      <c r="NTW116" s="77" t="str">
        <f t="shared" si="259"/>
        <v/>
      </c>
      <c r="NTX116" s="77" t="str">
        <f t="shared" si="259"/>
        <v/>
      </c>
      <c r="NTY116" s="77" t="str">
        <f t="shared" si="259"/>
        <v/>
      </c>
      <c r="NTZ116" s="77" t="str">
        <f t="shared" si="259"/>
        <v/>
      </c>
      <c r="NUA116" s="77" t="str">
        <f t="shared" si="259"/>
        <v/>
      </c>
      <c r="NUB116" s="77" t="str">
        <f t="shared" si="259"/>
        <v/>
      </c>
      <c r="NUC116" s="77" t="str">
        <f t="shared" si="259"/>
        <v/>
      </c>
      <c r="NUD116" s="77" t="str">
        <f t="shared" si="259"/>
        <v/>
      </c>
      <c r="NUE116" s="77" t="str">
        <f t="shared" si="259"/>
        <v/>
      </c>
      <c r="NUF116" s="77" t="str">
        <f t="shared" si="259"/>
        <v/>
      </c>
      <c r="NUG116" s="77" t="str">
        <f t="shared" si="259"/>
        <v/>
      </c>
      <c r="NUH116" s="77" t="str">
        <f t="shared" si="259"/>
        <v/>
      </c>
      <c r="NUI116" s="77" t="str">
        <f t="shared" si="259"/>
        <v/>
      </c>
      <c r="NUJ116" s="77" t="str">
        <f t="shared" si="259"/>
        <v/>
      </c>
      <c r="NUK116" s="77" t="str">
        <f t="shared" si="259"/>
        <v/>
      </c>
      <c r="NUL116" s="77" t="str">
        <f t="shared" si="259"/>
        <v/>
      </c>
      <c r="NUM116" s="77" t="str">
        <f t="shared" ref="NUM116:NWX116" si="260">IF(ISNUMBER(outYear),NUM69+NUM75+NUM81+NUM113,"")</f>
        <v/>
      </c>
      <c r="NUN116" s="77" t="str">
        <f t="shared" si="260"/>
        <v/>
      </c>
      <c r="NUO116" s="77" t="str">
        <f t="shared" si="260"/>
        <v/>
      </c>
      <c r="NUP116" s="77" t="str">
        <f t="shared" si="260"/>
        <v/>
      </c>
      <c r="NUQ116" s="77" t="str">
        <f t="shared" si="260"/>
        <v/>
      </c>
      <c r="NUR116" s="77" t="str">
        <f t="shared" si="260"/>
        <v/>
      </c>
      <c r="NUS116" s="77" t="str">
        <f t="shared" si="260"/>
        <v/>
      </c>
      <c r="NUT116" s="77" t="str">
        <f t="shared" si="260"/>
        <v/>
      </c>
      <c r="NUU116" s="77" t="str">
        <f t="shared" si="260"/>
        <v/>
      </c>
      <c r="NUV116" s="77" t="str">
        <f t="shared" si="260"/>
        <v/>
      </c>
      <c r="NUW116" s="77" t="str">
        <f t="shared" si="260"/>
        <v/>
      </c>
      <c r="NUX116" s="77" t="str">
        <f t="shared" si="260"/>
        <v/>
      </c>
      <c r="NUY116" s="77" t="str">
        <f t="shared" si="260"/>
        <v/>
      </c>
      <c r="NUZ116" s="77" t="str">
        <f t="shared" si="260"/>
        <v/>
      </c>
      <c r="NVA116" s="77" t="str">
        <f t="shared" si="260"/>
        <v/>
      </c>
      <c r="NVB116" s="77" t="str">
        <f t="shared" si="260"/>
        <v/>
      </c>
      <c r="NVC116" s="77" t="str">
        <f t="shared" si="260"/>
        <v/>
      </c>
      <c r="NVD116" s="77" t="str">
        <f t="shared" si="260"/>
        <v/>
      </c>
      <c r="NVE116" s="77" t="str">
        <f t="shared" si="260"/>
        <v/>
      </c>
      <c r="NVF116" s="77" t="str">
        <f t="shared" si="260"/>
        <v/>
      </c>
      <c r="NVG116" s="77" t="str">
        <f t="shared" si="260"/>
        <v/>
      </c>
      <c r="NVH116" s="77" t="str">
        <f t="shared" si="260"/>
        <v/>
      </c>
      <c r="NVI116" s="77" t="str">
        <f t="shared" si="260"/>
        <v/>
      </c>
      <c r="NVJ116" s="77" t="str">
        <f t="shared" si="260"/>
        <v/>
      </c>
      <c r="NVK116" s="77" t="str">
        <f t="shared" si="260"/>
        <v/>
      </c>
      <c r="NVL116" s="77" t="str">
        <f t="shared" si="260"/>
        <v/>
      </c>
      <c r="NVM116" s="77" t="str">
        <f t="shared" si="260"/>
        <v/>
      </c>
      <c r="NVN116" s="77" t="str">
        <f t="shared" si="260"/>
        <v/>
      </c>
      <c r="NVO116" s="77" t="str">
        <f t="shared" si="260"/>
        <v/>
      </c>
      <c r="NVP116" s="77" t="str">
        <f t="shared" si="260"/>
        <v/>
      </c>
      <c r="NVQ116" s="77" t="str">
        <f t="shared" si="260"/>
        <v/>
      </c>
      <c r="NVR116" s="77" t="str">
        <f t="shared" si="260"/>
        <v/>
      </c>
      <c r="NVS116" s="77" t="str">
        <f t="shared" si="260"/>
        <v/>
      </c>
      <c r="NVT116" s="77" t="str">
        <f t="shared" si="260"/>
        <v/>
      </c>
      <c r="NVU116" s="77" t="str">
        <f t="shared" si="260"/>
        <v/>
      </c>
      <c r="NVV116" s="77" t="str">
        <f t="shared" si="260"/>
        <v/>
      </c>
      <c r="NVW116" s="77" t="str">
        <f t="shared" si="260"/>
        <v/>
      </c>
      <c r="NVX116" s="77" t="str">
        <f t="shared" si="260"/>
        <v/>
      </c>
      <c r="NVY116" s="77" t="str">
        <f t="shared" si="260"/>
        <v/>
      </c>
      <c r="NVZ116" s="77" t="str">
        <f t="shared" si="260"/>
        <v/>
      </c>
      <c r="NWA116" s="77" t="str">
        <f t="shared" si="260"/>
        <v/>
      </c>
      <c r="NWB116" s="77" t="str">
        <f t="shared" si="260"/>
        <v/>
      </c>
      <c r="NWC116" s="77" t="str">
        <f t="shared" si="260"/>
        <v/>
      </c>
      <c r="NWD116" s="77" t="str">
        <f t="shared" si="260"/>
        <v/>
      </c>
      <c r="NWE116" s="77" t="str">
        <f t="shared" si="260"/>
        <v/>
      </c>
      <c r="NWF116" s="77" t="str">
        <f t="shared" si="260"/>
        <v/>
      </c>
      <c r="NWG116" s="77" t="str">
        <f t="shared" si="260"/>
        <v/>
      </c>
      <c r="NWH116" s="77" t="str">
        <f t="shared" si="260"/>
        <v/>
      </c>
      <c r="NWI116" s="77" t="str">
        <f t="shared" si="260"/>
        <v/>
      </c>
      <c r="NWJ116" s="77" t="str">
        <f t="shared" si="260"/>
        <v/>
      </c>
      <c r="NWK116" s="77" t="str">
        <f t="shared" si="260"/>
        <v/>
      </c>
      <c r="NWL116" s="77" t="str">
        <f t="shared" si="260"/>
        <v/>
      </c>
      <c r="NWM116" s="77" t="str">
        <f t="shared" si="260"/>
        <v/>
      </c>
      <c r="NWN116" s="77" t="str">
        <f t="shared" si="260"/>
        <v/>
      </c>
      <c r="NWO116" s="77" t="str">
        <f t="shared" si="260"/>
        <v/>
      </c>
      <c r="NWP116" s="77" t="str">
        <f t="shared" si="260"/>
        <v/>
      </c>
      <c r="NWQ116" s="77" t="str">
        <f t="shared" si="260"/>
        <v/>
      </c>
      <c r="NWR116" s="77" t="str">
        <f t="shared" si="260"/>
        <v/>
      </c>
      <c r="NWS116" s="77" t="str">
        <f t="shared" si="260"/>
        <v/>
      </c>
      <c r="NWT116" s="77" t="str">
        <f t="shared" si="260"/>
        <v/>
      </c>
      <c r="NWU116" s="77" t="str">
        <f t="shared" si="260"/>
        <v/>
      </c>
      <c r="NWV116" s="77" t="str">
        <f t="shared" si="260"/>
        <v/>
      </c>
      <c r="NWW116" s="77" t="str">
        <f t="shared" si="260"/>
        <v/>
      </c>
      <c r="NWX116" s="77" t="str">
        <f t="shared" si="260"/>
        <v/>
      </c>
      <c r="NWY116" s="77" t="str">
        <f t="shared" ref="NWY116:NZJ116" si="261">IF(ISNUMBER(outYear),NWY69+NWY75+NWY81+NWY113,"")</f>
        <v/>
      </c>
      <c r="NWZ116" s="77" t="str">
        <f t="shared" si="261"/>
        <v/>
      </c>
      <c r="NXA116" s="77" t="str">
        <f t="shared" si="261"/>
        <v/>
      </c>
      <c r="NXB116" s="77" t="str">
        <f t="shared" si="261"/>
        <v/>
      </c>
      <c r="NXC116" s="77" t="str">
        <f t="shared" si="261"/>
        <v/>
      </c>
      <c r="NXD116" s="77" t="str">
        <f t="shared" si="261"/>
        <v/>
      </c>
      <c r="NXE116" s="77" t="str">
        <f t="shared" si="261"/>
        <v/>
      </c>
      <c r="NXF116" s="77" t="str">
        <f t="shared" si="261"/>
        <v/>
      </c>
      <c r="NXG116" s="77" t="str">
        <f t="shared" si="261"/>
        <v/>
      </c>
      <c r="NXH116" s="77" t="str">
        <f t="shared" si="261"/>
        <v/>
      </c>
      <c r="NXI116" s="77" t="str">
        <f t="shared" si="261"/>
        <v/>
      </c>
      <c r="NXJ116" s="77" t="str">
        <f t="shared" si="261"/>
        <v/>
      </c>
      <c r="NXK116" s="77" t="str">
        <f t="shared" si="261"/>
        <v/>
      </c>
      <c r="NXL116" s="77" t="str">
        <f t="shared" si="261"/>
        <v/>
      </c>
      <c r="NXM116" s="77" t="str">
        <f t="shared" si="261"/>
        <v/>
      </c>
      <c r="NXN116" s="77" t="str">
        <f t="shared" si="261"/>
        <v/>
      </c>
      <c r="NXO116" s="77" t="str">
        <f t="shared" si="261"/>
        <v/>
      </c>
      <c r="NXP116" s="77" t="str">
        <f t="shared" si="261"/>
        <v/>
      </c>
      <c r="NXQ116" s="77" t="str">
        <f t="shared" si="261"/>
        <v/>
      </c>
      <c r="NXR116" s="77" t="str">
        <f t="shared" si="261"/>
        <v/>
      </c>
      <c r="NXS116" s="77" t="str">
        <f t="shared" si="261"/>
        <v/>
      </c>
      <c r="NXT116" s="77" t="str">
        <f t="shared" si="261"/>
        <v/>
      </c>
      <c r="NXU116" s="77" t="str">
        <f t="shared" si="261"/>
        <v/>
      </c>
      <c r="NXV116" s="77" t="str">
        <f t="shared" si="261"/>
        <v/>
      </c>
      <c r="NXW116" s="77" t="str">
        <f t="shared" si="261"/>
        <v/>
      </c>
      <c r="NXX116" s="77" t="str">
        <f t="shared" si="261"/>
        <v/>
      </c>
      <c r="NXY116" s="77" t="str">
        <f t="shared" si="261"/>
        <v/>
      </c>
      <c r="NXZ116" s="77" t="str">
        <f t="shared" si="261"/>
        <v/>
      </c>
      <c r="NYA116" s="77" t="str">
        <f t="shared" si="261"/>
        <v/>
      </c>
      <c r="NYB116" s="77" t="str">
        <f t="shared" si="261"/>
        <v/>
      </c>
      <c r="NYC116" s="77" t="str">
        <f t="shared" si="261"/>
        <v/>
      </c>
      <c r="NYD116" s="77" t="str">
        <f t="shared" si="261"/>
        <v/>
      </c>
      <c r="NYE116" s="77" t="str">
        <f t="shared" si="261"/>
        <v/>
      </c>
      <c r="NYF116" s="77" t="str">
        <f t="shared" si="261"/>
        <v/>
      </c>
      <c r="NYG116" s="77" t="str">
        <f t="shared" si="261"/>
        <v/>
      </c>
      <c r="NYH116" s="77" t="str">
        <f t="shared" si="261"/>
        <v/>
      </c>
      <c r="NYI116" s="77" t="str">
        <f t="shared" si="261"/>
        <v/>
      </c>
      <c r="NYJ116" s="77" t="str">
        <f t="shared" si="261"/>
        <v/>
      </c>
      <c r="NYK116" s="77" t="str">
        <f t="shared" si="261"/>
        <v/>
      </c>
      <c r="NYL116" s="77" t="str">
        <f t="shared" si="261"/>
        <v/>
      </c>
      <c r="NYM116" s="77" t="str">
        <f t="shared" si="261"/>
        <v/>
      </c>
      <c r="NYN116" s="77" t="str">
        <f t="shared" si="261"/>
        <v/>
      </c>
      <c r="NYO116" s="77" t="str">
        <f t="shared" si="261"/>
        <v/>
      </c>
      <c r="NYP116" s="77" t="str">
        <f t="shared" si="261"/>
        <v/>
      </c>
      <c r="NYQ116" s="77" t="str">
        <f t="shared" si="261"/>
        <v/>
      </c>
      <c r="NYR116" s="77" t="str">
        <f t="shared" si="261"/>
        <v/>
      </c>
      <c r="NYS116" s="77" t="str">
        <f t="shared" si="261"/>
        <v/>
      </c>
      <c r="NYT116" s="77" t="str">
        <f t="shared" si="261"/>
        <v/>
      </c>
      <c r="NYU116" s="77" t="str">
        <f t="shared" si="261"/>
        <v/>
      </c>
      <c r="NYV116" s="77" t="str">
        <f t="shared" si="261"/>
        <v/>
      </c>
      <c r="NYW116" s="77" t="str">
        <f t="shared" si="261"/>
        <v/>
      </c>
      <c r="NYX116" s="77" t="str">
        <f t="shared" si="261"/>
        <v/>
      </c>
      <c r="NYY116" s="77" t="str">
        <f t="shared" si="261"/>
        <v/>
      </c>
      <c r="NYZ116" s="77" t="str">
        <f t="shared" si="261"/>
        <v/>
      </c>
      <c r="NZA116" s="77" t="str">
        <f t="shared" si="261"/>
        <v/>
      </c>
      <c r="NZB116" s="77" t="str">
        <f t="shared" si="261"/>
        <v/>
      </c>
      <c r="NZC116" s="77" t="str">
        <f t="shared" si="261"/>
        <v/>
      </c>
      <c r="NZD116" s="77" t="str">
        <f t="shared" si="261"/>
        <v/>
      </c>
      <c r="NZE116" s="77" t="str">
        <f t="shared" si="261"/>
        <v/>
      </c>
      <c r="NZF116" s="77" t="str">
        <f t="shared" si="261"/>
        <v/>
      </c>
      <c r="NZG116" s="77" t="str">
        <f t="shared" si="261"/>
        <v/>
      </c>
      <c r="NZH116" s="77" t="str">
        <f t="shared" si="261"/>
        <v/>
      </c>
      <c r="NZI116" s="77" t="str">
        <f t="shared" si="261"/>
        <v/>
      </c>
      <c r="NZJ116" s="77" t="str">
        <f t="shared" si="261"/>
        <v/>
      </c>
      <c r="NZK116" s="77" t="str">
        <f t="shared" ref="NZK116:OBV116" si="262">IF(ISNUMBER(outYear),NZK69+NZK75+NZK81+NZK113,"")</f>
        <v/>
      </c>
      <c r="NZL116" s="77" t="str">
        <f t="shared" si="262"/>
        <v/>
      </c>
      <c r="NZM116" s="77" t="str">
        <f t="shared" si="262"/>
        <v/>
      </c>
      <c r="NZN116" s="77" t="str">
        <f t="shared" si="262"/>
        <v/>
      </c>
      <c r="NZO116" s="77" t="str">
        <f t="shared" si="262"/>
        <v/>
      </c>
      <c r="NZP116" s="77" t="str">
        <f t="shared" si="262"/>
        <v/>
      </c>
      <c r="NZQ116" s="77" t="str">
        <f t="shared" si="262"/>
        <v/>
      </c>
      <c r="NZR116" s="77" t="str">
        <f t="shared" si="262"/>
        <v/>
      </c>
      <c r="NZS116" s="77" t="str">
        <f t="shared" si="262"/>
        <v/>
      </c>
      <c r="NZT116" s="77" t="str">
        <f t="shared" si="262"/>
        <v/>
      </c>
      <c r="NZU116" s="77" t="str">
        <f t="shared" si="262"/>
        <v/>
      </c>
      <c r="NZV116" s="77" t="str">
        <f t="shared" si="262"/>
        <v/>
      </c>
      <c r="NZW116" s="77" t="str">
        <f t="shared" si="262"/>
        <v/>
      </c>
      <c r="NZX116" s="77" t="str">
        <f t="shared" si="262"/>
        <v/>
      </c>
      <c r="NZY116" s="77" t="str">
        <f t="shared" si="262"/>
        <v/>
      </c>
      <c r="NZZ116" s="77" t="str">
        <f t="shared" si="262"/>
        <v/>
      </c>
      <c r="OAA116" s="77" t="str">
        <f t="shared" si="262"/>
        <v/>
      </c>
      <c r="OAB116" s="77" t="str">
        <f t="shared" si="262"/>
        <v/>
      </c>
      <c r="OAC116" s="77" t="str">
        <f t="shared" si="262"/>
        <v/>
      </c>
      <c r="OAD116" s="77" t="str">
        <f t="shared" si="262"/>
        <v/>
      </c>
      <c r="OAE116" s="77" t="str">
        <f t="shared" si="262"/>
        <v/>
      </c>
      <c r="OAF116" s="77" t="str">
        <f t="shared" si="262"/>
        <v/>
      </c>
      <c r="OAG116" s="77" t="str">
        <f t="shared" si="262"/>
        <v/>
      </c>
      <c r="OAH116" s="77" t="str">
        <f t="shared" si="262"/>
        <v/>
      </c>
      <c r="OAI116" s="77" t="str">
        <f t="shared" si="262"/>
        <v/>
      </c>
      <c r="OAJ116" s="77" t="str">
        <f t="shared" si="262"/>
        <v/>
      </c>
      <c r="OAK116" s="77" t="str">
        <f t="shared" si="262"/>
        <v/>
      </c>
      <c r="OAL116" s="77" t="str">
        <f t="shared" si="262"/>
        <v/>
      </c>
      <c r="OAM116" s="77" t="str">
        <f t="shared" si="262"/>
        <v/>
      </c>
      <c r="OAN116" s="77" t="str">
        <f t="shared" si="262"/>
        <v/>
      </c>
      <c r="OAO116" s="77" t="str">
        <f t="shared" si="262"/>
        <v/>
      </c>
      <c r="OAP116" s="77" t="str">
        <f t="shared" si="262"/>
        <v/>
      </c>
      <c r="OAQ116" s="77" t="str">
        <f t="shared" si="262"/>
        <v/>
      </c>
      <c r="OAR116" s="77" t="str">
        <f t="shared" si="262"/>
        <v/>
      </c>
      <c r="OAS116" s="77" t="str">
        <f t="shared" si="262"/>
        <v/>
      </c>
      <c r="OAT116" s="77" t="str">
        <f t="shared" si="262"/>
        <v/>
      </c>
      <c r="OAU116" s="77" t="str">
        <f t="shared" si="262"/>
        <v/>
      </c>
      <c r="OAV116" s="77" t="str">
        <f t="shared" si="262"/>
        <v/>
      </c>
      <c r="OAW116" s="77" t="str">
        <f t="shared" si="262"/>
        <v/>
      </c>
      <c r="OAX116" s="77" t="str">
        <f t="shared" si="262"/>
        <v/>
      </c>
      <c r="OAY116" s="77" t="str">
        <f t="shared" si="262"/>
        <v/>
      </c>
      <c r="OAZ116" s="77" t="str">
        <f t="shared" si="262"/>
        <v/>
      </c>
      <c r="OBA116" s="77" t="str">
        <f t="shared" si="262"/>
        <v/>
      </c>
      <c r="OBB116" s="77" t="str">
        <f t="shared" si="262"/>
        <v/>
      </c>
      <c r="OBC116" s="77" t="str">
        <f t="shared" si="262"/>
        <v/>
      </c>
      <c r="OBD116" s="77" t="str">
        <f t="shared" si="262"/>
        <v/>
      </c>
      <c r="OBE116" s="77" t="str">
        <f t="shared" si="262"/>
        <v/>
      </c>
      <c r="OBF116" s="77" t="str">
        <f t="shared" si="262"/>
        <v/>
      </c>
      <c r="OBG116" s="77" t="str">
        <f t="shared" si="262"/>
        <v/>
      </c>
      <c r="OBH116" s="77" t="str">
        <f t="shared" si="262"/>
        <v/>
      </c>
      <c r="OBI116" s="77" t="str">
        <f t="shared" si="262"/>
        <v/>
      </c>
      <c r="OBJ116" s="77" t="str">
        <f t="shared" si="262"/>
        <v/>
      </c>
      <c r="OBK116" s="77" t="str">
        <f t="shared" si="262"/>
        <v/>
      </c>
      <c r="OBL116" s="77" t="str">
        <f t="shared" si="262"/>
        <v/>
      </c>
      <c r="OBM116" s="77" t="str">
        <f t="shared" si="262"/>
        <v/>
      </c>
      <c r="OBN116" s="77" t="str">
        <f t="shared" si="262"/>
        <v/>
      </c>
      <c r="OBO116" s="77" t="str">
        <f t="shared" si="262"/>
        <v/>
      </c>
      <c r="OBP116" s="77" t="str">
        <f t="shared" si="262"/>
        <v/>
      </c>
      <c r="OBQ116" s="77" t="str">
        <f t="shared" si="262"/>
        <v/>
      </c>
      <c r="OBR116" s="77" t="str">
        <f t="shared" si="262"/>
        <v/>
      </c>
      <c r="OBS116" s="77" t="str">
        <f t="shared" si="262"/>
        <v/>
      </c>
      <c r="OBT116" s="77" t="str">
        <f t="shared" si="262"/>
        <v/>
      </c>
      <c r="OBU116" s="77" t="str">
        <f t="shared" si="262"/>
        <v/>
      </c>
      <c r="OBV116" s="77" t="str">
        <f t="shared" si="262"/>
        <v/>
      </c>
      <c r="OBW116" s="77" t="str">
        <f t="shared" ref="OBW116:OEH116" si="263">IF(ISNUMBER(outYear),OBW69+OBW75+OBW81+OBW113,"")</f>
        <v/>
      </c>
      <c r="OBX116" s="77" t="str">
        <f t="shared" si="263"/>
        <v/>
      </c>
      <c r="OBY116" s="77" t="str">
        <f t="shared" si="263"/>
        <v/>
      </c>
      <c r="OBZ116" s="77" t="str">
        <f t="shared" si="263"/>
        <v/>
      </c>
      <c r="OCA116" s="77" t="str">
        <f t="shared" si="263"/>
        <v/>
      </c>
      <c r="OCB116" s="77" t="str">
        <f t="shared" si="263"/>
        <v/>
      </c>
      <c r="OCC116" s="77" t="str">
        <f t="shared" si="263"/>
        <v/>
      </c>
      <c r="OCD116" s="77" t="str">
        <f t="shared" si="263"/>
        <v/>
      </c>
      <c r="OCE116" s="77" t="str">
        <f t="shared" si="263"/>
        <v/>
      </c>
      <c r="OCF116" s="77" t="str">
        <f t="shared" si="263"/>
        <v/>
      </c>
      <c r="OCG116" s="77" t="str">
        <f t="shared" si="263"/>
        <v/>
      </c>
      <c r="OCH116" s="77" t="str">
        <f t="shared" si="263"/>
        <v/>
      </c>
      <c r="OCI116" s="77" t="str">
        <f t="shared" si="263"/>
        <v/>
      </c>
      <c r="OCJ116" s="77" t="str">
        <f t="shared" si="263"/>
        <v/>
      </c>
      <c r="OCK116" s="77" t="str">
        <f t="shared" si="263"/>
        <v/>
      </c>
      <c r="OCL116" s="77" t="str">
        <f t="shared" si="263"/>
        <v/>
      </c>
      <c r="OCM116" s="77" t="str">
        <f t="shared" si="263"/>
        <v/>
      </c>
      <c r="OCN116" s="77" t="str">
        <f t="shared" si="263"/>
        <v/>
      </c>
      <c r="OCO116" s="77" t="str">
        <f t="shared" si="263"/>
        <v/>
      </c>
      <c r="OCP116" s="77" t="str">
        <f t="shared" si="263"/>
        <v/>
      </c>
      <c r="OCQ116" s="77" t="str">
        <f t="shared" si="263"/>
        <v/>
      </c>
      <c r="OCR116" s="77" t="str">
        <f t="shared" si="263"/>
        <v/>
      </c>
      <c r="OCS116" s="77" t="str">
        <f t="shared" si="263"/>
        <v/>
      </c>
      <c r="OCT116" s="77" t="str">
        <f t="shared" si="263"/>
        <v/>
      </c>
      <c r="OCU116" s="77" t="str">
        <f t="shared" si="263"/>
        <v/>
      </c>
      <c r="OCV116" s="77" t="str">
        <f t="shared" si="263"/>
        <v/>
      </c>
      <c r="OCW116" s="77" t="str">
        <f t="shared" si="263"/>
        <v/>
      </c>
      <c r="OCX116" s="77" t="str">
        <f t="shared" si="263"/>
        <v/>
      </c>
      <c r="OCY116" s="77" t="str">
        <f t="shared" si="263"/>
        <v/>
      </c>
      <c r="OCZ116" s="77" t="str">
        <f t="shared" si="263"/>
        <v/>
      </c>
      <c r="ODA116" s="77" t="str">
        <f t="shared" si="263"/>
        <v/>
      </c>
      <c r="ODB116" s="77" t="str">
        <f t="shared" si="263"/>
        <v/>
      </c>
      <c r="ODC116" s="77" t="str">
        <f t="shared" si="263"/>
        <v/>
      </c>
      <c r="ODD116" s="77" t="str">
        <f t="shared" si="263"/>
        <v/>
      </c>
      <c r="ODE116" s="77" t="str">
        <f t="shared" si="263"/>
        <v/>
      </c>
      <c r="ODF116" s="77" t="str">
        <f t="shared" si="263"/>
        <v/>
      </c>
      <c r="ODG116" s="77" t="str">
        <f t="shared" si="263"/>
        <v/>
      </c>
      <c r="ODH116" s="77" t="str">
        <f t="shared" si="263"/>
        <v/>
      </c>
      <c r="ODI116" s="77" t="str">
        <f t="shared" si="263"/>
        <v/>
      </c>
      <c r="ODJ116" s="77" t="str">
        <f t="shared" si="263"/>
        <v/>
      </c>
      <c r="ODK116" s="77" t="str">
        <f t="shared" si="263"/>
        <v/>
      </c>
      <c r="ODL116" s="77" t="str">
        <f t="shared" si="263"/>
        <v/>
      </c>
      <c r="ODM116" s="77" t="str">
        <f t="shared" si="263"/>
        <v/>
      </c>
      <c r="ODN116" s="77" t="str">
        <f t="shared" si="263"/>
        <v/>
      </c>
      <c r="ODO116" s="77" t="str">
        <f t="shared" si="263"/>
        <v/>
      </c>
      <c r="ODP116" s="77" t="str">
        <f t="shared" si="263"/>
        <v/>
      </c>
      <c r="ODQ116" s="77" t="str">
        <f t="shared" si="263"/>
        <v/>
      </c>
      <c r="ODR116" s="77" t="str">
        <f t="shared" si="263"/>
        <v/>
      </c>
      <c r="ODS116" s="77" t="str">
        <f t="shared" si="263"/>
        <v/>
      </c>
      <c r="ODT116" s="77" t="str">
        <f t="shared" si="263"/>
        <v/>
      </c>
      <c r="ODU116" s="77" t="str">
        <f t="shared" si="263"/>
        <v/>
      </c>
      <c r="ODV116" s="77" t="str">
        <f t="shared" si="263"/>
        <v/>
      </c>
      <c r="ODW116" s="77" t="str">
        <f t="shared" si="263"/>
        <v/>
      </c>
      <c r="ODX116" s="77" t="str">
        <f t="shared" si="263"/>
        <v/>
      </c>
      <c r="ODY116" s="77" t="str">
        <f t="shared" si="263"/>
        <v/>
      </c>
      <c r="ODZ116" s="77" t="str">
        <f t="shared" si="263"/>
        <v/>
      </c>
      <c r="OEA116" s="77" t="str">
        <f t="shared" si="263"/>
        <v/>
      </c>
      <c r="OEB116" s="77" t="str">
        <f t="shared" si="263"/>
        <v/>
      </c>
      <c r="OEC116" s="77" t="str">
        <f t="shared" si="263"/>
        <v/>
      </c>
      <c r="OED116" s="77" t="str">
        <f t="shared" si="263"/>
        <v/>
      </c>
      <c r="OEE116" s="77" t="str">
        <f t="shared" si="263"/>
        <v/>
      </c>
      <c r="OEF116" s="77" t="str">
        <f t="shared" si="263"/>
        <v/>
      </c>
      <c r="OEG116" s="77" t="str">
        <f t="shared" si="263"/>
        <v/>
      </c>
      <c r="OEH116" s="77" t="str">
        <f t="shared" si="263"/>
        <v/>
      </c>
      <c r="OEI116" s="77" t="str">
        <f t="shared" ref="OEI116:OGT116" si="264">IF(ISNUMBER(outYear),OEI69+OEI75+OEI81+OEI113,"")</f>
        <v/>
      </c>
      <c r="OEJ116" s="77" t="str">
        <f t="shared" si="264"/>
        <v/>
      </c>
      <c r="OEK116" s="77" t="str">
        <f t="shared" si="264"/>
        <v/>
      </c>
      <c r="OEL116" s="77" t="str">
        <f t="shared" si="264"/>
        <v/>
      </c>
      <c r="OEM116" s="77" t="str">
        <f t="shared" si="264"/>
        <v/>
      </c>
      <c r="OEN116" s="77" t="str">
        <f t="shared" si="264"/>
        <v/>
      </c>
      <c r="OEO116" s="77" t="str">
        <f t="shared" si="264"/>
        <v/>
      </c>
      <c r="OEP116" s="77" t="str">
        <f t="shared" si="264"/>
        <v/>
      </c>
      <c r="OEQ116" s="77" t="str">
        <f t="shared" si="264"/>
        <v/>
      </c>
      <c r="OER116" s="77" t="str">
        <f t="shared" si="264"/>
        <v/>
      </c>
      <c r="OES116" s="77" t="str">
        <f t="shared" si="264"/>
        <v/>
      </c>
      <c r="OET116" s="77" t="str">
        <f t="shared" si="264"/>
        <v/>
      </c>
      <c r="OEU116" s="77" t="str">
        <f t="shared" si="264"/>
        <v/>
      </c>
      <c r="OEV116" s="77" t="str">
        <f t="shared" si="264"/>
        <v/>
      </c>
      <c r="OEW116" s="77" t="str">
        <f t="shared" si="264"/>
        <v/>
      </c>
      <c r="OEX116" s="77" t="str">
        <f t="shared" si="264"/>
        <v/>
      </c>
      <c r="OEY116" s="77" t="str">
        <f t="shared" si="264"/>
        <v/>
      </c>
      <c r="OEZ116" s="77" t="str">
        <f t="shared" si="264"/>
        <v/>
      </c>
      <c r="OFA116" s="77" t="str">
        <f t="shared" si="264"/>
        <v/>
      </c>
      <c r="OFB116" s="77" t="str">
        <f t="shared" si="264"/>
        <v/>
      </c>
      <c r="OFC116" s="77" t="str">
        <f t="shared" si="264"/>
        <v/>
      </c>
      <c r="OFD116" s="77" t="str">
        <f t="shared" si="264"/>
        <v/>
      </c>
      <c r="OFE116" s="77" t="str">
        <f t="shared" si="264"/>
        <v/>
      </c>
      <c r="OFF116" s="77" t="str">
        <f t="shared" si="264"/>
        <v/>
      </c>
      <c r="OFG116" s="77" t="str">
        <f t="shared" si="264"/>
        <v/>
      </c>
      <c r="OFH116" s="77" t="str">
        <f t="shared" si="264"/>
        <v/>
      </c>
      <c r="OFI116" s="77" t="str">
        <f t="shared" si="264"/>
        <v/>
      </c>
      <c r="OFJ116" s="77" t="str">
        <f t="shared" si="264"/>
        <v/>
      </c>
      <c r="OFK116" s="77" t="str">
        <f t="shared" si="264"/>
        <v/>
      </c>
      <c r="OFL116" s="77" t="str">
        <f t="shared" si="264"/>
        <v/>
      </c>
      <c r="OFM116" s="77" t="str">
        <f t="shared" si="264"/>
        <v/>
      </c>
      <c r="OFN116" s="77" t="str">
        <f t="shared" si="264"/>
        <v/>
      </c>
      <c r="OFO116" s="77" t="str">
        <f t="shared" si="264"/>
        <v/>
      </c>
      <c r="OFP116" s="77" t="str">
        <f t="shared" si="264"/>
        <v/>
      </c>
      <c r="OFQ116" s="77" t="str">
        <f t="shared" si="264"/>
        <v/>
      </c>
      <c r="OFR116" s="77" t="str">
        <f t="shared" si="264"/>
        <v/>
      </c>
      <c r="OFS116" s="77" t="str">
        <f t="shared" si="264"/>
        <v/>
      </c>
      <c r="OFT116" s="77" t="str">
        <f t="shared" si="264"/>
        <v/>
      </c>
      <c r="OFU116" s="77" t="str">
        <f t="shared" si="264"/>
        <v/>
      </c>
      <c r="OFV116" s="77" t="str">
        <f t="shared" si="264"/>
        <v/>
      </c>
      <c r="OFW116" s="77" t="str">
        <f t="shared" si="264"/>
        <v/>
      </c>
      <c r="OFX116" s="77" t="str">
        <f t="shared" si="264"/>
        <v/>
      </c>
      <c r="OFY116" s="77" t="str">
        <f t="shared" si="264"/>
        <v/>
      </c>
      <c r="OFZ116" s="77" t="str">
        <f t="shared" si="264"/>
        <v/>
      </c>
      <c r="OGA116" s="77" t="str">
        <f t="shared" si="264"/>
        <v/>
      </c>
      <c r="OGB116" s="77" t="str">
        <f t="shared" si="264"/>
        <v/>
      </c>
      <c r="OGC116" s="77" t="str">
        <f t="shared" si="264"/>
        <v/>
      </c>
      <c r="OGD116" s="77" t="str">
        <f t="shared" si="264"/>
        <v/>
      </c>
      <c r="OGE116" s="77" t="str">
        <f t="shared" si="264"/>
        <v/>
      </c>
      <c r="OGF116" s="77" t="str">
        <f t="shared" si="264"/>
        <v/>
      </c>
      <c r="OGG116" s="77" t="str">
        <f t="shared" si="264"/>
        <v/>
      </c>
      <c r="OGH116" s="77" t="str">
        <f t="shared" si="264"/>
        <v/>
      </c>
      <c r="OGI116" s="77" t="str">
        <f t="shared" si="264"/>
        <v/>
      </c>
      <c r="OGJ116" s="77" t="str">
        <f t="shared" si="264"/>
        <v/>
      </c>
      <c r="OGK116" s="77" t="str">
        <f t="shared" si="264"/>
        <v/>
      </c>
      <c r="OGL116" s="77" t="str">
        <f t="shared" si="264"/>
        <v/>
      </c>
      <c r="OGM116" s="77" t="str">
        <f t="shared" si="264"/>
        <v/>
      </c>
      <c r="OGN116" s="77" t="str">
        <f t="shared" si="264"/>
        <v/>
      </c>
      <c r="OGO116" s="77" t="str">
        <f t="shared" si="264"/>
        <v/>
      </c>
      <c r="OGP116" s="77" t="str">
        <f t="shared" si="264"/>
        <v/>
      </c>
      <c r="OGQ116" s="77" t="str">
        <f t="shared" si="264"/>
        <v/>
      </c>
      <c r="OGR116" s="77" t="str">
        <f t="shared" si="264"/>
        <v/>
      </c>
      <c r="OGS116" s="77" t="str">
        <f t="shared" si="264"/>
        <v/>
      </c>
      <c r="OGT116" s="77" t="str">
        <f t="shared" si="264"/>
        <v/>
      </c>
      <c r="OGU116" s="77" t="str">
        <f t="shared" ref="OGU116:OJF116" si="265">IF(ISNUMBER(outYear),OGU69+OGU75+OGU81+OGU113,"")</f>
        <v/>
      </c>
      <c r="OGV116" s="77" t="str">
        <f t="shared" si="265"/>
        <v/>
      </c>
      <c r="OGW116" s="77" t="str">
        <f t="shared" si="265"/>
        <v/>
      </c>
      <c r="OGX116" s="77" t="str">
        <f t="shared" si="265"/>
        <v/>
      </c>
      <c r="OGY116" s="77" t="str">
        <f t="shared" si="265"/>
        <v/>
      </c>
      <c r="OGZ116" s="77" t="str">
        <f t="shared" si="265"/>
        <v/>
      </c>
      <c r="OHA116" s="77" t="str">
        <f t="shared" si="265"/>
        <v/>
      </c>
      <c r="OHB116" s="77" t="str">
        <f t="shared" si="265"/>
        <v/>
      </c>
      <c r="OHC116" s="77" t="str">
        <f t="shared" si="265"/>
        <v/>
      </c>
      <c r="OHD116" s="77" t="str">
        <f t="shared" si="265"/>
        <v/>
      </c>
      <c r="OHE116" s="77" t="str">
        <f t="shared" si="265"/>
        <v/>
      </c>
      <c r="OHF116" s="77" t="str">
        <f t="shared" si="265"/>
        <v/>
      </c>
      <c r="OHG116" s="77" t="str">
        <f t="shared" si="265"/>
        <v/>
      </c>
      <c r="OHH116" s="77" t="str">
        <f t="shared" si="265"/>
        <v/>
      </c>
      <c r="OHI116" s="77" t="str">
        <f t="shared" si="265"/>
        <v/>
      </c>
      <c r="OHJ116" s="77" t="str">
        <f t="shared" si="265"/>
        <v/>
      </c>
      <c r="OHK116" s="77" t="str">
        <f t="shared" si="265"/>
        <v/>
      </c>
      <c r="OHL116" s="77" t="str">
        <f t="shared" si="265"/>
        <v/>
      </c>
      <c r="OHM116" s="77" t="str">
        <f t="shared" si="265"/>
        <v/>
      </c>
      <c r="OHN116" s="77" t="str">
        <f t="shared" si="265"/>
        <v/>
      </c>
      <c r="OHO116" s="77" t="str">
        <f t="shared" si="265"/>
        <v/>
      </c>
      <c r="OHP116" s="77" t="str">
        <f t="shared" si="265"/>
        <v/>
      </c>
      <c r="OHQ116" s="77" t="str">
        <f t="shared" si="265"/>
        <v/>
      </c>
      <c r="OHR116" s="77" t="str">
        <f t="shared" si="265"/>
        <v/>
      </c>
      <c r="OHS116" s="77" t="str">
        <f t="shared" si="265"/>
        <v/>
      </c>
      <c r="OHT116" s="77" t="str">
        <f t="shared" si="265"/>
        <v/>
      </c>
      <c r="OHU116" s="77" t="str">
        <f t="shared" si="265"/>
        <v/>
      </c>
      <c r="OHV116" s="77" t="str">
        <f t="shared" si="265"/>
        <v/>
      </c>
      <c r="OHW116" s="77" t="str">
        <f t="shared" si="265"/>
        <v/>
      </c>
      <c r="OHX116" s="77" t="str">
        <f t="shared" si="265"/>
        <v/>
      </c>
      <c r="OHY116" s="77" t="str">
        <f t="shared" si="265"/>
        <v/>
      </c>
      <c r="OHZ116" s="77" t="str">
        <f t="shared" si="265"/>
        <v/>
      </c>
      <c r="OIA116" s="77" t="str">
        <f t="shared" si="265"/>
        <v/>
      </c>
      <c r="OIB116" s="77" t="str">
        <f t="shared" si="265"/>
        <v/>
      </c>
      <c r="OIC116" s="77" t="str">
        <f t="shared" si="265"/>
        <v/>
      </c>
      <c r="OID116" s="77" t="str">
        <f t="shared" si="265"/>
        <v/>
      </c>
      <c r="OIE116" s="77" t="str">
        <f t="shared" si="265"/>
        <v/>
      </c>
      <c r="OIF116" s="77" t="str">
        <f t="shared" si="265"/>
        <v/>
      </c>
      <c r="OIG116" s="77" t="str">
        <f t="shared" si="265"/>
        <v/>
      </c>
      <c r="OIH116" s="77" t="str">
        <f t="shared" si="265"/>
        <v/>
      </c>
      <c r="OII116" s="77" t="str">
        <f t="shared" si="265"/>
        <v/>
      </c>
      <c r="OIJ116" s="77" t="str">
        <f t="shared" si="265"/>
        <v/>
      </c>
      <c r="OIK116" s="77" t="str">
        <f t="shared" si="265"/>
        <v/>
      </c>
      <c r="OIL116" s="77" t="str">
        <f t="shared" si="265"/>
        <v/>
      </c>
      <c r="OIM116" s="77" t="str">
        <f t="shared" si="265"/>
        <v/>
      </c>
      <c r="OIN116" s="77" t="str">
        <f t="shared" si="265"/>
        <v/>
      </c>
      <c r="OIO116" s="77" t="str">
        <f t="shared" si="265"/>
        <v/>
      </c>
      <c r="OIP116" s="77" t="str">
        <f t="shared" si="265"/>
        <v/>
      </c>
      <c r="OIQ116" s="77" t="str">
        <f t="shared" si="265"/>
        <v/>
      </c>
      <c r="OIR116" s="77" t="str">
        <f t="shared" si="265"/>
        <v/>
      </c>
      <c r="OIS116" s="77" t="str">
        <f t="shared" si="265"/>
        <v/>
      </c>
      <c r="OIT116" s="77" t="str">
        <f t="shared" si="265"/>
        <v/>
      </c>
      <c r="OIU116" s="77" t="str">
        <f t="shared" si="265"/>
        <v/>
      </c>
      <c r="OIV116" s="77" t="str">
        <f t="shared" si="265"/>
        <v/>
      </c>
      <c r="OIW116" s="77" t="str">
        <f t="shared" si="265"/>
        <v/>
      </c>
      <c r="OIX116" s="77" t="str">
        <f t="shared" si="265"/>
        <v/>
      </c>
      <c r="OIY116" s="77" t="str">
        <f t="shared" si="265"/>
        <v/>
      </c>
      <c r="OIZ116" s="77" t="str">
        <f t="shared" si="265"/>
        <v/>
      </c>
      <c r="OJA116" s="77" t="str">
        <f t="shared" si="265"/>
        <v/>
      </c>
      <c r="OJB116" s="77" t="str">
        <f t="shared" si="265"/>
        <v/>
      </c>
      <c r="OJC116" s="77" t="str">
        <f t="shared" si="265"/>
        <v/>
      </c>
      <c r="OJD116" s="77" t="str">
        <f t="shared" si="265"/>
        <v/>
      </c>
      <c r="OJE116" s="77" t="str">
        <f t="shared" si="265"/>
        <v/>
      </c>
      <c r="OJF116" s="77" t="str">
        <f t="shared" si="265"/>
        <v/>
      </c>
      <c r="OJG116" s="77" t="str">
        <f t="shared" ref="OJG116:OLR116" si="266">IF(ISNUMBER(outYear),OJG69+OJG75+OJG81+OJG113,"")</f>
        <v/>
      </c>
      <c r="OJH116" s="77" t="str">
        <f t="shared" si="266"/>
        <v/>
      </c>
      <c r="OJI116" s="77" t="str">
        <f t="shared" si="266"/>
        <v/>
      </c>
      <c r="OJJ116" s="77" t="str">
        <f t="shared" si="266"/>
        <v/>
      </c>
      <c r="OJK116" s="77" t="str">
        <f t="shared" si="266"/>
        <v/>
      </c>
      <c r="OJL116" s="77" t="str">
        <f t="shared" si="266"/>
        <v/>
      </c>
      <c r="OJM116" s="77" t="str">
        <f t="shared" si="266"/>
        <v/>
      </c>
      <c r="OJN116" s="77" t="str">
        <f t="shared" si="266"/>
        <v/>
      </c>
      <c r="OJO116" s="77" t="str">
        <f t="shared" si="266"/>
        <v/>
      </c>
      <c r="OJP116" s="77" t="str">
        <f t="shared" si="266"/>
        <v/>
      </c>
      <c r="OJQ116" s="77" t="str">
        <f t="shared" si="266"/>
        <v/>
      </c>
      <c r="OJR116" s="77" t="str">
        <f t="shared" si="266"/>
        <v/>
      </c>
      <c r="OJS116" s="77" t="str">
        <f t="shared" si="266"/>
        <v/>
      </c>
      <c r="OJT116" s="77" t="str">
        <f t="shared" si="266"/>
        <v/>
      </c>
      <c r="OJU116" s="77" t="str">
        <f t="shared" si="266"/>
        <v/>
      </c>
      <c r="OJV116" s="77" t="str">
        <f t="shared" si="266"/>
        <v/>
      </c>
      <c r="OJW116" s="77" t="str">
        <f t="shared" si="266"/>
        <v/>
      </c>
      <c r="OJX116" s="77" t="str">
        <f t="shared" si="266"/>
        <v/>
      </c>
      <c r="OJY116" s="77" t="str">
        <f t="shared" si="266"/>
        <v/>
      </c>
      <c r="OJZ116" s="77" t="str">
        <f t="shared" si="266"/>
        <v/>
      </c>
      <c r="OKA116" s="77" t="str">
        <f t="shared" si="266"/>
        <v/>
      </c>
      <c r="OKB116" s="77" t="str">
        <f t="shared" si="266"/>
        <v/>
      </c>
      <c r="OKC116" s="77" t="str">
        <f t="shared" si="266"/>
        <v/>
      </c>
      <c r="OKD116" s="77" t="str">
        <f t="shared" si="266"/>
        <v/>
      </c>
      <c r="OKE116" s="77" t="str">
        <f t="shared" si="266"/>
        <v/>
      </c>
      <c r="OKF116" s="77" t="str">
        <f t="shared" si="266"/>
        <v/>
      </c>
      <c r="OKG116" s="77" t="str">
        <f t="shared" si="266"/>
        <v/>
      </c>
      <c r="OKH116" s="77" t="str">
        <f t="shared" si="266"/>
        <v/>
      </c>
      <c r="OKI116" s="77" t="str">
        <f t="shared" si="266"/>
        <v/>
      </c>
      <c r="OKJ116" s="77" t="str">
        <f t="shared" si="266"/>
        <v/>
      </c>
      <c r="OKK116" s="77" t="str">
        <f t="shared" si="266"/>
        <v/>
      </c>
      <c r="OKL116" s="77" t="str">
        <f t="shared" si="266"/>
        <v/>
      </c>
      <c r="OKM116" s="77" t="str">
        <f t="shared" si="266"/>
        <v/>
      </c>
      <c r="OKN116" s="77" t="str">
        <f t="shared" si="266"/>
        <v/>
      </c>
      <c r="OKO116" s="77" t="str">
        <f t="shared" si="266"/>
        <v/>
      </c>
      <c r="OKP116" s="77" t="str">
        <f t="shared" si="266"/>
        <v/>
      </c>
      <c r="OKQ116" s="77" t="str">
        <f t="shared" si="266"/>
        <v/>
      </c>
      <c r="OKR116" s="77" t="str">
        <f t="shared" si="266"/>
        <v/>
      </c>
      <c r="OKS116" s="77" t="str">
        <f t="shared" si="266"/>
        <v/>
      </c>
      <c r="OKT116" s="77" t="str">
        <f t="shared" si="266"/>
        <v/>
      </c>
      <c r="OKU116" s="77" t="str">
        <f t="shared" si="266"/>
        <v/>
      </c>
      <c r="OKV116" s="77" t="str">
        <f t="shared" si="266"/>
        <v/>
      </c>
      <c r="OKW116" s="77" t="str">
        <f t="shared" si="266"/>
        <v/>
      </c>
      <c r="OKX116" s="77" t="str">
        <f t="shared" si="266"/>
        <v/>
      </c>
      <c r="OKY116" s="77" t="str">
        <f t="shared" si="266"/>
        <v/>
      </c>
      <c r="OKZ116" s="77" t="str">
        <f t="shared" si="266"/>
        <v/>
      </c>
      <c r="OLA116" s="77" t="str">
        <f t="shared" si="266"/>
        <v/>
      </c>
      <c r="OLB116" s="77" t="str">
        <f t="shared" si="266"/>
        <v/>
      </c>
      <c r="OLC116" s="77" t="str">
        <f t="shared" si="266"/>
        <v/>
      </c>
      <c r="OLD116" s="77" t="str">
        <f t="shared" si="266"/>
        <v/>
      </c>
      <c r="OLE116" s="77" t="str">
        <f t="shared" si="266"/>
        <v/>
      </c>
      <c r="OLF116" s="77" t="str">
        <f t="shared" si="266"/>
        <v/>
      </c>
      <c r="OLG116" s="77" t="str">
        <f t="shared" si="266"/>
        <v/>
      </c>
      <c r="OLH116" s="77" t="str">
        <f t="shared" si="266"/>
        <v/>
      </c>
      <c r="OLI116" s="77" t="str">
        <f t="shared" si="266"/>
        <v/>
      </c>
      <c r="OLJ116" s="77" t="str">
        <f t="shared" si="266"/>
        <v/>
      </c>
      <c r="OLK116" s="77" t="str">
        <f t="shared" si="266"/>
        <v/>
      </c>
      <c r="OLL116" s="77" t="str">
        <f t="shared" si="266"/>
        <v/>
      </c>
      <c r="OLM116" s="77" t="str">
        <f t="shared" si="266"/>
        <v/>
      </c>
      <c r="OLN116" s="77" t="str">
        <f t="shared" si="266"/>
        <v/>
      </c>
      <c r="OLO116" s="77" t="str">
        <f t="shared" si="266"/>
        <v/>
      </c>
      <c r="OLP116" s="77" t="str">
        <f t="shared" si="266"/>
        <v/>
      </c>
      <c r="OLQ116" s="77" t="str">
        <f t="shared" si="266"/>
        <v/>
      </c>
      <c r="OLR116" s="77" t="str">
        <f t="shared" si="266"/>
        <v/>
      </c>
      <c r="OLS116" s="77" t="str">
        <f t="shared" ref="OLS116:OOD116" si="267">IF(ISNUMBER(outYear),OLS69+OLS75+OLS81+OLS113,"")</f>
        <v/>
      </c>
      <c r="OLT116" s="77" t="str">
        <f t="shared" si="267"/>
        <v/>
      </c>
      <c r="OLU116" s="77" t="str">
        <f t="shared" si="267"/>
        <v/>
      </c>
      <c r="OLV116" s="77" t="str">
        <f t="shared" si="267"/>
        <v/>
      </c>
      <c r="OLW116" s="77" t="str">
        <f t="shared" si="267"/>
        <v/>
      </c>
      <c r="OLX116" s="77" t="str">
        <f t="shared" si="267"/>
        <v/>
      </c>
      <c r="OLY116" s="77" t="str">
        <f t="shared" si="267"/>
        <v/>
      </c>
      <c r="OLZ116" s="77" t="str">
        <f t="shared" si="267"/>
        <v/>
      </c>
      <c r="OMA116" s="77" t="str">
        <f t="shared" si="267"/>
        <v/>
      </c>
      <c r="OMB116" s="77" t="str">
        <f t="shared" si="267"/>
        <v/>
      </c>
      <c r="OMC116" s="77" t="str">
        <f t="shared" si="267"/>
        <v/>
      </c>
      <c r="OMD116" s="77" t="str">
        <f t="shared" si="267"/>
        <v/>
      </c>
      <c r="OME116" s="77" t="str">
        <f t="shared" si="267"/>
        <v/>
      </c>
      <c r="OMF116" s="77" t="str">
        <f t="shared" si="267"/>
        <v/>
      </c>
      <c r="OMG116" s="77" t="str">
        <f t="shared" si="267"/>
        <v/>
      </c>
      <c r="OMH116" s="77" t="str">
        <f t="shared" si="267"/>
        <v/>
      </c>
      <c r="OMI116" s="77" t="str">
        <f t="shared" si="267"/>
        <v/>
      </c>
      <c r="OMJ116" s="77" t="str">
        <f t="shared" si="267"/>
        <v/>
      </c>
      <c r="OMK116" s="77" t="str">
        <f t="shared" si="267"/>
        <v/>
      </c>
      <c r="OML116" s="77" t="str">
        <f t="shared" si="267"/>
        <v/>
      </c>
      <c r="OMM116" s="77" t="str">
        <f t="shared" si="267"/>
        <v/>
      </c>
      <c r="OMN116" s="77" t="str">
        <f t="shared" si="267"/>
        <v/>
      </c>
      <c r="OMO116" s="77" t="str">
        <f t="shared" si="267"/>
        <v/>
      </c>
      <c r="OMP116" s="77" t="str">
        <f t="shared" si="267"/>
        <v/>
      </c>
      <c r="OMQ116" s="77" t="str">
        <f t="shared" si="267"/>
        <v/>
      </c>
      <c r="OMR116" s="77" t="str">
        <f t="shared" si="267"/>
        <v/>
      </c>
      <c r="OMS116" s="77" t="str">
        <f t="shared" si="267"/>
        <v/>
      </c>
      <c r="OMT116" s="77" t="str">
        <f t="shared" si="267"/>
        <v/>
      </c>
      <c r="OMU116" s="77" t="str">
        <f t="shared" si="267"/>
        <v/>
      </c>
      <c r="OMV116" s="77" t="str">
        <f t="shared" si="267"/>
        <v/>
      </c>
      <c r="OMW116" s="77" t="str">
        <f t="shared" si="267"/>
        <v/>
      </c>
      <c r="OMX116" s="77" t="str">
        <f t="shared" si="267"/>
        <v/>
      </c>
      <c r="OMY116" s="77" t="str">
        <f t="shared" si="267"/>
        <v/>
      </c>
      <c r="OMZ116" s="77" t="str">
        <f t="shared" si="267"/>
        <v/>
      </c>
      <c r="ONA116" s="77" t="str">
        <f t="shared" si="267"/>
        <v/>
      </c>
      <c r="ONB116" s="77" t="str">
        <f t="shared" si="267"/>
        <v/>
      </c>
      <c r="ONC116" s="77" t="str">
        <f t="shared" si="267"/>
        <v/>
      </c>
      <c r="OND116" s="77" t="str">
        <f t="shared" si="267"/>
        <v/>
      </c>
      <c r="ONE116" s="77" t="str">
        <f t="shared" si="267"/>
        <v/>
      </c>
      <c r="ONF116" s="77" t="str">
        <f t="shared" si="267"/>
        <v/>
      </c>
      <c r="ONG116" s="77" t="str">
        <f t="shared" si="267"/>
        <v/>
      </c>
      <c r="ONH116" s="77" t="str">
        <f t="shared" si="267"/>
        <v/>
      </c>
      <c r="ONI116" s="77" t="str">
        <f t="shared" si="267"/>
        <v/>
      </c>
      <c r="ONJ116" s="77" t="str">
        <f t="shared" si="267"/>
        <v/>
      </c>
      <c r="ONK116" s="77" t="str">
        <f t="shared" si="267"/>
        <v/>
      </c>
      <c r="ONL116" s="77" t="str">
        <f t="shared" si="267"/>
        <v/>
      </c>
      <c r="ONM116" s="77" t="str">
        <f t="shared" si="267"/>
        <v/>
      </c>
      <c r="ONN116" s="77" t="str">
        <f t="shared" si="267"/>
        <v/>
      </c>
      <c r="ONO116" s="77" t="str">
        <f t="shared" si="267"/>
        <v/>
      </c>
      <c r="ONP116" s="77" t="str">
        <f t="shared" si="267"/>
        <v/>
      </c>
      <c r="ONQ116" s="77" t="str">
        <f t="shared" si="267"/>
        <v/>
      </c>
      <c r="ONR116" s="77" t="str">
        <f t="shared" si="267"/>
        <v/>
      </c>
      <c r="ONS116" s="77" t="str">
        <f t="shared" si="267"/>
        <v/>
      </c>
      <c r="ONT116" s="77" t="str">
        <f t="shared" si="267"/>
        <v/>
      </c>
      <c r="ONU116" s="77" t="str">
        <f t="shared" si="267"/>
        <v/>
      </c>
      <c r="ONV116" s="77" t="str">
        <f t="shared" si="267"/>
        <v/>
      </c>
      <c r="ONW116" s="77" t="str">
        <f t="shared" si="267"/>
        <v/>
      </c>
      <c r="ONX116" s="77" t="str">
        <f t="shared" si="267"/>
        <v/>
      </c>
      <c r="ONY116" s="77" t="str">
        <f t="shared" si="267"/>
        <v/>
      </c>
      <c r="ONZ116" s="77" t="str">
        <f t="shared" si="267"/>
        <v/>
      </c>
      <c r="OOA116" s="77" t="str">
        <f t="shared" si="267"/>
        <v/>
      </c>
      <c r="OOB116" s="77" t="str">
        <f t="shared" si="267"/>
        <v/>
      </c>
      <c r="OOC116" s="77" t="str">
        <f t="shared" si="267"/>
        <v/>
      </c>
      <c r="OOD116" s="77" t="str">
        <f t="shared" si="267"/>
        <v/>
      </c>
      <c r="OOE116" s="77" t="str">
        <f t="shared" ref="OOE116:OQP116" si="268">IF(ISNUMBER(outYear),OOE69+OOE75+OOE81+OOE113,"")</f>
        <v/>
      </c>
      <c r="OOF116" s="77" t="str">
        <f t="shared" si="268"/>
        <v/>
      </c>
      <c r="OOG116" s="77" t="str">
        <f t="shared" si="268"/>
        <v/>
      </c>
      <c r="OOH116" s="77" t="str">
        <f t="shared" si="268"/>
        <v/>
      </c>
      <c r="OOI116" s="77" t="str">
        <f t="shared" si="268"/>
        <v/>
      </c>
      <c r="OOJ116" s="77" t="str">
        <f t="shared" si="268"/>
        <v/>
      </c>
      <c r="OOK116" s="77" t="str">
        <f t="shared" si="268"/>
        <v/>
      </c>
      <c r="OOL116" s="77" t="str">
        <f t="shared" si="268"/>
        <v/>
      </c>
      <c r="OOM116" s="77" t="str">
        <f t="shared" si="268"/>
        <v/>
      </c>
      <c r="OON116" s="77" t="str">
        <f t="shared" si="268"/>
        <v/>
      </c>
      <c r="OOO116" s="77" t="str">
        <f t="shared" si="268"/>
        <v/>
      </c>
      <c r="OOP116" s="77" t="str">
        <f t="shared" si="268"/>
        <v/>
      </c>
      <c r="OOQ116" s="77" t="str">
        <f t="shared" si="268"/>
        <v/>
      </c>
      <c r="OOR116" s="77" t="str">
        <f t="shared" si="268"/>
        <v/>
      </c>
      <c r="OOS116" s="77" t="str">
        <f t="shared" si="268"/>
        <v/>
      </c>
      <c r="OOT116" s="77" t="str">
        <f t="shared" si="268"/>
        <v/>
      </c>
      <c r="OOU116" s="77" t="str">
        <f t="shared" si="268"/>
        <v/>
      </c>
      <c r="OOV116" s="77" t="str">
        <f t="shared" si="268"/>
        <v/>
      </c>
      <c r="OOW116" s="77" t="str">
        <f t="shared" si="268"/>
        <v/>
      </c>
      <c r="OOX116" s="77" t="str">
        <f t="shared" si="268"/>
        <v/>
      </c>
      <c r="OOY116" s="77" t="str">
        <f t="shared" si="268"/>
        <v/>
      </c>
      <c r="OOZ116" s="77" t="str">
        <f t="shared" si="268"/>
        <v/>
      </c>
      <c r="OPA116" s="77" t="str">
        <f t="shared" si="268"/>
        <v/>
      </c>
      <c r="OPB116" s="77" t="str">
        <f t="shared" si="268"/>
        <v/>
      </c>
      <c r="OPC116" s="77" t="str">
        <f t="shared" si="268"/>
        <v/>
      </c>
      <c r="OPD116" s="77" t="str">
        <f t="shared" si="268"/>
        <v/>
      </c>
      <c r="OPE116" s="77" t="str">
        <f t="shared" si="268"/>
        <v/>
      </c>
      <c r="OPF116" s="77" t="str">
        <f t="shared" si="268"/>
        <v/>
      </c>
      <c r="OPG116" s="77" t="str">
        <f t="shared" si="268"/>
        <v/>
      </c>
      <c r="OPH116" s="77" t="str">
        <f t="shared" si="268"/>
        <v/>
      </c>
      <c r="OPI116" s="77" t="str">
        <f t="shared" si="268"/>
        <v/>
      </c>
      <c r="OPJ116" s="77" t="str">
        <f t="shared" si="268"/>
        <v/>
      </c>
      <c r="OPK116" s="77" t="str">
        <f t="shared" si="268"/>
        <v/>
      </c>
      <c r="OPL116" s="77" t="str">
        <f t="shared" si="268"/>
        <v/>
      </c>
      <c r="OPM116" s="77" t="str">
        <f t="shared" si="268"/>
        <v/>
      </c>
      <c r="OPN116" s="77" t="str">
        <f t="shared" si="268"/>
        <v/>
      </c>
      <c r="OPO116" s="77" t="str">
        <f t="shared" si="268"/>
        <v/>
      </c>
      <c r="OPP116" s="77" t="str">
        <f t="shared" si="268"/>
        <v/>
      </c>
      <c r="OPQ116" s="77" t="str">
        <f t="shared" si="268"/>
        <v/>
      </c>
      <c r="OPR116" s="77" t="str">
        <f t="shared" si="268"/>
        <v/>
      </c>
      <c r="OPS116" s="77" t="str">
        <f t="shared" si="268"/>
        <v/>
      </c>
      <c r="OPT116" s="77" t="str">
        <f t="shared" si="268"/>
        <v/>
      </c>
      <c r="OPU116" s="77" t="str">
        <f t="shared" si="268"/>
        <v/>
      </c>
      <c r="OPV116" s="77" t="str">
        <f t="shared" si="268"/>
        <v/>
      </c>
      <c r="OPW116" s="77" t="str">
        <f t="shared" si="268"/>
        <v/>
      </c>
      <c r="OPX116" s="77" t="str">
        <f t="shared" si="268"/>
        <v/>
      </c>
      <c r="OPY116" s="77" t="str">
        <f t="shared" si="268"/>
        <v/>
      </c>
      <c r="OPZ116" s="77" t="str">
        <f t="shared" si="268"/>
        <v/>
      </c>
      <c r="OQA116" s="77" t="str">
        <f t="shared" si="268"/>
        <v/>
      </c>
      <c r="OQB116" s="77" t="str">
        <f t="shared" si="268"/>
        <v/>
      </c>
      <c r="OQC116" s="77" t="str">
        <f t="shared" si="268"/>
        <v/>
      </c>
      <c r="OQD116" s="77" t="str">
        <f t="shared" si="268"/>
        <v/>
      </c>
      <c r="OQE116" s="77" t="str">
        <f t="shared" si="268"/>
        <v/>
      </c>
      <c r="OQF116" s="77" t="str">
        <f t="shared" si="268"/>
        <v/>
      </c>
      <c r="OQG116" s="77" t="str">
        <f t="shared" si="268"/>
        <v/>
      </c>
      <c r="OQH116" s="77" t="str">
        <f t="shared" si="268"/>
        <v/>
      </c>
      <c r="OQI116" s="77" t="str">
        <f t="shared" si="268"/>
        <v/>
      </c>
      <c r="OQJ116" s="77" t="str">
        <f t="shared" si="268"/>
        <v/>
      </c>
      <c r="OQK116" s="77" t="str">
        <f t="shared" si="268"/>
        <v/>
      </c>
      <c r="OQL116" s="77" t="str">
        <f t="shared" si="268"/>
        <v/>
      </c>
      <c r="OQM116" s="77" t="str">
        <f t="shared" si="268"/>
        <v/>
      </c>
      <c r="OQN116" s="77" t="str">
        <f t="shared" si="268"/>
        <v/>
      </c>
      <c r="OQO116" s="77" t="str">
        <f t="shared" si="268"/>
        <v/>
      </c>
      <c r="OQP116" s="77" t="str">
        <f t="shared" si="268"/>
        <v/>
      </c>
      <c r="OQQ116" s="77" t="str">
        <f t="shared" ref="OQQ116:OTB116" si="269">IF(ISNUMBER(outYear),OQQ69+OQQ75+OQQ81+OQQ113,"")</f>
        <v/>
      </c>
      <c r="OQR116" s="77" t="str">
        <f t="shared" si="269"/>
        <v/>
      </c>
      <c r="OQS116" s="77" t="str">
        <f t="shared" si="269"/>
        <v/>
      </c>
      <c r="OQT116" s="77" t="str">
        <f t="shared" si="269"/>
        <v/>
      </c>
      <c r="OQU116" s="77" t="str">
        <f t="shared" si="269"/>
        <v/>
      </c>
      <c r="OQV116" s="77" t="str">
        <f t="shared" si="269"/>
        <v/>
      </c>
      <c r="OQW116" s="77" t="str">
        <f t="shared" si="269"/>
        <v/>
      </c>
      <c r="OQX116" s="77" t="str">
        <f t="shared" si="269"/>
        <v/>
      </c>
      <c r="OQY116" s="77" t="str">
        <f t="shared" si="269"/>
        <v/>
      </c>
      <c r="OQZ116" s="77" t="str">
        <f t="shared" si="269"/>
        <v/>
      </c>
      <c r="ORA116" s="77" t="str">
        <f t="shared" si="269"/>
        <v/>
      </c>
      <c r="ORB116" s="77" t="str">
        <f t="shared" si="269"/>
        <v/>
      </c>
      <c r="ORC116" s="77" t="str">
        <f t="shared" si="269"/>
        <v/>
      </c>
      <c r="ORD116" s="77" t="str">
        <f t="shared" si="269"/>
        <v/>
      </c>
      <c r="ORE116" s="77" t="str">
        <f t="shared" si="269"/>
        <v/>
      </c>
      <c r="ORF116" s="77" t="str">
        <f t="shared" si="269"/>
        <v/>
      </c>
      <c r="ORG116" s="77" t="str">
        <f t="shared" si="269"/>
        <v/>
      </c>
      <c r="ORH116" s="77" t="str">
        <f t="shared" si="269"/>
        <v/>
      </c>
      <c r="ORI116" s="77" t="str">
        <f t="shared" si="269"/>
        <v/>
      </c>
      <c r="ORJ116" s="77" t="str">
        <f t="shared" si="269"/>
        <v/>
      </c>
      <c r="ORK116" s="77" t="str">
        <f t="shared" si="269"/>
        <v/>
      </c>
      <c r="ORL116" s="77" t="str">
        <f t="shared" si="269"/>
        <v/>
      </c>
      <c r="ORM116" s="77" t="str">
        <f t="shared" si="269"/>
        <v/>
      </c>
      <c r="ORN116" s="77" t="str">
        <f t="shared" si="269"/>
        <v/>
      </c>
      <c r="ORO116" s="77" t="str">
        <f t="shared" si="269"/>
        <v/>
      </c>
      <c r="ORP116" s="77" t="str">
        <f t="shared" si="269"/>
        <v/>
      </c>
      <c r="ORQ116" s="77" t="str">
        <f t="shared" si="269"/>
        <v/>
      </c>
      <c r="ORR116" s="77" t="str">
        <f t="shared" si="269"/>
        <v/>
      </c>
      <c r="ORS116" s="77" t="str">
        <f t="shared" si="269"/>
        <v/>
      </c>
      <c r="ORT116" s="77" t="str">
        <f t="shared" si="269"/>
        <v/>
      </c>
      <c r="ORU116" s="77" t="str">
        <f t="shared" si="269"/>
        <v/>
      </c>
      <c r="ORV116" s="77" t="str">
        <f t="shared" si="269"/>
        <v/>
      </c>
      <c r="ORW116" s="77" t="str">
        <f t="shared" si="269"/>
        <v/>
      </c>
      <c r="ORX116" s="77" t="str">
        <f t="shared" si="269"/>
        <v/>
      </c>
      <c r="ORY116" s="77" t="str">
        <f t="shared" si="269"/>
        <v/>
      </c>
      <c r="ORZ116" s="77" t="str">
        <f t="shared" si="269"/>
        <v/>
      </c>
      <c r="OSA116" s="77" t="str">
        <f t="shared" si="269"/>
        <v/>
      </c>
      <c r="OSB116" s="77" t="str">
        <f t="shared" si="269"/>
        <v/>
      </c>
      <c r="OSC116" s="77" t="str">
        <f t="shared" si="269"/>
        <v/>
      </c>
      <c r="OSD116" s="77" t="str">
        <f t="shared" si="269"/>
        <v/>
      </c>
      <c r="OSE116" s="77" t="str">
        <f t="shared" si="269"/>
        <v/>
      </c>
      <c r="OSF116" s="77" t="str">
        <f t="shared" si="269"/>
        <v/>
      </c>
      <c r="OSG116" s="77" t="str">
        <f t="shared" si="269"/>
        <v/>
      </c>
      <c r="OSH116" s="77" t="str">
        <f t="shared" si="269"/>
        <v/>
      </c>
      <c r="OSI116" s="77" t="str">
        <f t="shared" si="269"/>
        <v/>
      </c>
      <c r="OSJ116" s="77" t="str">
        <f t="shared" si="269"/>
        <v/>
      </c>
      <c r="OSK116" s="77" t="str">
        <f t="shared" si="269"/>
        <v/>
      </c>
      <c r="OSL116" s="77" t="str">
        <f t="shared" si="269"/>
        <v/>
      </c>
      <c r="OSM116" s="77" t="str">
        <f t="shared" si="269"/>
        <v/>
      </c>
      <c r="OSN116" s="77" t="str">
        <f t="shared" si="269"/>
        <v/>
      </c>
      <c r="OSO116" s="77" t="str">
        <f t="shared" si="269"/>
        <v/>
      </c>
      <c r="OSP116" s="77" t="str">
        <f t="shared" si="269"/>
        <v/>
      </c>
      <c r="OSQ116" s="77" t="str">
        <f t="shared" si="269"/>
        <v/>
      </c>
      <c r="OSR116" s="77" t="str">
        <f t="shared" si="269"/>
        <v/>
      </c>
      <c r="OSS116" s="77" t="str">
        <f t="shared" si="269"/>
        <v/>
      </c>
      <c r="OST116" s="77" t="str">
        <f t="shared" si="269"/>
        <v/>
      </c>
      <c r="OSU116" s="77" t="str">
        <f t="shared" si="269"/>
        <v/>
      </c>
      <c r="OSV116" s="77" t="str">
        <f t="shared" si="269"/>
        <v/>
      </c>
      <c r="OSW116" s="77" t="str">
        <f t="shared" si="269"/>
        <v/>
      </c>
      <c r="OSX116" s="77" t="str">
        <f t="shared" si="269"/>
        <v/>
      </c>
      <c r="OSY116" s="77" t="str">
        <f t="shared" si="269"/>
        <v/>
      </c>
      <c r="OSZ116" s="77" t="str">
        <f t="shared" si="269"/>
        <v/>
      </c>
      <c r="OTA116" s="77" t="str">
        <f t="shared" si="269"/>
        <v/>
      </c>
      <c r="OTB116" s="77" t="str">
        <f t="shared" si="269"/>
        <v/>
      </c>
      <c r="OTC116" s="77" t="str">
        <f t="shared" ref="OTC116:OVN116" si="270">IF(ISNUMBER(outYear),OTC69+OTC75+OTC81+OTC113,"")</f>
        <v/>
      </c>
      <c r="OTD116" s="77" t="str">
        <f t="shared" si="270"/>
        <v/>
      </c>
      <c r="OTE116" s="77" t="str">
        <f t="shared" si="270"/>
        <v/>
      </c>
      <c r="OTF116" s="77" t="str">
        <f t="shared" si="270"/>
        <v/>
      </c>
      <c r="OTG116" s="77" t="str">
        <f t="shared" si="270"/>
        <v/>
      </c>
      <c r="OTH116" s="77" t="str">
        <f t="shared" si="270"/>
        <v/>
      </c>
      <c r="OTI116" s="77" t="str">
        <f t="shared" si="270"/>
        <v/>
      </c>
      <c r="OTJ116" s="77" t="str">
        <f t="shared" si="270"/>
        <v/>
      </c>
      <c r="OTK116" s="77" t="str">
        <f t="shared" si="270"/>
        <v/>
      </c>
      <c r="OTL116" s="77" t="str">
        <f t="shared" si="270"/>
        <v/>
      </c>
      <c r="OTM116" s="77" t="str">
        <f t="shared" si="270"/>
        <v/>
      </c>
      <c r="OTN116" s="77" t="str">
        <f t="shared" si="270"/>
        <v/>
      </c>
      <c r="OTO116" s="77" t="str">
        <f t="shared" si="270"/>
        <v/>
      </c>
      <c r="OTP116" s="77" t="str">
        <f t="shared" si="270"/>
        <v/>
      </c>
      <c r="OTQ116" s="77" t="str">
        <f t="shared" si="270"/>
        <v/>
      </c>
      <c r="OTR116" s="77" t="str">
        <f t="shared" si="270"/>
        <v/>
      </c>
      <c r="OTS116" s="77" t="str">
        <f t="shared" si="270"/>
        <v/>
      </c>
      <c r="OTT116" s="77" t="str">
        <f t="shared" si="270"/>
        <v/>
      </c>
      <c r="OTU116" s="77" t="str">
        <f t="shared" si="270"/>
        <v/>
      </c>
      <c r="OTV116" s="77" t="str">
        <f t="shared" si="270"/>
        <v/>
      </c>
      <c r="OTW116" s="77" t="str">
        <f t="shared" si="270"/>
        <v/>
      </c>
      <c r="OTX116" s="77" t="str">
        <f t="shared" si="270"/>
        <v/>
      </c>
      <c r="OTY116" s="77" t="str">
        <f t="shared" si="270"/>
        <v/>
      </c>
      <c r="OTZ116" s="77" t="str">
        <f t="shared" si="270"/>
        <v/>
      </c>
      <c r="OUA116" s="77" t="str">
        <f t="shared" si="270"/>
        <v/>
      </c>
      <c r="OUB116" s="77" t="str">
        <f t="shared" si="270"/>
        <v/>
      </c>
      <c r="OUC116" s="77" t="str">
        <f t="shared" si="270"/>
        <v/>
      </c>
      <c r="OUD116" s="77" t="str">
        <f t="shared" si="270"/>
        <v/>
      </c>
      <c r="OUE116" s="77" t="str">
        <f t="shared" si="270"/>
        <v/>
      </c>
      <c r="OUF116" s="77" t="str">
        <f t="shared" si="270"/>
        <v/>
      </c>
      <c r="OUG116" s="77" t="str">
        <f t="shared" si="270"/>
        <v/>
      </c>
      <c r="OUH116" s="77" t="str">
        <f t="shared" si="270"/>
        <v/>
      </c>
      <c r="OUI116" s="77" t="str">
        <f t="shared" si="270"/>
        <v/>
      </c>
      <c r="OUJ116" s="77" t="str">
        <f t="shared" si="270"/>
        <v/>
      </c>
      <c r="OUK116" s="77" t="str">
        <f t="shared" si="270"/>
        <v/>
      </c>
      <c r="OUL116" s="77" t="str">
        <f t="shared" si="270"/>
        <v/>
      </c>
      <c r="OUM116" s="77" t="str">
        <f t="shared" si="270"/>
        <v/>
      </c>
      <c r="OUN116" s="77" t="str">
        <f t="shared" si="270"/>
        <v/>
      </c>
      <c r="OUO116" s="77" t="str">
        <f t="shared" si="270"/>
        <v/>
      </c>
      <c r="OUP116" s="77" t="str">
        <f t="shared" si="270"/>
        <v/>
      </c>
      <c r="OUQ116" s="77" t="str">
        <f t="shared" si="270"/>
        <v/>
      </c>
      <c r="OUR116" s="77" t="str">
        <f t="shared" si="270"/>
        <v/>
      </c>
      <c r="OUS116" s="77" t="str">
        <f t="shared" si="270"/>
        <v/>
      </c>
      <c r="OUT116" s="77" t="str">
        <f t="shared" si="270"/>
        <v/>
      </c>
      <c r="OUU116" s="77" t="str">
        <f t="shared" si="270"/>
        <v/>
      </c>
      <c r="OUV116" s="77" t="str">
        <f t="shared" si="270"/>
        <v/>
      </c>
      <c r="OUW116" s="77" t="str">
        <f t="shared" si="270"/>
        <v/>
      </c>
      <c r="OUX116" s="77" t="str">
        <f t="shared" si="270"/>
        <v/>
      </c>
      <c r="OUY116" s="77" t="str">
        <f t="shared" si="270"/>
        <v/>
      </c>
      <c r="OUZ116" s="77" t="str">
        <f t="shared" si="270"/>
        <v/>
      </c>
      <c r="OVA116" s="77" t="str">
        <f t="shared" si="270"/>
        <v/>
      </c>
      <c r="OVB116" s="77" t="str">
        <f t="shared" si="270"/>
        <v/>
      </c>
      <c r="OVC116" s="77" t="str">
        <f t="shared" si="270"/>
        <v/>
      </c>
      <c r="OVD116" s="77" t="str">
        <f t="shared" si="270"/>
        <v/>
      </c>
      <c r="OVE116" s="77" t="str">
        <f t="shared" si="270"/>
        <v/>
      </c>
      <c r="OVF116" s="77" t="str">
        <f t="shared" si="270"/>
        <v/>
      </c>
      <c r="OVG116" s="77" t="str">
        <f t="shared" si="270"/>
        <v/>
      </c>
      <c r="OVH116" s="77" t="str">
        <f t="shared" si="270"/>
        <v/>
      </c>
      <c r="OVI116" s="77" t="str">
        <f t="shared" si="270"/>
        <v/>
      </c>
      <c r="OVJ116" s="77" t="str">
        <f t="shared" si="270"/>
        <v/>
      </c>
      <c r="OVK116" s="77" t="str">
        <f t="shared" si="270"/>
        <v/>
      </c>
      <c r="OVL116" s="77" t="str">
        <f t="shared" si="270"/>
        <v/>
      </c>
      <c r="OVM116" s="77" t="str">
        <f t="shared" si="270"/>
        <v/>
      </c>
      <c r="OVN116" s="77" t="str">
        <f t="shared" si="270"/>
        <v/>
      </c>
      <c r="OVO116" s="77" t="str">
        <f t="shared" ref="OVO116:OXZ116" si="271">IF(ISNUMBER(outYear),OVO69+OVO75+OVO81+OVO113,"")</f>
        <v/>
      </c>
      <c r="OVP116" s="77" t="str">
        <f t="shared" si="271"/>
        <v/>
      </c>
      <c r="OVQ116" s="77" t="str">
        <f t="shared" si="271"/>
        <v/>
      </c>
      <c r="OVR116" s="77" t="str">
        <f t="shared" si="271"/>
        <v/>
      </c>
      <c r="OVS116" s="77" t="str">
        <f t="shared" si="271"/>
        <v/>
      </c>
      <c r="OVT116" s="77" t="str">
        <f t="shared" si="271"/>
        <v/>
      </c>
      <c r="OVU116" s="77" t="str">
        <f t="shared" si="271"/>
        <v/>
      </c>
      <c r="OVV116" s="77" t="str">
        <f t="shared" si="271"/>
        <v/>
      </c>
      <c r="OVW116" s="77" t="str">
        <f t="shared" si="271"/>
        <v/>
      </c>
      <c r="OVX116" s="77" t="str">
        <f t="shared" si="271"/>
        <v/>
      </c>
      <c r="OVY116" s="77" t="str">
        <f t="shared" si="271"/>
        <v/>
      </c>
      <c r="OVZ116" s="77" t="str">
        <f t="shared" si="271"/>
        <v/>
      </c>
      <c r="OWA116" s="77" t="str">
        <f t="shared" si="271"/>
        <v/>
      </c>
      <c r="OWB116" s="77" t="str">
        <f t="shared" si="271"/>
        <v/>
      </c>
      <c r="OWC116" s="77" t="str">
        <f t="shared" si="271"/>
        <v/>
      </c>
      <c r="OWD116" s="77" t="str">
        <f t="shared" si="271"/>
        <v/>
      </c>
      <c r="OWE116" s="77" t="str">
        <f t="shared" si="271"/>
        <v/>
      </c>
      <c r="OWF116" s="77" t="str">
        <f t="shared" si="271"/>
        <v/>
      </c>
      <c r="OWG116" s="77" t="str">
        <f t="shared" si="271"/>
        <v/>
      </c>
      <c r="OWH116" s="77" t="str">
        <f t="shared" si="271"/>
        <v/>
      </c>
      <c r="OWI116" s="77" t="str">
        <f t="shared" si="271"/>
        <v/>
      </c>
      <c r="OWJ116" s="77" t="str">
        <f t="shared" si="271"/>
        <v/>
      </c>
      <c r="OWK116" s="77" t="str">
        <f t="shared" si="271"/>
        <v/>
      </c>
      <c r="OWL116" s="77" t="str">
        <f t="shared" si="271"/>
        <v/>
      </c>
      <c r="OWM116" s="77" t="str">
        <f t="shared" si="271"/>
        <v/>
      </c>
      <c r="OWN116" s="77" t="str">
        <f t="shared" si="271"/>
        <v/>
      </c>
      <c r="OWO116" s="77" t="str">
        <f t="shared" si="271"/>
        <v/>
      </c>
      <c r="OWP116" s="77" t="str">
        <f t="shared" si="271"/>
        <v/>
      </c>
      <c r="OWQ116" s="77" t="str">
        <f t="shared" si="271"/>
        <v/>
      </c>
      <c r="OWR116" s="77" t="str">
        <f t="shared" si="271"/>
        <v/>
      </c>
      <c r="OWS116" s="77" t="str">
        <f t="shared" si="271"/>
        <v/>
      </c>
      <c r="OWT116" s="77" t="str">
        <f t="shared" si="271"/>
        <v/>
      </c>
      <c r="OWU116" s="77" t="str">
        <f t="shared" si="271"/>
        <v/>
      </c>
      <c r="OWV116" s="77" t="str">
        <f t="shared" si="271"/>
        <v/>
      </c>
      <c r="OWW116" s="77" t="str">
        <f t="shared" si="271"/>
        <v/>
      </c>
      <c r="OWX116" s="77" t="str">
        <f t="shared" si="271"/>
        <v/>
      </c>
      <c r="OWY116" s="77" t="str">
        <f t="shared" si="271"/>
        <v/>
      </c>
      <c r="OWZ116" s="77" t="str">
        <f t="shared" si="271"/>
        <v/>
      </c>
      <c r="OXA116" s="77" t="str">
        <f t="shared" si="271"/>
        <v/>
      </c>
      <c r="OXB116" s="77" t="str">
        <f t="shared" si="271"/>
        <v/>
      </c>
      <c r="OXC116" s="77" t="str">
        <f t="shared" si="271"/>
        <v/>
      </c>
      <c r="OXD116" s="77" t="str">
        <f t="shared" si="271"/>
        <v/>
      </c>
      <c r="OXE116" s="77" t="str">
        <f t="shared" si="271"/>
        <v/>
      </c>
      <c r="OXF116" s="77" t="str">
        <f t="shared" si="271"/>
        <v/>
      </c>
      <c r="OXG116" s="77" t="str">
        <f t="shared" si="271"/>
        <v/>
      </c>
      <c r="OXH116" s="77" t="str">
        <f t="shared" si="271"/>
        <v/>
      </c>
      <c r="OXI116" s="77" t="str">
        <f t="shared" si="271"/>
        <v/>
      </c>
      <c r="OXJ116" s="77" t="str">
        <f t="shared" si="271"/>
        <v/>
      </c>
      <c r="OXK116" s="77" t="str">
        <f t="shared" si="271"/>
        <v/>
      </c>
      <c r="OXL116" s="77" t="str">
        <f t="shared" si="271"/>
        <v/>
      </c>
      <c r="OXM116" s="77" t="str">
        <f t="shared" si="271"/>
        <v/>
      </c>
      <c r="OXN116" s="77" t="str">
        <f t="shared" si="271"/>
        <v/>
      </c>
      <c r="OXO116" s="77" t="str">
        <f t="shared" si="271"/>
        <v/>
      </c>
      <c r="OXP116" s="77" t="str">
        <f t="shared" si="271"/>
        <v/>
      </c>
      <c r="OXQ116" s="77" t="str">
        <f t="shared" si="271"/>
        <v/>
      </c>
      <c r="OXR116" s="77" t="str">
        <f t="shared" si="271"/>
        <v/>
      </c>
      <c r="OXS116" s="77" t="str">
        <f t="shared" si="271"/>
        <v/>
      </c>
      <c r="OXT116" s="77" t="str">
        <f t="shared" si="271"/>
        <v/>
      </c>
      <c r="OXU116" s="77" t="str">
        <f t="shared" si="271"/>
        <v/>
      </c>
      <c r="OXV116" s="77" t="str">
        <f t="shared" si="271"/>
        <v/>
      </c>
      <c r="OXW116" s="77" t="str">
        <f t="shared" si="271"/>
        <v/>
      </c>
      <c r="OXX116" s="77" t="str">
        <f t="shared" si="271"/>
        <v/>
      </c>
      <c r="OXY116" s="77" t="str">
        <f t="shared" si="271"/>
        <v/>
      </c>
      <c r="OXZ116" s="77" t="str">
        <f t="shared" si="271"/>
        <v/>
      </c>
      <c r="OYA116" s="77" t="str">
        <f t="shared" ref="OYA116:PAL116" si="272">IF(ISNUMBER(outYear),OYA69+OYA75+OYA81+OYA113,"")</f>
        <v/>
      </c>
      <c r="OYB116" s="77" t="str">
        <f t="shared" si="272"/>
        <v/>
      </c>
      <c r="OYC116" s="77" t="str">
        <f t="shared" si="272"/>
        <v/>
      </c>
      <c r="OYD116" s="77" t="str">
        <f t="shared" si="272"/>
        <v/>
      </c>
      <c r="OYE116" s="77" t="str">
        <f t="shared" si="272"/>
        <v/>
      </c>
      <c r="OYF116" s="77" t="str">
        <f t="shared" si="272"/>
        <v/>
      </c>
      <c r="OYG116" s="77" t="str">
        <f t="shared" si="272"/>
        <v/>
      </c>
      <c r="OYH116" s="77" t="str">
        <f t="shared" si="272"/>
        <v/>
      </c>
      <c r="OYI116" s="77" t="str">
        <f t="shared" si="272"/>
        <v/>
      </c>
      <c r="OYJ116" s="77" t="str">
        <f t="shared" si="272"/>
        <v/>
      </c>
      <c r="OYK116" s="77" t="str">
        <f t="shared" si="272"/>
        <v/>
      </c>
      <c r="OYL116" s="77" t="str">
        <f t="shared" si="272"/>
        <v/>
      </c>
      <c r="OYM116" s="77" t="str">
        <f t="shared" si="272"/>
        <v/>
      </c>
      <c r="OYN116" s="77" t="str">
        <f t="shared" si="272"/>
        <v/>
      </c>
      <c r="OYO116" s="77" t="str">
        <f t="shared" si="272"/>
        <v/>
      </c>
      <c r="OYP116" s="77" t="str">
        <f t="shared" si="272"/>
        <v/>
      </c>
      <c r="OYQ116" s="77" t="str">
        <f t="shared" si="272"/>
        <v/>
      </c>
      <c r="OYR116" s="77" t="str">
        <f t="shared" si="272"/>
        <v/>
      </c>
      <c r="OYS116" s="77" t="str">
        <f t="shared" si="272"/>
        <v/>
      </c>
      <c r="OYT116" s="77" t="str">
        <f t="shared" si="272"/>
        <v/>
      </c>
      <c r="OYU116" s="77" t="str">
        <f t="shared" si="272"/>
        <v/>
      </c>
      <c r="OYV116" s="77" t="str">
        <f t="shared" si="272"/>
        <v/>
      </c>
      <c r="OYW116" s="77" t="str">
        <f t="shared" si="272"/>
        <v/>
      </c>
      <c r="OYX116" s="77" t="str">
        <f t="shared" si="272"/>
        <v/>
      </c>
      <c r="OYY116" s="77" t="str">
        <f t="shared" si="272"/>
        <v/>
      </c>
      <c r="OYZ116" s="77" t="str">
        <f t="shared" si="272"/>
        <v/>
      </c>
      <c r="OZA116" s="77" t="str">
        <f t="shared" si="272"/>
        <v/>
      </c>
      <c r="OZB116" s="77" t="str">
        <f t="shared" si="272"/>
        <v/>
      </c>
      <c r="OZC116" s="77" t="str">
        <f t="shared" si="272"/>
        <v/>
      </c>
      <c r="OZD116" s="77" t="str">
        <f t="shared" si="272"/>
        <v/>
      </c>
      <c r="OZE116" s="77" t="str">
        <f t="shared" si="272"/>
        <v/>
      </c>
      <c r="OZF116" s="77" t="str">
        <f t="shared" si="272"/>
        <v/>
      </c>
      <c r="OZG116" s="77" t="str">
        <f t="shared" si="272"/>
        <v/>
      </c>
      <c r="OZH116" s="77" t="str">
        <f t="shared" si="272"/>
        <v/>
      </c>
      <c r="OZI116" s="77" t="str">
        <f t="shared" si="272"/>
        <v/>
      </c>
      <c r="OZJ116" s="77" t="str">
        <f t="shared" si="272"/>
        <v/>
      </c>
      <c r="OZK116" s="77" t="str">
        <f t="shared" si="272"/>
        <v/>
      </c>
      <c r="OZL116" s="77" t="str">
        <f t="shared" si="272"/>
        <v/>
      </c>
      <c r="OZM116" s="77" t="str">
        <f t="shared" si="272"/>
        <v/>
      </c>
      <c r="OZN116" s="77" t="str">
        <f t="shared" si="272"/>
        <v/>
      </c>
      <c r="OZO116" s="77" t="str">
        <f t="shared" si="272"/>
        <v/>
      </c>
      <c r="OZP116" s="77" t="str">
        <f t="shared" si="272"/>
        <v/>
      </c>
      <c r="OZQ116" s="77" t="str">
        <f t="shared" si="272"/>
        <v/>
      </c>
      <c r="OZR116" s="77" t="str">
        <f t="shared" si="272"/>
        <v/>
      </c>
      <c r="OZS116" s="77" t="str">
        <f t="shared" si="272"/>
        <v/>
      </c>
      <c r="OZT116" s="77" t="str">
        <f t="shared" si="272"/>
        <v/>
      </c>
      <c r="OZU116" s="77" t="str">
        <f t="shared" si="272"/>
        <v/>
      </c>
      <c r="OZV116" s="77" t="str">
        <f t="shared" si="272"/>
        <v/>
      </c>
      <c r="OZW116" s="77" t="str">
        <f t="shared" si="272"/>
        <v/>
      </c>
      <c r="OZX116" s="77" t="str">
        <f t="shared" si="272"/>
        <v/>
      </c>
      <c r="OZY116" s="77" t="str">
        <f t="shared" si="272"/>
        <v/>
      </c>
      <c r="OZZ116" s="77" t="str">
        <f t="shared" si="272"/>
        <v/>
      </c>
      <c r="PAA116" s="77" t="str">
        <f t="shared" si="272"/>
        <v/>
      </c>
      <c r="PAB116" s="77" t="str">
        <f t="shared" si="272"/>
        <v/>
      </c>
      <c r="PAC116" s="77" t="str">
        <f t="shared" si="272"/>
        <v/>
      </c>
      <c r="PAD116" s="77" t="str">
        <f t="shared" si="272"/>
        <v/>
      </c>
      <c r="PAE116" s="77" t="str">
        <f t="shared" si="272"/>
        <v/>
      </c>
      <c r="PAF116" s="77" t="str">
        <f t="shared" si="272"/>
        <v/>
      </c>
      <c r="PAG116" s="77" t="str">
        <f t="shared" si="272"/>
        <v/>
      </c>
      <c r="PAH116" s="77" t="str">
        <f t="shared" si="272"/>
        <v/>
      </c>
      <c r="PAI116" s="77" t="str">
        <f t="shared" si="272"/>
        <v/>
      </c>
      <c r="PAJ116" s="77" t="str">
        <f t="shared" si="272"/>
        <v/>
      </c>
      <c r="PAK116" s="77" t="str">
        <f t="shared" si="272"/>
        <v/>
      </c>
      <c r="PAL116" s="77" t="str">
        <f t="shared" si="272"/>
        <v/>
      </c>
      <c r="PAM116" s="77" t="str">
        <f t="shared" ref="PAM116:PCX116" si="273">IF(ISNUMBER(outYear),PAM69+PAM75+PAM81+PAM113,"")</f>
        <v/>
      </c>
      <c r="PAN116" s="77" t="str">
        <f t="shared" si="273"/>
        <v/>
      </c>
      <c r="PAO116" s="77" t="str">
        <f t="shared" si="273"/>
        <v/>
      </c>
      <c r="PAP116" s="77" t="str">
        <f t="shared" si="273"/>
        <v/>
      </c>
      <c r="PAQ116" s="77" t="str">
        <f t="shared" si="273"/>
        <v/>
      </c>
      <c r="PAR116" s="77" t="str">
        <f t="shared" si="273"/>
        <v/>
      </c>
      <c r="PAS116" s="77" t="str">
        <f t="shared" si="273"/>
        <v/>
      </c>
      <c r="PAT116" s="77" t="str">
        <f t="shared" si="273"/>
        <v/>
      </c>
      <c r="PAU116" s="77" t="str">
        <f t="shared" si="273"/>
        <v/>
      </c>
      <c r="PAV116" s="77" t="str">
        <f t="shared" si="273"/>
        <v/>
      </c>
      <c r="PAW116" s="77" t="str">
        <f t="shared" si="273"/>
        <v/>
      </c>
      <c r="PAX116" s="77" t="str">
        <f t="shared" si="273"/>
        <v/>
      </c>
      <c r="PAY116" s="77" t="str">
        <f t="shared" si="273"/>
        <v/>
      </c>
      <c r="PAZ116" s="77" t="str">
        <f t="shared" si="273"/>
        <v/>
      </c>
      <c r="PBA116" s="77" t="str">
        <f t="shared" si="273"/>
        <v/>
      </c>
      <c r="PBB116" s="77" t="str">
        <f t="shared" si="273"/>
        <v/>
      </c>
      <c r="PBC116" s="77" t="str">
        <f t="shared" si="273"/>
        <v/>
      </c>
      <c r="PBD116" s="77" t="str">
        <f t="shared" si="273"/>
        <v/>
      </c>
      <c r="PBE116" s="77" t="str">
        <f t="shared" si="273"/>
        <v/>
      </c>
      <c r="PBF116" s="77" t="str">
        <f t="shared" si="273"/>
        <v/>
      </c>
      <c r="PBG116" s="77" t="str">
        <f t="shared" si="273"/>
        <v/>
      </c>
      <c r="PBH116" s="77" t="str">
        <f t="shared" si="273"/>
        <v/>
      </c>
      <c r="PBI116" s="77" t="str">
        <f t="shared" si="273"/>
        <v/>
      </c>
      <c r="PBJ116" s="77" t="str">
        <f t="shared" si="273"/>
        <v/>
      </c>
      <c r="PBK116" s="77" t="str">
        <f t="shared" si="273"/>
        <v/>
      </c>
      <c r="PBL116" s="77" t="str">
        <f t="shared" si="273"/>
        <v/>
      </c>
      <c r="PBM116" s="77" t="str">
        <f t="shared" si="273"/>
        <v/>
      </c>
      <c r="PBN116" s="77" t="str">
        <f t="shared" si="273"/>
        <v/>
      </c>
      <c r="PBO116" s="77" t="str">
        <f t="shared" si="273"/>
        <v/>
      </c>
      <c r="PBP116" s="77" t="str">
        <f t="shared" si="273"/>
        <v/>
      </c>
      <c r="PBQ116" s="77" t="str">
        <f t="shared" si="273"/>
        <v/>
      </c>
      <c r="PBR116" s="77" t="str">
        <f t="shared" si="273"/>
        <v/>
      </c>
      <c r="PBS116" s="77" t="str">
        <f t="shared" si="273"/>
        <v/>
      </c>
      <c r="PBT116" s="77" t="str">
        <f t="shared" si="273"/>
        <v/>
      </c>
      <c r="PBU116" s="77" t="str">
        <f t="shared" si="273"/>
        <v/>
      </c>
      <c r="PBV116" s="77" t="str">
        <f t="shared" si="273"/>
        <v/>
      </c>
      <c r="PBW116" s="77" t="str">
        <f t="shared" si="273"/>
        <v/>
      </c>
      <c r="PBX116" s="77" t="str">
        <f t="shared" si="273"/>
        <v/>
      </c>
      <c r="PBY116" s="77" t="str">
        <f t="shared" si="273"/>
        <v/>
      </c>
      <c r="PBZ116" s="77" t="str">
        <f t="shared" si="273"/>
        <v/>
      </c>
      <c r="PCA116" s="77" t="str">
        <f t="shared" si="273"/>
        <v/>
      </c>
      <c r="PCB116" s="77" t="str">
        <f t="shared" si="273"/>
        <v/>
      </c>
      <c r="PCC116" s="77" t="str">
        <f t="shared" si="273"/>
        <v/>
      </c>
      <c r="PCD116" s="77" t="str">
        <f t="shared" si="273"/>
        <v/>
      </c>
      <c r="PCE116" s="77" t="str">
        <f t="shared" si="273"/>
        <v/>
      </c>
      <c r="PCF116" s="77" t="str">
        <f t="shared" si="273"/>
        <v/>
      </c>
      <c r="PCG116" s="77" t="str">
        <f t="shared" si="273"/>
        <v/>
      </c>
      <c r="PCH116" s="77" t="str">
        <f t="shared" si="273"/>
        <v/>
      </c>
      <c r="PCI116" s="77" t="str">
        <f t="shared" si="273"/>
        <v/>
      </c>
      <c r="PCJ116" s="77" t="str">
        <f t="shared" si="273"/>
        <v/>
      </c>
      <c r="PCK116" s="77" t="str">
        <f t="shared" si="273"/>
        <v/>
      </c>
      <c r="PCL116" s="77" t="str">
        <f t="shared" si="273"/>
        <v/>
      </c>
      <c r="PCM116" s="77" t="str">
        <f t="shared" si="273"/>
        <v/>
      </c>
      <c r="PCN116" s="77" t="str">
        <f t="shared" si="273"/>
        <v/>
      </c>
      <c r="PCO116" s="77" t="str">
        <f t="shared" si="273"/>
        <v/>
      </c>
      <c r="PCP116" s="77" t="str">
        <f t="shared" si="273"/>
        <v/>
      </c>
      <c r="PCQ116" s="77" t="str">
        <f t="shared" si="273"/>
        <v/>
      </c>
      <c r="PCR116" s="77" t="str">
        <f t="shared" si="273"/>
        <v/>
      </c>
      <c r="PCS116" s="77" t="str">
        <f t="shared" si="273"/>
        <v/>
      </c>
      <c r="PCT116" s="77" t="str">
        <f t="shared" si="273"/>
        <v/>
      </c>
      <c r="PCU116" s="77" t="str">
        <f t="shared" si="273"/>
        <v/>
      </c>
      <c r="PCV116" s="77" t="str">
        <f t="shared" si="273"/>
        <v/>
      </c>
      <c r="PCW116" s="77" t="str">
        <f t="shared" si="273"/>
        <v/>
      </c>
      <c r="PCX116" s="77" t="str">
        <f t="shared" si="273"/>
        <v/>
      </c>
      <c r="PCY116" s="77" t="str">
        <f t="shared" ref="PCY116:PFJ116" si="274">IF(ISNUMBER(outYear),PCY69+PCY75+PCY81+PCY113,"")</f>
        <v/>
      </c>
      <c r="PCZ116" s="77" t="str">
        <f t="shared" si="274"/>
        <v/>
      </c>
      <c r="PDA116" s="77" t="str">
        <f t="shared" si="274"/>
        <v/>
      </c>
      <c r="PDB116" s="77" t="str">
        <f t="shared" si="274"/>
        <v/>
      </c>
      <c r="PDC116" s="77" t="str">
        <f t="shared" si="274"/>
        <v/>
      </c>
      <c r="PDD116" s="77" t="str">
        <f t="shared" si="274"/>
        <v/>
      </c>
      <c r="PDE116" s="77" t="str">
        <f t="shared" si="274"/>
        <v/>
      </c>
      <c r="PDF116" s="77" t="str">
        <f t="shared" si="274"/>
        <v/>
      </c>
      <c r="PDG116" s="77" t="str">
        <f t="shared" si="274"/>
        <v/>
      </c>
      <c r="PDH116" s="77" t="str">
        <f t="shared" si="274"/>
        <v/>
      </c>
      <c r="PDI116" s="77" t="str">
        <f t="shared" si="274"/>
        <v/>
      </c>
      <c r="PDJ116" s="77" t="str">
        <f t="shared" si="274"/>
        <v/>
      </c>
      <c r="PDK116" s="77" t="str">
        <f t="shared" si="274"/>
        <v/>
      </c>
      <c r="PDL116" s="77" t="str">
        <f t="shared" si="274"/>
        <v/>
      </c>
      <c r="PDM116" s="77" t="str">
        <f t="shared" si="274"/>
        <v/>
      </c>
      <c r="PDN116" s="77" t="str">
        <f t="shared" si="274"/>
        <v/>
      </c>
      <c r="PDO116" s="77" t="str">
        <f t="shared" si="274"/>
        <v/>
      </c>
      <c r="PDP116" s="77" t="str">
        <f t="shared" si="274"/>
        <v/>
      </c>
      <c r="PDQ116" s="77" t="str">
        <f t="shared" si="274"/>
        <v/>
      </c>
      <c r="PDR116" s="77" t="str">
        <f t="shared" si="274"/>
        <v/>
      </c>
      <c r="PDS116" s="77" t="str">
        <f t="shared" si="274"/>
        <v/>
      </c>
      <c r="PDT116" s="77" t="str">
        <f t="shared" si="274"/>
        <v/>
      </c>
      <c r="PDU116" s="77" t="str">
        <f t="shared" si="274"/>
        <v/>
      </c>
      <c r="PDV116" s="77" t="str">
        <f t="shared" si="274"/>
        <v/>
      </c>
      <c r="PDW116" s="77" t="str">
        <f t="shared" si="274"/>
        <v/>
      </c>
      <c r="PDX116" s="77" t="str">
        <f t="shared" si="274"/>
        <v/>
      </c>
      <c r="PDY116" s="77" t="str">
        <f t="shared" si="274"/>
        <v/>
      </c>
      <c r="PDZ116" s="77" t="str">
        <f t="shared" si="274"/>
        <v/>
      </c>
      <c r="PEA116" s="77" t="str">
        <f t="shared" si="274"/>
        <v/>
      </c>
      <c r="PEB116" s="77" t="str">
        <f t="shared" si="274"/>
        <v/>
      </c>
      <c r="PEC116" s="77" t="str">
        <f t="shared" si="274"/>
        <v/>
      </c>
      <c r="PED116" s="77" t="str">
        <f t="shared" si="274"/>
        <v/>
      </c>
      <c r="PEE116" s="77" t="str">
        <f t="shared" si="274"/>
        <v/>
      </c>
      <c r="PEF116" s="77" t="str">
        <f t="shared" si="274"/>
        <v/>
      </c>
      <c r="PEG116" s="77" t="str">
        <f t="shared" si="274"/>
        <v/>
      </c>
      <c r="PEH116" s="77" t="str">
        <f t="shared" si="274"/>
        <v/>
      </c>
      <c r="PEI116" s="77" t="str">
        <f t="shared" si="274"/>
        <v/>
      </c>
      <c r="PEJ116" s="77" t="str">
        <f t="shared" si="274"/>
        <v/>
      </c>
      <c r="PEK116" s="77" t="str">
        <f t="shared" si="274"/>
        <v/>
      </c>
      <c r="PEL116" s="77" t="str">
        <f t="shared" si="274"/>
        <v/>
      </c>
      <c r="PEM116" s="77" t="str">
        <f t="shared" si="274"/>
        <v/>
      </c>
      <c r="PEN116" s="77" t="str">
        <f t="shared" si="274"/>
        <v/>
      </c>
      <c r="PEO116" s="77" t="str">
        <f t="shared" si="274"/>
        <v/>
      </c>
      <c r="PEP116" s="77" t="str">
        <f t="shared" si="274"/>
        <v/>
      </c>
      <c r="PEQ116" s="77" t="str">
        <f t="shared" si="274"/>
        <v/>
      </c>
      <c r="PER116" s="77" t="str">
        <f t="shared" si="274"/>
        <v/>
      </c>
      <c r="PES116" s="77" t="str">
        <f t="shared" si="274"/>
        <v/>
      </c>
      <c r="PET116" s="77" t="str">
        <f t="shared" si="274"/>
        <v/>
      </c>
      <c r="PEU116" s="77" t="str">
        <f t="shared" si="274"/>
        <v/>
      </c>
      <c r="PEV116" s="77" t="str">
        <f t="shared" si="274"/>
        <v/>
      </c>
      <c r="PEW116" s="77" t="str">
        <f t="shared" si="274"/>
        <v/>
      </c>
      <c r="PEX116" s="77" t="str">
        <f t="shared" si="274"/>
        <v/>
      </c>
      <c r="PEY116" s="77" t="str">
        <f t="shared" si="274"/>
        <v/>
      </c>
      <c r="PEZ116" s="77" t="str">
        <f t="shared" si="274"/>
        <v/>
      </c>
      <c r="PFA116" s="77" t="str">
        <f t="shared" si="274"/>
        <v/>
      </c>
      <c r="PFB116" s="77" t="str">
        <f t="shared" si="274"/>
        <v/>
      </c>
      <c r="PFC116" s="77" t="str">
        <f t="shared" si="274"/>
        <v/>
      </c>
      <c r="PFD116" s="77" t="str">
        <f t="shared" si="274"/>
        <v/>
      </c>
      <c r="PFE116" s="77" t="str">
        <f t="shared" si="274"/>
        <v/>
      </c>
      <c r="PFF116" s="77" t="str">
        <f t="shared" si="274"/>
        <v/>
      </c>
      <c r="PFG116" s="77" t="str">
        <f t="shared" si="274"/>
        <v/>
      </c>
      <c r="PFH116" s="77" t="str">
        <f t="shared" si="274"/>
        <v/>
      </c>
      <c r="PFI116" s="77" t="str">
        <f t="shared" si="274"/>
        <v/>
      </c>
      <c r="PFJ116" s="77" t="str">
        <f t="shared" si="274"/>
        <v/>
      </c>
      <c r="PFK116" s="77" t="str">
        <f t="shared" ref="PFK116:PHV116" si="275">IF(ISNUMBER(outYear),PFK69+PFK75+PFK81+PFK113,"")</f>
        <v/>
      </c>
      <c r="PFL116" s="77" t="str">
        <f t="shared" si="275"/>
        <v/>
      </c>
      <c r="PFM116" s="77" t="str">
        <f t="shared" si="275"/>
        <v/>
      </c>
      <c r="PFN116" s="77" t="str">
        <f t="shared" si="275"/>
        <v/>
      </c>
      <c r="PFO116" s="77" t="str">
        <f t="shared" si="275"/>
        <v/>
      </c>
      <c r="PFP116" s="77" t="str">
        <f t="shared" si="275"/>
        <v/>
      </c>
      <c r="PFQ116" s="77" t="str">
        <f t="shared" si="275"/>
        <v/>
      </c>
      <c r="PFR116" s="77" t="str">
        <f t="shared" si="275"/>
        <v/>
      </c>
      <c r="PFS116" s="77" t="str">
        <f t="shared" si="275"/>
        <v/>
      </c>
      <c r="PFT116" s="77" t="str">
        <f t="shared" si="275"/>
        <v/>
      </c>
      <c r="PFU116" s="77" t="str">
        <f t="shared" si="275"/>
        <v/>
      </c>
      <c r="PFV116" s="77" t="str">
        <f t="shared" si="275"/>
        <v/>
      </c>
      <c r="PFW116" s="77" t="str">
        <f t="shared" si="275"/>
        <v/>
      </c>
      <c r="PFX116" s="77" t="str">
        <f t="shared" si="275"/>
        <v/>
      </c>
      <c r="PFY116" s="77" t="str">
        <f t="shared" si="275"/>
        <v/>
      </c>
      <c r="PFZ116" s="77" t="str">
        <f t="shared" si="275"/>
        <v/>
      </c>
      <c r="PGA116" s="77" t="str">
        <f t="shared" si="275"/>
        <v/>
      </c>
      <c r="PGB116" s="77" t="str">
        <f t="shared" si="275"/>
        <v/>
      </c>
      <c r="PGC116" s="77" t="str">
        <f t="shared" si="275"/>
        <v/>
      </c>
      <c r="PGD116" s="77" t="str">
        <f t="shared" si="275"/>
        <v/>
      </c>
      <c r="PGE116" s="77" t="str">
        <f t="shared" si="275"/>
        <v/>
      </c>
      <c r="PGF116" s="77" t="str">
        <f t="shared" si="275"/>
        <v/>
      </c>
      <c r="PGG116" s="77" t="str">
        <f t="shared" si="275"/>
        <v/>
      </c>
      <c r="PGH116" s="77" t="str">
        <f t="shared" si="275"/>
        <v/>
      </c>
      <c r="PGI116" s="77" t="str">
        <f t="shared" si="275"/>
        <v/>
      </c>
      <c r="PGJ116" s="77" t="str">
        <f t="shared" si="275"/>
        <v/>
      </c>
      <c r="PGK116" s="77" t="str">
        <f t="shared" si="275"/>
        <v/>
      </c>
      <c r="PGL116" s="77" t="str">
        <f t="shared" si="275"/>
        <v/>
      </c>
      <c r="PGM116" s="77" t="str">
        <f t="shared" si="275"/>
        <v/>
      </c>
      <c r="PGN116" s="77" t="str">
        <f t="shared" si="275"/>
        <v/>
      </c>
      <c r="PGO116" s="77" t="str">
        <f t="shared" si="275"/>
        <v/>
      </c>
      <c r="PGP116" s="77" t="str">
        <f t="shared" si="275"/>
        <v/>
      </c>
      <c r="PGQ116" s="77" t="str">
        <f t="shared" si="275"/>
        <v/>
      </c>
      <c r="PGR116" s="77" t="str">
        <f t="shared" si="275"/>
        <v/>
      </c>
      <c r="PGS116" s="77" t="str">
        <f t="shared" si="275"/>
        <v/>
      </c>
      <c r="PGT116" s="77" t="str">
        <f t="shared" si="275"/>
        <v/>
      </c>
      <c r="PGU116" s="77" t="str">
        <f t="shared" si="275"/>
        <v/>
      </c>
      <c r="PGV116" s="77" t="str">
        <f t="shared" si="275"/>
        <v/>
      </c>
      <c r="PGW116" s="77" t="str">
        <f t="shared" si="275"/>
        <v/>
      </c>
      <c r="PGX116" s="77" t="str">
        <f t="shared" si="275"/>
        <v/>
      </c>
      <c r="PGY116" s="77" t="str">
        <f t="shared" si="275"/>
        <v/>
      </c>
      <c r="PGZ116" s="77" t="str">
        <f t="shared" si="275"/>
        <v/>
      </c>
      <c r="PHA116" s="77" t="str">
        <f t="shared" si="275"/>
        <v/>
      </c>
      <c r="PHB116" s="77" t="str">
        <f t="shared" si="275"/>
        <v/>
      </c>
      <c r="PHC116" s="77" t="str">
        <f t="shared" si="275"/>
        <v/>
      </c>
      <c r="PHD116" s="77" t="str">
        <f t="shared" si="275"/>
        <v/>
      </c>
      <c r="PHE116" s="77" t="str">
        <f t="shared" si="275"/>
        <v/>
      </c>
      <c r="PHF116" s="77" t="str">
        <f t="shared" si="275"/>
        <v/>
      </c>
      <c r="PHG116" s="77" t="str">
        <f t="shared" si="275"/>
        <v/>
      </c>
      <c r="PHH116" s="77" t="str">
        <f t="shared" si="275"/>
        <v/>
      </c>
      <c r="PHI116" s="77" t="str">
        <f t="shared" si="275"/>
        <v/>
      </c>
      <c r="PHJ116" s="77" t="str">
        <f t="shared" si="275"/>
        <v/>
      </c>
      <c r="PHK116" s="77" t="str">
        <f t="shared" si="275"/>
        <v/>
      </c>
      <c r="PHL116" s="77" t="str">
        <f t="shared" si="275"/>
        <v/>
      </c>
      <c r="PHM116" s="77" t="str">
        <f t="shared" si="275"/>
        <v/>
      </c>
      <c r="PHN116" s="77" t="str">
        <f t="shared" si="275"/>
        <v/>
      </c>
      <c r="PHO116" s="77" t="str">
        <f t="shared" si="275"/>
        <v/>
      </c>
      <c r="PHP116" s="77" t="str">
        <f t="shared" si="275"/>
        <v/>
      </c>
      <c r="PHQ116" s="77" t="str">
        <f t="shared" si="275"/>
        <v/>
      </c>
      <c r="PHR116" s="77" t="str">
        <f t="shared" si="275"/>
        <v/>
      </c>
      <c r="PHS116" s="77" t="str">
        <f t="shared" si="275"/>
        <v/>
      </c>
      <c r="PHT116" s="77" t="str">
        <f t="shared" si="275"/>
        <v/>
      </c>
      <c r="PHU116" s="77" t="str">
        <f t="shared" si="275"/>
        <v/>
      </c>
      <c r="PHV116" s="77" t="str">
        <f t="shared" si="275"/>
        <v/>
      </c>
      <c r="PHW116" s="77" t="str">
        <f t="shared" ref="PHW116:PKH116" si="276">IF(ISNUMBER(outYear),PHW69+PHW75+PHW81+PHW113,"")</f>
        <v/>
      </c>
      <c r="PHX116" s="77" t="str">
        <f t="shared" si="276"/>
        <v/>
      </c>
      <c r="PHY116" s="77" t="str">
        <f t="shared" si="276"/>
        <v/>
      </c>
      <c r="PHZ116" s="77" t="str">
        <f t="shared" si="276"/>
        <v/>
      </c>
      <c r="PIA116" s="77" t="str">
        <f t="shared" si="276"/>
        <v/>
      </c>
      <c r="PIB116" s="77" t="str">
        <f t="shared" si="276"/>
        <v/>
      </c>
      <c r="PIC116" s="77" t="str">
        <f t="shared" si="276"/>
        <v/>
      </c>
      <c r="PID116" s="77" t="str">
        <f t="shared" si="276"/>
        <v/>
      </c>
      <c r="PIE116" s="77" t="str">
        <f t="shared" si="276"/>
        <v/>
      </c>
      <c r="PIF116" s="77" t="str">
        <f t="shared" si="276"/>
        <v/>
      </c>
      <c r="PIG116" s="77" t="str">
        <f t="shared" si="276"/>
        <v/>
      </c>
      <c r="PIH116" s="77" t="str">
        <f t="shared" si="276"/>
        <v/>
      </c>
      <c r="PII116" s="77" t="str">
        <f t="shared" si="276"/>
        <v/>
      </c>
      <c r="PIJ116" s="77" t="str">
        <f t="shared" si="276"/>
        <v/>
      </c>
      <c r="PIK116" s="77" t="str">
        <f t="shared" si="276"/>
        <v/>
      </c>
      <c r="PIL116" s="77" t="str">
        <f t="shared" si="276"/>
        <v/>
      </c>
      <c r="PIM116" s="77" t="str">
        <f t="shared" si="276"/>
        <v/>
      </c>
      <c r="PIN116" s="77" t="str">
        <f t="shared" si="276"/>
        <v/>
      </c>
      <c r="PIO116" s="77" t="str">
        <f t="shared" si="276"/>
        <v/>
      </c>
      <c r="PIP116" s="77" t="str">
        <f t="shared" si="276"/>
        <v/>
      </c>
      <c r="PIQ116" s="77" t="str">
        <f t="shared" si="276"/>
        <v/>
      </c>
      <c r="PIR116" s="77" t="str">
        <f t="shared" si="276"/>
        <v/>
      </c>
      <c r="PIS116" s="77" t="str">
        <f t="shared" si="276"/>
        <v/>
      </c>
      <c r="PIT116" s="77" t="str">
        <f t="shared" si="276"/>
        <v/>
      </c>
      <c r="PIU116" s="77" t="str">
        <f t="shared" si="276"/>
        <v/>
      </c>
      <c r="PIV116" s="77" t="str">
        <f t="shared" si="276"/>
        <v/>
      </c>
      <c r="PIW116" s="77" t="str">
        <f t="shared" si="276"/>
        <v/>
      </c>
      <c r="PIX116" s="77" t="str">
        <f t="shared" si="276"/>
        <v/>
      </c>
      <c r="PIY116" s="77" t="str">
        <f t="shared" si="276"/>
        <v/>
      </c>
      <c r="PIZ116" s="77" t="str">
        <f t="shared" si="276"/>
        <v/>
      </c>
      <c r="PJA116" s="77" t="str">
        <f t="shared" si="276"/>
        <v/>
      </c>
      <c r="PJB116" s="77" t="str">
        <f t="shared" si="276"/>
        <v/>
      </c>
      <c r="PJC116" s="77" t="str">
        <f t="shared" si="276"/>
        <v/>
      </c>
      <c r="PJD116" s="77" t="str">
        <f t="shared" si="276"/>
        <v/>
      </c>
      <c r="PJE116" s="77" t="str">
        <f t="shared" si="276"/>
        <v/>
      </c>
      <c r="PJF116" s="77" t="str">
        <f t="shared" si="276"/>
        <v/>
      </c>
      <c r="PJG116" s="77" t="str">
        <f t="shared" si="276"/>
        <v/>
      </c>
      <c r="PJH116" s="77" t="str">
        <f t="shared" si="276"/>
        <v/>
      </c>
      <c r="PJI116" s="77" t="str">
        <f t="shared" si="276"/>
        <v/>
      </c>
      <c r="PJJ116" s="77" t="str">
        <f t="shared" si="276"/>
        <v/>
      </c>
      <c r="PJK116" s="77" t="str">
        <f t="shared" si="276"/>
        <v/>
      </c>
      <c r="PJL116" s="77" t="str">
        <f t="shared" si="276"/>
        <v/>
      </c>
      <c r="PJM116" s="77" t="str">
        <f t="shared" si="276"/>
        <v/>
      </c>
      <c r="PJN116" s="77" t="str">
        <f t="shared" si="276"/>
        <v/>
      </c>
      <c r="PJO116" s="77" t="str">
        <f t="shared" si="276"/>
        <v/>
      </c>
      <c r="PJP116" s="77" t="str">
        <f t="shared" si="276"/>
        <v/>
      </c>
      <c r="PJQ116" s="77" t="str">
        <f t="shared" si="276"/>
        <v/>
      </c>
      <c r="PJR116" s="77" t="str">
        <f t="shared" si="276"/>
        <v/>
      </c>
      <c r="PJS116" s="77" t="str">
        <f t="shared" si="276"/>
        <v/>
      </c>
      <c r="PJT116" s="77" t="str">
        <f t="shared" si="276"/>
        <v/>
      </c>
      <c r="PJU116" s="77" t="str">
        <f t="shared" si="276"/>
        <v/>
      </c>
      <c r="PJV116" s="77" t="str">
        <f t="shared" si="276"/>
        <v/>
      </c>
      <c r="PJW116" s="77" t="str">
        <f t="shared" si="276"/>
        <v/>
      </c>
      <c r="PJX116" s="77" t="str">
        <f t="shared" si="276"/>
        <v/>
      </c>
      <c r="PJY116" s="77" t="str">
        <f t="shared" si="276"/>
        <v/>
      </c>
      <c r="PJZ116" s="77" t="str">
        <f t="shared" si="276"/>
        <v/>
      </c>
      <c r="PKA116" s="77" t="str">
        <f t="shared" si="276"/>
        <v/>
      </c>
      <c r="PKB116" s="77" t="str">
        <f t="shared" si="276"/>
        <v/>
      </c>
      <c r="PKC116" s="77" t="str">
        <f t="shared" si="276"/>
        <v/>
      </c>
      <c r="PKD116" s="77" t="str">
        <f t="shared" si="276"/>
        <v/>
      </c>
      <c r="PKE116" s="77" t="str">
        <f t="shared" si="276"/>
        <v/>
      </c>
      <c r="PKF116" s="77" t="str">
        <f t="shared" si="276"/>
        <v/>
      </c>
      <c r="PKG116" s="77" t="str">
        <f t="shared" si="276"/>
        <v/>
      </c>
      <c r="PKH116" s="77" t="str">
        <f t="shared" si="276"/>
        <v/>
      </c>
      <c r="PKI116" s="77" t="str">
        <f t="shared" ref="PKI116:PMT116" si="277">IF(ISNUMBER(outYear),PKI69+PKI75+PKI81+PKI113,"")</f>
        <v/>
      </c>
      <c r="PKJ116" s="77" t="str">
        <f t="shared" si="277"/>
        <v/>
      </c>
      <c r="PKK116" s="77" t="str">
        <f t="shared" si="277"/>
        <v/>
      </c>
      <c r="PKL116" s="77" t="str">
        <f t="shared" si="277"/>
        <v/>
      </c>
      <c r="PKM116" s="77" t="str">
        <f t="shared" si="277"/>
        <v/>
      </c>
      <c r="PKN116" s="77" t="str">
        <f t="shared" si="277"/>
        <v/>
      </c>
      <c r="PKO116" s="77" t="str">
        <f t="shared" si="277"/>
        <v/>
      </c>
      <c r="PKP116" s="77" t="str">
        <f t="shared" si="277"/>
        <v/>
      </c>
      <c r="PKQ116" s="77" t="str">
        <f t="shared" si="277"/>
        <v/>
      </c>
      <c r="PKR116" s="77" t="str">
        <f t="shared" si="277"/>
        <v/>
      </c>
      <c r="PKS116" s="77" t="str">
        <f t="shared" si="277"/>
        <v/>
      </c>
      <c r="PKT116" s="77" t="str">
        <f t="shared" si="277"/>
        <v/>
      </c>
      <c r="PKU116" s="77" t="str">
        <f t="shared" si="277"/>
        <v/>
      </c>
      <c r="PKV116" s="77" t="str">
        <f t="shared" si="277"/>
        <v/>
      </c>
      <c r="PKW116" s="77" t="str">
        <f t="shared" si="277"/>
        <v/>
      </c>
      <c r="PKX116" s="77" t="str">
        <f t="shared" si="277"/>
        <v/>
      </c>
      <c r="PKY116" s="77" t="str">
        <f t="shared" si="277"/>
        <v/>
      </c>
      <c r="PKZ116" s="77" t="str">
        <f t="shared" si="277"/>
        <v/>
      </c>
      <c r="PLA116" s="77" t="str">
        <f t="shared" si="277"/>
        <v/>
      </c>
      <c r="PLB116" s="77" t="str">
        <f t="shared" si="277"/>
        <v/>
      </c>
      <c r="PLC116" s="77" t="str">
        <f t="shared" si="277"/>
        <v/>
      </c>
      <c r="PLD116" s="77" t="str">
        <f t="shared" si="277"/>
        <v/>
      </c>
      <c r="PLE116" s="77" t="str">
        <f t="shared" si="277"/>
        <v/>
      </c>
      <c r="PLF116" s="77" t="str">
        <f t="shared" si="277"/>
        <v/>
      </c>
      <c r="PLG116" s="77" t="str">
        <f t="shared" si="277"/>
        <v/>
      </c>
      <c r="PLH116" s="77" t="str">
        <f t="shared" si="277"/>
        <v/>
      </c>
      <c r="PLI116" s="77" t="str">
        <f t="shared" si="277"/>
        <v/>
      </c>
      <c r="PLJ116" s="77" t="str">
        <f t="shared" si="277"/>
        <v/>
      </c>
      <c r="PLK116" s="77" t="str">
        <f t="shared" si="277"/>
        <v/>
      </c>
      <c r="PLL116" s="77" t="str">
        <f t="shared" si="277"/>
        <v/>
      </c>
      <c r="PLM116" s="77" t="str">
        <f t="shared" si="277"/>
        <v/>
      </c>
      <c r="PLN116" s="77" t="str">
        <f t="shared" si="277"/>
        <v/>
      </c>
      <c r="PLO116" s="77" t="str">
        <f t="shared" si="277"/>
        <v/>
      </c>
      <c r="PLP116" s="77" t="str">
        <f t="shared" si="277"/>
        <v/>
      </c>
      <c r="PLQ116" s="77" t="str">
        <f t="shared" si="277"/>
        <v/>
      </c>
      <c r="PLR116" s="77" t="str">
        <f t="shared" si="277"/>
        <v/>
      </c>
      <c r="PLS116" s="77" t="str">
        <f t="shared" si="277"/>
        <v/>
      </c>
      <c r="PLT116" s="77" t="str">
        <f t="shared" si="277"/>
        <v/>
      </c>
      <c r="PLU116" s="77" t="str">
        <f t="shared" si="277"/>
        <v/>
      </c>
      <c r="PLV116" s="77" t="str">
        <f t="shared" si="277"/>
        <v/>
      </c>
      <c r="PLW116" s="77" t="str">
        <f t="shared" si="277"/>
        <v/>
      </c>
      <c r="PLX116" s="77" t="str">
        <f t="shared" si="277"/>
        <v/>
      </c>
      <c r="PLY116" s="77" t="str">
        <f t="shared" si="277"/>
        <v/>
      </c>
      <c r="PLZ116" s="77" t="str">
        <f t="shared" si="277"/>
        <v/>
      </c>
      <c r="PMA116" s="77" t="str">
        <f t="shared" si="277"/>
        <v/>
      </c>
      <c r="PMB116" s="77" t="str">
        <f t="shared" si="277"/>
        <v/>
      </c>
      <c r="PMC116" s="77" t="str">
        <f t="shared" si="277"/>
        <v/>
      </c>
      <c r="PMD116" s="77" t="str">
        <f t="shared" si="277"/>
        <v/>
      </c>
      <c r="PME116" s="77" t="str">
        <f t="shared" si="277"/>
        <v/>
      </c>
      <c r="PMF116" s="77" t="str">
        <f t="shared" si="277"/>
        <v/>
      </c>
      <c r="PMG116" s="77" t="str">
        <f t="shared" si="277"/>
        <v/>
      </c>
      <c r="PMH116" s="77" t="str">
        <f t="shared" si="277"/>
        <v/>
      </c>
      <c r="PMI116" s="77" t="str">
        <f t="shared" si="277"/>
        <v/>
      </c>
      <c r="PMJ116" s="77" t="str">
        <f t="shared" si="277"/>
        <v/>
      </c>
      <c r="PMK116" s="77" t="str">
        <f t="shared" si="277"/>
        <v/>
      </c>
      <c r="PML116" s="77" t="str">
        <f t="shared" si="277"/>
        <v/>
      </c>
      <c r="PMM116" s="77" t="str">
        <f t="shared" si="277"/>
        <v/>
      </c>
      <c r="PMN116" s="77" t="str">
        <f t="shared" si="277"/>
        <v/>
      </c>
      <c r="PMO116" s="77" t="str">
        <f t="shared" si="277"/>
        <v/>
      </c>
      <c r="PMP116" s="77" t="str">
        <f t="shared" si="277"/>
        <v/>
      </c>
      <c r="PMQ116" s="77" t="str">
        <f t="shared" si="277"/>
        <v/>
      </c>
      <c r="PMR116" s="77" t="str">
        <f t="shared" si="277"/>
        <v/>
      </c>
      <c r="PMS116" s="77" t="str">
        <f t="shared" si="277"/>
        <v/>
      </c>
      <c r="PMT116" s="77" t="str">
        <f t="shared" si="277"/>
        <v/>
      </c>
      <c r="PMU116" s="77" t="str">
        <f t="shared" ref="PMU116:PPF116" si="278">IF(ISNUMBER(outYear),PMU69+PMU75+PMU81+PMU113,"")</f>
        <v/>
      </c>
      <c r="PMV116" s="77" t="str">
        <f t="shared" si="278"/>
        <v/>
      </c>
      <c r="PMW116" s="77" t="str">
        <f t="shared" si="278"/>
        <v/>
      </c>
      <c r="PMX116" s="77" t="str">
        <f t="shared" si="278"/>
        <v/>
      </c>
      <c r="PMY116" s="77" t="str">
        <f t="shared" si="278"/>
        <v/>
      </c>
      <c r="PMZ116" s="77" t="str">
        <f t="shared" si="278"/>
        <v/>
      </c>
      <c r="PNA116" s="77" t="str">
        <f t="shared" si="278"/>
        <v/>
      </c>
      <c r="PNB116" s="77" t="str">
        <f t="shared" si="278"/>
        <v/>
      </c>
      <c r="PNC116" s="77" t="str">
        <f t="shared" si="278"/>
        <v/>
      </c>
      <c r="PND116" s="77" t="str">
        <f t="shared" si="278"/>
        <v/>
      </c>
      <c r="PNE116" s="77" t="str">
        <f t="shared" si="278"/>
        <v/>
      </c>
      <c r="PNF116" s="77" t="str">
        <f t="shared" si="278"/>
        <v/>
      </c>
      <c r="PNG116" s="77" t="str">
        <f t="shared" si="278"/>
        <v/>
      </c>
      <c r="PNH116" s="77" t="str">
        <f t="shared" si="278"/>
        <v/>
      </c>
      <c r="PNI116" s="77" t="str">
        <f t="shared" si="278"/>
        <v/>
      </c>
      <c r="PNJ116" s="77" t="str">
        <f t="shared" si="278"/>
        <v/>
      </c>
      <c r="PNK116" s="77" t="str">
        <f t="shared" si="278"/>
        <v/>
      </c>
      <c r="PNL116" s="77" t="str">
        <f t="shared" si="278"/>
        <v/>
      </c>
      <c r="PNM116" s="77" t="str">
        <f t="shared" si="278"/>
        <v/>
      </c>
      <c r="PNN116" s="77" t="str">
        <f t="shared" si="278"/>
        <v/>
      </c>
      <c r="PNO116" s="77" t="str">
        <f t="shared" si="278"/>
        <v/>
      </c>
      <c r="PNP116" s="77" t="str">
        <f t="shared" si="278"/>
        <v/>
      </c>
      <c r="PNQ116" s="77" t="str">
        <f t="shared" si="278"/>
        <v/>
      </c>
      <c r="PNR116" s="77" t="str">
        <f t="shared" si="278"/>
        <v/>
      </c>
      <c r="PNS116" s="77" t="str">
        <f t="shared" si="278"/>
        <v/>
      </c>
      <c r="PNT116" s="77" t="str">
        <f t="shared" si="278"/>
        <v/>
      </c>
      <c r="PNU116" s="77" t="str">
        <f t="shared" si="278"/>
        <v/>
      </c>
      <c r="PNV116" s="77" t="str">
        <f t="shared" si="278"/>
        <v/>
      </c>
      <c r="PNW116" s="77" t="str">
        <f t="shared" si="278"/>
        <v/>
      </c>
      <c r="PNX116" s="77" t="str">
        <f t="shared" si="278"/>
        <v/>
      </c>
      <c r="PNY116" s="77" t="str">
        <f t="shared" si="278"/>
        <v/>
      </c>
      <c r="PNZ116" s="77" t="str">
        <f t="shared" si="278"/>
        <v/>
      </c>
      <c r="POA116" s="77" t="str">
        <f t="shared" si="278"/>
        <v/>
      </c>
      <c r="POB116" s="77" t="str">
        <f t="shared" si="278"/>
        <v/>
      </c>
      <c r="POC116" s="77" t="str">
        <f t="shared" si="278"/>
        <v/>
      </c>
      <c r="POD116" s="77" t="str">
        <f t="shared" si="278"/>
        <v/>
      </c>
      <c r="POE116" s="77" t="str">
        <f t="shared" si="278"/>
        <v/>
      </c>
      <c r="POF116" s="77" t="str">
        <f t="shared" si="278"/>
        <v/>
      </c>
      <c r="POG116" s="77" t="str">
        <f t="shared" si="278"/>
        <v/>
      </c>
      <c r="POH116" s="77" t="str">
        <f t="shared" si="278"/>
        <v/>
      </c>
      <c r="POI116" s="77" t="str">
        <f t="shared" si="278"/>
        <v/>
      </c>
      <c r="POJ116" s="77" t="str">
        <f t="shared" si="278"/>
        <v/>
      </c>
      <c r="POK116" s="77" t="str">
        <f t="shared" si="278"/>
        <v/>
      </c>
      <c r="POL116" s="77" t="str">
        <f t="shared" si="278"/>
        <v/>
      </c>
      <c r="POM116" s="77" t="str">
        <f t="shared" si="278"/>
        <v/>
      </c>
      <c r="PON116" s="77" t="str">
        <f t="shared" si="278"/>
        <v/>
      </c>
      <c r="POO116" s="77" t="str">
        <f t="shared" si="278"/>
        <v/>
      </c>
      <c r="POP116" s="77" t="str">
        <f t="shared" si="278"/>
        <v/>
      </c>
      <c r="POQ116" s="77" t="str">
        <f t="shared" si="278"/>
        <v/>
      </c>
      <c r="POR116" s="77" t="str">
        <f t="shared" si="278"/>
        <v/>
      </c>
      <c r="POS116" s="77" t="str">
        <f t="shared" si="278"/>
        <v/>
      </c>
      <c r="POT116" s="77" t="str">
        <f t="shared" si="278"/>
        <v/>
      </c>
      <c r="POU116" s="77" t="str">
        <f t="shared" si="278"/>
        <v/>
      </c>
      <c r="POV116" s="77" t="str">
        <f t="shared" si="278"/>
        <v/>
      </c>
      <c r="POW116" s="77" t="str">
        <f t="shared" si="278"/>
        <v/>
      </c>
      <c r="POX116" s="77" t="str">
        <f t="shared" si="278"/>
        <v/>
      </c>
      <c r="POY116" s="77" t="str">
        <f t="shared" si="278"/>
        <v/>
      </c>
      <c r="POZ116" s="77" t="str">
        <f t="shared" si="278"/>
        <v/>
      </c>
      <c r="PPA116" s="77" t="str">
        <f t="shared" si="278"/>
        <v/>
      </c>
      <c r="PPB116" s="77" t="str">
        <f t="shared" si="278"/>
        <v/>
      </c>
      <c r="PPC116" s="77" t="str">
        <f t="shared" si="278"/>
        <v/>
      </c>
      <c r="PPD116" s="77" t="str">
        <f t="shared" si="278"/>
        <v/>
      </c>
      <c r="PPE116" s="77" t="str">
        <f t="shared" si="278"/>
        <v/>
      </c>
      <c r="PPF116" s="77" t="str">
        <f t="shared" si="278"/>
        <v/>
      </c>
      <c r="PPG116" s="77" t="str">
        <f t="shared" ref="PPG116:PRR116" si="279">IF(ISNUMBER(outYear),PPG69+PPG75+PPG81+PPG113,"")</f>
        <v/>
      </c>
      <c r="PPH116" s="77" t="str">
        <f t="shared" si="279"/>
        <v/>
      </c>
      <c r="PPI116" s="77" t="str">
        <f t="shared" si="279"/>
        <v/>
      </c>
      <c r="PPJ116" s="77" t="str">
        <f t="shared" si="279"/>
        <v/>
      </c>
      <c r="PPK116" s="77" t="str">
        <f t="shared" si="279"/>
        <v/>
      </c>
      <c r="PPL116" s="77" t="str">
        <f t="shared" si="279"/>
        <v/>
      </c>
      <c r="PPM116" s="77" t="str">
        <f t="shared" si="279"/>
        <v/>
      </c>
      <c r="PPN116" s="77" t="str">
        <f t="shared" si="279"/>
        <v/>
      </c>
      <c r="PPO116" s="77" t="str">
        <f t="shared" si="279"/>
        <v/>
      </c>
      <c r="PPP116" s="77" t="str">
        <f t="shared" si="279"/>
        <v/>
      </c>
      <c r="PPQ116" s="77" t="str">
        <f t="shared" si="279"/>
        <v/>
      </c>
      <c r="PPR116" s="77" t="str">
        <f t="shared" si="279"/>
        <v/>
      </c>
      <c r="PPS116" s="77" t="str">
        <f t="shared" si="279"/>
        <v/>
      </c>
      <c r="PPT116" s="77" t="str">
        <f t="shared" si="279"/>
        <v/>
      </c>
      <c r="PPU116" s="77" t="str">
        <f t="shared" si="279"/>
        <v/>
      </c>
      <c r="PPV116" s="77" t="str">
        <f t="shared" si="279"/>
        <v/>
      </c>
      <c r="PPW116" s="77" t="str">
        <f t="shared" si="279"/>
        <v/>
      </c>
      <c r="PPX116" s="77" t="str">
        <f t="shared" si="279"/>
        <v/>
      </c>
      <c r="PPY116" s="77" t="str">
        <f t="shared" si="279"/>
        <v/>
      </c>
      <c r="PPZ116" s="77" t="str">
        <f t="shared" si="279"/>
        <v/>
      </c>
      <c r="PQA116" s="77" t="str">
        <f t="shared" si="279"/>
        <v/>
      </c>
      <c r="PQB116" s="77" t="str">
        <f t="shared" si="279"/>
        <v/>
      </c>
      <c r="PQC116" s="77" t="str">
        <f t="shared" si="279"/>
        <v/>
      </c>
      <c r="PQD116" s="77" t="str">
        <f t="shared" si="279"/>
        <v/>
      </c>
      <c r="PQE116" s="77" t="str">
        <f t="shared" si="279"/>
        <v/>
      </c>
      <c r="PQF116" s="77" t="str">
        <f t="shared" si="279"/>
        <v/>
      </c>
      <c r="PQG116" s="77" t="str">
        <f t="shared" si="279"/>
        <v/>
      </c>
      <c r="PQH116" s="77" t="str">
        <f t="shared" si="279"/>
        <v/>
      </c>
      <c r="PQI116" s="77" t="str">
        <f t="shared" si="279"/>
        <v/>
      </c>
      <c r="PQJ116" s="77" t="str">
        <f t="shared" si="279"/>
        <v/>
      </c>
      <c r="PQK116" s="77" t="str">
        <f t="shared" si="279"/>
        <v/>
      </c>
      <c r="PQL116" s="77" t="str">
        <f t="shared" si="279"/>
        <v/>
      </c>
      <c r="PQM116" s="77" t="str">
        <f t="shared" si="279"/>
        <v/>
      </c>
      <c r="PQN116" s="77" t="str">
        <f t="shared" si="279"/>
        <v/>
      </c>
      <c r="PQO116" s="77" t="str">
        <f t="shared" si="279"/>
        <v/>
      </c>
      <c r="PQP116" s="77" t="str">
        <f t="shared" si="279"/>
        <v/>
      </c>
      <c r="PQQ116" s="77" t="str">
        <f t="shared" si="279"/>
        <v/>
      </c>
      <c r="PQR116" s="77" t="str">
        <f t="shared" si="279"/>
        <v/>
      </c>
      <c r="PQS116" s="77" t="str">
        <f t="shared" si="279"/>
        <v/>
      </c>
      <c r="PQT116" s="77" t="str">
        <f t="shared" si="279"/>
        <v/>
      </c>
      <c r="PQU116" s="77" t="str">
        <f t="shared" si="279"/>
        <v/>
      </c>
      <c r="PQV116" s="77" t="str">
        <f t="shared" si="279"/>
        <v/>
      </c>
      <c r="PQW116" s="77" t="str">
        <f t="shared" si="279"/>
        <v/>
      </c>
      <c r="PQX116" s="77" t="str">
        <f t="shared" si="279"/>
        <v/>
      </c>
      <c r="PQY116" s="77" t="str">
        <f t="shared" si="279"/>
        <v/>
      </c>
      <c r="PQZ116" s="77" t="str">
        <f t="shared" si="279"/>
        <v/>
      </c>
      <c r="PRA116" s="77" t="str">
        <f t="shared" si="279"/>
        <v/>
      </c>
      <c r="PRB116" s="77" t="str">
        <f t="shared" si="279"/>
        <v/>
      </c>
      <c r="PRC116" s="77" t="str">
        <f t="shared" si="279"/>
        <v/>
      </c>
      <c r="PRD116" s="77" t="str">
        <f t="shared" si="279"/>
        <v/>
      </c>
      <c r="PRE116" s="77" t="str">
        <f t="shared" si="279"/>
        <v/>
      </c>
      <c r="PRF116" s="77" t="str">
        <f t="shared" si="279"/>
        <v/>
      </c>
      <c r="PRG116" s="77" t="str">
        <f t="shared" si="279"/>
        <v/>
      </c>
      <c r="PRH116" s="77" t="str">
        <f t="shared" si="279"/>
        <v/>
      </c>
      <c r="PRI116" s="77" t="str">
        <f t="shared" si="279"/>
        <v/>
      </c>
      <c r="PRJ116" s="77" t="str">
        <f t="shared" si="279"/>
        <v/>
      </c>
      <c r="PRK116" s="77" t="str">
        <f t="shared" si="279"/>
        <v/>
      </c>
      <c r="PRL116" s="77" t="str">
        <f t="shared" si="279"/>
        <v/>
      </c>
      <c r="PRM116" s="77" t="str">
        <f t="shared" si="279"/>
        <v/>
      </c>
      <c r="PRN116" s="77" t="str">
        <f t="shared" si="279"/>
        <v/>
      </c>
      <c r="PRO116" s="77" t="str">
        <f t="shared" si="279"/>
        <v/>
      </c>
      <c r="PRP116" s="77" t="str">
        <f t="shared" si="279"/>
        <v/>
      </c>
      <c r="PRQ116" s="77" t="str">
        <f t="shared" si="279"/>
        <v/>
      </c>
      <c r="PRR116" s="77" t="str">
        <f t="shared" si="279"/>
        <v/>
      </c>
      <c r="PRS116" s="77" t="str">
        <f t="shared" ref="PRS116:PUD116" si="280">IF(ISNUMBER(outYear),PRS69+PRS75+PRS81+PRS113,"")</f>
        <v/>
      </c>
      <c r="PRT116" s="77" t="str">
        <f t="shared" si="280"/>
        <v/>
      </c>
      <c r="PRU116" s="77" t="str">
        <f t="shared" si="280"/>
        <v/>
      </c>
      <c r="PRV116" s="77" t="str">
        <f t="shared" si="280"/>
        <v/>
      </c>
      <c r="PRW116" s="77" t="str">
        <f t="shared" si="280"/>
        <v/>
      </c>
      <c r="PRX116" s="77" t="str">
        <f t="shared" si="280"/>
        <v/>
      </c>
      <c r="PRY116" s="77" t="str">
        <f t="shared" si="280"/>
        <v/>
      </c>
      <c r="PRZ116" s="77" t="str">
        <f t="shared" si="280"/>
        <v/>
      </c>
      <c r="PSA116" s="77" t="str">
        <f t="shared" si="280"/>
        <v/>
      </c>
      <c r="PSB116" s="77" t="str">
        <f t="shared" si="280"/>
        <v/>
      </c>
      <c r="PSC116" s="77" t="str">
        <f t="shared" si="280"/>
        <v/>
      </c>
      <c r="PSD116" s="77" t="str">
        <f t="shared" si="280"/>
        <v/>
      </c>
      <c r="PSE116" s="77" t="str">
        <f t="shared" si="280"/>
        <v/>
      </c>
      <c r="PSF116" s="77" t="str">
        <f t="shared" si="280"/>
        <v/>
      </c>
      <c r="PSG116" s="77" t="str">
        <f t="shared" si="280"/>
        <v/>
      </c>
      <c r="PSH116" s="77" t="str">
        <f t="shared" si="280"/>
        <v/>
      </c>
      <c r="PSI116" s="77" t="str">
        <f t="shared" si="280"/>
        <v/>
      </c>
      <c r="PSJ116" s="77" t="str">
        <f t="shared" si="280"/>
        <v/>
      </c>
      <c r="PSK116" s="77" t="str">
        <f t="shared" si="280"/>
        <v/>
      </c>
      <c r="PSL116" s="77" t="str">
        <f t="shared" si="280"/>
        <v/>
      </c>
      <c r="PSM116" s="77" t="str">
        <f t="shared" si="280"/>
        <v/>
      </c>
      <c r="PSN116" s="77" t="str">
        <f t="shared" si="280"/>
        <v/>
      </c>
      <c r="PSO116" s="77" t="str">
        <f t="shared" si="280"/>
        <v/>
      </c>
      <c r="PSP116" s="77" t="str">
        <f t="shared" si="280"/>
        <v/>
      </c>
      <c r="PSQ116" s="77" t="str">
        <f t="shared" si="280"/>
        <v/>
      </c>
      <c r="PSR116" s="77" t="str">
        <f t="shared" si="280"/>
        <v/>
      </c>
      <c r="PSS116" s="77" t="str">
        <f t="shared" si="280"/>
        <v/>
      </c>
      <c r="PST116" s="77" t="str">
        <f t="shared" si="280"/>
        <v/>
      </c>
      <c r="PSU116" s="77" t="str">
        <f t="shared" si="280"/>
        <v/>
      </c>
      <c r="PSV116" s="77" t="str">
        <f t="shared" si="280"/>
        <v/>
      </c>
      <c r="PSW116" s="77" t="str">
        <f t="shared" si="280"/>
        <v/>
      </c>
      <c r="PSX116" s="77" t="str">
        <f t="shared" si="280"/>
        <v/>
      </c>
      <c r="PSY116" s="77" t="str">
        <f t="shared" si="280"/>
        <v/>
      </c>
      <c r="PSZ116" s="77" t="str">
        <f t="shared" si="280"/>
        <v/>
      </c>
      <c r="PTA116" s="77" t="str">
        <f t="shared" si="280"/>
        <v/>
      </c>
      <c r="PTB116" s="77" t="str">
        <f t="shared" si="280"/>
        <v/>
      </c>
      <c r="PTC116" s="77" t="str">
        <f t="shared" si="280"/>
        <v/>
      </c>
      <c r="PTD116" s="77" t="str">
        <f t="shared" si="280"/>
        <v/>
      </c>
      <c r="PTE116" s="77" t="str">
        <f t="shared" si="280"/>
        <v/>
      </c>
      <c r="PTF116" s="77" t="str">
        <f t="shared" si="280"/>
        <v/>
      </c>
      <c r="PTG116" s="77" t="str">
        <f t="shared" si="280"/>
        <v/>
      </c>
      <c r="PTH116" s="77" t="str">
        <f t="shared" si="280"/>
        <v/>
      </c>
      <c r="PTI116" s="77" t="str">
        <f t="shared" si="280"/>
        <v/>
      </c>
      <c r="PTJ116" s="77" t="str">
        <f t="shared" si="280"/>
        <v/>
      </c>
      <c r="PTK116" s="77" t="str">
        <f t="shared" si="280"/>
        <v/>
      </c>
      <c r="PTL116" s="77" t="str">
        <f t="shared" si="280"/>
        <v/>
      </c>
      <c r="PTM116" s="77" t="str">
        <f t="shared" si="280"/>
        <v/>
      </c>
      <c r="PTN116" s="77" t="str">
        <f t="shared" si="280"/>
        <v/>
      </c>
      <c r="PTO116" s="77" t="str">
        <f t="shared" si="280"/>
        <v/>
      </c>
      <c r="PTP116" s="77" t="str">
        <f t="shared" si="280"/>
        <v/>
      </c>
      <c r="PTQ116" s="77" t="str">
        <f t="shared" si="280"/>
        <v/>
      </c>
      <c r="PTR116" s="77" t="str">
        <f t="shared" si="280"/>
        <v/>
      </c>
      <c r="PTS116" s="77" t="str">
        <f t="shared" si="280"/>
        <v/>
      </c>
      <c r="PTT116" s="77" t="str">
        <f t="shared" si="280"/>
        <v/>
      </c>
      <c r="PTU116" s="77" t="str">
        <f t="shared" si="280"/>
        <v/>
      </c>
      <c r="PTV116" s="77" t="str">
        <f t="shared" si="280"/>
        <v/>
      </c>
      <c r="PTW116" s="77" t="str">
        <f t="shared" si="280"/>
        <v/>
      </c>
      <c r="PTX116" s="77" t="str">
        <f t="shared" si="280"/>
        <v/>
      </c>
      <c r="PTY116" s="77" t="str">
        <f t="shared" si="280"/>
        <v/>
      </c>
      <c r="PTZ116" s="77" t="str">
        <f t="shared" si="280"/>
        <v/>
      </c>
      <c r="PUA116" s="77" t="str">
        <f t="shared" si="280"/>
        <v/>
      </c>
      <c r="PUB116" s="77" t="str">
        <f t="shared" si="280"/>
        <v/>
      </c>
      <c r="PUC116" s="77" t="str">
        <f t="shared" si="280"/>
        <v/>
      </c>
      <c r="PUD116" s="77" t="str">
        <f t="shared" si="280"/>
        <v/>
      </c>
      <c r="PUE116" s="77" t="str">
        <f t="shared" ref="PUE116:PWP116" si="281">IF(ISNUMBER(outYear),PUE69+PUE75+PUE81+PUE113,"")</f>
        <v/>
      </c>
      <c r="PUF116" s="77" t="str">
        <f t="shared" si="281"/>
        <v/>
      </c>
      <c r="PUG116" s="77" t="str">
        <f t="shared" si="281"/>
        <v/>
      </c>
      <c r="PUH116" s="77" t="str">
        <f t="shared" si="281"/>
        <v/>
      </c>
      <c r="PUI116" s="77" t="str">
        <f t="shared" si="281"/>
        <v/>
      </c>
      <c r="PUJ116" s="77" t="str">
        <f t="shared" si="281"/>
        <v/>
      </c>
      <c r="PUK116" s="77" t="str">
        <f t="shared" si="281"/>
        <v/>
      </c>
      <c r="PUL116" s="77" t="str">
        <f t="shared" si="281"/>
        <v/>
      </c>
      <c r="PUM116" s="77" t="str">
        <f t="shared" si="281"/>
        <v/>
      </c>
      <c r="PUN116" s="77" t="str">
        <f t="shared" si="281"/>
        <v/>
      </c>
      <c r="PUO116" s="77" t="str">
        <f t="shared" si="281"/>
        <v/>
      </c>
      <c r="PUP116" s="77" t="str">
        <f t="shared" si="281"/>
        <v/>
      </c>
      <c r="PUQ116" s="77" t="str">
        <f t="shared" si="281"/>
        <v/>
      </c>
      <c r="PUR116" s="77" t="str">
        <f t="shared" si="281"/>
        <v/>
      </c>
      <c r="PUS116" s="77" t="str">
        <f t="shared" si="281"/>
        <v/>
      </c>
      <c r="PUT116" s="77" t="str">
        <f t="shared" si="281"/>
        <v/>
      </c>
      <c r="PUU116" s="77" t="str">
        <f t="shared" si="281"/>
        <v/>
      </c>
      <c r="PUV116" s="77" t="str">
        <f t="shared" si="281"/>
        <v/>
      </c>
      <c r="PUW116" s="77" t="str">
        <f t="shared" si="281"/>
        <v/>
      </c>
      <c r="PUX116" s="77" t="str">
        <f t="shared" si="281"/>
        <v/>
      </c>
      <c r="PUY116" s="77" t="str">
        <f t="shared" si="281"/>
        <v/>
      </c>
      <c r="PUZ116" s="77" t="str">
        <f t="shared" si="281"/>
        <v/>
      </c>
      <c r="PVA116" s="77" t="str">
        <f t="shared" si="281"/>
        <v/>
      </c>
      <c r="PVB116" s="77" t="str">
        <f t="shared" si="281"/>
        <v/>
      </c>
      <c r="PVC116" s="77" t="str">
        <f t="shared" si="281"/>
        <v/>
      </c>
      <c r="PVD116" s="77" t="str">
        <f t="shared" si="281"/>
        <v/>
      </c>
      <c r="PVE116" s="77" t="str">
        <f t="shared" si="281"/>
        <v/>
      </c>
      <c r="PVF116" s="77" t="str">
        <f t="shared" si="281"/>
        <v/>
      </c>
      <c r="PVG116" s="77" t="str">
        <f t="shared" si="281"/>
        <v/>
      </c>
      <c r="PVH116" s="77" t="str">
        <f t="shared" si="281"/>
        <v/>
      </c>
      <c r="PVI116" s="77" t="str">
        <f t="shared" si="281"/>
        <v/>
      </c>
      <c r="PVJ116" s="77" t="str">
        <f t="shared" si="281"/>
        <v/>
      </c>
      <c r="PVK116" s="77" t="str">
        <f t="shared" si="281"/>
        <v/>
      </c>
      <c r="PVL116" s="77" t="str">
        <f t="shared" si="281"/>
        <v/>
      </c>
      <c r="PVM116" s="77" t="str">
        <f t="shared" si="281"/>
        <v/>
      </c>
      <c r="PVN116" s="77" t="str">
        <f t="shared" si="281"/>
        <v/>
      </c>
      <c r="PVO116" s="77" t="str">
        <f t="shared" si="281"/>
        <v/>
      </c>
      <c r="PVP116" s="77" t="str">
        <f t="shared" si="281"/>
        <v/>
      </c>
      <c r="PVQ116" s="77" t="str">
        <f t="shared" si="281"/>
        <v/>
      </c>
      <c r="PVR116" s="77" t="str">
        <f t="shared" si="281"/>
        <v/>
      </c>
      <c r="PVS116" s="77" t="str">
        <f t="shared" si="281"/>
        <v/>
      </c>
      <c r="PVT116" s="77" t="str">
        <f t="shared" si="281"/>
        <v/>
      </c>
      <c r="PVU116" s="77" t="str">
        <f t="shared" si="281"/>
        <v/>
      </c>
      <c r="PVV116" s="77" t="str">
        <f t="shared" si="281"/>
        <v/>
      </c>
      <c r="PVW116" s="77" t="str">
        <f t="shared" si="281"/>
        <v/>
      </c>
      <c r="PVX116" s="77" t="str">
        <f t="shared" si="281"/>
        <v/>
      </c>
      <c r="PVY116" s="77" t="str">
        <f t="shared" si="281"/>
        <v/>
      </c>
      <c r="PVZ116" s="77" t="str">
        <f t="shared" si="281"/>
        <v/>
      </c>
      <c r="PWA116" s="77" t="str">
        <f t="shared" si="281"/>
        <v/>
      </c>
      <c r="PWB116" s="77" t="str">
        <f t="shared" si="281"/>
        <v/>
      </c>
      <c r="PWC116" s="77" t="str">
        <f t="shared" si="281"/>
        <v/>
      </c>
      <c r="PWD116" s="77" t="str">
        <f t="shared" si="281"/>
        <v/>
      </c>
      <c r="PWE116" s="77" t="str">
        <f t="shared" si="281"/>
        <v/>
      </c>
      <c r="PWF116" s="77" t="str">
        <f t="shared" si="281"/>
        <v/>
      </c>
      <c r="PWG116" s="77" t="str">
        <f t="shared" si="281"/>
        <v/>
      </c>
      <c r="PWH116" s="77" t="str">
        <f t="shared" si="281"/>
        <v/>
      </c>
      <c r="PWI116" s="77" t="str">
        <f t="shared" si="281"/>
        <v/>
      </c>
      <c r="PWJ116" s="77" t="str">
        <f t="shared" si="281"/>
        <v/>
      </c>
      <c r="PWK116" s="77" t="str">
        <f t="shared" si="281"/>
        <v/>
      </c>
      <c r="PWL116" s="77" t="str">
        <f t="shared" si="281"/>
        <v/>
      </c>
      <c r="PWM116" s="77" t="str">
        <f t="shared" si="281"/>
        <v/>
      </c>
      <c r="PWN116" s="77" t="str">
        <f t="shared" si="281"/>
        <v/>
      </c>
      <c r="PWO116" s="77" t="str">
        <f t="shared" si="281"/>
        <v/>
      </c>
      <c r="PWP116" s="77" t="str">
        <f t="shared" si="281"/>
        <v/>
      </c>
      <c r="PWQ116" s="77" t="str">
        <f t="shared" ref="PWQ116:PZB116" si="282">IF(ISNUMBER(outYear),PWQ69+PWQ75+PWQ81+PWQ113,"")</f>
        <v/>
      </c>
      <c r="PWR116" s="77" t="str">
        <f t="shared" si="282"/>
        <v/>
      </c>
      <c r="PWS116" s="77" t="str">
        <f t="shared" si="282"/>
        <v/>
      </c>
      <c r="PWT116" s="77" t="str">
        <f t="shared" si="282"/>
        <v/>
      </c>
      <c r="PWU116" s="77" t="str">
        <f t="shared" si="282"/>
        <v/>
      </c>
      <c r="PWV116" s="77" t="str">
        <f t="shared" si="282"/>
        <v/>
      </c>
      <c r="PWW116" s="77" t="str">
        <f t="shared" si="282"/>
        <v/>
      </c>
      <c r="PWX116" s="77" t="str">
        <f t="shared" si="282"/>
        <v/>
      </c>
      <c r="PWY116" s="77" t="str">
        <f t="shared" si="282"/>
        <v/>
      </c>
      <c r="PWZ116" s="77" t="str">
        <f t="shared" si="282"/>
        <v/>
      </c>
      <c r="PXA116" s="77" t="str">
        <f t="shared" si="282"/>
        <v/>
      </c>
      <c r="PXB116" s="77" t="str">
        <f t="shared" si="282"/>
        <v/>
      </c>
      <c r="PXC116" s="77" t="str">
        <f t="shared" si="282"/>
        <v/>
      </c>
      <c r="PXD116" s="77" t="str">
        <f t="shared" si="282"/>
        <v/>
      </c>
      <c r="PXE116" s="77" t="str">
        <f t="shared" si="282"/>
        <v/>
      </c>
      <c r="PXF116" s="77" t="str">
        <f t="shared" si="282"/>
        <v/>
      </c>
      <c r="PXG116" s="77" t="str">
        <f t="shared" si="282"/>
        <v/>
      </c>
      <c r="PXH116" s="77" t="str">
        <f t="shared" si="282"/>
        <v/>
      </c>
      <c r="PXI116" s="77" t="str">
        <f t="shared" si="282"/>
        <v/>
      </c>
      <c r="PXJ116" s="77" t="str">
        <f t="shared" si="282"/>
        <v/>
      </c>
      <c r="PXK116" s="77" t="str">
        <f t="shared" si="282"/>
        <v/>
      </c>
      <c r="PXL116" s="77" t="str">
        <f t="shared" si="282"/>
        <v/>
      </c>
      <c r="PXM116" s="77" t="str">
        <f t="shared" si="282"/>
        <v/>
      </c>
      <c r="PXN116" s="77" t="str">
        <f t="shared" si="282"/>
        <v/>
      </c>
      <c r="PXO116" s="77" t="str">
        <f t="shared" si="282"/>
        <v/>
      </c>
      <c r="PXP116" s="77" t="str">
        <f t="shared" si="282"/>
        <v/>
      </c>
      <c r="PXQ116" s="77" t="str">
        <f t="shared" si="282"/>
        <v/>
      </c>
      <c r="PXR116" s="77" t="str">
        <f t="shared" si="282"/>
        <v/>
      </c>
      <c r="PXS116" s="77" t="str">
        <f t="shared" si="282"/>
        <v/>
      </c>
      <c r="PXT116" s="77" t="str">
        <f t="shared" si="282"/>
        <v/>
      </c>
      <c r="PXU116" s="77" t="str">
        <f t="shared" si="282"/>
        <v/>
      </c>
      <c r="PXV116" s="77" t="str">
        <f t="shared" si="282"/>
        <v/>
      </c>
      <c r="PXW116" s="77" t="str">
        <f t="shared" si="282"/>
        <v/>
      </c>
      <c r="PXX116" s="77" t="str">
        <f t="shared" si="282"/>
        <v/>
      </c>
      <c r="PXY116" s="77" t="str">
        <f t="shared" si="282"/>
        <v/>
      </c>
      <c r="PXZ116" s="77" t="str">
        <f t="shared" si="282"/>
        <v/>
      </c>
      <c r="PYA116" s="77" t="str">
        <f t="shared" si="282"/>
        <v/>
      </c>
      <c r="PYB116" s="77" t="str">
        <f t="shared" si="282"/>
        <v/>
      </c>
      <c r="PYC116" s="77" t="str">
        <f t="shared" si="282"/>
        <v/>
      </c>
      <c r="PYD116" s="77" t="str">
        <f t="shared" si="282"/>
        <v/>
      </c>
      <c r="PYE116" s="77" t="str">
        <f t="shared" si="282"/>
        <v/>
      </c>
      <c r="PYF116" s="77" t="str">
        <f t="shared" si="282"/>
        <v/>
      </c>
      <c r="PYG116" s="77" t="str">
        <f t="shared" si="282"/>
        <v/>
      </c>
      <c r="PYH116" s="77" t="str">
        <f t="shared" si="282"/>
        <v/>
      </c>
      <c r="PYI116" s="77" t="str">
        <f t="shared" si="282"/>
        <v/>
      </c>
      <c r="PYJ116" s="77" t="str">
        <f t="shared" si="282"/>
        <v/>
      </c>
      <c r="PYK116" s="77" t="str">
        <f t="shared" si="282"/>
        <v/>
      </c>
      <c r="PYL116" s="77" t="str">
        <f t="shared" si="282"/>
        <v/>
      </c>
      <c r="PYM116" s="77" t="str">
        <f t="shared" si="282"/>
        <v/>
      </c>
      <c r="PYN116" s="77" t="str">
        <f t="shared" si="282"/>
        <v/>
      </c>
      <c r="PYO116" s="77" t="str">
        <f t="shared" si="282"/>
        <v/>
      </c>
      <c r="PYP116" s="77" t="str">
        <f t="shared" si="282"/>
        <v/>
      </c>
      <c r="PYQ116" s="77" t="str">
        <f t="shared" si="282"/>
        <v/>
      </c>
      <c r="PYR116" s="77" t="str">
        <f t="shared" si="282"/>
        <v/>
      </c>
      <c r="PYS116" s="77" t="str">
        <f t="shared" si="282"/>
        <v/>
      </c>
      <c r="PYT116" s="77" t="str">
        <f t="shared" si="282"/>
        <v/>
      </c>
      <c r="PYU116" s="77" t="str">
        <f t="shared" si="282"/>
        <v/>
      </c>
      <c r="PYV116" s="77" t="str">
        <f t="shared" si="282"/>
        <v/>
      </c>
      <c r="PYW116" s="77" t="str">
        <f t="shared" si="282"/>
        <v/>
      </c>
      <c r="PYX116" s="77" t="str">
        <f t="shared" si="282"/>
        <v/>
      </c>
      <c r="PYY116" s="77" t="str">
        <f t="shared" si="282"/>
        <v/>
      </c>
      <c r="PYZ116" s="77" t="str">
        <f t="shared" si="282"/>
        <v/>
      </c>
      <c r="PZA116" s="77" t="str">
        <f t="shared" si="282"/>
        <v/>
      </c>
      <c r="PZB116" s="77" t="str">
        <f t="shared" si="282"/>
        <v/>
      </c>
      <c r="PZC116" s="77" t="str">
        <f t="shared" ref="PZC116:QBN116" si="283">IF(ISNUMBER(outYear),PZC69+PZC75+PZC81+PZC113,"")</f>
        <v/>
      </c>
      <c r="PZD116" s="77" t="str">
        <f t="shared" si="283"/>
        <v/>
      </c>
      <c r="PZE116" s="77" t="str">
        <f t="shared" si="283"/>
        <v/>
      </c>
      <c r="PZF116" s="77" t="str">
        <f t="shared" si="283"/>
        <v/>
      </c>
      <c r="PZG116" s="77" t="str">
        <f t="shared" si="283"/>
        <v/>
      </c>
      <c r="PZH116" s="77" t="str">
        <f t="shared" si="283"/>
        <v/>
      </c>
      <c r="PZI116" s="77" t="str">
        <f t="shared" si="283"/>
        <v/>
      </c>
      <c r="PZJ116" s="77" t="str">
        <f t="shared" si="283"/>
        <v/>
      </c>
      <c r="PZK116" s="77" t="str">
        <f t="shared" si="283"/>
        <v/>
      </c>
      <c r="PZL116" s="77" t="str">
        <f t="shared" si="283"/>
        <v/>
      </c>
      <c r="PZM116" s="77" t="str">
        <f t="shared" si="283"/>
        <v/>
      </c>
      <c r="PZN116" s="77" t="str">
        <f t="shared" si="283"/>
        <v/>
      </c>
      <c r="PZO116" s="77" t="str">
        <f t="shared" si="283"/>
        <v/>
      </c>
      <c r="PZP116" s="77" t="str">
        <f t="shared" si="283"/>
        <v/>
      </c>
      <c r="PZQ116" s="77" t="str">
        <f t="shared" si="283"/>
        <v/>
      </c>
      <c r="PZR116" s="77" t="str">
        <f t="shared" si="283"/>
        <v/>
      </c>
      <c r="PZS116" s="77" t="str">
        <f t="shared" si="283"/>
        <v/>
      </c>
      <c r="PZT116" s="77" t="str">
        <f t="shared" si="283"/>
        <v/>
      </c>
      <c r="PZU116" s="77" t="str">
        <f t="shared" si="283"/>
        <v/>
      </c>
      <c r="PZV116" s="77" t="str">
        <f t="shared" si="283"/>
        <v/>
      </c>
      <c r="PZW116" s="77" t="str">
        <f t="shared" si="283"/>
        <v/>
      </c>
      <c r="PZX116" s="77" t="str">
        <f t="shared" si="283"/>
        <v/>
      </c>
      <c r="PZY116" s="77" t="str">
        <f t="shared" si="283"/>
        <v/>
      </c>
      <c r="PZZ116" s="77" t="str">
        <f t="shared" si="283"/>
        <v/>
      </c>
      <c r="QAA116" s="77" t="str">
        <f t="shared" si="283"/>
        <v/>
      </c>
      <c r="QAB116" s="77" t="str">
        <f t="shared" si="283"/>
        <v/>
      </c>
      <c r="QAC116" s="77" t="str">
        <f t="shared" si="283"/>
        <v/>
      </c>
      <c r="QAD116" s="77" t="str">
        <f t="shared" si="283"/>
        <v/>
      </c>
      <c r="QAE116" s="77" t="str">
        <f t="shared" si="283"/>
        <v/>
      </c>
      <c r="QAF116" s="77" t="str">
        <f t="shared" si="283"/>
        <v/>
      </c>
      <c r="QAG116" s="77" t="str">
        <f t="shared" si="283"/>
        <v/>
      </c>
      <c r="QAH116" s="77" t="str">
        <f t="shared" si="283"/>
        <v/>
      </c>
      <c r="QAI116" s="77" t="str">
        <f t="shared" si="283"/>
        <v/>
      </c>
      <c r="QAJ116" s="77" t="str">
        <f t="shared" si="283"/>
        <v/>
      </c>
      <c r="QAK116" s="77" t="str">
        <f t="shared" si="283"/>
        <v/>
      </c>
      <c r="QAL116" s="77" t="str">
        <f t="shared" si="283"/>
        <v/>
      </c>
      <c r="QAM116" s="77" t="str">
        <f t="shared" si="283"/>
        <v/>
      </c>
      <c r="QAN116" s="77" t="str">
        <f t="shared" si="283"/>
        <v/>
      </c>
      <c r="QAO116" s="77" t="str">
        <f t="shared" si="283"/>
        <v/>
      </c>
      <c r="QAP116" s="77" t="str">
        <f t="shared" si="283"/>
        <v/>
      </c>
      <c r="QAQ116" s="77" t="str">
        <f t="shared" si="283"/>
        <v/>
      </c>
      <c r="QAR116" s="77" t="str">
        <f t="shared" si="283"/>
        <v/>
      </c>
      <c r="QAS116" s="77" t="str">
        <f t="shared" si="283"/>
        <v/>
      </c>
      <c r="QAT116" s="77" t="str">
        <f t="shared" si="283"/>
        <v/>
      </c>
      <c r="QAU116" s="77" t="str">
        <f t="shared" si="283"/>
        <v/>
      </c>
      <c r="QAV116" s="77" t="str">
        <f t="shared" si="283"/>
        <v/>
      </c>
      <c r="QAW116" s="77" t="str">
        <f t="shared" si="283"/>
        <v/>
      </c>
      <c r="QAX116" s="77" t="str">
        <f t="shared" si="283"/>
        <v/>
      </c>
      <c r="QAY116" s="77" t="str">
        <f t="shared" si="283"/>
        <v/>
      </c>
      <c r="QAZ116" s="77" t="str">
        <f t="shared" si="283"/>
        <v/>
      </c>
      <c r="QBA116" s="77" t="str">
        <f t="shared" si="283"/>
        <v/>
      </c>
      <c r="QBB116" s="77" t="str">
        <f t="shared" si="283"/>
        <v/>
      </c>
      <c r="QBC116" s="77" t="str">
        <f t="shared" si="283"/>
        <v/>
      </c>
      <c r="QBD116" s="77" t="str">
        <f t="shared" si="283"/>
        <v/>
      </c>
      <c r="QBE116" s="77" t="str">
        <f t="shared" si="283"/>
        <v/>
      </c>
      <c r="QBF116" s="77" t="str">
        <f t="shared" si="283"/>
        <v/>
      </c>
      <c r="QBG116" s="77" t="str">
        <f t="shared" si="283"/>
        <v/>
      </c>
      <c r="QBH116" s="77" t="str">
        <f t="shared" si="283"/>
        <v/>
      </c>
      <c r="QBI116" s="77" t="str">
        <f t="shared" si="283"/>
        <v/>
      </c>
      <c r="QBJ116" s="77" t="str">
        <f t="shared" si="283"/>
        <v/>
      </c>
      <c r="QBK116" s="77" t="str">
        <f t="shared" si="283"/>
        <v/>
      </c>
      <c r="QBL116" s="77" t="str">
        <f t="shared" si="283"/>
        <v/>
      </c>
      <c r="QBM116" s="77" t="str">
        <f t="shared" si="283"/>
        <v/>
      </c>
      <c r="QBN116" s="77" t="str">
        <f t="shared" si="283"/>
        <v/>
      </c>
      <c r="QBO116" s="77" t="str">
        <f t="shared" ref="QBO116:QDZ116" si="284">IF(ISNUMBER(outYear),QBO69+QBO75+QBO81+QBO113,"")</f>
        <v/>
      </c>
      <c r="QBP116" s="77" t="str">
        <f t="shared" si="284"/>
        <v/>
      </c>
      <c r="QBQ116" s="77" t="str">
        <f t="shared" si="284"/>
        <v/>
      </c>
      <c r="QBR116" s="77" t="str">
        <f t="shared" si="284"/>
        <v/>
      </c>
      <c r="QBS116" s="77" t="str">
        <f t="shared" si="284"/>
        <v/>
      </c>
      <c r="QBT116" s="77" t="str">
        <f t="shared" si="284"/>
        <v/>
      </c>
      <c r="QBU116" s="77" t="str">
        <f t="shared" si="284"/>
        <v/>
      </c>
      <c r="QBV116" s="77" t="str">
        <f t="shared" si="284"/>
        <v/>
      </c>
      <c r="QBW116" s="77" t="str">
        <f t="shared" si="284"/>
        <v/>
      </c>
      <c r="QBX116" s="77" t="str">
        <f t="shared" si="284"/>
        <v/>
      </c>
      <c r="QBY116" s="77" t="str">
        <f t="shared" si="284"/>
        <v/>
      </c>
      <c r="QBZ116" s="77" t="str">
        <f t="shared" si="284"/>
        <v/>
      </c>
      <c r="QCA116" s="77" t="str">
        <f t="shared" si="284"/>
        <v/>
      </c>
      <c r="QCB116" s="77" t="str">
        <f t="shared" si="284"/>
        <v/>
      </c>
      <c r="QCC116" s="77" t="str">
        <f t="shared" si="284"/>
        <v/>
      </c>
      <c r="QCD116" s="77" t="str">
        <f t="shared" si="284"/>
        <v/>
      </c>
      <c r="QCE116" s="77" t="str">
        <f t="shared" si="284"/>
        <v/>
      </c>
      <c r="QCF116" s="77" t="str">
        <f t="shared" si="284"/>
        <v/>
      </c>
      <c r="QCG116" s="77" t="str">
        <f t="shared" si="284"/>
        <v/>
      </c>
      <c r="QCH116" s="77" t="str">
        <f t="shared" si="284"/>
        <v/>
      </c>
      <c r="QCI116" s="77" t="str">
        <f t="shared" si="284"/>
        <v/>
      </c>
      <c r="QCJ116" s="77" t="str">
        <f t="shared" si="284"/>
        <v/>
      </c>
      <c r="QCK116" s="77" t="str">
        <f t="shared" si="284"/>
        <v/>
      </c>
      <c r="QCL116" s="77" t="str">
        <f t="shared" si="284"/>
        <v/>
      </c>
      <c r="QCM116" s="77" t="str">
        <f t="shared" si="284"/>
        <v/>
      </c>
      <c r="QCN116" s="77" t="str">
        <f t="shared" si="284"/>
        <v/>
      </c>
      <c r="QCO116" s="77" t="str">
        <f t="shared" si="284"/>
        <v/>
      </c>
      <c r="QCP116" s="77" t="str">
        <f t="shared" si="284"/>
        <v/>
      </c>
      <c r="QCQ116" s="77" t="str">
        <f t="shared" si="284"/>
        <v/>
      </c>
      <c r="QCR116" s="77" t="str">
        <f t="shared" si="284"/>
        <v/>
      </c>
      <c r="QCS116" s="77" t="str">
        <f t="shared" si="284"/>
        <v/>
      </c>
      <c r="QCT116" s="77" t="str">
        <f t="shared" si="284"/>
        <v/>
      </c>
      <c r="QCU116" s="77" t="str">
        <f t="shared" si="284"/>
        <v/>
      </c>
      <c r="QCV116" s="77" t="str">
        <f t="shared" si="284"/>
        <v/>
      </c>
      <c r="QCW116" s="77" t="str">
        <f t="shared" si="284"/>
        <v/>
      </c>
      <c r="QCX116" s="77" t="str">
        <f t="shared" si="284"/>
        <v/>
      </c>
      <c r="QCY116" s="77" t="str">
        <f t="shared" si="284"/>
        <v/>
      </c>
      <c r="QCZ116" s="77" t="str">
        <f t="shared" si="284"/>
        <v/>
      </c>
      <c r="QDA116" s="77" t="str">
        <f t="shared" si="284"/>
        <v/>
      </c>
      <c r="QDB116" s="77" t="str">
        <f t="shared" si="284"/>
        <v/>
      </c>
      <c r="QDC116" s="77" t="str">
        <f t="shared" si="284"/>
        <v/>
      </c>
      <c r="QDD116" s="77" t="str">
        <f t="shared" si="284"/>
        <v/>
      </c>
      <c r="QDE116" s="77" t="str">
        <f t="shared" si="284"/>
        <v/>
      </c>
      <c r="QDF116" s="77" t="str">
        <f t="shared" si="284"/>
        <v/>
      </c>
      <c r="QDG116" s="77" t="str">
        <f t="shared" si="284"/>
        <v/>
      </c>
      <c r="QDH116" s="77" t="str">
        <f t="shared" si="284"/>
        <v/>
      </c>
      <c r="QDI116" s="77" t="str">
        <f t="shared" si="284"/>
        <v/>
      </c>
      <c r="QDJ116" s="77" t="str">
        <f t="shared" si="284"/>
        <v/>
      </c>
      <c r="QDK116" s="77" t="str">
        <f t="shared" si="284"/>
        <v/>
      </c>
      <c r="QDL116" s="77" t="str">
        <f t="shared" si="284"/>
        <v/>
      </c>
      <c r="QDM116" s="77" t="str">
        <f t="shared" si="284"/>
        <v/>
      </c>
      <c r="QDN116" s="77" t="str">
        <f t="shared" si="284"/>
        <v/>
      </c>
      <c r="QDO116" s="77" t="str">
        <f t="shared" si="284"/>
        <v/>
      </c>
      <c r="QDP116" s="77" t="str">
        <f t="shared" si="284"/>
        <v/>
      </c>
      <c r="QDQ116" s="77" t="str">
        <f t="shared" si="284"/>
        <v/>
      </c>
      <c r="QDR116" s="77" t="str">
        <f t="shared" si="284"/>
        <v/>
      </c>
      <c r="QDS116" s="77" t="str">
        <f t="shared" si="284"/>
        <v/>
      </c>
      <c r="QDT116" s="77" t="str">
        <f t="shared" si="284"/>
        <v/>
      </c>
      <c r="QDU116" s="77" t="str">
        <f t="shared" si="284"/>
        <v/>
      </c>
      <c r="QDV116" s="77" t="str">
        <f t="shared" si="284"/>
        <v/>
      </c>
      <c r="QDW116" s="77" t="str">
        <f t="shared" si="284"/>
        <v/>
      </c>
      <c r="QDX116" s="77" t="str">
        <f t="shared" si="284"/>
        <v/>
      </c>
      <c r="QDY116" s="77" t="str">
        <f t="shared" si="284"/>
        <v/>
      </c>
      <c r="QDZ116" s="77" t="str">
        <f t="shared" si="284"/>
        <v/>
      </c>
      <c r="QEA116" s="77" t="str">
        <f t="shared" ref="QEA116:QGL116" si="285">IF(ISNUMBER(outYear),QEA69+QEA75+QEA81+QEA113,"")</f>
        <v/>
      </c>
      <c r="QEB116" s="77" t="str">
        <f t="shared" si="285"/>
        <v/>
      </c>
      <c r="QEC116" s="77" t="str">
        <f t="shared" si="285"/>
        <v/>
      </c>
      <c r="QED116" s="77" t="str">
        <f t="shared" si="285"/>
        <v/>
      </c>
      <c r="QEE116" s="77" t="str">
        <f t="shared" si="285"/>
        <v/>
      </c>
      <c r="QEF116" s="77" t="str">
        <f t="shared" si="285"/>
        <v/>
      </c>
      <c r="QEG116" s="77" t="str">
        <f t="shared" si="285"/>
        <v/>
      </c>
      <c r="QEH116" s="77" t="str">
        <f t="shared" si="285"/>
        <v/>
      </c>
      <c r="QEI116" s="77" t="str">
        <f t="shared" si="285"/>
        <v/>
      </c>
      <c r="QEJ116" s="77" t="str">
        <f t="shared" si="285"/>
        <v/>
      </c>
      <c r="QEK116" s="77" t="str">
        <f t="shared" si="285"/>
        <v/>
      </c>
      <c r="QEL116" s="77" t="str">
        <f t="shared" si="285"/>
        <v/>
      </c>
      <c r="QEM116" s="77" t="str">
        <f t="shared" si="285"/>
        <v/>
      </c>
      <c r="QEN116" s="77" t="str">
        <f t="shared" si="285"/>
        <v/>
      </c>
      <c r="QEO116" s="77" t="str">
        <f t="shared" si="285"/>
        <v/>
      </c>
      <c r="QEP116" s="77" t="str">
        <f t="shared" si="285"/>
        <v/>
      </c>
      <c r="QEQ116" s="77" t="str">
        <f t="shared" si="285"/>
        <v/>
      </c>
      <c r="QER116" s="77" t="str">
        <f t="shared" si="285"/>
        <v/>
      </c>
      <c r="QES116" s="77" t="str">
        <f t="shared" si="285"/>
        <v/>
      </c>
      <c r="QET116" s="77" t="str">
        <f t="shared" si="285"/>
        <v/>
      </c>
      <c r="QEU116" s="77" t="str">
        <f t="shared" si="285"/>
        <v/>
      </c>
      <c r="QEV116" s="77" t="str">
        <f t="shared" si="285"/>
        <v/>
      </c>
      <c r="QEW116" s="77" t="str">
        <f t="shared" si="285"/>
        <v/>
      </c>
      <c r="QEX116" s="77" t="str">
        <f t="shared" si="285"/>
        <v/>
      </c>
      <c r="QEY116" s="77" t="str">
        <f t="shared" si="285"/>
        <v/>
      </c>
      <c r="QEZ116" s="77" t="str">
        <f t="shared" si="285"/>
        <v/>
      </c>
      <c r="QFA116" s="77" t="str">
        <f t="shared" si="285"/>
        <v/>
      </c>
      <c r="QFB116" s="77" t="str">
        <f t="shared" si="285"/>
        <v/>
      </c>
      <c r="QFC116" s="77" t="str">
        <f t="shared" si="285"/>
        <v/>
      </c>
      <c r="QFD116" s="77" t="str">
        <f t="shared" si="285"/>
        <v/>
      </c>
      <c r="QFE116" s="77" t="str">
        <f t="shared" si="285"/>
        <v/>
      </c>
      <c r="QFF116" s="77" t="str">
        <f t="shared" si="285"/>
        <v/>
      </c>
      <c r="QFG116" s="77" t="str">
        <f t="shared" si="285"/>
        <v/>
      </c>
      <c r="QFH116" s="77" t="str">
        <f t="shared" si="285"/>
        <v/>
      </c>
      <c r="QFI116" s="77" t="str">
        <f t="shared" si="285"/>
        <v/>
      </c>
      <c r="QFJ116" s="77" t="str">
        <f t="shared" si="285"/>
        <v/>
      </c>
      <c r="QFK116" s="77" t="str">
        <f t="shared" si="285"/>
        <v/>
      </c>
      <c r="QFL116" s="77" t="str">
        <f t="shared" si="285"/>
        <v/>
      </c>
      <c r="QFM116" s="77" t="str">
        <f t="shared" si="285"/>
        <v/>
      </c>
      <c r="QFN116" s="77" t="str">
        <f t="shared" si="285"/>
        <v/>
      </c>
      <c r="QFO116" s="77" t="str">
        <f t="shared" si="285"/>
        <v/>
      </c>
      <c r="QFP116" s="77" t="str">
        <f t="shared" si="285"/>
        <v/>
      </c>
      <c r="QFQ116" s="77" t="str">
        <f t="shared" si="285"/>
        <v/>
      </c>
      <c r="QFR116" s="77" t="str">
        <f t="shared" si="285"/>
        <v/>
      </c>
      <c r="QFS116" s="77" t="str">
        <f t="shared" si="285"/>
        <v/>
      </c>
      <c r="QFT116" s="77" t="str">
        <f t="shared" si="285"/>
        <v/>
      </c>
      <c r="QFU116" s="77" t="str">
        <f t="shared" si="285"/>
        <v/>
      </c>
      <c r="QFV116" s="77" t="str">
        <f t="shared" si="285"/>
        <v/>
      </c>
      <c r="QFW116" s="77" t="str">
        <f t="shared" si="285"/>
        <v/>
      </c>
      <c r="QFX116" s="77" t="str">
        <f t="shared" si="285"/>
        <v/>
      </c>
      <c r="QFY116" s="77" t="str">
        <f t="shared" si="285"/>
        <v/>
      </c>
      <c r="QFZ116" s="77" t="str">
        <f t="shared" si="285"/>
        <v/>
      </c>
      <c r="QGA116" s="77" t="str">
        <f t="shared" si="285"/>
        <v/>
      </c>
      <c r="QGB116" s="77" t="str">
        <f t="shared" si="285"/>
        <v/>
      </c>
      <c r="QGC116" s="77" t="str">
        <f t="shared" si="285"/>
        <v/>
      </c>
      <c r="QGD116" s="77" t="str">
        <f t="shared" si="285"/>
        <v/>
      </c>
      <c r="QGE116" s="77" t="str">
        <f t="shared" si="285"/>
        <v/>
      </c>
      <c r="QGF116" s="77" t="str">
        <f t="shared" si="285"/>
        <v/>
      </c>
      <c r="QGG116" s="77" t="str">
        <f t="shared" si="285"/>
        <v/>
      </c>
      <c r="QGH116" s="77" t="str">
        <f t="shared" si="285"/>
        <v/>
      </c>
      <c r="QGI116" s="77" t="str">
        <f t="shared" si="285"/>
        <v/>
      </c>
      <c r="QGJ116" s="77" t="str">
        <f t="shared" si="285"/>
        <v/>
      </c>
      <c r="QGK116" s="77" t="str">
        <f t="shared" si="285"/>
        <v/>
      </c>
      <c r="QGL116" s="77" t="str">
        <f t="shared" si="285"/>
        <v/>
      </c>
      <c r="QGM116" s="77" t="str">
        <f t="shared" ref="QGM116:QIX116" si="286">IF(ISNUMBER(outYear),QGM69+QGM75+QGM81+QGM113,"")</f>
        <v/>
      </c>
      <c r="QGN116" s="77" t="str">
        <f t="shared" si="286"/>
        <v/>
      </c>
      <c r="QGO116" s="77" t="str">
        <f t="shared" si="286"/>
        <v/>
      </c>
      <c r="QGP116" s="77" t="str">
        <f t="shared" si="286"/>
        <v/>
      </c>
      <c r="QGQ116" s="77" t="str">
        <f t="shared" si="286"/>
        <v/>
      </c>
      <c r="QGR116" s="77" t="str">
        <f t="shared" si="286"/>
        <v/>
      </c>
      <c r="QGS116" s="77" t="str">
        <f t="shared" si="286"/>
        <v/>
      </c>
      <c r="QGT116" s="77" t="str">
        <f t="shared" si="286"/>
        <v/>
      </c>
      <c r="QGU116" s="77" t="str">
        <f t="shared" si="286"/>
        <v/>
      </c>
      <c r="QGV116" s="77" t="str">
        <f t="shared" si="286"/>
        <v/>
      </c>
      <c r="QGW116" s="77" t="str">
        <f t="shared" si="286"/>
        <v/>
      </c>
      <c r="QGX116" s="77" t="str">
        <f t="shared" si="286"/>
        <v/>
      </c>
      <c r="QGY116" s="77" t="str">
        <f t="shared" si="286"/>
        <v/>
      </c>
      <c r="QGZ116" s="77" t="str">
        <f t="shared" si="286"/>
        <v/>
      </c>
      <c r="QHA116" s="77" t="str">
        <f t="shared" si="286"/>
        <v/>
      </c>
      <c r="QHB116" s="77" t="str">
        <f t="shared" si="286"/>
        <v/>
      </c>
      <c r="QHC116" s="77" t="str">
        <f t="shared" si="286"/>
        <v/>
      </c>
      <c r="QHD116" s="77" t="str">
        <f t="shared" si="286"/>
        <v/>
      </c>
      <c r="QHE116" s="77" t="str">
        <f t="shared" si="286"/>
        <v/>
      </c>
      <c r="QHF116" s="77" t="str">
        <f t="shared" si="286"/>
        <v/>
      </c>
      <c r="QHG116" s="77" t="str">
        <f t="shared" si="286"/>
        <v/>
      </c>
      <c r="QHH116" s="77" t="str">
        <f t="shared" si="286"/>
        <v/>
      </c>
      <c r="QHI116" s="77" t="str">
        <f t="shared" si="286"/>
        <v/>
      </c>
      <c r="QHJ116" s="77" t="str">
        <f t="shared" si="286"/>
        <v/>
      </c>
      <c r="QHK116" s="77" t="str">
        <f t="shared" si="286"/>
        <v/>
      </c>
      <c r="QHL116" s="77" t="str">
        <f t="shared" si="286"/>
        <v/>
      </c>
      <c r="QHM116" s="77" t="str">
        <f t="shared" si="286"/>
        <v/>
      </c>
      <c r="QHN116" s="77" t="str">
        <f t="shared" si="286"/>
        <v/>
      </c>
      <c r="QHO116" s="77" t="str">
        <f t="shared" si="286"/>
        <v/>
      </c>
      <c r="QHP116" s="77" t="str">
        <f t="shared" si="286"/>
        <v/>
      </c>
      <c r="QHQ116" s="77" t="str">
        <f t="shared" si="286"/>
        <v/>
      </c>
      <c r="QHR116" s="77" t="str">
        <f t="shared" si="286"/>
        <v/>
      </c>
      <c r="QHS116" s="77" t="str">
        <f t="shared" si="286"/>
        <v/>
      </c>
      <c r="QHT116" s="77" t="str">
        <f t="shared" si="286"/>
        <v/>
      </c>
      <c r="QHU116" s="77" t="str">
        <f t="shared" si="286"/>
        <v/>
      </c>
      <c r="QHV116" s="77" t="str">
        <f t="shared" si="286"/>
        <v/>
      </c>
      <c r="QHW116" s="77" t="str">
        <f t="shared" si="286"/>
        <v/>
      </c>
      <c r="QHX116" s="77" t="str">
        <f t="shared" si="286"/>
        <v/>
      </c>
      <c r="QHY116" s="77" t="str">
        <f t="shared" si="286"/>
        <v/>
      </c>
      <c r="QHZ116" s="77" t="str">
        <f t="shared" si="286"/>
        <v/>
      </c>
      <c r="QIA116" s="77" t="str">
        <f t="shared" si="286"/>
        <v/>
      </c>
      <c r="QIB116" s="77" t="str">
        <f t="shared" si="286"/>
        <v/>
      </c>
      <c r="QIC116" s="77" t="str">
        <f t="shared" si="286"/>
        <v/>
      </c>
      <c r="QID116" s="77" t="str">
        <f t="shared" si="286"/>
        <v/>
      </c>
      <c r="QIE116" s="77" t="str">
        <f t="shared" si="286"/>
        <v/>
      </c>
      <c r="QIF116" s="77" t="str">
        <f t="shared" si="286"/>
        <v/>
      </c>
      <c r="QIG116" s="77" t="str">
        <f t="shared" si="286"/>
        <v/>
      </c>
      <c r="QIH116" s="77" t="str">
        <f t="shared" si="286"/>
        <v/>
      </c>
      <c r="QII116" s="77" t="str">
        <f t="shared" si="286"/>
        <v/>
      </c>
      <c r="QIJ116" s="77" t="str">
        <f t="shared" si="286"/>
        <v/>
      </c>
      <c r="QIK116" s="77" t="str">
        <f t="shared" si="286"/>
        <v/>
      </c>
      <c r="QIL116" s="77" t="str">
        <f t="shared" si="286"/>
        <v/>
      </c>
      <c r="QIM116" s="77" t="str">
        <f t="shared" si="286"/>
        <v/>
      </c>
      <c r="QIN116" s="77" t="str">
        <f t="shared" si="286"/>
        <v/>
      </c>
      <c r="QIO116" s="77" t="str">
        <f t="shared" si="286"/>
        <v/>
      </c>
      <c r="QIP116" s="77" t="str">
        <f t="shared" si="286"/>
        <v/>
      </c>
      <c r="QIQ116" s="77" t="str">
        <f t="shared" si="286"/>
        <v/>
      </c>
      <c r="QIR116" s="77" t="str">
        <f t="shared" si="286"/>
        <v/>
      </c>
      <c r="QIS116" s="77" t="str">
        <f t="shared" si="286"/>
        <v/>
      </c>
      <c r="QIT116" s="77" t="str">
        <f t="shared" si="286"/>
        <v/>
      </c>
      <c r="QIU116" s="77" t="str">
        <f t="shared" si="286"/>
        <v/>
      </c>
      <c r="QIV116" s="77" t="str">
        <f t="shared" si="286"/>
        <v/>
      </c>
      <c r="QIW116" s="77" t="str">
        <f t="shared" si="286"/>
        <v/>
      </c>
      <c r="QIX116" s="77" t="str">
        <f t="shared" si="286"/>
        <v/>
      </c>
      <c r="QIY116" s="77" t="str">
        <f t="shared" ref="QIY116:QLJ116" si="287">IF(ISNUMBER(outYear),QIY69+QIY75+QIY81+QIY113,"")</f>
        <v/>
      </c>
      <c r="QIZ116" s="77" t="str">
        <f t="shared" si="287"/>
        <v/>
      </c>
      <c r="QJA116" s="77" t="str">
        <f t="shared" si="287"/>
        <v/>
      </c>
      <c r="QJB116" s="77" t="str">
        <f t="shared" si="287"/>
        <v/>
      </c>
      <c r="QJC116" s="77" t="str">
        <f t="shared" si="287"/>
        <v/>
      </c>
      <c r="QJD116" s="77" t="str">
        <f t="shared" si="287"/>
        <v/>
      </c>
      <c r="QJE116" s="77" t="str">
        <f t="shared" si="287"/>
        <v/>
      </c>
      <c r="QJF116" s="77" t="str">
        <f t="shared" si="287"/>
        <v/>
      </c>
      <c r="QJG116" s="77" t="str">
        <f t="shared" si="287"/>
        <v/>
      </c>
      <c r="QJH116" s="77" t="str">
        <f t="shared" si="287"/>
        <v/>
      </c>
      <c r="QJI116" s="77" t="str">
        <f t="shared" si="287"/>
        <v/>
      </c>
      <c r="QJJ116" s="77" t="str">
        <f t="shared" si="287"/>
        <v/>
      </c>
      <c r="QJK116" s="77" t="str">
        <f t="shared" si="287"/>
        <v/>
      </c>
      <c r="QJL116" s="77" t="str">
        <f t="shared" si="287"/>
        <v/>
      </c>
      <c r="QJM116" s="77" t="str">
        <f t="shared" si="287"/>
        <v/>
      </c>
      <c r="QJN116" s="77" t="str">
        <f t="shared" si="287"/>
        <v/>
      </c>
      <c r="QJO116" s="77" t="str">
        <f t="shared" si="287"/>
        <v/>
      </c>
      <c r="QJP116" s="77" t="str">
        <f t="shared" si="287"/>
        <v/>
      </c>
      <c r="QJQ116" s="77" t="str">
        <f t="shared" si="287"/>
        <v/>
      </c>
      <c r="QJR116" s="77" t="str">
        <f t="shared" si="287"/>
        <v/>
      </c>
      <c r="QJS116" s="77" t="str">
        <f t="shared" si="287"/>
        <v/>
      </c>
      <c r="QJT116" s="77" t="str">
        <f t="shared" si="287"/>
        <v/>
      </c>
      <c r="QJU116" s="77" t="str">
        <f t="shared" si="287"/>
        <v/>
      </c>
      <c r="QJV116" s="77" t="str">
        <f t="shared" si="287"/>
        <v/>
      </c>
      <c r="QJW116" s="77" t="str">
        <f t="shared" si="287"/>
        <v/>
      </c>
      <c r="QJX116" s="77" t="str">
        <f t="shared" si="287"/>
        <v/>
      </c>
      <c r="QJY116" s="77" t="str">
        <f t="shared" si="287"/>
        <v/>
      </c>
      <c r="QJZ116" s="77" t="str">
        <f t="shared" si="287"/>
        <v/>
      </c>
      <c r="QKA116" s="77" t="str">
        <f t="shared" si="287"/>
        <v/>
      </c>
      <c r="QKB116" s="77" t="str">
        <f t="shared" si="287"/>
        <v/>
      </c>
      <c r="QKC116" s="77" t="str">
        <f t="shared" si="287"/>
        <v/>
      </c>
      <c r="QKD116" s="77" t="str">
        <f t="shared" si="287"/>
        <v/>
      </c>
      <c r="QKE116" s="77" t="str">
        <f t="shared" si="287"/>
        <v/>
      </c>
      <c r="QKF116" s="77" t="str">
        <f t="shared" si="287"/>
        <v/>
      </c>
      <c r="QKG116" s="77" t="str">
        <f t="shared" si="287"/>
        <v/>
      </c>
      <c r="QKH116" s="77" t="str">
        <f t="shared" si="287"/>
        <v/>
      </c>
      <c r="QKI116" s="77" t="str">
        <f t="shared" si="287"/>
        <v/>
      </c>
      <c r="QKJ116" s="77" t="str">
        <f t="shared" si="287"/>
        <v/>
      </c>
      <c r="QKK116" s="77" t="str">
        <f t="shared" si="287"/>
        <v/>
      </c>
      <c r="QKL116" s="77" t="str">
        <f t="shared" si="287"/>
        <v/>
      </c>
      <c r="QKM116" s="77" t="str">
        <f t="shared" si="287"/>
        <v/>
      </c>
      <c r="QKN116" s="77" t="str">
        <f t="shared" si="287"/>
        <v/>
      </c>
      <c r="QKO116" s="77" t="str">
        <f t="shared" si="287"/>
        <v/>
      </c>
      <c r="QKP116" s="77" t="str">
        <f t="shared" si="287"/>
        <v/>
      </c>
      <c r="QKQ116" s="77" t="str">
        <f t="shared" si="287"/>
        <v/>
      </c>
      <c r="QKR116" s="77" t="str">
        <f t="shared" si="287"/>
        <v/>
      </c>
      <c r="QKS116" s="77" t="str">
        <f t="shared" si="287"/>
        <v/>
      </c>
      <c r="QKT116" s="77" t="str">
        <f t="shared" si="287"/>
        <v/>
      </c>
      <c r="QKU116" s="77" t="str">
        <f t="shared" si="287"/>
        <v/>
      </c>
      <c r="QKV116" s="77" t="str">
        <f t="shared" si="287"/>
        <v/>
      </c>
      <c r="QKW116" s="77" t="str">
        <f t="shared" si="287"/>
        <v/>
      </c>
      <c r="QKX116" s="77" t="str">
        <f t="shared" si="287"/>
        <v/>
      </c>
      <c r="QKY116" s="77" t="str">
        <f t="shared" si="287"/>
        <v/>
      </c>
      <c r="QKZ116" s="77" t="str">
        <f t="shared" si="287"/>
        <v/>
      </c>
      <c r="QLA116" s="77" t="str">
        <f t="shared" si="287"/>
        <v/>
      </c>
      <c r="QLB116" s="77" t="str">
        <f t="shared" si="287"/>
        <v/>
      </c>
      <c r="QLC116" s="77" t="str">
        <f t="shared" si="287"/>
        <v/>
      </c>
      <c r="QLD116" s="77" t="str">
        <f t="shared" si="287"/>
        <v/>
      </c>
      <c r="QLE116" s="77" t="str">
        <f t="shared" si="287"/>
        <v/>
      </c>
      <c r="QLF116" s="77" t="str">
        <f t="shared" si="287"/>
        <v/>
      </c>
      <c r="QLG116" s="77" t="str">
        <f t="shared" si="287"/>
        <v/>
      </c>
      <c r="QLH116" s="77" t="str">
        <f t="shared" si="287"/>
        <v/>
      </c>
      <c r="QLI116" s="77" t="str">
        <f t="shared" si="287"/>
        <v/>
      </c>
      <c r="QLJ116" s="77" t="str">
        <f t="shared" si="287"/>
        <v/>
      </c>
      <c r="QLK116" s="77" t="str">
        <f t="shared" ref="QLK116:QNV116" si="288">IF(ISNUMBER(outYear),QLK69+QLK75+QLK81+QLK113,"")</f>
        <v/>
      </c>
      <c r="QLL116" s="77" t="str">
        <f t="shared" si="288"/>
        <v/>
      </c>
      <c r="QLM116" s="77" t="str">
        <f t="shared" si="288"/>
        <v/>
      </c>
      <c r="QLN116" s="77" t="str">
        <f t="shared" si="288"/>
        <v/>
      </c>
      <c r="QLO116" s="77" t="str">
        <f t="shared" si="288"/>
        <v/>
      </c>
      <c r="QLP116" s="77" t="str">
        <f t="shared" si="288"/>
        <v/>
      </c>
      <c r="QLQ116" s="77" t="str">
        <f t="shared" si="288"/>
        <v/>
      </c>
      <c r="QLR116" s="77" t="str">
        <f t="shared" si="288"/>
        <v/>
      </c>
      <c r="QLS116" s="77" t="str">
        <f t="shared" si="288"/>
        <v/>
      </c>
      <c r="QLT116" s="77" t="str">
        <f t="shared" si="288"/>
        <v/>
      </c>
      <c r="QLU116" s="77" t="str">
        <f t="shared" si="288"/>
        <v/>
      </c>
      <c r="QLV116" s="77" t="str">
        <f t="shared" si="288"/>
        <v/>
      </c>
      <c r="QLW116" s="77" t="str">
        <f t="shared" si="288"/>
        <v/>
      </c>
      <c r="QLX116" s="77" t="str">
        <f t="shared" si="288"/>
        <v/>
      </c>
      <c r="QLY116" s="77" t="str">
        <f t="shared" si="288"/>
        <v/>
      </c>
      <c r="QLZ116" s="77" t="str">
        <f t="shared" si="288"/>
        <v/>
      </c>
      <c r="QMA116" s="77" t="str">
        <f t="shared" si="288"/>
        <v/>
      </c>
      <c r="QMB116" s="77" t="str">
        <f t="shared" si="288"/>
        <v/>
      </c>
      <c r="QMC116" s="77" t="str">
        <f t="shared" si="288"/>
        <v/>
      </c>
      <c r="QMD116" s="77" t="str">
        <f t="shared" si="288"/>
        <v/>
      </c>
      <c r="QME116" s="77" t="str">
        <f t="shared" si="288"/>
        <v/>
      </c>
      <c r="QMF116" s="77" t="str">
        <f t="shared" si="288"/>
        <v/>
      </c>
      <c r="QMG116" s="77" t="str">
        <f t="shared" si="288"/>
        <v/>
      </c>
      <c r="QMH116" s="77" t="str">
        <f t="shared" si="288"/>
        <v/>
      </c>
      <c r="QMI116" s="77" t="str">
        <f t="shared" si="288"/>
        <v/>
      </c>
      <c r="QMJ116" s="77" t="str">
        <f t="shared" si="288"/>
        <v/>
      </c>
      <c r="QMK116" s="77" t="str">
        <f t="shared" si="288"/>
        <v/>
      </c>
      <c r="QML116" s="77" t="str">
        <f t="shared" si="288"/>
        <v/>
      </c>
      <c r="QMM116" s="77" t="str">
        <f t="shared" si="288"/>
        <v/>
      </c>
      <c r="QMN116" s="77" t="str">
        <f t="shared" si="288"/>
        <v/>
      </c>
      <c r="QMO116" s="77" t="str">
        <f t="shared" si="288"/>
        <v/>
      </c>
      <c r="QMP116" s="77" t="str">
        <f t="shared" si="288"/>
        <v/>
      </c>
      <c r="QMQ116" s="77" t="str">
        <f t="shared" si="288"/>
        <v/>
      </c>
      <c r="QMR116" s="77" t="str">
        <f t="shared" si="288"/>
        <v/>
      </c>
      <c r="QMS116" s="77" t="str">
        <f t="shared" si="288"/>
        <v/>
      </c>
      <c r="QMT116" s="77" t="str">
        <f t="shared" si="288"/>
        <v/>
      </c>
      <c r="QMU116" s="77" t="str">
        <f t="shared" si="288"/>
        <v/>
      </c>
      <c r="QMV116" s="77" t="str">
        <f t="shared" si="288"/>
        <v/>
      </c>
      <c r="QMW116" s="77" t="str">
        <f t="shared" si="288"/>
        <v/>
      </c>
      <c r="QMX116" s="77" t="str">
        <f t="shared" si="288"/>
        <v/>
      </c>
      <c r="QMY116" s="77" t="str">
        <f t="shared" si="288"/>
        <v/>
      </c>
      <c r="QMZ116" s="77" t="str">
        <f t="shared" si="288"/>
        <v/>
      </c>
      <c r="QNA116" s="77" t="str">
        <f t="shared" si="288"/>
        <v/>
      </c>
      <c r="QNB116" s="77" t="str">
        <f t="shared" si="288"/>
        <v/>
      </c>
      <c r="QNC116" s="77" t="str">
        <f t="shared" si="288"/>
        <v/>
      </c>
      <c r="QND116" s="77" t="str">
        <f t="shared" si="288"/>
        <v/>
      </c>
      <c r="QNE116" s="77" t="str">
        <f t="shared" si="288"/>
        <v/>
      </c>
      <c r="QNF116" s="77" t="str">
        <f t="shared" si="288"/>
        <v/>
      </c>
      <c r="QNG116" s="77" t="str">
        <f t="shared" si="288"/>
        <v/>
      </c>
      <c r="QNH116" s="77" t="str">
        <f t="shared" si="288"/>
        <v/>
      </c>
      <c r="QNI116" s="77" t="str">
        <f t="shared" si="288"/>
        <v/>
      </c>
      <c r="QNJ116" s="77" t="str">
        <f t="shared" si="288"/>
        <v/>
      </c>
      <c r="QNK116" s="77" t="str">
        <f t="shared" si="288"/>
        <v/>
      </c>
      <c r="QNL116" s="77" t="str">
        <f t="shared" si="288"/>
        <v/>
      </c>
      <c r="QNM116" s="77" t="str">
        <f t="shared" si="288"/>
        <v/>
      </c>
      <c r="QNN116" s="77" t="str">
        <f t="shared" si="288"/>
        <v/>
      </c>
      <c r="QNO116" s="77" t="str">
        <f t="shared" si="288"/>
        <v/>
      </c>
      <c r="QNP116" s="77" t="str">
        <f t="shared" si="288"/>
        <v/>
      </c>
      <c r="QNQ116" s="77" t="str">
        <f t="shared" si="288"/>
        <v/>
      </c>
      <c r="QNR116" s="77" t="str">
        <f t="shared" si="288"/>
        <v/>
      </c>
      <c r="QNS116" s="77" t="str">
        <f t="shared" si="288"/>
        <v/>
      </c>
      <c r="QNT116" s="77" t="str">
        <f t="shared" si="288"/>
        <v/>
      </c>
      <c r="QNU116" s="77" t="str">
        <f t="shared" si="288"/>
        <v/>
      </c>
      <c r="QNV116" s="77" t="str">
        <f t="shared" si="288"/>
        <v/>
      </c>
      <c r="QNW116" s="77" t="str">
        <f t="shared" ref="QNW116:QQH116" si="289">IF(ISNUMBER(outYear),QNW69+QNW75+QNW81+QNW113,"")</f>
        <v/>
      </c>
      <c r="QNX116" s="77" t="str">
        <f t="shared" si="289"/>
        <v/>
      </c>
      <c r="QNY116" s="77" t="str">
        <f t="shared" si="289"/>
        <v/>
      </c>
      <c r="QNZ116" s="77" t="str">
        <f t="shared" si="289"/>
        <v/>
      </c>
      <c r="QOA116" s="77" t="str">
        <f t="shared" si="289"/>
        <v/>
      </c>
      <c r="QOB116" s="77" t="str">
        <f t="shared" si="289"/>
        <v/>
      </c>
      <c r="QOC116" s="77" t="str">
        <f t="shared" si="289"/>
        <v/>
      </c>
      <c r="QOD116" s="77" t="str">
        <f t="shared" si="289"/>
        <v/>
      </c>
      <c r="QOE116" s="77" t="str">
        <f t="shared" si="289"/>
        <v/>
      </c>
      <c r="QOF116" s="77" t="str">
        <f t="shared" si="289"/>
        <v/>
      </c>
      <c r="QOG116" s="77" t="str">
        <f t="shared" si="289"/>
        <v/>
      </c>
      <c r="QOH116" s="77" t="str">
        <f t="shared" si="289"/>
        <v/>
      </c>
      <c r="QOI116" s="77" t="str">
        <f t="shared" si="289"/>
        <v/>
      </c>
      <c r="QOJ116" s="77" t="str">
        <f t="shared" si="289"/>
        <v/>
      </c>
      <c r="QOK116" s="77" t="str">
        <f t="shared" si="289"/>
        <v/>
      </c>
      <c r="QOL116" s="77" t="str">
        <f t="shared" si="289"/>
        <v/>
      </c>
      <c r="QOM116" s="77" t="str">
        <f t="shared" si="289"/>
        <v/>
      </c>
      <c r="QON116" s="77" t="str">
        <f t="shared" si="289"/>
        <v/>
      </c>
      <c r="QOO116" s="77" t="str">
        <f t="shared" si="289"/>
        <v/>
      </c>
      <c r="QOP116" s="77" t="str">
        <f t="shared" si="289"/>
        <v/>
      </c>
      <c r="QOQ116" s="77" t="str">
        <f t="shared" si="289"/>
        <v/>
      </c>
      <c r="QOR116" s="77" t="str">
        <f t="shared" si="289"/>
        <v/>
      </c>
      <c r="QOS116" s="77" t="str">
        <f t="shared" si="289"/>
        <v/>
      </c>
      <c r="QOT116" s="77" t="str">
        <f t="shared" si="289"/>
        <v/>
      </c>
      <c r="QOU116" s="77" t="str">
        <f t="shared" si="289"/>
        <v/>
      </c>
      <c r="QOV116" s="77" t="str">
        <f t="shared" si="289"/>
        <v/>
      </c>
      <c r="QOW116" s="77" t="str">
        <f t="shared" si="289"/>
        <v/>
      </c>
      <c r="QOX116" s="77" t="str">
        <f t="shared" si="289"/>
        <v/>
      </c>
      <c r="QOY116" s="77" t="str">
        <f t="shared" si="289"/>
        <v/>
      </c>
      <c r="QOZ116" s="77" t="str">
        <f t="shared" si="289"/>
        <v/>
      </c>
      <c r="QPA116" s="77" t="str">
        <f t="shared" si="289"/>
        <v/>
      </c>
      <c r="QPB116" s="77" t="str">
        <f t="shared" si="289"/>
        <v/>
      </c>
      <c r="QPC116" s="77" t="str">
        <f t="shared" si="289"/>
        <v/>
      </c>
      <c r="QPD116" s="77" t="str">
        <f t="shared" si="289"/>
        <v/>
      </c>
      <c r="QPE116" s="77" t="str">
        <f t="shared" si="289"/>
        <v/>
      </c>
      <c r="QPF116" s="77" t="str">
        <f t="shared" si="289"/>
        <v/>
      </c>
      <c r="QPG116" s="77" t="str">
        <f t="shared" si="289"/>
        <v/>
      </c>
      <c r="QPH116" s="77" t="str">
        <f t="shared" si="289"/>
        <v/>
      </c>
      <c r="QPI116" s="77" t="str">
        <f t="shared" si="289"/>
        <v/>
      </c>
      <c r="QPJ116" s="77" t="str">
        <f t="shared" si="289"/>
        <v/>
      </c>
      <c r="QPK116" s="77" t="str">
        <f t="shared" si="289"/>
        <v/>
      </c>
      <c r="QPL116" s="77" t="str">
        <f t="shared" si="289"/>
        <v/>
      </c>
      <c r="QPM116" s="77" t="str">
        <f t="shared" si="289"/>
        <v/>
      </c>
      <c r="QPN116" s="77" t="str">
        <f t="shared" si="289"/>
        <v/>
      </c>
      <c r="QPO116" s="77" t="str">
        <f t="shared" si="289"/>
        <v/>
      </c>
      <c r="QPP116" s="77" t="str">
        <f t="shared" si="289"/>
        <v/>
      </c>
      <c r="QPQ116" s="77" t="str">
        <f t="shared" si="289"/>
        <v/>
      </c>
      <c r="QPR116" s="77" t="str">
        <f t="shared" si="289"/>
        <v/>
      </c>
      <c r="QPS116" s="77" t="str">
        <f t="shared" si="289"/>
        <v/>
      </c>
      <c r="QPT116" s="77" t="str">
        <f t="shared" si="289"/>
        <v/>
      </c>
      <c r="QPU116" s="77" t="str">
        <f t="shared" si="289"/>
        <v/>
      </c>
      <c r="QPV116" s="77" t="str">
        <f t="shared" si="289"/>
        <v/>
      </c>
      <c r="QPW116" s="77" t="str">
        <f t="shared" si="289"/>
        <v/>
      </c>
      <c r="QPX116" s="77" t="str">
        <f t="shared" si="289"/>
        <v/>
      </c>
      <c r="QPY116" s="77" t="str">
        <f t="shared" si="289"/>
        <v/>
      </c>
      <c r="QPZ116" s="77" t="str">
        <f t="shared" si="289"/>
        <v/>
      </c>
      <c r="QQA116" s="77" t="str">
        <f t="shared" si="289"/>
        <v/>
      </c>
      <c r="QQB116" s="77" t="str">
        <f t="shared" si="289"/>
        <v/>
      </c>
      <c r="QQC116" s="77" t="str">
        <f t="shared" si="289"/>
        <v/>
      </c>
      <c r="QQD116" s="77" t="str">
        <f t="shared" si="289"/>
        <v/>
      </c>
      <c r="QQE116" s="77" t="str">
        <f t="shared" si="289"/>
        <v/>
      </c>
      <c r="QQF116" s="77" t="str">
        <f t="shared" si="289"/>
        <v/>
      </c>
      <c r="QQG116" s="77" t="str">
        <f t="shared" si="289"/>
        <v/>
      </c>
      <c r="QQH116" s="77" t="str">
        <f t="shared" si="289"/>
        <v/>
      </c>
      <c r="QQI116" s="77" t="str">
        <f t="shared" ref="QQI116:QST116" si="290">IF(ISNUMBER(outYear),QQI69+QQI75+QQI81+QQI113,"")</f>
        <v/>
      </c>
      <c r="QQJ116" s="77" t="str">
        <f t="shared" si="290"/>
        <v/>
      </c>
      <c r="QQK116" s="77" t="str">
        <f t="shared" si="290"/>
        <v/>
      </c>
      <c r="QQL116" s="77" t="str">
        <f t="shared" si="290"/>
        <v/>
      </c>
      <c r="QQM116" s="77" t="str">
        <f t="shared" si="290"/>
        <v/>
      </c>
      <c r="QQN116" s="77" t="str">
        <f t="shared" si="290"/>
        <v/>
      </c>
      <c r="QQO116" s="77" t="str">
        <f t="shared" si="290"/>
        <v/>
      </c>
      <c r="QQP116" s="77" t="str">
        <f t="shared" si="290"/>
        <v/>
      </c>
      <c r="QQQ116" s="77" t="str">
        <f t="shared" si="290"/>
        <v/>
      </c>
      <c r="QQR116" s="77" t="str">
        <f t="shared" si="290"/>
        <v/>
      </c>
      <c r="QQS116" s="77" t="str">
        <f t="shared" si="290"/>
        <v/>
      </c>
      <c r="QQT116" s="77" t="str">
        <f t="shared" si="290"/>
        <v/>
      </c>
      <c r="QQU116" s="77" t="str">
        <f t="shared" si="290"/>
        <v/>
      </c>
      <c r="QQV116" s="77" t="str">
        <f t="shared" si="290"/>
        <v/>
      </c>
      <c r="QQW116" s="77" t="str">
        <f t="shared" si="290"/>
        <v/>
      </c>
      <c r="QQX116" s="77" t="str">
        <f t="shared" si="290"/>
        <v/>
      </c>
      <c r="QQY116" s="77" t="str">
        <f t="shared" si="290"/>
        <v/>
      </c>
      <c r="QQZ116" s="77" t="str">
        <f t="shared" si="290"/>
        <v/>
      </c>
      <c r="QRA116" s="77" t="str">
        <f t="shared" si="290"/>
        <v/>
      </c>
      <c r="QRB116" s="77" t="str">
        <f t="shared" si="290"/>
        <v/>
      </c>
      <c r="QRC116" s="77" t="str">
        <f t="shared" si="290"/>
        <v/>
      </c>
      <c r="QRD116" s="77" t="str">
        <f t="shared" si="290"/>
        <v/>
      </c>
      <c r="QRE116" s="77" t="str">
        <f t="shared" si="290"/>
        <v/>
      </c>
      <c r="QRF116" s="77" t="str">
        <f t="shared" si="290"/>
        <v/>
      </c>
      <c r="QRG116" s="77" t="str">
        <f t="shared" si="290"/>
        <v/>
      </c>
      <c r="QRH116" s="77" t="str">
        <f t="shared" si="290"/>
        <v/>
      </c>
      <c r="QRI116" s="77" t="str">
        <f t="shared" si="290"/>
        <v/>
      </c>
      <c r="QRJ116" s="77" t="str">
        <f t="shared" si="290"/>
        <v/>
      </c>
      <c r="QRK116" s="77" t="str">
        <f t="shared" si="290"/>
        <v/>
      </c>
      <c r="QRL116" s="77" t="str">
        <f t="shared" si="290"/>
        <v/>
      </c>
      <c r="QRM116" s="77" t="str">
        <f t="shared" si="290"/>
        <v/>
      </c>
      <c r="QRN116" s="77" t="str">
        <f t="shared" si="290"/>
        <v/>
      </c>
      <c r="QRO116" s="77" t="str">
        <f t="shared" si="290"/>
        <v/>
      </c>
      <c r="QRP116" s="77" t="str">
        <f t="shared" si="290"/>
        <v/>
      </c>
      <c r="QRQ116" s="77" t="str">
        <f t="shared" si="290"/>
        <v/>
      </c>
      <c r="QRR116" s="77" t="str">
        <f t="shared" si="290"/>
        <v/>
      </c>
      <c r="QRS116" s="77" t="str">
        <f t="shared" si="290"/>
        <v/>
      </c>
      <c r="QRT116" s="77" t="str">
        <f t="shared" si="290"/>
        <v/>
      </c>
      <c r="QRU116" s="77" t="str">
        <f t="shared" si="290"/>
        <v/>
      </c>
      <c r="QRV116" s="77" t="str">
        <f t="shared" si="290"/>
        <v/>
      </c>
      <c r="QRW116" s="77" t="str">
        <f t="shared" si="290"/>
        <v/>
      </c>
      <c r="QRX116" s="77" t="str">
        <f t="shared" si="290"/>
        <v/>
      </c>
      <c r="QRY116" s="77" t="str">
        <f t="shared" si="290"/>
        <v/>
      </c>
      <c r="QRZ116" s="77" t="str">
        <f t="shared" si="290"/>
        <v/>
      </c>
      <c r="QSA116" s="77" t="str">
        <f t="shared" si="290"/>
        <v/>
      </c>
      <c r="QSB116" s="77" t="str">
        <f t="shared" si="290"/>
        <v/>
      </c>
      <c r="QSC116" s="77" t="str">
        <f t="shared" si="290"/>
        <v/>
      </c>
      <c r="QSD116" s="77" t="str">
        <f t="shared" si="290"/>
        <v/>
      </c>
      <c r="QSE116" s="77" t="str">
        <f t="shared" si="290"/>
        <v/>
      </c>
      <c r="QSF116" s="77" t="str">
        <f t="shared" si="290"/>
        <v/>
      </c>
      <c r="QSG116" s="77" t="str">
        <f t="shared" si="290"/>
        <v/>
      </c>
      <c r="QSH116" s="77" t="str">
        <f t="shared" si="290"/>
        <v/>
      </c>
      <c r="QSI116" s="77" t="str">
        <f t="shared" si="290"/>
        <v/>
      </c>
      <c r="QSJ116" s="77" t="str">
        <f t="shared" si="290"/>
        <v/>
      </c>
      <c r="QSK116" s="77" t="str">
        <f t="shared" si="290"/>
        <v/>
      </c>
      <c r="QSL116" s="77" t="str">
        <f t="shared" si="290"/>
        <v/>
      </c>
      <c r="QSM116" s="77" t="str">
        <f t="shared" si="290"/>
        <v/>
      </c>
      <c r="QSN116" s="77" t="str">
        <f t="shared" si="290"/>
        <v/>
      </c>
      <c r="QSO116" s="77" t="str">
        <f t="shared" si="290"/>
        <v/>
      </c>
      <c r="QSP116" s="77" t="str">
        <f t="shared" si="290"/>
        <v/>
      </c>
      <c r="QSQ116" s="77" t="str">
        <f t="shared" si="290"/>
        <v/>
      </c>
      <c r="QSR116" s="77" t="str">
        <f t="shared" si="290"/>
        <v/>
      </c>
      <c r="QSS116" s="77" t="str">
        <f t="shared" si="290"/>
        <v/>
      </c>
      <c r="QST116" s="77" t="str">
        <f t="shared" si="290"/>
        <v/>
      </c>
      <c r="QSU116" s="77" t="str">
        <f t="shared" ref="QSU116:QVF116" si="291">IF(ISNUMBER(outYear),QSU69+QSU75+QSU81+QSU113,"")</f>
        <v/>
      </c>
      <c r="QSV116" s="77" t="str">
        <f t="shared" si="291"/>
        <v/>
      </c>
      <c r="QSW116" s="77" t="str">
        <f t="shared" si="291"/>
        <v/>
      </c>
      <c r="QSX116" s="77" t="str">
        <f t="shared" si="291"/>
        <v/>
      </c>
      <c r="QSY116" s="77" t="str">
        <f t="shared" si="291"/>
        <v/>
      </c>
      <c r="QSZ116" s="77" t="str">
        <f t="shared" si="291"/>
        <v/>
      </c>
      <c r="QTA116" s="77" t="str">
        <f t="shared" si="291"/>
        <v/>
      </c>
      <c r="QTB116" s="77" t="str">
        <f t="shared" si="291"/>
        <v/>
      </c>
      <c r="QTC116" s="77" t="str">
        <f t="shared" si="291"/>
        <v/>
      </c>
      <c r="QTD116" s="77" t="str">
        <f t="shared" si="291"/>
        <v/>
      </c>
      <c r="QTE116" s="77" t="str">
        <f t="shared" si="291"/>
        <v/>
      </c>
      <c r="QTF116" s="77" t="str">
        <f t="shared" si="291"/>
        <v/>
      </c>
      <c r="QTG116" s="77" t="str">
        <f t="shared" si="291"/>
        <v/>
      </c>
      <c r="QTH116" s="77" t="str">
        <f t="shared" si="291"/>
        <v/>
      </c>
      <c r="QTI116" s="77" t="str">
        <f t="shared" si="291"/>
        <v/>
      </c>
      <c r="QTJ116" s="77" t="str">
        <f t="shared" si="291"/>
        <v/>
      </c>
      <c r="QTK116" s="77" t="str">
        <f t="shared" si="291"/>
        <v/>
      </c>
      <c r="QTL116" s="77" t="str">
        <f t="shared" si="291"/>
        <v/>
      </c>
      <c r="QTM116" s="77" t="str">
        <f t="shared" si="291"/>
        <v/>
      </c>
      <c r="QTN116" s="77" t="str">
        <f t="shared" si="291"/>
        <v/>
      </c>
      <c r="QTO116" s="77" t="str">
        <f t="shared" si="291"/>
        <v/>
      </c>
      <c r="QTP116" s="77" t="str">
        <f t="shared" si="291"/>
        <v/>
      </c>
      <c r="QTQ116" s="77" t="str">
        <f t="shared" si="291"/>
        <v/>
      </c>
      <c r="QTR116" s="77" t="str">
        <f t="shared" si="291"/>
        <v/>
      </c>
      <c r="QTS116" s="77" t="str">
        <f t="shared" si="291"/>
        <v/>
      </c>
      <c r="QTT116" s="77" t="str">
        <f t="shared" si="291"/>
        <v/>
      </c>
      <c r="QTU116" s="77" t="str">
        <f t="shared" si="291"/>
        <v/>
      </c>
      <c r="QTV116" s="77" t="str">
        <f t="shared" si="291"/>
        <v/>
      </c>
      <c r="QTW116" s="77" t="str">
        <f t="shared" si="291"/>
        <v/>
      </c>
      <c r="QTX116" s="77" t="str">
        <f t="shared" si="291"/>
        <v/>
      </c>
      <c r="QTY116" s="77" t="str">
        <f t="shared" si="291"/>
        <v/>
      </c>
      <c r="QTZ116" s="77" t="str">
        <f t="shared" si="291"/>
        <v/>
      </c>
      <c r="QUA116" s="77" t="str">
        <f t="shared" si="291"/>
        <v/>
      </c>
      <c r="QUB116" s="77" t="str">
        <f t="shared" si="291"/>
        <v/>
      </c>
      <c r="QUC116" s="77" t="str">
        <f t="shared" si="291"/>
        <v/>
      </c>
      <c r="QUD116" s="77" t="str">
        <f t="shared" si="291"/>
        <v/>
      </c>
      <c r="QUE116" s="77" t="str">
        <f t="shared" si="291"/>
        <v/>
      </c>
      <c r="QUF116" s="77" t="str">
        <f t="shared" si="291"/>
        <v/>
      </c>
      <c r="QUG116" s="77" t="str">
        <f t="shared" si="291"/>
        <v/>
      </c>
      <c r="QUH116" s="77" t="str">
        <f t="shared" si="291"/>
        <v/>
      </c>
      <c r="QUI116" s="77" t="str">
        <f t="shared" si="291"/>
        <v/>
      </c>
      <c r="QUJ116" s="77" t="str">
        <f t="shared" si="291"/>
        <v/>
      </c>
      <c r="QUK116" s="77" t="str">
        <f t="shared" si="291"/>
        <v/>
      </c>
      <c r="QUL116" s="77" t="str">
        <f t="shared" si="291"/>
        <v/>
      </c>
      <c r="QUM116" s="77" t="str">
        <f t="shared" si="291"/>
        <v/>
      </c>
      <c r="QUN116" s="77" t="str">
        <f t="shared" si="291"/>
        <v/>
      </c>
      <c r="QUO116" s="77" t="str">
        <f t="shared" si="291"/>
        <v/>
      </c>
      <c r="QUP116" s="77" t="str">
        <f t="shared" si="291"/>
        <v/>
      </c>
      <c r="QUQ116" s="77" t="str">
        <f t="shared" si="291"/>
        <v/>
      </c>
      <c r="QUR116" s="77" t="str">
        <f t="shared" si="291"/>
        <v/>
      </c>
      <c r="QUS116" s="77" t="str">
        <f t="shared" si="291"/>
        <v/>
      </c>
      <c r="QUT116" s="77" t="str">
        <f t="shared" si="291"/>
        <v/>
      </c>
      <c r="QUU116" s="77" t="str">
        <f t="shared" si="291"/>
        <v/>
      </c>
      <c r="QUV116" s="77" t="str">
        <f t="shared" si="291"/>
        <v/>
      </c>
      <c r="QUW116" s="77" t="str">
        <f t="shared" si="291"/>
        <v/>
      </c>
      <c r="QUX116" s="77" t="str">
        <f t="shared" si="291"/>
        <v/>
      </c>
      <c r="QUY116" s="77" t="str">
        <f t="shared" si="291"/>
        <v/>
      </c>
      <c r="QUZ116" s="77" t="str">
        <f t="shared" si="291"/>
        <v/>
      </c>
      <c r="QVA116" s="77" t="str">
        <f t="shared" si="291"/>
        <v/>
      </c>
      <c r="QVB116" s="77" t="str">
        <f t="shared" si="291"/>
        <v/>
      </c>
      <c r="QVC116" s="77" t="str">
        <f t="shared" si="291"/>
        <v/>
      </c>
      <c r="QVD116" s="77" t="str">
        <f t="shared" si="291"/>
        <v/>
      </c>
      <c r="QVE116" s="77" t="str">
        <f t="shared" si="291"/>
        <v/>
      </c>
      <c r="QVF116" s="77" t="str">
        <f t="shared" si="291"/>
        <v/>
      </c>
      <c r="QVG116" s="77" t="str">
        <f t="shared" ref="QVG116:QXR116" si="292">IF(ISNUMBER(outYear),QVG69+QVG75+QVG81+QVG113,"")</f>
        <v/>
      </c>
      <c r="QVH116" s="77" t="str">
        <f t="shared" si="292"/>
        <v/>
      </c>
      <c r="QVI116" s="77" t="str">
        <f t="shared" si="292"/>
        <v/>
      </c>
      <c r="QVJ116" s="77" t="str">
        <f t="shared" si="292"/>
        <v/>
      </c>
      <c r="QVK116" s="77" t="str">
        <f t="shared" si="292"/>
        <v/>
      </c>
      <c r="QVL116" s="77" t="str">
        <f t="shared" si="292"/>
        <v/>
      </c>
      <c r="QVM116" s="77" t="str">
        <f t="shared" si="292"/>
        <v/>
      </c>
      <c r="QVN116" s="77" t="str">
        <f t="shared" si="292"/>
        <v/>
      </c>
      <c r="QVO116" s="77" t="str">
        <f t="shared" si="292"/>
        <v/>
      </c>
      <c r="QVP116" s="77" t="str">
        <f t="shared" si="292"/>
        <v/>
      </c>
      <c r="QVQ116" s="77" t="str">
        <f t="shared" si="292"/>
        <v/>
      </c>
      <c r="QVR116" s="77" t="str">
        <f t="shared" si="292"/>
        <v/>
      </c>
      <c r="QVS116" s="77" t="str">
        <f t="shared" si="292"/>
        <v/>
      </c>
      <c r="QVT116" s="77" t="str">
        <f t="shared" si="292"/>
        <v/>
      </c>
      <c r="QVU116" s="77" t="str">
        <f t="shared" si="292"/>
        <v/>
      </c>
      <c r="QVV116" s="77" t="str">
        <f t="shared" si="292"/>
        <v/>
      </c>
      <c r="QVW116" s="77" t="str">
        <f t="shared" si="292"/>
        <v/>
      </c>
      <c r="QVX116" s="77" t="str">
        <f t="shared" si="292"/>
        <v/>
      </c>
      <c r="QVY116" s="77" t="str">
        <f t="shared" si="292"/>
        <v/>
      </c>
      <c r="QVZ116" s="77" t="str">
        <f t="shared" si="292"/>
        <v/>
      </c>
      <c r="QWA116" s="77" t="str">
        <f t="shared" si="292"/>
        <v/>
      </c>
      <c r="QWB116" s="77" t="str">
        <f t="shared" si="292"/>
        <v/>
      </c>
      <c r="QWC116" s="77" t="str">
        <f t="shared" si="292"/>
        <v/>
      </c>
      <c r="QWD116" s="77" t="str">
        <f t="shared" si="292"/>
        <v/>
      </c>
      <c r="QWE116" s="77" t="str">
        <f t="shared" si="292"/>
        <v/>
      </c>
      <c r="QWF116" s="77" t="str">
        <f t="shared" si="292"/>
        <v/>
      </c>
      <c r="QWG116" s="77" t="str">
        <f t="shared" si="292"/>
        <v/>
      </c>
      <c r="QWH116" s="77" t="str">
        <f t="shared" si="292"/>
        <v/>
      </c>
      <c r="QWI116" s="77" t="str">
        <f t="shared" si="292"/>
        <v/>
      </c>
      <c r="QWJ116" s="77" t="str">
        <f t="shared" si="292"/>
        <v/>
      </c>
      <c r="QWK116" s="77" t="str">
        <f t="shared" si="292"/>
        <v/>
      </c>
      <c r="QWL116" s="77" t="str">
        <f t="shared" si="292"/>
        <v/>
      </c>
      <c r="QWM116" s="77" t="str">
        <f t="shared" si="292"/>
        <v/>
      </c>
      <c r="QWN116" s="77" t="str">
        <f t="shared" si="292"/>
        <v/>
      </c>
      <c r="QWO116" s="77" t="str">
        <f t="shared" si="292"/>
        <v/>
      </c>
      <c r="QWP116" s="77" t="str">
        <f t="shared" si="292"/>
        <v/>
      </c>
      <c r="QWQ116" s="77" t="str">
        <f t="shared" si="292"/>
        <v/>
      </c>
      <c r="QWR116" s="77" t="str">
        <f t="shared" si="292"/>
        <v/>
      </c>
      <c r="QWS116" s="77" t="str">
        <f t="shared" si="292"/>
        <v/>
      </c>
      <c r="QWT116" s="77" t="str">
        <f t="shared" si="292"/>
        <v/>
      </c>
      <c r="QWU116" s="77" t="str">
        <f t="shared" si="292"/>
        <v/>
      </c>
      <c r="QWV116" s="77" t="str">
        <f t="shared" si="292"/>
        <v/>
      </c>
      <c r="QWW116" s="77" t="str">
        <f t="shared" si="292"/>
        <v/>
      </c>
      <c r="QWX116" s="77" t="str">
        <f t="shared" si="292"/>
        <v/>
      </c>
      <c r="QWY116" s="77" t="str">
        <f t="shared" si="292"/>
        <v/>
      </c>
      <c r="QWZ116" s="77" t="str">
        <f t="shared" si="292"/>
        <v/>
      </c>
      <c r="QXA116" s="77" t="str">
        <f t="shared" si="292"/>
        <v/>
      </c>
      <c r="QXB116" s="77" t="str">
        <f t="shared" si="292"/>
        <v/>
      </c>
      <c r="QXC116" s="77" t="str">
        <f t="shared" si="292"/>
        <v/>
      </c>
      <c r="QXD116" s="77" t="str">
        <f t="shared" si="292"/>
        <v/>
      </c>
      <c r="QXE116" s="77" t="str">
        <f t="shared" si="292"/>
        <v/>
      </c>
      <c r="QXF116" s="77" t="str">
        <f t="shared" si="292"/>
        <v/>
      </c>
      <c r="QXG116" s="77" t="str">
        <f t="shared" si="292"/>
        <v/>
      </c>
      <c r="QXH116" s="77" t="str">
        <f t="shared" si="292"/>
        <v/>
      </c>
      <c r="QXI116" s="77" t="str">
        <f t="shared" si="292"/>
        <v/>
      </c>
      <c r="QXJ116" s="77" t="str">
        <f t="shared" si="292"/>
        <v/>
      </c>
      <c r="QXK116" s="77" t="str">
        <f t="shared" si="292"/>
        <v/>
      </c>
      <c r="QXL116" s="77" t="str">
        <f t="shared" si="292"/>
        <v/>
      </c>
      <c r="QXM116" s="77" t="str">
        <f t="shared" si="292"/>
        <v/>
      </c>
      <c r="QXN116" s="77" t="str">
        <f t="shared" si="292"/>
        <v/>
      </c>
      <c r="QXO116" s="77" t="str">
        <f t="shared" si="292"/>
        <v/>
      </c>
      <c r="QXP116" s="77" t="str">
        <f t="shared" si="292"/>
        <v/>
      </c>
      <c r="QXQ116" s="77" t="str">
        <f t="shared" si="292"/>
        <v/>
      </c>
      <c r="QXR116" s="77" t="str">
        <f t="shared" si="292"/>
        <v/>
      </c>
      <c r="QXS116" s="77" t="str">
        <f t="shared" ref="QXS116:RAD116" si="293">IF(ISNUMBER(outYear),QXS69+QXS75+QXS81+QXS113,"")</f>
        <v/>
      </c>
      <c r="QXT116" s="77" t="str">
        <f t="shared" si="293"/>
        <v/>
      </c>
      <c r="QXU116" s="77" t="str">
        <f t="shared" si="293"/>
        <v/>
      </c>
      <c r="QXV116" s="77" t="str">
        <f t="shared" si="293"/>
        <v/>
      </c>
      <c r="QXW116" s="77" t="str">
        <f t="shared" si="293"/>
        <v/>
      </c>
      <c r="QXX116" s="77" t="str">
        <f t="shared" si="293"/>
        <v/>
      </c>
      <c r="QXY116" s="77" t="str">
        <f t="shared" si="293"/>
        <v/>
      </c>
      <c r="QXZ116" s="77" t="str">
        <f t="shared" si="293"/>
        <v/>
      </c>
      <c r="QYA116" s="77" t="str">
        <f t="shared" si="293"/>
        <v/>
      </c>
      <c r="QYB116" s="77" t="str">
        <f t="shared" si="293"/>
        <v/>
      </c>
      <c r="QYC116" s="77" t="str">
        <f t="shared" si="293"/>
        <v/>
      </c>
      <c r="QYD116" s="77" t="str">
        <f t="shared" si="293"/>
        <v/>
      </c>
      <c r="QYE116" s="77" t="str">
        <f t="shared" si="293"/>
        <v/>
      </c>
      <c r="QYF116" s="77" t="str">
        <f t="shared" si="293"/>
        <v/>
      </c>
      <c r="QYG116" s="77" t="str">
        <f t="shared" si="293"/>
        <v/>
      </c>
      <c r="QYH116" s="77" t="str">
        <f t="shared" si="293"/>
        <v/>
      </c>
      <c r="QYI116" s="77" t="str">
        <f t="shared" si="293"/>
        <v/>
      </c>
      <c r="QYJ116" s="77" t="str">
        <f t="shared" si="293"/>
        <v/>
      </c>
      <c r="QYK116" s="77" t="str">
        <f t="shared" si="293"/>
        <v/>
      </c>
      <c r="QYL116" s="77" t="str">
        <f t="shared" si="293"/>
        <v/>
      </c>
      <c r="QYM116" s="77" t="str">
        <f t="shared" si="293"/>
        <v/>
      </c>
      <c r="QYN116" s="77" t="str">
        <f t="shared" si="293"/>
        <v/>
      </c>
      <c r="QYO116" s="77" t="str">
        <f t="shared" si="293"/>
        <v/>
      </c>
      <c r="QYP116" s="77" t="str">
        <f t="shared" si="293"/>
        <v/>
      </c>
      <c r="QYQ116" s="77" t="str">
        <f t="shared" si="293"/>
        <v/>
      </c>
      <c r="QYR116" s="77" t="str">
        <f t="shared" si="293"/>
        <v/>
      </c>
      <c r="QYS116" s="77" t="str">
        <f t="shared" si="293"/>
        <v/>
      </c>
      <c r="QYT116" s="77" t="str">
        <f t="shared" si="293"/>
        <v/>
      </c>
      <c r="QYU116" s="77" t="str">
        <f t="shared" si="293"/>
        <v/>
      </c>
      <c r="QYV116" s="77" t="str">
        <f t="shared" si="293"/>
        <v/>
      </c>
      <c r="QYW116" s="77" t="str">
        <f t="shared" si="293"/>
        <v/>
      </c>
      <c r="QYX116" s="77" t="str">
        <f t="shared" si="293"/>
        <v/>
      </c>
      <c r="QYY116" s="77" t="str">
        <f t="shared" si="293"/>
        <v/>
      </c>
      <c r="QYZ116" s="77" t="str">
        <f t="shared" si="293"/>
        <v/>
      </c>
      <c r="QZA116" s="77" t="str">
        <f t="shared" si="293"/>
        <v/>
      </c>
      <c r="QZB116" s="77" t="str">
        <f t="shared" si="293"/>
        <v/>
      </c>
      <c r="QZC116" s="77" t="str">
        <f t="shared" si="293"/>
        <v/>
      </c>
      <c r="QZD116" s="77" t="str">
        <f t="shared" si="293"/>
        <v/>
      </c>
      <c r="QZE116" s="77" t="str">
        <f t="shared" si="293"/>
        <v/>
      </c>
      <c r="QZF116" s="77" t="str">
        <f t="shared" si="293"/>
        <v/>
      </c>
      <c r="QZG116" s="77" t="str">
        <f t="shared" si="293"/>
        <v/>
      </c>
      <c r="QZH116" s="77" t="str">
        <f t="shared" si="293"/>
        <v/>
      </c>
      <c r="QZI116" s="77" t="str">
        <f t="shared" si="293"/>
        <v/>
      </c>
      <c r="QZJ116" s="77" t="str">
        <f t="shared" si="293"/>
        <v/>
      </c>
      <c r="QZK116" s="77" t="str">
        <f t="shared" si="293"/>
        <v/>
      </c>
      <c r="QZL116" s="77" t="str">
        <f t="shared" si="293"/>
        <v/>
      </c>
      <c r="QZM116" s="77" t="str">
        <f t="shared" si="293"/>
        <v/>
      </c>
      <c r="QZN116" s="77" t="str">
        <f t="shared" si="293"/>
        <v/>
      </c>
      <c r="QZO116" s="77" t="str">
        <f t="shared" si="293"/>
        <v/>
      </c>
      <c r="QZP116" s="77" t="str">
        <f t="shared" si="293"/>
        <v/>
      </c>
      <c r="QZQ116" s="77" t="str">
        <f t="shared" si="293"/>
        <v/>
      </c>
      <c r="QZR116" s="77" t="str">
        <f t="shared" si="293"/>
        <v/>
      </c>
      <c r="QZS116" s="77" t="str">
        <f t="shared" si="293"/>
        <v/>
      </c>
      <c r="QZT116" s="77" t="str">
        <f t="shared" si="293"/>
        <v/>
      </c>
      <c r="QZU116" s="77" t="str">
        <f t="shared" si="293"/>
        <v/>
      </c>
      <c r="QZV116" s="77" t="str">
        <f t="shared" si="293"/>
        <v/>
      </c>
      <c r="QZW116" s="77" t="str">
        <f t="shared" si="293"/>
        <v/>
      </c>
      <c r="QZX116" s="77" t="str">
        <f t="shared" si="293"/>
        <v/>
      </c>
      <c r="QZY116" s="77" t="str">
        <f t="shared" si="293"/>
        <v/>
      </c>
      <c r="QZZ116" s="77" t="str">
        <f t="shared" si="293"/>
        <v/>
      </c>
      <c r="RAA116" s="77" t="str">
        <f t="shared" si="293"/>
        <v/>
      </c>
      <c r="RAB116" s="77" t="str">
        <f t="shared" si="293"/>
        <v/>
      </c>
      <c r="RAC116" s="77" t="str">
        <f t="shared" si="293"/>
        <v/>
      </c>
      <c r="RAD116" s="77" t="str">
        <f t="shared" si="293"/>
        <v/>
      </c>
      <c r="RAE116" s="77" t="str">
        <f t="shared" ref="RAE116:RCP116" si="294">IF(ISNUMBER(outYear),RAE69+RAE75+RAE81+RAE113,"")</f>
        <v/>
      </c>
      <c r="RAF116" s="77" t="str">
        <f t="shared" si="294"/>
        <v/>
      </c>
      <c r="RAG116" s="77" t="str">
        <f t="shared" si="294"/>
        <v/>
      </c>
      <c r="RAH116" s="77" t="str">
        <f t="shared" si="294"/>
        <v/>
      </c>
      <c r="RAI116" s="77" t="str">
        <f t="shared" si="294"/>
        <v/>
      </c>
      <c r="RAJ116" s="77" t="str">
        <f t="shared" si="294"/>
        <v/>
      </c>
      <c r="RAK116" s="77" t="str">
        <f t="shared" si="294"/>
        <v/>
      </c>
      <c r="RAL116" s="77" t="str">
        <f t="shared" si="294"/>
        <v/>
      </c>
      <c r="RAM116" s="77" t="str">
        <f t="shared" si="294"/>
        <v/>
      </c>
      <c r="RAN116" s="77" t="str">
        <f t="shared" si="294"/>
        <v/>
      </c>
      <c r="RAO116" s="77" t="str">
        <f t="shared" si="294"/>
        <v/>
      </c>
      <c r="RAP116" s="77" t="str">
        <f t="shared" si="294"/>
        <v/>
      </c>
      <c r="RAQ116" s="77" t="str">
        <f t="shared" si="294"/>
        <v/>
      </c>
      <c r="RAR116" s="77" t="str">
        <f t="shared" si="294"/>
        <v/>
      </c>
      <c r="RAS116" s="77" t="str">
        <f t="shared" si="294"/>
        <v/>
      </c>
      <c r="RAT116" s="77" t="str">
        <f t="shared" si="294"/>
        <v/>
      </c>
      <c r="RAU116" s="77" t="str">
        <f t="shared" si="294"/>
        <v/>
      </c>
      <c r="RAV116" s="77" t="str">
        <f t="shared" si="294"/>
        <v/>
      </c>
      <c r="RAW116" s="77" t="str">
        <f t="shared" si="294"/>
        <v/>
      </c>
      <c r="RAX116" s="77" t="str">
        <f t="shared" si="294"/>
        <v/>
      </c>
      <c r="RAY116" s="77" t="str">
        <f t="shared" si="294"/>
        <v/>
      </c>
      <c r="RAZ116" s="77" t="str">
        <f t="shared" si="294"/>
        <v/>
      </c>
      <c r="RBA116" s="77" t="str">
        <f t="shared" si="294"/>
        <v/>
      </c>
      <c r="RBB116" s="77" t="str">
        <f t="shared" si="294"/>
        <v/>
      </c>
      <c r="RBC116" s="77" t="str">
        <f t="shared" si="294"/>
        <v/>
      </c>
      <c r="RBD116" s="77" t="str">
        <f t="shared" si="294"/>
        <v/>
      </c>
      <c r="RBE116" s="77" t="str">
        <f t="shared" si="294"/>
        <v/>
      </c>
      <c r="RBF116" s="77" t="str">
        <f t="shared" si="294"/>
        <v/>
      </c>
      <c r="RBG116" s="77" t="str">
        <f t="shared" si="294"/>
        <v/>
      </c>
      <c r="RBH116" s="77" t="str">
        <f t="shared" si="294"/>
        <v/>
      </c>
      <c r="RBI116" s="77" t="str">
        <f t="shared" si="294"/>
        <v/>
      </c>
      <c r="RBJ116" s="77" t="str">
        <f t="shared" si="294"/>
        <v/>
      </c>
      <c r="RBK116" s="77" t="str">
        <f t="shared" si="294"/>
        <v/>
      </c>
      <c r="RBL116" s="77" t="str">
        <f t="shared" si="294"/>
        <v/>
      </c>
      <c r="RBM116" s="77" t="str">
        <f t="shared" si="294"/>
        <v/>
      </c>
      <c r="RBN116" s="77" t="str">
        <f t="shared" si="294"/>
        <v/>
      </c>
      <c r="RBO116" s="77" t="str">
        <f t="shared" si="294"/>
        <v/>
      </c>
      <c r="RBP116" s="77" t="str">
        <f t="shared" si="294"/>
        <v/>
      </c>
      <c r="RBQ116" s="77" t="str">
        <f t="shared" si="294"/>
        <v/>
      </c>
      <c r="RBR116" s="77" t="str">
        <f t="shared" si="294"/>
        <v/>
      </c>
      <c r="RBS116" s="77" t="str">
        <f t="shared" si="294"/>
        <v/>
      </c>
      <c r="RBT116" s="77" t="str">
        <f t="shared" si="294"/>
        <v/>
      </c>
      <c r="RBU116" s="77" t="str">
        <f t="shared" si="294"/>
        <v/>
      </c>
      <c r="RBV116" s="77" t="str">
        <f t="shared" si="294"/>
        <v/>
      </c>
      <c r="RBW116" s="77" t="str">
        <f t="shared" si="294"/>
        <v/>
      </c>
      <c r="RBX116" s="77" t="str">
        <f t="shared" si="294"/>
        <v/>
      </c>
      <c r="RBY116" s="77" t="str">
        <f t="shared" si="294"/>
        <v/>
      </c>
      <c r="RBZ116" s="77" t="str">
        <f t="shared" si="294"/>
        <v/>
      </c>
      <c r="RCA116" s="77" t="str">
        <f t="shared" si="294"/>
        <v/>
      </c>
      <c r="RCB116" s="77" t="str">
        <f t="shared" si="294"/>
        <v/>
      </c>
      <c r="RCC116" s="77" t="str">
        <f t="shared" si="294"/>
        <v/>
      </c>
      <c r="RCD116" s="77" t="str">
        <f t="shared" si="294"/>
        <v/>
      </c>
      <c r="RCE116" s="77" t="str">
        <f t="shared" si="294"/>
        <v/>
      </c>
      <c r="RCF116" s="77" t="str">
        <f t="shared" si="294"/>
        <v/>
      </c>
      <c r="RCG116" s="77" t="str">
        <f t="shared" si="294"/>
        <v/>
      </c>
      <c r="RCH116" s="77" t="str">
        <f t="shared" si="294"/>
        <v/>
      </c>
      <c r="RCI116" s="77" t="str">
        <f t="shared" si="294"/>
        <v/>
      </c>
      <c r="RCJ116" s="77" t="str">
        <f t="shared" si="294"/>
        <v/>
      </c>
      <c r="RCK116" s="77" t="str">
        <f t="shared" si="294"/>
        <v/>
      </c>
      <c r="RCL116" s="77" t="str">
        <f t="shared" si="294"/>
        <v/>
      </c>
      <c r="RCM116" s="77" t="str">
        <f t="shared" si="294"/>
        <v/>
      </c>
      <c r="RCN116" s="77" t="str">
        <f t="shared" si="294"/>
        <v/>
      </c>
      <c r="RCO116" s="77" t="str">
        <f t="shared" si="294"/>
        <v/>
      </c>
      <c r="RCP116" s="77" t="str">
        <f t="shared" si="294"/>
        <v/>
      </c>
      <c r="RCQ116" s="77" t="str">
        <f t="shared" ref="RCQ116:RFB116" si="295">IF(ISNUMBER(outYear),RCQ69+RCQ75+RCQ81+RCQ113,"")</f>
        <v/>
      </c>
      <c r="RCR116" s="77" t="str">
        <f t="shared" si="295"/>
        <v/>
      </c>
      <c r="RCS116" s="77" t="str">
        <f t="shared" si="295"/>
        <v/>
      </c>
      <c r="RCT116" s="77" t="str">
        <f t="shared" si="295"/>
        <v/>
      </c>
      <c r="RCU116" s="77" t="str">
        <f t="shared" si="295"/>
        <v/>
      </c>
      <c r="RCV116" s="77" t="str">
        <f t="shared" si="295"/>
        <v/>
      </c>
      <c r="RCW116" s="77" t="str">
        <f t="shared" si="295"/>
        <v/>
      </c>
      <c r="RCX116" s="77" t="str">
        <f t="shared" si="295"/>
        <v/>
      </c>
      <c r="RCY116" s="77" t="str">
        <f t="shared" si="295"/>
        <v/>
      </c>
      <c r="RCZ116" s="77" t="str">
        <f t="shared" si="295"/>
        <v/>
      </c>
      <c r="RDA116" s="77" t="str">
        <f t="shared" si="295"/>
        <v/>
      </c>
      <c r="RDB116" s="77" t="str">
        <f t="shared" si="295"/>
        <v/>
      </c>
      <c r="RDC116" s="77" t="str">
        <f t="shared" si="295"/>
        <v/>
      </c>
      <c r="RDD116" s="77" t="str">
        <f t="shared" si="295"/>
        <v/>
      </c>
      <c r="RDE116" s="77" t="str">
        <f t="shared" si="295"/>
        <v/>
      </c>
      <c r="RDF116" s="77" t="str">
        <f t="shared" si="295"/>
        <v/>
      </c>
      <c r="RDG116" s="77" t="str">
        <f t="shared" si="295"/>
        <v/>
      </c>
      <c r="RDH116" s="77" t="str">
        <f t="shared" si="295"/>
        <v/>
      </c>
      <c r="RDI116" s="77" t="str">
        <f t="shared" si="295"/>
        <v/>
      </c>
      <c r="RDJ116" s="77" t="str">
        <f t="shared" si="295"/>
        <v/>
      </c>
      <c r="RDK116" s="77" t="str">
        <f t="shared" si="295"/>
        <v/>
      </c>
      <c r="RDL116" s="77" t="str">
        <f t="shared" si="295"/>
        <v/>
      </c>
      <c r="RDM116" s="77" t="str">
        <f t="shared" si="295"/>
        <v/>
      </c>
      <c r="RDN116" s="77" t="str">
        <f t="shared" si="295"/>
        <v/>
      </c>
      <c r="RDO116" s="77" t="str">
        <f t="shared" si="295"/>
        <v/>
      </c>
      <c r="RDP116" s="77" t="str">
        <f t="shared" si="295"/>
        <v/>
      </c>
      <c r="RDQ116" s="77" t="str">
        <f t="shared" si="295"/>
        <v/>
      </c>
      <c r="RDR116" s="77" t="str">
        <f t="shared" si="295"/>
        <v/>
      </c>
      <c r="RDS116" s="77" t="str">
        <f t="shared" si="295"/>
        <v/>
      </c>
      <c r="RDT116" s="77" t="str">
        <f t="shared" si="295"/>
        <v/>
      </c>
      <c r="RDU116" s="77" t="str">
        <f t="shared" si="295"/>
        <v/>
      </c>
      <c r="RDV116" s="77" t="str">
        <f t="shared" si="295"/>
        <v/>
      </c>
      <c r="RDW116" s="77" t="str">
        <f t="shared" si="295"/>
        <v/>
      </c>
      <c r="RDX116" s="77" t="str">
        <f t="shared" si="295"/>
        <v/>
      </c>
      <c r="RDY116" s="77" t="str">
        <f t="shared" si="295"/>
        <v/>
      </c>
      <c r="RDZ116" s="77" t="str">
        <f t="shared" si="295"/>
        <v/>
      </c>
      <c r="REA116" s="77" t="str">
        <f t="shared" si="295"/>
        <v/>
      </c>
      <c r="REB116" s="77" t="str">
        <f t="shared" si="295"/>
        <v/>
      </c>
      <c r="REC116" s="77" t="str">
        <f t="shared" si="295"/>
        <v/>
      </c>
      <c r="RED116" s="77" t="str">
        <f t="shared" si="295"/>
        <v/>
      </c>
      <c r="REE116" s="77" t="str">
        <f t="shared" si="295"/>
        <v/>
      </c>
      <c r="REF116" s="77" t="str">
        <f t="shared" si="295"/>
        <v/>
      </c>
      <c r="REG116" s="77" t="str">
        <f t="shared" si="295"/>
        <v/>
      </c>
      <c r="REH116" s="77" t="str">
        <f t="shared" si="295"/>
        <v/>
      </c>
      <c r="REI116" s="77" t="str">
        <f t="shared" si="295"/>
        <v/>
      </c>
      <c r="REJ116" s="77" t="str">
        <f t="shared" si="295"/>
        <v/>
      </c>
      <c r="REK116" s="77" t="str">
        <f t="shared" si="295"/>
        <v/>
      </c>
      <c r="REL116" s="77" t="str">
        <f t="shared" si="295"/>
        <v/>
      </c>
      <c r="REM116" s="77" t="str">
        <f t="shared" si="295"/>
        <v/>
      </c>
      <c r="REN116" s="77" t="str">
        <f t="shared" si="295"/>
        <v/>
      </c>
      <c r="REO116" s="77" t="str">
        <f t="shared" si="295"/>
        <v/>
      </c>
      <c r="REP116" s="77" t="str">
        <f t="shared" si="295"/>
        <v/>
      </c>
      <c r="REQ116" s="77" t="str">
        <f t="shared" si="295"/>
        <v/>
      </c>
      <c r="RER116" s="77" t="str">
        <f t="shared" si="295"/>
        <v/>
      </c>
      <c r="RES116" s="77" t="str">
        <f t="shared" si="295"/>
        <v/>
      </c>
      <c r="RET116" s="77" t="str">
        <f t="shared" si="295"/>
        <v/>
      </c>
      <c r="REU116" s="77" t="str">
        <f t="shared" si="295"/>
        <v/>
      </c>
      <c r="REV116" s="77" t="str">
        <f t="shared" si="295"/>
        <v/>
      </c>
      <c r="REW116" s="77" t="str">
        <f t="shared" si="295"/>
        <v/>
      </c>
      <c r="REX116" s="77" t="str">
        <f t="shared" si="295"/>
        <v/>
      </c>
      <c r="REY116" s="77" t="str">
        <f t="shared" si="295"/>
        <v/>
      </c>
      <c r="REZ116" s="77" t="str">
        <f t="shared" si="295"/>
        <v/>
      </c>
      <c r="RFA116" s="77" t="str">
        <f t="shared" si="295"/>
        <v/>
      </c>
      <c r="RFB116" s="77" t="str">
        <f t="shared" si="295"/>
        <v/>
      </c>
      <c r="RFC116" s="77" t="str">
        <f t="shared" ref="RFC116:RHN116" si="296">IF(ISNUMBER(outYear),RFC69+RFC75+RFC81+RFC113,"")</f>
        <v/>
      </c>
      <c r="RFD116" s="77" t="str">
        <f t="shared" si="296"/>
        <v/>
      </c>
      <c r="RFE116" s="77" t="str">
        <f t="shared" si="296"/>
        <v/>
      </c>
      <c r="RFF116" s="77" t="str">
        <f t="shared" si="296"/>
        <v/>
      </c>
      <c r="RFG116" s="77" t="str">
        <f t="shared" si="296"/>
        <v/>
      </c>
      <c r="RFH116" s="77" t="str">
        <f t="shared" si="296"/>
        <v/>
      </c>
      <c r="RFI116" s="77" t="str">
        <f t="shared" si="296"/>
        <v/>
      </c>
      <c r="RFJ116" s="77" t="str">
        <f t="shared" si="296"/>
        <v/>
      </c>
      <c r="RFK116" s="77" t="str">
        <f t="shared" si="296"/>
        <v/>
      </c>
      <c r="RFL116" s="77" t="str">
        <f t="shared" si="296"/>
        <v/>
      </c>
      <c r="RFM116" s="77" t="str">
        <f t="shared" si="296"/>
        <v/>
      </c>
      <c r="RFN116" s="77" t="str">
        <f t="shared" si="296"/>
        <v/>
      </c>
      <c r="RFO116" s="77" t="str">
        <f t="shared" si="296"/>
        <v/>
      </c>
      <c r="RFP116" s="77" t="str">
        <f t="shared" si="296"/>
        <v/>
      </c>
      <c r="RFQ116" s="77" t="str">
        <f t="shared" si="296"/>
        <v/>
      </c>
      <c r="RFR116" s="77" t="str">
        <f t="shared" si="296"/>
        <v/>
      </c>
      <c r="RFS116" s="77" t="str">
        <f t="shared" si="296"/>
        <v/>
      </c>
      <c r="RFT116" s="77" t="str">
        <f t="shared" si="296"/>
        <v/>
      </c>
      <c r="RFU116" s="77" t="str">
        <f t="shared" si="296"/>
        <v/>
      </c>
      <c r="RFV116" s="77" t="str">
        <f t="shared" si="296"/>
        <v/>
      </c>
      <c r="RFW116" s="77" t="str">
        <f t="shared" si="296"/>
        <v/>
      </c>
      <c r="RFX116" s="77" t="str">
        <f t="shared" si="296"/>
        <v/>
      </c>
      <c r="RFY116" s="77" t="str">
        <f t="shared" si="296"/>
        <v/>
      </c>
      <c r="RFZ116" s="77" t="str">
        <f t="shared" si="296"/>
        <v/>
      </c>
      <c r="RGA116" s="77" t="str">
        <f t="shared" si="296"/>
        <v/>
      </c>
      <c r="RGB116" s="77" t="str">
        <f t="shared" si="296"/>
        <v/>
      </c>
      <c r="RGC116" s="77" t="str">
        <f t="shared" si="296"/>
        <v/>
      </c>
      <c r="RGD116" s="77" t="str">
        <f t="shared" si="296"/>
        <v/>
      </c>
      <c r="RGE116" s="77" t="str">
        <f t="shared" si="296"/>
        <v/>
      </c>
      <c r="RGF116" s="77" t="str">
        <f t="shared" si="296"/>
        <v/>
      </c>
      <c r="RGG116" s="77" t="str">
        <f t="shared" si="296"/>
        <v/>
      </c>
      <c r="RGH116" s="77" t="str">
        <f t="shared" si="296"/>
        <v/>
      </c>
      <c r="RGI116" s="77" t="str">
        <f t="shared" si="296"/>
        <v/>
      </c>
      <c r="RGJ116" s="77" t="str">
        <f t="shared" si="296"/>
        <v/>
      </c>
      <c r="RGK116" s="77" t="str">
        <f t="shared" si="296"/>
        <v/>
      </c>
      <c r="RGL116" s="77" t="str">
        <f t="shared" si="296"/>
        <v/>
      </c>
      <c r="RGM116" s="77" t="str">
        <f t="shared" si="296"/>
        <v/>
      </c>
      <c r="RGN116" s="77" t="str">
        <f t="shared" si="296"/>
        <v/>
      </c>
      <c r="RGO116" s="77" t="str">
        <f t="shared" si="296"/>
        <v/>
      </c>
      <c r="RGP116" s="77" t="str">
        <f t="shared" si="296"/>
        <v/>
      </c>
      <c r="RGQ116" s="77" t="str">
        <f t="shared" si="296"/>
        <v/>
      </c>
      <c r="RGR116" s="77" t="str">
        <f t="shared" si="296"/>
        <v/>
      </c>
      <c r="RGS116" s="77" t="str">
        <f t="shared" si="296"/>
        <v/>
      </c>
      <c r="RGT116" s="77" t="str">
        <f t="shared" si="296"/>
        <v/>
      </c>
      <c r="RGU116" s="77" t="str">
        <f t="shared" si="296"/>
        <v/>
      </c>
      <c r="RGV116" s="77" t="str">
        <f t="shared" si="296"/>
        <v/>
      </c>
      <c r="RGW116" s="77" t="str">
        <f t="shared" si="296"/>
        <v/>
      </c>
      <c r="RGX116" s="77" t="str">
        <f t="shared" si="296"/>
        <v/>
      </c>
      <c r="RGY116" s="77" t="str">
        <f t="shared" si="296"/>
        <v/>
      </c>
      <c r="RGZ116" s="77" t="str">
        <f t="shared" si="296"/>
        <v/>
      </c>
      <c r="RHA116" s="77" t="str">
        <f t="shared" si="296"/>
        <v/>
      </c>
      <c r="RHB116" s="77" t="str">
        <f t="shared" si="296"/>
        <v/>
      </c>
      <c r="RHC116" s="77" t="str">
        <f t="shared" si="296"/>
        <v/>
      </c>
      <c r="RHD116" s="77" t="str">
        <f t="shared" si="296"/>
        <v/>
      </c>
      <c r="RHE116" s="77" t="str">
        <f t="shared" si="296"/>
        <v/>
      </c>
      <c r="RHF116" s="77" t="str">
        <f t="shared" si="296"/>
        <v/>
      </c>
      <c r="RHG116" s="77" t="str">
        <f t="shared" si="296"/>
        <v/>
      </c>
      <c r="RHH116" s="77" t="str">
        <f t="shared" si="296"/>
        <v/>
      </c>
      <c r="RHI116" s="77" t="str">
        <f t="shared" si="296"/>
        <v/>
      </c>
      <c r="RHJ116" s="77" t="str">
        <f t="shared" si="296"/>
        <v/>
      </c>
      <c r="RHK116" s="77" t="str">
        <f t="shared" si="296"/>
        <v/>
      </c>
      <c r="RHL116" s="77" t="str">
        <f t="shared" si="296"/>
        <v/>
      </c>
      <c r="RHM116" s="77" t="str">
        <f t="shared" si="296"/>
        <v/>
      </c>
      <c r="RHN116" s="77" t="str">
        <f t="shared" si="296"/>
        <v/>
      </c>
      <c r="RHO116" s="77" t="str">
        <f t="shared" ref="RHO116:RJZ116" si="297">IF(ISNUMBER(outYear),RHO69+RHO75+RHO81+RHO113,"")</f>
        <v/>
      </c>
      <c r="RHP116" s="77" t="str">
        <f t="shared" si="297"/>
        <v/>
      </c>
      <c r="RHQ116" s="77" t="str">
        <f t="shared" si="297"/>
        <v/>
      </c>
      <c r="RHR116" s="77" t="str">
        <f t="shared" si="297"/>
        <v/>
      </c>
      <c r="RHS116" s="77" t="str">
        <f t="shared" si="297"/>
        <v/>
      </c>
      <c r="RHT116" s="77" t="str">
        <f t="shared" si="297"/>
        <v/>
      </c>
      <c r="RHU116" s="77" t="str">
        <f t="shared" si="297"/>
        <v/>
      </c>
      <c r="RHV116" s="77" t="str">
        <f t="shared" si="297"/>
        <v/>
      </c>
      <c r="RHW116" s="77" t="str">
        <f t="shared" si="297"/>
        <v/>
      </c>
      <c r="RHX116" s="77" t="str">
        <f t="shared" si="297"/>
        <v/>
      </c>
      <c r="RHY116" s="77" t="str">
        <f t="shared" si="297"/>
        <v/>
      </c>
      <c r="RHZ116" s="77" t="str">
        <f t="shared" si="297"/>
        <v/>
      </c>
      <c r="RIA116" s="77" t="str">
        <f t="shared" si="297"/>
        <v/>
      </c>
      <c r="RIB116" s="77" t="str">
        <f t="shared" si="297"/>
        <v/>
      </c>
      <c r="RIC116" s="77" t="str">
        <f t="shared" si="297"/>
        <v/>
      </c>
      <c r="RID116" s="77" t="str">
        <f t="shared" si="297"/>
        <v/>
      </c>
      <c r="RIE116" s="77" t="str">
        <f t="shared" si="297"/>
        <v/>
      </c>
      <c r="RIF116" s="77" t="str">
        <f t="shared" si="297"/>
        <v/>
      </c>
      <c r="RIG116" s="77" t="str">
        <f t="shared" si="297"/>
        <v/>
      </c>
      <c r="RIH116" s="77" t="str">
        <f t="shared" si="297"/>
        <v/>
      </c>
      <c r="RII116" s="77" t="str">
        <f t="shared" si="297"/>
        <v/>
      </c>
      <c r="RIJ116" s="77" t="str">
        <f t="shared" si="297"/>
        <v/>
      </c>
      <c r="RIK116" s="77" t="str">
        <f t="shared" si="297"/>
        <v/>
      </c>
      <c r="RIL116" s="77" t="str">
        <f t="shared" si="297"/>
        <v/>
      </c>
      <c r="RIM116" s="77" t="str">
        <f t="shared" si="297"/>
        <v/>
      </c>
      <c r="RIN116" s="77" t="str">
        <f t="shared" si="297"/>
        <v/>
      </c>
      <c r="RIO116" s="77" t="str">
        <f t="shared" si="297"/>
        <v/>
      </c>
      <c r="RIP116" s="77" t="str">
        <f t="shared" si="297"/>
        <v/>
      </c>
      <c r="RIQ116" s="77" t="str">
        <f t="shared" si="297"/>
        <v/>
      </c>
      <c r="RIR116" s="77" t="str">
        <f t="shared" si="297"/>
        <v/>
      </c>
      <c r="RIS116" s="77" t="str">
        <f t="shared" si="297"/>
        <v/>
      </c>
      <c r="RIT116" s="77" t="str">
        <f t="shared" si="297"/>
        <v/>
      </c>
      <c r="RIU116" s="77" t="str">
        <f t="shared" si="297"/>
        <v/>
      </c>
      <c r="RIV116" s="77" t="str">
        <f t="shared" si="297"/>
        <v/>
      </c>
      <c r="RIW116" s="77" t="str">
        <f t="shared" si="297"/>
        <v/>
      </c>
      <c r="RIX116" s="77" t="str">
        <f t="shared" si="297"/>
        <v/>
      </c>
      <c r="RIY116" s="77" t="str">
        <f t="shared" si="297"/>
        <v/>
      </c>
      <c r="RIZ116" s="77" t="str">
        <f t="shared" si="297"/>
        <v/>
      </c>
      <c r="RJA116" s="77" t="str">
        <f t="shared" si="297"/>
        <v/>
      </c>
      <c r="RJB116" s="77" t="str">
        <f t="shared" si="297"/>
        <v/>
      </c>
      <c r="RJC116" s="77" t="str">
        <f t="shared" si="297"/>
        <v/>
      </c>
      <c r="RJD116" s="77" t="str">
        <f t="shared" si="297"/>
        <v/>
      </c>
      <c r="RJE116" s="77" t="str">
        <f t="shared" si="297"/>
        <v/>
      </c>
      <c r="RJF116" s="77" t="str">
        <f t="shared" si="297"/>
        <v/>
      </c>
      <c r="RJG116" s="77" t="str">
        <f t="shared" si="297"/>
        <v/>
      </c>
      <c r="RJH116" s="77" t="str">
        <f t="shared" si="297"/>
        <v/>
      </c>
      <c r="RJI116" s="77" t="str">
        <f t="shared" si="297"/>
        <v/>
      </c>
      <c r="RJJ116" s="77" t="str">
        <f t="shared" si="297"/>
        <v/>
      </c>
      <c r="RJK116" s="77" t="str">
        <f t="shared" si="297"/>
        <v/>
      </c>
      <c r="RJL116" s="77" t="str">
        <f t="shared" si="297"/>
        <v/>
      </c>
      <c r="RJM116" s="77" t="str">
        <f t="shared" si="297"/>
        <v/>
      </c>
      <c r="RJN116" s="77" t="str">
        <f t="shared" si="297"/>
        <v/>
      </c>
      <c r="RJO116" s="77" t="str">
        <f t="shared" si="297"/>
        <v/>
      </c>
      <c r="RJP116" s="77" t="str">
        <f t="shared" si="297"/>
        <v/>
      </c>
      <c r="RJQ116" s="77" t="str">
        <f t="shared" si="297"/>
        <v/>
      </c>
      <c r="RJR116" s="77" t="str">
        <f t="shared" si="297"/>
        <v/>
      </c>
      <c r="RJS116" s="77" t="str">
        <f t="shared" si="297"/>
        <v/>
      </c>
      <c r="RJT116" s="77" t="str">
        <f t="shared" si="297"/>
        <v/>
      </c>
      <c r="RJU116" s="77" t="str">
        <f t="shared" si="297"/>
        <v/>
      </c>
      <c r="RJV116" s="77" t="str">
        <f t="shared" si="297"/>
        <v/>
      </c>
      <c r="RJW116" s="77" t="str">
        <f t="shared" si="297"/>
        <v/>
      </c>
      <c r="RJX116" s="77" t="str">
        <f t="shared" si="297"/>
        <v/>
      </c>
      <c r="RJY116" s="77" t="str">
        <f t="shared" si="297"/>
        <v/>
      </c>
      <c r="RJZ116" s="77" t="str">
        <f t="shared" si="297"/>
        <v/>
      </c>
      <c r="RKA116" s="77" t="str">
        <f t="shared" ref="RKA116:RML116" si="298">IF(ISNUMBER(outYear),RKA69+RKA75+RKA81+RKA113,"")</f>
        <v/>
      </c>
      <c r="RKB116" s="77" t="str">
        <f t="shared" si="298"/>
        <v/>
      </c>
      <c r="RKC116" s="77" t="str">
        <f t="shared" si="298"/>
        <v/>
      </c>
      <c r="RKD116" s="77" t="str">
        <f t="shared" si="298"/>
        <v/>
      </c>
      <c r="RKE116" s="77" t="str">
        <f t="shared" si="298"/>
        <v/>
      </c>
      <c r="RKF116" s="77" t="str">
        <f t="shared" si="298"/>
        <v/>
      </c>
      <c r="RKG116" s="77" t="str">
        <f t="shared" si="298"/>
        <v/>
      </c>
      <c r="RKH116" s="77" t="str">
        <f t="shared" si="298"/>
        <v/>
      </c>
      <c r="RKI116" s="77" t="str">
        <f t="shared" si="298"/>
        <v/>
      </c>
      <c r="RKJ116" s="77" t="str">
        <f t="shared" si="298"/>
        <v/>
      </c>
      <c r="RKK116" s="77" t="str">
        <f t="shared" si="298"/>
        <v/>
      </c>
      <c r="RKL116" s="77" t="str">
        <f t="shared" si="298"/>
        <v/>
      </c>
      <c r="RKM116" s="77" t="str">
        <f t="shared" si="298"/>
        <v/>
      </c>
      <c r="RKN116" s="77" t="str">
        <f t="shared" si="298"/>
        <v/>
      </c>
      <c r="RKO116" s="77" t="str">
        <f t="shared" si="298"/>
        <v/>
      </c>
      <c r="RKP116" s="77" t="str">
        <f t="shared" si="298"/>
        <v/>
      </c>
      <c r="RKQ116" s="77" t="str">
        <f t="shared" si="298"/>
        <v/>
      </c>
      <c r="RKR116" s="77" t="str">
        <f t="shared" si="298"/>
        <v/>
      </c>
      <c r="RKS116" s="77" t="str">
        <f t="shared" si="298"/>
        <v/>
      </c>
      <c r="RKT116" s="77" t="str">
        <f t="shared" si="298"/>
        <v/>
      </c>
      <c r="RKU116" s="77" t="str">
        <f t="shared" si="298"/>
        <v/>
      </c>
      <c r="RKV116" s="77" t="str">
        <f t="shared" si="298"/>
        <v/>
      </c>
      <c r="RKW116" s="77" t="str">
        <f t="shared" si="298"/>
        <v/>
      </c>
      <c r="RKX116" s="77" t="str">
        <f t="shared" si="298"/>
        <v/>
      </c>
      <c r="RKY116" s="77" t="str">
        <f t="shared" si="298"/>
        <v/>
      </c>
      <c r="RKZ116" s="77" t="str">
        <f t="shared" si="298"/>
        <v/>
      </c>
      <c r="RLA116" s="77" t="str">
        <f t="shared" si="298"/>
        <v/>
      </c>
      <c r="RLB116" s="77" t="str">
        <f t="shared" si="298"/>
        <v/>
      </c>
      <c r="RLC116" s="77" t="str">
        <f t="shared" si="298"/>
        <v/>
      </c>
      <c r="RLD116" s="77" t="str">
        <f t="shared" si="298"/>
        <v/>
      </c>
      <c r="RLE116" s="77" t="str">
        <f t="shared" si="298"/>
        <v/>
      </c>
      <c r="RLF116" s="77" t="str">
        <f t="shared" si="298"/>
        <v/>
      </c>
      <c r="RLG116" s="77" t="str">
        <f t="shared" si="298"/>
        <v/>
      </c>
      <c r="RLH116" s="77" t="str">
        <f t="shared" si="298"/>
        <v/>
      </c>
      <c r="RLI116" s="77" t="str">
        <f t="shared" si="298"/>
        <v/>
      </c>
      <c r="RLJ116" s="77" t="str">
        <f t="shared" si="298"/>
        <v/>
      </c>
      <c r="RLK116" s="77" t="str">
        <f t="shared" si="298"/>
        <v/>
      </c>
      <c r="RLL116" s="77" t="str">
        <f t="shared" si="298"/>
        <v/>
      </c>
      <c r="RLM116" s="77" t="str">
        <f t="shared" si="298"/>
        <v/>
      </c>
      <c r="RLN116" s="77" t="str">
        <f t="shared" si="298"/>
        <v/>
      </c>
      <c r="RLO116" s="77" t="str">
        <f t="shared" si="298"/>
        <v/>
      </c>
      <c r="RLP116" s="77" t="str">
        <f t="shared" si="298"/>
        <v/>
      </c>
      <c r="RLQ116" s="77" t="str">
        <f t="shared" si="298"/>
        <v/>
      </c>
      <c r="RLR116" s="77" t="str">
        <f t="shared" si="298"/>
        <v/>
      </c>
      <c r="RLS116" s="77" t="str">
        <f t="shared" si="298"/>
        <v/>
      </c>
      <c r="RLT116" s="77" t="str">
        <f t="shared" si="298"/>
        <v/>
      </c>
      <c r="RLU116" s="77" t="str">
        <f t="shared" si="298"/>
        <v/>
      </c>
      <c r="RLV116" s="77" t="str">
        <f t="shared" si="298"/>
        <v/>
      </c>
      <c r="RLW116" s="77" t="str">
        <f t="shared" si="298"/>
        <v/>
      </c>
      <c r="RLX116" s="77" t="str">
        <f t="shared" si="298"/>
        <v/>
      </c>
      <c r="RLY116" s="77" t="str">
        <f t="shared" si="298"/>
        <v/>
      </c>
      <c r="RLZ116" s="77" t="str">
        <f t="shared" si="298"/>
        <v/>
      </c>
      <c r="RMA116" s="77" t="str">
        <f t="shared" si="298"/>
        <v/>
      </c>
      <c r="RMB116" s="77" t="str">
        <f t="shared" si="298"/>
        <v/>
      </c>
      <c r="RMC116" s="77" t="str">
        <f t="shared" si="298"/>
        <v/>
      </c>
      <c r="RMD116" s="77" t="str">
        <f t="shared" si="298"/>
        <v/>
      </c>
      <c r="RME116" s="77" t="str">
        <f t="shared" si="298"/>
        <v/>
      </c>
      <c r="RMF116" s="77" t="str">
        <f t="shared" si="298"/>
        <v/>
      </c>
      <c r="RMG116" s="77" t="str">
        <f t="shared" si="298"/>
        <v/>
      </c>
      <c r="RMH116" s="77" t="str">
        <f t="shared" si="298"/>
        <v/>
      </c>
      <c r="RMI116" s="77" t="str">
        <f t="shared" si="298"/>
        <v/>
      </c>
      <c r="RMJ116" s="77" t="str">
        <f t="shared" si="298"/>
        <v/>
      </c>
      <c r="RMK116" s="77" t="str">
        <f t="shared" si="298"/>
        <v/>
      </c>
      <c r="RML116" s="77" t="str">
        <f t="shared" si="298"/>
        <v/>
      </c>
      <c r="RMM116" s="77" t="str">
        <f t="shared" ref="RMM116:ROX116" si="299">IF(ISNUMBER(outYear),RMM69+RMM75+RMM81+RMM113,"")</f>
        <v/>
      </c>
      <c r="RMN116" s="77" t="str">
        <f t="shared" si="299"/>
        <v/>
      </c>
      <c r="RMO116" s="77" t="str">
        <f t="shared" si="299"/>
        <v/>
      </c>
      <c r="RMP116" s="77" t="str">
        <f t="shared" si="299"/>
        <v/>
      </c>
      <c r="RMQ116" s="77" t="str">
        <f t="shared" si="299"/>
        <v/>
      </c>
      <c r="RMR116" s="77" t="str">
        <f t="shared" si="299"/>
        <v/>
      </c>
      <c r="RMS116" s="77" t="str">
        <f t="shared" si="299"/>
        <v/>
      </c>
      <c r="RMT116" s="77" t="str">
        <f t="shared" si="299"/>
        <v/>
      </c>
      <c r="RMU116" s="77" t="str">
        <f t="shared" si="299"/>
        <v/>
      </c>
      <c r="RMV116" s="77" t="str">
        <f t="shared" si="299"/>
        <v/>
      </c>
      <c r="RMW116" s="77" t="str">
        <f t="shared" si="299"/>
        <v/>
      </c>
      <c r="RMX116" s="77" t="str">
        <f t="shared" si="299"/>
        <v/>
      </c>
      <c r="RMY116" s="77" t="str">
        <f t="shared" si="299"/>
        <v/>
      </c>
      <c r="RMZ116" s="77" t="str">
        <f t="shared" si="299"/>
        <v/>
      </c>
      <c r="RNA116" s="77" t="str">
        <f t="shared" si="299"/>
        <v/>
      </c>
      <c r="RNB116" s="77" t="str">
        <f t="shared" si="299"/>
        <v/>
      </c>
      <c r="RNC116" s="77" t="str">
        <f t="shared" si="299"/>
        <v/>
      </c>
      <c r="RND116" s="77" t="str">
        <f t="shared" si="299"/>
        <v/>
      </c>
      <c r="RNE116" s="77" t="str">
        <f t="shared" si="299"/>
        <v/>
      </c>
      <c r="RNF116" s="77" t="str">
        <f t="shared" si="299"/>
        <v/>
      </c>
      <c r="RNG116" s="77" t="str">
        <f t="shared" si="299"/>
        <v/>
      </c>
      <c r="RNH116" s="77" t="str">
        <f t="shared" si="299"/>
        <v/>
      </c>
      <c r="RNI116" s="77" t="str">
        <f t="shared" si="299"/>
        <v/>
      </c>
      <c r="RNJ116" s="77" t="str">
        <f t="shared" si="299"/>
        <v/>
      </c>
      <c r="RNK116" s="77" t="str">
        <f t="shared" si="299"/>
        <v/>
      </c>
      <c r="RNL116" s="77" t="str">
        <f t="shared" si="299"/>
        <v/>
      </c>
      <c r="RNM116" s="77" t="str">
        <f t="shared" si="299"/>
        <v/>
      </c>
      <c r="RNN116" s="77" t="str">
        <f t="shared" si="299"/>
        <v/>
      </c>
      <c r="RNO116" s="77" t="str">
        <f t="shared" si="299"/>
        <v/>
      </c>
      <c r="RNP116" s="77" t="str">
        <f t="shared" si="299"/>
        <v/>
      </c>
      <c r="RNQ116" s="77" t="str">
        <f t="shared" si="299"/>
        <v/>
      </c>
      <c r="RNR116" s="77" t="str">
        <f t="shared" si="299"/>
        <v/>
      </c>
      <c r="RNS116" s="77" t="str">
        <f t="shared" si="299"/>
        <v/>
      </c>
      <c r="RNT116" s="77" t="str">
        <f t="shared" si="299"/>
        <v/>
      </c>
      <c r="RNU116" s="77" t="str">
        <f t="shared" si="299"/>
        <v/>
      </c>
      <c r="RNV116" s="77" t="str">
        <f t="shared" si="299"/>
        <v/>
      </c>
      <c r="RNW116" s="77" t="str">
        <f t="shared" si="299"/>
        <v/>
      </c>
      <c r="RNX116" s="77" t="str">
        <f t="shared" si="299"/>
        <v/>
      </c>
      <c r="RNY116" s="77" t="str">
        <f t="shared" si="299"/>
        <v/>
      </c>
      <c r="RNZ116" s="77" t="str">
        <f t="shared" si="299"/>
        <v/>
      </c>
      <c r="ROA116" s="77" t="str">
        <f t="shared" si="299"/>
        <v/>
      </c>
      <c r="ROB116" s="77" t="str">
        <f t="shared" si="299"/>
        <v/>
      </c>
      <c r="ROC116" s="77" t="str">
        <f t="shared" si="299"/>
        <v/>
      </c>
      <c r="ROD116" s="77" t="str">
        <f t="shared" si="299"/>
        <v/>
      </c>
      <c r="ROE116" s="77" t="str">
        <f t="shared" si="299"/>
        <v/>
      </c>
      <c r="ROF116" s="77" t="str">
        <f t="shared" si="299"/>
        <v/>
      </c>
      <c r="ROG116" s="77" t="str">
        <f t="shared" si="299"/>
        <v/>
      </c>
      <c r="ROH116" s="77" t="str">
        <f t="shared" si="299"/>
        <v/>
      </c>
      <c r="ROI116" s="77" t="str">
        <f t="shared" si="299"/>
        <v/>
      </c>
      <c r="ROJ116" s="77" t="str">
        <f t="shared" si="299"/>
        <v/>
      </c>
      <c r="ROK116" s="77" t="str">
        <f t="shared" si="299"/>
        <v/>
      </c>
      <c r="ROL116" s="77" t="str">
        <f t="shared" si="299"/>
        <v/>
      </c>
      <c r="ROM116" s="77" t="str">
        <f t="shared" si="299"/>
        <v/>
      </c>
      <c r="RON116" s="77" t="str">
        <f t="shared" si="299"/>
        <v/>
      </c>
      <c r="ROO116" s="77" t="str">
        <f t="shared" si="299"/>
        <v/>
      </c>
      <c r="ROP116" s="77" t="str">
        <f t="shared" si="299"/>
        <v/>
      </c>
      <c r="ROQ116" s="77" t="str">
        <f t="shared" si="299"/>
        <v/>
      </c>
      <c r="ROR116" s="77" t="str">
        <f t="shared" si="299"/>
        <v/>
      </c>
      <c r="ROS116" s="77" t="str">
        <f t="shared" si="299"/>
        <v/>
      </c>
      <c r="ROT116" s="77" t="str">
        <f t="shared" si="299"/>
        <v/>
      </c>
      <c r="ROU116" s="77" t="str">
        <f t="shared" si="299"/>
        <v/>
      </c>
      <c r="ROV116" s="77" t="str">
        <f t="shared" si="299"/>
        <v/>
      </c>
      <c r="ROW116" s="77" t="str">
        <f t="shared" si="299"/>
        <v/>
      </c>
      <c r="ROX116" s="77" t="str">
        <f t="shared" si="299"/>
        <v/>
      </c>
      <c r="ROY116" s="77" t="str">
        <f t="shared" ref="ROY116:RRJ116" si="300">IF(ISNUMBER(outYear),ROY69+ROY75+ROY81+ROY113,"")</f>
        <v/>
      </c>
      <c r="ROZ116" s="77" t="str">
        <f t="shared" si="300"/>
        <v/>
      </c>
      <c r="RPA116" s="77" t="str">
        <f t="shared" si="300"/>
        <v/>
      </c>
      <c r="RPB116" s="77" t="str">
        <f t="shared" si="300"/>
        <v/>
      </c>
      <c r="RPC116" s="77" t="str">
        <f t="shared" si="300"/>
        <v/>
      </c>
      <c r="RPD116" s="77" t="str">
        <f t="shared" si="300"/>
        <v/>
      </c>
      <c r="RPE116" s="77" t="str">
        <f t="shared" si="300"/>
        <v/>
      </c>
      <c r="RPF116" s="77" t="str">
        <f t="shared" si="300"/>
        <v/>
      </c>
      <c r="RPG116" s="77" t="str">
        <f t="shared" si="300"/>
        <v/>
      </c>
      <c r="RPH116" s="77" t="str">
        <f t="shared" si="300"/>
        <v/>
      </c>
      <c r="RPI116" s="77" t="str">
        <f t="shared" si="300"/>
        <v/>
      </c>
      <c r="RPJ116" s="77" t="str">
        <f t="shared" si="300"/>
        <v/>
      </c>
      <c r="RPK116" s="77" t="str">
        <f t="shared" si="300"/>
        <v/>
      </c>
      <c r="RPL116" s="77" t="str">
        <f t="shared" si="300"/>
        <v/>
      </c>
      <c r="RPM116" s="77" t="str">
        <f t="shared" si="300"/>
        <v/>
      </c>
      <c r="RPN116" s="77" t="str">
        <f t="shared" si="300"/>
        <v/>
      </c>
      <c r="RPO116" s="77" t="str">
        <f t="shared" si="300"/>
        <v/>
      </c>
      <c r="RPP116" s="77" t="str">
        <f t="shared" si="300"/>
        <v/>
      </c>
      <c r="RPQ116" s="77" t="str">
        <f t="shared" si="300"/>
        <v/>
      </c>
      <c r="RPR116" s="77" t="str">
        <f t="shared" si="300"/>
        <v/>
      </c>
      <c r="RPS116" s="77" t="str">
        <f t="shared" si="300"/>
        <v/>
      </c>
      <c r="RPT116" s="77" t="str">
        <f t="shared" si="300"/>
        <v/>
      </c>
      <c r="RPU116" s="77" t="str">
        <f t="shared" si="300"/>
        <v/>
      </c>
      <c r="RPV116" s="77" t="str">
        <f t="shared" si="300"/>
        <v/>
      </c>
      <c r="RPW116" s="77" t="str">
        <f t="shared" si="300"/>
        <v/>
      </c>
      <c r="RPX116" s="77" t="str">
        <f t="shared" si="300"/>
        <v/>
      </c>
      <c r="RPY116" s="77" t="str">
        <f t="shared" si="300"/>
        <v/>
      </c>
      <c r="RPZ116" s="77" t="str">
        <f t="shared" si="300"/>
        <v/>
      </c>
      <c r="RQA116" s="77" t="str">
        <f t="shared" si="300"/>
        <v/>
      </c>
      <c r="RQB116" s="77" t="str">
        <f t="shared" si="300"/>
        <v/>
      </c>
      <c r="RQC116" s="77" t="str">
        <f t="shared" si="300"/>
        <v/>
      </c>
      <c r="RQD116" s="77" t="str">
        <f t="shared" si="300"/>
        <v/>
      </c>
      <c r="RQE116" s="77" t="str">
        <f t="shared" si="300"/>
        <v/>
      </c>
      <c r="RQF116" s="77" t="str">
        <f t="shared" si="300"/>
        <v/>
      </c>
      <c r="RQG116" s="77" t="str">
        <f t="shared" si="300"/>
        <v/>
      </c>
      <c r="RQH116" s="77" t="str">
        <f t="shared" si="300"/>
        <v/>
      </c>
      <c r="RQI116" s="77" t="str">
        <f t="shared" si="300"/>
        <v/>
      </c>
      <c r="RQJ116" s="77" t="str">
        <f t="shared" si="300"/>
        <v/>
      </c>
      <c r="RQK116" s="77" t="str">
        <f t="shared" si="300"/>
        <v/>
      </c>
      <c r="RQL116" s="77" t="str">
        <f t="shared" si="300"/>
        <v/>
      </c>
      <c r="RQM116" s="77" t="str">
        <f t="shared" si="300"/>
        <v/>
      </c>
      <c r="RQN116" s="77" t="str">
        <f t="shared" si="300"/>
        <v/>
      </c>
      <c r="RQO116" s="77" t="str">
        <f t="shared" si="300"/>
        <v/>
      </c>
      <c r="RQP116" s="77" t="str">
        <f t="shared" si="300"/>
        <v/>
      </c>
      <c r="RQQ116" s="77" t="str">
        <f t="shared" si="300"/>
        <v/>
      </c>
      <c r="RQR116" s="77" t="str">
        <f t="shared" si="300"/>
        <v/>
      </c>
      <c r="RQS116" s="77" t="str">
        <f t="shared" si="300"/>
        <v/>
      </c>
      <c r="RQT116" s="77" t="str">
        <f t="shared" si="300"/>
        <v/>
      </c>
      <c r="RQU116" s="77" t="str">
        <f t="shared" si="300"/>
        <v/>
      </c>
      <c r="RQV116" s="77" t="str">
        <f t="shared" si="300"/>
        <v/>
      </c>
      <c r="RQW116" s="77" t="str">
        <f t="shared" si="300"/>
        <v/>
      </c>
      <c r="RQX116" s="77" t="str">
        <f t="shared" si="300"/>
        <v/>
      </c>
      <c r="RQY116" s="77" t="str">
        <f t="shared" si="300"/>
        <v/>
      </c>
      <c r="RQZ116" s="77" t="str">
        <f t="shared" si="300"/>
        <v/>
      </c>
      <c r="RRA116" s="77" t="str">
        <f t="shared" si="300"/>
        <v/>
      </c>
      <c r="RRB116" s="77" t="str">
        <f t="shared" si="300"/>
        <v/>
      </c>
      <c r="RRC116" s="77" t="str">
        <f t="shared" si="300"/>
        <v/>
      </c>
      <c r="RRD116" s="77" t="str">
        <f t="shared" si="300"/>
        <v/>
      </c>
      <c r="RRE116" s="77" t="str">
        <f t="shared" si="300"/>
        <v/>
      </c>
      <c r="RRF116" s="77" t="str">
        <f t="shared" si="300"/>
        <v/>
      </c>
      <c r="RRG116" s="77" t="str">
        <f t="shared" si="300"/>
        <v/>
      </c>
      <c r="RRH116" s="77" t="str">
        <f t="shared" si="300"/>
        <v/>
      </c>
      <c r="RRI116" s="77" t="str">
        <f t="shared" si="300"/>
        <v/>
      </c>
      <c r="RRJ116" s="77" t="str">
        <f t="shared" si="300"/>
        <v/>
      </c>
      <c r="RRK116" s="77" t="str">
        <f t="shared" ref="RRK116:RTV116" si="301">IF(ISNUMBER(outYear),RRK69+RRK75+RRK81+RRK113,"")</f>
        <v/>
      </c>
      <c r="RRL116" s="77" t="str">
        <f t="shared" si="301"/>
        <v/>
      </c>
      <c r="RRM116" s="77" t="str">
        <f t="shared" si="301"/>
        <v/>
      </c>
      <c r="RRN116" s="77" t="str">
        <f t="shared" si="301"/>
        <v/>
      </c>
      <c r="RRO116" s="77" t="str">
        <f t="shared" si="301"/>
        <v/>
      </c>
      <c r="RRP116" s="77" t="str">
        <f t="shared" si="301"/>
        <v/>
      </c>
      <c r="RRQ116" s="77" t="str">
        <f t="shared" si="301"/>
        <v/>
      </c>
      <c r="RRR116" s="77" t="str">
        <f t="shared" si="301"/>
        <v/>
      </c>
      <c r="RRS116" s="77" t="str">
        <f t="shared" si="301"/>
        <v/>
      </c>
      <c r="RRT116" s="77" t="str">
        <f t="shared" si="301"/>
        <v/>
      </c>
      <c r="RRU116" s="77" t="str">
        <f t="shared" si="301"/>
        <v/>
      </c>
      <c r="RRV116" s="77" t="str">
        <f t="shared" si="301"/>
        <v/>
      </c>
      <c r="RRW116" s="77" t="str">
        <f t="shared" si="301"/>
        <v/>
      </c>
      <c r="RRX116" s="77" t="str">
        <f t="shared" si="301"/>
        <v/>
      </c>
      <c r="RRY116" s="77" t="str">
        <f t="shared" si="301"/>
        <v/>
      </c>
      <c r="RRZ116" s="77" t="str">
        <f t="shared" si="301"/>
        <v/>
      </c>
      <c r="RSA116" s="77" t="str">
        <f t="shared" si="301"/>
        <v/>
      </c>
      <c r="RSB116" s="77" t="str">
        <f t="shared" si="301"/>
        <v/>
      </c>
      <c r="RSC116" s="77" t="str">
        <f t="shared" si="301"/>
        <v/>
      </c>
      <c r="RSD116" s="77" t="str">
        <f t="shared" si="301"/>
        <v/>
      </c>
      <c r="RSE116" s="77" t="str">
        <f t="shared" si="301"/>
        <v/>
      </c>
      <c r="RSF116" s="77" t="str">
        <f t="shared" si="301"/>
        <v/>
      </c>
      <c r="RSG116" s="77" t="str">
        <f t="shared" si="301"/>
        <v/>
      </c>
      <c r="RSH116" s="77" t="str">
        <f t="shared" si="301"/>
        <v/>
      </c>
      <c r="RSI116" s="77" t="str">
        <f t="shared" si="301"/>
        <v/>
      </c>
      <c r="RSJ116" s="77" t="str">
        <f t="shared" si="301"/>
        <v/>
      </c>
      <c r="RSK116" s="77" t="str">
        <f t="shared" si="301"/>
        <v/>
      </c>
      <c r="RSL116" s="77" t="str">
        <f t="shared" si="301"/>
        <v/>
      </c>
      <c r="RSM116" s="77" t="str">
        <f t="shared" si="301"/>
        <v/>
      </c>
      <c r="RSN116" s="77" t="str">
        <f t="shared" si="301"/>
        <v/>
      </c>
      <c r="RSO116" s="77" t="str">
        <f t="shared" si="301"/>
        <v/>
      </c>
      <c r="RSP116" s="77" t="str">
        <f t="shared" si="301"/>
        <v/>
      </c>
      <c r="RSQ116" s="77" t="str">
        <f t="shared" si="301"/>
        <v/>
      </c>
      <c r="RSR116" s="77" t="str">
        <f t="shared" si="301"/>
        <v/>
      </c>
      <c r="RSS116" s="77" t="str">
        <f t="shared" si="301"/>
        <v/>
      </c>
      <c r="RST116" s="77" t="str">
        <f t="shared" si="301"/>
        <v/>
      </c>
      <c r="RSU116" s="77" t="str">
        <f t="shared" si="301"/>
        <v/>
      </c>
      <c r="RSV116" s="77" t="str">
        <f t="shared" si="301"/>
        <v/>
      </c>
      <c r="RSW116" s="77" t="str">
        <f t="shared" si="301"/>
        <v/>
      </c>
      <c r="RSX116" s="77" t="str">
        <f t="shared" si="301"/>
        <v/>
      </c>
      <c r="RSY116" s="77" t="str">
        <f t="shared" si="301"/>
        <v/>
      </c>
      <c r="RSZ116" s="77" t="str">
        <f t="shared" si="301"/>
        <v/>
      </c>
      <c r="RTA116" s="77" t="str">
        <f t="shared" si="301"/>
        <v/>
      </c>
      <c r="RTB116" s="77" t="str">
        <f t="shared" si="301"/>
        <v/>
      </c>
      <c r="RTC116" s="77" t="str">
        <f t="shared" si="301"/>
        <v/>
      </c>
      <c r="RTD116" s="77" t="str">
        <f t="shared" si="301"/>
        <v/>
      </c>
      <c r="RTE116" s="77" t="str">
        <f t="shared" si="301"/>
        <v/>
      </c>
      <c r="RTF116" s="77" t="str">
        <f t="shared" si="301"/>
        <v/>
      </c>
      <c r="RTG116" s="77" t="str">
        <f t="shared" si="301"/>
        <v/>
      </c>
      <c r="RTH116" s="77" t="str">
        <f t="shared" si="301"/>
        <v/>
      </c>
      <c r="RTI116" s="77" t="str">
        <f t="shared" si="301"/>
        <v/>
      </c>
      <c r="RTJ116" s="77" t="str">
        <f t="shared" si="301"/>
        <v/>
      </c>
      <c r="RTK116" s="77" t="str">
        <f t="shared" si="301"/>
        <v/>
      </c>
      <c r="RTL116" s="77" t="str">
        <f t="shared" si="301"/>
        <v/>
      </c>
      <c r="RTM116" s="77" t="str">
        <f t="shared" si="301"/>
        <v/>
      </c>
      <c r="RTN116" s="77" t="str">
        <f t="shared" si="301"/>
        <v/>
      </c>
      <c r="RTO116" s="77" t="str">
        <f t="shared" si="301"/>
        <v/>
      </c>
      <c r="RTP116" s="77" t="str">
        <f t="shared" si="301"/>
        <v/>
      </c>
      <c r="RTQ116" s="77" t="str">
        <f t="shared" si="301"/>
        <v/>
      </c>
      <c r="RTR116" s="77" t="str">
        <f t="shared" si="301"/>
        <v/>
      </c>
      <c r="RTS116" s="77" t="str">
        <f t="shared" si="301"/>
        <v/>
      </c>
      <c r="RTT116" s="77" t="str">
        <f t="shared" si="301"/>
        <v/>
      </c>
      <c r="RTU116" s="77" t="str">
        <f t="shared" si="301"/>
        <v/>
      </c>
      <c r="RTV116" s="77" t="str">
        <f t="shared" si="301"/>
        <v/>
      </c>
      <c r="RTW116" s="77" t="str">
        <f t="shared" ref="RTW116:RWH116" si="302">IF(ISNUMBER(outYear),RTW69+RTW75+RTW81+RTW113,"")</f>
        <v/>
      </c>
      <c r="RTX116" s="77" t="str">
        <f t="shared" si="302"/>
        <v/>
      </c>
      <c r="RTY116" s="77" t="str">
        <f t="shared" si="302"/>
        <v/>
      </c>
      <c r="RTZ116" s="77" t="str">
        <f t="shared" si="302"/>
        <v/>
      </c>
      <c r="RUA116" s="77" t="str">
        <f t="shared" si="302"/>
        <v/>
      </c>
      <c r="RUB116" s="77" t="str">
        <f t="shared" si="302"/>
        <v/>
      </c>
      <c r="RUC116" s="77" t="str">
        <f t="shared" si="302"/>
        <v/>
      </c>
      <c r="RUD116" s="77" t="str">
        <f t="shared" si="302"/>
        <v/>
      </c>
      <c r="RUE116" s="77" t="str">
        <f t="shared" si="302"/>
        <v/>
      </c>
      <c r="RUF116" s="77" t="str">
        <f t="shared" si="302"/>
        <v/>
      </c>
      <c r="RUG116" s="77" t="str">
        <f t="shared" si="302"/>
        <v/>
      </c>
      <c r="RUH116" s="77" t="str">
        <f t="shared" si="302"/>
        <v/>
      </c>
      <c r="RUI116" s="77" t="str">
        <f t="shared" si="302"/>
        <v/>
      </c>
      <c r="RUJ116" s="77" t="str">
        <f t="shared" si="302"/>
        <v/>
      </c>
      <c r="RUK116" s="77" t="str">
        <f t="shared" si="302"/>
        <v/>
      </c>
      <c r="RUL116" s="77" t="str">
        <f t="shared" si="302"/>
        <v/>
      </c>
      <c r="RUM116" s="77" t="str">
        <f t="shared" si="302"/>
        <v/>
      </c>
      <c r="RUN116" s="77" t="str">
        <f t="shared" si="302"/>
        <v/>
      </c>
      <c r="RUO116" s="77" t="str">
        <f t="shared" si="302"/>
        <v/>
      </c>
      <c r="RUP116" s="77" t="str">
        <f t="shared" si="302"/>
        <v/>
      </c>
      <c r="RUQ116" s="77" t="str">
        <f t="shared" si="302"/>
        <v/>
      </c>
      <c r="RUR116" s="77" t="str">
        <f t="shared" si="302"/>
        <v/>
      </c>
      <c r="RUS116" s="77" t="str">
        <f t="shared" si="302"/>
        <v/>
      </c>
      <c r="RUT116" s="77" t="str">
        <f t="shared" si="302"/>
        <v/>
      </c>
      <c r="RUU116" s="77" t="str">
        <f t="shared" si="302"/>
        <v/>
      </c>
      <c r="RUV116" s="77" t="str">
        <f t="shared" si="302"/>
        <v/>
      </c>
      <c r="RUW116" s="77" t="str">
        <f t="shared" si="302"/>
        <v/>
      </c>
      <c r="RUX116" s="77" t="str">
        <f t="shared" si="302"/>
        <v/>
      </c>
      <c r="RUY116" s="77" t="str">
        <f t="shared" si="302"/>
        <v/>
      </c>
      <c r="RUZ116" s="77" t="str">
        <f t="shared" si="302"/>
        <v/>
      </c>
      <c r="RVA116" s="77" t="str">
        <f t="shared" si="302"/>
        <v/>
      </c>
      <c r="RVB116" s="77" t="str">
        <f t="shared" si="302"/>
        <v/>
      </c>
      <c r="RVC116" s="77" t="str">
        <f t="shared" si="302"/>
        <v/>
      </c>
      <c r="RVD116" s="77" t="str">
        <f t="shared" si="302"/>
        <v/>
      </c>
      <c r="RVE116" s="77" t="str">
        <f t="shared" si="302"/>
        <v/>
      </c>
      <c r="RVF116" s="77" t="str">
        <f t="shared" si="302"/>
        <v/>
      </c>
      <c r="RVG116" s="77" t="str">
        <f t="shared" si="302"/>
        <v/>
      </c>
      <c r="RVH116" s="77" t="str">
        <f t="shared" si="302"/>
        <v/>
      </c>
      <c r="RVI116" s="77" t="str">
        <f t="shared" si="302"/>
        <v/>
      </c>
      <c r="RVJ116" s="77" t="str">
        <f t="shared" si="302"/>
        <v/>
      </c>
      <c r="RVK116" s="77" t="str">
        <f t="shared" si="302"/>
        <v/>
      </c>
      <c r="RVL116" s="77" t="str">
        <f t="shared" si="302"/>
        <v/>
      </c>
      <c r="RVM116" s="77" t="str">
        <f t="shared" si="302"/>
        <v/>
      </c>
      <c r="RVN116" s="77" t="str">
        <f t="shared" si="302"/>
        <v/>
      </c>
      <c r="RVO116" s="77" t="str">
        <f t="shared" si="302"/>
        <v/>
      </c>
      <c r="RVP116" s="77" t="str">
        <f t="shared" si="302"/>
        <v/>
      </c>
      <c r="RVQ116" s="77" t="str">
        <f t="shared" si="302"/>
        <v/>
      </c>
      <c r="RVR116" s="77" t="str">
        <f t="shared" si="302"/>
        <v/>
      </c>
      <c r="RVS116" s="77" t="str">
        <f t="shared" si="302"/>
        <v/>
      </c>
      <c r="RVT116" s="77" t="str">
        <f t="shared" si="302"/>
        <v/>
      </c>
      <c r="RVU116" s="77" t="str">
        <f t="shared" si="302"/>
        <v/>
      </c>
      <c r="RVV116" s="77" t="str">
        <f t="shared" si="302"/>
        <v/>
      </c>
      <c r="RVW116" s="77" t="str">
        <f t="shared" si="302"/>
        <v/>
      </c>
      <c r="RVX116" s="77" t="str">
        <f t="shared" si="302"/>
        <v/>
      </c>
      <c r="RVY116" s="77" t="str">
        <f t="shared" si="302"/>
        <v/>
      </c>
      <c r="RVZ116" s="77" t="str">
        <f t="shared" si="302"/>
        <v/>
      </c>
      <c r="RWA116" s="77" t="str">
        <f t="shared" si="302"/>
        <v/>
      </c>
      <c r="RWB116" s="77" t="str">
        <f t="shared" si="302"/>
        <v/>
      </c>
      <c r="RWC116" s="77" t="str">
        <f t="shared" si="302"/>
        <v/>
      </c>
      <c r="RWD116" s="77" t="str">
        <f t="shared" si="302"/>
        <v/>
      </c>
      <c r="RWE116" s="77" t="str">
        <f t="shared" si="302"/>
        <v/>
      </c>
      <c r="RWF116" s="77" t="str">
        <f t="shared" si="302"/>
        <v/>
      </c>
      <c r="RWG116" s="77" t="str">
        <f t="shared" si="302"/>
        <v/>
      </c>
      <c r="RWH116" s="77" t="str">
        <f t="shared" si="302"/>
        <v/>
      </c>
      <c r="RWI116" s="77" t="str">
        <f t="shared" ref="RWI116:RYT116" si="303">IF(ISNUMBER(outYear),RWI69+RWI75+RWI81+RWI113,"")</f>
        <v/>
      </c>
      <c r="RWJ116" s="77" t="str">
        <f t="shared" si="303"/>
        <v/>
      </c>
      <c r="RWK116" s="77" t="str">
        <f t="shared" si="303"/>
        <v/>
      </c>
      <c r="RWL116" s="77" t="str">
        <f t="shared" si="303"/>
        <v/>
      </c>
      <c r="RWM116" s="77" t="str">
        <f t="shared" si="303"/>
        <v/>
      </c>
      <c r="RWN116" s="77" t="str">
        <f t="shared" si="303"/>
        <v/>
      </c>
      <c r="RWO116" s="77" t="str">
        <f t="shared" si="303"/>
        <v/>
      </c>
      <c r="RWP116" s="77" t="str">
        <f t="shared" si="303"/>
        <v/>
      </c>
      <c r="RWQ116" s="77" t="str">
        <f t="shared" si="303"/>
        <v/>
      </c>
      <c r="RWR116" s="77" t="str">
        <f t="shared" si="303"/>
        <v/>
      </c>
      <c r="RWS116" s="77" t="str">
        <f t="shared" si="303"/>
        <v/>
      </c>
      <c r="RWT116" s="77" t="str">
        <f t="shared" si="303"/>
        <v/>
      </c>
      <c r="RWU116" s="77" t="str">
        <f t="shared" si="303"/>
        <v/>
      </c>
      <c r="RWV116" s="77" t="str">
        <f t="shared" si="303"/>
        <v/>
      </c>
      <c r="RWW116" s="77" t="str">
        <f t="shared" si="303"/>
        <v/>
      </c>
      <c r="RWX116" s="77" t="str">
        <f t="shared" si="303"/>
        <v/>
      </c>
      <c r="RWY116" s="77" t="str">
        <f t="shared" si="303"/>
        <v/>
      </c>
      <c r="RWZ116" s="77" t="str">
        <f t="shared" si="303"/>
        <v/>
      </c>
      <c r="RXA116" s="77" t="str">
        <f t="shared" si="303"/>
        <v/>
      </c>
      <c r="RXB116" s="77" t="str">
        <f t="shared" si="303"/>
        <v/>
      </c>
      <c r="RXC116" s="77" t="str">
        <f t="shared" si="303"/>
        <v/>
      </c>
      <c r="RXD116" s="77" t="str">
        <f t="shared" si="303"/>
        <v/>
      </c>
      <c r="RXE116" s="77" t="str">
        <f t="shared" si="303"/>
        <v/>
      </c>
      <c r="RXF116" s="77" t="str">
        <f t="shared" si="303"/>
        <v/>
      </c>
      <c r="RXG116" s="77" t="str">
        <f t="shared" si="303"/>
        <v/>
      </c>
      <c r="RXH116" s="77" t="str">
        <f t="shared" si="303"/>
        <v/>
      </c>
      <c r="RXI116" s="77" t="str">
        <f t="shared" si="303"/>
        <v/>
      </c>
      <c r="RXJ116" s="77" t="str">
        <f t="shared" si="303"/>
        <v/>
      </c>
      <c r="RXK116" s="77" t="str">
        <f t="shared" si="303"/>
        <v/>
      </c>
      <c r="RXL116" s="77" t="str">
        <f t="shared" si="303"/>
        <v/>
      </c>
      <c r="RXM116" s="77" t="str">
        <f t="shared" si="303"/>
        <v/>
      </c>
      <c r="RXN116" s="77" t="str">
        <f t="shared" si="303"/>
        <v/>
      </c>
      <c r="RXO116" s="77" t="str">
        <f t="shared" si="303"/>
        <v/>
      </c>
      <c r="RXP116" s="77" t="str">
        <f t="shared" si="303"/>
        <v/>
      </c>
      <c r="RXQ116" s="77" t="str">
        <f t="shared" si="303"/>
        <v/>
      </c>
      <c r="RXR116" s="77" t="str">
        <f t="shared" si="303"/>
        <v/>
      </c>
      <c r="RXS116" s="77" t="str">
        <f t="shared" si="303"/>
        <v/>
      </c>
      <c r="RXT116" s="77" t="str">
        <f t="shared" si="303"/>
        <v/>
      </c>
      <c r="RXU116" s="77" t="str">
        <f t="shared" si="303"/>
        <v/>
      </c>
      <c r="RXV116" s="77" t="str">
        <f t="shared" si="303"/>
        <v/>
      </c>
      <c r="RXW116" s="77" t="str">
        <f t="shared" si="303"/>
        <v/>
      </c>
      <c r="RXX116" s="77" t="str">
        <f t="shared" si="303"/>
        <v/>
      </c>
      <c r="RXY116" s="77" t="str">
        <f t="shared" si="303"/>
        <v/>
      </c>
      <c r="RXZ116" s="77" t="str">
        <f t="shared" si="303"/>
        <v/>
      </c>
      <c r="RYA116" s="77" t="str">
        <f t="shared" si="303"/>
        <v/>
      </c>
      <c r="RYB116" s="77" t="str">
        <f t="shared" si="303"/>
        <v/>
      </c>
      <c r="RYC116" s="77" t="str">
        <f t="shared" si="303"/>
        <v/>
      </c>
      <c r="RYD116" s="77" t="str">
        <f t="shared" si="303"/>
        <v/>
      </c>
      <c r="RYE116" s="77" t="str">
        <f t="shared" si="303"/>
        <v/>
      </c>
      <c r="RYF116" s="77" t="str">
        <f t="shared" si="303"/>
        <v/>
      </c>
      <c r="RYG116" s="77" t="str">
        <f t="shared" si="303"/>
        <v/>
      </c>
      <c r="RYH116" s="77" t="str">
        <f t="shared" si="303"/>
        <v/>
      </c>
      <c r="RYI116" s="77" t="str">
        <f t="shared" si="303"/>
        <v/>
      </c>
      <c r="RYJ116" s="77" t="str">
        <f t="shared" si="303"/>
        <v/>
      </c>
      <c r="RYK116" s="77" t="str">
        <f t="shared" si="303"/>
        <v/>
      </c>
      <c r="RYL116" s="77" t="str">
        <f t="shared" si="303"/>
        <v/>
      </c>
      <c r="RYM116" s="77" t="str">
        <f t="shared" si="303"/>
        <v/>
      </c>
      <c r="RYN116" s="77" t="str">
        <f t="shared" si="303"/>
        <v/>
      </c>
      <c r="RYO116" s="77" t="str">
        <f t="shared" si="303"/>
        <v/>
      </c>
      <c r="RYP116" s="77" t="str">
        <f t="shared" si="303"/>
        <v/>
      </c>
      <c r="RYQ116" s="77" t="str">
        <f t="shared" si="303"/>
        <v/>
      </c>
      <c r="RYR116" s="77" t="str">
        <f t="shared" si="303"/>
        <v/>
      </c>
      <c r="RYS116" s="77" t="str">
        <f t="shared" si="303"/>
        <v/>
      </c>
      <c r="RYT116" s="77" t="str">
        <f t="shared" si="303"/>
        <v/>
      </c>
      <c r="RYU116" s="77" t="str">
        <f t="shared" ref="RYU116:SBF116" si="304">IF(ISNUMBER(outYear),RYU69+RYU75+RYU81+RYU113,"")</f>
        <v/>
      </c>
      <c r="RYV116" s="77" t="str">
        <f t="shared" si="304"/>
        <v/>
      </c>
      <c r="RYW116" s="77" t="str">
        <f t="shared" si="304"/>
        <v/>
      </c>
      <c r="RYX116" s="77" t="str">
        <f t="shared" si="304"/>
        <v/>
      </c>
      <c r="RYY116" s="77" t="str">
        <f t="shared" si="304"/>
        <v/>
      </c>
      <c r="RYZ116" s="77" t="str">
        <f t="shared" si="304"/>
        <v/>
      </c>
      <c r="RZA116" s="77" t="str">
        <f t="shared" si="304"/>
        <v/>
      </c>
      <c r="RZB116" s="77" t="str">
        <f t="shared" si="304"/>
        <v/>
      </c>
      <c r="RZC116" s="77" t="str">
        <f t="shared" si="304"/>
        <v/>
      </c>
      <c r="RZD116" s="77" t="str">
        <f t="shared" si="304"/>
        <v/>
      </c>
      <c r="RZE116" s="77" t="str">
        <f t="shared" si="304"/>
        <v/>
      </c>
      <c r="RZF116" s="77" t="str">
        <f t="shared" si="304"/>
        <v/>
      </c>
      <c r="RZG116" s="77" t="str">
        <f t="shared" si="304"/>
        <v/>
      </c>
      <c r="RZH116" s="77" t="str">
        <f t="shared" si="304"/>
        <v/>
      </c>
      <c r="RZI116" s="77" t="str">
        <f t="shared" si="304"/>
        <v/>
      </c>
      <c r="RZJ116" s="77" t="str">
        <f t="shared" si="304"/>
        <v/>
      </c>
      <c r="RZK116" s="77" t="str">
        <f t="shared" si="304"/>
        <v/>
      </c>
      <c r="RZL116" s="77" t="str">
        <f t="shared" si="304"/>
        <v/>
      </c>
      <c r="RZM116" s="77" t="str">
        <f t="shared" si="304"/>
        <v/>
      </c>
      <c r="RZN116" s="77" t="str">
        <f t="shared" si="304"/>
        <v/>
      </c>
      <c r="RZO116" s="77" t="str">
        <f t="shared" si="304"/>
        <v/>
      </c>
      <c r="RZP116" s="77" t="str">
        <f t="shared" si="304"/>
        <v/>
      </c>
      <c r="RZQ116" s="77" t="str">
        <f t="shared" si="304"/>
        <v/>
      </c>
      <c r="RZR116" s="77" t="str">
        <f t="shared" si="304"/>
        <v/>
      </c>
      <c r="RZS116" s="77" t="str">
        <f t="shared" si="304"/>
        <v/>
      </c>
      <c r="RZT116" s="77" t="str">
        <f t="shared" si="304"/>
        <v/>
      </c>
      <c r="RZU116" s="77" t="str">
        <f t="shared" si="304"/>
        <v/>
      </c>
      <c r="RZV116" s="77" t="str">
        <f t="shared" si="304"/>
        <v/>
      </c>
      <c r="RZW116" s="77" t="str">
        <f t="shared" si="304"/>
        <v/>
      </c>
      <c r="RZX116" s="77" t="str">
        <f t="shared" si="304"/>
        <v/>
      </c>
      <c r="RZY116" s="77" t="str">
        <f t="shared" si="304"/>
        <v/>
      </c>
      <c r="RZZ116" s="77" t="str">
        <f t="shared" si="304"/>
        <v/>
      </c>
      <c r="SAA116" s="77" t="str">
        <f t="shared" si="304"/>
        <v/>
      </c>
      <c r="SAB116" s="77" t="str">
        <f t="shared" si="304"/>
        <v/>
      </c>
      <c r="SAC116" s="77" t="str">
        <f t="shared" si="304"/>
        <v/>
      </c>
      <c r="SAD116" s="77" t="str">
        <f t="shared" si="304"/>
        <v/>
      </c>
      <c r="SAE116" s="77" t="str">
        <f t="shared" si="304"/>
        <v/>
      </c>
      <c r="SAF116" s="77" t="str">
        <f t="shared" si="304"/>
        <v/>
      </c>
      <c r="SAG116" s="77" t="str">
        <f t="shared" si="304"/>
        <v/>
      </c>
      <c r="SAH116" s="77" t="str">
        <f t="shared" si="304"/>
        <v/>
      </c>
      <c r="SAI116" s="77" t="str">
        <f t="shared" si="304"/>
        <v/>
      </c>
      <c r="SAJ116" s="77" t="str">
        <f t="shared" si="304"/>
        <v/>
      </c>
      <c r="SAK116" s="77" t="str">
        <f t="shared" si="304"/>
        <v/>
      </c>
      <c r="SAL116" s="77" t="str">
        <f t="shared" si="304"/>
        <v/>
      </c>
      <c r="SAM116" s="77" t="str">
        <f t="shared" si="304"/>
        <v/>
      </c>
      <c r="SAN116" s="77" t="str">
        <f t="shared" si="304"/>
        <v/>
      </c>
      <c r="SAO116" s="77" t="str">
        <f t="shared" si="304"/>
        <v/>
      </c>
      <c r="SAP116" s="77" t="str">
        <f t="shared" si="304"/>
        <v/>
      </c>
      <c r="SAQ116" s="77" t="str">
        <f t="shared" si="304"/>
        <v/>
      </c>
      <c r="SAR116" s="77" t="str">
        <f t="shared" si="304"/>
        <v/>
      </c>
      <c r="SAS116" s="77" t="str">
        <f t="shared" si="304"/>
        <v/>
      </c>
      <c r="SAT116" s="77" t="str">
        <f t="shared" si="304"/>
        <v/>
      </c>
      <c r="SAU116" s="77" t="str">
        <f t="shared" si="304"/>
        <v/>
      </c>
      <c r="SAV116" s="77" t="str">
        <f t="shared" si="304"/>
        <v/>
      </c>
      <c r="SAW116" s="77" t="str">
        <f t="shared" si="304"/>
        <v/>
      </c>
      <c r="SAX116" s="77" t="str">
        <f t="shared" si="304"/>
        <v/>
      </c>
      <c r="SAY116" s="77" t="str">
        <f t="shared" si="304"/>
        <v/>
      </c>
      <c r="SAZ116" s="77" t="str">
        <f t="shared" si="304"/>
        <v/>
      </c>
      <c r="SBA116" s="77" t="str">
        <f t="shared" si="304"/>
        <v/>
      </c>
      <c r="SBB116" s="77" t="str">
        <f t="shared" si="304"/>
        <v/>
      </c>
      <c r="SBC116" s="77" t="str">
        <f t="shared" si="304"/>
        <v/>
      </c>
      <c r="SBD116" s="77" t="str">
        <f t="shared" si="304"/>
        <v/>
      </c>
      <c r="SBE116" s="77" t="str">
        <f t="shared" si="304"/>
        <v/>
      </c>
      <c r="SBF116" s="77" t="str">
        <f t="shared" si="304"/>
        <v/>
      </c>
      <c r="SBG116" s="77" t="str">
        <f t="shared" ref="SBG116:SDR116" si="305">IF(ISNUMBER(outYear),SBG69+SBG75+SBG81+SBG113,"")</f>
        <v/>
      </c>
      <c r="SBH116" s="77" t="str">
        <f t="shared" si="305"/>
        <v/>
      </c>
      <c r="SBI116" s="77" t="str">
        <f t="shared" si="305"/>
        <v/>
      </c>
      <c r="SBJ116" s="77" t="str">
        <f t="shared" si="305"/>
        <v/>
      </c>
      <c r="SBK116" s="77" t="str">
        <f t="shared" si="305"/>
        <v/>
      </c>
      <c r="SBL116" s="77" t="str">
        <f t="shared" si="305"/>
        <v/>
      </c>
      <c r="SBM116" s="77" t="str">
        <f t="shared" si="305"/>
        <v/>
      </c>
      <c r="SBN116" s="77" t="str">
        <f t="shared" si="305"/>
        <v/>
      </c>
      <c r="SBO116" s="77" t="str">
        <f t="shared" si="305"/>
        <v/>
      </c>
      <c r="SBP116" s="77" t="str">
        <f t="shared" si="305"/>
        <v/>
      </c>
      <c r="SBQ116" s="77" t="str">
        <f t="shared" si="305"/>
        <v/>
      </c>
      <c r="SBR116" s="77" t="str">
        <f t="shared" si="305"/>
        <v/>
      </c>
      <c r="SBS116" s="77" t="str">
        <f t="shared" si="305"/>
        <v/>
      </c>
      <c r="SBT116" s="77" t="str">
        <f t="shared" si="305"/>
        <v/>
      </c>
      <c r="SBU116" s="77" t="str">
        <f t="shared" si="305"/>
        <v/>
      </c>
      <c r="SBV116" s="77" t="str">
        <f t="shared" si="305"/>
        <v/>
      </c>
      <c r="SBW116" s="77" t="str">
        <f t="shared" si="305"/>
        <v/>
      </c>
      <c r="SBX116" s="77" t="str">
        <f t="shared" si="305"/>
        <v/>
      </c>
      <c r="SBY116" s="77" t="str">
        <f t="shared" si="305"/>
        <v/>
      </c>
      <c r="SBZ116" s="77" t="str">
        <f t="shared" si="305"/>
        <v/>
      </c>
      <c r="SCA116" s="77" t="str">
        <f t="shared" si="305"/>
        <v/>
      </c>
      <c r="SCB116" s="77" t="str">
        <f t="shared" si="305"/>
        <v/>
      </c>
      <c r="SCC116" s="77" t="str">
        <f t="shared" si="305"/>
        <v/>
      </c>
      <c r="SCD116" s="77" t="str">
        <f t="shared" si="305"/>
        <v/>
      </c>
      <c r="SCE116" s="77" t="str">
        <f t="shared" si="305"/>
        <v/>
      </c>
      <c r="SCF116" s="77" t="str">
        <f t="shared" si="305"/>
        <v/>
      </c>
      <c r="SCG116" s="77" t="str">
        <f t="shared" si="305"/>
        <v/>
      </c>
      <c r="SCH116" s="77" t="str">
        <f t="shared" si="305"/>
        <v/>
      </c>
      <c r="SCI116" s="77" t="str">
        <f t="shared" si="305"/>
        <v/>
      </c>
      <c r="SCJ116" s="77" t="str">
        <f t="shared" si="305"/>
        <v/>
      </c>
      <c r="SCK116" s="77" t="str">
        <f t="shared" si="305"/>
        <v/>
      </c>
      <c r="SCL116" s="77" t="str">
        <f t="shared" si="305"/>
        <v/>
      </c>
      <c r="SCM116" s="77" t="str">
        <f t="shared" si="305"/>
        <v/>
      </c>
      <c r="SCN116" s="77" t="str">
        <f t="shared" si="305"/>
        <v/>
      </c>
      <c r="SCO116" s="77" t="str">
        <f t="shared" si="305"/>
        <v/>
      </c>
      <c r="SCP116" s="77" t="str">
        <f t="shared" si="305"/>
        <v/>
      </c>
      <c r="SCQ116" s="77" t="str">
        <f t="shared" si="305"/>
        <v/>
      </c>
      <c r="SCR116" s="77" t="str">
        <f t="shared" si="305"/>
        <v/>
      </c>
      <c r="SCS116" s="77" t="str">
        <f t="shared" si="305"/>
        <v/>
      </c>
      <c r="SCT116" s="77" t="str">
        <f t="shared" si="305"/>
        <v/>
      </c>
      <c r="SCU116" s="77" t="str">
        <f t="shared" si="305"/>
        <v/>
      </c>
      <c r="SCV116" s="77" t="str">
        <f t="shared" si="305"/>
        <v/>
      </c>
      <c r="SCW116" s="77" t="str">
        <f t="shared" si="305"/>
        <v/>
      </c>
      <c r="SCX116" s="77" t="str">
        <f t="shared" si="305"/>
        <v/>
      </c>
      <c r="SCY116" s="77" t="str">
        <f t="shared" si="305"/>
        <v/>
      </c>
      <c r="SCZ116" s="77" t="str">
        <f t="shared" si="305"/>
        <v/>
      </c>
      <c r="SDA116" s="77" t="str">
        <f t="shared" si="305"/>
        <v/>
      </c>
      <c r="SDB116" s="77" t="str">
        <f t="shared" si="305"/>
        <v/>
      </c>
      <c r="SDC116" s="77" t="str">
        <f t="shared" si="305"/>
        <v/>
      </c>
      <c r="SDD116" s="77" t="str">
        <f t="shared" si="305"/>
        <v/>
      </c>
      <c r="SDE116" s="77" t="str">
        <f t="shared" si="305"/>
        <v/>
      </c>
      <c r="SDF116" s="77" t="str">
        <f t="shared" si="305"/>
        <v/>
      </c>
      <c r="SDG116" s="77" t="str">
        <f t="shared" si="305"/>
        <v/>
      </c>
      <c r="SDH116" s="77" t="str">
        <f t="shared" si="305"/>
        <v/>
      </c>
      <c r="SDI116" s="77" t="str">
        <f t="shared" si="305"/>
        <v/>
      </c>
      <c r="SDJ116" s="77" t="str">
        <f t="shared" si="305"/>
        <v/>
      </c>
      <c r="SDK116" s="77" t="str">
        <f t="shared" si="305"/>
        <v/>
      </c>
      <c r="SDL116" s="77" t="str">
        <f t="shared" si="305"/>
        <v/>
      </c>
      <c r="SDM116" s="77" t="str">
        <f t="shared" si="305"/>
        <v/>
      </c>
      <c r="SDN116" s="77" t="str">
        <f t="shared" si="305"/>
        <v/>
      </c>
      <c r="SDO116" s="77" t="str">
        <f t="shared" si="305"/>
        <v/>
      </c>
      <c r="SDP116" s="77" t="str">
        <f t="shared" si="305"/>
        <v/>
      </c>
      <c r="SDQ116" s="77" t="str">
        <f t="shared" si="305"/>
        <v/>
      </c>
      <c r="SDR116" s="77" t="str">
        <f t="shared" si="305"/>
        <v/>
      </c>
      <c r="SDS116" s="77" t="str">
        <f t="shared" ref="SDS116:SGD116" si="306">IF(ISNUMBER(outYear),SDS69+SDS75+SDS81+SDS113,"")</f>
        <v/>
      </c>
      <c r="SDT116" s="77" t="str">
        <f t="shared" si="306"/>
        <v/>
      </c>
      <c r="SDU116" s="77" t="str">
        <f t="shared" si="306"/>
        <v/>
      </c>
      <c r="SDV116" s="77" t="str">
        <f t="shared" si="306"/>
        <v/>
      </c>
      <c r="SDW116" s="77" t="str">
        <f t="shared" si="306"/>
        <v/>
      </c>
      <c r="SDX116" s="77" t="str">
        <f t="shared" si="306"/>
        <v/>
      </c>
      <c r="SDY116" s="77" t="str">
        <f t="shared" si="306"/>
        <v/>
      </c>
      <c r="SDZ116" s="77" t="str">
        <f t="shared" si="306"/>
        <v/>
      </c>
      <c r="SEA116" s="77" t="str">
        <f t="shared" si="306"/>
        <v/>
      </c>
      <c r="SEB116" s="77" t="str">
        <f t="shared" si="306"/>
        <v/>
      </c>
      <c r="SEC116" s="77" t="str">
        <f t="shared" si="306"/>
        <v/>
      </c>
      <c r="SED116" s="77" t="str">
        <f t="shared" si="306"/>
        <v/>
      </c>
      <c r="SEE116" s="77" t="str">
        <f t="shared" si="306"/>
        <v/>
      </c>
      <c r="SEF116" s="77" t="str">
        <f t="shared" si="306"/>
        <v/>
      </c>
      <c r="SEG116" s="77" t="str">
        <f t="shared" si="306"/>
        <v/>
      </c>
      <c r="SEH116" s="77" t="str">
        <f t="shared" si="306"/>
        <v/>
      </c>
      <c r="SEI116" s="77" t="str">
        <f t="shared" si="306"/>
        <v/>
      </c>
      <c r="SEJ116" s="77" t="str">
        <f t="shared" si="306"/>
        <v/>
      </c>
      <c r="SEK116" s="77" t="str">
        <f t="shared" si="306"/>
        <v/>
      </c>
      <c r="SEL116" s="77" t="str">
        <f t="shared" si="306"/>
        <v/>
      </c>
      <c r="SEM116" s="77" t="str">
        <f t="shared" si="306"/>
        <v/>
      </c>
      <c r="SEN116" s="77" t="str">
        <f t="shared" si="306"/>
        <v/>
      </c>
      <c r="SEO116" s="77" t="str">
        <f t="shared" si="306"/>
        <v/>
      </c>
      <c r="SEP116" s="77" t="str">
        <f t="shared" si="306"/>
        <v/>
      </c>
      <c r="SEQ116" s="77" t="str">
        <f t="shared" si="306"/>
        <v/>
      </c>
      <c r="SER116" s="77" t="str">
        <f t="shared" si="306"/>
        <v/>
      </c>
      <c r="SES116" s="77" t="str">
        <f t="shared" si="306"/>
        <v/>
      </c>
      <c r="SET116" s="77" t="str">
        <f t="shared" si="306"/>
        <v/>
      </c>
      <c r="SEU116" s="77" t="str">
        <f t="shared" si="306"/>
        <v/>
      </c>
      <c r="SEV116" s="77" t="str">
        <f t="shared" si="306"/>
        <v/>
      </c>
      <c r="SEW116" s="77" t="str">
        <f t="shared" si="306"/>
        <v/>
      </c>
      <c r="SEX116" s="77" t="str">
        <f t="shared" si="306"/>
        <v/>
      </c>
      <c r="SEY116" s="77" t="str">
        <f t="shared" si="306"/>
        <v/>
      </c>
      <c r="SEZ116" s="77" t="str">
        <f t="shared" si="306"/>
        <v/>
      </c>
      <c r="SFA116" s="77" t="str">
        <f t="shared" si="306"/>
        <v/>
      </c>
      <c r="SFB116" s="77" t="str">
        <f t="shared" si="306"/>
        <v/>
      </c>
      <c r="SFC116" s="77" t="str">
        <f t="shared" si="306"/>
        <v/>
      </c>
      <c r="SFD116" s="77" t="str">
        <f t="shared" si="306"/>
        <v/>
      </c>
      <c r="SFE116" s="77" t="str">
        <f t="shared" si="306"/>
        <v/>
      </c>
      <c r="SFF116" s="77" t="str">
        <f t="shared" si="306"/>
        <v/>
      </c>
      <c r="SFG116" s="77" t="str">
        <f t="shared" si="306"/>
        <v/>
      </c>
      <c r="SFH116" s="77" t="str">
        <f t="shared" si="306"/>
        <v/>
      </c>
      <c r="SFI116" s="77" t="str">
        <f t="shared" si="306"/>
        <v/>
      </c>
      <c r="SFJ116" s="77" t="str">
        <f t="shared" si="306"/>
        <v/>
      </c>
      <c r="SFK116" s="77" t="str">
        <f t="shared" si="306"/>
        <v/>
      </c>
      <c r="SFL116" s="77" t="str">
        <f t="shared" si="306"/>
        <v/>
      </c>
      <c r="SFM116" s="77" t="str">
        <f t="shared" si="306"/>
        <v/>
      </c>
      <c r="SFN116" s="77" t="str">
        <f t="shared" si="306"/>
        <v/>
      </c>
      <c r="SFO116" s="77" t="str">
        <f t="shared" si="306"/>
        <v/>
      </c>
      <c r="SFP116" s="77" t="str">
        <f t="shared" si="306"/>
        <v/>
      </c>
      <c r="SFQ116" s="77" t="str">
        <f t="shared" si="306"/>
        <v/>
      </c>
      <c r="SFR116" s="77" t="str">
        <f t="shared" si="306"/>
        <v/>
      </c>
      <c r="SFS116" s="77" t="str">
        <f t="shared" si="306"/>
        <v/>
      </c>
      <c r="SFT116" s="77" t="str">
        <f t="shared" si="306"/>
        <v/>
      </c>
      <c r="SFU116" s="77" t="str">
        <f t="shared" si="306"/>
        <v/>
      </c>
      <c r="SFV116" s="77" t="str">
        <f t="shared" si="306"/>
        <v/>
      </c>
      <c r="SFW116" s="77" t="str">
        <f t="shared" si="306"/>
        <v/>
      </c>
      <c r="SFX116" s="77" t="str">
        <f t="shared" si="306"/>
        <v/>
      </c>
      <c r="SFY116" s="77" t="str">
        <f t="shared" si="306"/>
        <v/>
      </c>
      <c r="SFZ116" s="77" t="str">
        <f t="shared" si="306"/>
        <v/>
      </c>
      <c r="SGA116" s="77" t="str">
        <f t="shared" si="306"/>
        <v/>
      </c>
      <c r="SGB116" s="77" t="str">
        <f t="shared" si="306"/>
        <v/>
      </c>
      <c r="SGC116" s="77" t="str">
        <f t="shared" si="306"/>
        <v/>
      </c>
      <c r="SGD116" s="77" t="str">
        <f t="shared" si="306"/>
        <v/>
      </c>
      <c r="SGE116" s="77" t="str">
        <f t="shared" ref="SGE116:SIP116" si="307">IF(ISNUMBER(outYear),SGE69+SGE75+SGE81+SGE113,"")</f>
        <v/>
      </c>
      <c r="SGF116" s="77" t="str">
        <f t="shared" si="307"/>
        <v/>
      </c>
      <c r="SGG116" s="77" t="str">
        <f t="shared" si="307"/>
        <v/>
      </c>
      <c r="SGH116" s="77" t="str">
        <f t="shared" si="307"/>
        <v/>
      </c>
      <c r="SGI116" s="77" t="str">
        <f t="shared" si="307"/>
        <v/>
      </c>
      <c r="SGJ116" s="77" t="str">
        <f t="shared" si="307"/>
        <v/>
      </c>
      <c r="SGK116" s="77" t="str">
        <f t="shared" si="307"/>
        <v/>
      </c>
      <c r="SGL116" s="77" t="str">
        <f t="shared" si="307"/>
        <v/>
      </c>
      <c r="SGM116" s="77" t="str">
        <f t="shared" si="307"/>
        <v/>
      </c>
      <c r="SGN116" s="77" t="str">
        <f t="shared" si="307"/>
        <v/>
      </c>
      <c r="SGO116" s="77" t="str">
        <f t="shared" si="307"/>
        <v/>
      </c>
      <c r="SGP116" s="77" t="str">
        <f t="shared" si="307"/>
        <v/>
      </c>
      <c r="SGQ116" s="77" t="str">
        <f t="shared" si="307"/>
        <v/>
      </c>
      <c r="SGR116" s="77" t="str">
        <f t="shared" si="307"/>
        <v/>
      </c>
      <c r="SGS116" s="77" t="str">
        <f t="shared" si="307"/>
        <v/>
      </c>
      <c r="SGT116" s="77" t="str">
        <f t="shared" si="307"/>
        <v/>
      </c>
      <c r="SGU116" s="77" t="str">
        <f t="shared" si="307"/>
        <v/>
      </c>
      <c r="SGV116" s="77" t="str">
        <f t="shared" si="307"/>
        <v/>
      </c>
      <c r="SGW116" s="77" t="str">
        <f t="shared" si="307"/>
        <v/>
      </c>
      <c r="SGX116" s="77" t="str">
        <f t="shared" si="307"/>
        <v/>
      </c>
      <c r="SGY116" s="77" t="str">
        <f t="shared" si="307"/>
        <v/>
      </c>
      <c r="SGZ116" s="77" t="str">
        <f t="shared" si="307"/>
        <v/>
      </c>
      <c r="SHA116" s="77" t="str">
        <f t="shared" si="307"/>
        <v/>
      </c>
      <c r="SHB116" s="77" t="str">
        <f t="shared" si="307"/>
        <v/>
      </c>
      <c r="SHC116" s="77" t="str">
        <f t="shared" si="307"/>
        <v/>
      </c>
      <c r="SHD116" s="77" t="str">
        <f t="shared" si="307"/>
        <v/>
      </c>
      <c r="SHE116" s="77" t="str">
        <f t="shared" si="307"/>
        <v/>
      </c>
      <c r="SHF116" s="77" t="str">
        <f t="shared" si="307"/>
        <v/>
      </c>
      <c r="SHG116" s="77" t="str">
        <f t="shared" si="307"/>
        <v/>
      </c>
      <c r="SHH116" s="77" t="str">
        <f t="shared" si="307"/>
        <v/>
      </c>
      <c r="SHI116" s="77" t="str">
        <f t="shared" si="307"/>
        <v/>
      </c>
      <c r="SHJ116" s="77" t="str">
        <f t="shared" si="307"/>
        <v/>
      </c>
      <c r="SHK116" s="77" t="str">
        <f t="shared" si="307"/>
        <v/>
      </c>
      <c r="SHL116" s="77" t="str">
        <f t="shared" si="307"/>
        <v/>
      </c>
      <c r="SHM116" s="77" t="str">
        <f t="shared" si="307"/>
        <v/>
      </c>
      <c r="SHN116" s="77" t="str">
        <f t="shared" si="307"/>
        <v/>
      </c>
      <c r="SHO116" s="77" t="str">
        <f t="shared" si="307"/>
        <v/>
      </c>
      <c r="SHP116" s="77" t="str">
        <f t="shared" si="307"/>
        <v/>
      </c>
      <c r="SHQ116" s="77" t="str">
        <f t="shared" si="307"/>
        <v/>
      </c>
      <c r="SHR116" s="77" t="str">
        <f t="shared" si="307"/>
        <v/>
      </c>
      <c r="SHS116" s="77" t="str">
        <f t="shared" si="307"/>
        <v/>
      </c>
      <c r="SHT116" s="77" t="str">
        <f t="shared" si="307"/>
        <v/>
      </c>
      <c r="SHU116" s="77" t="str">
        <f t="shared" si="307"/>
        <v/>
      </c>
      <c r="SHV116" s="77" t="str">
        <f t="shared" si="307"/>
        <v/>
      </c>
      <c r="SHW116" s="77" t="str">
        <f t="shared" si="307"/>
        <v/>
      </c>
      <c r="SHX116" s="77" t="str">
        <f t="shared" si="307"/>
        <v/>
      </c>
      <c r="SHY116" s="77" t="str">
        <f t="shared" si="307"/>
        <v/>
      </c>
      <c r="SHZ116" s="77" t="str">
        <f t="shared" si="307"/>
        <v/>
      </c>
      <c r="SIA116" s="77" t="str">
        <f t="shared" si="307"/>
        <v/>
      </c>
      <c r="SIB116" s="77" t="str">
        <f t="shared" si="307"/>
        <v/>
      </c>
      <c r="SIC116" s="77" t="str">
        <f t="shared" si="307"/>
        <v/>
      </c>
      <c r="SID116" s="77" t="str">
        <f t="shared" si="307"/>
        <v/>
      </c>
      <c r="SIE116" s="77" t="str">
        <f t="shared" si="307"/>
        <v/>
      </c>
      <c r="SIF116" s="77" t="str">
        <f t="shared" si="307"/>
        <v/>
      </c>
      <c r="SIG116" s="77" t="str">
        <f t="shared" si="307"/>
        <v/>
      </c>
      <c r="SIH116" s="77" t="str">
        <f t="shared" si="307"/>
        <v/>
      </c>
      <c r="SII116" s="77" t="str">
        <f t="shared" si="307"/>
        <v/>
      </c>
      <c r="SIJ116" s="77" t="str">
        <f t="shared" si="307"/>
        <v/>
      </c>
      <c r="SIK116" s="77" t="str">
        <f t="shared" si="307"/>
        <v/>
      </c>
      <c r="SIL116" s="77" t="str">
        <f t="shared" si="307"/>
        <v/>
      </c>
      <c r="SIM116" s="77" t="str">
        <f t="shared" si="307"/>
        <v/>
      </c>
      <c r="SIN116" s="77" t="str">
        <f t="shared" si="307"/>
        <v/>
      </c>
      <c r="SIO116" s="77" t="str">
        <f t="shared" si="307"/>
        <v/>
      </c>
      <c r="SIP116" s="77" t="str">
        <f t="shared" si="307"/>
        <v/>
      </c>
      <c r="SIQ116" s="77" t="str">
        <f t="shared" ref="SIQ116:SLB116" si="308">IF(ISNUMBER(outYear),SIQ69+SIQ75+SIQ81+SIQ113,"")</f>
        <v/>
      </c>
      <c r="SIR116" s="77" t="str">
        <f t="shared" si="308"/>
        <v/>
      </c>
      <c r="SIS116" s="77" t="str">
        <f t="shared" si="308"/>
        <v/>
      </c>
      <c r="SIT116" s="77" t="str">
        <f t="shared" si="308"/>
        <v/>
      </c>
      <c r="SIU116" s="77" t="str">
        <f t="shared" si="308"/>
        <v/>
      </c>
      <c r="SIV116" s="77" t="str">
        <f t="shared" si="308"/>
        <v/>
      </c>
      <c r="SIW116" s="77" t="str">
        <f t="shared" si="308"/>
        <v/>
      </c>
      <c r="SIX116" s="77" t="str">
        <f t="shared" si="308"/>
        <v/>
      </c>
      <c r="SIY116" s="77" t="str">
        <f t="shared" si="308"/>
        <v/>
      </c>
      <c r="SIZ116" s="77" t="str">
        <f t="shared" si="308"/>
        <v/>
      </c>
      <c r="SJA116" s="77" t="str">
        <f t="shared" si="308"/>
        <v/>
      </c>
      <c r="SJB116" s="77" t="str">
        <f t="shared" si="308"/>
        <v/>
      </c>
      <c r="SJC116" s="77" t="str">
        <f t="shared" si="308"/>
        <v/>
      </c>
      <c r="SJD116" s="77" t="str">
        <f t="shared" si="308"/>
        <v/>
      </c>
      <c r="SJE116" s="77" t="str">
        <f t="shared" si="308"/>
        <v/>
      </c>
      <c r="SJF116" s="77" t="str">
        <f t="shared" si="308"/>
        <v/>
      </c>
      <c r="SJG116" s="77" t="str">
        <f t="shared" si="308"/>
        <v/>
      </c>
      <c r="SJH116" s="77" t="str">
        <f t="shared" si="308"/>
        <v/>
      </c>
      <c r="SJI116" s="77" t="str">
        <f t="shared" si="308"/>
        <v/>
      </c>
      <c r="SJJ116" s="77" t="str">
        <f t="shared" si="308"/>
        <v/>
      </c>
      <c r="SJK116" s="77" t="str">
        <f t="shared" si="308"/>
        <v/>
      </c>
      <c r="SJL116" s="77" t="str">
        <f t="shared" si="308"/>
        <v/>
      </c>
      <c r="SJM116" s="77" t="str">
        <f t="shared" si="308"/>
        <v/>
      </c>
      <c r="SJN116" s="77" t="str">
        <f t="shared" si="308"/>
        <v/>
      </c>
      <c r="SJO116" s="77" t="str">
        <f t="shared" si="308"/>
        <v/>
      </c>
      <c r="SJP116" s="77" t="str">
        <f t="shared" si="308"/>
        <v/>
      </c>
      <c r="SJQ116" s="77" t="str">
        <f t="shared" si="308"/>
        <v/>
      </c>
      <c r="SJR116" s="77" t="str">
        <f t="shared" si="308"/>
        <v/>
      </c>
      <c r="SJS116" s="77" t="str">
        <f t="shared" si="308"/>
        <v/>
      </c>
      <c r="SJT116" s="77" t="str">
        <f t="shared" si="308"/>
        <v/>
      </c>
      <c r="SJU116" s="77" t="str">
        <f t="shared" si="308"/>
        <v/>
      </c>
      <c r="SJV116" s="77" t="str">
        <f t="shared" si="308"/>
        <v/>
      </c>
      <c r="SJW116" s="77" t="str">
        <f t="shared" si="308"/>
        <v/>
      </c>
      <c r="SJX116" s="77" t="str">
        <f t="shared" si="308"/>
        <v/>
      </c>
      <c r="SJY116" s="77" t="str">
        <f t="shared" si="308"/>
        <v/>
      </c>
      <c r="SJZ116" s="77" t="str">
        <f t="shared" si="308"/>
        <v/>
      </c>
      <c r="SKA116" s="77" t="str">
        <f t="shared" si="308"/>
        <v/>
      </c>
      <c r="SKB116" s="77" t="str">
        <f t="shared" si="308"/>
        <v/>
      </c>
      <c r="SKC116" s="77" t="str">
        <f t="shared" si="308"/>
        <v/>
      </c>
      <c r="SKD116" s="77" t="str">
        <f t="shared" si="308"/>
        <v/>
      </c>
      <c r="SKE116" s="77" t="str">
        <f t="shared" si="308"/>
        <v/>
      </c>
      <c r="SKF116" s="77" t="str">
        <f t="shared" si="308"/>
        <v/>
      </c>
      <c r="SKG116" s="77" t="str">
        <f t="shared" si="308"/>
        <v/>
      </c>
      <c r="SKH116" s="77" t="str">
        <f t="shared" si="308"/>
        <v/>
      </c>
      <c r="SKI116" s="77" t="str">
        <f t="shared" si="308"/>
        <v/>
      </c>
      <c r="SKJ116" s="77" t="str">
        <f t="shared" si="308"/>
        <v/>
      </c>
      <c r="SKK116" s="77" t="str">
        <f t="shared" si="308"/>
        <v/>
      </c>
      <c r="SKL116" s="77" t="str">
        <f t="shared" si="308"/>
        <v/>
      </c>
      <c r="SKM116" s="77" t="str">
        <f t="shared" si="308"/>
        <v/>
      </c>
      <c r="SKN116" s="77" t="str">
        <f t="shared" si="308"/>
        <v/>
      </c>
      <c r="SKO116" s="77" t="str">
        <f t="shared" si="308"/>
        <v/>
      </c>
      <c r="SKP116" s="77" t="str">
        <f t="shared" si="308"/>
        <v/>
      </c>
      <c r="SKQ116" s="77" t="str">
        <f t="shared" si="308"/>
        <v/>
      </c>
      <c r="SKR116" s="77" t="str">
        <f t="shared" si="308"/>
        <v/>
      </c>
      <c r="SKS116" s="77" t="str">
        <f t="shared" si="308"/>
        <v/>
      </c>
      <c r="SKT116" s="77" t="str">
        <f t="shared" si="308"/>
        <v/>
      </c>
      <c r="SKU116" s="77" t="str">
        <f t="shared" si="308"/>
        <v/>
      </c>
      <c r="SKV116" s="77" t="str">
        <f t="shared" si="308"/>
        <v/>
      </c>
      <c r="SKW116" s="77" t="str">
        <f t="shared" si="308"/>
        <v/>
      </c>
      <c r="SKX116" s="77" t="str">
        <f t="shared" si="308"/>
        <v/>
      </c>
      <c r="SKY116" s="77" t="str">
        <f t="shared" si="308"/>
        <v/>
      </c>
      <c r="SKZ116" s="77" t="str">
        <f t="shared" si="308"/>
        <v/>
      </c>
      <c r="SLA116" s="77" t="str">
        <f t="shared" si="308"/>
        <v/>
      </c>
      <c r="SLB116" s="77" t="str">
        <f t="shared" si="308"/>
        <v/>
      </c>
      <c r="SLC116" s="77" t="str">
        <f t="shared" ref="SLC116:SNN116" si="309">IF(ISNUMBER(outYear),SLC69+SLC75+SLC81+SLC113,"")</f>
        <v/>
      </c>
      <c r="SLD116" s="77" t="str">
        <f t="shared" si="309"/>
        <v/>
      </c>
      <c r="SLE116" s="77" t="str">
        <f t="shared" si="309"/>
        <v/>
      </c>
      <c r="SLF116" s="77" t="str">
        <f t="shared" si="309"/>
        <v/>
      </c>
      <c r="SLG116" s="77" t="str">
        <f t="shared" si="309"/>
        <v/>
      </c>
      <c r="SLH116" s="77" t="str">
        <f t="shared" si="309"/>
        <v/>
      </c>
      <c r="SLI116" s="77" t="str">
        <f t="shared" si="309"/>
        <v/>
      </c>
      <c r="SLJ116" s="77" t="str">
        <f t="shared" si="309"/>
        <v/>
      </c>
      <c r="SLK116" s="77" t="str">
        <f t="shared" si="309"/>
        <v/>
      </c>
      <c r="SLL116" s="77" t="str">
        <f t="shared" si="309"/>
        <v/>
      </c>
      <c r="SLM116" s="77" t="str">
        <f t="shared" si="309"/>
        <v/>
      </c>
      <c r="SLN116" s="77" t="str">
        <f t="shared" si="309"/>
        <v/>
      </c>
      <c r="SLO116" s="77" t="str">
        <f t="shared" si="309"/>
        <v/>
      </c>
      <c r="SLP116" s="77" t="str">
        <f t="shared" si="309"/>
        <v/>
      </c>
      <c r="SLQ116" s="77" t="str">
        <f t="shared" si="309"/>
        <v/>
      </c>
      <c r="SLR116" s="77" t="str">
        <f t="shared" si="309"/>
        <v/>
      </c>
      <c r="SLS116" s="77" t="str">
        <f t="shared" si="309"/>
        <v/>
      </c>
      <c r="SLT116" s="77" t="str">
        <f t="shared" si="309"/>
        <v/>
      </c>
      <c r="SLU116" s="77" t="str">
        <f t="shared" si="309"/>
        <v/>
      </c>
      <c r="SLV116" s="77" t="str">
        <f t="shared" si="309"/>
        <v/>
      </c>
      <c r="SLW116" s="77" t="str">
        <f t="shared" si="309"/>
        <v/>
      </c>
      <c r="SLX116" s="77" t="str">
        <f t="shared" si="309"/>
        <v/>
      </c>
      <c r="SLY116" s="77" t="str">
        <f t="shared" si="309"/>
        <v/>
      </c>
      <c r="SLZ116" s="77" t="str">
        <f t="shared" si="309"/>
        <v/>
      </c>
      <c r="SMA116" s="77" t="str">
        <f t="shared" si="309"/>
        <v/>
      </c>
      <c r="SMB116" s="77" t="str">
        <f t="shared" si="309"/>
        <v/>
      </c>
      <c r="SMC116" s="77" t="str">
        <f t="shared" si="309"/>
        <v/>
      </c>
      <c r="SMD116" s="77" t="str">
        <f t="shared" si="309"/>
        <v/>
      </c>
      <c r="SME116" s="77" t="str">
        <f t="shared" si="309"/>
        <v/>
      </c>
      <c r="SMF116" s="77" t="str">
        <f t="shared" si="309"/>
        <v/>
      </c>
      <c r="SMG116" s="77" t="str">
        <f t="shared" si="309"/>
        <v/>
      </c>
      <c r="SMH116" s="77" t="str">
        <f t="shared" si="309"/>
        <v/>
      </c>
      <c r="SMI116" s="77" t="str">
        <f t="shared" si="309"/>
        <v/>
      </c>
      <c r="SMJ116" s="77" t="str">
        <f t="shared" si="309"/>
        <v/>
      </c>
      <c r="SMK116" s="77" t="str">
        <f t="shared" si="309"/>
        <v/>
      </c>
      <c r="SML116" s="77" t="str">
        <f t="shared" si="309"/>
        <v/>
      </c>
      <c r="SMM116" s="77" t="str">
        <f t="shared" si="309"/>
        <v/>
      </c>
      <c r="SMN116" s="77" t="str">
        <f t="shared" si="309"/>
        <v/>
      </c>
      <c r="SMO116" s="77" t="str">
        <f t="shared" si="309"/>
        <v/>
      </c>
      <c r="SMP116" s="77" t="str">
        <f t="shared" si="309"/>
        <v/>
      </c>
      <c r="SMQ116" s="77" t="str">
        <f t="shared" si="309"/>
        <v/>
      </c>
      <c r="SMR116" s="77" t="str">
        <f t="shared" si="309"/>
        <v/>
      </c>
      <c r="SMS116" s="77" t="str">
        <f t="shared" si="309"/>
        <v/>
      </c>
      <c r="SMT116" s="77" t="str">
        <f t="shared" si="309"/>
        <v/>
      </c>
      <c r="SMU116" s="77" t="str">
        <f t="shared" si="309"/>
        <v/>
      </c>
      <c r="SMV116" s="77" t="str">
        <f t="shared" si="309"/>
        <v/>
      </c>
      <c r="SMW116" s="77" t="str">
        <f t="shared" si="309"/>
        <v/>
      </c>
      <c r="SMX116" s="77" t="str">
        <f t="shared" si="309"/>
        <v/>
      </c>
      <c r="SMY116" s="77" t="str">
        <f t="shared" si="309"/>
        <v/>
      </c>
      <c r="SMZ116" s="77" t="str">
        <f t="shared" si="309"/>
        <v/>
      </c>
      <c r="SNA116" s="77" t="str">
        <f t="shared" si="309"/>
        <v/>
      </c>
      <c r="SNB116" s="77" t="str">
        <f t="shared" si="309"/>
        <v/>
      </c>
      <c r="SNC116" s="77" t="str">
        <f t="shared" si="309"/>
        <v/>
      </c>
      <c r="SND116" s="77" t="str">
        <f t="shared" si="309"/>
        <v/>
      </c>
      <c r="SNE116" s="77" t="str">
        <f t="shared" si="309"/>
        <v/>
      </c>
      <c r="SNF116" s="77" t="str">
        <f t="shared" si="309"/>
        <v/>
      </c>
      <c r="SNG116" s="77" t="str">
        <f t="shared" si="309"/>
        <v/>
      </c>
      <c r="SNH116" s="77" t="str">
        <f t="shared" si="309"/>
        <v/>
      </c>
      <c r="SNI116" s="77" t="str">
        <f t="shared" si="309"/>
        <v/>
      </c>
      <c r="SNJ116" s="77" t="str">
        <f t="shared" si="309"/>
        <v/>
      </c>
      <c r="SNK116" s="77" t="str">
        <f t="shared" si="309"/>
        <v/>
      </c>
      <c r="SNL116" s="77" t="str">
        <f t="shared" si="309"/>
        <v/>
      </c>
      <c r="SNM116" s="77" t="str">
        <f t="shared" si="309"/>
        <v/>
      </c>
      <c r="SNN116" s="77" t="str">
        <f t="shared" si="309"/>
        <v/>
      </c>
      <c r="SNO116" s="77" t="str">
        <f t="shared" ref="SNO116:SPZ116" si="310">IF(ISNUMBER(outYear),SNO69+SNO75+SNO81+SNO113,"")</f>
        <v/>
      </c>
      <c r="SNP116" s="77" t="str">
        <f t="shared" si="310"/>
        <v/>
      </c>
      <c r="SNQ116" s="77" t="str">
        <f t="shared" si="310"/>
        <v/>
      </c>
      <c r="SNR116" s="77" t="str">
        <f t="shared" si="310"/>
        <v/>
      </c>
      <c r="SNS116" s="77" t="str">
        <f t="shared" si="310"/>
        <v/>
      </c>
      <c r="SNT116" s="77" t="str">
        <f t="shared" si="310"/>
        <v/>
      </c>
      <c r="SNU116" s="77" t="str">
        <f t="shared" si="310"/>
        <v/>
      </c>
      <c r="SNV116" s="77" t="str">
        <f t="shared" si="310"/>
        <v/>
      </c>
      <c r="SNW116" s="77" t="str">
        <f t="shared" si="310"/>
        <v/>
      </c>
      <c r="SNX116" s="77" t="str">
        <f t="shared" si="310"/>
        <v/>
      </c>
      <c r="SNY116" s="77" t="str">
        <f t="shared" si="310"/>
        <v/>
      </c>
      <c r="SNZ116" s="77" t="str">
        <f t="shared" si="310"/>
        <v/>
      </c>
      <c r="SOA116" s="77" t="str">
        <f t="shared" si="310"/>
        <v/>
      </c>
      <c r="SOB116" s="77" t="str">
        <f t="shared" si="310"/>
        <v/>
      </c>
      <c r="SOC116" s="77" t="str">
        <f t="shared" si="310"/>
        <v/>
      </c>
      <c r="SOD116" s="77" t="str">
        <f t="shared" si="310"/>
        <v/>
      </c>
      <c r="SOE116" s="77" t="str">
        <f t="shared" si="310"/>
        <v/>
      </c>
      <c r="SOF116" s="77" t="str">
        <f t="shared" si="310"/>
        <v/>
      </c>
      <c r="SOG116" s="77" t="str">
        <f t="shared" si="310"/>
        <v/>
      </c>
      <c r="SOH116" s="77" t="str">
        <f t="shared" si="310"/>
        <v/>
      </c>
      <c r="SOI116" s="77" t="str">
        <f t="shared" si="310"/>
        <v/>
      </c>
      <c r="SOJ116" s="77" t="str">
        <f t="shared" si="310"/>
        <v/>
      </c>
      <c r="SOK116" s="77" t="str">
        <f t="shared" si="310"/>
        <v/>
      </c>
      <c r="SOL116" s="77" t="str">
        <f t="shared" si="310"/>
        <v/>
      </c>
      <c r="SOM116" s="77" t="str">
        <f t="shared" si="310"/>
        <v/>
      </c>
      <c r="SON116" s="77" t="str">
        <f t="shared" si="310"/>
        <v/>
      </c>
      <c r="SOO116" s="77" t="str">
        <f t="shared" si="310"/>
        <v/>
      </c>
      <c r="SOP116" s="77" t="str">
        <f t="shared" si="310"/>
        <v/>
      </c>
      <c r="SOQ116" s="77" t="str">
        <f t="shared" si="310"/>
        <v/>
      </c>
      <c r="SOR116" s="77" t="str">
        <f t="shared" si="310"/>
        <v/>
      </c>
      <c r="SOS116" s="77" t="str">
        <f t="shared" si="310"/>
        <v/>
      </c>
      <c r="SOT116" s="77" t="str">
        <f t="shared" si="310"/>
        <v/>
      </c>
      <c r="SOU116" s="77" t="str">
        <f t="shared" si="310"/>
        <v/>
      </c>
      <c r="SOV116" s="77" t="str">
        <f t="shared" si="310"/>
        <v/>
      </c>
      <c r="SOW116" s="77" t="str">
        <f t="shared" si="310"/>
        <v/>
      </c>
      <c r="SOX116" s="77" t="str">
        <f t="shared" si="310"/>
        <v/>
      </c>
      <c r="SOY116" s="77" t="str">
        <f t="shared" si="310"/>
        <v/>
      </c>
      <c r="SOZ116" s="77" t="str">
        <f t="shared" si="310"/>
        <v/>
      </c>
      <c r="SPA116" s="77" t="str">
        <f t="shared" si="310"/>
        <v/>
      </c>
      <c r="SPB116" s="77" t="str">
        <f t="shared" si="310"/>
        <v/>
      </c>
      <c r="SPC116" s="77" t="str">
        <f t="shared" si="310"/>
        <v/>
      </c>
      <c r="SPD116" s="77" t="str">
        <f t="shared" si="310"/>
        <v/>
      </c>
      <c r="SPE116" s="77" t="str">
        <f t="shared" si="310"/>
        <v/>
      </c>
      <c r="SPF116" s="77" t="str">
        <f t="shared" si="310"/>
        <v/>
      </c>
      <c r="SPG116" s="77" t="str">
        <f t="shared" si="310"/>
        <v/>
      </c>
      <c r="SPH116" s="77" t="str">
        <f t="shared" si="310"/>
        <v/>
      </c>
      <c r="SPI116" s="77" t="str">
        <f t="shared" si="310"/>
        <v/>
      </c>
      <c r="SPJ116" s="77" t="str">
        <f t="shared" si="310"/>
        <v/>
      </c>
      <c r="SPK116" s="77" t="str">
        <f t="shared" si="310"/>
        <v/>
      </c>
      <c r="SPL116" s="77" t="str">
        <f t="shared" si="310"/>
        <v/>
      </c>
      <c r="SPM116" s="77" t="str">
        <f t="shared" si="310"/>
        <v/>
      </c>
      <c r="SPN116" s="77" t="str">
        <f t="shared" si="310"/>
        <v/>
      </c>
      <c r="SPO116" s="77" t="str">
        <f t="shared" si="310"/>
        <v/>
      </c>
      <c r="SPP116" s="77" t="str">
        <f t="shared" si="310"/>
        <v/>
      </c>
      <c r="SPQ116" s="77" t="str">
        <f t="shared" si="310"/>
        <v/>
      </c>
      <c r="SPR116" s="77" t="str">
        <f t="shared" si="310"/>
        <v/>
      </c>
      <c r="SPS116" s="77" t="str">
        <f t="shared" si="310"/>
        <v/>
      </c>
      <c r="SPT116" s="77" t="str">
        <f t="shared" si="310"/>
        <v/>
      </c>
      <c r="SPU116" s="77" t="str">
        <f t="shared" si="310"/>
        <v/>
      </c>
      <c r="SPV116" s="77" t="str">
        <f t="shared" si="310"/>
        <v/>
      </c>
      <c r="SPW116" s="77" t="str">
        <f t="shared" si="310"/>
        <v/>
      </c>
      <c r="SPX116" s="77" t="str">
        <f t="shared" si="310"/>
        <v/>
      </c>
      <c r="SPY116" s="77" t="str">
        <f t="shared" si="310"/>
        <v/>
      </c>
      <c r="SPZ116" s="77" t="str">
        <f t="shared" si="310"/>
        <v/>
      </c>
      <c r="SQA116" s="77" t="str">
        <f t="shared" ref="SQA116:SSL116" si="311">IF(ISNUMBER(outYear),SQA69+SQA75+SQA81+SQA113,"")</f>
        <v/>
      </c>
      <c r="SQB116" s="77" t="str">
        <f t="shared" si="311"/>
        <v/>
      </c>
      <c r="SQC116" s="77" t="str">
        <f t="shared" si="311"/>
        <v/>
      </c>
      <c r="SQD116" s="77" t="str">
        <f t="shared" si="311"/>
        <v/>
      </c>
      <c r="SQE116" s="77" t="str">
        <f t="shared" si="311"/>
        <v/>
      </c>
      <c r="SQF116" s="77" t="str">
        <f t="shared" si="311"/>
        <v/>
      </c>
      <c r="SQG116" s="77" t="str">
        <f t="shared" si="311"/>
        <v/>
      </c>
      <c r="SQH116" s="77" t="str">
        <f t="shared" si="311"/>
        <v/>
      </c>
      <c r="SQI116" s="77" t="str">
        <f t="shared" si="311"/>
        <v/>
      </c>
      <c r="SQJ116" s="77" t="str">
        <f t="shared" si="311"/>
        <v/>
      </c>
      <c r="SQK116" s="77" t="str">
        <f t="shared" si="311"/>
        <v/>
      </c>
      <c r="SQL116" s="77" t="str">
        <f t="shared" si="311"/>
        <v/>
      </c>
      <c r="SQM116" s="77" t="str">
        <f t="shared" si="311"/>
        <v/>
      </c>
      <c r="SQN116" s="77" t="str">
        <f t="shared" si="311"/>
        <v/>
      </c>
      <c r="SQO116" s="77" t="str">
        <f t="shared" si="311"/>
        <v/>
      </c>
      <c r="SQP116" s="77" t="str">
        <f t="shared" si="311"/>
        <v/>
      </c>
      <c r="SQQ116" s="77" t="str">
        <f t="shared" si="311"/>
        <v/>
      </c>
      <c r="SQR116" s="77" t="str">
        <f t="shared" si="311"/>
        <v/>
      </c>
      <c r="SQS116" s="77" t="str">
        <f t="shared" si="311"/>
        <v/>
      </c>
      <c r="SQT116" s="77" t="str">
        <f t="shared" si="311"/>
        <v/>
      </c>
      <c r="SQU116" s="77" t="str">
        <f t="shared" si="311"/>
        <v/>
      </c>
      <c r="SQV116" s="77" t="str">
        <f t="shared" si="311"/>
        <v/>
      </c>
      <c r="SQW116" s="77" t="str">
        <f t="shared" si="311"/>
        <v/>
      </c>
      <c r="SQX116" s="77" t="str">
        <f t="shared" si="311"/>
        <v/>
      </c>
      <c r="SQY116" s="77" t="str">
        <f t="shared" si="311"/>
        <v/>
      </c>
      <c r="SQZ116" s="77" t="str">
        <f t="shared" si="311"/>
        <v/>
      </c>
      <c r="SRA116" s="77" t="str">
        <f t="shared" si="311"/>
        <v/>
      </c>
      <c r="SRB116" s="77" t="str">
        <f t="shared" si="311"/>
        <v/>
      </c>
      <c r="SRC116" s="77" t="str">
        <f t="shared" si="311"/>
        <v/>
      </c>
      <c r="SRD116" s="77" t="str">
        <f t="shared" si="311"/>
        <v/>
      </c>
      <c r="SRE116" s="77" t="str">
        <f t="shared" si="311"/>
        <v/>
      </c>
      <c r="SRF116" s="77" t="str">
        <f t="shared" si="311"/>
        <v/>
      </c>
      <c r="SRG116" s="77" t="str">
        <f t="shared" si="311"/>
        <v/>
      </c>
      <c r="SRH116" s="77" t="str">
        <f t="shared" si="311"/>
        <v/>
      </c>
      <c r="SRI116" s="77" t="str">
        <f t="shared" si="311"/>
        <v/>
      </c>
      <c r="SRJ116" s="77" t="str">
        <f t="shared" si="311"/>
        <v/>
      </c>
      <c r="SRK116" s="77" t="str">
        <f t="shared" si="311"/>
        <v/>
      </c>
      <c r="SRL116" s="77" t="str">
        <f t="shared" si="311"/>
        <v/>
      </c>
      <c r="SRM116" s="77" t="str">
        <f t="shared" si="311"/>
        <v/>
      </c>
      <c r="SRN116" s="77" t="str">
        <f t="shared" si="311"/>
        <v/>
      </c>
      <c r="SRO116" s="77" t="str">
        <f t="shared" si="311"/>
        <v/>
      </c>
      <c r="SRP116" s="77" t="str">
        <f t="shared" si="311"/>
        <v/>
      </c>
      <c r="SRQ116" s="77" t="str">
        <f t="shared" si="311"/>
        <v/>
      </c>
      <c r="SRR116" s="77" t="str">
        <f t="shared" si="311"/>
        <v/>
      </c>
      <c r="SRS116" s="77" t="str">
        <f t="shared" si="311"/>
        <v/>
      </c>
      <c r="SRT116" s="77" t="str">
        <f t="shared" si="311"/>
        <v/>
      </c>
      <c r="SRU116" s="77" t="str">
        <f t="shared" si="311"/>
        <v/>
      </c>
      <c r="SRV116" s="77" t="str">
        <f t="shared" si="311"/>
        <v/>
      </c>
      <c r="SRW116" s="77" t="str">
        <f t="shared" si="311"/>
        <v/>
      </c>
      <c r="SRX116" s="77" t="str">
        <f t="shared" si="311"/>
        <v/>
      </c>
      <c r="SRY116" s="77" t="str">
        <f t="shared" si="311"/>
        <v/>
      </c>
      <c r="SRZ116" s="77" t="str">
        <f t="shared" si="311"/>
        <v/>
      </c>
      <c r="SSA116" s="77" t="str">
        <f t="shared" si="311"/>
        <v/>
      </c>
      <c r="SSB116" s="77" t="str">
        <f t="shared" si="311"/>
        <v/>
      </c>
      <c r="SSC116" s="77" t="str">
        <f t="shared" si="311"/>
        <v/>
      </c>
      <c r="SSD116" s="77" t="str">
        <f t="shared" si="311"/>
        <v/>
      </c>
      <c r="SSE116" s="77" t="str">
        <f t="shared" si="311"/>
        <v/>
      </c>
      <c r="SSF116" s="77" t="str">
        <f t="shared" si="311"/>
        <v/>
      </c>
      <c r="SSG116" s="77" t="str">
        <f t="shared" si="311"/>
        <v/>
      </c>
      <c r="SSH116" s="77" t="str">
        <f t="shared" si="311"/>
        <v/>
      </c>
      <c r="SSI116" s="77" t="str">
        <f t="shared" si="311"/>
        <v/>
      </c>
      <c r="SSJ116" s="77" t="str">
        <f t="shared" si="311"/>
        <v/>
      </c>
      <c r="SSK116" s="77" t="str">
        <f t="shared" si="311"/>
        <v/>
      </c>
      <c r="SSL116" s="77" t="str">
        <f t="shared" si="311"/>
        <v/>
      </c>
      <c r="SSM116" s="77" t="str">
        <f t="shared" ref="SSM116:SUX116" si="312">IF(ISNUMBER(outYear),SSM69+SSM75+SSM81+SSM113,"")</f>
        <v/>
      </c>
      <c r="SSN116" s="77" t="str">
        <f t="shared" si="312"/>
        <v/>
      </c>
      <c r="SSO116" s="77" t="str">
        <f t="shared" si="312"/>
        <v/>
      </c>
      <c r="SSP116" s="77" t="str">
        <f t="shared" si="312"/>
        <v/>
      </c>
      <c r="SSQ116" s="77" t="str">
        <f t="shared" si="312"/>
        <v/>
      </c>
      <c r="SSR116" s="77" t="str">
        <f t="shared" si="312"/>
        <v/>
      </c>
      <c r="SSS116" s="77" t="str">
        <f t="shared" si="312"/>
        <v/>
      </c>
      <c r="SST116" s="77" t="str">
        <f t="shared" si="312"/>
        <v/>
      </c>
      <c r="SSU116" s="77" t="str">
        <f t="shared" si="312"/>
        <v/>
      </c>
      <c r="SSV116" s="77" t="str">
        <f t="shared" si="312"/>
        <v/>
      </c>
      <c r="SSW116" s="77" t="str">
        <f t="shared" si="312"/>
        <v/>
      </c>
      <c r="SSX116" s="77" t="str">
        <f t="shared" si="312"/>
        <v/>
      </c>
      <c r="SSY116" s="77" t="str">
        <f t="shared" si="312"/>
        <v/>
      </c>
      <c r="SSZ116" s="77" t="str">
        <f t="shared" si="312"/>
        <v/>
      </c>
      <c r="STA116" s="77" t="str">
        <f t="shared" si="312"/>
        <v/>
      </c>
      <c r="STB116" s="77" t="str">
        <f t="shared" si="312"/>
        <v/>
      </c>
      <c r="STC116" s="77" t="str">
        <f t="shared" si="312"/>
        <v/>
      </c>
      <c r="STD116" s="77" t="str">
        <f t="shared" si="312"/>
        <v/>
      </c>
      <c r="STE116" s="77" t="str">
        <f t="shared" si="312"/>
        <v/>
      </c>
      <c r="STF116" s="77" t="str">
        <f t="shared" si="312"/>
        <v/>
      </c>
      <c r="STG116" s="77" t="str">
        <f t="shared" si="312"/>
        <v/>
      </c>
      <c r="STH116" s="77" t="str">
        <f t="shared" si="312"/>
        <v/>
      </c>
      <c r="STI116" s="77" t="str">
        <f t="shared" si="312"/>
        <v/>
      </c>
      <c r="STJ116" s="77" t="str">
        <f t="shared" si="312"/>
        <v/>
      </c>
      <c r="STK116" s="77" t="str">
        <f t="shared" si="312"/>
        <v/>
      </c>
      <c r="STL116" s="77" t="str">
        <f t="shared" si="312"/>
        <v/>
      </c>
      <c r="STM116" s="77" t="str">
        <f t="shared" si="312"/>
        <v/>
      </c>
      <c r="STN116" s="77" t="str">
        <f t="shared" si="312"/>
        <v/>
      </c>
      <c r="STO116" s="77" t="str">
        <f t="shared" si="312"/>
        <v/>
      </c>
      <c r="STP116" s="77" t="str">
        <f t="shared" si="312"/>
        <v/>
      </c>
      <c r="STQ116" s="77" t="str">
        <f t="shared" si="312"/>
        <v/>
      </c>
      <c r="STR116" s="77" t="str">
        <f t="shared" si="312"/>
        <v/>
      </c>
      <c r="STS116" s="77" t="str">
        <f t="shared" si="312"/>
        <v/>
      </c>
      <c r="STT116" s="77" t="str">
        <f t="shared" si="312"/>
        <v/>
      </c>
      <c r="STU116" s="77" t="str">
        <f t="shared" si="312"/>
        <v/>
      </c>
      <c r="STV116" s="77" t="str">
        <f t="shared" si="312"/>
        <v/>
      </c>
      <c r="STW116" s="77" t="str">
        <f t="shared" si="312"/>
        <v/>
      </c>
      <c r="STX116" s="77" t="str">
        <f t="shared" si="312"/>
        <v/>
      </c>
      <c r="STY116" s="77" t="str">
        <f t="shared" si="312"/>
        <v/>
      </c>
      <c r="STZ116" s="77" t="str">
        <f t="shared" si="312"/>
        <v/>
      </c>
      <c r="SUA116" s="77" t="str">
        <f t="shared" si="312"/>
        <v/>
      </c>
      <c r="SUB116" s="77" t="str">
        <f t="shared" si="312"/>
        <v/>
      </c>
      <c r="SUC116" s="77" t="str">
        <f t="shared" si="312"/>
        <v/>
      </c>
      <c r="SUD116" s="77" t="str">
        <f t="shared" si="312"/>
        <v/>
      </c>
      <c r="SUE116" s="77" t="str">
        <f t="shared" si="312"/>
        <v/>
      </c>
      <c r="SUF116" s="77" t="str">
        <f t="shared" si="312"/>
        <v/>
      </c>
      <c r="SUG116" s="77" t="str">
        <f t="shared" si="312"/>
        <v/>
      </c>
      <c r="SUH116" s="77" t="str">
        <f t="shared" si="312"/>
        <v/>
      </c>
      <c r="SUI116" s="77" t="str">
        <f t="shared" si="312"/>
        <v/>
      </c>
      <c r="SUJ116" s="77" t="str">
        <f t="shared" si="312"/>
        <v/>
      </c>
      <c r="SUK116" s="77" t="str">
        <f t="shared" si="312"/>
        <v/>
      </c>
      <c r="SUL116" s="77" t="str">
        <f t="shared" si="312"/>
        <v/>
      </c>
      <c r="SUM116" s="77" t="str">
        <f t="shared" si="312"/>
        <v/>
      </c>
      <c r="SUN116" s="77" t="str">
        <f t="shared" si="312"/>
        <v/>
      </c>
      <c r="SUO116" s="77" t="str">
        <f t="shared" si="312"/>
        <v/>
      </c>
      <c r="SUP116" s="77" t="str">
        <f t="shared" si="312"/>
        <v/>
      </c>
      <c r="SUQ116" s="77" t="str">
        <f t="shared" si="312"/>
        <v/>
      </c>
      <c r="SUR116" s="77" t="str">
        <f t="shared" si="312"/>
        <v/>
      </c>
      <c r="SUS116" s="77" t="str">
        <f t="shared" si="312"/>
        <v/>
      </c>
      <c r="SUT116" s="77" t="str">
        <f t="shared" si="312"/>
        <v/>
      </c>
      <c r="SUU116" s="77" t="str">
        <f t="shared" si="312"/>
        <v/>
      </c>
      <c r="SUV116" s="77" t="str">
        <f t="shared" si="312"/>
        <v/>
      </c>
      <c r="SUW116" s="77" t="str">
        <f t="shared" si="312"/>
        <v/>
      </c>
      <c r="SUX116" s="77" t="str">
        <f t="shared" si="312"/>
        <v/>
      </c>
      <c r="SUY116" s="77" t="str">
        <f t="shared" ref="SUY116:SXJ116" si="313">IF(ISNUMBER(outYear),SUY69+SUY75+SUY81+SUY113,"")</f>
        <v/>
      </c>
      <c r="SUZ116" s="77" t="str">
        <f t="shared" si="313"/>
        <v/>
      </c>
      <c r="SVA116" s="77" t="str">
        <f t="shared" si="313"/>
        <v/>
      </c>
      <c r="SVB116" s="77" t="str">
        <f t="shared" si="313"/>
        <v/>
      </c>
      <c r="SVC116" s="77" t="str">
        <f t="shared" si="313"/>
        <v/>
      </c>
      <c r="SVD116" s="77" t="str">
        <f t="shared" si="313"/>
        <v/>
      </c>
      <c r="SVE116" s="77" t="str">
        <f t="shared" si="313"/>
        <v/>
      </c>
      <c r="SVF116" s="77" t="str">
        <f t="shared" si="313"/>
        <v/>
      </c>
      <c r="SVG116" s="77" t="str">
        <f t="shared" si="313"/>
        <v/>
      </c>
      <c r="SVH116" s="77" t="str">
        <f t="shared" si="313"/>
        <v/>
      </c>
      <c r="SVI116" s="77" t="str">
        <f t="shared" si="313"/>
        <v/>
      </c>
      <c r="SVJ116" s="77" t="str">
        <f t="shared" si="313"/>
        <v/>
      </c>
      <c r="SVK116" s="77" t="str">
        <f t="shared" si="313"/>
        <v/>
      </c>
      <c r="SVL116" s="77" t="str">
        <f t="shared" si="313"/>
        <v/>
      </c>
      <c r="SVM116" s="77" t="str">
        <f t="shared" si="313"/>
        <v/>
      </c>
      <c r="SVN116" s="77" t="str">
        <f t="shared" si="313"/>
        <v/>
      </c>
      <c r="SVO116" s="77" t="str">
        <f t="shared" si="313"/>
        <v/>
      </c>
      <c r="SVP116" s="77" t="str">
        <f t="shared" si="313"/>
        <v/>
      </c>
      <c r="SVQ116" s="77" t="str">
        <f t="shared" si="313"/>
        <v/>
      </c>
      <c r="SVR116" s="77" t="str">
        <f t="shared" si="313"/>
        <v/>
      </c>
      <c r="SVS116" s="77" t="str">
        <f t="shared" si="313"/>
        <v/>
      </c>
      <c r="SVT116" s="77" t="str">
        <f t="shared" si="313"/>
        <v/>
      </c>
      <c r="SVU116" s="77" t="str">
        <f t="shared" si="313"/>
        <v/>
      </c>
      <c r="SVV116" s="77" t="str">
        <f t="shared" si="313"/>
        <v/>
      </c>
      <c r="SVW116" s="77" t="str">
        <f t="shared" si="313"/>
        <v/>
      </c>
      <c r="SVX116" s="77" t="str">
        <f t="shared" si="313"/>
        <v/>
      </c>
      <c r="SVY116" s="77" t="str">
        <f t="shared" si="313"/>
        <v/>
      </c>
      <c r="SVZ116" s="77" t="str">
        <f t="shared" si="313"/>
        <v/>
      </c>
      <c r="SWA116" s="77" t="str">
        <f t="shared" si="313"/>
        <v/>
      </c>
      <c r="SWB116" s="77" t="str">
        <f t="shared" si="313"/>
        <v/>
      </c>
      <c r="SWC116" s="77" t="str">
        <f t="shared" si="313"/>
        <v/>
      </c>
      <c r="SWD116" s="77" t="str">
        <f t="shared" si="313"/>
        <v/>
      </c>
      <c r="SWE116" s="77" t="str">
        <f t="shared" si="313"/>
        <v/>
      </c>
      <c r="SWF116" s="77" t="str">
        <f t="shared" si="313"/>
        <v/>
      </c>
      <c r="SWG116" s="77" t="str">
        <f t="shared" si="313"/>
        <v/>
      </c>
      <c r="SWH116" s="77" t="str">
        <f t="shared" si="313"/>
        <v/>
      </c>
      <c r="SWI116" s="77" t="str">
        <f t="shared" si="313"/>
        <v/>
      </c>
      <c r="SWJ116" s="77" t="str">
        <f t="shared" si="313"/>
        <v/>
      </c>
      <c r="SWK116" s="77" t="str">
        <f t="shared" si="313"/>
        <v/>
      </c>
      <c r="SWL116" s="77" t="str">
        <f t="shared" si="313"/>
        <v/>
      </c>
      <c r="SWM116" s="77" t="str">
        <f t="shared" si="313"/>
        <v/>
      </c>
      <c r="SWN116" s="77" t="str">
        <f t="shared" si="313"/>
        <v/>
      </c>
      <c r="SWO116" s="77" t="str">
        <f t="shared" si="313"/>
        <v/>
      </c>
      <c r="SWP116" s="77" t="str">
        <f t="shared" si="313"/>
        <v/>
      </c>
      <c r="SWQ116" s="77" t="str">
        <f t="shared" si="313"/>
        <v/>
      </c>
      <c r="SWR116" s="77" t="str">
        <f t="shared" si="313"/>
        <v/>
      </c>
      <c r="SWS116" s="77" t="str">
        <f t="shared" si="313"/>
        <v/>
      </c>
      <c r="SWT116" s="77" t="str">
        <f t="shared" si="313"/>
        <v/>
      </c>
      <c r="SWU116" s="77" t="str">
        <f t="shared" si="313"/>
        <v/>
      </c>
      <c r="SWV116" s="77" t="str">
        <f t="shared" si="313"/>
        <v/>
      </c>
      <c r="SWW116" s="77" t="str">
        <f t="shared" si="313"/>
        <v/>
      </c>
      <c r="SWX116" s="77" t="str">
        <f t="shared" si="313"/>
        <v/>
      </c>
      <c r="SWY116" s="77" t="str">
        <f t="shared" si="313"/>
        <v/>
      </c>
      <c r="SWZ116" s="77" t="str">
        <f t="shared" si="313"/>
        <v/>
      </c>
      <c r="SXA116" s="77" t="str">
        <f t="shared" si="313"/>
        <v/>
      </c>
      <c r="SXB116" s="77" t="str">
        <f t="shared" si="313"/>
        <v/>
      </c>
      <c r="SXC116" s="77" t="str">
        <f t="shared" si="313"/>
        <v/>
      </c>
      <c r="SXD116" s="77" t="str">
        <f t="shared" si="313"/>
        <v/>
      </c>
      <c r="SXE116" s="77" t="str">
        <f t="shared" si="313"/>
        <v/>
      </c>
      <c r="SXF116" s="77" t="str">
        <f t="shared" si="313"/>
        <v/>
      </c>
      <c r="SXG116" s="77" t="str">
        <f t="shared" si="313"/>
        <v/>
      </c>
      <c r="SXH116" s="77" t="str">
        <f t="shared" si="313"/>
        <v/>
      </c>
      <c r="SXI116" s="77" t="str">
        <f t="shared" si="313"/>
        <v/>
      </c>
      <c r="SXJ116" s="77" t="str">
        <f t="shared" si="313"/>
        <v/>
      </c>
      <c r="SXK116" s="77" t="str">
        <f t="shared" ref="SXK116:SZV116" si="314">IF(ISNUMBER(outYear),SXK69+SXK75+SXK81+SXK113,"")</f>
        <v/>
      </c>
      <c r="SXL116" s="77" t="str">
        <f t="shared" si="314"/>
        <v/>
      </c>
      <c r="SXM116" s="77" t="str">
        <f t="shared" si="314"/>
        <v/>
      </c>
      <c r="SXN116" s="77" t="str">
        <f t="shared" si="314"/>
        <v/>
      </c>
      <c r="SXO116" s="77" t="str">
        <f t="shared" si="314"/>
        <v/>
      </c>
      <c r="SXP116" s="77" t="str">
        <f t="shared" si="314"/>
        <v/>
      </c>
      <c r="SXQ116" s="77" t="str">
        <f t="shared" si="314"/>
        <v/>
      </c>
      <c r="SXR116" s="77" t="str">
        <f t="shared" si="314"/>
        <v/>
      </c>
      <c r="SXS116" s="77" t="str">
        <f t="shared" si="314"/>
        <v/>
      </c>
      <c r="SXT116" s="77" t="str">
        <f t="shared" si="314"/>
        <v/>
      </c>
      <c r="SXU116" s="77" t="str">
        <f t="shared" si="314"/>
        <v/>
      </c>
      <c r="SXV116" s="77" t="str">
        <f t="shared" si="314"/>
        <v/>
      </c>
      <c r="SXW116" s="77" t="str">
        <f t="shared" si="314"/>
        <v/>
      </c>
      <c r="SXX116" s="77" t="str">
        <f t="shared" si="314"/>
        <v/>
      </c>
      <c r="SXY116" s="77" t="str">
        <f t="shared" si="314"/>
        <v/>
      </c>
      <c r="SXZ116" s="77" t="str">
        <f t="shared" si="314"/>
        <v/>
      </c>
      <c r="SYA116" s="77" t="str">
        <f t="shared" si="314"/>
        <v/>
      </c>
      <c r="SYB116" s="77" t="str">
        <f t="shared" si="314"/>
        <v/>
      </c>
      <c r="SYC116" s="77" t="str">
        <f t="shared" si="314"/>
        <v/>
      </c>
      <c r="SYD116" s="77" t="str">
        <f t="shared" si="314"/>
        <v/>
      </c>
      <c r="SYE116" s="77" t="str">
        <f t="shared" si="314"/>
        <v/>
      </c>
      <c r="SYF116" s="77" t="str">
        <f t="shared" si="314"/>
        <v/>
      </c>
      <c r="SYG116" s="77" t="str">
        <f t="shared" si="314"/>
        <v/>
      </c>
      <c r="SYH116" s="77" t="str">
        <f t="shared" si="314"/>
        <v/>
      </c>
      <c r="SYI116" s="77" t="str">
        <f t="shared" si="314"/>
        <v/>
      </c>
      <c r="SYJ116" s="77" t="str">
        <f t="shared" si="314"/>
        <v/>
      </c>
      <c r="SYK116" s="77" t="str">
        <f t="shared" si="314"/>
        <v/>
      </c>
      <c r="SYL116" s="77" t="str">
        <f t="shared" si="314"/>
        <v/>
      </c>
      <c r="SYM116" s="77" t="str">
        <f t="shared" si="314"/>
        <v/>
      </c>
      <c r="SYN116" s="77" t="str">
        <f t="shared" si="314"/>
        <v/>
      </c>
      <c r="SYO116" s="77" t="str">
        <f t="shared" si="314"/>
        <v/>
      </c>
      <c r="SYP116" s="77" t="str">
        <f t="shared" si="314"/>
        <v/>
      </c>
      <c r="SYQ116" s="77" t="str">
        <f t="shared" si="314"/>
        <v/>
      </c>
      <c r="SYR116" s="77" t="str">
        <f t="shared" si="314"/>
        <v/>
      </c>
      <c r="SYS116" s="77" t="str">
        <f t="shared" si="314"/>
        <v/>
      </c>
      <c r="SYT116" s="77" t="str">
        <f t="shared" si="314"/>
        <v/>
      </c>
      <c r="SYU116" s="77" t="str">
        <f t="shared" si="314"/>
        <v/>
      </c>
      <c r="SYV116" s="77" t="str">
        <f t="shared" si="314"/>
        <v/>
      </c>
      <c r="SYW116" s="77" t="str">
        <f t="shared" si="314"/>
        <v/>
      </c>
      <c r="SYX116" s="77" t="str">
        <f t="shared" si="314"/>
        <v/>
      </c>
      <c r="SYY116" s="77" t="str">
        <f t="shared" si="314"/>
        <v/>
      </c>
      <c r="SYZ116" s="77" t="str">
        <f t="shared" si="314"/>
        <v/>
      </c>
      <c r="SZA116" s="77" t="str">
        <f t="shared" si="314"/>
        <v/>
      </c>
      <c r="SZB116" s="77" t="str">
        <f t="shared" si="314"/>
        <v/>
      </c>
      <c r="SZC116" s="77" t="str">
        <f t="shared" si="314"/>
        <v/>
      </c>
      <c r="SZD116" s="77" t="str">
        <f t="shared" si="314"/>
        <v/>
      </c>
      <c r="SZE116" s="77" t="str">
        <f t="shared" si="314"/>
        <v/>
      </c>
      <c r="SZF116" s="77" t="str">
        <f t="shared" si="314"/>
        <v/>
      </c>
      <c r="SZG116" s="77" t="str">
        <f t="shared" si="314"/>
        <v/>
      </c>
      <c r="SZH116" s="77" t="str">
        <f t="shared" si="314"/>
        <v/>
      </c>
      <c r="SZI116" s="77" t="str">
        <f t="shared" si="314"/>
        <v/>
      </c>
      <c r="SZJ116" s="77" t="str">
        <f t="shared" si="314"/>
        <v/>
      </c>
      <c r="SZK116" s="77" t="str">
        <f t="shared" si="314"/>
        <v/>
      </c>
      <c r="SZL116" s="77" t="str">
        <f t="shared" si="314"/>
        <v/>
      </c>
      <c r="SZM116" s="77" t="str">
        <f t="shared" si="314"/>
        <v/>
      </c>
      <c r="SZN116" s="77" t="str">
        <f t="shared" si="314"/>
        <v/>
      </c>
      <c r="SZO116" s="77" t="str">
        <f t="shared" si="314"/>
        <v/>
      </c>
      <c r="SZP116" s="77" t="str">
        <f t="shared" si="314"/>
        <v/>
      </c>
      <c r="SZQ116" s="77" t="str">
        <f t="shared" si="314"/>
        <v/>
      </c>
      <c r="SZR116" s="77" t="str">
        <f t="shared" si="314"/>
        <v/>
      </c>
      <c r="SZS116" s="77" t="str">
        <f t="shared" si="314"/>
        <v/>
      </c>
      <c r="SZT116" s="77" t="str">
        <f t="shared" si="314"/>
        <v/>
      </c>
      <c r="SZU116" s="77" t="str">
        <f t="shared" si="314"/>
        <v/>
      </c>
      <c r="SZV116" s="77" t="str">
        <f t="shared" si="314"/>
        <v/>
      </c>
      <c r="SZW116" s="77" t="str">
        <f t="shared" ref="SZW116:TCH116" si="315">IF(ISNUMBER(outYear),SZW69+SZW75+SZW81+SZW113,"")</f>
        <v/>
      </c>
      <c r="SZX116" s="77" t="str">
        <f t="shared" si="315"/>
        <v/>
      </c>
      <c r="SZY116" s="77" t="str">
        <f t="shared" si="315"/>
        <v/>
      </c>
      <c r="SZZ116" s="77" t="str">
        <f t="shared" si="315"/>
        <v/>
      </c>
      <c r="TAA116" s="77" t="str">
        <f t="shared" si="315"/>
        <v/>
      </c>
      <c r="TAB116" s="77" t="str">
        <f t="shared" si="315"/>
        <v/>
      </c>
      <c r="TAC116" s="77" t="str">
        <f t="shared" si="315"/>
        <v/>
      </c>
      <c r="TAD116" s="77" t="str">
        <f t="shared" si="315"/>
        <v/>
      </c>
      <c r="TAE116" s="77" t="str">
        <f t="shared" si="315"/>
        <v/>
      </c>
      <c r="TAF116" s="77" t="str">
        <f t="shared" si="315"/>
        <v/>
      </c>
      <c r="TAG116" s="77" t="str">
        <f t="shared" si="315"/>
        <v/>
      </c>
      <c r="TAH116" s="77" t="str">
        <f t="shared" si="315"/>
        <v/>
      </c>
      <c r="TAI116" s="77" t="str">
        <f t="shared" si="315"/>
        <v/>
      </c>
      <c r="TAJ116" s="77" t="str">
        <f t="shared" si="315"/>
        <v/>
      </c>
      <c r="TAK116" s="77" t="str">
        <f t="shared" si="315"/>
        <v/>
      </c>
      <c r="TAL116" s="77" t="str">
        <f t="shared" si="315"/>
        <v/>
      </c>
      <c r="TAM116" s="77" t="str">
        <f t="shared" si="315"/>
        <v/>
      </c>
      <c r="TAN116" s="77" t="str">
        <f t="shared" si="315"/>
        <v/>
      </c>
      <c r="TAO116" s="77" t="str">
        <f t="shared" si="315"/>
        <v/>
      </c>
      <c r="TAP116" s="77" t="str">
        <f t="shared" si="315"/>
        <v/>
      </c>
      <c r="TAQ116" s="77" t="str">
        <f t="shared" si="315"/>
        <v/>
      </c>
      <c r="TAR116" s="77" t="str">
        <f t="shared" si="315"/>
        <v/>
      </c>
      <c r="TAS116" s="77" t="str">
        <f t="shared" si="315"/>
        <v/>
      </c>
      <c r="TAT116" s="77" t="str">
        <f t="shared" si="315"/>
        <v/>
      </c>
      <c r="TAU116" s="77" t="str">
        <f t="shared" si="315"/>
        <v/>
      </c>
      <c r="TAV116" s="77" t="str">
        <f t="shared" si="315"/>
        <v/>
      </c>
      <c r="TAW116" s="77" t="str">
        <f t="shared" si="315"/>
        <v/>
      </c>
      <c r="TAX116" s="77" t="str">
        <f t="shared" si="315"/>
        <v/>
      </c>
      <c r="TAY116" s="77" t="str">
        <f t="shared" si="315"/>
        <v/>
      </c>
      <c r="TAZ116" s="77" t="str">
        <f t="shared" si="315"/>
        <v/>
      </c>
      <c r="TBA116" s="77" t="str">
        <f t="shared" si="315"/>
        <v/>
      </c>
      <c r="TBB116" s="77" t="str">
        <f t="shared" si="315"/>
        <v/>
      </c>
      <c r="TBC116" s="77" t="str">
        <f t="shared" si="315"/>
        <v/>
      </c>
      <c r="TBD116" s="77" t="str">
        <f t="shared" si="315"/>
        <v/>
      </c>
      <c r="TBE116" s="77" t="str">
        <f t="shared" si="315"/>
        <v/>
      </c>
      <c r="TBF116" s="77" t="str">
        <f t="shared" si="315"/>
        <v/>
      </c>
      <c r="TBG116" s="77" t="str">
        <f t="shared" si="315"/>
        <v/>
      </c>
      <c r="TBH116" s="77" t="str">
        <f t="shared" si="315"/>
        <v/>
      </c>
      <c r="TBI116" s="77" t="str">
        <f t="shared" si="315"/>
        <v/>
      </c>
      <c r="TBJ116" s="77" t="str">
        <f t="shared" si="315"/>
        <v/>
      </c>
      <c r="TBK116" s="77" t="str">
        <f t="shared" si="315"/>
        <v/>
      </c>
      <c r="TBL116" s="77" t="str">
        <f t="shared" si="315"/>
        <v/>
      </c>
      <c r="TBM116" s="77" t="str">
        <f t="shared" si="315"/>
        <v/>
      </c>
      <c r="TBN116" s="77" t="str">
        <f t="shared" si="315"/>
        <v/>
      </c>
      <c r="TBO116" s="77" t="str">
        <f t="shared" si="315"/>
        <v/>
      </c>
      <c r="TBP116" s="77" t="str">
        <f t="shared" si="315"/>
        <v/>
      </c>
      <c r="TBQ116" s="77" t="str">
        <f t="shared" si="315"/>
        <v/>
      </c>
      <c r="TBR116" s="77" t="str">
        <f t="shared" si="315"/>
        <v/>
      </c>
      <c r="TBS116" s="77" t="str">
        <f t="shared" si="315"/>
        <v/>
      </c>
      <c r="TBT116" s="77" t="str">
        <f t="shared" si="315"/>
        <v/>
      </c>
      <c r="TBU116" s="77" t="str">
        <f t="shared" si="315"/>
        <v/>
      </c>
      <c r="TBV116" s="77" t="str">
        <f t="shared" si="315"/>
        <v/>
      </c>
      <c r="TBW116" s="77" t="str">
        <f t="shared" si="315"/>
        <v/>
      </c>
      <c r="TBX116" s="77" t="str">
        <f t="shared" si="315"/>
        <v/>
      </c>
      <c r="TBY116" s="77" t="str">
        <f t="shared" si="315"/>
        <v/>
      </c>
      <c r="TBZ116" s="77" t="str">
        <f t="shared" si="315"/>
        <v/>
      </c>
      <c r="TCA116" s="77" t="str">
        <f t="shared" si="315"/>
        <v/>
      </c>
      <c r="TCB116" s="77" t="str">
        <f t="shared" si="315"/>
        <v/>
      </c>
      <c r="TCC116" s="77" t="str">
        <f t="shared" si="315"/>
        <v/>
      </c>
      <c r="TCD116" s="77" t="str">
        <f t="shared" si="315"/>
        <v/>
      </c>
      <c r="TCE116" s="77" t="str">
        <f t="shared" si="315"/>
        <v/>
      </c>
      <c r="TCF116" s="77" t="str">
        <f t="shared" si="315"/>
        <v/>
      </c>
      <c r="TCG116" s="77" t="str">
        <f t="shared" si="315"/>
        <v/>
      </c>
      <c r="TCH116" s="77" t="str">
        <f t="shared" si="315"/>
        <v/>
      </c>
      <c r="TCI116" s="77" t="str">
        <f t="shared" ref="TCI116:TET116" si="316">IF(ISNUMBER(outYear),TCI69+TCI75+TCI81+TCI113,"")</f>
        <v/>
      </c>
      <c r="TCJ116" s="77" t="str">
        <f t="shared" si="316"/>
        <v/>
      </c>
      <c r="TCK116" s="77" t="str">
        <f t="shared" si="316"/>
        <v/>
      </c>
      <c r="TCL116" s="77" t="str">
        <f t="shared" si="316"/>
        <v/>
      </c>
      <c r="TCM116" s="77" t="str">
        <f t="shared" si="316"/>
        <v/>
      </c>
      <c r="TCN116" s="77" t="str">
        <f t="shared" si="316"/>
        <v/>
      </c>
      <c r="TCO116" s="77" t="str">
        <f t="shared" si="316"/>
        <v/>
      </c>
      <c r="TCP116" s="77" t="str">
        <f t="shared" si="316"/>
        <v/>
      </c>
      <c r="TCQ116" s="77" t="str">
        <f t="shared" si="316"/>
        <v/>
      </c>
      <c r="TCR116" s="77" t="str">
        <f t="shared" si="316"/>
        <v/>
      </c>
      <c r="TCS116" s="77" t="str">
        <f t="shared" si="316"/>
        <v/>
      </c>
      <c r="TCT116" s="77" t="str">
        <f t="shared" si="316"/>
        <v/>
      </c>
      <c r="TCU116" s="77" t="str">
        <f t="shared" si="316"/>
        <v/>
      </c>
      <c r="TCV116" s="77" t="str">
        <f t="shared" si="316"/>
        <v/>
      </c>
      <c r="TCW116" s="77" t="str">
        <f t="shared" si="316"/>
        <v/>
      </c>
      <c r="TCX116" s="77" t="str">
        <f t="shared" si="316"/>
        <v/>
      </c>
      <c r="TCY116" s="77" t="str">
        <f t="shared" si="316"/>
        <v/>
      </c>
      <c r="TCZ116" s="77" t="str">
        <f t="shared" si="316"/>
        <v/>
      </c>
      <c r="TDA116" s="77" t="str">
        <f t="shared" si="316"/>
        <v/>
      </c>
      <c r="TDB116" s="77" t="str">
        <f t="shared" si="316"/>
        <v/>
      </c>
      <c r="TDC116" s="77" t="str">
        <f t="shared" si="316"/>
        <v/>
      </c>
      <c r="TDD116" s="77" t="str">
        <f t="shared" si="316"/>
        <v/>
      </c>
      <c r="TDE116" s="77" t="str">
        <f t="shared" si="316"/>
        <v/>
      </c>
      <c r="TDF116" s="77" t="str">
        <f t="shared" si="316"/>
        <v/>
      </c>
      <c r="TDG116" s="77" t="str">
        <f t="shared" si="316"/>
        <v/>
      </c>
      <c r="TDH116" s="77" t="str">
        <f t="shared" si="316"/>
        <v/>
      </c>
      <c r="TDI116" s="77" t="str">
        <f t="shared" si="316"/>
        <v/>
      </c>
      <c r="TDJ116" s="77" t="str">
        <f t="shared" si="316"/>
        <v/>
      </c>
      <c r="TDK116" s="77" t="str">
        <f t="shared" si="316"/>
        <v/>
      </c>
      <c r="TDL116" s="77" t="str">
        <f t="shared" si="316"/>
        <v/>
      </c>
      <c r="TDM116" s="77" t="str">
        <f t="shared" si="316"/>
        <v/>
      </c>
      <c r="TDN116" s="77" t="str">
        <f t="shared" si="316"/>
        <v/>
      </c>
      <c r="TDO116" s="77" t="str">
        <f t="shared" si="316"/>
        <v/>
      </c>
      <c r="TDP116" s="77" t="str">
        <f t="shared" si="316"/>
        <v/>
      </c>
      <c r="TDQ116" s="77" t="str">
        <f t="shared" si="316"/>
        <v/>
      </c>
      <c r="TDR116" s="77" t="str">
        <f t="shared" si="316"/>
        <v/>
      </c>
      <c r="TDS116" s="77" t="str">
        <f t="shared" si="316"/>
        <v/>
      </c>
      <c r="TDT116" s="77" t="str">
        <f t="shared" si="316"/>
        <v/>
      </c>
      <c r="TDU116" s="77" t="str">
        <f t="shared" si="316"/>
        <v/>
      </c>
      <c r="TDV116" s="77" t="str">
        <f t="shared" si="316"/>
        <v/>
      </c>
      <c r="TDW116" s="77" t="str">
        <f t="shared" si="316"/>
        <v/>
      </c>
      <c r="TDX116" s="77" t="str">
        <f t="shared" si="316"/>
        <v/>
      </c>
      <c r="TDY116" s="77" t="str">
        <f t="shared" si="316"/>
        <v/>
      </c>
      <c r="TDZ116" s="77" t="str">
        <f t="shared" si="316"/>
        <v/>
      </c>
      <c r="TEA116" s="77" t="str">
        <f t="shared" si="316"/>
        <v/>
      </c>
      <c r="TEB116" s="77" t="str">
        <f t="shared" si="316"/>
        <v/>
      </c>
      <c r="TEC116" s="77" t="str">
        <f t="shared" si="316"/>
        <v/>
      </c>
      <c r="TED116" s="77" t="str">
        <f t="shared" si="316"/>
        <v/>
      </c>
      <c r="TEE116" s="77" t="str">
        <f t="shared" si="316"/>
        <v/>
      </c>
      <c r="TEF116" s="77" t="str">
        <f t="shared" si="316"/>
        <v/>
      </c>
      <c r="TEG116" s="77" t="str">
        <f t="shared" si="316"/>
        <v/>
      </c>
      <c r="TEH116" s="77" t="str">
        <f t="shared" si="316"/>
        <v/>
      </c>
      <c r="TEI116" s="77" t="str">
        <f t="shared" si="316"/>
        <v/>
      </c>
      <c r="TEJ116" s="77" t="str">
        <f t="shared" si="316"/>
        <v/>
      </c>
      <c r="TEK116" s="77" t="str">
        <f t="shared" si="316"/>
        <v/>
      </c>
      <c r="TEL116" s="77" t="str">
        <f t="shared" si="316"/>
        <v/>
      </c>
      <c r="TEM116" s="77" t="str">
        <f t="shared" si="316"/>
        <v/>
      </c>
      <c r="TEN116" s="77" t="str">
        <f t="shared" si="316"/>
        <v/>
      </c>
      <c r="TEO116" s="77" t="str">
        <f t="shared" si="316"/>
        <v/>
      </c>
      <c r="TEP116" s="77" t="str">
        <f t="shared" si="316"/>
        <v/>
      </c>
      <c r="TEQ116" s="77" t="str">
        <f t="shared" si="316"/>
        <v/>
      </c>
      <c r="TER116" s="77" t="str">
        <f t="shared" si="316"/>
        <v/>
      </c>
      <c r="TES116" s="77" t="str">
        <f t="shared" si="316"/>
        <v/>
      </c>
      <c r="TET116" s="77" t="str">
        <f t="shared" si="316"/>
        <v/>
      </c>
      <c r="TEU116" s="77" t="str">
        <f t="shared" ref="TEU116:THF116" si="317">IF(ISNUMBER(outYear),TEU69+TEU75+TEU81+TEU113,"")</f>
        <v/>
      </c>
      <c r="TEV116" s="77" t="str">
        <f t="shared" si="317"/>
        <v/>
      </c>
      <c r="TEW116" s="77" t="str">
        <f t="shared" si="317"/>
        <v/>
      </c>
      <c r="TEX116" s="77" t="str">
        <f t="shared" si="317"/>
        <v/>
      </c>
      <c r="TEY116" s="77" t="str">
        <f t="shared" si="317"/>
        <v/>
      </c>
      <c r="TEZ116" s="77" t="str">
        <f t="shared" si="317"/>
        <v/>
      </c>
      <c r="TFA116" s="77" t="str">
        <f t="shared" si="317"/>
        <v/>
      </c>
      <c r="TFB116" s="77" t="str">
        <f t="shared" si="317"/>
        <v/>
      </c>
      <c r="TFC116" s="77" t="str">
        <f t="shared" si="317"/>
        <v/>
      </c>
      <c r="TFD116" s="77" t="str">
        <f t="shared" si="317"/>
        <v/>
      </c>
      <c r="TFE116" s="77" t="str">
        <f t="shared" si="317"/>
        <v/>
      </c>
      <c r="TFF116" s="77" t="str">
        <f t="shared" si="317"/>
        <v/>
      </c>
      <c r="TFG116" s="77" t="str">
        <f t="shared" si="317"/>
        <v/>
      </c>
      <c r="TFH116" s="77" t="str">
        <f t="shared" si="317"/>
        <v/>
      </c>
      <c r="TFI116" s="77" t="str">
        <f t="shared" si="317"/>
        <v/>
      </c>
      <c r="TFJ116" s="77" t="str">
        <f t="shared" si="317"/>
        <v/>
      </c>
      <c r="TFK116" s="77" t="str">
        <f t="shared" si="317"/>
        <v/>
      </c>
      <c r="TFL116" s="77" t="str">
        <f t="shared" si="317"/>
        <v/>
      </c>
      <c r="TFM116" s="77" t="str">
        <f t="shared" si="317"/>
        <v/>
      </c>
      <c r="TFN116" s="77" t="str">
        <f t="shared" si="317"/>
        <v/>
      </c>
      <c r="TFO116" s="77" t="str">
        <f t="shared" si="317"/>
        <v/>
      </c>
      <c r="TFP116" s="77" t="str">
        <f t="shared" si="317"/>
        <v/>
      </c>
      <c r="TFQ116" s="77" t="str">
        <f t="shared" si="317"/>
        <v/>
      </c>
      <c r="TFR116" s="77" t="str">
        <f t="shared" si="317"/>
        <v/>
      </c>
      <c r="TFS116" s="77" t="str">
        <f t="shared" si="317"/>
        <v/>
      </c>
      <c r="TFT116" s="77" t="str">
        <f t="shared" si="317"/>
        <v/>
      </c>
      <c r="TFU116" s="77" t="str">
        <f t="shared" si="317"/>
        <v/>
      </c>
      <c r="TFV116" s="77" t="str">
        <f t="shared" si="317"/>
        <v/>
      </c>
      <c r="TFW116" s="77" t="str">
        <f t="shared" si="317"/>
        <v/>
      </c>
      <c r="TFX116" s="77" t="str">
        <f t="shared" si="317"/>
        <v/>
      </c>
      <c r="TFY116" s="77" t="str">
        <f t="shared" si="317"/>
        <v/>
      </c>
      <c r="TFZ116" s="77" t="str">
        <f t="shared" si="317"/>
        <v/>
      </c>
      <c r="TGA116" s="77" t="str">
        <f t="shared" si="317"/>
        <v/>
      </c>
      <c r="TGB116" s="77" t="str">
        <f t="shared" si="317"/>
        <v/>
      </c>
      <c r="TGC116" s="77" t="str">
        <f t="shared" si="317"/>
        <v/>
      </c>
      <c r="TGD116" s="77" t="str">
        <f t="shared" si="317"/>
        <v/>
      </c>
      <c r="TGE116" s="77" t="str">
        <f t="shared" si="317"/>
        <v/>
      </c>
      <c r="TGF116" s="77" t="str">
        <f t="shared" si="317"/>
        <v/>
      </c>
      <c r="TGG116" s="77" t="str">
        <f t="shared" si="317"/>
        <v/>
      </c>
      <c r="TGH116" s="77" t="str">
        <f t="shared" si="317"/>
        <v/>
      </c>
      <c r="TGI116" s="77" t="str">
        <f t="shared" si="317"/>
        <v/>
      </c>
      <c r="TGJ116" s="77" t="str">
        <f t="shared" si="317"/>
        <v/>
      </c>
      <c r="TGK116" s="77" t="str">
        <f t="shared" si="317"/>
        <v/>
      </c>
      <c r="TGL116" s="77" t="str">
        <f t="shared" si="317"/>
        <v/>
      </c>
      <c r="TGM116" s="77" t="str">
        <f t="shared" si="317"/>
        <v/>
      </c>
      <c r="TGN116" s="77" t="str">
        <f t="shared" si="317"/>
        <v/>
      </c>
      <c r="TGO116" s="77" t="str">
        <f t="shared" si="317"/>
        <v/>
      </c>
      <c r="TGP116" s="77" t="str">
        <f t="shared" si="317"/>
        <v/>
      </c>
      <c r="TGQ116" s="77" t="str">
        <f t="shared" si="317"/>
        <v/>
      </c>
      <c r="TGR116" s="77" t="str">
        <f t="shared" si="317"/>
        <v/>
      </c>
      <c r="TGS116" s="77" t="str">
        <f t="shared" si="317"/>
        <v/>
      </c>
      <c r="TGT116" s="77" t="str">
        <f t="shared" si="317"/>
        <v/>
      </c>
      <c r="TGU116" s="77" t="str">
        <f t="shared" si="317"/>
        <v/>
      </c>
      <c r="TGV116" s="77" t="str">
        <f t="shared" si="317"/>
        <v/>
      </c>
      <c r="TGW116" s="77" t="str">
        <f t="shared" si="317"/>
        <v/>
      </c>
      <c r="TGX116" s="77" t="str">
        <f t="shared" si="317"/>
        <v/>
      </c>
      <c r="TGY116" s="77" t="str">
        <f t="shared" si="317"/>
        <v/>
      </c>
      <c r="TGZ116" s="77" t="str">
        <f t="shared" si="317"/>
        <v/>
      </c>
      <c r="THA116" s="77" t="str">
        <f t="shared" si="317"/>
        <v/>
      </c>
      <c r="THB116" s="77" t="str">
        <f t="shared" si="317"/>
        <v/>
      </c>
      <c r="THC116" s="77" t="str">
        <f t="shared" si="317"/>
        <v/>
      </c>
      <c r="THD116" s="77" t="str">
        <f t="shared" si="317"/>
        <v/>
      </c>
      <c r="THE116" s="77" t="str">
        <f t="shared" si="317"/>
        <v/>
      </c>
      <c r="THF116" s="77" t="str">
        <f t="shared" si="317"/>
        <v/>
      </c>
      <c r="THG116" s="77" t="str">
        <f t="shared" ref="THG116:TJR116" si="318">IF(ISNUMBER(outYear),THG69+THG75+THG81+THG113,"")</f>
        <v/>
      </c>
      <c r="THH116" s="77" t="str">
        <f t="shared" si="318"/>
        <v/>
      </c>
      <c r="THI116" s="77" t="str">
        <f t="shared" si="318"/>
        <v/>
      </c>
      <c r="THJ116" s="77" t="str">
        <f t="shared" si="318"/>
        <v/>
      </c>
      <c r="THK116" s="77" t="str">
        <f t="shared" si="318"/>
        <v/>
      </c>
      <c r="THL116" s="77" t="str">
        <f t="shared" si="318"/>
        <v/>
      </c>
      <c r="THM116" s="77" t="str">
        <f t="shared" si="318"/>
        <v/>
      </c>
      <c r="THN116" s="77" t="str">
        <f t="shared" si="318"/>
        <v/>
      </c>
      <c r="THO116" s="77" t="str">
        <f t="shared" si="318"/>
        <v/>
      </c>
      <c r="THP116" s="77" t="str">
        <f t="shared" si="318"/>
        <v/>
      </c>
      <c r="THQ116" s="77" t="str">
        <f t="shared" si="318"/>
        <v/>
      </c>
      <c r="THR116" s="77" t="str">
        <f t="shared" si="318"/>
        <v/>
      </c>
      <c r="THS116" s="77" t="str">
        <f t="shared" si="318"/>
        <v/>
      </c>
      <c r="THT116" s="77" t="str">
        <f t="shared" si="318"/>
        <v/>
      </c>
      <c r="THU116" s="77" t="str">
        <f t="shared" si="318"/>
        <v/>
      </c>
      <c r="THV116" s="77" t="str">
        <f t="shared" si="318"/>
        <v/>
      </c>
      <c r="THW116" s="77" t="str">
        <f t="shared" si="318"/>
        <v/>
      </c>
      <c r="THX116" s="77" t="str">
        <f t="shared" si="318"/>
        <v/>
      </c>
      <c r="THY116" s="77" t="str">
        <f t="shared" si="318"/>
        <v/>
      </c>
      <c r="THZ116" s="77" t="str">
        <f t="shared" si="318"/>
        <v/>
      </c>
      <c r="TIA116" s="77" t="str">
        <f t="shared" si="318"/>
        <v/>
      </c>
      <c r="TIB116" s="77" t="str">
        <f t="shared" si="318"/>
        <v/>
      </c>
      <c r="TIC116" s="77" t="str">
        <f t="shared" si="318"/>
        <v/>
      </c>
      <c r="TID116" s="77" t="str">
        <f t="shared" si="318"/>
        <v/>
      </c>
      <c r="TIE116" s="77" t="str">
        <f t="shared" si="318"/>
        <v/>
      </c>
      <c r="TIF116" s="77" t="str">
        <f t="shared" si="318"/>
        <v/>
      </c>
      <c r="TIG116" s="77" t="str">
        <f t="shared" si="318"/>
        <v/>
      </c>
      <c r="TIH116" s="77" t="str">
        <f t="shared" si="318"/>
        <v/>
      </c>
      <c r="TII116" s="77" t="str">
        <f t="shared" si="318"/>
        <v/>
      </c>
      <c r="TIJ116" s="77" t="str">
        <f t="shared" si="318"/>
        <v/>
      </c>
      <c r="TIK116" s="77" t="str">
        <f t="shared" si="318"/>
        <v/>
      </c>
      <c r="TIL116" s="77" t="str">
        <f t="shared" si="318"/>
        <v/>
      </c>
      <c r="TIM116" s="77" t="str">
        <f t="shared" si="318"/>
        <v/>
      </c>
      <c r="TIN116" s="77" t="str">
        <f t="shared" si="318"/>
        <v/>
      </c>
      <c r="TIO116" s="77" t="str">
        <f t="shared" si="318"/>
        <v/>
      </c>
      <c r="TIP116" s="77" t="str">
        <f t="shared" si="318"/>
        <v/>
      </c>
      <c r="TIQ116" s="77" t="str">
        <f t="shared" si="318"/>
        <v/>
      </c>
      <c r="TIR116" s="77" t="str">
        <f t="shared" si="318"/>
        <v/>
      </c>
      <c r="TIS116" s="77" t="str">
        <f t="shared" si="318"/>
        <v/>
      </c>
      <c r="TIT116" s="77" t="str">
        <f t="shared" si="318"/>
        <v/>
      </c>
      <c r="TIU116" s="77" t="str">
        <f t="shared" si="318"/>
        <v/>
      </c>
      <c r="TIV116" s="77" t="str">
        <f t="shared" si="318"/>
        <v/>
      </c>
      <c r="TIW116" s="77" t="str">
        <f t="shared" si="318"/>
        <v/>
      </c>
      <c r="TIX116" s="77" t="str">
        <f t="shared" si="318"/>
        <v/>
      </c>
      <c r="TIY116" s="77" t="str">
        <f t="shared" si="318"/>
        <v/>
      </c>
      <c r="TIZ116" s="77" t="str">
        <f t="shared" si="318"/>
        <v/>
      </c>
      <c r="TJA116" s="77" t="str">
        <f t="shared" si="318"/>
        <v/>
      </c>
      <c r="TJB116" s="77" t="str">
        <f t="shared" si="318"/>
        <v/>
      </c>
      <c r="TJC116" s="77" t="str">
        <f t="shared" si="318"/>
        <v/>
      </c>
      <c r="TJD116" s="77" t="str">
        <f t="shared" si="318"/>
        <v/>
      </c>
      <c r="TJE116" s="77" t="str">
        <f t="shared" si="318"/>
        <v/>
      </c>
      <c r="TJF116" s="77" t="str">
        <f t="shared" si="318"/>
        <v/>
      </c>
      <c r="TJG116" s="77" t="str">
        <f t="shared" si="318"/>
        <v/>
      </c>
      <c r="TJH116" s="77" t="str">
        <f t="shared" si="318"/>
        <v/>
      </c>
      <c r="TJI116" s="77" t="str">
        <f t="shared" si="318"/>
        <v/>
      </c>
      <c r="TJJ116" s="77" t="str">
        <f t="shared" si="318"/>
        <v/>
      </c>
      <c r="TJK116" s="77" t="str">
        <f t="shared" si="318"/>
        <v/>
      </c>
      <c r="TJL116" s="77" t="str">
        <f t="shared" si="318"/>
        <v/>
      </c>
      <c r="TJM116" s="77" t="str">
        <f t="shared" si="318"/>
        <v/>
      </c>
      <c r="TJN116" s="77" t="str">
        <f t="shared" si="318"/>
        <v/>
      </c>
      <c r="TJO116" s="77" t="str">
        <f t="shared" si="318"/>
        <v/>
      </c>
      <c r="TJP116" s="77" t="str">
        <f t="shared" si="318"/>
        <v/>
      </c>
      <c r="TJQ116" s="77" t="str">
        <f t="shared" si="318"/>
        <v/>
      </c>
      <c r="TJR116" s="77" t="str">
        <f t="shared" si="318"/>
        <v/>
      </c>
      <c r="TJS116" s="77" t="str">
        <f t="shared" ref="TJS116:TMD116" si="319">IF(ISNUMBER(outYear),TJS69+TJS75+TJS81+TJS113,"")</f>
        <v/>
      </c>
      <c r="TJT116" s="77" t="str">
        <f t="shared" si="319"/>
        <v/>
      </c>
      <c r="TJU116" s="77" t="str">
        <f t="shared" si="319"/>
        <v/>
      </c>
      <c r="TJV116" s="77" t="str">
        <f t="shared" si="319"/>
        <v/>
      </c>
      <c r="TJW116" s="77" t="str">
        <f t="shared" si="319"/>
        <v/>
      </c>
      <c r="TJX116" s="77" t="str">
        <f t="shared" si="319"/>
        <v/>
      </c>
      <c r="TJY116" s="77" t="str">
        <f t="shared" si="319"/>
        <v/>
      </c>
      <c r="TJZ116" s="77" t="str">
        <f t="shared" si="319"/>
        <v/>
      </c>
      <c r="TKA116" s="77" t="str">
        <f t="shared" si="319"/>
        <v/>
      </c>
      <c r="TKB116" s="77" t="str">
        <f t="shared" si="319"/>
        <v/>
      </c>
      <c r="TKC116" s="77" t="str">
        <f t="shared" si="319"/>
        <v/>
      </c>
      <c r="TKD116" s="77" t="str">
        <f t="shared" si="319"/>
        <v/>
      </c>
      <c r="TKE116" s="77" t="str">
        <f t="shared" si="319"/>
        <v/>
      </c>
      <c r="TKF116" s="77" t="str">
        <f t="shared" si="319"/>
        <v/>
      </c>
      <c r="TKG116" s="77" t="str">
        <f t="shared" si="319"/>
        <v/>
      </c>
      <c r="TKH116" s="77" t="str">
        <f t="shared" si="319"/>
        <v/>
      </c>
      <c r="TKI116" s="77" t="str">
        <f t="shared" si="319"/>
        <v/>
      </c>
      <c r="TKJ116" s="77" t="str">
        <f t="shared" si="319"/>
        <v/>
      </c>
      <c r="TKK116" s="77" t="str">
        <f t="shared" si="319"/>
        <v/>
      </c>
      <c r="TKL116" s="77" t="str">
        <f t="shared" si="319"/>
        <v/>
      </c>
      <c r="TKM116" s="77" t="str">
        <f t="shared" si="319"/>
        <v/>
      </c>
      <c r="TKN116" s="77" t="str">
        <f t="shared" si="319"/>
        <v/>
      </c>
      <c r="TKO116" s="77" t="str">
        <f t="shared" si="319"/>
        <v/>
      </c>
      <c r="TKP116" s="77" t="str">
        <f t="shared" si="319"/>
        <v/>
      </c>
      <c r="TKQ116" s="77" t="str">
        <f t="shared" si="319"/>
        <v/>
      </c>
      <c r="TKR116" s="77" t="str">
        <f t="shared" si="319"/>
        <v/>
      </c>
      <c r="TKS116" s="77" t="str">
        <f t="shared" si="319"/>
        <v/>
      </c>
      <c r="TKT116" s="77" t="str">
        <f t="shared" si="319"/>
        <v/>
      </c>
      <c r="TKU116" s="77" t="str">
        <f t="shared" si="319"/>
        <v/>
      </c>
      <c r="TKV116" s="77" t="str">
        <f t="shared" si="319"/>
        <v/>
      </c>
      <c r="TKW116" s="77" t="str">
        <f t="shared" si="319"/>
        <v/>
      </c>
      <c r="TKX116" s="77" t="str">
        <f t="shared" si="319"/>
        <v/>
      </c>
      <c r="TKY116" s="77" t="str">
        <f t="shared" si="319"/>
        <v/>
      </c>
      <c r="TKZ116" s="77" t="str">
        <f t="shared" si="319"/>
        <v/>
      </c>
      <c r="TLA116" s="77" t="str">
        <f t="shared" si="319"/>
        <v/>
      </c>
      <c r="TLB116" s="77" t="str">
        <f t="shared" si="319"/>
        <v/>
      </c>
      <c r="TLC116" s="77" t="str">
        <f t="shared" si="319"/>
        <v/>
      </c>
      <c r="TLD116" s="77" t="str">
        <f t="shared" si="319"/>
        <v/>
      </c>
      <c r="TLE116" s="77" t="str">
        <f t="shared" si="319"/>
        <v/>
      </c>
      <c r="TLF116" s="77" t="str">
        <f t="shared" si="319"/>
        <v/>
      </c>
      <c r="TLG116" s="77" t="str">
        <f t="shared" si="319"/>
        <v/>
      </c>
      <c r="TLH116" s="77" t="str">
        <f t="shared" si="319"/>
        <v/>
      </c>
      <c r="TLI116" s="77" t="str">
        <f t="shared" si="319"/>
        <v/>
      </c>
      <c r="TLJ116" s="77" t="str">
        <f t="shared" si="319"/>
        <v/>
      </c>
      <c r="TLK116" s="77" t="str">
        <f t="shared" si="319"/>
        <v/>
      </c>
      <c r="TLL116" s="77" t="str">
        <f t="shared" si="319"/>
        <v/>
      </c>
      <c r="TLM116" s="77" t="str">
        <f t="shared" si="319"/>
        <v/>
      </c>
      <c r="TLN116" s="77" t="str">
        <f t="shared" si="319"/>
        <v/>
      </c>
      <c r="TLO116" s="77" t="str">
        <f t="shared" si="319"/>
        <v/>
      </c>
      <c r="TLP116" s="77" t="str">
        <f t="shared" si="319"/>
        <v/>
      </c>
      <c r="TLQ116" s="77" t="str">
        <f t="shared" si="319"/>
        <v/>
      </c>
      <c r="TLR116" s="77" t="str">
        <f t="shared" si="319"/>
        <v/>
      </c>
      <c r="TLS116" s="77" t="str">
        <f t="shared" si="319"/>
        <v/>
      </c>
      <c r="TLT116" s="77" t="str">
        <f t="shared" si="319"/>
        <v/>
      </c>
      <c r="TLU116" s="77" t="str">
        <f t="shared" si="319"/>
        <v/>
      </c>
      <c r="TLV116" s="77" t="str">
        <f t="shared" si="319"/>
        <v/>
      </c>
      <c r="TLW116" s="77" t="str">
        <f t="shared" si="319"/>
        <v/>
      </c>
      <c r="TLX116" s="77" t="str">
        <f t="shared" si="319"/>
        <v/>
      </c>
      <c r="TLY116" s="77" t="str">
        <f t="shared" si="319"/>
        <v/>
      </c>
      <c r="TLZ116" s="77" t="str">
        <f t="shared" si="319"/>
        <v/>
      </c>
      <c r="TMA116" s="77" t="str">
        <f t="shared" si="319"/>
        <v/>
      </c>
      <c r="TMB116" s="77" t="str">
        <f t="shared" si="319"/>
        <v/>
      </c>
      <c r="TMC116" s="77" t="str">
        <f t="shared" si="319"/>
        <v/>
      </c>
      <c r="TMD116" s="77" t="str">
        <f t="shared" si="319"/>
        <v/>
      </c>
      <c r="TME116" s="77" t="str">
        <f t="shared" ref="TME116:TOP116" si="320">IF(ISNUMBER(outYear),TME69+TME75+TME81+TME113,"")</f>
        <v/>
      </c>
      <c r="TMF116" s="77" t="str">
        <f t="shared" si="320"/>
        <v/>
      </c>
      <c r="TMG116" s="77" t="str">
        <f t="shared" si="320"/>
        <v/>
      </c>
      <c r="TMH116" s="77" t="str">
        <f t="shared" si="320"/>
        <v/>
      </c>
      <c r="TMI116" s="77" t="str">
        <f t="shared" si="320"/>
        <v/>
      </c>
      <c r="TMJ116" s="77" t="str">
        <f t="shared" si="320"/>
        <v/>
      </c>
      <c r="TMK116" s="77" t="str">
        <f t="shared" si="320"/>
        <v/>
      </c>
      <c r="TML116" s="77" t="str">
        <f t="shared" si="320"/>
        <v/>
      </c>
      <c r="TMM116" s="77" t="str">
        <f t="shared" si="320"/>
        <v/>
      </c>
      <c r="TMN116" s="77" t="str">
        <f t="shared" si="320"/>
        <v/>
      </c>
      <c r="TMO116" s="77" t="str">
        <f t="shared" si="320"/>
        <v/>
      </c>
      <c r="TMP116" s="77" t="str">
        <f t="shared" si="320"/>
        <v/>
      </c>
      <c r="TMQ116" s="77" t="str">
        <f t="shared" si="320"/>
        <v/>
      </c>
      <c r="TMR116" s="77" t="str">
        <f t="shared" si="320"/>
        <v/>
      </c>
      <c r="TMS116" s="77" t="str">
        <f t="shared" si="320"/>
        <v/>
      </c>
      <c r="TMT116" s="77" t="str">
        <f t="shared" si="320"/>
        <v/>
      </c>
      <c r="TMU116" s="77" t="str">
        <f t="shared" si="320"/>
        <v/>
      </c>
      <c r="TMV116" s="77" t="str">
        <f t="shared" si="320"/>
        <v/>
      </c>
      <c r="TMW116" s="77" t="str">
        <f t="shared" si="320"/>
        <v/>
      </c>
      <c r="TMX116" s="77" t="str">
        <f t="shared" si="320"/>
        <v/>
      </c>
      <c r="TMY116" s="77" t="str">
        <f t="shared" si="320"/>
        <v/>
      </c>
      <c r="TMZ116" s="77" t="str">
        <f t="shared" si="320"/>
        <v/>
      </c>
      <c r="TNA116" s="77" t="str">
        <f t="shared" si="320"/>
        <v/>
      </c>
      <c r="TNB116" s="77" t="str">
        <f t="shared" si="320"/>
        <v/>
      </c>
      <c r="TNC116" s="77" t="str">
        <f t="shared" si="320"/>
        <v/>
      </c>
      <c r="TND116" s="77" t="str">
        <f t="shared" si="320"/>
        <v/>
      </c>
      <c r="TNE116" s="77" t="str">
        <f t="shared" si="320"/>
        <v/>
      </c>
      <c r="TNF116" s="77" t="str">
        <f t="shared" si="320"/>
        <v/>
      </c>
      <c r="TNG116" s="77" t="str">
        <f t="shared" si="320"/>
        <v/>
      </c>
      <c r="TNH116" s="77" t="str">
        <f t="shared" si="320"/>
        <v/>
      </c>
      <c r="TNI116" s="77" t="str">
        <f t="shared" si="320"/>
        <v/>
      </c>
      <c r="TNJ116" s="77" t="str">
        <f t="shared" si="320"/>
        <v/>
      </c>
      <c r="TNK116" s="77" t="str">
        <f t="shared" si="320"/>
        <v/>
      </c>
      <c r="TNL116" s="77" t="str">
        <f t="shared" si="320"/>
        <v/>
      </c>
      <c r="TNM116" s="77" t="str">
        <f t="shared" si="320"/>
        <v/>
      </c>
      <c r="TNN116" s="77" t="str">
        <f t="shared" si="320"/>
        <v/>
      </c>
      <c r="TNO116" s="77" t="str">
        <f t="shared" si="320"/>
        <v/>
      </c>
      <c r="TNP116" s="77" t="str">
        <f t="shared" si="320"/>
        <v/>
      </c>
      <c r="TNQ116" s="77" t="str">
        <f t="shared" si="320"/>
        <v/>
      </c>
      <c r="TNR116" s="77" t="str">
        <f t="shared" si="320"/>
        <v/>
      </c>
      <c r="TNS116" s="77" t="str">
        <f t="shared" si="320"/>
        <v/>
      </c>
      <c r="TNT116" s="77" t="str">
        <f t="shared" si="320"/>
        <v/>
      </c>
      <c r="TNU116" s="77" t="str">
        <f t="shared" si="320"/>
        <v/>
      </c>
      <c r="TNV116" s="77" t="str">
        <f t="shared" si="320"/>
        <v/>
      </c>
      <c r="TNW116" s="77" t="str">
        <f t="shared" si="320"/>
        <v/>
      </c>
      <c r="TNX116" s="77" t="str">
        <f t="shared" si="320"/>
        <v/>
      </c>
      <c r="TNY116" s="77" t="str">
        <f t="shared" si="320"/>
        <v/>
      </c>
      <c r="TNZ116" s="77" t="str">
        <f t="shared" si="320"/>
        <v/>
      </c>
      <c r="TOA116" s="77" t="str">
        <f t="shared" si="320"/>
        <v/>
      </c>
      <c r="TOB116" s="77" t="str">
        <f t="shared" si="320"/>
        <v/>
      </c>
      <c r="TOC116" s="77" t="str">
        <f t="shared" si="320"/>
        <v/>
      </c>
      <c r="TOD116" s="77" t="str">
        <f t="shared" si="320"/>
        <v/>
      </c>
      <c r="TOE116" s="77" t="str">
        <f t="shared" si="320"/>
        <v/>
      </c>
      <c r="TOF116" s="77" t="str">
        <f t="shared" si="320"/>
        <v/>
      </c>
      <c r="TOG116" s="77" t="str">
        <f t="shared" si="320"/>
        <v/>
      </c>
      <c r="TOH116" s="77" t="str">
        <f t="shared" si="320"/>
        <v/>
      </c>
      <c r="TOI116" s="77" t="str">
        <f t="shared" si="320"/>
        <v/>
      </c>
      <c r="TOJ116" s="77" t="str">
        <f t="shared" si="320"/>
        <v/>
      </c>
      <c r="TOK116" s="77" t="str">
        <f t="shared" si="320"/>
        <v/>
      </c>
      <c r="TOL116" s="77" t="str">
        <f t="shared" si="320"/>
        <v/>
      </c>
      <c r="TOM116" s="77" t="str">
        <f t="shared" si="320"/>
        <v/>
      </c>
      <c r="TON116" s="77" t="str">
        <f t="shared" si="320"/>
        <v/>
      </c>
      <c r="TOO116" s="77" t="str">
        <f t="shared" si="320"/>
        <v/>
      </c>
      <c r="TOP116" s="77" t="str">
        <f t="shared" si="320"/>
        <v/>
      </c>
      <c r="TOQ116" s="77" t="str">
        <f t="shared" ref="TOQ116:TRB116" si="321">IF(ISNUMBER(outYear),TOQ69+TOQ75+TOQ81+TOQ113,"")</f>
        <v/>
      </c>
      <c r="TOR116" s="77" t="str">
        <f t="shared" si="321"/>
        <v/>
      </c>
      <c r="TOS116" s="77" t="str">
        <f t="shared" si="321"/>
        <v/>
      </c>
      <c r="TOT116" s="77" t="str">
        <f t="shared" si="321"/>
        <v/>
      </c>
      <c r="TOU116" s="77" t="str">
        <f t="shared" si="321"/>
        <v/>
      </c>
      <c r="TOV116" s="77" t="str">
        <f t="shared" si="321"/>
        <v/>
      </c>
      <c r="TOW116" s="77" t="str">
        <f t="shared" si="321"/>
        <v/>
      </c>
      <c r="TOX116" s="77" t="str">
        <f t="shared" si="321"/>
        <v/>
      </c>
      <c r="TOY116" s="77" t="str">
        <f t="shared" si="321"/>
        <v/>
      </c>
      <c r="TOZ116" s="77" t="str">
        <f t="shared" si="321"/>
        <v/>
      </c>
      <c r="TPA116" s="77" t="str">
        <f t="shared" si="321"/>
        <v/>
      </c>
      <c r="TPB116" s="77" t="str">
        <f t="shared" si="321"/>
        <v/>
      </c>
      <c r="TPC116" s="77" t="str">
        <f t="shared" si="321"/>
        <v/>
      </c>
      <c r="TPD116" s="77" t="str">
        <f t="shared" si="321"/>
        <v/>
      </c>
      <c r="TPE116" s="77" t="str">
        <f t="shared" si="321"/>
        <v/>
      </c>
      <c r="TPF116" s="77" t="str">
        <f t="shared" si="321"/>
        <v/>
      </c>
      <c r="TPG116" s="77" t="str">
        <f t="shared" si="321"/>
        <v/>
      </c>
      <c r="TPH116" s="77" t="str">
        <f t="shared" si="321"/>
        <v/>
      </c>
      <c r="TPI116" s="77" t="str">
        <f t="shared" si="321"/>
        <v/>
      </c>
      <c r="TPJ116" s="77" t="str">
        <f t="shared" si="321"/>
        <v/>
      </c>
      <c r="TPK116" s="77" t="str">
        <f t="shared" si="321"/>
        <v/>
      </c>
      <c r="TPL116" s="77" t="str">
        <f t="shared" si="321"/>
        <v/>
      </c>
      <c r="TPM116" s="77" t="str">
        <f t="shared" si="321"/>
        <v/>
      </c>
      <c r="TPN116" s="77" t="str">
        <f t="shared" si="321"/>
        <v/>
      </c>
      <c r="TPO116" s="77" t="str">
        <f t="shared" si="321"/>
        <v/>
      </c>
      <c r="TPP116" s="77" t="str">
        <f t="shared" si="321"/>
        <v/>
      </c>
      <c r="TPQ116" s="77" t="str">
        <f t="shared" si="321"/>
        <v/>
      </c>
      <c r="TPR116" s="77" t="str">
        <f t="shared" si="321"/>
        <v/>
      </c>
      <c r="TPS116" s="77" t="str">
        <f t="shared" si="321"/>
        <v/>
      </c>
      <c r="TPT116" s="77" t="str">
        <f t="shared" si="321"/>
        <v/>
      </c>
      <c r="TPU116" s="77" t="str">
        <f t="shared" si="321"/>
        <v/>
      </c>
      <c r="TPV116" s="77" t="str">
        <f t="shared" si="321"/>
        <v/>
      </c>
      <c r="TPW116" s="77" t="str">
        <f t="shared" si="321"/>
        <v/>
      </c>
      <c r="TPX116" s="77" t="str">
        <f t="shared" si="321"/>
        <v/>
      </c>
      <c r="TPY116" s="77" t="str">
        <f t="shared" si="321"/>
        <v/>
      </c>
      <c r="TPZ116" s="77" t="str">
        <f t="shared" si="321"/>
        <v/>
      </c>
      <c r="TQA116" s="77" t="str">
        <f t="shared" si="321"/>
        <v/>
      </c>
      <c r="TQB116" s="77" t="str">
        <f t="shared" si="321"/>
        <v/>
      </c>
      <c r="TQC116" s="77" t="str">
        <f t="shared" si="321"/>
        <v/>
      </c>
      <c r="TQD116" s="77" t="str">
        <f t="shared" si="321"/>
        <v/>
      </c>
      <c r="TQE116" s="77" t="str">
        <f t="shared" si="321"/>
        <v/>
      </c>
      <c r="TQF116" s="77" t="str">
        <f t="shared" si="321"/>
        <v/>
      </c>
      <c r="TQG116" s="77" t="str">
        <f t="shared" si="321"/>
        <v/>
      </c>
      <c r="TQH116" s="77" t="str">
        <f t="shared" si="321"/>
        <v/>
      </c>
      <c r="TQI116" s="77" t="str">
        <f t="shared" si="321"/>
        <v/>
      </c>
      <c r="TQJ116" s="77" t="str">
        <f t="shared" si="321"/>
        <v/>
      </c>
      <c r="TQK116" s="77" t="str">
        <f t="shared" si="321"/>
        <v/>
      </c>
      <c r="TQL116" s="77" t="str">
        <f t="shared" si="321"/>
        <v/>
      </c>
      <c r="TQM116" s="77" t="str">
        <f t="shared" si="321"/>
        <v/>
      </c>
      <c r="TQN116" s="77" t="str">
        <f t="shared" si="321"/>
        <v/>
      </c>
      <c r="TQO116" s="77" t="str">
        <f t="shared" si="321"/>
        <v/>
      </c>
      <c r="TQP116" s="77" t="str">
        <f t="shared" si="321"/>
        <v/>
      </c>
      <c r="TQQ116" s="77" t="str">
        <f t="shared" si="321"/>
        <v/>
      </c>
      <c r="TQR116" s="77" t="str">
        <f t="shared" si="321"/>
        <v/>
      </c>
      <c r="TQS116" s="77" t="str">
        <f t="shared" si="321"/>
        <v/>
      </c>
      <c r="TQT116" s="77" t="str">
        <f t="shared" si="321"/>
        <v/>
      </c>
      <c r="TQU116" s="77" t="str">
        <f t="shared" si="321"/>
        <v/>
      </c>
      <c r="TQV116" s="77" t="str">
        <f t="shared" si="321"/>
        <v/>
      </c>
      <c r="TQW116" s="77" t="str">
        <f t="shared" si="321"/>
        <v/>
      </c>
      <c r="TQX116" s="77" t="str">
        <f t="shared" si="321"/>
        <v/>
      </c>
      <c r="TQY116" s="77" t="str">
        <f t="shared" si="321"/>
        <v/>
      </c>
      <c r="TQZ116" s="77" t="str">
        <f t="shared" si="321"/>
        <v/>
      </c>
      <c r="TRA116" s="77" t="str">
        <f t="shared" si="321"/>
        <v/>
      </c>
      <c r="TRB116" s="77" t="str">
        <f t="shared" si="321"/>
        <v/>
      </c>
      <c r="TRC116" s="77" t="str">
        <f t="shared" ref="TRC116:TTN116" si="322">IF(ISNUMBER(outYear),TRC69+TRC75+TRC81+TRC113,"")</f>
        <v/>
      </c>
      <c r="TRD116" s="77" t="str">
        <f t="shared" si="322"/>
        <v/>
      </c>
      <c r="TRE116" s="77" t="str">
        <f t="shared" si="322"/>
        <v/>
      </c>
      <c r="TRF116" s="77" t="str">
        <f t="shared" si="322"/>
        <v/>
      </c>
      <c r="TRG116" s="77" t="str">
        <f t="shared" si="322"/>
        <v/>
      </c>
      <c r="TRH116" s="77" t="str">
        <f t="shared" si="322"/>
        <v/>
      </c>
      <c r="TRI116" s="77" t="str">
        <f t="shared" si="322"/>
        <v/>
      </c>
      <c r="TRJ116" s="77" t="str">
        <f t="shared" si="322"/>
        <v/>
      </c>
      <c r="TRK116" s="77" t="str">
        <f t="shared" si="322"/>
        <v/>
      </c>
      <c r="TRL116" s="77" t="str">
        <f t="shared" si="322"/>
        <v/>
      </c>
      <c r="TRM116" s="77" t="str">
        <f t="shared" si="322"/>
        <v/>
      </c>
      <c r="TRN116" s="77" t="str">
        <f t="shared" si="322"/>
        <v/>
      </c>
      <c r="TRO116" s="77" t="str">
        <f t="shared" si="322"/>
        <v/>
      </c>
      <c r="TRP116" s="77" t="str">
        <f t="shared" si="322"/>
        <v/>
      </c>
      <c r="TRQ116" s="77" t="str">
        <f t="shared" si="322"/>
        <v/>
      </c>
      <c r="TRR116" s="77" t="str">
        <f t="shared" si="322"/>
        <v/>
      </c>
      <c r="TRS116" s="77" t="str">
        <f t="shared" si="322"/>
        <v/>
      </c>
      <c r="TRT116" s="77" t="str">
        <f t="shared" si="322"/>
        <v/>
      </c>
      <c r="TRU116" s="77" t="str">
        <f t="shared" si="322"/>
        <v/>
      </c>
      <c r="TRV116" s="77" t="str">
        <f t="shared" si="322"/>
        <v/>
      </c>
      <c r="TRW116" s="77" t="str">
        <f t="shared" si="322"/>
        <v/>
      </c>
      <c r="TRX116" s="77" t="str">
        <f t="shared" si="322"/>
        <v/>
      </c>
      <c r="TRY116" s="77" t="str">
        <f t="shared" si="322"/>
        <v/>
      </c>
      <c r="TRZ116" s="77" t="str">
        <f t="shared" si="322"/>
        <v/>
      </c>
      <c r="TSA116" s="77" t="str">
        <f t="shared" si="322"/>
        <v/>
      </c>
      <c r="TSB116" s="77" t="str">
        <f t="shared" si="322"/>
        <v/>
      </c>
      <c r="TSC116" s="77" t="str">
        <f t="shared" si="322"/>
        <v/>
      </c>
      <c r="TSD116" s="77" t="str">
        <f t="shared" si="322"/>
        <v/>
      </c>
      <c r="TSE116" s="77" t="str">
        <f t="shared" si="322"/>
        <v/>
      </c>
      <c r="TSF116" s="77" t="str">
        <f t="shared" si="322"/>
        <v/>
      </c>
      <c r="TSG116" s="77" t="str">
        <f t="shared" si="322"/>
        <v/>
      </c>
      <c r="TSH116" s="77" t="str">
        <f t="shared" si="322"/>
        <v/>
      </c>
      <c r="TSI116" s="77" t="str">
        <f t="shared" si="322"/>
        <v/>
      </c>
      <c r="TSJ116" s="77" t="str">
        <f t="shared" si="322"/>
        <v/>
      </c>
      <c r="TSK116" s="77" t="str">
        <f t="shared" si="322"/>
        <v/>
      </c>
      <c r="TSL116" s="77" t="str">
        <f t="shared" si="322"/>
        <v/>
      </c>
      <c r="TSM116" s="77" t="str">
        <f t="shared" si="322"/>
        <v/>
      </c>
      <c r="TSN116" s="77" t="str">
        <f t="shared" si="322"/>
        <v/>
      </c>
      <c r="TSO116" s="77" t="str">
        <f t="shared" si="322"/>
        <v/>
      </c>
      <c r="TSP116" s="77" t="str">
        <f t="shared" si="322"/>
        <v/>
      </c>
      <c r="TSQ116" s="77" t="str">
        <f t="shared" si="322"/>
        <v/>
      </c>
      <c r="TSR116" s="77" t="str">
        <f t="shared" si="322"/>
        <v/>
      </c>
      <c r="TSS116" s="77" t="str">
        <f t="shared" si="322"/>
        <v/>
      </c>
      <c r="TST116" s="77" t="str">
        <f t="shared" si="322"/>
        <v/>
      </c>
      <c r="TSU116" s="77" t="str">
        <f t="shared" si="322"/>
        <v/>
      </c>
      <c r="TSV116" s="77" t="str">
        <f t="shared" si="322"/>
        <v/>
      </c>
      <c r="TSW116" s="77" t="str">
        <f t="shared" si="322"/>
        <v/>
      </c>
      <c r="TSX116" s="77" t="str">
        <f t="shared" si="322"/>
        <v/>
      </c>
      <c r="TSY116" s="77" t="str">
        <f t="shared" si="322"/>
        <v/>
      </c>
      <c r="TSZ116" s="77" t="str">
        <f t="shared" si="322"/>
        <v/>
      </c>
      <c r="TTA116" s="77" t="str">
        <f t="shared" si="322"/>
        <v/>
      </c>
      <c r="TTB116" s="77" t="str">
        <f t="shared" si="322"/>
        <v/>
      </c>
      <c r="TTC116" s="77" t="str">
        <f t="shared" si="322"/>
        <v/>
      </c>
      <c r="TTD116" s="77" t="str">
        <f t="shared" si="322"/>
        <v/>
      </c>
      <c r="TTE116" s="77" t="str">
        <f t="shared" si="322"/>
        <v/>
      </c>
      <c r="TTF116" s="77" t="str">
        <f t="shared" si="322"/>
        <v/>
      </c>
      <c r="TTG116" s="77" t="str">
        <f t="shared" si="322"/>
        <v/>
      </c>
      <c r="TTH116" s="77" t="str">
        <f t="shared" si="322"/>
        <v/>
      </c>
      <c r="TTI116" s="77" t="str">
        <f t="shared" si="322"/>
        <v/>
      </c>
      <c r="TTJ116" s="77" t="str">
        <f t="shared" si="322"/>
        <v/>
      </c>
      <c r="TTK116" s="77" t="str">
        <f t="shared" si="322"/>
        <v/>
      </c>
      <c r="TTL116" s="77" t="str">
        <f t="shared" si="322"/>
        <v/>
      </c>
      <c r="TTM116" s="77" t="str">
        <f t="shared" si="322"/>
        <v/>
      </c>
      <c r="TTN116" s="77" t="str">
        <f t="shared" si="322"/>
        <v/>
      </c>
      <c r="TTO116" s="77" t="str">
        <f t="shared" ref="TTO116:TVZ116" si="323">IF(ISNUMBER(outYear),TTO69+TTO75+TTO81+TTO113,"")</f>
        <v/>
      </c>
      <c r="TTP116" s="77" t="str">
        <f t="shared" si="323"/>
        <v/>
      </c>
      <c r="TTQ116" s="77" t="str">
        <f t="shared" si="323"/>
        <v/>
      </c>
      <c r="TTR116" s="77" t="str">
        <f t="shared" si="323"/>
        <v/>
      </c>
      <c r="TTS116" s="77" t="str">
        <f t="shared" si="323"/>
        <v/>
      </c>
      <c r="TTT116" s="77" t="str">
        <f t="shared" si="323"/>
        <v/>
      </c>
      <c r="TTU116" s="77" t="str">
        <f t="shared" si="323"/>
        <v/>
      </c>
      <c r="TTV116" s="77" t="str">
        <f t="shared" si="323"/>
        <v/>
      </c>
      <c r="TTW116" s="77" t="str">
        <f t="shared" si="323"/>
        <v/>
      </c>
      <c r="TTX116" s="77" t="str">
        <f t="shared" si="323"/>
        <v/>
      </c>
      <c r="TTY116" s="77" t="str">
        <f t="shared" si="323"/>
        <v/>
      </c>
      <c r="TTZ116" s="77" t="str">
        <f t="shared" si="323"/>
        <v/>
      </c>
      <c r="TUA116" s="77" t="str">
        <f t="shared" si="323"/>
        <v/>
      </c>
      <c r="TUB116" s="77" t="str">
        <f t="shared" si="323"/>
        <v/>
      </c>
      <c r="TUC116" s="77" t="str">
        <f t="shared" si="323"/>
        <v/>
      </c>
      <c r="TUD116" s="77" t="str">
        <f t="shared" si="323"/>
        <v/>
      </c>
      <c r="TUE116" s="77" t="str">
        <f t="shared" si="323"/>
        <v/>
      </c>
      <c r="TUF116" s="77" t="str">
        <f t="shared" si="323"/>
        <v/>
      </c>
      <c r="TUG116" s="77" t="str">
        <f t="shared" si="323"/>
        <v/>
      </c>
      <c r="TUH116" s="77" t="str">
        <f t="shared" si="323"/>
        <v/>
      </c>
      <c r="TUI116" s="77" t="str">
        <f t="shared" si="323"/>
        <v/>
      </c>
      <c r="TUJ116" s="77" t="str">
        <f t="shared" si="323"/>
        <v/>
      </c>
      <c r="TUK116" s="77" t="str">
        <f t="shared" si="323"/>
        <v/>
      </c>
      <c r="TUL116" s="77" t="str">
        <f t="shared" si="323"/>
        <v/>
      </c>
      <c r="TUM116" s="77" t="str">
        <f t="shared" si="323"/>
        <v/>
      </c>
      <c r="TUN116" s="77" t="str">
        <f t="shared" si="323"/>
        <v/>
      </c>
      <c r="TUO116" s="77" t="str">
        <f t="shared" si="323"/>
        <v/>
      </c>
      <c r="TUP116" s="77" t="str">
        <f t="shared" si="323"/>
        <v/>
      </c>
      <c r="TUQ116" s="77" t="str">
        <f t="shared" si="323"/>
        <v/>
      </c>
      <c r="TUR116" s="77" t="str">
        <f t="shared" si="323"/>
        <v/>
      </c>
      <c r="TUS116" s="77" t="str">
        <f t="shared" si="323"/>
        <v/>
      </c>
      <c r="TUT116" s="77" t="str">
        <f t="shared" si="323"/>
        <v/>
      </c>
      <c r="TUU116" s="77" t="str">
        <f t="shared" si="323"/>
        <v/>
      </c>
      <c r="TUV116" s="77" t="str">
        <f t="shared" si="323"/>
        <v/>
      </c>
      <c r="TUW116" s="77" t="str">
        <f t="shared" si="323"/>
        <v/>
      </c>
      <c r="TUX116" s="77" t="str">
        <f t="shared" si="323"/>
        <v/>
      </c>
      <c r="TUY116" s="77" t="str">
        <f t="shared" si="323"/>
        <v/>
      </c>
      <c r="TUZ116" s="77" t="str">
        <f t="shared" si="323"/>
        <v/>
      </c>
      <c r="TVA116" s="77" t="str">
        <f t="shared" si="323"/>
        <v/>
      </c>
      <c r="TVB116" s="77" t="str">
        <f t="shared" si="323"/>
        <v/>
      </c>
      <c r="TVC116" s="77" t="str">
        <f t="shared" si="323"/>
        <v/>
      </c>
      <c r="TVD116" s="77" t="str">
        <f t="shared" si="323"/>
        <v/>
      </c>
      <c r="TVE116" s="77" t="str">
        <f t="shared" si="323"/>
        <v/>
      </c>
      <c r="TVF116" s="77" t="str">
        <f t="shared" si="323"/>
        <v/>
      </c>
      <c r="TVG116" s="77" t="str">
        <f t="shared" si="323"/>
        <v/>
      </c>
      <c r="TVH116" s="77" t="str">
        <f t="shared" si="323"/>
        <v/>
      </c>
      <c r="TVI116" s="77" t="str">
        <f t="shared" si="323"/>
        <v/>
      </c>
      <c r="TVJ116" s="77" t="str">
        <f t="shared" si="323"/>
        <v/>
      </c>
      <c r="TVK116" s="77" t="str">
        <f t="shared" si="323"/>
        <v/>
      </c>
      <c r="TVL116" s="77" t="str">
        <f t="shared" si="323"/>
        <v/>
      </c>
      <c r="TVM116" s="77" t="str">
        <f t="shared" si="323"/>
        <v/>
      </c>
      <c r="TVN116" s="77" t="str">
        <f t="shared" si="323"/>
        <v/>
      </c>
      <c r="TVO116" s="77" t="str">
        <f t="shared" si="323"/>
        <v/>
      </c>
      <c r="TVP116" s="77" t="str">
        <f t="shared" si="323"/>
        <v/>
      </c>
      <c r="TVQ116" s="77" t="str">
        <f t="shared" si="323"/>
        <v/>
      </c>
      <c r="TVR116" s="77" t="str">
        <f t="shared" si="323"/>
        <v/>
      </c>
      <c r="TVS116" s="77" t="str">
        <f t="shared" si="323"/>
        <v/>
      </c>
      <c r="TVT116" s="77" t="str">
        <f t="shared" si="323"/>
        <v/>
      </c>
      <c r="TVU116" s="77" t="str">
        <f t="shared" si="323"/>
        <v/>
      </c>
      <c r="TVV116" s="77" t="str">
        <f t="shared" si="323"/>
        <v/>
      </c>
      <c r="TVW116" s="77" t="str">
        <f t="shared" si="323"/>
        <v/>
      </c>
      <c r="TVX116" s="77" t="str">
        <f t="shared" si="323"/>
        <v/>
      </c>
      <c r="TVY116" s="77" t="str">
        <f t="shared" si="323"/>
        <v/>
      </c>
      <c r="TVZ116" s="77" t="str">
        <f t="shared" si="323"/>
        <v/>
      </c>
      <c r="TWA116" s="77" t="str">
        <f t="shared" ref="TWA116:TYL116" si="324">IF(ISNUMBER(outYear),TWA69+TWA75+TWA81+TWA113,"")</f>
        <v/>
      </c>
      <c r="TWB116" s="77" t="str">
        <f t="shared" si="324"/>
        <v/>
      </c>
      <c r="TWC116" s="77" t="str">
        <f t="shared" si="324"/>
        <v/>
      </c>
      <c r="TWD116" s="77" t="str">
        <f t="shared" si="324"/>
        <v/>
      </c>
      <c r="TWE116" s="77" t="str">
        <f t="shared" si="324"/>
        <v/>
      </c>
      <c r="TWF116" s="77" t="str">
        <f t="shared" si="324"/>
        <v/>
      </c>
      <c r="TWG116" s="77" t="str">
        <f t="shared" si="324"/>
        <v/>
      </c>
      <c r="TWH116" s="77" t="str">
        <f t="shared" si="324"/>
        <v/>
      </c>
      <c r="TWI116" s="77" t="str">
        <f t="shared" si="324"/>
        <v/>
      </c>
      <c r="TWJ116" s="77" t="str">
        <f t="shared" si="324"/>
        <v/>
      </c>
      <c r="TWK116" s="77" t="str">
        <f t="shared" si="324"/>
        <v/>
      </c>
      <c r="TWL116" s="77" t="str">
        <f t="shared" si="324"/>
        <v/>
      </c>
      <c r="TWM116" s="77" t="str">
        <f t="shared" si="324"/>
        <v/>
      </c>
      <c r="TWN116" s="77" t="str">
        <f t="shared" si="324"/>
        <v/>
      </c>
      <c r="TWO116" s="77" t="str">
        <f t="shared" si="324"/>
        <v/>
      </c>
      <c r="TWP116" s="77" t="str">
        <f t="shared" si="324"/>
        <v/>
      </c>
      <c r="TWQ116" s="77" t="str">
        <f t="shared" si="324"/>
        <v/>
      </c>
      <c r="TWR116" s="77" t="str">
        <f t="shared" si="324"/>
        <v/>
      </c>
      <c r="TWS116" s="77" t="str">
        <f t="shared" si="324"/>
        <v/>
      </c>
      <c r="TWT116" s="77" t="str">
        <f t="shared" si="324"/>
        <v/>
      </c>
      <c r="TWU116" s="77" t="str">
        <f t="shared" si="324"/>
        <v/>
      </c>
      <c r="TWV116" s="77" t="str">
        <f t="shared" si="324"/>
        <v/>
      </c>
      <c r="TWW116" s="77" t="str">
        <f t="shared" si="324"/>
        <v/>
      </c>
      <c r="TWX116" s="77" t="str">
        <f t="shared" si="324"/>
        <v/>
      </c>
      <c r="TWY116" s="77" t="str">
        <f t="shared" si="324"/>
        <v/>
      </c>
      <c r="TWZ116" s="77" t="str">
        <f t="shared" si="324"/>
        <v/>
      </c>
      <c r="TXA116" s="77" t="str">
        <f t="shared" si="324"/>
        <v/>
      </c>
      <c r="TXB116" s="77" t="str">
        <f t="shared" si="324"/>
        <v/>
      </c>
      <c r="TXC116" s="77" t="str">
        <f t="shared" si="324"/>
        <v/>
      </c>
      <c r="TXD116" s="77" t="str">
        <f t="shared" si="324"/>
        <v/>
      </c>
      <c r="TXE116" s="77" t="str">
        <f t="shared" si="324"/>
        <v/>
      </c>
      <c r="TXF116" s="77" t="str">
        <f t="shared" si="324"/>
        <v/>
      </c>
      <c r="TXG116" s="77" t="str">
        <f t="shared" si="324"/>
        <v/>
      </c>
      <c r="TXH116" s="77" t="str">
        <f t="shared" si="324"/>
        <v/>
      </c>
      <c r="TXI116" s="77" t="str">
        <f t="shared" si="324"/>
        <v/>
      </c>
      <c r="TXJ116" s="77" t="str">
        <f t="shared" si="324"/>
        <v/>
      </c>
      <c r="TXK116" s="77" t="str">
        <f t="shared" si="324"/>
        <v/>
      </c>
      <c r="TXL116" s="77" t="str">
        <f t="shared" si="324"/>
        <v/>
      </c>
      <c r="TXM116" s="77" t="str">
        <f t="shared" si="324"/>
        <v/>
      </c>
      <c r="TXN116" s="77" t="str">
        <f t="shared" si="324"/>
        <v/>
      </c>
      <c r="TXO116" s="77" t="str">
        <f t="shared" si="324"/>
        <v/>
      </c>
      <c r="TXP116" s="77" t="str">
        <f t="shared" si="324"/>
        <v/>
      </c>
      <c r="TXQ116" s="77" t="str">
        <f t="shared" si="324"/>
        <v/>
      </c>
      <c r="TXR116" s="77" t="str">
        <f t="shared" si="324"/>
        <v/>
      </c>
      <c r="TXS116" s="77" t="str">
        <f t="shared" si="324"/>
        <v/>
      </c>
      <c r="TXT116" s="77" t="str">
        <f t="shared" si="324"/>
        <v/>
      </c>
      <c r="TXU116" s="77" t="str">
        <f t="shared" si="324"/>
        <v/>
      </c>
      <c r="TXV116" s="77" t="str">
        <f t="shared" si="324"/>
        <v/>
      </c>
      <c r="TXW116" s="77" t="str">
        <f t="shared" si="324"/>
        <v/>
      </c>
      <c r="TXX116" s="77" t="str">
        <f t="shared" si="324"/>
        <v/>
      </c>
      <c r="TXY116" s="77" t="str">
        <f t="shared" si="324"/>
        <v/>
      </c>
      <c r="TXZ116" s="77" t="str">
        <f t="shared" si="324"/>
        <v/>
      </c>
      <c r="TYA116" s="77" t="str">
        <f t="shared" si="324"/>
        <v/>
      </c>
      <c r="TYB116" s="77" t="str">
        <f t="shared" si="324"/>
        <v/>
      </c>
      <c r="TYC116" s="77" t="str">
        <f t="shared" si="324"/>
        <v/>
      </c>
      <c r="TYD116" s="77" t="str">
        <f t="shared" si="324"/>
        <v/>
      </c>
      <c r="TYE116" s="77" t="str">
        <f t="shared" si="324"/>
        <v/>
      </c>
      <c r="TYF116" s="77" t="str">
        <f t="shared" si="324"/>
        <v/>
      </c>
      <c r="TYG116" s="77" t="str">
        <f t="shared" si="324"/>
        <v/>
      </c>
      <c r="TYH116" s="77" t="str">
        <f t="shared" si="324"/>
        <v/>
      </c>
      <c r="TYI116" s="77" t="str">
        <f t="shared" si="324"/>
        <v/>
      </c>
      <c r="TYJ116" s="77" t="str">
        <f t="shared" si="324"/>
        <v/>
      </c>
      <c r="TYK116" s="77" t="str">
        <f t="shared" si="324"/>
        <v/>
      </c>
      <c r="TYL116" s="77" t="str">
        <f t="shared" si="324"/>
        <v/>
      </c>
      <c r="TYM116" s="77" t="str">
        <f t="shared" ref="TYM116:UAX116" si="325">IF(ISNUMBER(outYear),TYM69+TYM75+TYM81+TYM113,"")</f>
        <v/>
      </c>
      <c r="TYN116" s="77" t="str">
        <f t="shared" si="325"/>
        <v/>
      </c>
      <c r="TYO116" s="77" t="str">
        <f t="shared" si="325"/>
        <v/>
      </c>
      <c r="TYP116" s="77" t="str">
        <f t="shared" si="325"/>
        <v/>
      </c>
      <c r="TYQ116" s="77" t="str">
        <f t="shared" si="325"/>
        <v/>
      </c>
      <c r="TYR116" s="77" t="str">
        <f t="shared" si="325"/>
        <v/>
      </c>
      <c r="TYS116" s="77" t="str">
        <f t="shared" si="325"/>
        <v/>
      </c>
      <c r="TYT116" s="77" t="str">
        <f t="shared" si="325"/>
        <v/>
      </c>
      <c r="TYU116" s="77" t="str">
        <f t="shared" si="325"/>
        <v/>
      </c>
      <c r="TYV116" s="77" t="str">
        <f t="shared" si="325"/>
        <v/>
      </c>
      <c r="TYW116" s="77" t="str">
        <f t="shared" si="325"/>
        <v/>
      </c>
      <c r="TYX116" s="77" t="str">
        <f t="shared" si="325"/>
        <v/>
      </c>
      <c r="TYY116" s="77" t="str">
        <f t="shared" si="325"/>
        <v/>
      </c>
      <c r="TYZ116" s="77" t="str">
        <f t="shared" si="325"/>
        <v/>
      </c>
      <c r="TZA116" s="77" t="str">
        <f t="shared" si="325"/>
        <v/>
      </c>
      <c r="TZB116" s="77" t="str">
        <f t="shared" si="325"/>
        <v/>
      </c>
      <c r="TZC116" s="77" t="str">
        <f t="shared" si="325"/>
        <v/>
      </c>
      <c r="TZD116" s="77" t="str">
        <f t="shared" si="325"/>
        <v/>
      </c>
      <c r="TZE116" s="77" t="str">
        <f t="shared" si="325"/>
        <v/>
      </c>
      <c r="TZF116" s="77" t="str">
        <f t="shared" si="325"/>
        <v/>
      </c>
      <c r="TZG116" s="77" t="str">
        <f t="shared" si="325"/>
        <v/>
      </c>
      <c r="TZH116" s="77" t="str">
        <f t="shared" si="325"/>
        <v/>
      </c>
      <c r="TZI116" s="77" t="str">
        <f t="shared" si="325"/>
        <v/>
      </c>
      <c r="TZJ116" s="77" t="str">
        <f t="shared" si="325"/>
        <v/>
      </c>
      <c r="TZK116" s="77" t="str">
        <f t="shared" si="325"/>
        <v/>
      </c>
      <c r="TZL116" s="77" t="str">
        <f t="shared" si="325"/>
        <v/>
      </c>
      <c r="TZM116" s="77" t="str">
        <f t="shared" si="325"/>
        <v/>
      </c>
      <c r="TZN116" s="77" t="str">
        <f t="shared" si="325"/>
        <v/>
      </c>
      <c r="TZO116" s="77" t="str">
        <f t="shared" si="325"/>
        <v/>
      </c>
      <c r="TZP116" s="77" t="str">
        <f t="shared" si="325"/>
        <v/>
      </c>
      <c r="TZQ116" s="77" t="str">
        <f t="shared" si="325"/>
        <v/>
      </c>
      <c r="TZR116" s="77" t="str">
        <f t="shared" si="325"/>
        <v/>
      </c>
      <c r="TZS116" s="77" t="str">
        <f t="shared" si="325"/>
        <v/>
      </c>
      <c r="TZT116" s="77" t="str">
        <f t="shared" si="325"/>
        <v/>
      </c>
      <c r="TZU116" s="77" t="str">
        <f t="shared" si="325"/>
        <v/>
      </c>
      <c r="TZV116" s="77" t="str">
        <f t="shared" si="325"/>
        <v/>
      </c>
      <c r="TZW116" s="77" t="str">
        <f t="shared" si="325"/>
        <v/>
      </c>
      <c r="TZX116" s="77" t="str">
        <f t="shared" si="325"/>
        <v/>
      </c>
      <c r="TZY116" s="77" t="str">
        <f t="shared" si="325"/>
        <v/>
      </c>
      <c r="TZZ116" s="77" t="str">
        <f t="shared" si="325"/>
        <v/>
      </c>
      <c r="UAA116" s="77" t="str">
        <f t="shared" si="325"/>
        <v/>
      </c>
      <c r="UAB116" s="77" t="str">
        <f t="shared" si="325"/>
        <v/>
      </c>
      <c r="UAC116" s="77" t="str">
        <f t="shared" si="325"/>
        <v/>
      </c>
      <c r="UAD116" s="77" t="str">
        <f t="shared" si="325"/>
        <v/>
      </c>
      <c r="UAE116" s="77" t="str">
        <f t="shared" si="325"/>
        <v/>
      </c>
      <c r="UAF116" s="77" t="str">
        <f t="shared" si="325"/>
        <v/>
      </c>
      <c r="UAG116" s="77" t="str">
        <f t="shared" si="325"/>
        <v/>
      </c>
      <c r="UAH116" s="77" t="str">
        <f t="shared" si="325"/>
        <v/>
      </c>
      <c r="UAI116" s="77" t="str">
        <f t="shared" si="325"/>
        <v/>
      </c>
      <c r="UAJ116" s="77" t="str">
        <f t="shared" si="325"/>
        <v/>
      </c>
      <c r="UAK116" s="77" t="str">
        <f t="shared" si="325"/>
        <v/>
      </c>
      <c r="UAL116" s="77" t="str">
        <f t="shared" si="325"/>
        <v/>
      </c>
      <c r="UAM116" s="77" t="str">
        <f t="shared" si="325"/>
        <v/>
      </c>
      <c r="UAN116" s="77" t="str">
        <f t="shared" si="325"/>
        <v/>
      </c>
      <c r="UAO116" s="77" t="str">
        <f t="shared" si="325"/>
        <v/>
      </c>
      <c r="UAP116" s="77" t="str">
        <f t="shared" si="325"/>
        <v/>
      </c>
      <c r="UAQ116" s="77" t="str">
        <f t="shared" si="325"/>
        <v/>
      </c>
      <c r="UAR116" s="77" t="str">
        <f t="shared" si="325"/>
        <v/>
      </c>
      <c r="UAS116" s="77" t="str">
        <f t="shared" si="325"/>
        <v/>
      </c>
      <c r="UAT116" s="77" t="str">
        <f t="shared" si="325"/>
        <v/>
      </c>
      <c r="UAU116" s="77" t="str">
        <f t="shared" si="325"/>
        <v/>
      </c>
      <c r="UAV116" s="77" t="str">
        <f t="shared" si="325"/>
        <v/>
      </c>
      <c r="UAW116" s="77" t="str">
        <f t="shared" si="325"/>
        <v/>
      </c>
      <c r="UAX116" s="77" t="str">
        <f t="shared" si="325"/>
        <v/>
      </c>
      <c r="UAY116" s="77" t="str">
        <f t="shared" ref="UAY116:UDJ116" si="326">IF(ISNUMBER(outYear),UAY69+UAY75+UAY81+UAY113,"")</f>
        <v/>
      </c>
      <c r="UAZ116" s="77" t="str">
        <f t="shared" si="326"/>
        <v/>
      </c>
      <c r="UBA116" s="77" t="str">
        <f t="shared" si="326"/>
        <v/>
      </c>
      <c r="UBB116" s="77" t="str">
        <f t="shared" si="326"/>
        <v/>
      </c>
      <c r="UBC116" s="77" t="str">
        <f t="shared" si="326"/>
        <v/>
      </c>
      <c r="UBD116" s="77" t="str">
        <f t="shared" si="326"/>
        <v/>
      </c>
      <c r="UBE116" s="77" t="str">
        <f t="shared" si="326"/>
        <v/>
      </c>
      <c r="UBF116" s="77" t="str">
        <f t="shared" si="326"/>
        <v/>
      </c>
      <c r="UBG116" s="77" t="str">
        <f t="shared" si="326"/>
        <v/>
      </c>
      <c r="UBH116" s="77" t="str">
        <f t="shared" si="326"/>
        <v/>
      </c>
      <c r="UBI116" s="77" t="str">
        <f t="shared" si="326"/>
        <v/>
      </c>
      <c r="UBJ116" s="77" t="str">
        <f t="shared" si="326"/>
        <v/>
      </c>
      <c r="UBK116" s="77" t="str">
        <f t="shared" si="326"/>
        <v/>
      </c>
      <c r="UBL116" s="77" t="str">
        <f t="shared" si="326"/>
        <v/>
      </c>
      <c r="UBM116" s="77" t="str">
        <f t="shared" si="326"/>
        <v/>
      </c>
      <c r="UBN116" s="77" t="str">
        <f t="shared" si="326"/>
        <v/>
      </c>
      <c r="UBO116" s="77" t="str">
        <f t="shared" si="326"/>
        <v/>
      </c>
      <c r="UBP116" s="77" t="str">
        <f t="shared" si="326"/>
        <v/>
      </c>
      <c r="UBQ116" s="77" t="str">
        <f t="shared" si="326"/>
        <v/>
      </c>
      <c r="UBR116" s="77" t="str">
        <f t="shared" si="326"/>
        <v/>
      </c>
      <c r="UBS116" s="77" t="str">
        <f t="shared" si="326"/>
        <v/>
      </c>
      <c r="UBT116" s="77" t="str">
        <f t="shared" si="326"/>
        <v/>
      </c>
      <c r="UBU116" s="77" t="str">
        <f t="shared" si="326"/>
        <v/>
      </c>
      <c r="UBV116" s="77" t="str">
        <f t="shared" si="326"/>
        <v/>
      </c>
      <c r="UBW116" s="77" t="str">
        <f t="shared" si="326"/>
        <v/>
      </c>
      <c r="UBX116" s="77" t="str">
        <f t="shared" si="326"/>
        <v/>
      </c>
      <c r="UBY116" s="77" t="str">
        <f t="shared" si="326"/>
        <v/>
      </c>
      <c r="UBZ116" s="77" t="str">
        <f t="shared" si="326"/>
        <v/>
      </c>
      <c r="UCA116" s="77" t="str">
        <f t="shared" si="326"/>
        <v/>
      </c>
      <c r="UCB116" s="77" t="str">
        <f t="shared" si="326"/>
        <v/>
      </c>
      <c r="UCC116" s="77" t="str">
        <f t="shared" si="326"/>
        <v/>
      </c>
      <c r="UCD116" s="77" t="str">
        <f t="shared" si="326"/>
        <v/>
      </c>
      <c r="UCE116" s="77" t="str">
        <f t="shared" si="326"/>
        <v/>
      </c>
      <c r="UCF116" s="77" t="str">
        <f t="shared" si="326"/>
        <v/>
      </c>
      <c r="UCG116" s="77" t="str">
        <f t="shared" si="326"/>
        <v/>
      </c>
      <c r="UCH116" s="77" t="str">
        <f t="shared" si="326"/>
        <v/>
      </c>
      <c r="UCI116" s="77" t="str">
        <f t="shared" si="326"/>
        <v/>
      </c>
      <c r="UCJ116" s="77" t="str">
        <f t="shared" si="326"/>
        <v/>
      </c>
      <c r="UCK116" s="77" t="str">
        <f t="shared" si="326"/>
        <v/>
      </c>
      <c r="UCL116" s="77" t="str">
        <f t="shared" si="326"/>
        <v/>
      </c>
      <c r="UCM116" s="77" t="str">
        <f t="shared" si="326"/>
        <v/>
      </c>
      <c r="UCN116" s="77" t="str">
        <f t="shared" si="326"/>
        <v/>
      </c>
      <c r="UCO116" s="77" t="str">
        <f t="shared" si="326"/>
        <v/>
      </c>
      <c r="UCP116" s="77" t="str">
        <f t="shared" si="326"/>
        <v/>
      </c>
      <c r="UCQ116" s="77" t="str">
        <f t="shared" si="326"/>
        <v/>
      </c>
      <c r="UCR116" s="77" t="str">
        <f t="shared" si="326"/>
        <v/>
      </c>
      <c r="UCS116" s="77" t="str">
        <f t="shared" si="326"/>
        <v/>
      </c>
      <c r="UCT116" s="77" t="str">
        <f t="shared" si="326"/>
        <v/>
      </c>
      <c r="UCU116" s="77" t="str">
        <f t="shared" si="326"/>
        <v/>
      </c>
      <c r="UCV116" s="77" t="str">
        <f t="shared" si="326"/>
        <v/>
      </c>
      <c r="UCW116" s="77" t="str">
        <f t="shared" si="326"/>
        <v/>
      </c>
      <c r="UCX116" s="77" t="str">
        <f t="shared" si="326"/>
        <v/>
      </c>
      <c r="UCY116" s="77" t="str">
        <f t="shared" si="326"/>
        <v/>
      </c>
      <c r="UCZ116" s="77" t="str">
        <f t="shared" si="326"/>
        <v/>
      </c>
      <c r="UDA116" s="77" t="str">
        <f t="shared" si="326"/>
        <v/>
      </c>
      <c r="UDB116" s="77" t="str">
        <f t="shared" si="326"/>
        <v/>
      </c>
      <c r="UDC116" s="77" t="str">
        <f t="shared" si="326"/>
        <v/>
      </c>
      <c r="UDD116" s="77" t="str">
        <f t="shared" si="326"/>
        <v/>
      </c>
      <c r="UDE116" s="77" t="str">
        <f t="shared" si="326"/>
        <v/>
      </c>
      <c r="UDF116" s="77" t="str">
        <f t="shared" si="326"/>
        <v/>
      </c>
      <c r="UDG116" s="77" t="str">
        <f t="shared" si="326"/>
        <v/>
      </c>
      <c r="UDH116" s="77" t="str">
        <f t="shared" si="326"/>
        <v/>
      </c>
      <c r="UDI116" s="77" t="str">
        <f t="shared" si="326"/>
        <v/>
      </c>
      <c r="UDJ116" s="77" t="str">
        <f t="shared" si="326"/>
        <v/>
      </c>
      <c r="UDK116" s="77" t="str">
        <f t="shared" ref="UDK116:UFV116" si="327">IF(ISNUMBER(outYear),UDK69+UDK75+UDK81+UDK113,"")</f>
        <v/>
      </c>
      <c r="UDL116" s="77" t="str">
        <f t="shared" si="327"/>
        <v/>
      </c>
      <c r="UDM116" s="77" t="str">
        <f t="shared" si="327"/>
        <v/>
      </c>
      <c r="UDN116" s="77" t="str">
        <f t="shared" si="327"/>
        <v/>
      </c>
      <c r="UDO116" s="77" t="str">
        <f t="shared" si="327"/>
        <v/>
      </c>
      <c r="UDP116" s="77" t="str">
        <f t="shared" si="327"/>
        <v/>
      </c>
      <c r="UDQ116" s="77" t="str">
        <f t="shared" si="327"/>
        <v/>
      </c>
      <c r="UDR116" s="77" t="str">
        <f t="shared" si="327"/>
        <v/>
      </c>
      <c r="UDS116" s="77" t="str">
        <f t="shared" si="327"/>
        <v/>
      </c>
      <c r="UDT116" s="77" t="str">
        <f t="shared" si="327"/>
        <v/>
      </c>
      <c r="UDU116" s="77" t="str">
        <f t="shared" si="327"/>
        <v/>
      </c>
      <c r="UDV116" s="77" t="str">
        <f t="shared" si="327"/>
        <v/>
      </c>
      <c r="UDW116" s="77" t="str">
        <f t="shared" si="327"/>
        <v/>
      </c>
      <c r="UDX116" s="77" t="str">
        <f t="shared" si="327"/>
        <v/>
      </c>
      <c r="UDY116" s="77" t="str">
        <f t="shared" si="327"/>
        <v/>
      </c>
      <c r="UDZ116" s="77" t="str">
        <f t="shared" si="327"/>
        <v/>
      </c>
      <c r="UEA116" s="77" t="str">
        <f t="shared" si="327"/>
        <v/>
      </c>
      <c r="UEB116" s="77" t="str">
        <f t="shared" si="327"/>
        <v/>
      </c>
      <c r="UEC116" s="77" t="str">
        <f t="shared" si="327"/>
        <v/>
      </c>
      <c r="UED116" s="77" t="str">
        <f t="shared" si="327"/>
        <v/>
      </c>
      <c r="UEE116" s="77" t="str">
        <f t="shared" si="327"/>
        <v/>
      </c>
      <c r="UEF116" s="77" t="str">
        <f t="shared" si="327"/>
        <v/>
      </c>
      <c r="UEG116" s="77" t="str">
        <f t="shared" si="327"/>
        <v/>
      </c>
      <c r="UEH116" s="77" t="str">
        <f t="shared" si="327"/>
        <v/>
      </c>
      <c r="UEI116" s="77" t="str">
        <f t="shared" si="327"/>
        <v/>
      </c>
      <c r="UEJ116" s="77" t="str">
        <f t="shared" si="327"/>
        <v/>
      </c>
      <c r="UEK116" s="77" t="str">
        <f t="shared" si="327"/>
        <v/>
      </c>
      <c r="UEL116" s="77" t="str">
        <f t="shared" si="327"/>
        <v/>
      </c>
      <c r="UEM116" s="77" t="str">
        <f t="shared" si="327"/>
        <v/>
      </c>
      <c r="UEN116" s="77" t="str">
        <f t="shared" si="327"/>
        <v/>
      </c>
      <c r="UEO116" s="77" t="str">
        <f t="shared" si="327"/>
        <v/>
      </c>
      <c r="UEP116" s="77" t="str">
        <f t="shared" si="327"/>
        <v/>
      </c>
      <c r="UEQ116" s="77" t="str">
        <f t="shared" si="327"/>
        <v/>
      </c>
      <c r="UER116" s="77" t="str">
        <f t="shared" si="327"/>
        <v/>
      </c>
      <c r="UES116" s="77" t="str">
        <f t="shared" si="327"/>
        <v/>
      </c>
      <c r="UET116" s="77" t="str">
        <f t="shared" si="327"/>
        <v/>
      </c>
      <c r="UEU116" s="77" t="str">
        <f t="shared" si="327"/>
        <v/>
      </c>
      <c r="UEV116" s="77" t="str">
        <f t="shared" si="327"/>
        <v/>
      </c>
      <c r="UEW116" s="77" t="str">
        <f t="shared" si="327"/>
        <v/>
      </c>
      <c r="UEX116" s="77" t="str">
        <f t="shared" si="327"/>
        <v/>
      </c>
      <c r="UEY116" s="77" t="str">
        <f t="shared" si="327"/>
        <v/>
      </c>
      <c r="UEZ116" s="77" t="str">
        <f t="shared" si="327"/>
        <v/>
      </c>
      <c r="UFA116" s="77" t="str">
        <f t="shared" si="327"/>
        <v/>
      </c>
      <c r="UFB116" s="77" t="str">
        <f t="shared" si="327"/>
        <v/>
      </c>
      <c r="UFC116" s="77" t="str">
        <f t="shared" si="327"/>
        <v/>
      </c>
      <c r="UFD116" s="77" t="str">
        <f t="shared" si="327"/>
        <v/>
      </c>
      <c r="UFE116" s="77" t="str">
        <f t="shared" si="327"/>
        <v/>
      </c>
      <c r="UFF116" s="77" t="str">
        <f t="shared" si="327"/>
        <v/>
      </c>
      <c r="UFG116" s="77" t="str">
        <f t="shared" si="327"/>
        <v/>
      </c>
      <c r="UFH116" s="77" t="str">
        <f t="shared" si="327"/>
        <v/>
      </c>
      <c r="UFI116" s="77" t="str">
        <f t="shared" si="327"/>
        <v/>
      </c>
      <c r="UFJ116" s="77" t="str">
        <f t="shared" si="327"/>
        <v/>
      </c>
      <c r="UFK116" s="77" t="str">
        <f t="shared" si="327"/>
        <v/>
      </c>
      <c r="UFL116" s="77" t="str">
        <f t="shared" si="327"/>
        <v/>
      </c>
      <c r="UFM116" s="77" t="str">
        <f t="shared" si="327"/>
        <v/>
      </c>
      <c r="UFN116" s="77" t="str">
        <f t="shared" si="327"/>
        <v/>
      </c>
      <c r="UFO116" s="77" t="str">
        <f t="shared" si="327"/>
        <v/>
      </c>
      <c r="UFP116" s="77" t="str">
        <f t="shared" si="327"/>
        <v/>
      </c>
      <c r="UFQ116" s="77" t="str">
        <f t="shared" si="327"/>
        <v/>
      </c>
      <c r="UFR116" s="77" t="str">
        <f t="shared" si="327"/>
        <v/>
      </c>
      <c r="UFS116" s="77" t="str">
        <f t="shared" si="327"/>
        <v/>
      </c>
      <c r="UFT116" s="77" t="str">
        <f t="shared" si="327"/>
        <v/>
      </c>
      <c r="UFU116" s="77" t="str">
        <f t="shared" si="327"/>
        <v/>
      </c>
      <c r="UFV116" s="77" t="str">
        <f t="shared" si="327"/>
        <v/>
      </c>
      <c r="UFW116" s="77" t="str">
        <f t="shared" ref="UFW116:UIH116" si="328">IF(ISNUMBER(outYear),UFW69+UFW75+UFW81+UFW113,"")</f>
        <v/>
      </c>
      <c r="UFX116" s="77" t="str">
        <f t="shared" si="328"/>
        <v/>
      </c>
      <c r="UFY116" s="77" t="str">
        <f t="shared" si="328"/>
        <v/>
      </c>
      <c r="UFZ116" s="77" t="str">
        <f t="shared" si="328"/>
        <v/>
      </c>
      <c r="UGA116" s="77" t="str">
        <f t="shared" si="328"/>
        <v/>
      </c>
      <c r="UGB116" s="77" t="str">
        <f t="shared" si="328"/>
        <v/>
      </c>
      <c r="UGC116" s="77" t="str">
        <f t="shared" si="328"/>
        <v/>
      </c>
      <c r="UGD116" s="77" t="str">
        <f t="shared" si="328"/>
        <v/>
      </c>
      <c r="UGE116" s="77" t="str">
        <f t="shared" si="328"/>
        <v/>
      </c>
      <c r="UGF116" s="77" t="str">
        <f t="shared" si="328"/>
        <v/>
      </c>
      <c r="UGG116" s="77" t="str">
        <f t="shared" si="328"/>
        <v/>
      </c>
      <c r="UGH116" s="77" t="str">
        <f t="shared" si="328"/>
        <v/>
      </c>
      <c r="UGI116" s="77" t="str">
        <f t="shared" si="328"/>
        <v/>
      </c>
      <c r="UGJ116" s="77" t="str">
        <f t="shared" si="328"/>
        <v/>
      </c>
      <c r="UGK116" s="77" t="str">
        <f t="shared" si="328"/>
        <v/>
      </c>
      <c r="UGL116" s="77" t="str">
        <f t="shared" si="328"/>
        <v/>
      </c>
      <c r="UGM116" s="77" t="str">
        <f t="shared" si="328"/>
        <v/>
      </c>
      <c r="UGN116" s="77" t="str">
        <f t="shared" si="328"/>
        <v/>
      </c>
      <c r="UGO116" s="77" t="str">
        <f t="shared" si="328"/>
        <v/>
      </c>
      <c r="UGP116" s="77" t="str">
        <f t="shared" si="328"/>
        <v/>
      </c>
      <c r="UGQ116" s="77" t="str">
        <f t="shared" si="328"/>
        <v/>
      </c>
      <c r="UGR116" s="77" t="str">
        <f t="shared" si="328"/>
        <v/>
      </c>
      <c r="UGS116" s="77" t="str">
        <f t="shared" si="328"/>
        <v/>
      </c>
      <c r="UGT116" s="77" t="str">
        <f t="shared" si="328"/>
        <v/>
      </c>
      <c r="UGU116" s="77" t="str">
        <f t="shared" si="328"/>
        <v/>
      </c>
      <c r="UGV116" s="77" t="str">
        <f t="shared" si="328"/>
        <v/>
      </c>
      <c r="UGW116" s="77" t="str">
        <f t="shared" si="328"/>
        <v/>
      </c>
      <c r="UGX116" s="77" t="str">
        <f t="shared" si="328"/>
        <v/>
      </c>
      <c r="UGY116" s="77" t="str">
        <f t="shared" si="328"/>
        <v/>
      </c>
      <c r="UGZ116" s="77" t="str">
        <f t="shared" si="328"/>
        <v/>
      </c>
      <c r="UHA116" s="77" t="str">
        <f t="shared" si="328"/>
        <v/>
      </c>
      <c r="UHB116" s="77" t="str">
        <f t="shared" si="328"/>
        <v/>
      </c>
      <c r="UHC116" s="77" t="str">
        <f t="shared" si="328"/>
        <v/>
      </c>
      <c r="UHD116" s="77" t="str">
        <f t="shared" si="328"/>
        <v/>
      </c>
      <c r="UHE116" s="77" t="str">
        <f t="shared" si="328"/>
        <v/>
      </c>
      <c r="UHF116" s="77" t="str">
        <f t="shared" si="328"/>
        <v/>
      </c>
      <c r="UHG116" s="77" t="str">
        <f t="shared" si="328"/>
        <v/>
      </c>
      <c r="UHH116" s="77" t="str">
        <f t="shared" si="328"/>
        <v/>
      </c>
      <c r="UHI116" s="77" t="str">
        <f t="shared" si="328"/>
        <v/>
      </c>
      <c r="UHJ116" s="77" t="str">
        <f t="shared" si="328"/>
        <v/>
      </c>
      <c r="UHK116" s="77" t="str">
        <f t="shared" si="328"/>
        <v/>
      </c>
      <c r="UHL116" s="77" t="str">
        <f t="shared" si="328"/>
        <v/>
      </c>
      <c r="UHM116" s="77" t="str">
        <f t="shared" si="328"/>
        <v/>
      </c>
      <c r="UHN116" s="77" t="str">
        <f t="shared" si="328"/>
        <v/>
      </c>
      <c r="UHO116" s="77" t="str">
        <f t="shared" si="328"/>
        <v/>
      </c>
      <c r="UHP116" s="77" t="str">
        <f t="shared" si="328"/>
        <v/>
      </c>
      <c r="UHQ116" s="77" t="str">
        <f t="shared" si="328"/>
        <v/>
      </c>
      <c r="UHR116" s="77" t="str">
        <f t="shared" si="328"/>
        <v/>
      </c>
      <c r="UHS116" s="77" t="str">
        <f t="shared" si="328"/>
        <v/>
      </c>
      <c r="UHT116" s="77" t="str">
        <f t="shared" si="328"/>
        <v/>
      </c>
      <c r="UHU116" s="77" t="str">
        <f t="shared" si="328"/>
        <v/>
      </c>
      <c r="UHV116" s="77" t="str">
        <f t="shared" si="328"/>
        <v/>
      </c>
      <c r="UHW116" s="77" t="str">
        <f t="shared" si="328"/>
        <v/>
      </c>
      <c r="UHX116" s="77" t="str">
        <f t="shared" si="328"/>
        <v/>
      </c>
      <c r="UHY116" s="77" t="str">
        <f t="shared" si="328"/>
        <v/>
      </c>
      <c r="UHZ116" s="77" t="str">
        <f t="shared" si="328"/>
        <v/>
      </c>
      <c r="UIA116" s="77" t="str">
        <f t="shared" si="328"/>
        <v/>
      </c>
      <c r="UIB116" s="77" t="str">
        <f t="shared" si="328"/>
        <v/>
      </c>
      <c r="UIC116" s="77" t="str">
        <f t="shared" si="328"/>
        <v/>
      </c>
      <c r="UID116" s="77" t="str">
        <f t="shared" si="328"/>
        <v/>
      </c>
      <c r="UIE116" s="77" t="str">
        <f t="shared" si="328"/>
        <v/>
      </c>
      <c r="UIF116" s="77" t="str">
        <f t="shared" si="328"/>
        <v/>
      </c>
      <c r="UIG116" s="77" t="str">
        <f t="shared" si="328"/>
        <v/>
      </c>
      <c r="UIH116" s="77" t="str">
        <f t="shared" si="328"/>
        <v/>
      </c>
      <c r="UII116" s="77" t="str">
        <f t="shared" ref="UII116:UKT116" si="329">IF(ISNUMBER(outYear),UII69+UII75+UII81+UII113,"")</f>
        <v/>
      </c>
      <c r="UIJ116" s="77" t="str">
        <f t="shared" si="329"/>
        <v/>
      </c>
      <c r="UIK116" s="77" t="str">
        <f t="shared" si="329"/>
        <v/>
      </c>
      <c r="UIL116" s="77" t="str">
        <f t="shared" si="329"/>
        <v/>
      </c>
      <c r="UIM116" s="77" t="str">
        <f t="shared" si="329"/>
        <v/>
      </c>
      <c r="UIN116" s="77" t="str">
        <f t="shared" si="329"/>
        <v/>
      </c>
      <c r="UIO116" s="77" t="str">
        <f t="shared" si="329"/>
        <v/>
      </c>
      <c r="UIP116" s="77" t="str">
        <f t="shared" si="329"/>
        <v/>
      </c>
      <c r="UIQ116" s="77" t="str">
        <f t="shared" si="329"/>
        <v/>
      </c>
      <c r="UIR116" s="77" t="str">
        <f t="shared" si="329"/>
        <v/>
      </c>
      <c r="UIS116" s="77" t="str">
        <f t="shared" si="329"/>
        <v/>
      </c>
      <c r="UIT116" s="77" t="str">
        <f t="shared" si="329"/>
        <v/>
      </c>
      <c r="UIU116" s="77" t="str">
        <f t="shared" si="329"/>
        <v/>
      </c>
      <c r="UIV116" s="77" t="str">
        <f t="shared" si="329"/>
        <v/>
      </c>
      <c r="UIW116" s="77" t="str">
        <f t="shared" si="329"/>
        <v/>
      </c>
      <c r="UIX116" s="77" t="str">
        <f t="shared" si="329"/>
        <v/>
      </c>
      <c r="UIY116" s="77" t="str">
        <f t="shared" si="329"/>
        <v/>
      </c>
      <c r="UIZ116" s="77" t="str">
        <f t="shared" si="329"/>
        <v/>
      </c>
      <c r="UJA116" s="77" t="str">
        <f t="shared" si="329"/>
        <v/>
      </c>
      <c r="UJB116" s="77" t="str">
        <f t="shared" si="329"/>
        <v/>
      </c>
      <c r="UJC116" s="77" t="str">
        <f t="shared" si="329"/>
        <v/>
      </c>
      <c r="UJD116" s="77" t="str">
        <f t="shared" si="329"/>
        <v/>
      </c>
      <c r="UJE116" s="77" t="str">
        <f t="shared" si="329"/>
        <v/>
      </c>
      <c r="UJF116" s="77" t="str">
        <f t="shared" si="329"/>
        <v/>
      </c>
      <c r="UJG116" s="77" t="str">
        <f t="shared" si="329"/>
        <v/>
      </c>
      <c r="UJH116" s="77" t="str">
        <f t="shared" si="329"/>
        <v/>
      </c>
      <c r="UJI116" s="77" t="str">
        <f t="shared" si="329"/>
        <v/>
      </c>
      <c r="UJJ116" s="77" t="str">
        <f t="shared" si="329"/>
        <v/>
      </c>
      <c r="UJK116" s="77" t="str">
        <f t="shared" si="329"/>
        <v/>
      </c>
      <c r="UJL116" s="77" t="str">
        <f t="shared" si="329"/>
        <v/>
      </c>
      <c r="UJM116" s="77" t="str">
        <f t="shared" si="329"/>
        <v/>
      </c>
      <c r="UJN116" s="77" t="str">
        <f t="shared" si="329"/>
        <v/>
      </c>
      <c r="UJO116" s="77" t="str">
        <f t="shared" si="329"/>
        <v/>
      </c>
      <c r="UJP116" s="77" t="str">
        <f t="shared" si="329"/>
        <v/>
      </c>
      <c r="UJQ116" s="77" t="str">
        <f t="shared" si="329"/>
        <v/>
      </c>
      <c r="UJR116" s="77" t="str">
        <f t="shared" si="329"/>
        <v/>
      </c>
      <c r="UJS116" s="77" t="str">
        <f t="shared" si="329"/>
        <v/>
      </c>
      <c r="UJT116" s="77" t="str">
        <f t="shared" si="329"/>
        <v/>
      </c>
      <c r="UJU116" s="77" t="str">
        <f t="shared" si="329"/>
        <v/>
      </c>
      <c r="UJV116" s="77" t="str">
        <f t="shared" si="329"/>
        <v/>
      </c>
      <c r="UJW116" s="77" t="str">
        <f t="shared" si="329"/>
        <v/>
      </c>
      <c r="UJX116" s="77" t="str">
        <f t="shared" si="329"/>
        <v/>
      </c>
      <c r="UJY116" s="77" t="str">
        <f t="shared" si="329"/>
        <v/>
      </c>
      <c r="UJZ116" s="77" t="str">
        <f t="shared" si="329"/>
        <v/>
      </c>
      <c r="UKA116" s="77" t="str">
        <f t="shared" si="329"/>
        <v/>
      </c>
      <c r="UKB116" s="77" t="str">
        <f t="shared" si="329"/>
        <v/>
      </c>
      <c r="UKC116" s="77" t="str">
        <f t="shared" si="329"/>
        <v/>
      </c>
      <c r="UKD116" s="77" t="str">
        <f t="shared" si="329"/>
        <v/>
      </c>
      <c r="UKE116" s="77" t="str">
        <f t="shared" si="329"/>
        <v/>
      </c>
      <c r="UKF116" s="77" t="str">
        <f t="shared" si="329"/>
        <v/>
      </c>
      <c r="UKG116" s="77" t="str">
        <f t="shared" si="329"/>
        <v/>
      </c>
      <c r="UKH116" s="77" t="str">
        <f t="shared" si="329"/>
        <v/>
      </c>
      <c r="UKI116" s="77" t="str">
        <f t="shared" si="329"/>
        <v/>
      </c>
      <c r="UKJ116" s="77" t="str">
        <f t="shared" si="329"/>
        <v/>
      </c>
      <c r="UKK116" s="77" t="str">
        <f t="shared" si="329"/>
        <v/>
      </c>
      <c r="UKL116" s="77" t="str">
        <f t="shared" si="329"/>
        <v/>
      </c>
      <c r="UKM116" s="77" t="str">
        <f t="shared" si="329"/>
        <v/>
      </c>
      <c r="UKN116" s="77" t="str">
        <f t="shared" si="329"/>
        <v/>
      </c>
      <c r="UKO116" s="77" t="str">
        <f t="shared" si="329"/>
        <v/>
      </c>
      <c r="UKP116" s="77" t="str">
        <f t="shared" si="329"/>
        <v/>
      </c>
      <c r="UKQ116" s="77" t="str">
        <f t="shared" si="329"/>
        <v/>
      </c>
      <c r="UKR116" s="77" t="str">
        <f t="shared" si="329"/>
        <v/>
      </c>
      <c r="UKS116" s="77" t="str">
        <f t="shared" si="329"/>
        <v/>
      </c>
      <c r="UKT116" s="77" t="str">
        <f t="shared" si="329"/>
        <v/>
      </c>
      <c r="UKU116" s="77" t="str">
        <f t="shared" ref="UKU116:UNF116" si="330">IF(ISNUMBER(outYear),UKU69+UKU75+UKU81+UKU113,"")</f>
        <v/>
      </c>
      <c r="UKV116" s="77" t="str">
        <f t="shared" si="330"/>
        <v/>
      </c>
      <c r="UKW116" s="77" t="str">
        <f t="shared" si="330"/>
        <v/>
      </c>
      <c r="UKX116" s="77" t="str">
        <f t="shared" si="330"/>
        <v/>
      </c>
      <c r="UKY116" s="77" t="str">
        <f t="shared" si="330"/>
        <v/>
      </c>
      <c r="UKZ116" s="77" t="str">
        <f t="shared" si="330"/>
        <v/>
      </c>
      <c r="ULA116" s="77" t="str">
        <f t="shared" si="330"/>
        <v/>
      </c>
      <c r="ULB116" s="77" t="str">
        <f t="shared" si="330"/>
        <v/>
      </c>
      <c r="ULC116" s="77" t="str">
        <f t="shared" si="330"/>
        <v/>
      </c>
      <c r="ULD116" s="77" t="str">
        <f t="shared" si="330"/>
        <v/>
      </c>
      <c r="ULE116" s="77" t="str">
        <f t="shared" si="330"/>
        <v/>
      </c>
      <c r="ULF116" s="77" t="str">
        <f t="shared" si="330"/>
        <v/>
      </c>
      <c r="ULG116" s="77" t="str">
        <f t="shared" si="330"/>
        <v/>
      </c>
      <c r="ULH116" s="77" t="str">
        <f t="shared" si="330"/>
        <v/>
      </c>
      <c r="ULI116" s="77" t="str">
        <f t="shared" si="330"/>
        <v/>
      </c>
      <c r="ULJ116" s="77" t="str">
        <f t="shared" si="330"/>
        <v/>
      </c>
      <c r="ULK116" s="77" t="str">
        <f t="shared" si="330"/>
        <v/>
      </c>
      <c r="ULL116" s="77" t="str">
        <f t="shared" si="330"/>
        <v/>
      </c>
      <c r="ULM116" s="77" t="str">
        <f t="shared" si="330"/>
        <v/>
      </c>
      <c r="ULN116" s="77" t="str">
        <f t="shared" si="330"/>
        <v/>
      </c>
      <c r="ULO116" s="77" t="str">
        <f t="shared" si="330"/>
        <v/>
      </c>
      <c r="ULP116" s="77" t="str">
        <f t="shared" si="330"/>
        <v/>
      </c>
      <c r="ULQ116" s="77" t="str">
        <f t="shared" si="330"/>
        <v/>
      </c>
      <c r="ULR116" s="77" t="str">
        <f t="shared" si="330"/>
        <v/>
      </c>
      <c r="ULS116" s="77" t="str">
        <f t="shared" si="330"/>
        <v/>
      </c>
      <c r="ULT116" s="77" t="str">
        <f t="shared" si="330"/>
        <v/>
      </c>
      <c r="ULU116" s="77" t="str">
        <f t="shared" si="330"/>
        <v/>
      </c>
      <c r="ULV116" s="77" t="str">
        <f t="shared" si="330"/>
        <v/>
      </c>
      <c r="ULW116" s="77" t="str">
        <f t="shared" si="330"/>
        <v/>
      </c>
      <c r="ULX116" s="77" t="str">
        <f t="shared" si="330"/>
        <v/>
      </c>
      <c r="ULY116" s="77" t="str">
        <f t="shared" si="330"/>
        <v/>
      </c>
      <c r="ULZ116" s="77" t="str">
        <f t="shared" si="330"/>
        <v/>
      </c>
      <c r="UMA116" s="77" t="str">
        <f t="shared" si="330"/>
        <v/>
      </c>
      <c r="UMB116" s="77" t="str">
        <f t="shared" si="330"/>
        <v/>
      </c>
      <c r="UMC116" s="77" t="str">
        <f t="shared" si="330"/>
        <v/>
      </c>
      <c r="UMD116" s="77" t="str">
        <f t="shared" si="330"/>
        <v/>
      </c>
      <c r="UME116" s="77" t="str">
        <f t="shared" si="330"/>
        <v/>
      </c>
      <c r="UMF116" s="77" t="str">
        <f t="shared" si="330"/>
        <v/>
      </c>
      <c r="UMG116" s="77" t="str">
        <f t="shared" si="330"/>
        <v/>
      </c>
      <c r="UMH116" s="77" t="str">
        <f t="shared" si="330"/>
        <v/>
      </c>
      <c r="UMI116" s="77" t="str">
        <f t="shared" si="330"/>
        <v/>
      </c>
      <c r="UMJ116" s="77" t="str">
        <f t="shared" si="330"/>
        <v/>
      </c>
      <c r="UMK116" s="77" t="str">
        <f t="shared" si="330"/>
        <v/>
      </c>
      <c r="UML116" s="77" t="str">
        <f t="shared" si="330"/>
        <v/>
      </c>
      <c r="UMM116" s="77" t="str">
        <f t="shared" si="330"/>
        <v/>
      </c>
      <c r="UMN116" s="77" t="str">
        <f t="shared" si="330"/>
        <v/>
      </c>
      <c r="UMO116" s="77" t="str">
        <f t="shared" si="330"/>
        <v/>
      </c>
      <c r="UMP116" s="77" t="str">
        <f t="shared" si="330"/>
        <v/>
      </c>
      <c r="UMQ116" s="77" t="str">
        <f t="shared" si="330"/>
        <v/>
      </c>
      <c r="UMR116" s="77" t="str">
        <f t="shared" si="330"/>
        <v/>
      </c>
      <c r="UMS116" s="77" t="str">
        <f t="shared" si="330"/>
        <v/>
      </c>
      <c r="UMT116" s="77" t="str">
        <f t="shared" si="330"/>
        <v/>
      </c>
      <c r="UMU116" s="77" t="str">
        <f t="shared" si="330"/>
        <v/>
      </c>
      <c r="UMV116" s="77" t="str">
        <f t="shared" si="330"/>
        <v/>
      </c>
      <c r="UMW116" s="77" t="str">
        <f t="shared" si="330"/>
        <v/>
      </c>
      <c r="UMX116" s="77" t="str">
        <f t="shared" si="330"/>
        <v/>
      </c>
      <c r="UMY116" s="77" t="str">
        <f t="shared" si="330"/>
        <v/>
      </c>
      <c r="UMZ116" s="77" t="str">
        <f t="shared" si="330"/>
        <v/>
      </c>
      <c r="UNA116" s="77" t="str">
        <f t="shared" si="330"/>
        <v/>
      </c>
      <c r="UNB116" s="77" t="str">
        <f t="shared" si="330"/>
        <v/>
      </c>
      <c r="UNC116" s="77" t="str">
        <f t="shared" si="330"/>
        <v/>
      </c>
      <c r="UND116" s="77" t="str">
        <f t="shared" si="330"/>
        <v/>
      </c>
      <c r="UNE116" s="77" t="str">
        <f t="shared" si="330"/>
        <v/>
      </c>
      <c r="UNF116" s="77" t="str">
        <f t="shared" si="330"/>
        <v/>
      </c>
      <c r="UNG116" s="77" t="str">
        <f t="shared" ref="UNG116:UPR116" si="331">IF(ISNUMBER(outYear),UNG69+UNG75+UNG81+UNG113,"")</f>
        <v/>
      </c>
      <c r="UNH116" s="77" t="str">
        <f t="shared" si="331"/>
        <v/>
      </c>
      <c r="UNI116" s="77" t="str">
        <f t="shared" si="331"/>
        <v/>
      </c>
      <c r="UNJ116" s="77" t="str">
        <f t="shared" si="331"/>
        <v/>
      </c>
      <c r="UNK116" s="77" t="str">
        <f t="shared" si="331"/>
        <v/>
      </c>
      <c r="UNL116" s="77" t="str">
        <f t="shared" si="331"/>
        <v/>
      </c>
      <c r="UNM116" s="77" t="str">
        <f t="shared" si="331"/>
        <v/>
      </c>
      <c r="UNN116" s="77" t="str">
        <f t="shared" si="331"/>
        <v/>
      </c>
      <c r="UNO116" s="77" t="str">
        <f t="shared" si="331"/>
        <v/>
      </c>
      <c r="UNP116" s="77" t="str">
        <f t="shared" si="331"/>
        <v/>
      </c>
      <c r="UNQ116" s="77" t="str">
        <f t="shared" si="331"/>
        <v/>
      </c>
      <c r="UNR116" s="77" t="str">
        <f t="shared" si="331"/>
        <v/>
      </c>
      <c r="UNS116" s="77" t="str">
        <f t="shared" si="331"/>
        <v/>
      </c>
      <c r="UNT116" s="77" t="str">
        <f t="shared" si="331"/>
        <v/>
      </c>
      <c r="UNU116" s="77" t="str">
        <f t="shared" si="331"/>
        <v/>
      </c>
      <c r="UNV116" s="77" t="str">
        <f t="shared" si="331"/>
        <v/>
      </c>
      <c r="UNW116" s="77" t="str">
        <f t="shared" si="331"/>
        <v/>
      </c>
      <c r="UNX116" s="77" t="str">
        <f t="shared" si="331"/>
        <v/>
      </c>
      <c r="UNY116" s="77" t="str">
        <f t="shared" si="331"/>
        <v/>
      </c>
      <c r="UNZ116" s="77" t="str">
        <f t="shared" si="331"/>
        <v/>
      </c>
      <c r="UOA116" s="77" t="str">
        <f t="shared" si="331"/>
        <v/>
      </c>
      <c r="UOB116" s="77" t="str">
        <f t="shared" si="331"/>
        <v/>
      </c>
      <c r="UOC116" s="77" t="str">
        <f t="shared" si="331"/>
        <v/>
      </c>
      <c r="UOD116" s="77" t="str">
        <f t="shared" si="331"/>
        <v/>
      </c>
      <c r="UOE116" s="77" t="str">
        <f t="shared" si="331"/>
        <v/>
      </c>
      <c r="UOF116" s="77" t="str">
        <f t="shared" si="331"/>
        <v/>
      </c>
      <c r="UOG116" s="77" t="str">
        <f t="shared" si="331"/>
        <v/>
      </c>
      <c r="UOH116" s="77" t="str">
        <f t="shared" si="331"/>
        <v/>
      </c>
      <c r="UOI116" s="77" t="str">
        <f t="shared" si="331"/>
        <v/>
      </c>
      <c r="UOJ116" s="77" t="str">
        <f t="shared" si="331"/>
        <v/>
      </c>
      <c r="UOK116" s="77" t="str">
        <f t="shared" si="331"/>
        <v/>
      </c>
      <c r="UOL116" s="77" t="str">
        <f t="shared" si="331"/>
        <v/>
      </c>
      <c r="UOM116" s="77" t="str">
        <f t="shared" si="331"/>
        <v/>
      </c>
      <c r="UON116" s="77" t="str">
        <f t="shared" si="331"/>
        <v/>
      </c>
      <c r="UOO116" s="77" t="str">
        <f t="shared" si="331"/>
        <v/>
      </c>
      <c r="UOP116" s="77" t="str">
        <f t="shared" si="331"/>
        <v/>
      </c>
      <c r="UOQ116" s="77" t="str">
        <f t="shared" si="331"/>
        <v/>
      </c>
      <c r="UOR116" s="77" t="str">
        <f t="shared" si="331"/>
        <v/>
      </c>
      <c r="UOS116" s="77" t="str">
        <f t="shared" si="331"/>
        <v/>
      </c>
      <c r="UOT116" s="77" t="str">
        <f t="shared" si="331"/>
        <v/>
      </c>
      <c r="UOU116" s="77" t="str">
        <f t="shared" si="331"/>
        <v/>
      </c>
      <c r="UOV116" s="77" t="str">
        <f t="shared" si="331"/>
        <v/>
      </c>
      <c r="UOW116" s="77" t="str">
        <f t="shared" si="331"/>
        <v/>
      </c>
      <c r="UOX116" s="77" t="str">
        <f t="shared" si="331"/>
        <v/>
      </c>
      <c r="UOY116" s="77" t="str">
        <f t="shared" si="331"/>
        <v/>
      </c>
      <c r="UOZ116" s="77" t="str">
        <f t="shared" si="331"/>
        <v/>
      </c>
      <c r="UPA116" s="77" t="str">
        <f t="shared" si="331"/>
        <v/>
      </c>
      <c r="UPB116" s="77" t="str">
        <f t="shared" si="331"/>
        <v/>
      </c>
      <c r="UPC116" s="77" t="str">
        <f t="shared" si="331"/>
        <v/>
      </c>
      <c r="UPD116" s="77" t="str">
        <f t="shared" si="331"/>
        <v/>
      </c>
      <c r="UPE116" s="77" t="str">
        <f t="shared" si="331"/>
        <v/>
      </c>
      <c r="UPF116" s="77" t="str">
        <f t="shared" si="331"/>
        <v/>
      </c>
      <c r="UPG116" s="77" t="str">
        <f t="shared" si="331"/>
        <v/>
      </c>
      <c r="UPH116" s="77" t="str">
        <f t="shared" si="331"/>
        <v/>
      </c>
      <c r="UPI116" s="77" t="str">
        <f t="shared" si="331"/>
        <v/>
      </c>
      <c r="UPJ116" s="77" t="str">
        <f t="shared" si="331"/>
        <v/>
      </c>
      <c r="UPK116" s="77" t="str">
        <f t="shared" si="331"/>
        <v/>
      </c>
      <c r="UPL116" s="77" t="str">
        <f t="shared" si="331"/>
        <v/>
      </c>
      <c r="UPM116" s="77" t="str">
        <f t="shared" si="331"/>
        <v/>
      </c>
      <c r="UPN116" s="77" t="str">
        <f t="shared" si="331"/>
        <v/>
      </c>
      <c r="UPO116" s="77" t="str">
        <f t="shared" si="331"/>
        <v/>
      </c>
      <c r="UPP116" s="77" t="str">
        <f t="shared" si="331"/>
        <v/>
      </c>
      <c r="UPQ116" s="77" t="str">
        <f t="shared" si="331"/>
        <v/>
      </c>
      <c r="UPR116" s="77" t="str">
        <f t="shared" si="331"/>
        <v/>
      </c>
      <c r="UPS116" s="77" t="str">
        <f t="shared" ref="UPS116:USD116" si="332">IF(ISNUMBER(outYear),UPS69+UPS75+UPS81+UPS113,"")</f>
        <v/>
      </c>
      <c r="UPT116" s="77" t="str">
        <f t="shared" si="332"/>
        <v/>
      </c>
      <c r="UPU116" s="77" t="str">
        <f t="shared" si="332"/>
        <v/>
      </c>
      <c r="UPV116" s="77" t="str">
        <f t="shared" si="332"/>
        <v/>
      </c>
      <c r="UPW116" s="77" t="str">
        <f t="shared" si="332"/>
        <v/>
      </c>
      <c r="UPX116" s="77" t="str">
        <f t="shared" si="332"/>
        <v/>
      </c>
      <c r="UPY116" s="77" t="str">
        <f t="shared" si="332"/>
        <v/>
      </c>
      <c r="UPZ116" s="77" t="str">
        <f t="shared" si="332"/>
        <v/>
      </c>
      <c r="UQA116" s="77" t="str">
        <f t="shared" si="332"/>
        <v/>
      </c>
      <c r="UQB116" s="77" t="str">
        <f t="shared" si="332"/>
        <v/>
      </c>
      <c r="UQC116" s="77" t="str">
        <f t="shared" si="332"/>
        <v/>
      </c>
      <c r="UQD116" s="77" t="str">
        <f t="shared" si="332"/>
        <v/>
      </c>
      <c r="UQE116" s="77" t="str">
        <f t="shared" si="332"/>
        <v/>
      </c>
      <c r="UQF116" s="77" t="str">
        <f t="shared" si="332"/>
        <v/>
      </c>
      <c r="UQG116" s="77" t="str">
        <f t="shared" si="332"/>
        <v/>
      </c>
      <c r="UQH116" s="77" t="str">
        <f t="shared" si="332"/>
        <v/>
      </c>
      <c r="UQI116" s="77" t="str">
        <f t="shared" si="332"/>
        <v/>
      </c>
      <c r="UQJ116" s="77" t="str">
        <f t="shared" si="332"/>
        <v/>
      </c>
      <c r="UQK116" s="77" t="str">
        <f t="shared" si="332"/>
        <v/>
      </c>
      <c r="UQL116" s="77" t="str">
        <f t="shared" si="332"/>
        <v/>
      </c>
      <c r="UQM116" s="77" t="str">
        <f t="shared" si="332"/>
        <v/>
      </c>
      <c r="UQN116" s="77" t="str">
        <f t="shared" si="332"/>
        <v/>
      </c>
      <c r="UQO116" s="77" t="str">
        <f t="shared" si="332"/>
        <v/>
      </c>
      <c r="UQP116" s="77" t="str">
        <f t="shared" si="332"/>
        <v/>
      </c>
      <c r="UQQ116" s="77" t="str">
        <f t="shared" si="332"/>
        <v/>
      </c>
      <c r="UQR116" s="77" t="str">
        <f t="shared" si="332"/>
        <v/>
      </c>
      <c r="UQS116" s="77" t="str">
        <f t="shared" si="332"/>
        <v/>
      </c>
      <c r="UQT116" s="77" t="str">
        <f t="shared" si="332"/>
        <v/>
      </c>
      <c r="UQU116" s="77" t="str">
        <f t="shared" si="332"/>
        <v/>
      </c>
      <c r="UQV116" s="77" t="str">
        <f t="shared" si="332"/>
        <v/>
      </c>
      <c r="UQW116" s="77" t="str">
        <f t="shared" si="332"/>
        <v/>
      </c>
      <c r="UQX116" s="77" t="str">
        <f t="shared" si="332"/>
        <v/>
      </c>
      <c r="UQY116" s="77" t="str">
        <f t="shared" si="332"/>
        <v/>
      </c>
      <c r="UQZ116" s="77" t="str">
        <f t="shared" si="332"/>
        <v/>
      </c>
      <c r="URA116" s="77" t="str">
        <f t="shared" si="332"/>
        <v/>
      </c>
      <c r="URB116" s="77" t="str">
        <f t="shared" si="332"/>
        <v/>
      </c>
      <c r="URC116" s="77" t="str">
        <f t="shared" si="332"/>
        <v/>
      </c>
      <c r="URD116" s="77" t="str">
        <f t="shared" si="332"/>
        <v/>
      </c>
      <c r="URE116" s="77" t="str">
        <f t="shared" si="332"/>
        <v/>
      </c>
      <c r="URF116" s="77" t="str">
        <f t="shared" si="332"/>
        <v/>
      </c>
      <c r="URG116" s="77" t="str">
        <f t="shared" si="332"/>
        <v/>
      </c>
      <c r="URH116" s="77" t="str">
        <f t="shared" si="332"/>
        <v/>
      </c>
      <c r="URI116" s="77" t="str">
        <f t="shared" si="332"/>
        <v/>
      </c>
      <c r="URJ116" s="77" t="str">
        <f t="shared" si="332"/>
        <v/>
      </c>
      <c r="URK116" s="77" t="str">
        <f t="shared" si="332"/>
        <v/>
      </c>
      <c r="URL116" s="77" t="str">
        <f t="shared" si="332"/>
        <v/>
      </c>
      <c r="URM116" s="77" t="str">
        <f t="shared" si="332"/>
        <v/>
      </c>
      <c r="URN116" s="77" t="str">
        <f t="shared" si="332"/>
        <v/>
      </c>
      <c r="URO116" s="77" t="str">
        <f t="shared" si="332"/>
        <v/>
      </c>
      <c r="URP116" s="77" t="str">
        <f t="shared" si="332"/>
        <v/>
      </c>
      <c r="URQ116" s="77" t="str">
        <f t="shared" si="332"/>
        <v/>
      </c>
      <c r="URR116" s="77" t="str">
        <f t="shared" si="332"/>
        <v/>
      </c>
      <c r="URS116" s="77" t="str">
        <f t="shared" si="332"/>
        <v/>
      </c>
      <c r="URT116" s="77" t="str">
        <f t="shared" si="332"/>
        <v/>
      </c>
      <c r="URU116" s="77" t="str">
        <f t="shared" si="332"/>
        <v/>
      </c>
      <c r="URV116" s="77" t="str">
        <f t="shared" si="332"/>
        <v/>
      </c>
      <c r="URW116" s="77" t="str">
        <f t="shared" si="332"/>
        <v/>
      </c>
      <c r="URX116" s="77" t="str">
        <f t="shared" si="332"/>
        <v/>
      </c>
      <c r="URY116" s="77" t="str">
        <f t="shared" si="332"/>
        <v/>
      </c>
      <c r="URZ116" s="77" t="str">
        <f t="shared" si="332"/>
        <v/>
      </c>
      <c r="USA116" s="77" t="str">
        <f t="shared" si="332"/>
        <v/>
      </c>
      <c r="USB116" s="77" t="str">
        <f t="shared" si="332"/>
        <v/>
      </c>
      <c r="USC116" s="77" t="str">
        <f t="shared" si="332"/>
        <v/>
      </c>
      <c r="USD116" s="77" t="str">
        <f t="shared" si="332"/>
        <v/>
      </c>
      <c r="USE116" s="77" t="str">
        <f t="shared" ref="USE116:UUP116" si="333">IF(ISNUMBER(outYear),USE69+USE75+USE81+USE113,"")</f>
        <v/>
      </c>
      <c r="USF116" s="77" t="str">
        <f t="shared" si="333"/>
        <v/>
      </c>
      <c r="USG116" s="77" t="str">
        <f t="shared" si="333"/>
        <v/>
      </c>
      <c r="USH116" s="77" t="str">
        <f t="shared" si="333"/>
        <v/>
      </c>
      <c r="USI116" s="77" t="str">
        <f t="shared" si="333"/>
        <v/>
      </c>
      <c r="USJ116" s="77" t="str">
        <f t="shared" si="333"/>
        <v/>
      </c>
      <c r="USK116" s="77" t="str">
        <f t="shared" si="333"/>
        <v/>
      </c>
      <c r="USL116" s="77" t="str">
        <f t="shared" si="333"/>
        <v/>
      </c>
      <c r="USM116" s="77" t="str">
        <f t="shared" si="333"/>
        <v/>
      </c>
      <c r="USN116" s="77" t="str">
        <f t="shared" si="333"/>
        <v/>
      </c>
      <c r="USO116" s="77" t="str">
        <f t="shared" si="333"/>
        <v/>
      </c>
      <c r="USP116" s="77" t="str">
        <f t="shared" si="333"/>
        <v/>
      </c>
      <c r="USQ116" s="77" t="str">
        <f t="shared" si="333"/>
        <v/>
      </c>
      <c r="USR116" s="77" t="str">
        <f t="shared" si="333"/>
        <v/>
      </c>
      <c r="USS116" s="77" t="str">
        <f t="shared" si="333"/>
        <v/>
      </c>
      <c r="UST116" s="77" t="str">
        <f t="shared" si="333"/>
        <v/>
      </c>
      <c r="USU116" s="77" t="str">
        <f t="shared" si="333"/>
        <v/>
      </c>
      <c r="USV116" s="77" t="str">
        <f t="shared" si="333"/>
        <v/>
      </c>
      <c r="USW116" s="77" t="str">
        <f t="shared" si="333"/>
        <v/>
      </c>
      <c r="USX116" s="77" t="str">
        <f t="shared" si="333"/>
        <v/>
      </c>
      <c r="USY116" s="77" t="str">
        <f t="shared" si="333"/>
        <v/>
      </c>
      <c r="USZ116" s="77" t="str">
        <f t="shared" si="333"/>
        <v/>
      </c>
      <c r="UTA116" s="77" t="str">
        <f t="shared" si="333"/>
        <v/>
      </c>
      <c r="UTB116" s="77" t="str">
        <f t="shared" si="333"/>
        <v/>
      </c>
      <c r="UTC116" s="77" t="str">
        <f t="shared" si="333"/>
        <v/>
      </c>
      <c r="UTD116" s="77" t="str">
        <f t="shared" si="333"/>
        <v/>
      </c>
      <c r="UTE116" s="77" t="str">
        <f t="shared" si="333"/>
        <v/>
      </c>
      <c r="UTF116" s="77" t="str">
        <f t="shared" si="333"/>
        <v/>
      </c>
      <c r="UTG116" s="77" t="str">
        <f t="shared" si="333"/>
        <v/>
      </c>
      <c r="UTH116" s="77" t="str">
        <f t="shared" si="333"/>
        <v/>
      </c>
      <c r="UTI116" s="77" t="str">
        <f t="shared" si="333"/>
        <v/>
      </c>
      <c r="UTJ116" s="77" t="str">
        <f t="shared" si="333"/>
        <v/>
      </c>
      <c r="UTK116" s="77" t="str">
        <f t="shared" si="333"/>
        <v/>
      </c>
      <c r="UTL116" s="77" t="str">
        <f t="shared" si="333"/>
        <v/>
      </c>
      <c r="UTM116" s="77" t="str">
        <f t="shared" si="333"/>
        <v/>
      </c>
      <c r="UTN116" s="77" t="str">
        <f t="shared" si="333"/>
        <v/>
      </c>
      <c r="UTO116" s="77" t="str">
        <f t="shared" si="333"/>
        <v/>
      </c>
      <c r="UTP116" s="77" t="str">
        <f t="shared" si="333"/>
        <v/>
      </c>
      <c r="UTQ116" s="77" t="str">
        <f t="shared" si="333"/>
        <v/>
      </c>
      <c r="UTR116" s="77" t="str">
        <f t="shared" si="333"/>
        <v/>
      </c>
      <c r="UTS116" s="77" t="str">
        <f t="shared" si="333"/>
        <v/>
      </c>
      <c r="UTT116" s="77" t="str">
        <f t="shared" si="333"/>
        <v/>
      </c>
      <c r="UTU116" s="77" t="str">
        <f t="shared" si="333"/>
        <v/>
      </c>
      <c r="UTV116" s="77" t="str">
        <f t="shared" si="333"/>
        <v/>
      </c>
      <c r="UTW116" s="77" t="str">
        <f t="shared" si="333"/>
        <v/>
      </c>
      <c r="UTX116" s="77" t="str">
        <f t="shared" si="333"/>
        <v/>
      </c>
      <c r="UTY116" s="77" t="str">
        <f t="shared" si="333"/>
        <v/>
      </c>
      <c r="UTZ116" s="77" t="str">
        <f t="shared" si="333"/>
        <v/>
      </c>
      <c r="UUA116" s="77" t="str">
        <f t="shared" si="333"/>
        <v/>
      </c>
      <c r="UUB116" s="77" t="str">
        <f t="shared" si="333"/>
        <v/>
      </c>
      <c r="UUC116" s="77" t="str">
        <f t="shared" si="333"/>
        <v/>
      </c>
      <c r="UUD116" s="77" t="str">
        <f t="shared" si="333"/>
        <v/>
      </c>
      <c r="UUE116" s="77" t="str">
        <f t="shared" si="333"/>
        <v/>
      </c>
      <c r="UUF116" s="77" t="str">
        <f t="shared" si="333"/>
        <v/>
      </c>
      <c r="UUG116" s="77" t="str">
        <f t="shared" si="333"/>
        <v/>
      </c>
      <c r="UUH116" s="77" t="str">
        <f t="shared" si="333"/>
        <v/>
      </c>
      <c r="UUI116" s="77" t="str">
        <f t="shared" si="333"/>
        <v/>
      </c>
      <c r="UUJ116" s="77" t="str">
        <f t="shared" si="333"/>
        <v/>
      </c>
      <c r="UUK116" s="77" t="str">
        <f t="shared" si="333"/>
        <v/>
      </c>
      <c r="UUL116" s="77" t="str">
        <f t="shared" si="333"/>
        <v/>
      </c>
      <c r="UUM116" s="77" t="str">
        <f t="shared" si="333"/>
        <v/>
      </c>
      <c r="UUN116" s="77" t="str">
        <f t="shared" si="333"/>
        <v/>
      </c>
      <c r="UUO116" s="77" t="str">
        <f t="shared" si="333"/>
        <v/>
      </c>
      <c r="UUP116" s="77" t="str">
        <f t="shared" si="333"/>
        <v/>
      </c>
      <c r="UUQ116" s="77" t="str">
        <f t="shared" ref="UUQ116:UXB116" si="334">IF(ISNUMBER(outYear),UUQ69+UUQ75+UUQ81+UUQ113,"")</f>
        <v/>
      </c>
      <c r="UUR116" s="77" t="str">
        <f t="shared" si="334"/>
        <v/>
      </c>
      <c r="UUS116" s="77" t="str">
        <f t="shared" si="334"/>
        <v/>
      </c>
      <c r="UUT116" s="77" t="str">
        <f t="shared" si="334"/>
        <v/>
      </c>
      <c r="UUU116" s="77" t="str">
        <f t="shared" si="334"/>
        <v/>
      </c>
      <c r="UUV116" s="77" t="str">
        <f t="shared" si="334"/>
        <v/>
      </c>
      <c r="UUW116" s="77" t="str">
        <f t="shared" si="334"/>
        <v/>
      </c>
      <c r="UUX116" s="77" t="str">
        <f t="shared" si="334"/>
        <v/>
      </c>
      <c r="UUY116" s="77" t="str">
        <f t="shared" si="334"/>
        <v/>
      </c>
      <c r="UUZ116" s="77" t="str">
        <f t="shared" si="334"/>
        <v/>
      </c>
      <c r="UVA116" s="77" t="str">
        <f t="shared" si="334"/>
        <v/>
      </c>
      <c r="UVB116" s="77" t="str">
        <f t="shared" si="334"/>
        <v/>
      </c>
      <c r="UVC116" s="77" t="str">
        <f t="shared" si="334"/>
        <v/>
      </c>
      <c r="UVD116" s="77" t="str">
        <f t="shared" si="334"/>
        <v/>
      </c>
      <c r="UVE116" s="77" t="str">
        <f t="shared" si="334"/>
        <v/>
      </c>
      <c r="UVF116" s="77" t="str">
        <f t="shared" si="334"/>
        <v/>
      </c>
      <c r="UVG116" s="77" t="str">
        <f t="shared" si="334"/>
        <v/>
      </c>
      <c r="UVH116" s="77" t="str">
        <f t="shared" si="334"/>
        <v/>
      </c>
      <c r="UVI116" s="77" t="str">
        <f t="shared" si="334"/>
        <v/>
      </c>
      <c r="UVJ116" s="77" t="str">
        <f t="shared" si="334"/>
        <v/>
      </c>
      <c r="UVK116" s="77" t="str">
        <f t="shared" si="334"/>
        <v/>
      </c>
      <c r="UVL116" s="77" t="str">
        <f t="shared" si="334"/>
        <v/>
      </c>
      <c r="UVM116" s="77" t="str">
        <f t="shared" si="334"/>
        <v/>
      </c>
      <c r="UVN116" s="77" t="str">
        <f t="shared" si="334"/>
        <v/>
      </c>
      <c r="UVO116" s="77" t="str">
        <f t="shared" si="334"/>
        <v/>
      </c>
      <c r="UVP116" s="77" t="str">
        <f t="shared" si="334"/>
        <v/>
      </c>
      <c r="UVQ116" s="77" t="str">
        <f t="shared" si="334"/>
        <v/>
      </c>
      <c r="UVR116" s="77" t="str">
        <f t="shared" si="334"/>
        <v/>
      </c>
      <c r="UVS116" s="77" t="str">
        <f t="shared" si="334"/>
        <v/>
      </c>
      <c r="UVT116" s="77" t="str">
        <f t="shared" si="334"/>
        <v/>
      </c>
      <c r="UVU116" s="77" t="str">
        <f t="shared" si="334"/>
        <v/>
      </c>
      <c r="UVV116" s="77" t="str">
        <f t="shared" si="334"/>
        <v/>
      </c>
      <c r="UVW116" s="77" t="str">
        <f t="shared" si="334"/>
        <v/>
      </c>
      <c r="UVX116" s="77" t="str">
        <f t="shared" si="334"/>
        <v/>
      </c>
      <c r="UVY116" s="77" t="str">
        <f t="shared" si="334"/>
        <v/>
      </c>
      <c r="UVZ116" s="77" t="str">
        <f t="shared" si="334"/>
        <v/>
      </c>
      <c r="UWA116" s="77" t="str">
        <f t="shared" si="334"/>
        <v/>
      </c>
      <c r="UWB116" s="77" t="str">
        <f t="shared" si="334"/>
        <v/>
      </c>
      <c r="UWC116" s="77" t="str">
        <f t="shared" si="334"/>
        <v/>
      </c>
      <c r="UWD116" s="77" t="str">
        <f t="shared" si="334"/>
        <v/>
      </c>
      <c r="UWE116" s="77" t="str">
        <f t="shared" si="334"/>
        <v/>
      </c>
      <c r="UWF116" s="77" t="str">
        <f t="shared" si="334"/>
        <v/>
      </c>
      <c r="UWG116" s="77" t="str">
        <f t="shared" si="334"/>
        <v/>
      </c>
      <c r="UWH116" s="77" t="str">
        <f t="shared" si="334"/>
        <v/>
      </c>
      <c r="UWI116" s="77" t="str">
        <f t="shared" si="334"/>
        <v/>
      </c>
      <c r="UWJ116" s="77" t="str">
        <f t="shared" si="334"/>
        <v/>
      </c>
      <c r="UWK116" s="77" t="str">
        <f t="shared" si="334"/>
        <v/>
      </c>
      <c r="UWL116" s="77" t="str">
        <f t="shared" si="334"/>
        <v/>
      </c>
      <c r="UWM116" s="77" t="str">
        <f t="shared" si="334"/>
        <v/>
      </c>
      <c r="UWN116" s="77" t="str">
        <f t="shared" si="334"/>
        <v/>
      </c>
      <c r="UWO116" s="77" t="str">
        <f t="shared" si="334"/>
        <v/>
      </c>
      <c r="UWP116" s="77" t="str">
        <f t="shared" si="334"/>
        <v/>
      </c>
      <c r="UWQ116" s="77" t="str">
        <f t="shared" si="334"/>
        <v/>
      </c>
      <c r="UWR116" s="77" t="str">
        <f t="shared" si="334"/>
        <v/>
      </c>
      <c r="UWS116" s="77" t="str">
        <f t="shared" si="334"/>
        <v/>
      </c>
      <c r="UWT116" s="77" t="str">
        <f t="shared" si="334"/>
        <v/>
      </c>
      <c r="UWU116" s="77" t="str">
        <f t="shared" si="334"/>
        <v/>
      </c>
      <c r="UWV116" s="77" t="str">
        <f t="shared" si="334"/>
        <v/>
      </c>
      <c r="UWW116" s="77" t="str">
        <f t="shared" si="334"/>
        <v/>
      </c>
      <c r="UWX116" s="77" t="str">
        <f t="shared" si="334"/>
        <v/>
      </c>
      <c r="UWY116" s="77" t="str">
        <f t="shared" si="334"/>
        <v/>
      </c>
      <c r="UWZ116" s="77" t="str">
        <f t="shared" si="334"/>
        <v/>
      </c>
      <c r="UXA116" s="77" t="str">
        <f t="shared" si="334"/>
        <v/>
      </c>
      <c r="UXB116" s="77" t="str">
        <f t="shared" si="334"/>
        <v/>
      </c>
      <c r="UXC116" s="77" t="str">
        <f t="shared" ref="UXC116:UZN116" si="335">IF(ISNUMBER(outYear),UXC69+UXC75+UXC81+UXC113,"")</f>
        <v/>
      </c>
      <c r="UXD116" s="77" t="str">
        <f t="shared" si="335"/>
        <v/>
      </c>
      <c r="UXE116" s="77" t="str">
        <f t="shared" si="335"/>
        <v/>
      </c>
      <c r="UXF116" s="77" t="str">
        <f t="shared" si="335"/>
        <v/>
      </c>
      <c r="UXG116" s="77" t="str">
        <f t="shared" si="335"/>
        <v/>
      </c>
      <c r="UXH116" s="77" t="str">
        <f t="shared" si="335"/>
        <v/>
      </c>
      <c r="UXI116" s="77" t="str">
        <f t="shared" si="335"/>
        <v/>
      </c>
      <c r="UXJ116" s="77" t="str">
        <f t="shared" si="335"/>
        <v/>
      </c>
      <c r="UXK116" s="77" t="str">
        <f t="shared" si="335"/>
        <v/>
      </c>
      <c r="UXL116" s="77" t="str">
        <f t="shared" si="335"/>
        <v/>
      </c>
      <c r="UXM116" s="77" t="str">
        <f t="shared" si="335"/>
        <v/>
      </c>
      <c r="UXN116" s="77" t="str">
        <f t="shared" si="335"/>
        <v/>
      </c>
      <c r="UXO116" s="77" t="str">
        <f t="shared" si="335"/>
        <v/>
      </c>
      <c r="UXP116" s="77" t="str">
        <f t="shared" si="335"/>
        <v/>
      </c>
      <c r="UXQ116" s="77" t="str">
        <f t="shared" si="335"/>
        <v/>
      </c>
      <c r="UXR116" s="77" t="str">
        <f t="shared" si="335"/>
        <v/>
      </c>
      <c r="UXS116" s="77" t="str">
        <f t="shared" si="335"/>
        <v/>
      </c>
      <c r="UXT116" s="77" t="str">
        <f t="shared" si="335"/>
        <v/>
      </c>
      <c r="UXU116" s="77" t="str">
        <f t="shared" si="335"/>
        <v/>
      </c>
      <c r="UXV116" s="77" t="str">
        <f t="shared" si="335"/>
        <v/>
      </c>
      <c r="UXW116" s="77" t="str">
        <f t="shared" si="335"/>
        <v/>
      </c>
      <c r="UXX116" s="77" t="str">
        <f t="shared" si="335"/>
        <v/>
      </c>
      <c r="UXY116" s="77" t="str">
        <f t="shared" si="335"/>
        <v/>
      </c>
      <c r="UXZ116" s="77" t="str">
        <f t="shared" si="335"/>
        <v/>
      </c>
      <c r="UYA116" s="77" t="str">
        <f t="shared" si="335"/>
        <v/>
      </c>
      <c r="UYB116" s="77" t="str">
        <f t="shared" si="335"/>
        <v/>
      </c>
      <c r="UYC116" s="77" t="str">
        <f t="shared" si="335"/>
        <v/>
      </c>
      <c r="UYD116" s="77" t="str">
        <f t="shared" si="335"/>
        <v/>
      </c>
      <c r="UYE116" s="77" t="str">
        <f t="shared" si="335"/>
        <v/>
      </c>
      <c r="UYF116" s="77" t="str">
        <f t="shared" si="335"/>
        <v/>
      </c>
      <c r="UYG116" s="77" t="str">
        <f t="shared" si="335"/>
        <v/>
      </c>
      <c r="UYH116" s="77" t="str">
        <f t="shared" si="335"/>
        <v/>
      </c>
      <c r="UYI116" s="77" t="str">
        <f t="shared" si="335"/>
        <v/>
      </c>
      <c r="UYJ116" s="77" t="str">
        <f t="shared" si="335"/>
        <v/>
      </c>
      <c r="UYK116" s="77" t="str">
        <f t="shared" si="335"/>
        <v/>
      </c>
      <c r="UYL116" s="77" t="str">
        <f t="shared" si="335"/>
        <v/>
      </c>
      <c r="UYM116" s="77" t="str">
        <f t="shared" si="335"/>
        <v/>
      </c>
      <c r="UYN116" s="77" t="str">
        <f t="shared" si="335"/>
        <v/>
      </c>
      <c r="UYO116" s="77" t="str">
        <f t="shared" si="335"/>
        <v/>
      </c>
      <c r="UYP116" s="77" t="str">
        <f t="shared" si="335"/>
        <v/>
      </c>
      <c r="UYQ116" s="77" t="str">
        <f t="shared" si="335"/>
        <v/>
      </c>
      <c r="UYR116" s="77" t="str">
        <f t="shared" si="335"/>
        <v/>
      </c>
      <c r="UYS116" s="77" t="str">
        <f t="shared" si="335"/>
        <v/>
      </c>
      <c r="UYT116" s="77" t="str">
        <f t="shared" si="335"/>
        <v/>
      </c>
      <c r="UYU116" s="77" t="str">
        <f t="shared" si="335"/>
        <v/>
      </c>
      <c r="UYV116" s="77" t="str">
        <f t="shared" si="335"/>
        <v/>
      </c>
      <c r="UYW116" s="77" t="str">
        <f t="shared" si="335"/>
        <v/>
      </c>
      <c r="UYX116" s="77" t="str">
        <f t="shared" si="335"/>
        <v/>
      </c>
      <c r="UYY116" s="77" t="str">
        <f t="shared" si="335"/>
        <v/>
      </c>
      <c r="UYZ116" s="77" t="str">
        <f t="shared" si="335"/>
        <v/>
      </c>
      <c r="UZA116" s="77" t="str">
        <f t="shared" si="335"/>
        <v/>
      </c>
      <c r="UZB116" s="77" t="str">
        <f t="shared" si="335"/>
        <v/>
      </c>
      <c r="UZC116" s="77" t="str">
        <f t="shared" si="335"/>
        <v/>
      </c>
      <c r="UZD116" s="77" t="str">
        <f t="shared" si="335"/>
        <v/>
      </c>
      <c r="UZE116" s="77" t="str">
        <f t="shared" si="335"/>
        <v/>
      </c>
      <c r="UZF116" s="77" t="str">
        <f t="shared" si="335"/>
        <v/>
      </c>
      <c r="UZG116" s="77" t="str">
        <f t="shared" si="335"/>
        <v/>
      </c>
      <c r="UZH116" s="77" t="str">
        <f t="shared" si="335"/>
        <v/>
      </c>
      <c r="UZI116" s="77" t="str">
        <f t="shared" si="335"/>
        <v/>
      </c>
      <c r="UZJ116" s="77" t="str">
        <f t="shared" si="335"/>
        <v/>
      </c>
      <c r="UZK116" s="77" t="str">
        <f t="shared" si="335"/>
        <v/>
      </c>
      <c r="UZL116" s="77" t="str">
        <f t="shared" si="335"/>
        <v/>
      </c>
      <c r="UZM116" s="77" t="str">
        <f t="shared" si="335"/>
        <v/>
      </c>
      <c r="UZN116" s="77" t="str">
        <f t="shared" si="335"/>
        <v/>
      </c>
      <c r="UZO116" s="77" t="str">
        <f t="shared" ref="UZO116:VBZ116" si="336">IF(ISNUMBER(outYear),UZO69+UZO75+UZO81+UZO113,"")</f>
        <v/>
      </c>
      <c r="UZP116" s="77" t="str">
        <f t="shared" si="336"/>
        <v/>
      </c>
      <c r="UZQ116" s="77" t="str">
        <f t="shared" si="336"/>
        <v/>
      </c>
      <c r="UZR116" s="77" t="str">
        <f t="shared" si="336"/>
        <v/>
      </c>
      <c r="UZS116" s="77" t="str">
        <f t="shared" si="336"/>
        <v/>
      </c>
      <c r="UZT116" s="77" t="str">
        <f t="shared" si="336"/>
        <v/>
      </c>
      <c r="UZU116" s="77" t="str">
        <f t="shared" si="336"/>
        <v/>
      </c>
      <c r="UZV116" s="77" t="str">
        <f t="shared" si="336"/>
        <v/>
      </c>
      <c r="UZW116" s="77" t="str">
        <f t="shared" si="336"/>
        <v/>
      </c>
      <c r="UZX116" s="77" t="str">
        <f t="shared" si="336"/>
        <v/>
      </c>
      <c r="UZY116" s="77" t="str">
        <f t="shared" si="336"/>
        <v/>
      </c>
      <c r="UZZ116" s="77" t="str">
        <f t="shared" si="336"/>
        <v/>
      </c>
      <c r="VAA116" s="77" t="str">
        <f t="shared" si="336"/>
        <v/>
      </c>
      <c r="VAB116" s="77" t="str">
        <f t="shared" si="336"/>
        <v/>
      </c>
      <c r="VAC116" s="77" t="str">
        <f t="shared" si="336"/>
        <v/>
      </c>
      <c r="VAD116" s="77" t="str">
        <f t="shared" si="336"/>
        <v/>
      </c>
      <c r="VAE116" s="77" t="str">
        <f t="shared" si="336"/>
        <v/>
      </c>
      <c r="VAF116" s="77" t="str">
        <f t="shared" si="336"/>
        <v/>
      </c>
      <c r="VAG116" s="77" t="str">
        <f t="shared" si="336"/>
        <v/>
      </c>
      <c r="VAH116" s="77" t="str">
        <f t="shared" si="336"/>
        <v/>
      </c>
      <c r="VAI116" s="77" t="str">
        <f t="shared" si="336"/>
        <v/>
      </c>
      <c r="VAJ116" s="77" t="str">
        <f t="shared" si="336"/>
        <v/>
      </c>
      <c r="VAK116" s="77" t="str">
        <f t="shared" si="336"/>
        <v/>
      </c>
      <c r="VAL116" s="77" t="str">
        <f t="shared" si="336"/>
        <v/>
      </c>
      <c r="VAM116" s="77" t="str">
        <f t="shared" si="336"/>
        <v/>
      </c>
      <c r="VAN116" s="77" t="str">
        <f t="shared" si="336"/>
        <v/>
      </c>
      <c r="VAO116" s="77" t="str">
        <f t="shared" si="336"/>
        <v/>
      </c>
      <c r="VAP116" s="77" t="str">
        <f t="shared" si="336"/>
        <v/>
      </c>
      <c r="VAQ116" s="77" t="str">
        <f t="shared" si="336"/>
        <v/>
      </c>
      <c r="VAR116" s="77" t="str">
        <f t="shared" si="336"/>
        <v/>
      </c>
      <c r="VAS116" s="77" t="str">
        <f t="shared" si="336"/>
        <v/>
      </c>
      <c r="VAT116" s="77" t="str">
        <f t="shared" si="336"/>
        <v/>
      </c>
      <c r="VAU116" s="77" t="str">
        <f t="shared" si="336"/>
        <v/>
      </c>
      <c r="VAV116" s="77" t="str">
        <f t="shared" si="336"/>
        <v/>
      </c>
      <c r="VAW116" s="77" t="str">
        <f t="shared" si="336"/>
        <v/>
      </c>
      <c r="VAX116" s="77" t="str">
        <f t="shared" si="336"/>
        <v/>
      </c>
      <c r="VAY116" s="77" t="str">
        <f t="shared" si="336"/>
        <v/>
      </c>
      <c r="VAZ116" s="77" t="str">
        <f t="shared" si="336"/>
        <v/>
      </c>
      <c r="VBA116" s="77" t="str">
        <f t="shared" si="336"/>
        <v/>
      </c>
      <c r="VBB116" s="77" t="str">
        <f t="shared" si="336"/>
        <v/>
      </c>
      <c r="VBC116" s="77" t="str">
        <f t="shared" si="336"/>
        <v/>
      </c>
      <c r="VBD116" s="77" t="str">
        <f t="shared" si="336"/>
        <v/>
      </c>
      <c r="VBE116" s="77" t="str">
        <f t="shared" si="336"/>
        <v/>
      </c>
      <c r="VBF116" s="77" t="str">
        <f t="shared" si="336"/>
        <v/>
      </c>
      <c r="VBG116" s="77" t="str">
        <f t="shared" si="336"/>
        <v/>
      </c>
      <c r="VBH116" s="77" t="str">
        <f t="shared" si="336"/>
        <v/>
      </c>
      <c r="VBI116" s="77" t="str">
        <f t="shared" si="336"/>
        <v/>
      </c>
      <c r="VBJ116" s="77" t="str">
        <f t="shared" si="336"/>
        <v/>
      </c>
      <c r="VBK116" s="77" t="str">
        <f t="shared" si="336"/>
        <v/>
      </c>
      <c r="VBL116" s="77" t="str">
        <f t="shared" si="336"/>
        <v/>
      </c>
      <c r="VBM116" s="77" t="str">
        <f t="shared" si="336"/>
        <v/>
      </c>
      <c r="VBN116" s="77" t="str">
        <f t="shared" si="336"/>
        <v/>
      </c>
      <c r="VBO116" s="77" t="str">
        <f t="shared" si="336"/>
        <v/>
      </c>
      <c r="VBP116" s="77" t="str">
        <f t="shared" si="336"/>
        <v/>
      </c>
      <c r="VBQ116" s="77" t="str">
        <f t="shared" si="336"/>
        <v/>
      </c>
      <c r="VBR116" s="77" t="str">
        <f t="shared" si="336"/>
        <v/>
      </c>
      <c r="VBS116" s="77" t="str">
        <f t="shared" si="336"/>
        <v/>
      </c>
      <c r="VBT116" s="77" t="str">
        <f t="shared" si="336"/>
        <v/>
      </c>
      <c r="VBU116" s="77" t="str">
        <f t="shared" si="336"/>
        <v/>
      </c>
      <c r="VBV116" s="77" t="str">
        <f t="shared" si="336"/>
        <v/>
      </c>
      <c r="VBW116" s="77" t="str">
        <f t="shared" si="336"/>
        <v/>
      </c>
      <c r="VBX116" s="77" t="str">
        <f t="shared" si="336"/>
        <v/>
      </c>
      <c r="VBY116" s="77" t="str">
        <f t="shared" si="336"/>
        <v/>
      </c>
      <c r="VBZ116" s="77" t="str">
        <f t="shared" si="336"/>
        <v/>
      </c>
      <c r="VCA116" s="77" t="str">
        <f t="shared" ref="VCA116:VEL116" si="337">IF(ISNUMBER(outYear),VCA69+VCA75+VCA81+VCA113,"")</f>
        <v/>
      </c>
      <c r="VCB116" s="77" t="str">
        <f t="shared" si="337"/>
        <v/>
      </c>
      <c r="VCC116" s="77" t="str">
        <f t="shared" si="337"/>
        <v/>
      </c>
      <c r="VCD116" s="77" t="str">
        <f t="shared" si="337"/>
        <v/>
      </c>
      <c r="VCE116" s="77" t="str">
        <f t="shared" si="337"/>
        <v/>
      </c>
      <c r="VCF116" s="77" t="str">
        <f t="shared" si="337"/>
        <v/>
      </c>
      <c r="VCG116" s="77" t="str">
        <f t="shared" si="337"/>
        <v/>
      </c>
      <c r="VCH116" s="77" t="str">
        <f t="shared" si="337"/>
        <v/>
      </c>
      <c r="VCI116" s="77" t="str">
        <f t="shared" si="337"/>
        <v/>
      </c>
      <c r="VCJ116" s="77" t="str">
        <f t="shared" si="337"/>
        <v/>
      </c>
      <c r="VCK116" s="77" t="str">
        <f t="shared" si="337"/>
        <v/>
      </c>
      <c r="VCL116" s="77" t="str">
        <f t="shared" si="337"/>
        <v/>
      </c>
      <c r="VCM116" s="77" t="str">
        <f t="shared" si="337"/>
        <v/>
      </c>
      <c r="VCN116" s="77" t="str">
        <f t="shared" si="337"/>
        <v/>
      </c>
      <c r="VCO116" s="77" t="str">
        <f t="shared" si="337"/>
        <v/>
      </c>
      <c r="VCP116" s="77" t="str">
        <f t="shared" si="337"/>
        <v/>
      </c>
      <c r="VCQ116" s="77" t="str">
        <f t="shared" si="337"/>
        <v/>
      </c>
      <c r="VCR116" s="77" t="str">
        <f t="shared" si="337"/>
        <v/>
      </c>
      <c r="VCS116" s="77" t="str">
        <f t="shared" si="337"/>
        <v/>
      </c>
      <c r="VCT116" s="77" t="str">
        <f t="shared" si="337"/>
        <v/>
      </c>
      <c r="VCU116" s="77" t="str">
        <f t="shared" si="337"/>
        <v/>
      </c>
      <c r="VCV116" s="77" t="str">
        <f t="shared" si="337"/>
        <v/>
      </c>
      <c r="VCW116" s="77" t="str">
        <f t="shared" si="337"/>
        <v/>
      </c>
      <c r="VCX116" s="77" t="str">
        <f t="shared" si="337"/>
        <v/>
      </c>
      <c r="VCY116" s="77" t="str">
        <f t="shared" si="337"/>
        <v/>
      </c>
      <c r="VCZ116" s="77" t="str">
        <f t="shared" si="337"/>
        <v/>
      </c>
      <c r="VDA116" s="77" t="str">
        <f t="shared" si="337"/>
        <v/>
      </c>
      <c r="VDB116" s="77" t="str">
        <f t="shared" si="337"/>
        <v/>
      </c>
      <c r="VDC116" s="77" t="str">
        <f t="shared" si="337"/>
        <v/>
      </c>
      <c r="VDD116" s="77" t="str">
        <f t="shared" si="337"/>
        <v/>
      </c>
      <c r="VDE116" s="77" t="str">
        <f t="shared" si="337"/>
        <v/>
      </c>
      <c r="VDF116" s="77" t="str">
        <f t="shared" si="337"/>
        <v/>
      </c>
      <c r="VDG116" s="77" t="str">
        <f t="shared" si="337"/>
        <v/>
      </c>
      <c r="VDH116" s="77" t="str">
        <f t="shared" si="337"/>
        <v/>
      </c>
      <c r="VDI116" s="77" t="str">
        <f t="shared" si="337"/>
        <v/>
      </c>
      <c r="VDJ116" s="77" t="str">
        <f t="shared" si="337"/>
        <v/>
      </c>
      <c r="VDK116" s="77" t="str">
        <f t="shared" si="337"/>
        <v/>
      </c>
      <c r="VDL116" s="77" t="str">
        <f t="shared" si="337"/>
        <v/>
      </c>
      <c r="VDM116" s="77" t="str">
        <f t="shared" si="337"/>
        <v/>
      </c>
      <c r="VDN116" s="77" t="str">
        <f t="shared" si="337"/>
        <v/>
      </c>
      <c r="VDO116" s="77" t="str">
        <f t="shared" si="337"/>
        <v/>
      </c>
      <c r="VDP116" s="77" t="str">
        <f t="shared" si="337"/>
        <v/>
      </c>
      <c r="VDQ116" s="77" t="str">
        <f t="shared" si="337"/>
        <v/>
      </c>
      <c r="VDR116" s="77" t="str">
        <f t="shared" si="337"/>
        <v/>
      </c>
      <c r="VDS116" s="77" t="str">
        <f t="shared" si="337"/>
        <v/>
      </c>
      <c r="VDT116" s="77" t="str">
        <f t="shared" si="337"/>
        <v/>
      </c>
      <c r="VDU116" s="77" t="str">
        <f t="shared" si="337"/>
        <v/>
      </c>
      <c r="VDV116" s="77" t="str">
        <f t="shared" si="337"/>
        <v/>
      </c>
      <c r="VDW116" s="77" t="str">
        <f t="shared" si="337"/>
        <v/>
      </c>
      <c r="VDX116" s="77" t="str">
        <f t="shared" si="337"/>
        <v/>
      </c>
      <c r="VDY116" s="77" t="str">
        <f t="shared" si="337"/>
        <v/>
      </c>
      <c r="VDZ116" s="77" t="str">
        <f t="shared" si="337"/>
        <v/>
      </c>
      <c r="VEA116" s="77" t="str">
        <f t="shared" si="337"/>
        <v/>
      </c>
      <c r="VEB116" s="77" t="str">
        <f t="shared" si="337"/>
        <v/>
      </c>
      <c r="VEC116" s="77" t="str">
        <f t="shared" si="337"/>
        <v/>
      </c>
      <c r="VED116" s="77" t="str">
        <f t="shared" si="337"/>
        <v/>
      </c>
      <c r="VEE116" s="77" t="str">
        <f t="shared" si="337"/>
        <v/>
      </c>
      <c r="VEF116" s="77" t="str">
        <f t="shared" si="337"/>
        <v/>
      </c>
      <c r="VEG116" s="77" t="str">
        <f t="shared" si="337"/>
        <v/>
      </c>
      <c r="VEH116" s="77" t="str">
        <f t="shared" si="337"/>
        <v/>
      </c>
      <c r="VEI116" s="77" t="str">
        <f t="shared" si="337"/>
        <v/>
      </c>
      <c r="VEJ116" s="77" t="str">
        <f t="shared" si="337"/>
        <v/>
      </c>
      <c r="VEK116" s="77" t="str">
        <f t="shared" si="337"/>
        <v/>
      </c>
      <c r="VEL116" s="77" t="str">
        <f t="shared" si="337"/>
        <v/>
      </c>
      <c r="VEM116" s="77" t="str">
        <f t="shared" ref="VEM116:VGX116" si="338">IF(ISNUMBER(outYear),VEM69+VEM75+VEM81+VEM113,"")</f>
        <v/>
      </c>
      <c r="VEN116" s="77" t="str">
        <f t="shared" si="338"/>
        <v/>
      </c>
      <c r="VEO116" s="77" t="str">
        <f t="shared" si="338"/>
        <v/>
      </c>
      <c r="VEP116" s="77" t="str">
        <f t="shared" si="338"/>
        <v/>
      </c>
      <c r="VEQ116" s="77" t="str">
        <f t="shared" si="338"/>
        <v/>
      </c>
      <c r="VER116" s="77" t="str">
        <f t="shared" si="338"/>
        <v/>
      </c>
      <c r="VES116" s="77" t="str">
        <f t="shared" si="338"/>
        <v/>
      </c>
      <c r="VET116" s="77" t="str">
        <f t="shared" si="338"/>
        <v/>
      </c>
      <c r="VEU116" s="77" t="str">
        <f t="shared" si="338"/>
        <v/>
      </c>
      <c r="VEV116" s="77" t="str">
        <f t="shared" si="338"/>
        <v/>
      </c>
      <c r="VEW116" s="77" t="str">
        <f t="shared" si="338"/>
        <v/>
      </c>
      <c r="VEX116" s="77" t="str">
        <f t="shared" si="338"/>
        <v/>
      </c>
      <c r="VEY116" s="77" t="str">
        <f t="shared" si="338"/>
        <v/>
      </c>
      <c r="VEZ116" s="77" t="str">
        <f t="shared" si="338"/>
        <v/>
      </c>
      <c r="VFA116" s="77" t="str">
        <f t="shared" si="338"/>
        <v/>
      </c>
      <c r="VFB116" s="77" t="str">
        <f t="shared" si="338"/>
        <v/>
      </c>
      <c r="VFC116" s="77" t="str">
        <f t="shared" si="338"/>
        <v/>
      </c>
      <c r="VFD116" s="77" t="str">
        <f t="shared" si="338"/>
        <v/>
      </c>
      <c r="VFE116" s="77" t="str">
        <f t="shared" si="338"/>
        <v/>
      </c>
      <c r="VFF116" s="77" t="str">
        <f t="shared" si="338"/>
        <v/>
      </c>
      <c r="VFG116" s="77" t="str">
        <f t="shared" si="338"/>
        <v/>
      </c>
      <c r="VFH116" s="77" t="str">
        <f t="shared" si="338"/>
        <v/>
      </c>
      <c r="VFI116" s="77" t="str">
        <f t="shared" si="338"/>
        <v/>
      </c>
      <c r="VFJ116" s="77" t="str">
        <f t="shared" si="338"/>
        <v/>
      </c>
      <c r="VFK116" s="77" t="str">
        <f t="shared" si="338"/>
        <v/>
      </c>
      <c r="VFL116" s="77" t="str">
        <f t="shared" si="338"/>
        <v/>
      </c>
      <c r="VFM116" s="77" t="str">
        <f t="shared" si="338"/>
        <v/>
      </c>
      <c r="VFN116" s="77" t="str">
        <f t="shared" si="338"/>
        <v/>
      </c>
      <c r="VFO116" s="77" t="str">
        <f t="shared" si="338"/>
        <v/>
      </c>
      <c r="VFP116" s="77" t="str">
        <f t="shared" si="338"/>
        <v/>
      </c>
      <c r="VFQ116" s="77" t="str">
        <f t="shared" si="338"/>
        <v/>
      </c>
      <c r="VFR116" s="77" t="str">
        <f t="shared" si="338"/>
        <v/>
      </c>
      <c r="VFS116" s="77" t="str">
        <f t="shared" si="338"/>
        <v/>
      </c>
      <c r="VFT116" s="77" t="str">
        <f t="shared" si="338"/>
        <v/>
      </c>
      <c r="VFU116" s="77" t="str">
        <f t="shared" si="338"/>
        <v/>
      </c>
      <c r="VFV116" s="77" t="str">
        <f t="shared" si="338"/>
        <v/>
      </c>
      <c r="VFW116" s="77" t="str">
        <f t="shared" si="338"/>
        <v/>
      </c>
      <c r="VFX116" s="77" t="str">
        <f t="shared" si="338"/>
        <v/>
      </c>
      <c r="VFY116" s="77" t="str">
        <f t="shared" si="338"/>
        <v/>
      </c>
      <c r="VFZ116" s="77" t="str">
        <f t="shared" si="338"/>
        <v/>
      </c>
      <c r="VGA116" s="77" t="str">
        <f t="shared" si="338"/>
        <v/>
      </c>
      <c r="VGB116" s="77" t="str">
        <f t="shared" si="338"/>
        <v/>
      </c>
      <c r="VGC116" s="77" t="str">
        <f t="shared" si="338"/>
        <v/>
      </c>
      <c r="VGD116" s="77" t="str">
        <f t="shared" si="338"/>
        <v/>
      </c>
      <c r="VGE116" s="77" t="str">
        <f t="shared" si="338"/>
        <v/>
      </c>
      <c r="VGF116" s="77" t="str">
        <f t="shared" si="338"/>
        <v/>
      </c>
      <c r="VGG116" s="77" t="str">
        <f t="shared" si="338"/>
        <v/>
      </c>
      <c r="VGH116" s="77" t="str">
        <f t="shared" si="338"/>
        <v/>
      </c>
      <c r="VGI116" s="77" t="str">
        <f t="shared" si="338"/>
        <v/>
      </c>
      <c r="VGJ116" s="77" t="str">
        <f t="shared" si="338"/>
        <v/>
      </c>
      <c r="VGK116" s="77" t="str">
        <f t="shared" si="338"/>
        <v/>
      </c>
      <c r="VGL116" s="77" t="str">
        <f t="shared" si="338"/>
        <v/>
      </c>
      <c r="VGM116" s="77" t="str">
        <f t="shared" si="338"/>
        <v/>
      </c>
      <c r="VGN116" s="77" t="str">
        <f t="shared" si="338"/>
        <v/>
      </c>
      <c r="VGO116" s="77" t="str">
        <f t="shared" si="338"/>
        <v/>
      </c>
      <c r="VGP116" s="77" t="str">
        <f t="shared" si="338"/>
        <v/>
      </c>
      <c r="VGQ116" s="77" t="str">
        <f t="shared" si="338"/>
        <v/>
      </c>
      <c r="VGR116" s="77" t="str">
        <f t="shared" si="338"/>
        <v/>
      </c>
      <c r="VGS116" s="77" t="str">
        <f t="shared" si="338"/>
        <v/>
      </c>
      <c r="VGT116" s="77" t="str">
        <f t="shared" si="338"/>
        <v/>
      </c>
      <c r="VGU116" s="77" t="str">
        <f t="shared" si="338"/>
        <v/>
      </c>
      <c r="VGV116" s="77" t="str">
        <f t="shared" si="338"/>
        <v/>
      </c>
      <c r="VGW116" s="77" t="str">
        <f t="shared" si="338"/>
        <v/>
      </c>
      <c r="VGX116" s="77" t="str">
        <f t="shared" si="338"/>
        <v/>
      </c>
      <c r="VGY116" s="77" t="str">
        <f t="shared" ref="VGY116:VJJ116" si="339">IF(ISNUMBER(outYear),VGY69+VGY75+VGY81+VGY113,"")</f>
        <v/>
      </c>
      <c r="VGZ116" s="77" t="str">
        <f t="shared" si="339"/>
        <v/>
      </c>
      <c r="VHA116" s="77" t="str">
        <f t="shared" si="339"/>
        <v/>
      </c>
      <c r="VHB116" s="77" t="str">
        <f t="shared" si="339"/>
        <v/>
      </c>
      <c r="VHC116" s="77" t="str">
        <f t="shared" si="339"/>
        <v/>
      </c>
      <c r="VHD116" s="77" t="str">
        <f t="shared" si="339"/>
        <v/>
      </c>
      <c r="VHE116" s="77" t="str">
        <f t="shared" si="339"/>
        <v/>
      </c>
      <c r="VHF116" s="77" t="str">
        <f t="shared" si="339"/>
        <v/>
      </c>
      <c r="VHG116" s="77" t="str">
        <f t="shared" si="339"/>
        <v/>
      </c>
      <c r="VHH116" s="77" t="str">
        <f t="shared" si="339"/>
        <v/>
      </c>
      <c r="VHI116" s="77" t="str">
        <f t="shared" si="339"/>
        <v/>
      </c>
      <c r="VHJ116" s="77" t="str">
        <f t="shared" si="339"/>
        <v/>
      </c>
      <c r="VHK116" s="77" t="str">
        <f t="shared" si="339"/>
        <v/>
      </c>
      <c r="VHL116" s="77" t="str">
        <f t="shared" si="339"/>
        <v/>
      </c>
      <c r="VHM116" s="77" t="str">
        <f t="shared" si="339"/>
        <v/>
      </c>
      <c r="VHN116" s="77" t="str">
        <f t="shared" si="339"/>
        <v/>
      </c>
      <c r="VHO116" s="77" t="str">
        <f t="shared" si="339"/>
        <v/>
      </c>
      <c r="VHP116" s="77" t="str">
        <f t="shared" si="339"/>
        <v/>
      </c>
      <c r="VHQ116" s="77" t="str">
        <f t="shared" si="339"/>
        <v/>
      </c>
      <c r="VHR116" s="77" t="str">
        <f t="shared" si="339"/>
        <v/>
      </c>
      <c r="VHS116" s="77" t="str">
        <f t="shared" si="339"/>
        <v/>
      </c>
      <c r="VHT116" s="77" t="str">
        <f t="shared" si="339"/>
        <v/>
      </c>
      <c r="VHU116" s="77" t="str">
        <f t="shared" si="339"/>
        <v/>
      </c>
      <c r="VHV116" s="77" t="str">
        <f t="shared" si="339"/>
        <v/>
      </c>
      <c r="VHW116" s="77" t="str">
        <f t="shared" si="339"/>
        <v/>
      </c>
      <c r="VHX116" s="77" t="str">
        <f t="shared" si="339"/>
        <v/>
      </c>
      <c r="VHY116" s="77" t="str">
        <f t="shared" si="339"/>
        <v/>
      </c>
      <c r="VHZ116" s="77" t="str">
        <f t="shared" si="339"/>
        <v/>
      </c>
      <c r="VIA116" s="77" t="str">
        <f t="shared" si="339"/>
        <v/>
      </c>
      <c r="VIB116" s="77" t="str">
        <f t="shared" si="339"/>
        <v/>
      </c>
      <c r="VIC116" s="77" t="str">
        <f t="shared" si="339"/>
        <v/>
      </c>
      <c r="VID116" s="77" t="str">
        <f t="shared" si="339"/>
        <v/>
      </c>
      <c r="VIE116" s="77" t="str">
        <f t="shared" si="339"/>
        <v/>
      </c>
      <c r="VIF116" s="77" t="str">
        <f t="shared" si="339"/>
        <v/>
      </c>
      <c r="VIG116" s="77" t="str">
        <f t="shared" si="339"/>
        <v/>
      </c>
      <c r="VIH116" s="77" t="str">
        <f t="shared" si="339"/>
        <v/>
      </c>
      <c r="VII116" s="77" t="str">
        <f t="shared" si="339"/>
        <v/>
      </c>
      <c r="VIJ116" s="77" t="str">
        <f t="shared" si="339"/>
        <v/>
      </c>
      <c r="VIK116" s="77" t="str">
        <f t="shared" si="339"/>
        <v/>
      </c>
      <c r="VIL116" s="77" t="str">
        <f t="shared" si="339"/>
        <v/>
      </c>
      <c r="VIM116" s="77" t="str">
        <f t="shared" si="339"/>
        <v/>
      </c>
      <c r="VIN116" s="77" t="str">
        <f t="shared" si="339"/>
        <v/>
      </c>
      <c r="VIO116" s="77" t="str">
        <f t="shared" si="339"/>
        <v/>
      </c>
      <c r="VIP116" s="77" t="str">
        <f t="shared" si="339"/>
        <v/>
      </c>
      <c r="VIQ116" s="77" t="str">
        <f t="shared" si="339"/>
        <v/>
      </c>
      <c r="VIR116" s="77" t="str">
        <f t="shared" si="339"/>
        <v/>
      </c>
      <c r="VIS116" s="77" t="str">
        <f t="shared" si="339"/>
        <v/>
      </c>
      <c r="VIT116" s="77" t="str">
        <f t="shared" si="339"/>
        <v/>
      </c>
      <c r="VIU116" s="77" t="str">
        <f t="shared" si="339"/>
        <v/>
      </c>
      <c r="VIV116" s="77" t="str">
        <f t="shared" si="339"/>
        <v/>
      </c>
      <c r="VIW116" s="77" t="str">
        <f t="shared" si="339"/>
        <v/>
      </c>
      <c r="VIX116" s="77" t="str">
        <f t="shared" si="339"/>
        <v/>
      </c>
      <c r="VIY116" s="77" t="str">
        <f t="shared" si="339"/>
        <v/>
      </c>
      <c r="VIZ116" s="77" t="str">
        <f t="shared" si="339"/>
        <v/>
      </c>
      <c r="VJA116" s="77" t="str">
        <f t="shared" si="339"/>
        <v/>
      </c>
      <c r="VJB116" s="77" t="str">
        <f t="shared" si="339"/>
        <v/>
      </c>
      <c r="VJC116" s="77" t="str">
        <f t="shared" si="339"/>
        <v/>
      </c>
      <c r="VJD116" s="77" t="str">
        <f t="shared" si="339"/>
        <v/>
      </c>
      <c r="VJE116" s="77" t="str">
        <f t="shared" si="339"/>
        <v/>
      </c>
      <c r="VJF116" s="77" t="str">
        <f t="shared" si="339"/>
        <v/>
      </c>
      <c r="VJG116" s="77" t="str">
        <f t="shared" si="339"/>
        <v/>
      </c>
      <c r="VJH116" s="77" t="str">
        <f t="shared" si="339"/>
        <v/>
      </c>
      <c r="VJI116" s="77" t="str">
        <f t="shared" si="339"/>
        <v/>
      </c>
      <c r="VJJ116" s="77" t="str">
        <f t="shared" si="339"/>
        <v/>
      </c>
      <c r="VJK116" s="77" t="str">
        <f t="shared" ref="VJK116:VLV116" si="340">IF(ISNUMBER(outYear),VJK69+VJK75+VJK81+VJK113,"")</f>
        <v/>
      </c>
      <c r="VJL116" s="77" t="str">
        <f t="shared" si="340"/>
        <v/>
      </c>
      <c r="VJM116" s="77" t="str">
        <f t="shared" si="340"/>
        <v/>
      </c>
      <c r="VJN116" s="77" t="str">
        <f t="shared" si="340"/>
        <v/>
      </c>
      <c r="VJO116" s="77" t="str">
        <f t="shared" si="340"/>
        <v/>
      </c>
      <c r="VJP116" s="77" t="str">
        <f t="shared" si="340"/>
        <v/>
      </c>
      <c r="VJQ116" s="77" t="str">
        <f t="shared" si="340"/>
        <v/>
      </c>
      <c r="VJR116" s="77" t="str">
        <f t="shared" si="340"/>
        <v/>
      </c>
      <c r="VJS116" s="77" t="str">
        <f t="shared" si="340"/>
        <v/>
      </c>
      <c r="VJT116" s="77" t="str">
        <f t="shared" si="340"/>
        <v/>
      </c>
      <c r="VJU116" s="77" t="str">
        <f t="shared" si="340"/>
        <v/>
      </c>
      <c r="VJV116" s="77" t="str">
        <f t="shared" si="340"/>
        <v/>
      </c>
      <c r="VJW116" s="77" t="str">
        <f t="shared" si="340"/>
        <v/>
      </c>
      <c r="VJX116" s="77" t="str">
        <f t="shared" si="340"/>
        <v/>
      </c>
      <c r="VJY116" s="77" t="str">
        <f t="shared" si="340"/>
        <v/>
      </c>
      <c r="VJZ116" s="77" t="str">
        <f t="shared" si="340"/>
        <v/>
      </c>
      <c r="VKA116" s="77" t="str">
        <f t="shared" si="340"/>
        <v/>
      </c>
      <c r="VKB116" s="77" t="str">
        <f t="shared" si="340"/>
        <v/>
      </c>
      <c r="VKC116" s="77" t="str">
        <f t="shared" si="340"/>
        <v/>
      </c>
      <c r="VKD116" s="77" t="str">
        <f t="shared" si="340"/>
        <v/>
      </c>
      <c r="VKE116" s="77" t="str">
        <f t="shared" si="340"/>
        <v/>
      </c>
      <c r="VKF116" s="77" t="str">
        <f t="shared" si="340"/>
        <v/>
      </c>
      <c r="VKG116" s="77" t="str">
        <f t="shared" si="340"/>
        <v/>
      </c>
      <c r="VKH116" s="77" t="str">
        <f t="shared" si="340"/>
        <v/>
      </c>
      <c r="VKI116" s="77" t="str">
        <f t="shared" si="340"/>
        <v/>
      </c>
      <c r="VKJ116" s="77" t="str">
        <f t="shared" si="340"/>
        <v/>
      </c>
      <c r="VKK116" s="77" t="str">
        <f t="shared" si="340"/>
        <v/>
      </c>
      <c r="VKL116" s="77" t="str">
        <f t="shared" si="340"/>
        <v/>
      </c>
      <c r="VKM116" s="77" t="str">
        <f t="shared" si="340"/>
        <v/>
      </c>
      <c r="VKN116" s="77" t="str">
        <f t="shared" si="340"/>
        <v/>
      </c>
      <c r="VKO116" s="77" t="str">
        <f t="shared" si="340"/>
        <v/>
      </c>
      <c r="VKP116" s="77" t="str">
        <f t="shared" si="340"/>
        <v/>
      </c>
      <c r="VKQ116" s="77" t="str">
        <f t="shared" si="340"/>
        <v/>
      </c>
      <c r="VKR116" s="77" t="str">
        <f t="shared" si="340"/>
        <v/>
      </c>
      <c r="VKS116" s="77" t="str">
        <f t="shared" si="340"/>
        <v/>
      </c>
      <c r="VKT116" s="77" t="str">
        <f t="shared" si="340"/>
        <v/>
      </c>
      <c r="VKU116" s="77" t="str">
        <f t="shared" si="340"/>
        <v/>
      </c>
      <c r="VKV116" s="77" t="str">
        <f t="shared" si="340"/>
        <v/>
      </c>
      <c r="VKW116" s="77" t="str">
        <f t="shared" si="340"/>
        <v/>
      </c>
      <c r="VKX116" s="77" t="str">
        <f t="shared" si="340"/>
        <v/>
      </c>
      <c r="VKY116" s="77" t="str">
        <f t="shared" si="340"/>
        <v/>
      </c>
      <c r="VKZ116" s="77" t="str">
        <f t="shared" si="340"/>
        <v/>
      </c>
      <c r="VLA116" s="77" t="str">
        <f t="shared" si="340"/>
        <v/>
      </c>
      <c r="VLB116" s="77" t="str">
        <f t="shared" si="340"/>
        <v/>
      </c>
      <c r="VLC116" s="77" t="str">
        <f t="shared" si="340"/>
        <v/>
      </c>
      <c r="VLD116" s="77" t="str">
        <f t="shared" si="340"/>
        <v/>
      </c>
      <c r="VLE116" s="77" t="str">
        <f t="shared" si="340"/>
        <v/>
      </c>
      <c r="VLF116" s="77" t="str">
        <f t="shared" si="340"/>
        <v/>
      </c>
      <c r="VLG116" s="77" t="str">
        <f t="shared" si="340"/>
        <v/>
      </c>
      <c r="VLH116" s="77" t="str">
        <f t="shared" si="340"/>
        <v/>
      </c>
      <c r="VLI116" s="77" t="str">
        <f t="shared" si="340"/>
        <v/>
      </c>
      <c r="VLJ116" s="77" t="str">
        <f t="shared" si="340"/>
        <v/>
      </c>
      <c r="VLK116" s="77" t="str">
        <f t="shared" si="340"/>
        <v/>
      </c>
      <c r="VLL116" s="77" t="str">
        <f t="shared" si="340"/>
        <v/>
      </c>
      <c r="VLM116" s="77" t="str">
        <f t="shared" si="340"/>
        <v/>
      </c>
      <c r="VLN116" s="77" t="str">
        <f t="shared" si="340"/>
        <v/>
      </c>
      <c r="VLO116" s="77" t="str">
        <f t="shared" si="340"/>
        <v/>
      </c>
      <c r="VLP116" s="77" t="str">
        <f t="shared" si="340"/>
        <v/>
      </c>
      <c r="VLQ116" s="77" t="str">
        <f t="shared" si="340"/>
        <v/>
      </c>
      <c r="VLR116" s="77" t="str">
        <f t="shared" si="340"/>
        <v/>
      </c>
      <c r="VLS116" s="77" t="str">
        <f t="shared" si="340"/>
        <v/>
      </c>
      <c r="VLT116" s="77" t="str">
        <f t="shared" si="340"/>
        <v/>
      </c>
      <c r="VLU116" s="77" t="str">
        <f t="shared" si="340"/>
        <v/>
      </c>
      <c r="VLV116" s="77" t="str">
        <f t="shared" si="340"/>
        <v/>
      </c>
      <c r="VLW116" s="77" t="str">
        <f t="shared" ref="VLW116:VOH116" si="341">IF(ISNUMBER(outYear),VLW69+VLW75+VLW81+VLW113,"")</f>
        <v/>
      </c>
      <c r="VLX116" s="77" t="str">
        <f t="shared" si="341"/>
        <v/>
      </c>
      <c r="VLY116" s="77" t="str">
        <f t="shared" si="341"/>
        <v/>
      </c>
      <c r="VLZ116" s="77" t="str">
        <f t="shared" si="341"/>
        <v/>
      </c>
      <c r="VMA116" s="77" t="str">
        <f t="shared" si="341"/>
        <v/>
      </c>
      <c r="VMB116" s="77" t="str">
        <f t="shared" si="341"/>
        <v/>
      </c>
      <c r="VMC116" s="77" t="str">
        <f t="shared" si="341"/>
        <v/>
      </c>
      <c r="VMD116" s="77" t="str">
        <f t="shared" si="341"/>
        <v/>
      </c>
      <c r="VME116" s="77" t="str">
        <f t="shared" si="341"/>
        <v/>
      </c>
      <c r="VMF116" s="77" t="str">
        <f t="shared" si="341"/>
        <v/>
      </c>
      <c r="VMG116" s="77" t="str">
        <f t="shared" si="341"/>
        <v/>
      </c>
      <c r="VMH116" s="77" t="str">
        <f t="shared" si="341"/>
        <v/>
      </c>
      <c r="VMI116" s="77" t="str">
        <f t="shared" si="341"/>
        <v/>
      </c>
      <c r="VMJ116" s="77" t="str">
        <f t="shared" si="341"/>
        <v/>
      </c>
      <c r="VMK116" s="77" t="str">
        <f t="shared" si="341"/>
        <v/>
      </c>
      <c r="VML116" s="77" t="str">
        <f t="shared" si="341"/>
        <v/>
      </c>
      <c r="VMM116" s="77" t="str">
        <f t="shared" si="341"/>
        <v/>
      </c>
      <c r="VMN116" s="77" t="str">
        <f t="shared" si="341"/>
        <v/>
      </c>
      <c r="VMO116" s="77" t="str">
        <f t="shared" si="341"/>
        <v/>
      </c>
      <c r="VMP116" s="77" t="str">
        <f t="shared" si="341"/>
        <v/>
      </c>
      <c r="VMQ116" s="77" t="str">
        <f t="shared" si="341"/>
        <v/>
      </c>
      <c r="VMR116" s="77" t="str">
        <f t="shared" si="341"/>
        <v/>
      </c>
      <c r="VMS116" s="77" t="str">
        <f t="shared" si="341"/>
        <v/>
      </c>
      <c r="VMT116" s="77" t="str">
        <f t="shared" si="341"/>
        <v/>
      </c>
      <c r="VMU116" s="77" t="str">
        <f t="shared" si="341"/>
        <v/>
      </c>
      <c r="VMV116" s="77" t="str">
        <f t="shared" si="341"/>
        <v/>
      </c>
      <c r="VMW116" s="77" t="str">
        <f t="shared" si="341"/>
        <v/>
      </c>
      <c r="VMX116" s="77" t="str">
        <f t="shared" si="341"/>
        <v/>
      </c>
      <c r="VMY116" s="77" t="str">
        <f t="shared" si="341"/>
        <v/>
      </c>
      <c r="VMZ116" s="77" t="str">
        <f t="shared" si="341"/>
        <v/>
      </c>
      <c r="VNA116" s="77" t="str">
        <f t="shared" si="341"/>
        <v/>
      </c>
      <c r="VNB116" s="77" t="str">
        <f t="shared" si="341"/>
        <v/>
      </c>
      <c r="VNC116" s="77" t="str">
        <f t="shared" si="341"/>
        <v/>
      </c>
      <c r="VND116" s="77" t="str">
        <f t="shared" si="341"/>
        <v/>
      </c>
      <c r="VNE116" s="77" t="str">
        <f t="shared" si="341"/>
        <v/>
      </c>
      <c r="VNF116" s="77" t="str">
        <f t="shared" si="341"/>
        <v/>
      </c>
      <c r="VNG116" s="77" t="str">
        <f t="shared" si="341"/>
        <v/>
      </c>
      <c r="VNH116" s="77" t="str">
        <f t="shared" si="341"/>
        <v/>
      </c>
      <c r="VNI116" s="77" t="str">
        <f t="shared" si="341"/>
        <v/>
      </c>
      <c r="VNJ116" s="77" t="str">
        <f t="shared" si="341"/>
        <v/>
      </c>
      <c r="VNK116" s="77" t="str">
        <f t="shared" si="341"/>
        <v/>
      </c>
      <c r="VNL116" s="77" t="str">
        <f t="shared" si="341"/>
        <v/>
      </c>
      <c r="VNM116" s="77" t="str">
        <f t="shared" si="341"/>
        <v/>
      </c>
      <c r="VNN116" s="77" t="str">
        <f t="shared" si="341"/>
        <v/>
      </c>
      <c r="VNO116" s="77" t="str">
        <f t="shared" si="341"/>
        <v/>
      </c>
      <c r="VNP116" s="77" t="str">
        <f t="shared" si="341"/>
        <v/>
      </c>
      <c r="VNQ116" s="77" t="str">
        <f t="shared" si="341"/>
        <v/>
      </c>
      <c r="VNR116" s="77" t="str">
        <f t="shared" si="341"/>
        <v/>
      </c>
      <c r="VNS116" s="77" t="str">
        <f t="shared" si="341"/>
        <v/>
      </c>
      <c r="VNT116" s="77" t="str">
        <f t="shared" si="341"/>
        <v/>
      </c>
      <c r="VNU116" s="77" t="str">
        <f t="shared" si="341"/>
        <v/>
      </c>
      <c r="VNV116" s="77" t="str">
        <f t="shared" si="341"/>
        <v/>
      </c>
      <c r="VNW116" s="77" t="str">
        <f t="shared" si="341"/>
        <v/>
      </c>
      <c r="VNX116" s="77" t="str">
        <f t="shared" si="341"/>
        <v/>
      </c>
      <c r="VNY116" s="77" t="str">
        <f t="shared" si="341"/>
        <v/>
      </c>
      <c r="VNZ116" s="77" t="str">
        <f t="shared" si="341"/>
        <v/>
      </c>
      <c r="VOA116" s="77" t="str">
        <f t="shared" si="341"/>
        <v/>
      </c>
      <c r="VOB116" s="77" t="str">
        <f t="shared" si="341"/>
        <v/>
      </c>
      <c r="VOC116" s="77" t="str">
        <f t="shared" si="341"/>
        <v/>
      </c>
      <c r="VOD116" s="77" t="str">
        <f t="shared" si="341"/>
        <v/>
      </c>
      <c r="VOE116" s="77" t="str">
        <f t="shared" si="341"/>
        <v/>
      </c>
      <c r="VOF116" s="77" t="str">
        <f t="shared" si="341"/>
        <v/>
      </c>
      <c r="VOG116" s="77" t="str">
        <f t="shared" si="341"/>
        <v/>
      </c>
      <c r="VOH116" s="77" t="str">
        <f t="shared" si="341"/>
        <v/>
      </c>
      <c r="VOI116" s="77" t="str">
        <f t="shared" ref="VOI116:VQT116" si="342">IF(ISNUMBER(outYear),VOI69+VOI75+VOI81+VOI113,"")</f>
        <v/>
      </c>
      <c r="VOJ116" s="77" t="str">
        <f t="shared" si="342"/>
        <v/>
      </c>
      <c r="VOK116" s="77" t="str">
        <f t="shared" si="342"/>
        <v/>
      </c>
      <c r="VOL116" s="77" t="str">
        <f t="shared" si="342"/>
        <v/>
      </c>
      <c r="VOM116" s="77" t="str">
        <f t="shared" si="342"/>
        <v/>
      </c>
      <c r="VON116" s="77" t="str">
        <f t="shared" si="342"/>
        <v/>
      </c>
      <c r="VOO116" s="77" t="str">
        <f t="shared" si="342"/>
        <v/>
      </c>
      <c r="VOP116" s="77" t="str">
        <f t="shared" si="342"/>
        <v/>
      </c>
      <c r="VOQ116" s="77" t="str">
        <f t="shared" si="342"/>
        <v/>
      </c>
      <c r="VOR116" s="77" t="str">
        <f t="shared" si="342"/>
        <v/>
      </c>
      <c r="VOS116" s="77" t="str">
        <f t="shared" si="342"/>
        <v/>
      </c>
      <c r="VOT116" s="77" t="str">
        <f t="shared" si="342"/>
        <v/>
      </c>
      <c r="VOU116" s="77" t="str">
        <f t="shared" si="342"/>
        <v/>
      </c>
      <c r="VOV116" s="77" t="str">
        <f t="shared" si="342"/>
        <v/>
      </c>
      <c r="VOW116" s="77" t="str">
        <f t="shared" si="342"/>
        <v/>
      </c>
      <c r="VOX116" s="77" t="str">
        <f t="shared" si="342"/>
        <v/>
      </c>
      <c r="VOY116" s="77" t="str">
        <f t="shared" si="342"/>
        <v/>
      </c>
      <c r="VOZ116" s="77" t="str">
        <f t="shared" si="342"/>
        <v/>
      </c>
      <c r="VPA116" s="77" t="str">
        <f t="shared" si="342"/>
        <v/>
      </c>
      <c r="VPB116" s="77" t="str">
        <f t="shared" si="342"/>
        <v/>
      </c>
      <c r="VPC116" s="77" t="str">
        <f t="shared" si="342"/>
        <v/>
      </c>
      <c r="VPD116" s="77" t="str">
        <f t="shared" si="342"/>
        <v/>
      </c>
      <c r="VPE116" s="77" t="str">
        <f t="shared" si="342"/>
        <v/>
      </c>
      <c r="VPF116" s="77" t="str">
        <f t="shared" si="342"/>
        <v/>
      </c>
      <c r="VPG116" s="77" t="str">
        <f t="shared" si="342"/>
        <v/>
      </c>
      <c r="VPH116" s="77" t="str">
        <f t="shared" si="342"/>
        <v/>
      </c>
      <c r="VPI116" s="77" t="str">
        <f t="shared" si="342"/>
        <v/>
      </c>
      <c r="VPJ116" s="77" t="str">
        <f t="shared" si="342"/>
        <v/>
      </c>
      <c r="VPK116" s="77" t="str">
        <f t="shared" si="342"/>
        <v/>
      </c>
      <c r="VPL116" s="77" t="str">
        <f t="shared" si="342"/>
        <v/>
      </c>
      <c r="VPM116" s="77" t="str">
        <f t="shared" si="342"/>
        <v/>
      </c>
      <c r="VPN116" s="77" t="str">
        <f t="shared" si="342"/>
        <v/>
      </c>
      <c r="VPO116" s="77" t="str">
        <f t="shared" si="342"/>
        <v/>
      </c>
      <c r="VPP116" s="77" t="str">
        <f t="shared" si="342"/>
        <v/>
      </c>
      <c r="VPQ116" s="77" t="str">
        <f t="shared" si="342"/>
        <v/>
      </c>
      <c r="VPR116" s="77" t="str">
        <f t="shared" si="342"/>
        <v/>
      </c>
      <c r="VPS116" s="77" t="str">
        <f t="shared" si="342"/>
        <v/>
      </c>
      <c r="VPT116" s="77" t="str">
        <f t="shared" si="342"/>
        <v/>
      </c>
      <c r="VPU116" s="77" t="str">
        <f t="shared" si="342"/>
        <v/>
      </c>
      <c r="VPV116" s="77" t="str">
        <f t="shared" si="342"/>
        <v/>
      </c>
      <c r="VPW116" s="77" t="str">
        <f t="shared" si="342"/>
        <v/>
      </c>
      <c r="VPX116" s="77" t="str">
        <f t="shared" si="342"/>
        <v/>
      </c>
      <c r="VPY116" s="77" t="str">
        <f t="shared" si="342"/>
        <v/>
      </c>
      <c r="VPZ116" s="77" t="str">
        <f t="shared" si="342"/>
        <v/>
      </c>
      <c r="VQA116" s="77" t="str">
        <f t="shared" si="342"/>
        <v/>
      </c>
      <c r="VQB116" s="77" t="str">
        <f t="shared" si="342"/>
        <v/>
      </c>
      <c r="VQC116" s="77" t="str">
        <f t="shared" si="342"/>
        <v/>
      </c>
      <c r="VQD116" s="77" t="str">
        <f t="shared" si="342"/>
        <v/>
      </c>
      <c r="VQE116" s="77" t="str">
        <f t="shared" si="342"/>
        <v/>
      </c>
      <c r="VQF116" s="77" t="str">
        <f t="shared" si="342"/>
        <v/>
      </c>
      <c r="VQG116" s="77" t="str">
        <f t="shared" si="342"/>
        <v/>
      </c>
      <c r="VQH116" s="77" t="str">
        <f t="shared" si="342"/>
        <v/>
      </c>
      <c r="VQI116" s="77" t="str">
        <f t="shared" si="342"/>
        <v/>
      </c>
      <c r="VQJ116" s="77" t="str">
        <f t="shared" si="342"/>
        <v/>
      </c>
      <c r="VQK116" s="77" t="str">
        <f t="shared" si="342"/>
        <v/>
      </c>
      <c r="VQL116" s="77" t="str">
        <f t="shared" si="342"/>
        <v/>
      </c>
      <c r="VQM116" s="77" t="str">
        <f t="shared" si="342"/>
        <v/>
      </c>
      <c r="VQN116" s="77" t="str">
        <f t="shared" si="342"/>
        <v/>
      </c>
      <c r="VQO116" s="77" t="str">
        <f t="shared" si="342"/>
        <v/>
      </c>
      <c r="VQP116" s="77" t="str">
        <f t="shared" si="342"/>
        <v/>
      </c>
      <c r="VQQ116" s="77" t="str">
        <f t="shared" si="342"/>
        <v/>
      </c>
      <c r="VQR116" s="77" t="str">
        <f t="shared" si="342"/>
        <v/>
      </c>
      <c r="VQS116" s="77" t="str">
        <f t="shared" si="342"/>
        <v/>
      </c>
      <c r="VQT116" s="77" t="str">
        <f t="shared" si="342"/>
        <v/>
      </c>
      <c r="VQU116" s="77" t="str">
        <f t="shared" ref="VQU116:VTF116" si="343">IF(ISNUMBER(outYear),VQU69+VQU75+VQU81+VQU113,"")</f>
        <v/>
      </c>
      <c r="VQV116" s="77" t="str">
        <f t="shared" si="343"/>
        <v/>
      </c>
      <c r="VQW116" s="77" t="str">
        <f t="shared" si="343"/>
        <v/>
      </c>
      <c r="VQX116" s="77" t="str">
        <f t="shared" si="343"/>
        <v/>
      </c>
      <c r="VQY116" s="77" t="str">
        <f t="shared" si="343"/>
        <v/>
      </c>
      <c r="VQZ116" s="77" t="str">
        <f t="shared" si="343"/>
        <v/>
      </c>
      <c r="VRA116" s="77" t="str">
        <f t="shared" si="343"/>
        <v/>
      </c>
      <c r="VRB116" s="77" t="str">
        <f t="shared" si="343"/>
        <v/>
      </c>
      <c r="VRC116" s="77" t="str">
        <f t="shared" si="343"/>
        <v/>
      </c>
      <c r="VRD116" s="77" t="str">
        <f t="shared" si="343"/>
        <v/>
      </c>
      <c r="VRE116" s="77" t="str">
        <f t="shared" si="343"/>
        <v/>
      </c>
      <c r="VRF116" s="77" t="str">
        <f t="shared" si="343"/>
        <v/>
      </c>
      <c r="VRG116" s="77" t="str">
        <f t="shared" si="343"/>
        <v/>
      </c>
      <c r="VRH116" s="77" t="str">
        <f t="shared" si="343"/>
        <v/>
      </c>
      <c r="VRI116" s="77" t="str">
        <f t="shared" si="343"/>
        <v/>
      </c>
      <c r="VRJ116" s="77" t="str">
        <f t="shared" si="343"/>
        <v/>
      </c>
      <c r="VRK116" s="77" t="str">
        <f t="shared" si="343"/>
        <v/>
      </c>
      <c r="VRL116" s="77" t="str">
        <f t="shared" si="343"/>
        <v/>
      </c>
      <c r="VRM116" s="77" t="str">
        <f t="shared" si="343"/>
        <v/>
      </c>
      <c r="VRN116" s="77" t="str">
        <f t="shared" si="343"/>
        <v/>
      </c>
      <c r="VRO116" s="77" t="str">
        <f t="shared" si="343"/>
        <v/>
      </c>
      <c r="VRP116" s="77" t="str">
        <f t="shared" si="343"/>
        <v/>
      </c>
      <c r="VRQ116" s="77" t="str">
        <f t="shared" si="343"/>
        <v/>
      </c>
      <c r="VRR116" s="77" t="str">
        <f t="shared" si="343"/>
        <v/>
      </c>
      <c r="VRS116" s="77" t="str">
        <f t="shared" si="343"/>
        <v/>
      </c>
      <c r="VRT116" s="77" t="str">
        <f t="shared" si="343"/>
        <v/>
      </c>
      <c r="VRU116" s="77" t="str">
        <f t="shared" si="343"/>
        <v/>
      </c>
      <c r="VRV116" s="77" t="str">
        <f t="shared" si="343"/>
        <v/>
      </c>
      <c r="VRW116" s="77" t="str">
        <f t="shared" si="343"/>
        <v/>
      </c>
      <c r="VRX116" s="77" t="str">
        <f t="shared" si="343"/>
        <v/>
      </c>
      <c r="VRY116" s="77" t="str">
        <f t="shared" si="343"/>
        <v/>
      </c>
      <c r="VRZ116" s="77" t="str">
        <f t="shared" si="343"/>
        <v/>
      </c>
      <c r="VSA116" s="77" t="str">
        <f t="shared" si="343"/>
        <v/>
      </c>
      <c r="VSB116" s="77" t="str">
        <f t="shared" si="343"/>
        <v/>
      </c>
      <c r="VSC116" s="77" t="str">
        <f t="shared" si="343"/>
        <v/>
      </c>
      <c r="VSD116" s="77" t="str">
        <f t="shared" si="343"/>
        <v/>
      </c>
      <c r="VSE116" s="77" t="str">
        <f t="shared" si="343"/>
        <v/>
      </c>
      <c r="VSF116" s="77" t="str">
        <f t="shared" si="343"/>
        <v/>
      </c>
      <c r="VSG116" s="77" t="str">
        <f t="shared" si="343"/>
        <v/>
      </c>
      <c r="VSH116" s="77" t="str">
        <f t="shared" si="343"/>
        <v/>
      </c>
      <c r="VSI116" s="77" t="str">
        <f t="shared" si="343"/>
        <v/>
      </c>
      <c r="VSJ116" s="77" t="str">
        <f t="shared" si="343"/>
        <v/>
      </c>
      <c r="VSK116" s="77" t="str">
        <f t="shared" si="343"/>
        <v/>
      </c>
      <c r="VSL116" s="77" t="str">
        <f t="shared" si="343"/>
        <v/>
      </c>
      <c r="VSM116" s="77" t="str">
        <f t="shared" si="343"/>
        <v/>
      </c>
      <c r="VSN116" s="77" t="str">
        <f t="shared" si="343"/>
        <v/>
      </c>
      <c r="VSO116" s="77" t="str">
        <f t="shared" si="343"/>
        <v/>
      </c>
      <c r="VSP116" s="77" t="str">
        <f t="shared" si="343"/>
        <v/>
      </c>
      <c r="VSQ116" s="77" t="str">
        <f t="shared" si="343"/>
        <v/>
      </c>
      <c r="VSR116" s="77" t="str">
        <f t="shared" si="343"/>
        <v/>
      </c>
      <c r="VSS116" s="77" t="str">
        <f t="shared" si="343"/>
        <v/>
      </c>
      <c r="VST116" s="77" t="str">
        <f t="shared" si="343"/>
        <v/>
      </c>
      <c r="VSU116" s="77" t="str">
        <f t="shared" si="343"/>
        <v/>
      </c>
      <c r="VSV116" s="77" t="str">
        <f t="shared" si="343"/>
        <v/>
      </c>
      <c r="VSW116" s="77" t="str">
        <f t="shared" si="343"/>
        <v/>
      </c>
      <c r="VSX116" s="77" t="str">
        <f t="shared" si="343"/>
        <v/>
      </c>
      <c r="VSY116" s="77" t="str">
        <f t="shared" si="343"/>
        <v/>
      </c>
      <c r="VSZ116" s="77" t="str">
        <f t="shared" si="343"/>
        <v/>
      </c>
      <c r="VTA116" s="77" t="str">
        <f t="shared" si="343"/>
        <v/>
      </c>
      <c r="VTB116" s="77" t="str">
        <f t="shared" si="343"/>
        <v/>
      </c>
      <c r="VTC116" s="77" t="str">
        <f t="shared" si="343"/>
        <v/>
      </c>
      <c r="VTD116" s="77" t="str">
        <f t="shared" si="343"/>
        <v/>
      </c>
      <c r="VTE116" s="77" t="str">
        <f t="shared" si="343"/>
        <v/>
      </c>
      <c r="VTF116" s="77" t="str">
        <f t="shared" si="343"/>
        <v/>
      </c>
      <c r="VTG116" s="77" t="str">
        <f t="shared" ref="VTG116:VVR116" si="344">IF(ISNUMBER(outYear),VTG69+VTG75+VTG81+VTG113,"")</f>
        <v/>
      </c>
      <c r="VTH116" s="77" t="str">
        <f t="shared" si="344"/>
        <v/>
      </c>
      <c r="VTI116" s="77" t="str">
        <f t="shared" si="344"/>
        <v/>
      </c>
      <c r="VTJ116" s="77" t="str">
        <f t="shared" si="344"/>
        <v/>
      </c>
      <c r="VTK116" s="77" t="str">
        <f t="shared" si="344"/>
        <v/>
      </c>
      <c r="VTL116" s="77" t="str">
        <f t="shared" si="344"/>
        <v/>
      </c>
      <c r="VTM116" s="77" t="str">
        <f t="shared" si="344"/>
        <v/>
      </c>
      <c r="VTN116" s="77" t="str">
        <f t="shared" si="344"/>
        <v/>
      </c>
      <c r="VTO116" s="77" t="str">
        <f t="shared" si="344"/>
        <v/>
      </c>
      <c r="VTP116" s="77" t="str">
        <f t="shared" si="344"/>
        <v/>
      </c>
      <c r="VTQ116" s="77" t="str">
        <f t="shared" si="344"/>
        <v/>
      </c>
      <c r="VTR116" s="77" t="str">
        <f t="shared" si="344"/>
        <v/>
      </c>
      <c r="VTS116" s="77" t="str">
        <f t="shared" si="344"/>
        <v/>
      </c>
      <c r="VTT116" s="77" t="str">
        <f t="shared" si="344"/>
        <v/>
      </c>
      <c r="VTU116" s="77" t="str">
        <f t="shared" si="344"/>
        <v/>
      </c>
      <c r="VTV116" s="77" t="str">
        <f t="shared" si="344"/>
        <v/>
      </c>
      <c r="VTW116" s="77" t="str">
        <f t="shared" si="344"/>
        <v/>
      </c>
      <c r="VTX116" s="77" t="str">
        <f t="shared" si="344"/>
        <v/>
      </c>
      <c r="VTY116" s="77" t="str">
        <f t="shared" si="344"/>
        <v/>
      </c>
      <c r="VTZ116" s="77" t="str">
        <f t="shared" si="344"/>
        <v/>
      </c>
      <c r="VUA116" s="77" t="str">
        <f t="shared" si="344"/>
        <v/>
      </c>
      <c r="VUB116" s="77" t="str">
        <f t="shared" si="344"/>
        <v/>
      </c>
      <c r="VUC116" s="77" t="str">
        <f t="shared" si="344"/>
        <v/>
      </c>
      <c r="VUD116" s="77" t="str">
        <f t="shared" si="344"/>
        <v/>
      </c>
      <c r="VUE116" s="77" t="str">
        <f t="shared" si="344"/>
        <v/>
      </c>
      <c r="VUF116" s="77" t="str">
        <f t="shared" si="344"/>
        <v/>
      </c>
      <c r="VUG116" s="77" t="str">
        <f t="shared" si="344"/>
        <v/>
      </c>
      <c r="VUH116" s="77" t="str">
        <f t="shared" si="344"/>
        <v/>
      </c>
      <c r="VUI116" s="77" t="str">
        <f t="shared" si="344"/>
        <v/>
      </c>
      <c r="VUJ116" s="77" t="str">
        <f t="shared" si="344"/>
        <v/>
      </c>
      <c r="VUK116" s="77" t="str">
        <f t="shared" si="344"/>
        <v/>
      </c>
      <c r="VUL116" s="77" t="str">
        <f t="shared" si="344"/>
        <v/>
      </c>
      <c r="VUM116" s="77" t="str">
        <f t="shared" si="344"/>
        <v/>
      </c>
      <c r="VUN116" s="77" t="str">
        <f t="shared" si="344"/>
        <v/>
      </c>
      <c r="VUO116" s="77" t="str">
        <f t="shared" si="344"/>
        <v/>
      </c>
      <c r="VUP116" s="77" t="str">
        <f t="shared" si="344"/>
        <v/>
      </c>
      <c r="VUQ116" s="77" t="str">
        <f t="shared" si="344"/>
        <v/>
      </c>
      <c r="VUR116" s="77" t="str">
        <f t="shared" si="344"/>
        <v/>
      </c>
      <c r="VUS116" s="77" t="str">
        <f t="shared" si="344"/>
        <v/>
      </c>
      <c r="VUT116" s="77" t="str">
        <f t="shared" si="344"/>
        <v/>
      </c>
      <c r="VUU116" s="77" t="str">
        <f t="shared" si="344"/>
        <v/>
      </c>
      <c r="VUV116" s="77" t="str">
        <f t="shared" si="344"/>
        <v/>
      </c>
      <c r="VUW116" s="77" t="str">
        <f t="shared" si="344"/>
        <v/>
      </c>
      <c r="VUX116" s="77" t="str">
        <f t="shared" si="344"/>
        <v/>
      </c>
      <c r="VUY116" s="77" t="str">
        <f t="shared" si="344"/>
        <v/>
      </c>
      <c r="VUZ116" s="77" t="str">
        <f t="shared" si="344"/>
        <v/>
      </c>
      <c r="VVA116" s="77" t="str">
        <f t="shared" si="344"/>
        <v/>
      </c>
      <c r="VVB116" s="77" t="str">
        <f t="shared" si="344"/>
        <v/>
      </c>
      <c r="VVC116" s="77" t="str">
        <f t="shared" si="344"/>
        <v/>
      </c>
      <c r="VVD116" s="77" t="str">
        <f t="shared" si="344"/>
        <v/>
      </c>
      <c r="VVE116" s="77" t="str">
        <f t="shared" si="344"/>
        <v/>
      </c>
      <c r="VVF116" s="77" t="str">
        <f t="shared" si="344"/>
        <v/>
      </c>
      <c r="VVG116" s="77" t="str">
        <f t="shared" si="344"/>
        <v/>
      </c>
      <c r="VVH116" s="77" t="str">
        <f t="shared" si="344"/>
        <v/>
      </c>
      <c r="VVI116" s="77" t="str">
        <f t="shared" si="344"/>
        <v/>
      </c>
      <c r="VVJ116" s="77" t="str">
        <f t="shared" si="344"/>
        <v/>
      </c>
      <c r="VVK116" s="77" t="str">
        <f t="shared" si="344"/>
        <v/>
      </c>
      <c r="VVL116" s="77" t="str">
        <f t="shared" si="344"/>
        <v/>
      </c>
      <c r="VVM116" s="77" t="str">
        <f t="shared" si="344"/>
        <v/>
      </c>
      <c r="VVN116" s="77" t="str">
        <f t="shared" si="344"/>
        <v/>
      </c>
      <c r="VVO116" s="77" t="str">
        <f t="shared" si="344"/>
        <v/>
      </c>
      <c r="VVP116" s="77" t="str">
        <f t="shared" si="344"/>
        <v/>
      </c>
      <c r="VVQ116" s="77" t="str">
        <f t="shared" si="344"/>
        <v/>
      </c>
      <c r="VVR116" s="77" t="str">
        <f t="shared" si="344"/>
        <v/>
      </c>
      <c r="VVS116" s="77" t="str">
        <f t="shared" ref="VVS116:VYD116" si="345">IF(ISNUMBER(outYear),VVS69+VVS75+VVS81+VVS113,"")</f>
        <v/>
      </c>
      <c r="VVT116" s="77" t="str">
        <f t="shared" si="345"/>
        <v/>
      </c>
      <c r="VVU116" s="77" t="str">
        <f t="shared" si="345"/>
        <v/>
      </c>
      <c r="VVV116" s="77" t="str">
        <f t="shared" si="345"/>
        <v/>
      </c>
      <c r="VVW116" s="77" t="str">
        <f t="shared" si="345"/>
        <v/>
      </c>
      <c r="VVX116" s="77" t="str">
        <f t="shared" si="345"/>
        <v/>
      </c>
      <c r="VVY116" s="77" t="str">
        <f t="shared" si="345"/>
        <v/>
      </c>
      <c r="VVZ116" s="77" t="str">
        <f t="shared" si="345"/>
        <v/>
      </c>
      <c r="VWA116" s="77" t="str">
        <f t="shared" si="345"/>
        <v/>
      </c>
      <c r="VWB116" s="77" t="str">
        <f t="shared" si="345"/>
        <v/>
      </c>
      <c r="VWC116" s="77" t="str">
        <f t="shared" si="345"/>
        <v/>
      </c>
      <c r="VWD116" s="77" t="str">
        <f t="shared" si="345"/>
        <v/>
      </c>
      <c r="VWE116" s="77" t="str">
        <f t="shared" si="345"/>
        <v/>
      </c>
      <c r="VWF116" s="77" t="str">
        <f t="shared" si="345"/>
        <v/>
      </c>
      <c r="VWG116" s="77" t="str">
        <f t="shared" si="345"/>
        <v/>
      </c>
      <c r="VWH116" s="77" t="str">
        <f t="shared" si="345"/>
        <v/>
      </c>
      <c r="VWI116" s="77" t="str">
        <f t="shared" si="345"/>
        <v/>
      </c>
      <c r="VWJ116" s="77" t="str">
        <f t="shared" si="345"/>
        <v/>
      </c>
      <c r="VWK116" s="77" t="str">
        <f t="shared" si="345"/>
        <v/>
      </c>
      <c r="VWL116" s="77" t="str">
        <f t="shared" si="345"/>
        <v/>
      </c>
      <c r="VWM116" s="77" t="str">
        <f t="shared" si="345"/>
        <v/>
      </c>
      <c r="VWN116" s="77" t="str">
        <f t="shared" si="345"/>
        <v/>
      </c>
      <c r="VWO116" s="77" t="str">
        <f t="shared" si="345"/>
        <v/>
      </c>
      <c r="VWP116" s="77" t="str">
        <f t="shared" si="345"/>
        <v/>
      </c>
      <c r="VWQ116" s="77" t="str">
        <f t="shared" si="345"/>
        <v/>
      </c>
      <c r="VWR116" s="77" t="str">
        <f t="shared" si="345"/>
        <v/>
      </c>
      <c r="VWS116" s="77" t="str">
        <f t="shared" si="345"/>
        <v/>
      </c>
      <c r="VWT116" s="77" t="str">
        <f t="shared" si="345"/>
        <v/>
      </c>
      <c r="VWU116" s="77" t="str">
        <f t="shared" si="345"/>
        <v/>
      </c>
      <c r="VWV116" s="77" t="str">
        <f t="shared" si="345"/>
        <v/>
      </c>
      <c r="VWW116" s="77" t="str">
        <f t="shared" si="345"/>
        <v/>
      </c>
      <c r="VWX116" s="77" t="str">
        <f t="shared" si="345"/>
        <v/>
      </c>
      <c r="VWY116" s="77" t="str">
        <f t="shared" si="345"/>
        <v/>
      </c>
      <c r="VWZ116" s="77" t="str">
        <f t="shared" si="345"/>
        <v/>
      </c>
      <c r="VXA116" s="77" t="str">
        <f t="shared" si="345"/>
        <v/>
      </c>
      <c r="VXB116" s="77" t="str">
        <f t="shared" si="345"/>
        <v/>
      </c>
      <c r="VXC116" s="77" t="str">
        <f t="shared" si="345"/>
        <v/>
      </c>
      <c r="VXD116" s="77" t="str">
        <f t="shared" si="345"/>
        <v/>
      </c>
      <c r="VXE116" s="77" t="str">
        <f t="shared" si="345"/>
        <v/>
      </c>
      <c r="VXF116" s="77" t="str">
        <f t="shared" si="345"/>
        <v/>
      </c>
      <c r="VXG116" s="77" t="str">
        <f t="shared" si="345"/>
        <v/>
      </c>
      <c r="VXH116" s="77" t="str">
        <f t="shared" si="345"/>
        <v/>
      </c>
      <c r="VXI116" s="77" t="str">
        <f t="shared" si="345"/>
        <v/>
      </c>
      <c r="VXJ116" s="77" t="str">
        <f t="shared" si="345"/>
        <v/>
      </c>
      <c r="VXK116" s="77" t="str">
        <f t="shared" si="345"/>
        <v/>
      </c>
      <c r="VXL116" s="77" t="str">
        <f t="shared" si="345"/>
        <v/>
      </c>
      <c r="VXM116" s="77" t="str">
        <f t="shared" si="345"/>
        <v/>
      </c>
      <c r="VXN116" s="77" t="str">
        <f t="shared" si="345"/>
        <v/>
      </c>
      <c r="VXO116" s="77" t="str">
        <f t="shared" si="345"/>
        <v/>
      </c>
      <c r="VXP116" s="77" t="str">
        <f t="shared" si="345"/>
        <v/>
      </c>
      <c r="VXQ116" s="77" t="str">
        <f t="shared" si="345"/>
        <v/>
      </c>
      <c r="VXR116" s="77" t="str">
        <f t="shared" si="345"/>
        <v/>
      </c>
      <c r="VXS116" s="77" t="str">
        <f t="shared" si="345"/>
        <v/>
      </c>
      <c r="VXT116" s="77" t="str">
        <f t="shared" si="345"/>
        <v/>
      </c>
      <c r="VXU116" s="77" t="str">
        <f t="shared" si="345"/>
        <v/>
      </c>
      <c r="VXV116" s="77" t="str">
        <f t="shared" si="345"/>
        <v/>
      </c>
      <c r="VXW116" s="77" t="str">
        <f t="shared" si="345"/>
        <v/>
      </c>
      <c r="VXX116" s="77" t="str">
        <f t="shared" si="345"/>
        <v/>
      </c>
      <c r="VXY116" s="77" t="str">
        <f t="shared" si="345"/>
        <v/>
      </c>
      <c r="VXZ116" s="77" t="str">
        <f t="shared" si="345"/>
        <v/>
      </c>
      <c r="VYA116" s="77" t="str">
        <f t="shared" si="345"/>
        <v/>
      </c>
      <c r="VYB116" s="77" t="str">
        <f t="shared" si="345"/>
        <v/>
      </c>
      <c r="VYC116" s="77" t="str">
        <f t="shared" si="345"/>
        <v/>
      </c>
      <c r="VYD116" s="77" t="str">
        <f t="shared" si="345"/>
        <v/>
      </c>
      <c r="VYE116" s="77" t="str">
        <f t="shared" ref="VYE116:WAP116" si="346">IF(ISNUMBER(outYear),VYE69+VYE75+VYE81+VYE113,"")</f>
        <v/>
      </c>
      <c r="VYF116" s="77" t="str">
        <f t="shared" si="346"/>
        <v/>
      </c>
      <c r="VYG116" s="77" t="str">
        <f t="shared" si="346"/>
        <v/>
      </c>
      <c r="VYH116" s="77" t="str">
        <f t="shared" si="346"/>
        <v/>
      </c>
      <c r="VYI116" s="77" t="str">
        <f t="shared" si="346"/>
        <v/>
      </c>
      <c r="VYJ116" s="77" t="str">
        <f t="shared" si="346"/>
        <v/>
      </c>
      <c r="VYK116" s="77" t="str">
        <f t="shared" si="346"/>
        <v/>
      </c>
      <c r="VYL116" s="77" t="str">
        <f t="shared" si="346"/>
        <v/>
      </c>
      <c r="VYM116" s="77" t="str">
        <f t="shared" si="346"/>
        <v/>
      </c>
      <c r="VYN116" s="77" t="str">
        <f t="shared" si="346"/>
        <v/>
      </c>
      <c r="VYO116" s="77" t="str">
        <f t="shared" si="346"/>
        <v/>
      </c>
      <c r="VYP116" s="77" t="str">
        <f t="shared" si="346"/>
        <v/>
      </c>
      <c r="VYQ116" s="77" t="str">
        <f t="shared" si="346"/>
        <v/>
      </c>
      <c r="VYR116" s="77" t="str">
        <f t="shared" si="346"/>
        <v/>
      </c>
      <c r="VYS116" s="77" t="str">
        <f t="shared" si="346"/>
        <v/>
      </c>
      <c r="VYT116" s="77" t="str">
        <f t="shared" si="346"/>
        <v/>
      </c>
      <c r="VYU116" s="77" t="str">
        <f t="shared" si="346"/>
        <v/>
      </c>
      <c r="VYV116" s="77" t="str">
        <f t="shared" si="346"/>
        <v/>
      </c>
      <c r="VYW116" s="77" t="str">
        <f t="shared" si="346"/>
        <v/>
      </c>
      <c r="VYX116" s="77" t="str">
        <f t="shared" si="346"/>
        <v/>
      </c>
      <c r="VYY116" s="77" t="str">
        <f t="shared" si="346"/>
        <v/>
      </c>
      <c r="VYZ116" s="77" t="str">
        <f t="shared" si="346"/>
        <v/>
      </c>
      <c r="VZA116" s="77" t="str">
        <f t="shared" si="346"/>
        <v/>
      </c>
      <c r="VZB116" s="77" t="str">
        <f t="shared" si="346"/>
        <v/>
      </c>
      <c r="VZC116" s="77" t="str">
        <f t="shared" si="346"/>
        <v/>
      </c>
      <c r="VZD116" s="77" t="str">
        <f t="shared" si="346"/>
        <v/>
      </c>
      <c r="VZE116" s="77" t="str">
        <f t="shared" si="346"/>
        <v/>
      </c>
      <c r="VZF116" s="77" t="str">
        <f t="shared" si="346"/>
        <v/>
      </c>
      <c r="VZG116" s="77" t="str">
        <f t="shared" si="346"/>
        <v/>
      </c>
      <c r="VZH116" s="77" t="str">
        <f t="shared" si="346"/>
        <v/>
      </c>
      <c r="VZI116" s="77" t="str">
        <f t="shared" si="346"/>
        <v/>
      </c>
      <c r="VZJ116" s="77" t="str">
        <f t="shared" si="346"/>
        <v/>
      </c>
      <c r="VZK116" s="77" t="str">
        <f t="shared" si="346"/>
        <v/>
      </c>
      <c r="VZL116" s="77" t="str">
        <f t="shared" si="346"/>
        <v/>
      </c>
      <c r="VZM116" s="77" t="str">
        <f t="shared" si="346"/>
        <v/>
      </c>
      <c r="VZN116" s="77" t="str">
        <f t="shared" si="346"/>
        <v/>
      </c>
      <c r="VZO116" s="77" t="str">
        <f t="shared" si="346"/>
        <v/>
      </c>
      <c r="VZP116" s="77" t="str">
        <f t="shared" si="346"/>
        <v/>
      </c>
      <c r="VZQ116" s="77" t="str">
        <f t="shared" si="346"/>
        <v/>
      </c>
      <c r="VZR116" s="77" t="str">
        <f t="shared" si="346"/>
        <v/>
      </c>
      <c r="VZS116" s="77" t="str">
        <f t="shared" si="346"/>
        <v/>
      </c>
      <c r="VZT116" s="77" t="str">
        <f t="shared" si="346"/>
        <v/>
      </c>
      <c r="VZU116" s="77" t="str">
        <f t="shared" si="346"/>
        <v/>
      </c>
      <c r="VZV116" s="77" t="str">
        <f t="shared" si="346"/>
        <v/>
      </c>
      <c r="VZW116" s="77" t="str">
        <f t="shared" si="346"/>
        <v/>
      </c>
      <c r="VZX116" s="77" t="str">
        <f t="shared" si="346"/>
        <v/>
      </c>
      <c r="VZY116" s="77" t="str">
        <f t="shared" si="346"/>
        <v/>
      </c>
      <c r="VZZ116" s="77" t="str">
        <f t="shared" si="346"/>
        <v/>
      </c>
      <c r="WAA116" s="77" t="str">
        <f t="shared" si="346"/>
        <v/>
      </c>
      <c r="WAB116" s="77" t="str">
        <f t="shared" si="346"/>
        <v/>
      </c>
      <c r="WAC116" s="77" t="str">
        <f t="shared" si="346"/>
        <v/>
      </c>
      <c r="WAD116" s="77" t="str">
        <f t="shared" si="346"/>
        <v/>
      </c>
      <c r="WAE116" s="77" t="str">
        <f t="shared" si="346"/>
        <v/>
      </c>
      <c r="WAF116" s="77" t="str">
        <f t="shared" si="346"/>
        <v/>
      </c>
      <c r="WAG116" s="77" t="str">
        <f t="shared" si="346"/>
        <v/>
      </c>
      <c r="WAH116" s="77" t="str">
        <f t="shared" si="346"/>
        <v/>
      </c>
      <c r="WAI116" s="77" t="str">
        <f t="shared" si="346"/>
        <v/>
      </c>
      <c r="WAJ116" s="77" t="str">
        <f t="shared" si="346"/>
        <v/>
      </c>
      <c r="WAK116" s="77" t="str">
        <f t="shared" si="346"/>
        <v/>
      </c>
      <c r="WAL116" s="77" t="str">
        <f t="shared" si="346"/>
        <v/>
      </c>
      <c r="WAM116" s="77" t="str">
        <f t="shared" si="346"/>
        <v/>
      </c>
      <c r="WAN116" s="77" t="str">
        <f t="shared" si="346"/>
        <v/>
      </c>
      <c r="WAO116" s="77" t="str">
        <f t="shared" si="346"/>
        <v/>
      </c>
      <c r="WAP116" s="77" t="str">
        <f t="shared" si="346"/>
        <v/>
      </c>
      <c r="WAQ116" s="77" t="str">
        <f t="shared" ref="WAQ116:WDB116" si="347">IF(ISNUMBER(outYear),WAQ69+WAQ75+WAQ81+WAQ113,"")</f>
        <v/>
      </c>
      <c r="WAR116" s="77" t="str">
        <f t="shared" si="347"/>
        <v/>
      </c>
      <c r="WAS116" s="77" t="str">
        <f t="shared" si="347"/>
        <v/>
      </c>
      <c r="WAT116" s="77" t="str">
        <f t="shared" si="347"/>
        <v/>
      </c>
      <c r="WAU116" s="77" t="str">
        <f t="shared" si="347"/>
        <v/>
      </c>
      <c r="WAV116" s="77" t="str">
        <f t="shared" si="347"/>
        <v/>
      </c>
      <c r="WAW116" s="77" t="str">
        <f t="shared" si="347"/>
        <v/>
      </c>
      <c r="WAX116" s="77" t="str">
        <f t="shared" si="347"/>
        <v/>
      </c>
      <c r="WAY116" s="77" t="str">
        <f t="shared" si="347"/>
        <v/>
      </c>
      <c r="WAZ116" s="77" t="str">
        <f t="shared" si="347"/>
        <v/>
      </c>
      <c r="WBA116" s="77" t="str">
        <f t="shared" si="347"/>
        <v/>
      </c>
      <c r="WBB116" s="77" t="str">
        <f t="shared" si="347"/>
        <v/>
      </c>
      <c r="WBC116" s="77" t="str">
        <f t="shared" si="347"/>
        <v/>
      </c>
      <c r="WBD116" s="77" t="str">
        <f t="shared" si="347"/>
        <v/>
      </c>
      <c r="WBE116" s="77" t="str">
        <f t="shared" si="347"/>
        <v/>
      </c>
      <c r="WBF116" s="77" t="str">
        <f t="shared" si="347"/>
        <v/>
      </c>
      <c r="WBG116" s="77" t="str">
        <f t="shared" si="347"/>
        <v/>
      </c>
      <c r="WBH116" s="77" t="str">
        <f t="shared" si="347"/>
        <v/>
      </c>
      <c r="WBI116" s="77" t="str">
        <f t="shared" si="347"/>
        <v/>
      </c>
      <c r="WBJ116" s="77" t="str">
        <f t="shared" si="347"/>
        <v/>
      </c>
      <c r="WBK116" s="77" t="str">
        <f t="shared" si="347"/>
        <v/>
      </c>
      <c r="WBL116" s="77" t="str">
        <f t="shared" si="347"/>
        <v/>
      </c>
      <c r="WBM116" s="77" t="str">
        <f t="shared" si="347"/>
        <v/>
      </c>
      <c r="WBN116" s="77" t="str">
        <f t="shared" si="347"/>
        <v/>
      </c>
      <c r="WBO116" s="77" t="str">
        <f t="shared" si="347"/>
        <v/>
      </c>
      <c r="WBP116" s="77" t="str">
        <f t="shared" si="347"/>
        <v/>
      </c>
      <c r="WBQ116" s="77" t="str">
        <f t="shared" si="347"/>
        <v/>
      </c>
      <c r="WBR116" s="77" t="str">
        <f t="shared" si="347"/>
        <v/>
      </c>
      <c r="WBS116" s="77" t="str">
        <f t="shared" si="347"/>
        <v/>
      </c>
      <c r="WBT116" s="77" t="str">
        <f t="shared" si="347"/>
        <v/>
      </c>
      <c r="WBU116" s="77" t="str">
        <f t="shared" si="347"/>
        <v/>
      </c>
      <c r="WBV116" s="77" t="str">
        <f t="shared" si="347"/>
        <v/>
      </c>
      <c r="WBW116" s="77" t="str">
        <f t="shared" si="347"/>
        <v/>
      </c>
      <c r="WBX116" s="77" t="str">
        <f t="shared" si="347"/>
        <v/>
      </c>
      <c r="WBY116" s="77" t="str">
        <f t="shared" si="347"/>
        <v/>
      </c>
      <c r="WBZ116" s="77" t="str">
        <f t="shared" si="347"/>
        <v/>
      </c>
      <c r="WCA116" s="77" t="str">
        <f t="shared" si="347"/>
        <v/>
      </c>
      <c r="WCB116" s="77" t="str">
        <f t="shared" si="347"/>
        <v/>
      </c>
      <c r="WCC116" s="77" t="str">
        <f t="shared" si="347"/>
        <v/>
      </c>
      <c r="WCD116" s="77" t="str">
        <f t="shared" si="347"/>
        <v/>
      </c>
      <c r="WCE116" s="77" t="str">
        <f t="shared" si="347"/>
        <v/>
      </c>
      <c r="WCF116" s="77" t="str">
        <f t="shared" si="347"/>
        <v/>
      </c>
      <c r="WCG116" s="77" t="str">
        <f t="shared" si="347"/>
        <v/>
      </c>
      <c r="WCH116" s="77" t="str">
        <f t="shared" si="347"/>
        <v/>
      </c>
      <c r="WCI116" s="77" t="str">
        <f t="shared" si="347"/>
        <v/>
      </c>
      <c r="WCJ116" s="77" t="str">
        <f t="shared" si="347"/>
        <v/>
      </c>
      <c r="WCK116" s="77" t="str">
        <f t="shared" si="347"/>
        <v/>
      </c>
      <c r="WCL116" s="77" t="str">
        <f t="shared" si="347"/>
        <v/>
      </c>
      <c r="WCM116" s="77" t="str">
        <f t="shared" si="347"/>
        <v/>
      </c>
      <c r="WCN116" s="77" t="str">
        <f t="shared" si="347"/>
        <v/>
      </c>
      <c r="WCO116" s="77" t="str">
        <f t="shared" si="347"/>
        <v/>
      </c>
      <c r="WCP116" s="77" t="str">
        <f t="shared" si="347"/>
        <v/>
      </c>
      <c r="WCQ116" s="77" t="str">
        <f t="shared" si="347"/>
        <v/>
      </c>
      <c r="WCR116" s="77" t="str">
        <f t="shared" si="347"/>
        <v/>
      </c>
      <c r="WCS116" s="77" t="str">
        <f t="shared" si="347"/>
        <v/>
      </c>
      <c r="WCT116" s="77" t="str">
        <f t="shared" si="347"/>
        <v/>
      </c>
      <c r="WCU116" s="77" t="str">
        <f t="shared" si="347"/>
        <v/>
      </c>
      <c r="WCV116" s="77" t="str">
        <f t="shared" si="347"/>
        <v/>
      </c>
      <c r="WCW116" s="77" t="str">
        <f t="shared" si="347"/>
        <v/>
      </c>
      <c r="WCX116" s="77" t="str">
        <f t="shared" si="347"/>
        <v/>
      </c>
      <c r="WCY116" s="77" t="str">
        <f t="shared" si="347"/>
        <v/>
      </c>
      <c r="WCZ116" s="77" t="str">
        <f t="shared" si="347"/>
        <v/>
      </c>
      <c r="WDA116" s="77" t="str">
        <f t="shared" si="347"/>
        <v/>
      </c>
      <c r="WDB116" s="77" t="str">
        <f t="shared" si="347"/>
        <v/>
      </c>
      <c r="WDC116" s="77" t="str">
        <f t="shared" ref="WDC116:WFN116" si="348">IF(ISNUMBER(outYear),WDC69+WDC75+WDC81+WDC113,"")</f>
        <v/>
      </c>
      <c r="WDD116" s="77" t="str">
        <f t="shared" si="348"/>
        <v/>
      </c>
      <c r="WDE116" s="77" t="str">
        <f t="shared" si="348"/>
        <v/>
      </c>
      <c r="WDF116" s="77" t="str">
        <f t="shared" si="348"/>
        <v/>
      </c>
      <c r="WDG116" s="77" t="str">
        <f t="shared" si="348"/>
        <v/>
      </c>
      <c r="WDH116" s="77" t="str">
        <f t="shared" si="348"/>
        <v/>
      </c>
      <c r="WDI116" s="77" t="str">
        <f t="shared" si="348"/>
        <v/>
      </c>
      <c r="WDJ116" s="77" t="str">
        <f t="shared" si="348"/>
        <v/>
      </c>
      <c r="WDK116" s="77" t="str">
        <f t="shared" si="348"/>
        <v/>
      </c>
      <c r="WDL116" s="77" t="str">
        <f t="shared" si="348"/>
        <v/>
      </c>
      <c r="WDM116" s="77" t="str">
        <f t="shared" si="348"/>
        <v/>
      </c>
      <c r="WDN116" s="77" t="str">
        <f t="shared" si="348"/>
        <v/>
      </c>
      <c r="WDO116" s="77" t="str">
        <f t="shared" si="348"/>
        <v/>
      </c>
      <c r="WDP116" s="77" t="str">
        <f t="shared" si="348"/>
        <v/>
      </c>
      <c r="WDQ116" s="77" t="str">
        <f t="shared" si="348"/>
        <v/>
      </c>
      <c r="WDR116" s="77" t="str">
        <f t="shared" si="348"/>
        <v/>
      </c>
      <c r="WDS116" s="77" t="str">
        <f t="shared" si="348"/>
        <v/>
      </c>
      <c r="WDT116" s="77" t="str">
        <f t="shared" si="348"/>
        <v/>
      </c>
      <c r="WDU116" s="77" t="str">
        <f t="shared" si="348"/>
        <v/>
      </c>
      <c r="WDV116" s="77" t="str">
        <f t="shared" si="348"/>
        <v/>
      </c>
      <c r="WDW116" s="77" t="str">
        <f t="shared" si="348"/>
        <v/>
      </c>
      <c r="WDX116" s="77" t="str">
        <f t="shared" si="348"/>
        <v/>
      </c>
      <c r="WDY116" s="77" t="str">
        <f t="shared" si="348"/>
        <v/>
      </c>
      <c r="WDZ116" s="77" t="str">
        <f t="shared" si="348"/>
        <v/>
      </c>
      <c r="WEA116" s="77" t="str">
        <f t="shared" si="348"/>
        <v/>
      </c>
      <c r="WEB116" s="77" t="str">
        <f t="shared" si="348"/>
        <v/>
      </c>
      <c r="WEC116" s="77" t="str">
        <f t="shared" si="348"/>
        <v/>
      </c>
      <c r="WED116" s="77" t="str">
        <f t="shared" si="348"/>
        <v/>
      </c>
      <c r="WEE116" s="77" t="str">
        <f t="shared" si="348"/>
        <v/>
      </c>
      <c r="WEF116" s="77" t="str">
        <f t="shared" si="348"/>
        <v/>
      </c>
      <c r="WEG116" s="77" t="str">
        <f t="shared" si="348"/>
        <v/>
      </c>
      <c r="WEH116" s="77" t="str">
        <f t="shared" si="348"/>
        <v/>
      </c>
      <c r="WEI116" s="77" t="str">
        <f t="shared" si="348"/>
        <v/>
      </c>
      <c r="WEJ116" s="77" t="str">
        <f t="shared" si="348"/>
        <v/>
      </c>
      <c r="WEK116" s="77" t="str">
        <f t="shared" si="348"/>
        <v/>
      </c>
      <c r="WEL116" s="77" t="str">
        <f t="shared" si="348"/>
        <v/>
      </c>
      <c r="WEM116" s="77" t="str">
        <f t="shared" si="348"/>
        <v/>
      </c>
      <c r="WEN116" s="77" t="str">
        <f t="shared" si="348"/>
        <v/>
      </c>
      <c r="WEO116" s="77" t="str">
        <f t="shared" si="348"/>
        <v/>
      </c>
      <c r="WEP116" s="77" t="str">
        <f t="shared" si="348"/>
        <v/>
      </c>
      <c r="WEQ116" s="77" t="str">
        <f t="shared" si="348"/>
        <v/>
      </c>
      <c r="WER116" s="77" t="str">
        <f t="shared" si="348"/>
        <v/>
      </c>
      <c r="WES116" s="77" t="str">
        <f t="shared" si="348"/>
        <v/>
      </c>
      <c r="WET116" s="77" t="str">
        <f t="shared" si="348"/>
        <v/>
      </c>
      <c r="WEU116" s="77" t="str">
        <f t="shared" si="348"/>
        <v/>
      </c>
      <c r="WEV116" s="77" t="str">
        <f t="shared" si="348"/>
        <v/>
      </c>
      <c r="WEW116" s="77" t="str">
        <f t="shared" si="348"/>
        <v/>
      </c>
      <c r="WEX116" s="77" t="str">
        <f t="shared" si="348"/>
        <v/>
      </c>
      <c r="WEY116" s="77" t="str">
        <f t="shared" si="348"/>
        <v/>
      </c>
      <c r="WEZ116" s="77" t="str">
        <f t="shared" si="348"/>
        <v/>
      </c>
      <c r="WFA116" s="77" t="str">
        <f t="shared" si="348"/>
        <v/>
      </c>
      <c r="WFB116" s="77" t="str">
        <f t="shared" si="348"/>
        <v/>
      </c>
      <c r="WFC116" s="77" t="str">
        <f t="shared" si="348"/>
        <v/>
      </c>
      <c r="WFD116" s="77" t="str">
        <f t="shared" si="348"/>
        <v/>
      </c>
      <c r="WFE116" s="77" t="str">
        <f t="shared" si="348"/>
        <v/>
      </c>
      <c r="WFF116" s="77" t="str">
        <f t="shared" si="348"/>
        <v/>
      </c>
      <c r="WFG116" s="77" t="str">
        <f t="shared" si="348"/>
        <v/>
      </c>
      <c r="WFH116" s="77" t="str">
        <f t="shared" si="348"/>
        <v/>
      </c>
      <c r="WFI116" s="77" t="str">
        <f t="shared" si="348"/>
        <v/>
      </c>
      <c r="WFJ116" s="77" t="str">
        <f t="shared" si="348"/>
        <v/>
      </c>
      <c r="WFK116" s="77" t="str">
        <f t="shared" si="348"/>
        <v/>
      </c>
      <c r="WFL116" s="77" t="str">
        <f t="shared" si="348"/>
        <v/>
      </c>
      <c r="WFM116" s="77" t="str">
        <f t="shared" si="348"/>
        <v/>
      </c>
      <c r="WFN116" s="77" t="str">
        <f t="shared" si="348"/>
        <v/>
      </c>
      <c r="WFO116" s="77" t="str">
        <f t="shared" ref="WFO116:WHZ116" si="349">IF(ISNUMBER(outYear),WFO69+WFO75+WFO81+WFO113,"")</f>
        <v/>
      </c>
      <c r="WFP116" s="77" t="str">
        <f t="shared" si="349"/>
        <v/>
      </c>
      <c r="WFQ116" s="77" t="str">
        <f t="shared" si="349"/>
        <v/>
      </c>
      <c r="WFR116" s="77" t="str">
        <f t="shared" si="349"/>
        <v/>
      </c>
      <c r="WFS116" s="77" t="str">
        <f t="shared" si="349"/>
        <v/>
      </c>
      <c r="WFT116" s="77" t="str">
        <f t="shared" si="349"/>
        <v/>
      </c>
      <c r="WFU116" s="77" t="str">
        <f t="shared" si="349"/>
        <v/>
      </c>
      <c r="WFV116" s="77" t="str">
        <f t="shared" si="349"/>
        <v/>
      </c>
      <c r="WFW116" s="77" t="str">
        <f t="shared" si="349"/>
        <v/>
      </c>
      <c r="WFX116" s="77" t="str">
        <f t="shared" si="349"/>
        <v/>
      </c>
      <c r="WFY116" s="77" t="str">
        <f t="shared" si="349"/>
        <v/>
      </c>
      <c r="WFZ116" s="77" t="str">
        <f t="shared" si="349"/>
        <v/>
      </c>
      <c r="WGA116" s="77" t="str">
        <f t="shared" si="349"/>
        <v/>
      </c>
      <c r="WGB116" s="77" t="str">
        <f t="shared" si="349"/>
        <v/>
      </c>
      <c r="WGC116" s="77" t="str">
        <f t="shared" si="349"/>
        <v/>
      </c>
      <c r="WGD116" s="77" t="str">
        <f t="shared" si="349"/>
        <v/>
      </c>
      <c r="WGE116" s="77" t="str">
        <f t="shared" si="349"/>
        <v/>
      </c>
      <c r="WGF116" s="77" t="str">
        <f t="shared" si="349"/>
        <v/>
      </c>
      <c r="WGG116" s="77" t="str">
        <f t="shared" si="349"/>
        <v/>
      </c>
      <c r="WGH116" s="77" t="str">
        <f t="shared" si="349"/>
        <v/>
      </c>
      <c r="WGI116" s="77" t="str">
        <f t="shared" si="349"/>
        <v/>
      </c>
      <c r="WGJ116" s="77" t="str">
        <f t="shared" si="349"/>
        <v/>
      </c>
      <c r="WGK116" s="77" t="str">
        <f t="shared" si="349"/>
        <v/>
      </c>
      <c r="WGL116" s="77" t="str">
        <f t="shared" si="349"/>
        <v/>
      </c>
      <c r="WGM116" s="77" t="str">
        <f t="shared" si="349"/>
        <v/>
      </c>
      <c r="WGN116" s="77" t="str">
        <f t="shared" si="349"/>
        <v/>
      </c>
      <c r="WGO116" s="77" t="str">
        <f t="shared" si="349"/>
        <v/>
      </c>
      <c r="WGP116" s="77" t="str">
        <f t="shared" si="349"/>
        <v/>
      </c>
      <c r="WGQ116" s="77" t="str">
        <f t="shared" si="349"/>
        <v/>
      </c>
      <c r="WGR116" s="77" t="str">
        <f t="shared" si="349"/>
        <v/>
      </c>
      <c r="WGS116" s="77" t="str">
        <f t="shared" si="349"/>
        <v/>
      </c>
      <c r="WGT116" s="77" t="str">
        <f t="shared" si="349"/>
        <v/>
      </c>
      <c r="WGU116" s="77" t="str">
        <f t="shared" si="349"/>
        <v/>
      </c>
      <c r="WGV116" s="77" t="str">
        <f t="shared" si="349"/>
        <v/>
      </c>
      <c r="WGW116" s="77" t="str">
        <f t="shared" si="349"/>
        <v/>
      </c>
      <c r="WGX116" s="77" t="str">
        <f t="shared" si="349"/>
        <v/>
      </c>
      <c r="WGY116" s="77" t="str">
        <f t="shared" si="349"/>
        <v/>
      </c>
      <c r="WGZ116" s="77" t="str">
        <f t="shared" si="349"/>
        <v/>
      </c>
      <c r="WHA116" s="77" t="str">
        <f t="shared" si="349"/>
        <v/>
      </c>
      <c r="WHB116" s="77" t="str">
        <f t="shared" si="349"/>
        <v/>
      </c>
      <c r="WHC116" s="77" t="str">
        <f t="shared" si="349"/>
        <v/>
      </c>
      <c r="WHD116" s="77" t="str">
        <f t="shared" si="349"/>
        <v/>
      </c>
      <c r="WHE116" s="77" t="str">
        <f t="shared" si="349"/>
        <v/>
      </c>
      <c r="WHF116" s="77" t="str">
        <f t="shared" si="349"/>
        <v/>
      </c>
      <c r="WHG116" s="77" t="str">
        <f t="shared" si="349"/>
        <v/>
      </c>
      <c r="WHH116" s="77" t="str">
        <f t="shared" si="349"/>
        <v/>
      </c>
      <c r="WHI116" s="77" t="str">
        <f t="shared" si="349"/>
        <v/>
      </c>
      <c r="WHJ116" s="77" t="str">
        <f t="shared" si="349"/>
        <v/>
      </c>
      <c r="WHK116" s="77" t="str">
        <f t="shared" si="349"/>
        <v/>
      </c>
      <c r="WHL116" s="77" t="str">
        <f t="shared" si="349"/>
        <v/>
      </c>
      <c r="WHM116" s="77" t="str">
        <f t="shared" si="349"/>
        <v/>
      </c>
      <c r="WHN116" s="77" t="str">
        <f t="shared" si="349"/>
        <v/>
      </c>
      <c r="WHO116" s="77" t="str">
        <f t="shared" si="349"/>
        <v/>
      </c>
      <c r="WHP116" s="77" t="str">
        <f t="shared" si="349"/>
        <v/>
      </c>
      <c r="WHQ116" s="77" t="str">
        <f t="shared" si="349"/>
        <v/>
      </c>
      <c r="WHR116" s="77" t="str">
        <f t="shared" si="349"/>
        <v/>
      </c>
      <c r="WHS116" s="77" t="str">
        <f t="shared" si="349"/>
        <v/>
      </c>
      <c r="WHT116" s="77" t="str">
        <f t="shared" si="349"/>
        <v/>
      </c>
      <c r="WHU116" s="77" t="str">
        <f t="shared" si="349"/>
        <v/>
      </c>
      <c r="WHV116" s="77" t="str">
        <f t="shared" si="349"/>
        <v/>
      </c>
      <c r="WHW116" s="77" t="str">
        <f t="shared" si="349"/>
        <v/>
      </c>
      <c r="WHX116" s="77" t="str">
        <f t="shared" si="349"/>
        <v/>
      </c>
      <c r="WHY116" s="77" t="str">
        <f t="shared" si="349"/>
        <v/>
      </c>
      <c r="WHZ116" s="77" t="str">
        <f t="shared" si="349"/>
        <v/>
      </c>
      <c r="WIA116" s="77" t="str">
        <f t="shared" ref="WIA116:WKL116" si="350">IF(ISNUMBER(outYear),WIA69+WIA75+WIA81+WIA113,"")</f>
        <v/>
      </c>
      <c r="WIB116" s="77" t="str">
        <f t="shared" si="350"/>
        <v/>
      </c>
      <c r="WIC116" s="77" t="str">
        <f t="shared" si="350"/>
        <v/>
      </c>
      <c r="WID116" s="77" t="str">
        <f t="shared" si="350"/>
        <v/>
      </c>
      <c r="WIE116" s="77" t="str">
        <f t="shared" si="350"/>
        <v/>
      </c>
      <c r="WIF116" s="77" t="str">
        <f t="shared" si="350"/>
        <v/>
      </c>
      <c r="WIG116" s="77" t="str">
        <f t="shared" si="350"/>
        <v/>
      </c>
      <c r="WIH116" s="77" t="str">
        <f t="shared" si="350"/>
        <v/>
      </c>
      <c r="WII116" s="77" t="str">
        <f t="shared" si="350"/>
        <v/>
      </c>
      <c r="WIJ116" s="77" t="str">
        <f t="shared" si="350"/>
        <v/>
      </c>
      <c r="WIK116" s="77" t="str">
        <f t="shared" si="350"/>
        <v/>
      </c>
      <c r="WIL116" s="77" t="str">
        <f t="shared" si="350"/>
        <v/>
      </c>
      <c r="WIM116" s="77" t="str">
        <f t="shared" si="350"/>
        <v/>
      </c>
      <c r="WIN116" s="77" t="str">
        <f t="shared" si="350"/>
        <v/>
      </c>
      <c r="WIO116" s="77" t="str">
        <f t="shared" si="350"/>
        <v/>
      </c>
      <c r="WIP116" s="77" t="str">
        <f t="shared" si="350"/>
        <v/>
      </c>
      <c r="WIQ116" s="77" t="str">
        <f t="shared" si="350"/>
        <v/>
      </c>
      <c r="WIR116" s="77" t="str">
        <f t="shared" si="350"/>
        <v/>
      </c>
      <c r="WIS116" s="77" t="str">
        <f t="shared" si="350"/>
        <v/>
      </c>
      <c r="WIT116" s="77" t="str">
        <f t="shared" si="350"/>
        <v/>
      </c>
      <c r="WIU116" s="77" t="str">
        <f t="shared" si="350"/>
        <v/>
      </c>
      <c r="WIV116" s="77" t="str">
        <f t="shared" si="350"/>
        <v/>
      </c>
      <c r="WIW116" s="77" t="str">
        <f t="shared" si="350"/>
        <v/>
      </c>
      <c r="WIX116" s="77" t="str">
        <f t="shared" si="350"/>
        <v/>
      </c>
      <c r="WIY116" s="77" t="str">
        <f t="shared" si="350"/>
        <v/>
      </c>
      <c r="WIZ116" s="77" t="str">
        <f t="shared" si="350"/>
        <v/>
      </c>
      <c r="WJA116" s="77" t="str">
        <f t="shared" si="350"/>
        <v/>
      </c>
      <c r="WJB116" s="77" t="str">
        <f t="shared" si="350"/>
        <v/>
      </c>
      <c r="WJC116" s="77" t="str">
        <f t="shared" si="350"/>
        <v/>
      </c>
      <c r="WJD116" s="77" t="str">
        <f t="shared" si="350"/>
        <v/>
      </c>
      <c r="WJE116" s="77" t="str">
        <f t="shared" si="350"/>
        <v/>
      </c>
      <c r="WJF116" s="77" t="str">
        <f t="shared" si="350"/>
        <v/>
      </c>
      <c r="WJG116" s="77" t="str">
        <f t="shared" si="350"/>
        <v/>
      </c>
      <c r="WJH116" s="77" t="str">
        <f t="shared" si="350"/>
        <v/>
      </c>
      <c r="WJI116" s="77" t="str">
        <f t="shared" si="350"/>
        <v/>
      </c>
      <c r="WJJ116" s="77" t="str">
        <f t="shared" si="350"/>
        <v/>
      </c>
      <c r="WJK116" s="77" t="str">
        <f t="shared" si="350"/>
        <v/>
      </c>
      <c r="WJL116" s="77" t="str">
        <f t="shared" si="350"/>
        <v/>
      </c>
      <c r="WJM116" s="77" t="str">
        <f t="shared" si="350"/>
        <v/>
      </c>
      <c r="WJN116" s="77" t="str">
        <f t="shared" si="350"/>
        <v/>
      </c>
      <c r="WJO116" s="77" t="str">
        <f t="shared" si="350"/>
        <v/>
      </c>
      <c r="WJP116" s="77" t="str">
        <f t="shared" si="350"/>
        <v/>
      </c>
      <c r="WJQ116" s="77" t="str">
        <f t="shared" si="350"/>
        <v/>
      </c>
      <c r="WJR116" s="77" t="str">
        <f t="shared" si="350"/>
        <v/>
      </c>
      <c r="WJS116" s="77" t="str">
        <f t="shared" si="350"/>
        <v/>
      </c>
      <c r="WJT116" s="77" t="str">
        <f t="shared" si="350"/>
        <v/>
      </c>
      <c r="WJU116" s="77" t="str">
        <f t="shared" si="350"/>
        <v/>
      </c>
      <c r="WJV116" s="77" t="str">
        <f t="shared" si="350"/>
        <v/>
      </c>
      <c r="WJW116" s="77" t="str">
        <f t="shared" si="350"/>
        <v/>
      </c>
      <c r="WJX116" s="77" t="str">
        <f t="shared" si="350"/>
        <v/>
      </c>
      <c r="WJY116" s="77" t="str">
        <f t="shared" si="350"/>
        <v/>
      </c>
      <c r="WJZ116" s="77" t="str">
        <f t="shared" si="350"/>
        <v/>
      </c>
      <c r="WKA116" s="77" t="str">
        <f t="shared" si="350"/>
        <v/>
      </c>
      <c r="WKB116" s="77" t="str">
        <f t="shared" si="350"/>
        <v/>
      </c>
      <c r="WKC116" s="77" t="str">
        <f t="shared" si="350"/>
        <v/>
      </c>
      <c r="WKD116" s="77" t="str">
        <f t="shared" si="350"/>
        <v/>
      </c>
      <c r="WKE116" s="77" t="str">
        <f t="shared" si="350"/>
        <v/>
      </c>
      <c r="WKF116" s="77" t="str">
        <f t="shared" si="350"/>
        <v/>
      </c>
      <c r="WKG116" s="77" t="str">
        <f t="shared" si="350"/>
        <v/>
      </c>
      <c r="WKH116" s="77" t="str">
        <f t="shared" si="350"/>
        <v/>
      </c>
      <c r="WKI116" s="77" t="str">
        <f t="shared" si="350"/>
        <v/>
      </c>
      <c r="WKJ116" s="77" t="str">
        <f t="shared" si="350"/>
        <v/>
      </c>
      <c r="WKK116" s="77" t="str">
        <f t="shared" si="350"/>
        <v/>
      </c>
      <c r="WKL116" s="77" t="str">
        <f t="shared" si="350"/>
        <v/>
      </c>
      <c r="WKM116" s="77" t="str">
        <f t="shared" ref="WKM116:WMX116" si="351">IF(ISNUMBER(outYear),WKM69+WKM75+WKM81+WKM113,"")</f>
        <v/>
      </c>
      <c r="WKN116" s="77" t="str">
        <f t="shared" si="351"/>
        <v/>
      </c>
      <c r="WKO116" s="77" t="str">
        <f t="shared" si="351"/>
        <v/>
      </c>
      <c r="WKP116" s="77" t="str">
        <f t="shared" si="351"/>
        <v/>
      </c>
      <c r="WKQ116" s="77" t="str">
        <f t="shared" si="351"/>
        <v/>
      </c>
      <c r="WKR116" s="77" t="str">
        <f t="shared" si="351"/>
        <v/>
      </c>
      <c r="WKS116" s="77" t="str">
        <f t="shared" si="351"/>
        <v/>
      </c>
      <c r="WKT116" s="77" t="str">
        <f t="shared" si="351"/>
        <v/>
      </c>
      <c r="WKU116" s="77" t="str">
        <f t="shared" si="351"/>
        <v/>
      </c>
      <c r="WKV116" s="77" t="str">
        <f t="shared" si="351"/>
        <v/>
      </c>
      <c r="WKW116" s="77" t="str">
        <f t="shared" si="351"/>
        <v/>
      </c>
      <c r="WKX116" s="77" t="str">
        <f t="shared" si="351"/>
        <v/>
      </c>
      <c r="WKY116" s="77" t="str">
        <f t="shared" si="351"/>
        <v/>
      </c>
      <c r="WKZ116" s="77" t="str">
        <f t="shared" si="351"/>
        <v/>
      </c>
      <c r="WLA116" s="77" t="str">
        <f t="shared" si="351"/>
        <v/>
      </c>
      <c r="WLB116" s="77" t="str">
        <f t="shared" si="351"/>
        <v/>
      </c>
      <c r="WLC116" s="77" t="str">
        <f t="shared" si="351"/>
        <v/>
      </c>
      <c r="WLD116" s="77" t="str">
        <f t="shared" si="351"/>
        <v/>
      </c>
      <c r="WLE116" s="77" t="str">
        <f t="shared" si="351"/>
        <v/>
      </c>
      <c r="WLF116" s="77" t="str">
        <f t="shared" si="351"/>
        <v/>
      </c>
      <c r="WLG116" s="77" t="str">
        <f t="shared" si="351"/>
        <v/>
      </c>
      <c r="WLH116" s="77" t="str">
        <f t="shared" si="351"/>
        <v/>
      </c>
      <c r="WLI116" s="77" t="str">
        <f t="shared" si="351"/>
        <v/>
      </c>
      <c r="WLJ116" s="77" t="str">
        <f t="shared" si="351"/>
        <v/>
      </c>
      <c r="WLK116" s="77" t="str">
        <f t="shared" si="351"/>
        <v/>
      </c>
      <c r="WLL116" s="77" t="str">
        <f t="shared" si="351"/>
        <v/>
      </c>
      <c r="WLM116" s="77" t="str">
        <f t="shared" si="351"/>
        <v/>
      </c>
      <c r="WLN116" s="77" t="str">
        <f t="shared" si="351"/>
        <v/>
      </c>
      <c r="WLO116" s="77" t="str">
        <f t="shared" si="351"/>
        <v/>
      </c>
      <c r="WLP116" s="77" t="str">
        <f t="shared" si="351"/>
        <v/>
      </c>
      <c r="WLQ116" s="77" t="str">
        <f t="shared" si="351"/>
        <v/>
      </c>
      <c r="WLR116" s="77" t="str">
        <f t="shared" si="351"/>
        <v/>
      </c>
      <c r="WLS116" s="77" t="str">
        <f t="shared" si="351"/>
        <v/>
      </c>
      <c r="WLT116" s="77" t="str">
        <f t="shared" si="351"/>
        <v/>
      </c>
      <c r="WLU116" s="77" t="str">
        <f t="shared" si="351"/>
        <v/>
      </c>
      <c r="WLV116" s="77" t="str">
        <f t="shared" si="351"/>
        <v/>
      </c>
      <c r="WLW116" s="77" t="str">
        <f t="shared" si="351"/>
        <v/>
      </c>
      <c r="WLX116" s="77" t="str">
        <f t="shared" si="351"/>
        <v/>
      </c>
      <c r="WLY116" s="77" t="str">
        <f t="shared" si="351"/>
        <v/>
      </c>
      <c r="WLZ116" s="77" t="str">
        <f t="shared" si="351"/>
        <v/>
      </c>
      <c r="WMA116" s="77" t="str">
        <f t="shared" si="351"/>
        <v/>
      </c>
      <c r="WMB116" s="77" t="str">
        <f t="shared" si="351"/>
        <v/>
      </c>
      <c r="WMC116" s="77" t="str">
        <f t="shared" si="351"/>
        <v/>
      </c>
      <c r="WMD116" s="77" t="str">
        <f t="shared" si="351"/>
        <v/>
      </c>
      <c r="WME116" s="77" t="str">
        <f t="shared" si="351"/>
        <v/>
      </c>
      <c r="WMF116" s="77" t="str">
        <f t="shared" si="351"/>
        <v/>
      </c>
      <c r="WMG116" s="77" t="str">
        <f t="shared" si="351"/>
        <v/>
      </c>
      <c r="WMH116" s="77" t="str">
        <f t="shared" si="351"/>
        <v/>
      </c>
      <c r="WMI116" s="77" t="str">
        <f t="shared" si="351"/>
        <v/>
      </c>
      <c r="WMJ116" s="77" t="str">
        <f t="shared" si="351"/>
        <v/>
      </c>
      <c r="WMK116" s="77" t="str">
        <f t="shared" si="351"/>
        <v/>
      </c>
      <c r="WML116" s="77" t="str">
        <f t="shared" si="351"/>
        <v/>
      </c>
      <c r="WMM116" s="77" t="str">
        <f t="shared" si="351"/>
        <v/>
      </c>
      <c r="WMN116" s="77" t="str">
        <f t="shared" si="351"/>
        <v/>
      </c>
      <c r="WMO116" s="77" t="str">
        <f t="shared" si="351"/>
        <v/>
      </c>
      <c r="WMP116" s="77" t="str">
        <f t="shared" si="351"/>
        <v/>
      </c>
      <c r="WMQ116" s="77" t="str">
        <f t="shared" si="351"/>
        <v/>
      </c>
      <c r="WMR116" s="77" t="str">
        <f t="shared" si="351"/>
        <v/>
      </c>
      <c r="WMS116" s="77" t="str">
        <f t="shared" si="351"/>
        <v/>
      </c>
      <c r="WMT116" s="77" t="str">
        <f t="shared" si="351"/>
        <v/>
      </c>
      <c r="WMU116" s="77" t="str">
        <f t="shared" si="351"/>
        <v/>
      </c>
      <c r="WMV116" s="77" t="str">
        <f t="shared" si="351"/>
        <v/>
      </c>
      <c r="WMW116" s="77" t="str">
        <f t="shared" si="351"/>
        <v/>
      </c>
      <c r="WMX116" s="77" t="str">
        <f t="shared" si="351"/>
        <v/>
      </c>
      <c r="WMY116" s="77" t="str">
        <f t="shared" ref="WMY116:WPJ116" si="352">IF(ISNUMBER(outYear),WMY69+WMY75+WMY81+WMY113,"")</f>
        <v/>
      </c>
      <c r="WMZ116" s="77" t="str">
        <f t="shared" si="352"/>
        <v/>
      </c>
      <c r="WNA116" s="77" t="str">
        <f t="shared" si="352"/>
        <v/>
      </c>
      <c r="WNB116" s="77" t="str">
        <f t="shared" si="352"/>
        <v/>
      </c>
      <c r="WNC116" s="77" t="str">
        <f t="shared" si="352"/>
        <v/>
      </c>
      <c r="WND116" s="77" t="str">
        <f t="shared" si="352"/>
        <v/>
      </c>
      <c r="WNE116" s="77" t="str">
        <f t="shared" si="352"/>
        <v/>
      </c>
      <c r="WNF116" s="77" t="str">
        <f t="shared" si="352"/>
        <v/>
      </c>
      <c r="WNG116" s="77" t="str">
        <f t="shared" si="352"/>
        <v/>
      </c>
      <c r="WNH116" s="77" t="str">
        <f t="shared" si="352"/>
        <v/>
      </c>
      <c r="WNI116" s="77" t="str">
        <f t="shared" si="352"/>
        <v/>
      </c>
      <c r="WNJ116" s="77" t="str">
        <f t="shared" si="352"/>
        <v/>
      </c>
      <c r="WNK116" s="77" t="str">
        <f t="shared" si="352"/>
        <v/>
      </c>
      <c r="WNL116" s="77" t="str">
        <f t="shared" si="352"/>
        <v/>
      </c>
      <c r="WNM116" s="77" t="str">
        <f t="shared" si="352"/>
        <v/>
      </c>
      <c r="WNN116" s="77" t="str">
        <f t="shared" si="352"/>
        <v/>
      </c>
      <c r="WNO116" s="77" t="str">
        <f t="shared" si="352"/>
        <v/>
      </c>
      <c r="WNP116" s="77" t="str">
        <f t="shared" si="352"/>
        <v/>
      </c>
      <c r="WNQ116" s="77" t="str">
        <f t="shared" si="352"/>
        <v/>
      </c>
      <c r="WNR116" s="77" t="str">
        <f t="shared" si="352"/>
        <v/>
      </c>
      <c r="WNS116" s="77" t="str">
        <f t="shared" si="352"/>
        <v/>
      </c>
      <c r="WNT116" s="77" t="str">
        <f t="shared" si="352"/>
        <v/>
      </c>
      <c r="WNU116" s="77" t="str">
        <f t="shared" si="352"/>
        <v/>
      </c>
      <c r="WNV116" s="77" t="str">
        <f t="shared" si="352"/>
        <v/>
      </c>
      <c r="WNW116" s="77" t="str">
        <f t="shared" si="352"/>
        <v/>
      </c>
      <c r="WNX116" s="77" t="str">
        <f t="shared" si="352"/>
        <v/>
      </c>
      <c r="WNY116" s="77" t="str">
        <f t="shared" si="352"/>
        <v/>
      </c>
      <c r="WNZ116" s="77" t="str">
        <f t="shared" si="352"/>
        <v/>
      </c>
      <c r="WOA116" s="77" t="str">
        <f t="shared" si="352"/>
        <v/>
      </c>
      <c r="WOB116" s="77" t="str">
        <f t="shared" si="352"/>
        <v/>
      </c>
      <c r="WOC116" s="77" t="str">
        <f t="shared" si="352"/>
        <v/>
      </c>
      <c r="WOD116" s="77" t="str">
        <f t="shared" si="352"/>
        <v/>
      </c>
      <c r="WOE116" s="77" t="str">
        <f t="shared" si="352"/>
        <v/>
      </c>
      <c r="WOF116" s="77" t="str">
        <f t="shared" si="352"/>
        <v/>
      </c>
      <c r="WOG116" s="77" t="str">
        <f t="shared" si="352"/>
        <v/>
      </c>
      <c r="WOH116" s="77" t="str">
        <f t="shared" si="352"/>
        <v/>
      </c>
      <c r="WOI116" s="77" t="str">
        <f t="shared" si="352"/>
        <v/>
      </c>
      <c r="WOJ116" s="77" t="str">
        <f t="shared" si="352"/>
        <v/>
      </c>
      <c r="WOK116" s="77" t="str">
        <f t="shared" si="352"/>
        <v/>
      </c>
      <c r="WOL116" s="77" t="str">
        <f t="shared" si="352"/>
        <v/>
      </c>
      <c r="WOM116" s="77" t="str">
        <f t="shared" si="352"/>
        <v/>
      </c>
      <c r="WON116" s="77" t="str">
        <f t="shared" si="352"/>
        <v/>
      </c>
      <c r="WOO116" s="77" t="str">
        <f t="shared" si="352"/>
        <v/>
      </c>
      <c r="WOP116" s="77" t="str">
        <f t="shared" si="352"/>
        <v/>
      </c>
      <c r="WOQ116" s="77" t="str">
        <f t="shared" si="352"/>
        <v/>
      </c>
      <c r="WOR116" s="77" t="str">
        <f t="shared" si="352"/>
        <v/>
      </c>
      <c r="WOS116" s="77" t="str">
        <f t="shared" si="352"/>
        <v/>
      </c>
      <c r="WOT116" s="77" t="str">
        <f t="shared" si="352"/>
        <v/>
      </c>
      <c r="WOU116" s="77" t="str">
        <f t="shared" si="352"/>
        <v/>
      </c>
      <c r="WOV116" s="77" t="str">
        <f t="shared" si="352"/>
        <v/>
      </c>
      <c r="WOW116" s="77" t="str">
        <f t="shared" si="352"/>
        <v/>
      </c>
      <c r="WOX116" s="77" t="str">
        <f t="shared" si="352"/>
        <v/>
      </c>
      <c r="WOY116" s="77" t="str">
        <f t="shared" si="352"/>
        <v/>
      </c>
      <c r="WOZ116" s="77" t="str">
        <f t="shared" si="352"/>
        <v/>
      </c>
      <c r="WPA116" s="77" t="str">
        <f t="shared" si="352"/>
        <v/>
      </c>
      <c r="WPB116" s="77" t="str">
        <f t="shared" si="352"/>
        <v/>
      </c>
      <c r="WPC116" s="77" t="str">
        <f t="shared" si="352"/>
        <v/>
      </c>
      <c r="WPD116" s="77" t="str">
        <f t="shared" si="352"/>
        <v/>
      </c>
      <c r="WPE116" s="77" t="str">
        <f t="shared" si="352"/>
        <v/>
      </c>
      <c r="WPF116" s="77" t="str">
        <f t="shared" si="352"/>
        <v/>
      </c>
      <c r="WPG116" s="77" t="str">
        <f t="shared" si="352"/>
        <v/>
      </c>
      <c r="WPH116" s="77" t="str">
        <f t="shared" si="352"/>
        <v/>
      </c>
      <c r="WPI116" s="77" t="str">
        <f t="shared" si="352"/>
        <v/>
      </c>
      <c r="WPJ116" s="77" t="str">
        <f t="shared" si="352"/>
        <v/>
      </c>
      <c r="WPK116" s="77" t="str">
        <f t="shared" ref="WPK116:WRV116" si="353">IF(ISNUMBER(outYear),WPK69+WPK75+WPK81+WPK113,"")</f>
        <v/>
      </c>
      <c r="WPL116" s="77" t="str">
        <f t="shared" si="353"/>
        <v/>
      </c>
      <c r="WPM116" s="77" t="str">
        <f t="shared" si="353"/>
        <v/>
      </c>
      <c r="WPN116" s="77" t="str">
        <f t="shared" si="353"/>
        <v/>
      </c>
      <c r="WPO116" s="77" t="str">
        <f t="shared" si="353"/>
        <v/>
      </c>
      <c r="WPP116" s="77" t="str">
        <f t="shared" si="353"/>
        <v/>
      </c>
      <c r="WPQ116" s="77" t="str">
        <f t="shared" si="353"/>
        <v/>
      </c>
      <c r="WPR116" s="77" t="str">
        <f t="shared" si="353"/>
        <v/>
      </c>
      <c r="WPS116" s="77" t="str">
        <f t="shared" si="353"/>
        <v/>
      </c>
      <c r="WPT116" s="77" t="str">
        <f t="shared" si="353"/>
        <v/>
      </c>
      <c r="WPU116" s="77" t="str">
        <f t="shared" si="353"/>
        <v/>
      </c>
      <c r="WPV116" s="77" t="str">
        <f t="shared" si="353"/>
        <v/>
      </c>
      <c r="WPW116" s="77" t="str">
        <f t="shared" si="353"/>
        <v/>
      </c>
      <c r="WPX116" s="77" t="str">
        <f t="shared" si="353"/>
        <v/>
      </c>
      <c r="WPY116" s="77" t="str">
        <f t="shared" si="353"/>
        <v/>
      </c>
      <c r="WPZ116" s="77" t="str">
        <f t="shared" si="353"/>
        <v/>
      </c>
      <c r="WQA116" s="77" t="str">
        <f t="shared" si="353"/>
        <v/>
      </c>
      <c r="WQB116" s="77" t="str">
        <f t="shared" si="353"/>
        <v/>
      </c>
      <c r="WQC116" s="77" t="str">
        <f t="shared" si="353"/>
        <v/>
      </c>
      <c r="WQD116" s="77" t="str">
        <f t="shared" si="353"/>
        <v/>
      </c>
      <c r="WQE116" s="77" t="str">
        <f t="shared" si="353"/>
        <v/>
      </c>
      <c r="WQF116" s="77" t="str">
        <f t="shared" si="353"/>
        <v/>
      </c>
      <c r="WQG116" s="77" t="str">
        <f t="shared" si="353"/>
        <v/>
      </c>
      <c r="WQH116" s="77" t="str">
        <f t="shared" si="353"/>
        <v/>
      </c>
      <c r="WQI116" s="77" t="str">
        <f t="shared" si="353"/>
        <v/>
      </c>
      <c r="WQJ116" s="77" t="str">
        <f t="shared" si="353"/>
        <v/>
      </c>
      <c r="WQK116" s="77" t="str">
        <f t="shared" si="353"/>
        <v/>
      </c>
      <c r="WQL116" s="77" t="str">
        <f t="shared" si="353"/>
        <v/>
      </c>
      <c r="WQM116" s="77" t="str">
        <f t="shared" si="353"/>
        <v/>
      </c>
      <c r="WQN116" s="77" t="str">
        <f t="shared" si="353"/>
        <v/>
      </c>
      <c r="WQO116" s="77" t="str">
        <f t="shared" si="353"/>
        <v/>
      </c>
      <c r="WQP116" s="77" t="str">
        <f t="shared" si="353"/>
        <v/>
      </c>
      <c r="WQQ116" s="77" t="str">
        <f t="shared" si="353"/>
        <v/>
      </c>
      <c r="WQR116" s="77" t="str">
        <f t="shared" si="353"/>
        <v/>
      </c>
      <c r="WQS116" s="77" t="str">
        <f t="shared" si="353"/>
        <v/>
      </c>
      <c r="WQT116" s="77" t="str">
        <f t="shared" si="353"/>
        <v/>
      </c>
      <c r="WQU116" s="77" t="str">
        <f t="shared" si="353"/>
        <v/>
      </c>
      <c r="WQV116" s="77" t="str">
        <f t="shared" si="353"/>
        <v/>
      </c>
      <c r="WQW116" s="77" t="str">
        <f t="shared" si="353"/>
        <v/>
      </c>
      <c r="WQX116" s="77" t="str">
        <f t="shared" si="353"/>
        <v/>
      </c>
      <c r="WQY116" s="77" t="str">
        <f t="shared" si="353"/>
        <v/>
      </c>
      <c r="WQZ116" s="77" t="str">
        <f t="shared" si="353"/>
        <v/>
      </c>
      <c r="WRA116" s="77" t="str">
        <f t="shared" si="353"/>
        <v/>
      </c>
      <c r="WRB116" s="77" t="str">
        <f t="shared" si="353"/>
        <v/>
      </c>
      <c r="WRC116" s="77" t="str">
        <f t="shared" si="353"/>
        <v/>
      </c>
      <c r="WRD116" s="77" t="str">
        <f t="shared" si="353"/>
        <v/>
      </c>
      <c r="WRE116" s="77" t="str">
        <f t="shared" si="353"/>
        <v/>
      </c>
      <c r="WRF116" s="77" t="str">
        <f t="shared" si="353"/>
        <v/>
      </c>
      <c r="WRG116" s="77" t="str">
        <f t="shared" si="353"/>
        <v/>
      </c>
      <c r="WRH116" s="77" t="str">
        <f t="shared" si="353"/>
        <v/>
      </c>
      <c r="WRI116" s="77" t="str">
        <f t="shared" si="353"/>
        <v/>
      </c>
      <c r="WRJ116" s="77" t="str">
        <f t="shared" si="353"/>
        <v/>
      </c>
      <c r="WRK116" s="77" t="str">
        <f t="shared" si="353"/>
        <v/>
      </c>
      <c r="WRL116" s="77" t="str">
        <f t="shared" si="353"/>
        <v/>
      </c>
      <c r="WRM116" s="77" t="str">
        <f t="shared" si="353"/>
        <v/>
      </c>
      <c r="WRN116" s="77" t="str">
        <f t="shared" si="353"/>
        <v/>
      </c>
      <c r="WRO116" s="77" t="str">
        <f t="shared" si="353"/>
        <v/>
      </c>
      <c r="WRP116" s="77" t="str">
        <f t="shared" si="353"/>
        <v/>
      </c>
      <c r="WRQ116" s="77" t="str">
        <f t="shared" si="353"/>
        <v/>
      </c>
      <c r="WRR116" s="77" t="str">
        <f t="shared" si="353"/>
        <v/>
      </c>
      <c r="WRS116" s="77" t="str">
        <f t="shared" si="353"/>
        <v/>
      </c>
      <c r="WRT116" s="77" t="str">
        <f t="shared" si="353"/>
        <v/>
      </c>
      <c r="WRU116" s="77" t="str">
        <f t="shared" si="353"/>
        <v/>
      </c>
      <c r="WRV116" s="77" t="str">
        <f t="shared" si="353"/>
        <v/>
      </c>
      <c r="WRW116" s="77" t="str">
        <f t="shared" ref="WRW116:WUH116" si="354">IF(ISNUMBER(outYear),WRW69+WRW75+WRW81+WRW113,"")</f>
        <v/>
      </c>
      <c r="WRX116" s="77" t="str">
        <f t="shared" si="354"/>
        <v/>
      </c>
      <c r="WRY116" s="77" t="str">
        <f t="shared" si="354"/>
        <v/>
      </c>
      <c r="WRZ116" s="77" t="str">
        <f t="shared" si="354"/>
        <v/>
      </c>
      <c r="WSA116" s="77" t="str">
        <f t="shared" si="354"/>
        <v/>
      </c>
      <c r="WSB116" s="77" t="str">
        <f t="shared" si="354"/>
        <v/>
      </c>
      <c r="WSC116" s="77" t="str">
        <f t="shared" si="354"/>
        <v/>
      </c>
      <c r="WSD116" s="77" t="str">
        <f t="shared" si="354"/>
        <v/>
      </c>
      <c r="WSE116" s="77" t="str">
        <f t="shared" si="354"/>
        <v/>
      </c>
      <c r="WSF116" s="77" t="str">
        <f t="shared" si="354"/>
        <v/>
      </c>
      <c r="WSG116" s="77" t="str">
        <f t="shared" si="354"/>
        <v/>
      </c>
      <c r="WSH116" s="77" t="str">
        <f t="shared" si="354"/>
        <v/>
      </c>
      <c r="WSI116" s="77" t="str">
        <f t="shared" si="354"/>
        <v/>
      </c>
      <c r="WSJ116" s="77" t="str">
        <f t="shared" si="354"/>
        <v/>
      </c>
      <c r="WSK116" s="77" t="str">
        <f t="shared" si="354"/>
        <v/>
      </c>
      <c r="WSL116" s="77" t="str">
        <f t="shared" si="354"/>
        <v/>
      </c>
      <c r="WSM116" s="77" t="str">
        <f t="shared" si="354"/>
        <v/>
      </c>
      <c r="WSN116" s="77" t="str">
        <f t="shared" si="354"/>
        <v/>
      </c>
      <c r="WSO116" s="77" t="str">
        <f t="shared" si="354"/>
        <v/>
      </c>
      <c r="WSP116" s="77" t="str">
        <f t="shared" si="354"/>
        <v/>
      </c>
      <c r="WSQ116" s="77" t="str">
        <f t="shared" si="354"/>
        <v/>
      </c>
      <c r="WSR116" s="77" t="str">
        <f t="shared" si="354"/>
        <v/>
      </c>
      <c r="WSS116" s="77" t="str">
        <f t="shared" si="354"/>
        <v/>
      </c>
      <c r="WST116" s="77" t="str">
        <f t="shared" si="354"/>
        <v/>
      </c>
      <c r="WSU116" s="77" t="str">
        <f t="shared" si="354"/>
        <v/>
      </c>
      <c r="WSV116" s="77" t="str">
        <f t="shared" si="354"/>
        <v/>
      </c>
      <c r="WSW116" s="77" t="str">
        <f t="shared" si="354"/>
        <v/>
      </c>
      <c r="WSX116" s="77" t="str">
        <f t="shared" si="354"/>
        <v/>
      </c>
      <c r="WSY116" s="77" t="str">
        <f t="shared" si="354"/>
        <v/>
      </c>
      <c r="WSZ116" s="77" t="str">
        <f t="shared" si="354"/>
        <v/>
      </c>
      <c r="WTA116" s="77" t="str">
        <f t="shared" si="354"/>
        <v/>
      </c>
      <c r="WTB116" s="77" t="str">
        <f t="shared" si="354"/>
        <v/>
      </c>
      <c r="WTC116" s="77" t="str">
        <f t="shared" si="354"/>
        <v/>
      </c>
      <c r="WTD116" s="77" t="str">
        <f t="shared" si="354"/>
        <v/>
      </c>
      <c r="WTE116" s="77" t="str">
        <f t="shared" si="354"/>
        <v/>
      </c>
      <c r="WTF116" s="77" t="str">
        <f t="shared" si="354"/>
        <v/>
      </c>
      <c r="WTG116" s="77" t="str">
        <f t="shared" si="354"/>
        <v/>
      </c>
      <c r="WTH116" s="77" t="str">
        <f t="shared" si="354"/>
        <v/>
      </c>
      <c r="WTI116" s="77" t="str">
        <f t="shared" si="354"/>
        <v/>
      </c>
      <c r="WTJ116" s="77" t="str">
        <f t="shared" si="354"/>
        <v/>
      </c>
      <c r="WTK116" s="77" t="str">
        <f t="shared" si="354"/>
        <v/>
      </c>
      <c r="WTL116" s="77" t="str">
        <f t="shared" si="354"/>
        <v/>
      </c>
      <c r="WTM116" s="77" t="str">
        <f t="shared" si="354"/>
        <v/>
      </c>
      <c r="WTN116" s="77" t="str">
        <f t="shared" si="354"/>
        <v/>
      </c>
      <c r="WTO116" s="77" t="str">
        <f t="shared" si="354"/>
        <v/>
      </c>
      <c r="WTP116" s="77" t="str">
        <f t="shared" si="354"/>
        <v/>
      </c>
      <c r="WTQ116" s="77" t="str">
        <f t="shared" si="354"/>
        <v/>
      </c>
      <c r="WTR116" s="77" t="str">
        <f t="shared" si="354"/>
        <v/>
      </c>
      <c r="WTS116" s="77" t="str">
        <f t="shared" si="354"/>
        <v/>
      </c>
      <c r="WTT116" s="77" t="str">
        <f t="shared" si="354"/>
        <v/>
      </c>
      <c r="WTU116" s="77" t="str">
        <f t="shared" si="354"/>
        <v/>
      </c>
      <c r="WTV116" s="77" t="str">
        <f t="shared" si="354"/>
        <v/>
      </c>
      <c r="WTW116" s="77" t="str">
        <f t="shared" si="354"/>
        <v/>
      </c>
      <c r="WTX116" s="77" t="str">
        <f t="shared" si="354"/>
        <v/>
      </c>
      <c r="WTY116" s="77" t="str">
        <f t="shared" si="354"/>
        <v/>
      </c>
      <c r="WTZ116" s="77" t="str">
        <f t="shared" si="354"/>
        <v/>
      </c>
      <c r="WUA116" s="77" t="str">
        <f t="shared" si="354"/>
        <v/>
      </c>
      <c r="WUB116" s="77" t="str">
        <f t="shared" si="354"/>
        <v/>
      </c>
      <c r="WUC116" s="77" t="str">
        <f t="shared" si="354"/>
        <v/>
      </c>
      <c r="WUD116" s="77" t="str">
        <f t="shared" si="354"/>
        <v/>
      </c>
      <c r="WUE116" s="77" t="str">
        <f t="shared" si="354"/>
        <v/>
      </c>
      <c r="WUF116" s="77" t="str">
        <f t="shared" si="354"/>
        <v/>
      </c>
      <c r="WUG116" s="77" t="str">
        <f t="shared" si="354"/>
        <v/>
      </c>
      <c r="WUH116" s="77" t="str">
        <f t="shared" si="354"/>
        <v/>
      </c>
      <c r="WUI116" s="77" t="str">
        <f t="shared" ref="WUI116:WWT116" si="355">IF(ISNUMBER(outYear),WUI69+WUI75+WUI81+WUI113,"")</f>
        <v/>
      </c>
      <c r="WUJ116" s="77" t="str">
        <f t="shared" si="355"/>
        <v/>
      </c>
      <c r="WUK116" s="77" t="str">
        <f t="shared" si="355"/>
        <v/>
      </c>
      <c r="WUL116" s="77" t="str">
        <f t="shared" si="355"/>
        <v/>
      </c>
      <c r="WUM116" s="77" t="str">
        <f t="shared" si="355"/>
        <v/>
      </c>
      <c r="WUN116" s="77" t="str">
        <f t="shared" si="355"/>
        <v/>
      </c>
      <c r="WUO116" s="77" t="str">
        <f t="shared" si="355"/>
        <v/>
      </c>
      <c r="WUP116" s="77" t="str">
        <f t="shared" si="355"/>
        <v/>
      </c>
      <c r="WUQ116" s="77" t="str">
        <f t="shared" si="355"/>
        <v/>
      </c>
      <c r="WUR116" s="77" t="str">
        <f t="shared" si="355"/>
        <v/>
      </c>
      <c r="WUS116" s="77" t="str">
        <f t="shared" si="355"/>
        <v/>
      </c>
      <c r="WUT116" s="77" t="str">
        <f t="shared" si="355"/>
        <v/>
      </c>
      <c r="WUU116" s="77" t="str">
        <f t="shared" si="355"/>
        <v/>
      </c>
      <c r="WUV116" s="77" t="str">
        <f t="shared" si="355"/>
        <v/>
      </c>
      <c r="WUW116" s="77" t="str">
        <f t="shared" si="355"/>
        <v/>
      </c>
      <c r="WUX116" s="77" t="str">
        <f t="shared" si="355"/>
        <v/>
      </c>
      <c r="WUY116" s="77" t="str">
        <f t="shared" si="355"/>
        <v/>
      </c>
      <c r="WUZ116" s="77" t="str">
        <f t="shared" si="355"/>
        <v/>
      </c>
      <c r="WVA116" s="77" t="str">
        <f t="shared" si="355"/>
        <v/>
      </c>
      <c r="WVB116" s="77" t="str">
        <f t="shared" si="355"/>
        <v/>
      </c>
      <c r="WVC116" s="77" t="str">
        <f t="shared" si="355"/>
        <v/>
      </c>
      <c r="WVD116" s="77" t="str">
        <f t="shared" si="355"/>
        <v/>
      </c>
      <c r="WVE116" s="77" t="str">
        <f t="shared" si="355"/>
        <v/>
      </c>
      <c r="WVF116" s="77" t="str">
        <f t="shared" si="355"/>
        <v/>
      </c>
      <c r="WVG116" s="77" t="str">
        <f t="shared" si="355"/>
        <v/>
      </c>
      <c r="WVH116" s="77" t="str">
        <f t="shared" si="355"/>
        <v/>
      </c>
      <c r="WVI116" s="77" t="str">
        <f t="shared" si="355"/>
        <v/>
      </c>
      <c r="WVJ116" s="77" t="str">
        <f t="shared" si="355"/>
        <v/>
      </c>
      <c r="WVK116" s="77" t="str">
        <f t="shared" si="355"/>
        <v/>
      </c>
      <c r="WVL116" s="77" t="str">
        <f t="shared" si="355"/>
        <v/>
      </c>
      <c r="WVM116" s="77" t="str">
        <f t="shared" si="355"/>
        <v/>
      </c>
      <c r="WVN116" s="77" t="str">
        <f t="shared" si="355"/>
        <v/>
      </c>
      <c r="WVO116" s="77" t="str">
        <f t="shared" si="355"/>
        <v/>
      </c>
      <c r="WVP116" s="77" t="str">
        <f t="shared" si="355"/>
        <v/>
      </c>
      <c r="WVQ116" s="77" t="str">
        <f t="shared" si="355"/>
        <v/>
      </c>
      <c r="WVR116" s="77" t="str">
        <f t="shared" si="355"/>
        <v/>
      </c>
      <c r="WVS116" s="77" t="str">
        <f t="shared" si="355"/>
        <v/>
      </c>
      <c r="WVT116" s="77" t="str">
        <f t="shared" si="355"/>
        <v/>
      </c>
      <c r="WVU116" s="77" t="str">
        <f t="shared" si="355"/>
        <v/>
      </c>
      <c r="WVV116" s="77" t="str">
        <f t="shared" si="355"/>
        <v/>
      </c>
      <c r="WVW116" s="77" t="str">
        <f t="shared" si="355"/>
        <v/>
      </c>
      <c r="WVX116" s="77" t="str">
        <f t="shared" si="355"/>
        <v/>
      </c>
      <c r="WVY116" s="77" t="str">
        <f t="shared" si="355"/>
        <v/>
      </c>
      <c r="WVZ116" s="77" t="str">
        <f t="shared" si="355"/>
        <v/>
      </c>
      <c r="WWA116" s="77" t="str">
        <f t="shared" si="355"/>
        <v/>
      </c>
      <c r="WWB116" s="77" t="str">
        <f t="shared" si="355"/>
        <v/>
      </c>
      <c r="WWC116" s="77" t="str">
        <f t="shared" si="355"/>
        <v/>
      </c>
      <c r="WWD116" s="77" t="str">
        <f t="shared" si="355"/>
        <v/>
      </c>
      <c r="WWE116" s="77" t="str">
        <f t="shared" si="355"/>
        <v/>
      </c>
      <c r="WWF116" s="77" t="str">
        <f t="shared" si="355"/>
        <v/>
      </c>
      <c r="WWG116" s="77" t="str">
        <f t="shared" si="355"/>
        <v/>
      </c>
      <c r="WWH116" s="77" t="str">
        <f t="shared" si="355"/>
        <v/>
      </c>
      <c r="WWI116" s="77" t="str">
        <f t="shared" si="355"/>
        <v/>
      </c>
      <c r="WWJ116" s="77" t="str">
        <f t="shared" si="355"/>
        <v/>
      </c>
      <c r="WWK116" s="77" t="str">
        <f t="shared" si="355"/>
        <v/>
      </c>
      <c r="WWL116" s="77" t="str">
        <f t="shared" si="355"/>
        <v/>
      </c>
      <c r="WWM116" s="77" t="str">
        <f t="shared" si="355"/>
        <v/>
      </c>
      <c r="WWN116" s="77" t="str">
        <f t="shared" si="355"/>
        <v/>
      </c>
      <c r="WWO116" s="77" t="str">
        <f t="shared" si="355"/>
        <v/>
      </c>
      <c r="WWP116" s="77" t="str">
        <f t="shared" si="355"/>
        <v/>
      </c>
      <c r="WWQ116" s="77" t="str">
        <f t="shared" si="355"/>
        <v/>
      </c>
      <c r="WWR116" s="77" t="str">
        <f t="shared" si="355"/>
        <v/>
      </c>
      <c r="WWS116" s="77" t="str">
        <f t="shared" si="355"/>
        <v/>
      </c>
      <c r="WWT116" s="77" t="str">
        <f t="shared" si="355"/>
        <v/>
      </c>
      <c r="WWU116" s="77" t="str">
        <f t="shared" ref="WWU116:WZF116" si="356">IF(ISNUMBER(outYear),WWU69+WWU75+WWU81+WWU113,"")</f>
        <v/>
      </c>
      <c r="WWV116" s="77" t="str">
        <f t="shared" si="356"/>
        <v/>
      </c>
      <c r="WWW116" s="77" t="str">
        <f t="shared" si="356"/>
        <v/>
      </c>
      <c r="WWX116" s="77" t="str">
        <f t="shared" si="356"/>
        <v/>
      </c>
      <c r="WWY116" s="77" t="str">
        <f t="shared" si="356"/>
        <v/>
      </c>
      <c r="WWZ116" s="77" t="str">
        <f t="shared" si="356"/>
        <v/>
      </c>
      <c r="WXA116" s="77" t="str">
        <f t="shared" si="356"/>
        <v/>
      </c>
      <c r="WXB116" s="77" t="str">
        <f t="shared" si="356"/>
        <v/>
      </c>
      <c r="WXC116" s="77" t="str">
        <f t="shared" si="356"/>
        <v/>
      </c>
      <c r="WXD116" s="77" t="str">
        <f t="shared" si="356"/>
        <v/>
      </c>
      <c r="WXE116" s="77" t="str">
        <f t="shared" si="356"/>
        <v/>
      </c>
      <c r="WXF116" s="77" t="str">
        <f t="shared" si="356"/>
        <v/>
      </c>
      <c r="WXG116" s="77" t="str">
        <f t="shared" si="356"/>
        <v/>
      </c>
      <c r="WXH116" s="77" t="str">
        <f t="shared" si="356"/>
        <v/>
      </c>
      <c r="WXI116" s="77" t="str">
        <f t="shared" si="356"/>
        <v/>
      </c>
      <c r="WXJ116" s="77" t="str">
        <f t="shared" si="356"/>
        <v/>
      </c>
      <c r="WXK116" s="77" t="str">
        <f t="shared" si="356"/>
        <v/>
      </c>
      <c r="WXL116" s="77" t="str">
        <f t="shared" si="356"/>
        <v/>
      </c>
      <c r="WXM116" s="77" t="str">
        <f t="shared" si="356"/>
        <v/>
      </c>
      <c r="WXN116" s="77" t="str">
        <f t="shared" si="356"/>
        <v/>
      </c>
      <c r="WXO116" s="77" t="str">
        <f t="shared" si="356"/>
        <v/>
      </c>
      <c r="WXP116" s="77" t="str">
        <f t="shared" si="356"/>
        <v/>
      </c>
      <c r="WXQ116" s="77" t="str">
        <f t="shared" si="356"/>
        <v/>
      </c>
      <c r="WXR116" s="77" t="str">
        <f t="shared" si="356"/>
        <v/>
      </c>
      <c r="WXS116" s="77" t="str">
        <f t="shared" si="356"/>
        <v/>
      </c>
      <c r="WXT116" s="77" t="str">
        <f t="shared" si="356"/>
        <v/>
      </c>
      <c r="WXU116" s="77" t="str">
        <f t="shared" si="356"/>
        <v/>
      </c>
      <c r="WXV116" s="77" t="str">
        <f t="shared" si="356"/>
        <v/>
      </c>
      <c r="WXW116" s="77" t="str">
        <f t="shared" si="356"/>
        <v/>
      </c>
      <c r="WXX116" s="77" t="str">
        <f t="shared" si="356"/>
        <v/>
      </c>
      <c r="WXY116" s="77" t="str">
        <f t="shared" si="356"/>
        <v/>
      </c>
      <c r="WXZ116" s="77" t="str">
        <f t="shared" si="356"/>
        <v/>
      </c>
      <c r="WYA116" s="77" t="str">
        <f t="shared" si="356"/>
        <v/>
      </c>
      <c r="WYB116" s="77" t="str">
        <f t="shared" si="356"/>
        <v/>
      </c>
      <c r="WYC116" s="77" t="str">
        <f t="shared" si="356"/>
        <v/>
      </c>
      <c r="WYD116" s="77" t="str">
        <f t="shared" si="356"/>
        <v/>
      </c>
      <c r="WYE116" s="77" t="str">
        <f t="shared" si="356"/>
        <v/>
      </c>
      <c r="WYF116" s="77" t="str">
        <f t="shared" si="356"/>
        <v/>
      </c>
      <c r="WYG116" s="77" t="str">
        <f t="shared" si="356"/>
        <v/>
      </c>
      <c r="WYH116" s="77" t="str">
        <f t="shared" si="356"/>
        <v/>
      </c>
      <c r="WYI116" s="77" t="str">
        <f t="shared" si="356"/>
        <v/>
      </c>
      <c r="WYJ116" s="77" t="str">
        <f t="shared" si="356"/>
        <v/>
      </c>
      <c r="WYK116" s="77" t="str">
        <f t="shared" si="356"/>
        <v/>
      </c>
      <c r="WYL116" s="77" t="str">
        <f t="shared" si="356"/>
        <v/>
      </c>
      <c r="WYM116" s="77" t="str">
        <f t="shared" si="356"/>
        <v/>
      </c>
      <c r="WYN116" s="77" t="str">
        <f t="shared" si="356"/>
        <v/>
      </c>
      <c r="WYO116" s="77" t="str">
        <f t="shared" si="356"/>
        <v/>
      </c>
      <c r="WYP116" s="77" t="str">
        <f t="shared" si="356"/>
        <v/>
      </c>
      <c r="WYQ116" s="77" t="str">
        <f t="shared" si="356"/>
        <v/>
      </c>
      <c r="WYR116" s="77" t="str">
        <f t="shared" si="356"/>
        <v/>
      </c>
      <c r="WYS116" s="77" t="str">
        <f t="shared" si="356"/>
        <v/>
      </c>
      <c r="WYT116" s="77" t="str">
        <f t="shared" si="356"/>
        <v/>
      </c>
      <c r="WYU116" s="77" t="str">
        <f t="shared" si="356"/>
        <v/>
      </c>
      <c r="WYV116" s="77" t="str">
        <f t="shared" si="356"/>
        <v/>
      </c>
      <c r="WYW116" s="77" t="str">
        <f t="shared" si="356"/>
        <v/>
      </c>
      <c r="WYX116" s="77" t="str">
        <f t="shared" si="356"/>
        <v/>
      </c>
      <c r="WYY116" s="77" t="str">
        <f t="shared" si="356"/>
        <v/>
      </c>
      <c r="WYZ116" s="77" t="str">
        <f t="shared" si="356"/>
        <v/>
      </c>
      <c r="WZA116" s="77" t="str">
        <f t="shared" si="356"/>
        <v/>
      </c>
      <c r="WZB116" s="77" t="str">
        <f t="shared" si="356"/>
        <v/>
      </c>
      <c r="WZC116" s="77" t="str">
        <f t="shared" si="356"/>
        <v/>
      </c>
      <c r="WZD116" s="77" t="str">
        <f t="shared" si="356"/>
        <v/>
      </c>
      <c r="WZE116" s="77" t="str">
        <f t="shared" si="356"/>
        <v/>
      </c>
      <c r="WZF116" s="77" t="str">
        <f t="shared" si="356"/>
        <v/>
      </c>
      <c r="WZG116" s="77" t="str">
        <f t="shared" ref="WZG116:XBR116" si="357">IF(ISNUMBER(outYear),WZG69+WZG75+WZG81+WZG113,"")</f>
        <v/>
      </c>
      <c r="WZH116" s="77" t="str">
        <f t="shared" si="357"/>
        <v/>
      </c>
      <c r="WZI116" s="77" t="str">
        <f t="shared" si="357"/>
        <v/>
      </c>
      <c r="WZJ116" s="77" t="str">
        <f t="shared" si="357"/>
        <v/>
      </c>
      <c r="WZK116" s="77" t="str">
        <f t="shared" si="357"/>
        <v/>
      </c>
      <c r="WZL116" s="77" t="str">
        <f t="shared" si="357"/>
        <v/>
      </c>
      <c r="WZM116" s="77" t="str">
        <f t="shared" si="357"/>
        <v/>
      </c>
      <c r="WZN116" s="77" t="str">
        <f t="shared" si="357"/>
        <v/>
      </c>
      <c r="WZO116" s="77" t="str">
        <f t="shared" si="357"/>
        <v/>
      </c>
      <c r="WZP116" s="77" t="str">
        <f t="shared" si="357"/>
        <v/>
      </c>
      <c r="WZQ116" s="77" t="str">
        <f t="shared" si="357"/>
        <v/>
      </c>
      <c r="WZR116" s="77" t="str">
        <f t="shared" si="357"/>
        <v/>
      </c>
      <c r="WZS116" s="77" t="str">
        <f t="shared" si="357"/>
        <v/>
      </c>
      <c r="WZT116" s="77" t="str">
        <f t="shared" si="357"/>
        <v/>
      </c>
      <c r="WZU116" s="77" t="str">
        <f t="shared" si="357"/>
        <v/>
      </c>
      <c r="WZV116" s="77" t="str">
        <f t="shared" si="357"/>
        <v/>
      </c>
      <c r="WZW116" s="77" t="str">
        <f t="shared" si="357"/>
        <v/>
      </c>
      <c r="WZX116" s="77" t="str">
        <f t="shared" si="357"/>
        <v/>
      </c>
      <c r="WZY116" s="77" t="str">
        <f t="shared" si="357"/>
        <v/>
      </c>
      <c r="WZZ116" s="77" t="str">
        <f t="shared" si="357"/>
        <v/>
      </c>
      <c r="XAA116" s="77" t="str">
        <f t="shared" si="357"/>
        <v/>
      </c>
      <c r="XAB116" s="77" t="str">
        <f t="shared" si="357"/>
        <v/>
      </c>
      <c r="XAC116" s="77" t="str">
        <f t="shared" si="357"/>
        <v/>
      </c>
      <c r="XAD116" s="77" t="str">
        <f t="shared" si="357"/>
        <v/>
      </c>
      <c r="XAE116" s="77" t="str">
        <f t="shared" si="357"/>
        <v/>
      </c>
      <c r="XAF116" s="77" t="str">
        <f t="shared" si="357"/>
        <v/>
      </c>
      <c r="XAG116" s="77" t="str">
        <f t="shared" si="357"/>
        <v/>
      </c>
      <c r="XAH116" s="77" t="str">
        <f t="shared" si="357"/>
        <v/>
      </c>
      <c r="XAI116" s="77" t="str">
        <f t="shared" si="357"/>
        <v/>
      </c>
      <c r="XAJ116" s="77" t="str">
        <f t="shared" si="357"/>
        <v/>
      </c>
      <c r="XAK116" s="77" t="str">
        <f t="shared" si="357"/>
        <v/>
      </c>
      <c r="XAL116" s="77" t="str">
        <f t="shared" si="357"/>
        <v/>
      </c>
      <c r="XAM116" s="77" t="str">
        <f t="shared" si="357"/>
        <v/>
      </c>
      <c r="XAN116" s="77" t="str">
        <f t="shared" si="357"/>
        <v/>
      </c>
      <c r="XAO116" s="77" t="str">
        <f t="shared" si="357"/>
        <v/>
      </c>
      <c r="XAP116" s="77" t="str">
        <f t="shared" si="357"/>
        <v/>
      </c>
      <c r="XAQ116" s="77" t="str">
        <f t="shared" si="357"/>
        <v/>
      </c>
      <c r="XAR116" s="77" t="str">
        <f t="shared" si="357"/>
        <v/>
      </c>
      <c r="XAS116" s="77" t="str">
        <f t="shared" si="357"/>
        <v/>
      </c>
      <c r="XAT116" s="77" t="str">
        <f t="shared" si="357"/>
        <v/>
      </c>
      <c r="XAU116" s="77" t="str">
        <f t="shared" si="357"/>
        <v/>
      </c>
      <c r="XAV116" s="77" t="str">
        <f t="shared" si="357"/>
        <v/>
      </c>
      <c r="XAW116" s="77" t="str">
        <f t="shared" si="357"/>
        <v/>
      </c>
      <c r="XAX116" s="77" t="str">
        <f t="shared" si="357"/>
        <v/>
      </c>
      <c r="XAY116" s="77" t="str">
        <f t="shared" si="357"/>
        <v/>
      </c>
      <c r="XAZ116" s="77" t="str">
        <f t="shared" si="357"/>
        <v/>
      </c>
      <c r="XBA116" s="77" t="str">
        <f t="shared" si="357"/>
        <v/>
      </c>
      <c r="XBB116" s="77" t="str">
        <f t="shared" si="357"/>
        <v/>
      </c>
      <c r="XBC116" s="77" t="str">
        <f t="shared" si="357"/>
        <v/>
      </c>
      <c r="XBD116" s="77" t="str">
        <f t="shared" si="357"/>
        <v/>
      </c>
      <c r="XBE116" s="77" t="str">
        <f t="shared" si="357"/>
        <v/>
      </c>
      <c r="XBF116" s="77" t="str">
        <f t="shared" si="357"/>
        <v/>
      </c>
      <c r="XBG116" s="77" t="str">
        <f t="shared" si="357"/>
        <v/>
      </c>
      <c r="XBH116" s="77" t="str">
        <f t="shared" si="357"/>
        <v/>
      </c>
      <c r="XBI116" s="77" t="str">
        <f t="shared" si="357"/>
        <v/>
      </c>
      <c r="XBJ116" s="77" t="str">
        <f t="shared" si="357"/>
        <v/>
      </c>
      <c r="XBK116" s="77" t="str">
        <f t="shared" si="357"/>
        <v/>
      </c>
      <c r="XBL116" s="77" t="str">
        <f t="shared" si="357"/>
        <v/>
      </c>
      <c r="XBM116" s="77" t="str">
        <f t="shared" si="357"/>
        <v/>
      </c>
      <c r="XBN116" s="77" t="str">
        <f t="shared" si="357"/>
        <v/>
      </c>
      <c r="XBO116" s="77" t="str">
        <f t="shared" si="357"/>
        <v/>
      </c>
      <c r="XBP116" s="77" t="str">
        <f t="shared" si="357"/>
        <v/>
      </c>
      <c r="XBQ116" s="77" t="str">
        <f t="shared" si="357"/>
        <v/>
      </c>
      <c r="XBR116" s="77" t="str">
        <f t="shared" si="357"/>
        <v/>
      </c>
      <c r="XBS116" s="77" t="str">
        <f t="shared" ref="XBS116:XED116" si="358">IF(ISNUMBER(outYear),XBS69+XBS75+XBS81+XBS113,"")</f>
        <v/>
      </c>
      <c r="XBT116" s="77" t="str">
        <f t="shared" si="358"/>
        <v/>
      </c>
      <c r="XBU116" s="77" t="str">
        <f t="shared" si="358"/>
        <v/>
      </c>
      <c r="XBV116" s="77" t="str">
        <f t="shared" si="358"/>
        <v/>
      </c>
      <c r="XBW116" s="77" t="str">
        <f t="shared" si="358"/>
        <v/>
      </c>
      <c r="XBX116" s="77" t="str">
        <f t="shared" si="358"/>
        <v/>
      </c>
      <c r="XBY116" s="77" t="str">
        <f t="shared" si="358"/>
        <v/>
      </c>
      <c r="XBZ116" s="77" t="str">
        <f t="shared" si="358"/>
        <v/>
      </c>
      <c r="XCA116" s="77" t="str">
        <f t="shared" si="358"/>
        <v/>
      </c>
      <c r="XCB116" s="77" t="str">
        <f t="shared" si="358"/>
        <v/>
      </c>
      <c r="XCC116" s="77" t="str">
        <f t="shared" si="358"/>
        <v/>
      </c>
      <c r="XCD116" s="77" t="str">
        <f t="shared" si="358"/>
        <v/>
      </c>
      <c r="XCE116" s="77" t="str">
        <f t="shared" si="358"/>
        <v/>
      </c>
      <c r="XCF116" s="77" t="str">
        <f t="shared" si="358"/>
        <v/>
      </c>
      <c r="XCG116" s="77" t="str">
        <f t="shared" si="358"/>
        <v/>
      </c>
      <c r="XCH116" s="77" t="str">
        <f t="shared" si="358"/>
        <v/>
      </c>
      <c r="XCI116" s="77" t="str">
        <f t="shared" si="358"/>
        <v/>
      </c>
      <c r="XCJ116" s="77" t="str">
        <f t="shared" si="358"/>
        <v/>
      </c>
      <c r="XCK116" s="77" t="str">
        <f t="shared" si="358"/>
        <v/>
      </c>
      <c r="XCL116" s="77" t="str">
        <f t="shared" si="358"/>
        <v/>
      </c>
      <c r="XCM116" s="77" t="str">
        <f t="shared" si="358"/>
        <v/>
      </c>
      <c r="XCN116" s="77" t="str">
        <f t="shared" si="358"/>
        <v/>
      </c>
      <c r="XCO116" s="77" t="str">
        <f t="shared" si="358"/>
        <v/>
      </c>
      <c r="XCP116" s="77" t="str">
        <f t="shared" si="358"/>
        <v/>
      </c>
      <c r="XCQ116" s="77" t="str">
        <f t="shared" si="358"/>
        <v/>
      </c>
      <c r="XCR116" s="77" t="str">
        <f t="shared" si="358"/>
        <v/>
      </c>
      <c r="XCS116" s="77" t="str">
        <f t="shared" si="358"/>
        <v/>
      </c>
      <c r="XCT116" s="77" t="str">
        <f t="shared" si="358"/>
        <v/>
      </c>
      <c r="XCU116" s="77" t="str">
        <f t="shared" si="358"/>
        <v/>
      </c>
      <c r="XCV116" s="77" t="str">
        <f t="shared" si="358"/>
        <v/>
      </c>
      <c r="XCW116" s="77" t="str">
        <f t="shared" si="358"/>
        <v/>
      </c>
      <c r="XCX116" s="77" t="str">
        <f t="shared" si="358"/>
        <v/>
      </c>
      <c r="XCY116" s="77" t="str">
        <f t="shared" si="358"/>
        <v/>
      </c>
      <c r="XCZ116" s="77" t="str">
        <f t="shared" si="358"/>
        <v/>
      </c>
      <c r="XDA116" s="77" t="str">
        <f t="shared" si="358"/>
        <v/>
      </c>
      <c r="XDB116" s="77" t="str">
        <f t="shared" si="358"/>
        <v/>
      </c>
      <c r="XDC116" s="77" t="str">
        <f t="shared" si="358"/>
        <v/>
      </c>
      <c r="XDD116" s="77" t="str">
        <f t="shared" si="358"/>
        <v/>
      </c>
      <c r="XDE116" s="77" t="str">
        <f t="shared" si="358"/>
        <v/>
      </c>
      <c r="XDF116" s="77" t="str">
        <f t="shared" si="358"/>
        <v/>
      </c>
      <c r="XDG116" s="77" t="str">
        <f t="shared" si="358"/>
        <v/>
      </c>
      <c r="XDH116" s="77" t="str">
        <f t="shared" si="358"/>
        <v/>
      </c>
      <c r="XDI116" s="77" t="str">
        <f t="shared" si="358"/>
        <v/>
      </c>
      <c r="XDJ116" s="77" t="str">
        <f t="shared" si="358"/>
        <v/>
      </c>
      <c r="XDK116" s="77" t="str">
        <f t="shared" si="358"/>
        <v/>
      </c>
      <c r="XDL116" s="77" t="str">
        <f t="shared" si="358"/>
        <v/>
      </c>
      <c r="XDM116" s="77" t="str">
        <f t="shared" si="358"/>
        <v/>
      </c>
      <c r="XDN116" s="77" t="str">
        <f t="shared" si="358"/>
        <v/>
      </c>
      <c r="XDO116" s="77" t="str">
        <f t="shared" si="358"/>
        <v/>
      </c>
      <c r="XDP116" s="77" t="str">
        <f t="shared" si="358"/>
        <v/>
      </c>
      <c r="XDQ116" s="77" t="str">
        <f t="shared" si="358"/>
        <v/>
      </c>
      <c r="XDR116" s="77" t="str">
        <f t="shared" si="358"/>
        <v/>
      </c>
      <c r="XDS116" s="77" t="str">
        <f t="shared" si="358"/>
        <v/>
      </c>
      <c r="XDT116" s="77" t="str">
        <f t="shared" si="358"/>
        <v/>
      </c>
      <c r="XDU116" s="77" t="str">
        <f t="shared" si="358"/>
        <v/>
      </c>
      <c r="XDV116" s="77" t="str">
        <f t="shared" si="358"/>
        <v/>
      </c>
      <c r="XDW116" s="77" t="str">
        <f t="shared" si="358"/>
        <v/>
      </c>
      <c r="XDX116" s="77" t="str">
        <f t="shared" si="358"/>
        <v/>
      </c>
      <c r="XDY116" s="77" t="str">
        <f t="shared" si="358"/>
        <v/>
      </c>
      <c r="XDZ116" s="77" t="str">
        <f t="shared" si="358"/>
        <v/>
      </c>
      <c r="XEA116" s="77" t="str">
        <f t="shared" si="358"/>
        <v/>
      </c>
      <c r="XEB116" s="77" t="str">
        <f t="shared" si="358"/>
        <v/>
      </c>
      <c r="XEC116" s="77" t="str">
        <f t="shared" si="358"/>
        <v/>
      </c>
      <c r="XED116" s="77" t="str">
        <f t="shared" si="358"/>
        <v/>
      </c>
      <c r="XEE116" s="77" t="str">
        <f t="shared" ref="XEE116:XFD116" si="359">IF(ISNUMBER(outYear),XEE69+XEE75+XEE81+XEE113,"")</f>
        <v/>
      </c>
      <c r="XEF116" s="77" t="str">
        <f t="shared" si="359"/>
        <v/>
      </c>
      <c r="XEG116" s="77" t="str">
        <f t="shared" si="359"/>
        <v/>
      </c>
      <c r="XEH116" s="77" t="str">
        <f t="shared" si="359"/>
        <v/>
      </c>
      <c r="XEI116" s="77" t="str">
        <f t="shared" si="359"/>
        <v/>
      </c>
      <c r="XEJ116" s="77" t="str">
        <f t="shared" si="359"/>
        <v/>
      </c>
      <c r="XEK116" s="77" t="str">
        <f t="shared" si="359"/>
        <v/>
      </c>
      <c r="XEL116" s="77" t="str">
        <f t="shared" si="359"/>
        <v/>
      </c>
      <c r="XEM116" s="77" t="str">
        <f t="shared" si="359"/>
        <v/>
      </c>
      <c r="XEN116" s="77" t="str">
        <f t="shared" si="359"/>
        <v/>
      </c>
      <c r="XEO116" s="77" t="str">
        <f t="shared" si="359"/>
        <v/>
      </c>
      <c r="XEP116" s="77" t="str">
        <f t="shared" si="359"/>
        <v/>
      </c>
      <c r="XEQ116" s="77" t="str">
        <f t="shared" si="359"/>
        <v/>
      </c>
      <c r="XER116" s="77" t="str">
        <f t="shared" si="359"/>
        <v/>
      </c>
      <c r="XES116" s="77" t="str">
        <f t="shared" si="359"/>
        <v/>
      </c>
      <c r="XET116" s="77" t="str">
        <f t="shared" si="359"/>
        <v/>
      </c>
      <c r="XEU116" s="77" t="str">
        <f t="shared" si="359"/>
        <v/>
      </c>
      <c r="XEV116" s="77" t="str">
        <f t="shared" si="359"/>
        <v/>
      </c>
      <c r="XEW116" s="77" t="str">
        <f t="shared" si="359"/>
        <v/>
      </c>
      <c r="XEX116" s="77" t="str">
        <f t="shared" si="359"/>
        <v/>
      </c>
      <c r="XEY116" s="77" t="str">
        <f t="shared" si="359"/>
        <v/>
      </c>
      <c r="XEZ116" s="77" t="str">
        <f t="shared" si="359"/>
        <v/>
      </c>
      <c r="XFA116" s="77" t="str">
        <f t="shared" si="359"/>
        <v/>
      </c>
      <c r="XFB116" s="77" t="str">
        <f t="shared" si="359"/>
        <v/>
      </c>
      <c r="XFC116" s="77" t="str">
        <f t="shared" si="359"/>
        <v/>
      </c>
      <c r="XFD116" s="77" t="str">
        <f t="shared" si="359"/>
        <v/>
      </c>
    </row>
    <row r="117" spans="1:16384" s="72" customFormat="1" x14ac:dyDescent="0.25">
      <c r="A117" s="53" t="s">
        <v>64</v>
      </c>
      <c r="B117" s="76"/>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c r="BH117" s="77"/>
      <c r="BI117" s="77"/>
      <c r="BJ117" s="77"/>
      <c r="BK117" s="77"/>
      <c r="BL117" s="77"/>
      <c r="BM117" s="77"/>
      <c r="BN117" s="77"/>
      <c r="BO117" s="77"/>
      <c r="BP117" s="77"/>
      <c r="BQ117" s="77"/>
      <c r="BR117" s="77"/>
      <c r="BS117" s="77"/>
      <c r="BT117" s="77"/>
      <c r="BU117" s="77"/>
      <c r="BV117" s="77"/>
      <c r="BW117" s="77"/>
      <c r="BX117" s="77"/>
      <c r="BY117" s="77"/>
      <c r="BZ117" s="77"/>
      <c r="CA117" s="77"/>
      <c r="CB117" s="77"/>
      <c r="CC117" s="77"/>
      <c r="CD117" s="77"/>
      <c r="CE117" s="77"/>
      <c r="CF117" s="77"/>
      <c r="CG117" s="77"/>
      <c r="CH117" s="77"/>
      <c r="CI117" s="77"/>
      <c r="CJ117" s="77"/>
      <c r="CK117" s="77"/>
      <c r="CL117" s="77"/>
      <c r="CM117" s="77"/>
      <c r="CN117" s="77"/>
      <c r="CO117" s="77"/>
      <c r="CP117" s="77"/>
      <c r="CQ117" s="77"/>
      <c r="CR117" s="77"/>
      <c r="CS117" s="77"/>
      <c r="CT117" s="77"/>
      <c r="CU117" s="77"/>
      <c r="CV117" s="77"/>
      <c r="CW117" s="77"/>
      <c r="CX117" s="77"/>
    </row>
    <row r="118" spans="1:16384" s="72" customFormat="1" x14ac:dyDescent="0.25">
      <c r="A118" s="59" t="s">
        <v>68</v>
      </c>
      <c r="B118" s="76"/>
      <c r="C118" s="77" t="str">
        <f t="shared" ref="C118:AH118" si="360">C48</f>
        <v/>
      </c>
      <c r="D118" s="77" t="str">
        <f t="shared" si="360"/>
        <v/>
      </c>
      <c r="E118" s="77" t="str">
        <f t="shared" si="360"/>
        <v/>
      </c>
      <c r="F118" s="77" t="str">
        <f t="shared" si="360"/>
        <v/>
      </c>
      <c r="G118" s="77" t="str">
        <f t="shared" si="360"/>
        <v/>
      </c>
      <c r="H118" s="77" t="str">
        <f t="shared" si="360"/>
        <v/>
      </c>
      <c r="I118" s="77" t="str">
        <f t="shared" si="360"/>
        <v/>
      </c>
      <c r="J118" s="77" t="str">
        <f t="shared" si="360"/>
        <v/>
      </c>
      <c r="K118" s="77" t="str">
        <f t="shared" si="360"/>
        <v/>
      </c>
      <c r="L118" s="77" t="str">
        <f t="shared" si="360"/>
        <v/>
      </c>
      <c r="M118" s="77" t="str">
        <f t="shared" si="360"/>
        <v/>
      </c>
      <c r="N118" s="77" t="str">
        <f t="shared" si="360"/>
        <v/>
      </c>
      <c r="O118" s="77" t="str">
        <f t="shared" si="360"/>
        <v/>
      </c>
      <c r="P118" s="77" t="str">
        <f t="shared" si="360"/>
        <v/>
      </c>
      <c r="Q118" s="77" t="str">
        <f t="shared" si="360"/>
        <v/>
      </c>
      <c r="R118" s="77" t="str">
        <f t="shared" si="360"/>
        <v/>
      </c>
      <c r="S118" s="77" t="str">
        <f t="shared" si="360"/>
        <v/>
      </c>
      <c r="T118" s="77" t="str">
        <f t="shared" si="360"/>
        <v/>
      </c>
      <c r="U118" s="77" t="str">
        <f t="shared" si="360"/>
        <v/>
      </c>
      <c r="V118" s="77" t="str">
        <f t="shared" si="360"/>
        <v/>
      </c>
      <c r="W118" s="77" t="str">
        <f t="shared" si="360"/>
        <v/>
      </c>
      <c r="X118" s="77" t="str">
        <f t="shared" si="360"/>
        <v/>
      </c>
      <c r="Y118" s="77" t="str">
        <f t="shared" si="360"/>
        <v/>
      </c>
      <c r="Z118" s="77" t="str">
        <f t="shared" si="360"/>
        <v/>
      </c>
      <c r="AA118" s="77" t="str">
        <f t="shared" si="360"/>
        <v/>
      </c>
      <c r="AB118" s="77" t="str">
        <f t="shared" si="360"/>
        <v/>
      </c>
      <c r="AC118" s="77" t="str">
        <f t="shared" si="360"/>
        <v/>
      </c>
      <c r="AD118" s="77" t="str">
        <f t="shared" si="360"/>
        <v/>
      </c>
      <c r="AE118" s="77" t="str">
        <f t="shared" si="360"/>
        <v/>
      </c>
      <c r="AF118" s="77" t="str">
        <f t="shared" si="360"/>
        <v/>
      </c>
      <c r="AG118" s="77" t="str">
        <f t="shared" si="360"/>
        <v/>
      </c>
      <c r="AH118" s="77" t="str">
        <f t="shared" si="360"/>
        <v/>
      </c>
      <c r="AI118" s="77" t="str">
        <f t="shared" ref="AI118:BN118" si="361">AI48</f>
        <v/>
      </c>
      <c r="AJ118" s="77" t="str">
        <f t="shared" si="361"/>
        <v/>
      </c>
      <c r="AK118" s="77" t="str">
        <f t="shared" si="361"/>
        <v/>
      </c>
      <c r="AL118" s="77" t="str">
        <f t="shared" si="361"/>
        <v/>
      </c>
      <c r="AM118" s="77" t="str">
        <f t="shared" si="361"/>
        <v/>
      </c>
      <c r="AN118" s="77" t="str">
        <f t="shared" si="361"/>
        <v/>
      </c>
      <c r="AO118" s="77" t="str">
        <f t="shared" si="361"/>
        <v/>
      </c>
      <c r="AP118" s="77" t="str">
        <f t="shared" si="361"/>
        <v/>
      </c>
      <c r="AQ118" s="77" t="str">
        <f t="shared" si="361"/>
        <v/>
      </c>
      <c r="AR118" s="77" t="str">
        <f t="shared" si="361"/>
        <v/>
      </c>
      <c r="AS118" s="77" t="str">
        <f t="shared" si="361"/>
        <v/>
      </c>
      <c r="AT118" s="77" t="str">
        <f t="shared" si="361"/>
        <v/>
      </c>
      <c r="AU118" s="77" t="str">
        <f t="shared" si="361"/>
        <v/>
      </c>
      <c r="AV118" s="77" t="str">
        <f t="shared" si="361"/>
        <v/>
      </c>
      <c r="AW118" s="77" t="str">
        <f t="shared" si="361"/>
        <v/>
      </c>
      <c r="AX118" s="77" t="str">
        <f t="shared" si="361"/>
        <v/>
      </c>
      <c r="AY118" s="77" t="str">
        <f t="shared" si="361"/>
        <v/>
      </c>
      <c r="AZ118" s="77" t="str">
        <f t="shared" si="361"/>
        <v/>
      </c>
      <c r="BA118" s="77" t="str">
        <f t="shared" si="361"/>
        <v/>
      </c>
      <c r="BB118" s="77" t="str">
        <f t="shared" si="361"/>
        <v/>
      </c>
      <c r="BC118" s="77" t="str">
        <f t="shared" si="361"/>
        <v/>
      </c>
      <c r="BD118" s="77" t="str">
        <f t="shared" si="361"/>
        <v/>
      </c>
      <c r="BE118" s="77" t="str">
        <f t="shared" si="361"/>
        <v/>
      </c>
      <c r="BF118" s="77" t="str">
        <f t="shared" si="361"/>
        <v/>
      </c>
      <c r="BG118" s="77" t="str">
        <f t="shared" si="361"/>
        <v/>
      </c>
      <c r="BH118" s="77" t="str">
        <f t="shared" si="361"/>
        <v/>
      </c>
      <c r="BI118" s="77" t="str">
        <f t="shared" si="361"/>
        <v/>
      </c>
      <c r="BJ118" s="77" t="str">
        <f t="shared" si="361"/>
        <v/>
      </c>
      <c r="BK118" s="77" t="str">
        <f t="shared" si="361"/>
        <v/>
      </c>
      <c r="BL118" s="77" t="str">
        <f t="shared" si="361"/>
        <v/>
      </c>
      <c r="BM118" s="77" t="str">
        <f t="shared" si="361"/>
        <v/>
      </c>
      <c r="BN118" s="77" t="str">
        <f t="shared" si="361"/>
        <v/>
      </c>
      <c r="BO118" s="77" t="str">
        <f t="shared" ref="BO118:CX118" si="362">BO48</f>
        <v/>
      </c>
      <c r="BP118" s="77" t="str">
        <f t="shared" si="362"/>
        <v/>
      </c>
      <c r="BQ118" s="77" t="str">
        <f t="shared" si="362"/>
        <v/>
      </c>
      <c r="BR118" s="77" t="str">
        <f t="shared" si="362"/>
        <v/>
      </c>
      <c r="BS118" s="77" t="str">
        <f t="shared" si="362"/>
        <v/>
      </c>
      <c r="BT118" s="77" t="str">
        <f t="shared" si="362"/>
        <v/>
      </c>
      <c r="BU118" s="77" t="str">
        <f t="shared" si="362"/>
        <v/>
      </c>
      <c r="BV118" s="77" t="str">
        <f t="shared" si="362"/>
        <v/>
      </c>
      <c r="BW118" s="77" t="str">
        <f t="shared" si="362"/>
        <v/>
      </c>
      <c r="BX118" s="77" t="str">
        <f t="shared" si="362"/>
        <v/>
      </c>
      <c r="BY118" s="77" t="str">
        <f t="shared" si="362"/>
        <v/>
      </c>
      <c r="BZ118" s="77" t="str">
        <f t="shared" si="362"/>
        <v/>
      </c>
      <c r="CA118" s="77" t="str">
        <f t="shared" si="362"/>
        <v/>
      </c>
      <c r="CB118" s="77" t="str">
        <f t="shared" si="362"/>
        <v/>
      </c>
      <c r="CC118" s="77" t="str">
        <f t="shared" si="362"/>
        <v/>
      </c>
      <c r="CD118" s="77" t="str">
        <f t="shared" si="362"/>
        <v/>
      </c>
      <c r="CE118" s="77" t="str">
        <f t="shared" si="362"/>
        <v/>
      </c>
      <c r="CF118" s="77" t="str">
        <f t="shared" si="362"/>
        <v/>
      </c>
      <c r="CG118" s="77" t="str">
        <f t="shared" si="362"/>
        <v/>
      </c>
      <c r="CH118" s="77" t="str">
        <f t="shared" si="362"/>
        <v/>
      </c>
      <c r="CI118" s="77" t="str">
        <f t="shared" si="362"/>
        <v/>
      </c>
      <c r="CJ118" s="77" t="str">
        <f t="shared" si="362"/>
        <v/>
      </c>
      <c r="CK118" s="77" t="str">
        <f t="shared" si="362"/>
        <v/>
      </c>
      <c r="CL118" s="77" t="str">
        <f t="shared" si="362"/>
        <v/>
      </c>
      <c r="CM118" s="77" t="str">
        <f t="shared" si="362"/>
        <v/>
      </c>
      <c r="CN118" s="77" t="str">
        <f t="shared" si="362"/>
        <v/>
      </c>
      <c r="CO118" s="77" t="str">
        <f t="shared" si="362"/>
        <v/>
      </c>
      <c r="CP118" s="77" t="str">
        <f t="shared" si="362"/>
        <v/>
      </c>
      <c r="CQ118" s="77" t="str">
        <f t="shared" si="362"/>
        <v/>
      </c>
      <c r="CR118" s="77" t="str">
        <f t="shared" si="362"/>
        <v/>
      </c>
      <c r="CS118" s="77" t="str">
        <f t="shared" si="362"/>
        <v/>
      </c>
      <c r="CT118" s="77" t="str">
        <f t="shared" si="362"/>
        <v/>
      </c>
      <c r="CU118" s="77" t="str">
        <f t="shared" si="362"/>
        <v/>
      </c>
      <c r="CV118" s="77" t="str">
        <f t="shared" si="362"/>
        <v/>
      </c>
      <c r="CW118" s="77" t="str">
        <f t="shared" si="362"/>
        <v/>
      </c>
      <c r="CX118" s="77" t="str">
        <f t="shared" si="362"/>
        <v/>
      </c>
    </row>
    <row r="119" spans="1:16384" s="72" customFormat="1" x14ac:dyDescent="0.25">
      <c r="A119" s="59" t="s">
        <v>52</v>
      </c>
      <c r="B119" s="76"/>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77"/>
      <c r="AI119" s="77"/>
      <c r="AJ119" s="77"/>
      <c r="AK119" s="77"/>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c r="BH119" s="77"/>
      <c r="BI119" s="77"/>
      <c r="BJ119" s="77"/>
      <c r="BK119" s="77"/>
      <c r="BL119" s="77"/>
      <c r="BM119" s="77"/>
      <c r="BN119" s="77"/>
      <c r="BO119" s="77"/>
      <c r="BP119" s="77"/>
      <c r="BQ119" s="77"/>
      <c r="BR119" s="77"/>
      <c r="BS119" s="77"/>
      <c r="BT119" s="77"/>
      <c r="BU119" s="77"/>
      <c r="BV119" s="77"/>
      <c r="BW119" s="77"/>
      <c r="BX119" s="77"/>
      <c r="BY119" s="77"/>
      <c r="BZ119" s="77"/>
      <c r="CA119" s="77"/>
      <c r="CB119" s="77"/>
      <c r="CC119" s="77"/>
      <c r="CD119" s="77"/>
      <c r="CE119" s="77"/>
      <c r="CF119" s="77"/>
      <c r="CG119" s="77"/>
      <c r="CH119" s="77"/>
      <c r="CI119" s="77"/>
      <c r="CJ119" s="77"/>
      <c r="CK119" s="77"/>
      <c r="CL119" s="77"/>
      <c r="CM119" s="77"/>
      <c r="CN119" s="77"/>
      <c r="CO119" s="77"/>
      <c r="CP119" s="77"/>
      <c r="CQ119" s="77"/>
      <c r="CR119" s="77"/>
      <c r="CS119" s="77"/>
      <c r="CT119" s="77"/>
      <c r="CU119" s="77"/>
      <c r="CV119" s="77"/>
      <c r="CW119" s="77"/>
      <c r="CX119" s="77"/>
    </row>
    <row r="120" spans="1:16384" s="72" customFormat="1" x14ac:dyDescent="0.25">
      <c r="A120" s="60" t="s">
        <v>1</v>
      </c>
      <c r="B120" s="76"/>
      <c r="C120" s="77" t="str">
        <f t="shared" ref="C120:AH120" si="363">IF(ISNUMBER(outYear),C269,"")</f>
        <v/>
      </c>
      <c r="D120" s="77" t="str">
        <f t="shared" si="363"/>
        <v/>
      </c>
      <c r="E120" s="77" t="str">
        <f t="shared" si="363"/>
        <v/>
      </c>
      <c r="F120" s="77" t="str">
        <f t="shared" si="363"/>
        <v/>
      </c>
      <c r="G120" s="77" t="str">
        <f t="shared" si="363"/>
        <v/>
      </c>
      <c r="H120" s="77" t="str">
        <f t="shared" si="363"/>
        <v/>
      </c>
      <c r="I120" s="77" t="str">
        <f t="shared" si="363"/>
        <v/>
      </c>
      <c r="J120" s="77" t="str">
        <f t="shared" si="363"/>
        <v/>
      </c>
      <c r="K120" s="77" t="str">
        <f t="shared" si="363"/>
        <v/>
      </c>
      <c r="L120" s="77" t="str">
        <f t="shared" si="363"/>
        <v/>
      </c>
      <c r="M120" s="77" t="str">
        <f t="shared" si="363"/>
        <v/>
      </c>
      <c r="N120" s="77" t="str">
        <f t="shared" si="363"/>
        <v/>
      </c>
      <c r="O120" s="77" t="str">
        <f t="shared" si="363"/>
        <v/>
      </c>
      <c r="P120" s="77" t="str">
        <f t="shared" si="363"/>
        <v/>
      </c>
      <c r="Q120" s="77" t="str">
        <f t="shared" si="363"/>
        <v/>
      </c>
      <c r="R120" s="77" t="str">
        <f t="shared" si="363"/>
        <v/>
      </c>
      <c r="S120" s="77" t="str">
        <f t="shared" si="363"/>
        <v/>
      </c>
      <c r="T120" s="77" t="str">
        <f t="shared" si="363"/>
        <v/>
      </c>
      <c r="U120" s="77" t="str">
        <f t="shared" si="363"/>
        <v/>
      </c>
      <c r="V120" s="77" t="str">
        <f t="shared" si="363"/>
        <v/>
      </c>
      <c r="W120" s="77" t="str">
        <f t="shared" si="363"/>
        <v/>
      </c>
      <c r="X120" s="77" t="str">
        <f t="shared" si="363"/>
        <v/>
      </c>
      <c r="Y120" s="77" t="str">
        <f t="shared" si="363"/>
        <v/>
      </c>
      <c r="Z120" s="77" t="str">
        <f t="shared" si="363"/>
        <v/>
      </c>
      <c r="AA120" s="77" t="str">
        <f t="shared" si="363"/>
        <v/>
      </c>
      <c r="AB120" s="77" t="str">
        <f t="shared" si="363"/>
        <v/>
      </c>
      <c r="AC120" s="77" t="str">
        <f t="shared" si="363"/>
        <v/>
      </c>
      <c r="AD120" s="77" t="str">
        <f t="shared" si="363"/>
        <v/>
      </c>
      <c r="AE120" s="77" t="str">
        <f t="shared" si="363"/>
        <v/>
      </c>
      <c r="AF120" s="77" t="str">
        <f t="shared" si="363"/>
        <v/>
      </c>
      <c r="AG120" s="77" t="str">
        <f t="shared" si="363"/>
        <v/>
      </c>
      <c r="AH120" s="77" t="str">
        <f t="shared" si="363"/>
        <v/>
      </c>
      <c r="AI120" s="77" t="str">
        <f t="shared" ref="AI120:BN120" si="364">IF(ISNUMBER(outYear),AI269,"")</f>
        <v/>
      </c>
      <c r="AJ120" s="77" t="str">
        <f t="shared" si="364"/>
        <v/>
      </c>
      <c r="AK120" s="77" t="str">
        <f t="shared" si="364"/>
        <v/>
      </c>
      <c r="AL120" s="77" t="str">
        <f t="shared" si="364"/>
        <v/>
      </c>
      <c r="AM120" s="77" t="str">
        <f t="shared" si="364"/>
        <v/>
      </c>
      <c r="AN120" s="77" t="str">
        <f t="shared" si="364"/>
        <v/>
      </c>
      <c r="AO120" s="77" t="str">
        <f t="shared" si="364"/>
        <v/>
      </c>
      <c r="AP120" s="77" t="str">
        <f t="shared" si="364"/>
        <v/>
      </c>
      <c r="AQ120" s="77" t="str">
        <f t="shared" si="364"/>
        <v/>
      </c>
      <c r="AR120" s="77" t="str">
        <f t="shared" si="364"/>
        <v/>
      </c>
      <c r="AS120" s="77" t="str">
        <f t="shared" si="364"/>
        <v/>
      </c>
      <c r="AT120" s="77" t="str">
        <f t="shared" si="364"/>
        <v/>
      </c>
      <c r="AU120" s="77" t="str">
        <f t="shared" si="364"/>
        <v/>
      </c>
      <c r="AV120" s="77" t="str">
        <f t="shared" si="364"/>
        <v/>
      </c>
      <c r="AW120" s="77" t="str">
        <f t="shared" si="364"/>
        <v/>
      </c>
      <c r="AX120" s="77" t="str">
        <f t="shared" si="364"/>
        <v/>
      </c>
      <c r="AY120" s="77" t="str">
        <f t="shared" si="364"/>
        <v/>
      </c>
      <c r="AZ120" s="77" t="str">
        <f t="shared" si="364"/>
        <v/>
      </c>
      <c r="BA120" s="77" t="str">
        <f t="shared" si="364"/>
        <v/>
      </c>
      <c r="BB120" s="77" t="str">
        <f t="shared" si="364"/>
        <v/>
      </c>
      <c r="BC120" s="77" t="str">
        <f t="shared" si="364"/>
        <v/>
      </c>
      <c r="BD120" s="77" t="str">
        <f t="shared" si="364"/>
        <v/>
      </c>
      <c r="BE120" s="77" t="str">
        <f t="shared" si="364"/>
        <v/>
      </c>
      <c r="BF120" s="77" t="str">
        <f t="shared" si="364"/>
        <v/>
      </c>
      <c r="BG120" s="77" t="str">
        <f t="shared" si="364"/>
        <v/>
      </c>
      <c r="BH120" s="77" t="str">
        <f t="shared" si="364"/>
        <v/>
      </c>
      <c r="BI120" s="77" t="str">
        <f t="shared" si="364"/>
        <v/>
      </c>
      <c r="BJ120" s="77" t="str">
        <f t="shared" si="364"/>
        <v/>
      </c>
      <c r="BK120" s="77" t="str">
        <f t="shared" si="364"/>
        <v/>
      </c>
      <c r="BL120" s="77" t="str">
        <f t="shared" si="364"/>
        <v/>
      </c>
      <c r="BM120" s="77" t="str">
        <f t="shared" si="364"/>
        <v/>
      </c>
      <c r="BN120" s="77" t="str">
        <f t="shared" si="364"/>
        <v/>
      </c>
      <c r="BO120" s="77" t="str">
        <f t="shared" ref="BO120:CX120" si="365">IF(ISNUMBER(outYear),BO269,"")</f>
        <v/>
      </c>
      <c r="BP120" s="77" t="str">
        <f t="shared" si="365"/>
        <v/>
      </c>
      <c r="BQ120" s="77" t="str">
        <f t="shared" si="365"/>
        <v/>
      </c>
      <c r="BR120" s="77" t="str">
        <f t="shared" si="365"/>
        <v/>
      </c>
      <c r="BS120" s="77" t="str">
        <f t="shared" si="365"/>
        <v/>
      </c>
      <c r="BT120" s="77" t="str">
        <f t="shared" si="365"/>
        <v/>
      </c>
      <c r="BU120" s="77" t="str">
        <f t="shared" si="365"/>
        <v/>
      </c>
      <c r="BV120" s="77" t="str">
        <f t="shared" si="365"/>
        <v/>
      </c>
      <c r="BW120" s="77" t="str">
        <f t="shared" si="365"/>
        <v/>
      </c>
      <c r="BX120" s="77" t="str">
        <f t="shared" si="365"/>
        <v/>
      </c>
      <c r="BY120" s="77" t="str">
        <f t="shared" si="365"/>
        <v/>
      </c>
      <c r="BZ120" s="77" t="str">
        <f t="shared" si="365"/>
        <v/>
      </c>
      <c r="CA120" s="77" t="str">
        <f t="shared" si="365"/>
        <v/>
      </c>
      <c r="CB120" s="77" t="str">
        <f t="shared" si="365"/>
        <v/>
      </c>
      <c r="CC120" s="77" t="str">
        <f t="shared" si="365"/>
        <v/>
      </c>
      <c r="CD120" s="77" t="str">
        <f t="shared" si="365"/>
        <v/>
      </c>
      <c r="CE120" s="77" t="str">
        <f t="shared" si="365"/>
        <v/>
      </c>
      <c r="CF120" s="77" t="str">
        <f t="shared" si="365"/>
        <v/>
      </c>
      <c r="CG120" s="77" t="str">
        <f t="shared" si="365"/>
        <v/>
      </c>
      <c r="CH120" s="77" t="str">
        <f t="shared" si="365"/>
        <v/>
      </c>
      <c r="CI120" s="77" t="str">
        <f t="shared" si="365"/>
        <v/>
      </c>
      <c r="CJ120" s="77" t="str">
        <f t="shared" si="365"/>
        <v/>
      </c>
      <c r="CK120" s="77" t="str">
        <f t="shared" si="365"/>
        <v/>
      </c>
      <c r="CL120" s="77" t="str">
        <f t="shared" si="365"/>
        <v/>
      </c>
      <c r="CM120" s="77" t="str">
        <f t="shared" si="365"/>
        <v/>
      </c>
      <c r="CN120" s="77" t="str">
        <f t="shared" si="365"/>
        <v/>
      </c>
      <c r="CO120" s="77" t="str">
        <f t="shared" si="365"/>
        <v/>
      </c>
      <c r="CP120" s="77" t="str">
        <f t="shared" si="365"/>
        <v/>
      </c>
      <c r="CQ120" s="77" t="str">
        <f t="shared" si="365"/>
        <v/>
      </c>
      <c r="CR120" s="77" t="str">
        <f t="shared" si="365"/>
        <v/>
      </c>
      <c r="CS120" s="77" t="str">
        <f t="shared" si="365"/>
        <v/>
      </c>
      <c r="CT120" s="77" t="str">
        <f t="shared" si="365"/>
        <v/>
      </c>
      <c r="CU120" s="77" t="str">
        <f t="shared" si="365"/>
        <v/>
      </c>
      <c r="CV120" s="77" t="str">
        <f t="shared" si="365"/>
        <v/>
      </c>
      <c r="CW120" s="77" t="str">
        <f t="shared" si="365"/>
        <v/>
      </c>
      <c r="CX120" s="77" t="str">
        <f t="shared" si="365"/>
        <v/>
      </c>
    </row>
    <row r="121" spans="1:16384" s="72" customFormat="1" x14ac:dyDescent="0.25">
      <c r="A121" s="59" t="s">
        <v>69</v>
      </c>
      <c r="B121" s="76"/>
      <c r="C121" s="77" t="str">
        <f>IF(ISNUMBER(outYear),IF(UseTaxDeductibleInterest="Yes",'Cash Flow'!C57,0),"")</f>
        <v/>
      </c>
      <c r="D121" s="77" t="str">
        <f>IF(ISNUMBER(outYear),IF(UseTaxDeductibleInterest="Yes",'Cash Flow'!D57,0),"")</f>
        <v/>
      </c>
      <c r="E121" s="77" t="str">
        <f>IF(ISNUMBER(outYear),IF(UseTaxDeductibleInterest="Yes",'Cash Flow'!E57,0),"")</f>
        <v/>
      </c>
      <c r="F121" s="77" t="str">
        <f>IF(ISNUMBER(outYear),IF(UseTaxDeductibleInterest="Yes",'Cash Flow'!F57,0),"")</f>
        <v/>
      </c>
      <c r="G121" s="77" t="str">
        <f>IF(ISNUMBER(outYear),IF(UseTaxDeductibleInterest="Yes",'Cash Flow'!G57,0),"")</f>
        <v/>
      </c>
      <c r="H121" s="77" t="str">
        <f>IF(ISNUMBER(outYear),IF(UseTaxDeductibleInterest="Yes",'Cash Flow'!H57,0),"")</f>
        <v/>
      </c>
      <c r="I121" s="77" t="str">
        <f>IF(ISNUMBER(outYear),IF(UseTaxDeductibleInterest="Yes",'Cash Flow'!I57,0),"")</f>
        <v/>
      </c>
      <c r="J121" s="77" t="str">
        <f>IF(ISNUMBER(outYear),IF(UseTaxDeductibleInterest="Yes",'Cash Flow'!J57,0),"")</f>
        <v/>
      </c>
      <c r="K121" s="77" t="str">
        <f>IF(ISNUMBER(outYear),IF(UseTaxDeductibleInterest="Yes",'Cash Flow'!K57,0),"")</f>
        <v/>
      </c>
      <c r="L121" s="77" t="str">
        <f>IF(ISNUMBER(outYear),IF(UseTaxDeductibleInterest="Yes",'Cash Flow'!L57,0),"")</f>
        <v/>
      </c>
      <c r="M121" s="77" t="str">
        <f>IF(ISNUMBER(outYear),IF(UseTaxDeductibleInterest="Yes",'Cash Flow'!M57,0),"")</f>
        <v/>
      </c>
      <c r="N121" s="77" t="str">
        <f>IF(ISNUMBER(outYear),IF(UseTaxDeductibleInterest="Yes",'Cash Flow'!N57,0),"")</f>
        <v/>
      </c>
      <c r="O121" s="77" t="str">
        <f>IF(ISNUMBER(outYear),IF(UseTaxDeductibleInterest="Yes",'Cash Flow'!O57,0),"")</f>
        <v/>
      </c>
      <c r="P121" s="77" t="str">
        <f>IF(ISNUMBER(outYear),IF(UseTaxDeductibleInterest="Yes",'Cash Flow'!P57,0),"")</f>
        <v/>
      </c>
      <c r="Q121" s="77" t="str">
        <f>IF(ISNUMBER(outYear),IF(UseTaxDeductibleInterest="Yes",'Cash Flow'!Q57,0),"")</f>
        <v/>
      </c>
      <c r="R121" s="77" t="str">
        <f>IF(ISNUMBER(outYear),IF(UseTaxDeductibleInterest="Yes",'Cash Flow'!R57,0),"")</f>
        <v/>
      </c>
      <c r="S121" s="77" t="str">
        <f>IF(ISNUMBER(outYear),IF(UseTaxDeductibleInterest="Yes",'Cash Flow'!S57,0),"")</f>
        <v/>
      </c>
      <c r="T121" s="77" t="str">
        <f>IF(ISNUMBER(outYear),IF(UseTaxDeductibleInterest="Yes",'Cash Flow'!T57,0),"")</f>
        <v/>
      </c>
      <c r="U121" s="77" t="str">
        <f>IF(ISNUMBER(outYear),IF(UseTaxDeductibleInterest="Yes",'Cash Flow'!U57,0),"")</f>
        <v/>
      </c>
      <c r="V121" s="77" t="str">
        <f>IF(ISNUMBER(outYear),IF(UseTaxDeductibleInterest="Yes",'Cash Flow'!V57,0),"")</f>
        <v/>
      </c>
      <c r="W121" s="77" t="str">
        <f>IF(ISNUMBER(outYear),IF(UseTaxDeductibleInterest="Yes",'Cash Flow'!W57,0),"")</f>
        <v/>
      </c>
      <c r="X121" s="77" t="str">
        <f>IF(ISNUMBER(outYear),IF(UseTaxDeductibleInterest="Yes",'Cash Flow'!X57,0),"")</f>
        <v/>
      </c>
      <c r="Y121" s="77" t="str">
        <f>IF(ISNUMBER(outYear),IF(UseTaxDeductibleInterest="Yes",'Cash Flow'!Y57,0),"")</f>
        <v/>
      </c>
      <c r="Z121" s="77" t="str">
        <f>IF(ISNUMBER(outYear),IF(UseTaxDeductibleInterest="Yes",'Cash Flow'!Z57,0),"")</f>
        <v/>
      </c>
      <c r="AA121" s="77" t="str">
        <f>IF(ISNUMBER(outYear),IF(UseTaxDeductibleInterest="Yes",'Cash Flow'!AA57,0),"")</f>
        <v/>
      </c>
      <c r="AB121" s="77" t="str">
        <f>IF(ISNUMBER(outYear),IF(UseTaxDeductibleInterest="Yes",'Cash Flow'!AB57,0),"")</f>
        <v/>
      </c>
      <c r="AC121" s="77" t="str">
        <f>IF(ISNUMBER(outYear),IF(UseTaxDeductibleInterest="Yes",'Cash Flow'!AC57,0),"")</f>
        <v/>
      </c>
      <c r="AD121" s="77" t="str">
        <f>IF(ISNUMBER(outYear),IF(UseTaxDeductibleInterest="Yes",'Cash Flow'!AD57,0),"")</f>
        <v/>
      </c>
      <c r="AE121" s="77" t="str">
        <f>IF(ISNUMBER(outYear),IF(UseTaxDeductibleInterest="Yes",'Cash Flow'!AE57,0),"")</f>
        <v/>
      </c>
      <c r="AF121" s="77" t="str">
        <f>IF(ISNUMBER(outYear),IF(UseTaxDeductibleInterest="Yes",'Cash Flow'!AF57,0),"")</f>
        <v/>
      </c>
      <c r="AG121" s="77" t="str">
        <f>IF(ISNUMBER(outYear),IF(UseTaxDeductibleInterest="Yes",'Cash Flow'!AG57,0),"")</f>
        <v/>
      </c>
      <c r="AH121" s="77" t="str">
        <f>IF(ISNUMBER(outYear),IF(UseTaxDeductibleInterest="Yes",'Cash Flow'!AH57,0),"")</f>
        <v/>
      </c>
      <c r="AI121" s="77" t="str">
        <f>IF(ISNUMBER(outYear),IF(UseTaxDeductibleInterest="Yes",'Cash Flow'!AI57,0),"")</f>
        <v/>
      </c>
      <c r="AJ121" s="77" t="str">
        <f>IF(ISNUMBER(outYear),IF(UseTaxDeductibleInterest="Yes",'Cash Flow'!AJ57,0),"")</f>
        <v/>
      </c>
      <c r="AK121" s="77" t="str">
        <f>IF(ISNUMBER(outYear),IF(UseTaxDeductibleInterest="Yes",'Cash Flow'!AK57,0),"")</f>
        <v/>
      </c>
      <c r="AL121" s="77" t="str">
        <f>IF(ISNUMBER(outYear),IF(UseTaxDeductibleInterest="Yes",'Cash Flow'!AL57,0),"")</f>
        <v/>
      </c>
      <c r="AM121" s="77" t="str">
        <f>IF(ISNUMBER(outYear),IF(UseTaxDeductibleInterest="Yes",'Cash Flow'!AM57,0),"")</f>
        <v/>
      </c>
      <c r="AN121" s="77" t="str">
        <f>IF(ISNUMBER(outYear),IF(UseTaxDeductibleInterest="Yes",'Cash Flow'!AN57,0),"")</f>
        <v/>
      </c>
      <c r="AO121" s="77" t="str">
        <f>IF(ISNUMBER(outYear),IF(UseTaxDeductibleInterest="Yes",'Cash Flow'!AO57,0),"")</f>
        <v/>
      </c>
      <c r="AP121" s="77" t="str">
        <f>IF(ISNUMBER(outYear),IF(UseTaxDeductibleInterest="Yes",'Cash Flow'!AP57,0),"")</f>
        <v/>
      </c>
      <c r="AQ121" s="77" t="str">
        <f>IF(ISNUMBER(outYear),IF(UseTaxDeductibleInterest="Yes",'Cash Flow'!AQ57,0),"")</f>
        <v/>
      </c>
      <c r="AR121" s="77" t="str">
        <f>IF(ISNUMBER(outYear),IF(UseTaxDeductibleInterest="Yes",'Cash Flow'!AR57,0),"")</f>
        <v/>
      </c>
      <c r="AS121" s="77" t="str">
        <f>IF(ISNUMBER(outYear),IF(UseTaxDeductibleInterest="Yes",'Cash Flow'!AS57,0),"")</f>
        <v/>
      </c>
      <c r="AT121" s="77" t="str">
        <f>IF(ISNUMBER(outYear),IF(UseTaxDeductibleInterest="Yes",'Cash Flow'!AT57,0),"")</f>
        <v/>
      </c>
      <c r="AU121" s="77" t="str">
        <f>IF(ISNUMBER(outYear),IF(UseTaxDeductibleInterest="Yes",'Cash Flow'!AU57,0),"")</f>
        <v/>
      </c>
      <c r="AV121" s="77" t="str">
        <f>IF(ISNUMBER(outYear),IF(UseTaxDeductibleInterest="Yes",'Cash Flow'!AV57,0),"")</f>
        <v/>
      </c>
      <c r="AW121" s="77" t="str">
        <f>IF(ISNUMBER(outYear),IF(UseTaxDeductibleInterest="Yes",'Cash Flow'!AW57,0),"")</f>
        <v/>
      </c>
      <c r="AX121" s="77" t="str">
        <f>IF(ISNUMBER(outYear),IF(UseTaxDeductibleInterest="Yes",'Cash Flow'!AX57,0),"")</f>
        <v/>
      </c>
      <c r="AY121" s="77" t="str">
        <f>IF(ISNUMBER(outYear),IF(UseTaxDeductibleInterest="Yes",'Cash Flow'!AY57,0),"")</f>
        <v/>
      </c>
      <c r="AZ121" s="77" t="str">
        <f>IF(ISNUMBER(outYear),IF(UseTaxDeductibleInterest="Yes",'Cash Flow'!AZ57,0),"")</f>
        <v/>
      </c>
      <c r="BA121" s="77" t="str">
        <f>IF(ISNUMBER(outYear),IF(UseTaxDeductibleInterest="Yes",'Cash Flow'!BA57,0),"")</f>
        <v/>
      </c>
      <c r="BB121" s="77" t="str">
        <f>IF(ISNUMBER(outYear),IF(UseTaxDeductibleInterest="Yes",'Cash Flow'!BB57,0),"")</f>
        <v/>
      </c>
      <c r="BC121" s="77" t="str">
        <f>IF(ISNUMBER(outYear),IF(UseTaxDeductibleInterest="Yes",'Cash Flow'!BC57,0),"")</f>
        <v/>
      </c>
      <c r="BD121" s="77" t="str">
        <f>IF(ISNUMBER(outYear),IF(UseTaxDeductibleInterest="Yes",'Cash Flow'!BD57,0),"")</f>
        <v/>
      </c>
      <c r="BE121" s="77" t="str">
        <f>IF(ISNUMBER(outYear),IF(UseTaxDeductibleInterest="Yes",'Cash Flow'!BE57,0),"")</f>
        <v/>
      </c>
      <c r="BF121" s="77" t="str">
        <f>IF(ISNUMBER(outYear),IF(UseTaxDeductibleInterest="Yes",'Cash Flow'!BF57,0),"")</f>
        <v/>
      </c>
      <c r="BG121" s="77" t="str">
        <f>IF(ISNUMBER(outYear),IF(UseTaxDeductibleInterest="Yes",'Cash Flow'!BG57,0),"")</f>
        <v/>
      </c>
      <c r="BH121" s="77" t="str">
        <f>IF(ISNUMBER(outYear),IF(UseTaxDeductibleInterest="Yes",'Cash Flow'!BH57,0),"")</f>
        <v/>
      </c>
      <c r="BI121" s="77" t="str">
        <f>IF(ISNUMBER(outYear),IF(UseTaxDeductibleInterest="Yes",'Cash Flow'!BI57,0),"")</f>
        <v/>
      </c>
      <c r="BJ121" s="77" t="str">
        <f>IF(ISNUMBER(outYear),IF(UseTaxDeductibleInterest="Yes",'Cash Flow'!BJ57,0),"")</f>
        <v/>
      </c>
      <c r="BK121" s="77" t="str">
        <f>IF(ISNUMBER(outYear),IF(UseTaxDeductibleInterest="Yes",'Cash Flow'!BK57,0),"")</f>
        <v/>
      </c>
      <c r="BL121" s="77" t="str">
        <f>IF(ISNUMBER(outYear),IF(UseTaxDeductibleInterest="Yes",'Cash Flow'!BL57,0),"")</f>
        <v/>
      </c>
      <c r="BM121" s="77" t="str">
        <f>IF(ISNUMBER(outYear),IF(UseTaxDeductibleInterest="Yes",'Cash Flow'!BM57,0),"")</f>
        <v/>
      </c>
      <c r="BN121" s="77" t="str">
        <f>IF(ISNUMBER(outYear),IF(UseTaxDeductibleInterest="Yes",'Cash Flow'!BN57,0),"")</f>
        <v/>
      </c>
      <c r="BO121" s="77" t="str">
        <f>IF(ISNUMBER(outYear),IF(UseTaxDeductibleInterest="Yes",'Cash Flow'!BO57,0),"")</f>
        <v/>
      </c>
      <c r="BP121" s="77" t="str">
        <f>IF(ISNUMBER(outYear),IF(UseTaxDeductibleInterest="Yes",'Cash Flow'!BP57,0),"")</f>
        <v/>
      </c>
      <c r="BQ121" s="77" t="str">
        <f>IF(ISNUMBER(outYear),IF(UseTaxDeductibleInterest="Yes",'Cash Flow'!BQ57,0),"")</f>
        <v/>
      </c>
      <c r="BR121" s="77" t="str">
        <f>IF(ISNUMBER(outYear),IF(UseTaxDeductibleInterest="Yes",'Cash Flow'!BR57,0),"")</f>
        <v/>
      </c>
      <c r="BS121" s="77" t="str">
        <f>IF(ISNUMBER(outYear),IF(UseTaxDeductibleInterest="Yes",'Cash Flow'!BS57,0),"")</f>
        <v/>
      </c>
      <c r="BT121" s="77" t="str">
        <f>IF(ISNUMBER(outYear),IF(UseTaxDeductibleInterest="Yes",'Cash Flow'!BT57,0),"")</f>
        <v/>
      </c>
      <c r="BU121" s="77" t="str">
        <f>IF(ISNUMBER(outYear),IF(UseTaxDeductibleInterest="Yes",'Cash Flow'!BU57,0),"")</f>
        <v/>
      </c>
      <c r="BV121" s="77" t="str">
        <f>IF(ISNUMBER(outYear),IF(UseTaxDeductibleInterest="Yes",'Cash Flow'!BV57,0),"")</f>
        <v/>
      </c>
      <c r="BW121" s="77" t="str">
        <f>IF(ISNUMBER(outYear),IF(UseTaxDeductibleInterest="Yes",'Cash Flow'!BW57,0),"")</f>
        <v/>
      </c>
      <c r="BX121" s="77" t="str">
        <f>IF(ISNUMBER(outYear),IF(UseTaxDeductibleInterest="Yes",'Cash Flow'!BX57,0),"")</f>
        <v/>
      </c>
      <c r="BY121" s="77" t="str">
        <f>IF(ISNUMBER(outYear),IF(UseTaxDeductibleInterest="Yes",'Cash Flow'!BY57,0),"")</f>
        <v/>
      </c>
      <c r="BZ121" s="77" t="str">
        <f>IF(ISNUMBER(outYear),IF(UseTaxDeductibleInterest="Yes",'Cash Flow'!BZ57,0),"")</f>
        <v/>
      </c>
      <c r="CA121" s="77" t="str">
        <f>IF(ISNUMBER(outYear),IF(UseTaxDeductibleInterest="Yes",'Cash Flow'!CA57,0),"")</f>
        <v/>
      </c>
      <c r="CB121" s="77" t="str">
        <f>IF(ISNUMBER(outYear),IF(UseTaxDeductibleInterest="Yes",'Cash Flow'!CB57,0),"")</f>
        <v/>
      </c>
      <c r="CC121" s="77" t="str">
        <f>IF(ISNUMBER(outYear),IF(UseTaxDeductibleInterest="Yes",'Cash Flow'!CC57,0),"")</f>
        <v/>
      </c>
      <c r="CD121" s="77" t="str">
        <f>IF(ISNUMBER(outYear),IF(UseTaxDeductibleInterest="Yes",'Cash Flow'!CD57,0),"")</f>
        <v/>
      </c>
      <c r="CE121" s="77" t="str">
        <f>IF(ISNUMBER(outYear),IF(UseTaxDeductibleInterest="Yes",'Cash Flow'!CE57,0),"")</f>
        <v/>
      </c>
      <c r="CF121" s="77" t="str">
        <f>IF(ISNUMBER(outYear),IF(UseTaxDeductibleInterest="Yes",'Cash Flow'!CF57,0),"")</f>
        <v/>
      </c>
      <c r="CG121" s="77" t="str">
        <f>IF(ISNUMBER(outYear),IF(UseTaxDeductibleInterest="Yes",'Cash Flow'!CG57,0),"")</f>
        <v/>
      </c>
      <c r="CH121" s="77" t="str">
        <f>IF(ISNUMBER(outYear),IF(UseTaxDeductibleInterest="Yes",'Cash Flow'!CH57,0),"")</f>
        <v/>
      </c>
      <c r="CI121" s="77" t="str">
        <f>IF(ISNUMBER(outYear),IF(UseTaxDeductibleInterest="Yes",'Cash Flow'!CI57,0),"")</f>
        <v/>
      </c>
      <c r="CJ121" s="77" t="str">
        <f>IF(ISNUMBER(outYear),IF(UseTaxDeductibleInterest="Yes",'Cash Flow'!CJ57,0),"")</f>
        <v/>
      </c>
      <c r="CK121" s="77" t="str">
        <f>IF(ISNUMBER(outYear),IF(UseTaxDeductibleInterest="Yes",'Cash Flow'!CK57,0),"")</f>
        <v/>
      </c>
      <c r="CL121" s="77" t="str">
        <f>IF(ISNUMBER(outYear),IF(UseTaxDeductibleInterest="Yes",'Cash Flow'!CL57,0),"")</f>
        <v/>
      </c>
      <c r="CM121" s="77" t="str">
        <f>IF(ISNUMBER(outYear),IF(UseTaxDeductibleInterest="Yes",'Cash Flow'!CM57,0),"")</f>
        <v/>
      </c>
      <c r="CN121" s="77" t="str">
        <f>IF(ISNUMBER(outYear),IF(UseTaxDeductibleInterest="Yes",'Cash Flow'!CN57,0),"")</f>
        <v/>
      </c>
      <c r="CO121" s="77" t="str">
        <f>IF(ISNUMBER(outYear),IF(UseTaxDeductibleInterest="Yes",'Cash Flow'!CO57,0),"")</f>
        <v/>
      </c>
      <c r="CP121" s="77" t="str">
        <f>IF(ISNUMBER(outYear),IF(UseTaxDeductibleInterest="Yes",'Cash Flow'!CP57,0),"")</f>
        <v/>
      </c>
      <c r="CQ121" s="77" t="str">
        <f>IF(ISNUMBER(outYear),IF(UseTaxDeductibleInterest="Yes",'Cash Flow'!CQ57,0),"")</f>
        <v/>
      </c>
      <c r="CR121" s="77" t="str">
        <f>IF(ISNUMBER(outYear),IF(UseTaxDeductibleInterest="Yes",'Cash Flow'!CR57,0),"")</f>
        <v/>
      </c>
      <c r="CS121" s="77" t="str">
        <f>IF(ISNUMBER(outYear),IF(UseTaxDeductibleInterest="Yes",'Cash Flow'!CS57,0),"")</f>
        <v/>
      </c>
      <c r="CT121" s="77" t="str">
        <f>IF(ISNUMBER(outYear),IF(UseTaxDeductibleInterest="Yes",'Cash Flow'!CT57,0),"")</f>
        <v/>
      </c>
      <c r="CU121" s="77" t="str">
        <f>IF(ISNUMBER(outYear),IF(UseTaxDeductibleInterest="Yes",'Cash Flow'!CU57,0),"")</f>
        <v/>
      </c>
      <c r="CV121" s="77" t="str">
        <f>IF(ISNUMBER(outYear),IF(UseTaxDeductibleInterest="Yes",'Cash Flow'!CV57,0),"")</f>
        <v/>
      </c>
      <c r="CW121" s="77" t="str">
        <f>IF(ISNUMBER(outYear),IF(UseTaxDeductibleInterest="Yes",'Cash Flow'!CW57,0),"")</f>
        <v/>
      </c>
      <c r="CX121" s="77" t="str">
        <f>IF(ISNUMBER(outYear),IF(UseTaxDeductibleInterest="Yes",'Cash Flow'!CX57,0),"")</f>
        <v/>
      </c>
    </row>
    <row r="122" spans="1:16384" s="72" customFormat="1" x14ac:dyDescent="0.25">
      <c r="A122" s="59" t="s">
        <v>161</v>
      </c>
      <c r="B122" s="76"/>
      <c r="C122" s="82" t="str">
        <f t="shared" ref="C122:AH122" si="366">IF(ISNUMBER(outYear),-C113,"")</f>
        <v/>
      </c>
      <c r="D122" s="82" t="str">
        <f t="shared" si="366"/>
        <v/>
      </c>
      <c r="E122" s="82" t="str">
        <f t="shared" si="366"/>
        <v/>
      </c>
      <c r="F122" s="82" t="str">
        <f t="shared" si="366"/>
        <v/>
      </c>
      <c r="G122" s="82" t="str">
        <f t="shared" si="366"/>
        <v/>
      </c>
      <c r="H122" s="82" t="str">
        <f t="shared" si="366"/>
        <v/>
      </c>
      <c r="I122" s="82" t="str">
        <f t="shared" si="366"/>
        <v/>
      </c>
      <c r="J122" s="82" t="str">
        <f t="shared" si="366"/>
        <v/>
      </c>
      <c r="K122" s="82" t="str">
        <f t="shared" si="366"/>
        <v/>
      </c>
      <c r="L122" s="82" t="str">
        <f t="shared" si="366"/>
        <v/>
      </c>
      <c r="M122" s="82" t="str">
        <f t="shared" si="366"/>
        <v/>
      </c>
      <c r="N122" s="82" t="str">
        <f t="shared" si="366"/>
        <v/>
      </c>
      <c r="O122" s="82" t="str">
        <f t="shared" si="366"/>
        <v/>
      </c>
      <c r="P122" s="82" t="str">
        <f t="shared" si="366"/>
        <v/>
      </c>
      <c r="Q122" s="82" t="str">
        <f t="shared" si="366"/>
        <v/>
      </c>
      <c r="R122" s="82" t="str">
        <f t="shared" si="366"/>
        <v/>
      </c>
      <c r="S122" s="82" t="str">
        <f t="shared" si="366"/>
        <v/>
      </c>
      <c r="T122" s="82" t="str">
        <f t="shared" si="366"/>
        <v/>
      </c>
      <c r="U122" s="82" t="str">
        <f t="shared" si="366"/>
        <v/>
      </c>
      <c r="V122" s="82" t="str">
        <f t="shared" si="366"/>
        <v/>
      </c>
      <c r="W122" s="82" t="str">
        <f t="shared" si="366"/>
        <v/>
      </c>
      <c r="X122" s="82" t="str">
        <f t="shared" si="366"/>
        <v/>
      </c>
      <c r="Y122" s="82" t="str">
        <f t="shared" si="366"/>
        <v/>
      </c>
      <c r="Z122" s="82" t="str">
        <f t="shared" si="366"/>
        <v/>
      </c>
      <c r="AA122" s="82" t="str">
        <f t="shared" si="366"/>
        <v/>
      </c>
      <c r="AB122" s="82" t="str">
        <f t="shared" si="366"/>
        <v/>
      </c>
      <c r="AC122" s="82" t="str">
        <f t="shared" si="366"/>
        <v/>
      </c>
      <c r="AD122" s="82" t="str">
        <f t="shared" si="366"/>
        <v/>
      </c>
      <c r="AE122" s="82" t="str">
        <f t="shared" si="366"/>
        <v/>
      </c>
      <c r="AF122" s="82" t="str">
        <f t="shared" si="366"/>
        <v/>
      </c>
      <c r="AG122" s="82" t="str">
        <f t="shared" si="366"/>
        <v/>
      </c>
      <c r="AH122" s="82" t="str">
        <f t="shared" si="366"/>
        <v/>
      </c>
      <c r="AI122" s="82" t="str">
        <f t="shared" ref="AI122:BN122" si="367">IF(ISNUMBER(outYear),-AI113,"")</f>
        <v/>
      </c>
      <c r="AJ122" s="82" t="str">
        <f t="shared" si="367"/>
        <v/>
      </c>
      <c r="AK122" s="82" t="str">
        <f t="shared" si="367"/>
        <v/>
      </c>
      <c r="AL122" s="82" t="str">
        <f t="shared" si="367"/>
        <v/>
      </c>
      <c r="AM122" s="82" t="str">
        <f t="shared" si="367"/>
        <v/>
      </c>
      <c r="AN122" s="82" t="str">
        <f t="shared" si="367"/>
        <v/>
      </c>
      <c r="AO122" s="82" t="str">
        <f t="shared" si="367"/>
        <v/>
      </c>
      <c r="AP122" s="82" t="str">
        <f t="shared" si="367"/>
        <v/>
      </c>
      <c r="AQ122" s="82" t="str">
        <f t="shared" si="367"/>
        <v/>
      </c>
      <c r="AR122" s="82" t="str">
        <f t="shared" si="367"/>
        <v/>
      </c>
      <c r="AS122" s="82" t="str">
        <f t="shared" si="367"/>
        <v/>
      </c>
      <c r="AT122" s="82" t="str">
        <f t="shared" si="367"/>
        <v/>
      </c>
      <c r="AU122" s="82" t="str">
        <f t="shared" si="367"/>
        <v/>
      </c>
      <c r="AV122" s="82" t="str">
        <f t="shared" si="367"/>
        <v/>
      </c>
      <c r="AW122" s="82" t="str">
        <f t="shared" si="367"/>
        <v/>
      </c>
      <c r="AX122" s="82" t="str">
        <f t="shared" si="367"/>
        <v/>
      </c>
      <c r="AY122" s="82" t="str">
        <f t="shared" si="367"/>
        <v/>
      </c>
      <c r="AZ122" s="82" t="str">
        <f t="shared" si="367"/>
        <v/>
      </c>
      <c r="BA122" s="82" t="str">
        <f t="shared" si="367"/>
        <v/>
      </c>
      <c r="BB122" s="82" t="str">
        <f t="shared" si="367"/>
        <v/>
      </c>
      <c r="BC122" s="82" t="str">
        <f t="shared" si="367"/>
        <v/>
      </c>
      <c r="BD122" s="82" t="str">
        <f t="shared" si="367"/>
        <v/>
      </c>
      <c r="BE122" s="82" t="str">
        <f t="shared" si="367"/>
        <v/>
      </c>
      <c r="BF122" s="82" t="str">
        <f t="shared" si="367"/>
        <v/>
      </c>
      <c r="BG122" s="82" t="str">
        <f t="shared" si="367"/>
        <v/>
      </c>
      <c r="BH122" s="82" t="str">
        <f t="shared" si="367"/>
        <v/>
      </c>
      <c r="BI122" s="82" t="str">
        <f t="shared" si="367"/>
        <v/>
      </c>
      <c r="BJ122" s="82" t="str">
        <f t="shared" si="367"/>
        <v/>
      </c>
      <c r="BK122" s="82" t="str">
        <f t="shared" si="367"/>
        <v/>
      </c>
      <c r="BL122" s="82" t="str">
        <f t="shared" si="367"/>
        <v/>
      </c>
      <c r="BM122" s="82" t="str">
        <f t="shared" si="367"/>
        <v/>
      </c>
      <c r="BN122" s="82" t="str">
        <f t="shared" si="367"/>
        <v/>
      </c>
      <c r="BO122" s="82" t="str">
        <f t="shared" ref="BO122:CX122" si="368">IF(ISNUMBER(outYear),-BO113,"")</f>
        <v/>
      </c>
      <c r="BP122" s="82" t="str">
        <f t="shared" si="368"/>
        <v/>
      </c>
      <c r="BQ122" s="82" t="str">
        <f t="shared" si="368"/>
        <v/>
      </c>
      <c r="BR122" s="82" t="str">
        <f t="shared" si="368"/>
        <v/>
      </c>
      <c r="BS122" s="82" t="str">
        <f t="shared" si="368"/>
        <v/>
      </c>
      <c r="BT122" s="82" t="str">
        <f t="shared" si="368"/>
        <v/>
      </c>
      <c r="BU122" s="82" t="str">
        <f t="shared" si="368"/>
        <v/>
      </c>
      <c r="BV122" s="82" t="str">
        <f t="shared" si="368"/>
        <v/>
      </c>
      <c r="BW122" s="82" t="str">
        <f t="shared" si="368"/>
        <v/>
      </c>
      <c r="BX122" s="82" t="str">
        <f t="shared" si="368"/>
        <v/>
      </c>
      <c r="BY122" s="82" t="str">
        <f t="shared" si="368"/>
        <v/>
      </c>
      <c r="BZ122" s="82" t="str">
        <f t="shared" si="368"/>
        <v/>
      </c>
      <c r="CA122" s="82" t="str">
        <f t="shared" si="368"/>
        <v/>
      </c>
      <c r="CB122" s="82" t="str">
        <f t="shared" si="368"/>
        <v/>
      </c>
      <c r="CC122" s="82" t="str">
        <f t="shared" si="368"/>
        <v/>
      </c>
      <c r="CD122" s="82" t="str">
        <f t="shared" si="368"/>
        <v/>
      </c>
      <c r="CE122" s="82" t="str">
        <f t="shared" si="368"/>
        <v/>
      </c>
      <c r="CF122" s="82" t="str">
        <f t="shared" si="368"/>
        <v/>
      </c>
      <c r="CG122" s="82" t="str">
        <f t="shared" si="368"/>
        <v/>
      </c>
      <c r="CH122" s="82" t="str">
        <f t="shared" si="368"/>
        <v/>
      </c>
      <c r="CI122" s="82" t="str">
        <f t="shared" si="368"/>
        <v/>
      </c>
      <c r="CJ122" s="82" t="str">
        <f t="shared" si="368"/>
        <v/>
      </c>
      <c r="CK122" s="82" t="str">
        <f t="shared" si="368"/>
        <v/>
      </c>
      <c r="CL122" s="82" t="str">
        <f t="shared" si="368"/>
        <v/>
      </c>
      <c r="CM122" s="82" t="str">
        <f t="shared" si="368"/>
        <v/>
      </c>
      <c r="CN122" s="82" t="str">
        <f t="shared" si="368"/>
        <v/>
      </c>
      <c r="CO122" s="82" t="str">
        <f t="shared" si="368"/>
        <v/>
      </c>
      <c r="CP122" s="82" t="str">
        <f t="shared" si="368"/>
        <v/>
      </c>
      <c r="CQ122" s="82" t="str">
        <f t="shared" si="368"/>
        <v/>
      </c>
      <c r="CR122" s="82" t="str">
        <f t="shared" si="368"/>
        <v/>
      </c>
      <c r="CS122" s="82" t="str">
        <f t="shared" si="368"/>
        <v/>
      </c>
      <c r="CT122" s="82" t="str">
        <f t="shared" si="368"/>
        <v/>
      </c>
      <c r="CU122" s="82" t="str">
        <f t="shared" si="368"/>
        <v/>
      </c>
      <c r="CV122" s="82" t="str">
        <f t="shared" si="368"/>
        <v/>
      </c>
      <c r="CW122" s="82" t="str">
        <f t="shared" si="368"/>
        <v/>
      </c>
      <c r="CX122" s="82" t="str">
        <f t="shared" si="368"/>
        <v/>
      </c>
    </row>
    <row r="123" spans="1:16384" customFormat="1" x14ac:dyDescent="0.25">
      <c r="A123" s="59" t="s">
        <v>70</v>
      </c>
      <c r="B123" s="5"/>
      <c r="C123" s="77" t="str">
        <f t="shared" ref="C123:AH123" si="369">IF(ISNUMBER(outYear),SUM(C118,C120:C122),"")</f>
        <v/>
      </c>
      <c r="D123" s="77" t="str">
        <f t="shared" si="369"/>
        <v/>
      </c>
      <c r="E123" s="77" t="str">
        <f t="shared" si="369"/>
        <v/>
      </c>
      <c r="F123" s="77" t="str">
        <f t="shared" si="369"/>
        <v/>
      </c>
      <c r="G123" s="77" t="str">
        <f t="shared" si="369"/>
        <v/>
      </c>
      <c r="H123" s="77" t="str">
        <f t="shared" si="369"/>
        <v/>
      </c>
      <c r="I123" s="77" t="str">
        <f t="shared" si="369"/>
        <v/>
      </c>
      <c r="J123" s="77" t="str">
        <f t="shared" si="369"/>
        <v/>
      </c>
      <c r="K123" s="77" t="str">
        <f t="shared" si="369"/>
        <v/>
      </c>
      <c r="L123" s="77" t="str">
        <f t="shared" si="369"/>
        <v/>
      </c>
      <c r="M123" s="77" t="str">
        <f t="shared" si="369"/>
        <v/>
      </c>
      <c r="N123" s="77" t="str">
        <f t="shared" si="369"/>
        <v/>
      </c>
      <c r="O123" s="77" t="str">
        <f t="shared" si="369"/>
        <v/>
      </c>
      <c r="P123" s="77" t="str">
        <f t="shared" si="369"/>
        <v/>
      </c>
      <c r="Q123" s="77" t="str">
        <f t="shared" si="369"/>
        <v/>
      </c>
      <c r="R123" s="77" t="str">
        <f t="shared" si="369"/>
        <v/>
      </c>
      <c r="S123" s="77" t="str">
        <f t="shared" si="369"/>
        <v/>
      </c>
      <c r="T123" s="77" t="str">
        <f t="shared" si="369"/>
        <v/>
      </c>
      <c r="U123" s="77" t="str">
        <f t="shared" si="369"/>
        <v/>
      </c>
      <c r="V123" s="77" t="str">
        <f t="shared" si="369"/>
        <v/>
      </c>
      <c r="W123" s="77" t="str">
        <f t="shared" si="369"/>
        <v/>
      </c>
      <c r="X123" s="77" t="str">
        <f t="shared" si="369"/>
        <v/>
      </c>
      <c r="Y123" s="77" t="str">
        <f t="shared" si="369"/>
        <v/>
      </c>
      <c r="Z123" s="77" t="str">
        <f t="shared" si="369"/>
        <v/>
      </c>
      <c r="AA123" s="77" t="str">
        <f t="shared" si="369"/>
        <v/>
      </c>
      <c r="AB123" s="77" t="str">
        <f t="shared" si="369"/>
        <v/>
      </c>
      <c r="AC123" s="77" t="str">
        <f t="shared" si="369"/>
        <v/>
      </c>
      <c r="AD123" s="77" t="str">
        <f t="shared" si="369"/>
        <v/>
      </c>
      <c r="AE123" s="77" t="str">
        <f t="shared" si="369"/>
        <v/>
      </c>
      <c r="AF123" s="77" t="str">
        <f t="shared" si="369"/>
        <v/>
      </c>
      <c r="AG123" s="77" t="str">
        <f t="shared" si="369"/>
        <v/>
      </c>
      <c r="AH123" s="77" t="str">
        <f t="shared" si="369"/>
        <v/>
      </c>
      <c r="AI123" s="77" t="str">
        <f t="shared" ref="AI123:BN123" si="370">IF(ISNUMBER(outYear),SUM(AI118,AI120:AI122),"")</f>
        <v/>
      </c>
      <c r="AJ123" s="77" t="str">
        <f t="shared" si="370"/>
        <v/>
      </c>
      <c r="AK123" s="77" t="str">
        <f t="shared" si="370"/>
        <v/>
      </c>
      <c r="AL123" s="77" t="str">
        <f t="shared" si="370"/>
        <v/>
      </c>
      <c r="AM123" s="77" t="str">
        <f t="shared" si="370"/>
        <v/>
      </c>
      <c r="AN123" s="77" t="str">
        <f t="shared" si="370"/>
        <v/>
      </c>
      <c r="AO123" s="77" t="str">
        <f t="shared" si="370"/>
        <v/>
      </c>
      <c r="AP123" s="77" t="str">
        <f t="shared" si="370"/>
        <v/>
      </c>
      <c r="AQ123" s="77" t="str">
        <f t="shared" si="370"/>
        <v/>
      </c>
      <c r="AR123" s="77" t="str">
        <f t="shared" si="370"/>
        <v/>
      </c>
      <c r="AS123" s="77" t="str">
        <f t="shared" si="370"/>
        <v/>
      </c>
      <c r="AT123" s="77" t="str">
        <f t="shared" si="370"/>
        <v/>
      </c>
      <c r="AU123" s="77" t="str">
        <f t="shared" si="370"/>
        <v/>
      </c>
      <c r="AV123" s="77" t="str">
        <f t="shared" si="370"/>
        <v/>
      </c>
      <c r="AW123" s="77" t="str">
        <f t="shared" si="370"/>
        <v/>
      </c>
      <c r="AX123" s="77" t="str">
        <f t="shared" si="370"/>
        <v/>
      </c>
      <c r="AY123" s="77" t="str">
        <f t="shared" si="370"/>
        <v/>
      </c>
      <c r="AZ123" s="77" t="str">
        <f t="shared" si="370"/>
        <v/>
      </c>
      <c r="BA123" s="77" t="str">
        <f t="shared" si="370"/>
        <v/>
      </c>
      <c r="BB123" s="77" t="str">
        <f t="shared" si="370"/>
        <v/>
      </c>
      <c r="BC123" s="77" t="str">
        <f t="shared" si="370"/>
        <v/>
      </c>
      <c r="BD123" s="77" t="str">
        <f t="shared" si="370"/>
        <v/>
      </c>
      <c r="BE123" s="77" t="str">
        <f t="shared" si="370"/>
        <v/>
      </c>
      <c r="BF123" s="77" t="str">
        <f t="shared" si="370"/>
        <v/>
      </c>
      <c r="BG123" s="77" t="str">
        <f t="shared" si="370"/>
        <v/>
      </c>
      <c r="BH123" s="77" t="str">
        <f t="shared" si="370"/>
        <v/>
      </c>
      <c r="BI123" s="77" t="str">
        <f t="shared" si="370"/>
        <v/>
      </c>
      <c r="BJ123" s="77" t="str">
        <f t="shared" si="370"/>
        <v/>
      </c>
      <c r="BK123" s="77" t="str">
        <f t="shared" si="370"/>
        <v/>
      </c>
      <c r="BL123" s="77" t="str">
        <f t="shared" si="370"/>
        <v/>
      </c>
      <c r="BM123" s="77" t="str">
        <f t="shared" si="370"/>
        <v/>
      </c>
      <c r="BN123" s="77" t="str">
        <f t="shared" si="370"/>
        <v/>
      </c>
      <c r="BO123" s="77" t="str">
        <f t="shared" ref="BO123:CT123" si="371">IF(ISNUMBER(outYear),SUM(BO118,BO120:BO122),"")</f>
        <v/>
      </c>
      <c r="BP123" s="77" t="str">
        <f t="shared" si="371"/>
        <v/>
      </c>
      <c r="BQ123" s="77" t="str">
        <f t="shared" si="371"/>
        <v/>
      </c>
      <c r="BR123" s="77" t="str">
        <f t="shared" si="371"/>
        <v/>
      </c>
      <c r="BS123" s="77" t="str">
        <f t="shared" si="371"/>
        <v/>
      </c>
      <c r="BT123" s="77" t="str">
        <f t="shared" si="371"/>
        <v/>
      </c>
      <c r="BU123" s="77" t="str">
        <f t="shared" si="371"/>
        <v/>
      </c>
      <c r="BV123" s="77" t="str">
        <f t="shared" si="371"/>
        <v/>
      </c>
      <c r="BW123" s="77" t="str">
        <f t="shared" si="371"/>
        <v/>
      </c>
      <c r="BX123" s="77" t="str">
        <f t="shared" si="371"/>
        <v/>
      </c>
      <c r="BY123" s="77" t="str">
        <f t="shared" si="371"/>
        <v/>
      </c>
      <c r="BZ123" s="77" t="str">
        <f t="shared" si="371"/>
        <v/>
      </c>
      <c r="CA123" s="77" t="str">
        <f t="shared" si="371"/>
        <v/>
      </c>
      <c r="CB123" s="77" t="str">
        <f t="shared" si="371"/>
        <v/>
      </c>
      <c r="CC123" s="77" t="str">
        <f t="shared" si="371"/>
        <v/>
      </c>
      <c r="CD123" s="77" t="str">
        <f t="shared" si="371"/>
        <v/>
      </c>
      <c r="CE123" s="77" t="str">
        <f t="shared" si="371"/>
        <v/>
      </c>
      <c r="CF123" s="77" t="str">
        <f t="shared" si="371"/>
        <v/>
      </c>
      <c r="CG123" s="77" t="str">
        <f t="shared" si="371"/>
        <v/>
      </c>
      <c r="CH123" s="77" t="str">
        <f t="shared" si="371"/>
        <v/>
      </c>
      <c r="CI123" s="77" t="str">
        <f t="shared" si="371"/>
        <v/>
      </c>
      <c r="CJ123" s="77" t="str">
        <f t="shared" si="371"/>
        <v/>
      </c>
      <c r="CK123" s="77" t="str">
        <f t="shared" si="371"/>
        <v/>
      </c>
      <c r="CL123" s="77" t="str">
        <f t="shared" si="371"/>
        <v/>
      </c>
      <c r="CM123" s="77" t="str">
        <f t="shared" si="371"/>
        <v/>
      </c>
      <c r="CN123" s="77" t="str">
        <f t="shared" si="371"/>
        <v/>
      </c>
      <c r="CO123" s="77" t="str">
        <f t="shared" si="371"/>
        <v/>
      </c>
      <c r="CP123" s="77" t="str">
        <f t="shared" si="371"/>
        <v/>
      </c>
      <c r="CQ123" s="77" t="str">
        <f t="shared" si="371"/>
        <v/>
      </c>
      <c r="CR123" s="77" t="str">
        <f t="shared" si="371"/>
        <v/>
      </c>
      <c r="CS123" s="77" t="str">
        <f t="shared" si="371"/>
        <v/>
      </c>
      <c r="CT123" s="77" t="str">
        <f t="shared" si="371"/>
        <v/>
      </c>
      <c r="CU123" s="77" t="str">
        <f t="shared" ref="CU123:CX123" si="372">IF(ISNUMBER(outYear),SUM(CU118,CU120:CU122),"")</f>
        <v/>
      </c>
      <c r="CV123" s="77" t="str">
        <f t="shared" si="372"/>
        <v/>
      </c>
      <c r="CW123" s="77" t="str">
        <f t="shared" si="372"/>
        <v/>
      </c>
      <c r="CX123" s="77" t="str">
        <f t="shared" si="372"/>
        <v/>
      </c>
    </row>
    <row r="124" spans="1:16384" customFormat="1" x14ac:dyDescent="0.25">
      <c r="A124" s="54" t="s">
        <v>160</v>
      </c>
      <c r="B124" s="5"/>
      <c r="C124" s="73" t="str">
        <f t="shared" ref="C124:AH124" si="373">IF(ISNUMBER(outYear),C116-C123,"")</f>
        <v/>
      </c>
      <c r="D124" s="73" t="str">
        <f t="shared" si="373"/>
        <v/>
      </c>
      <c r="E124" s="73" t="str">
        <f t="shared" si="373"/>
        <v/>
      </c>
      <c r="F124" s="73" t="str">
        <f t="shared" si="373"/>
        <v/>
      </c>
      <c r="G124" s="73" t="str">
        <f t="shared" si="373"/>
        <v/>
      </c>
      <c r="H124" s="73" t="str">
        <f t="shared" si="373"/>
        <v/>
      </c>
      <c r="I124" s="73" t="str">
        <f t="shared" si="373"/>
        <v/>
      </c>
      <c r="J124" s="73" t="str">
        <f t="shared" si="373"/>
        <v/>
      </c>
      <c r="K124" s="73" t="str">
        <f t="shared" si="373"/>
        <v/>
      </c>
      <c r="L124" s="73" t="str">
        <f t="shared" si="373"/>
        <v/>
      </c>
      <c r="M124" s="73" t="str">
        <f t="shared" si="373"/>
        <v/>
      </c>
      <c r="N124" s="73" t="str">
        <f t="shared" si="373"/>
        <v/>
      </c>
      <c r="O124" s="73" t="str">
        <f t="shared" si="373"/>
        <v/>
      </c>
      <c r="P124" s="73" t="str">
        <f t="shared" si="373"/>
        <v/>
      </c>
      <c r="Q124" s="73" t="str">
        <f t="shared" si="373"/>
        <v/>
      </c>
      <c r="R124" s="73" t="str">
        <f t="shared" si="373"/>
        <v/>
      </c>
      <c r="S124" s="73" t="str">
        <f t="shared" si="373"/>
        <v/>
      </c>
      <c r="T124" s="73" t="str">
        <f t="shared" si="373"/>
        <v/>
      </c>
      <c r="U124" s="73" t="str">
        <f t="shared" si="373"/>
        <v/>
      </c>
      <c r="V124" s="73" t="str">
        <f t="shared" si="373"/>
        <v/>
      </c>
      <c r="W124" s="73" t="str">
        <f t="shared" si="373"/>
        <v/>
      </c>
      <c r="X124" s="73" t="str">
        <f t="shared" si="373"/>
        <v/>
      </c>
      <c r="Y124" s="73" t="str">
        <f t="shared" si="373"/>
        <v/>
      </c>
      <c r="Z124" s="73" t="str">
        <f t="shared" si="373"/>
        <v/>
      </c>
      <c r="AA124" s="73" t="str">
        <f t="shared" si="373"/>
        <v/>
      </c>
      <c r="AB124" s="73" t="str">
        <f t="shared" si="373"/>
        <v/>
      </c>
      <c r="AC124" s="73" t="str">
        <f t="shared" si="373"/>
        <v/>
      </c>
      <c r="AD124" s="73" t="str">
        <f t="shared" si="373"/>
        <v/>
      </c>
      <c r="AE124" s="73" t="str">
        <f t="shared" si="373"/>
        <v/>
      </c>
      <c r="AF124" s="73" t="str">
        <f t="shared" si="373"/>
        <v/>
      </c>
      <c r="AG124" s="73" t="str">
        <f t="shared" si="373"/>
        <v/>
      </c>
      <c r="AH124" s="73" t="str">
        <f t="shared" si="373"/>
        <v/>
      </c>
      <c r="AI124" s="73" t="str">
        <f t="shared" ref="AI124:BN124" si="374">IF(ISNUMBER(outYear),AI116-AI123,"")</f>
        <v/>
      </c>
      <c r="AJ124" s="73" t="str">
        <f t="shared" si="374"/>
        <v/>
      </c>
      <c r="AK124" s="73" t="str">
        <f t="shared" si="374"/>
        <v/>
      </c>
      <c r="AL124" s="73" t="str">
        <f t="shared" si="374"/>
        <v/>
      </c>
      <c r="AM124" s="73" t="str">
        <f t="shared" si="374"/>
        <v/>
      </c>
      <c r="AN124" s="73" t="str">
        <f t="shared" si="374"/>
        <v/>
      </c>
      <c r="AO124" s="73" t="str">
        <f t="shared" si="374"/>
        <v/>
      </c>
      <c r="AP124" s="73" t="str">
        <f t="shared" si="374"/>
        <v/>
      </c>
      <c r="AQ124" s="73" t="str">
        <f t="shared" si="374"/>
        <v/>
      </c>
      <c r="AR124" s="73" t="str">
        <f t="shared" si="374"/>
        <v/>
      </c>
      <c r="AS124" s="73" t="str">
        <f t="shared" si="374"/>
        <v/>
      </c>
      <c r="AT124" s="73" t="str">
        <f t="shared" si="374"/>
        <v/>
      </c>
      <c r="AU124" s="73" t="str">
        <f t="shared" si="374"/>
        <v/>
      </c>
      <c r="AV124" s="73" t="str">
        <f t="shared" si="374"/>
        <v/>
      </c>
      <c r="AW124" s="73" t="str">
        <f t="shared" si="374"/>
        <v/>
      </c>
      <c r="AX124" s="73" t="str">
        <f t="shared" si="374"/>
        <v/>
      </c>
      <c r="AY124" s="73" t="str">
        <f t="shared" si="374"/>
        <v/>
      </c>
      <c r="AZ124" s="73" t="str">
        <f t="shared" si="374"/>
        <v/>
      </c>
      <c r="BA124" s="73" t="str">
        <f t="shared" si="374"/>
        <v/>
      </c>
      <c r="BB124" s="73" t="str">
        <f t="shared" si="374"/>
        <v/>
      </c>
      <c r="BC124" s="73" t="str">
        <f t="shared" si="374"/>
        <v/>
      </c>
      <c r="BD124" s="73" t="str">
        <f t="shared" si="374"/>
        <v/>
      </c>
      <c r="BE124" s="73" t="str">
        <f t="shared" si="374"/>
        <v/>
      </c>
      <c r="BF124" s="73" t="str">
        <f t="shared" si="374"/>
        <v/>
      </c>
      <c r="BG124" s="73" t="str">
        <f t="shared" si="374"/>
        <v/>
      </c>
      <c r="BH124" s="73" t="str">
        <f t="shared" si="374"/>
        <v/>
      </c>
      <c r="BI124" s="73" t="str">
        <f t="shared" si="374"/>
        <v/>
      </c>
      <c r="BJ124" s="73" t="str">
        <f t="shared" si="374"/>
        <v/>
      </c>
      <c r="BK124" s="73" t="str">
        <f t="shared" si="374"/>
        <v/>
      </c>
      <c r="BL124" s="73" t="str">
        <f t="shared" si="374"/>
        <v/>
      </c>
      <c r="BM124" s="73" t="str">
        <f t="shared" si="374"/>
        <v/>
      </c>
      <c r="BN124" s="73" t="str">
        <f t="shared" si="374"/>
        <v/>
      </c>
      <c r="BO124" s="73" t="str">
        <f t="shared" ref="BO124:CT124" si="375">IF(ISNUMBER(outYear),BO116-BO123,"")</f>
        <v/>
      </c>
      <c r="BP124" s="73" t="str">
        <f t="shared" si="375"/>
        <v/>
      </c>
      <c r="BQ124" s="73" t="str">
        <f t="shared" si="375"/>
        <v/>
      </c>
      <c r="BR124" s="73" t="str">
        <f t="shared" si="375"/>
        <v/>
      </c>
      <c r="BS124" s="73" t="str">
        <f t="shared" si="375"/>
        <v/>
      </c>
      <c r="BT124" s="73" t="str">
        <f t="shared" si="375"/>
        <v/>
      </c>
      <c r="BU124" s="73" t="str">
        <f t="shared" si="375"/>
        <v/>
      </c>
      <c r="BV124" s="73" t="str">
        <f t="shared" si="375"/>
        <v/>
      </c>
      <c r="BW124" s="73" t="str">
        <f t="shared" si="375"/>
        <v/>
      </c>
      <c r="BX124" s="73" t="str">
        <f t="shared" si="375"/>
        <v/>
      </c>
      <c r="BY124" s="73" t="str">
        <f t="shared" si="375"/>
        <v/>
      </c>
      <c r="BZ124" s="73" t="str">
        <f t="shared" si="375"/>
        <v/>
      </c>
      <c r="CA124" s="73" t="str">
        <f t="shared" si="375"/>
        <v/>
      </c>
      <c r="CB124" s="73" t="str">
        <f t="shared" si="375"/>
        <v/>
      </c>
      <c r="CC124" s="73" t="str">
        <f t="shared" si="375"/>
        <v/>
      </c>
      <c r="CD124" s="73" t="str">
        <f t="shared" si="375"/>
        <v/>
      </c>
      <c r="CE124" s="73" t="str">
        <f t="shared" si="375"/>
        <v/>
      </c>
      <c r="CF124" s="73" t="str">
        <f t="shared" si="375"/>
        <v/>
      </c>
      <c r="CG124" s="73" t="str">
        <f t="shared" si="375"/>
        <v/>
      </c>
      <c r="CH124" s="73" t="str">
        <f t="shared" si="375"/>
        <v/>
      </c>
      <c r="CI124" s="73" t="str">
        <f t="shared" si="375"/>
        <v/>
      </c>
      <c r="CJ124" s="73" t="str">
        <f t="shared" si="375"/>
        <v/>
      </c>
      <c r="CK124" s="73" t="str">
        <f t="shared" si="375"/>
        <v/>
      </c>
      <c r="CL124" s="73" t="str">
        <f t="shared" si="375"/>
        <v/>
      </c>
      <c r="CM124" s="73" t="str">
        <f t="shared" si="375"/>
        <v/>
      </c>
      <c r="CN124" s="73" t="str">
        <f t="shared" si="375"/>
        <v/>
      </c>
      <c r="CO124" s="73" t="str">
        <f t="shared" si="375"/>
        <v/>
      </c>
      <c r="CP124" s="73" t="str">
        <f t="shared" si="375"/>
        <v/>
      </c>
      <c r="CQ124" s="73" t="str">
        <f t="shared" si="375"/>
        <v/>
      </c>
      <c r="CR124" s="73" t="str">
        <f t="shared" si="375"/>
        <v/>
      </c>
      <c r="CS124" s="73" t="str">
        <f t="shared" si="375"/>
        <v/>
      </c>
      <c r="CT124" s="73" t="str">
        <f t="shared" si="375"/>
        <v/>
      </c>
      <c r="CU124" s="73" t="str">
        <f t="shared" ref="CU124:CX124" si="376">IF(ISNUMBER(outYear),CU116-CU123,"")</f>
        <v/>
      </c>
      <c r="CV124" s="73" t="str">
        <f t="shared" si="376"/>
        <v/>
      </c>
      <c r="CW124" s="73" t="str">
        <f t="shared" si="376"/>
        <v/>
      </c>
      <c r="CX124" s="73" t="str">
        <f t="shared" si="376"/>
        <v/>
      </c>
    </row>
    <row r="125" spans="1:16384" customFormat="1" x14ac:dyDescent="0.25">
      <c r="A125" s="54" t="s">
        <v>186</v>
      </c>
      <c r="B125" s="5"/>
      <c r="C125" s="73">
        <f t="array" ref="C125:CX125">'Inputs and Outputs'!C111:CX111</f>
        <v>0</v>
      </c>
      <c r="D125" s="73">
        <v>0</v>
      </c>
      <c r="E125" s="73">
        <v>0</v>
      </c>
      <c r="F125" s="73">
        <v>0</v>
      </c>
      <c r="G125" s="73">
        <v>0</v>
      </c>
      <c r="H125" s="73">
        <v>0</v>
      </c>
      <c r="I125" s="73">
        <v>0</v>
      </c>
      <c r="J125" s="73">
        <v>0</v>
      </c>
      <c r="K125" s="73">
        <v>0</v>
      </c>
      <c r="L125" s="73">
        <v>0</v>
      </c>
      <c r="M125" s="73">
        <v>0</v>
      </c>
      <c r="N125" s="73">
        <v>0</v>
      </c>
      <c r="O125" s="73">
        <v>0</v>
      </c>
      <c r="P125" s="73">
        <v>0</v>
      </c>
      <c r="Q125" s="73">
        <v>0</v>
      </c>
      <c r="R125" s="73">
        <v>0</v>
      </c>
      <c r="S125" s="73">
        <v>0</v>
      </c>
      <c r="T125" s="73">
        <v>0</v>
      </c>
      <c r="U125" s="73">
        <v>0</v>
      </c>
      <c r="V125" s="73">
        <v>0</v>
      </c>
      <c r="W125" s="73">
        <v>0</v>
      </c>
      <c r="X125" s="73">
        <v>0</v>
      </c>
      <c r="Y125" s="73">
        <v>0</v>
      </c>
      <c r="Z125" s="73">
        <v>0</v>
      </c>
      <c r="AA125" s="73">
        <v>0</v>
      </c>
      <c r="AB125" s="73">
        <v>0</v>
      </c>
      <c r="AC125" s="73">
        <v>0</v>
      </c>
      <c r="AD125" s="73">
        <v>0</v>
      </c>
      <c r="AE125" s="73">
        <v>0</v>
      </c>
      <c r="AF125" s="73">
        <v>0</v>
      </c>
      <c r="AG125" s="73">
        <v>0</v>
      </c>
      <c r="AH125" s="73">
        <v>0</v>
      </c>
      <c r="AI125" s="73">
        <v>0</v>
      </c>
      <c r="AJ125" s="73">
        <v>0</v>
      </c>
      <c r="AK125" s="73">
        <v>0</v>
      </c>
      <c r="AL125" s="73">
        <v>0</v>
      </c>
      <c r="AM125" s="73">
        <v>0</v>
      </c>
      <c r="AN125" s="73">
        <v>0</v>
      </c>
      <c r="AO125" s="73">
        <v>0</v>
      </c>
      <c r="AP125" s="73">
        <v>0</v>
      </c>
      <c r="AQ125" s="73">
        <v>0</v>
      </c>
      <c r="AR125" s="73">
        <v>0</v>
      </c>
      <c r="AS125" s="73">
        <v>0</v>
      </c>
      <c r="AT125" s="73">
        <v>0</v>
      </c>
      <c r="AU125" s="73">
        <v>0</v>
      </c>
      <c r="AV125" s="73">
        <v>0</v>
      </c>
      <c r="AW125" s="73">
        <v>0</v>
      </c>
      <c r="AX125" s="73">
        <v>0</v>
      </c>
      <c r="AY125" s="73">
        <v>0</v>
      </c>
      <c r="AZ125" s="73">
        <v>0</v>
      </c>
      <c r="BA125" s="73">
        <v>0</v>
      </c>
      <c r="BB125" s="73">
        <v>0</v>
      </c>
      <c r="BC125" s="73">
        <v>0</v>
      </c>
      <c r="BD125" s="73">
        <v>0</v>
      </c>
      <c r="BE125" s="73">
        <v>0</v>
      </c>
      <c r="BF125" s="73">
        <v>0</v>
      </c>
      <c r="BG125" s="73">
        <v>0</v>
      </c>
      <c r="BH125" s="73">
        <v>0</v>
      </c>
      <c r="BI125" s="73">
        <v>0</v>
      </c>
      <c r="BJ125" s="73">
        <v>0</v>
      </c>
      <c r="BK125" s="73">
        <v>0</v>
      </c>
      <c r="BL125" s="73">
        <v>0</v>
      </c>
      <c r="BM125" s="73">
        <v>0</v>
      </c>
      <c r="BN125" s="73">
        <v>0</v>
      </c>
      <c r="BO125" s="73">
        <v>0</v>
      </c>
      <c r="BP125" s="73">
        <v>0</v>
      </c>
      <c r="BQ125" s="73">
        <v>0</v>
      </c>
      <c r="BR125" s="73">
        <v>0</v>
      </c>
      <c r="BS125" s="73">
        <v>0</v>
      </c>
      <c r="BT125" s="73">
        <v>0</v>
      </c>
      <c r="BU125" s="73">
        <v>0</v>
      </c>
      <c r="BV125" s="73">
        <v>0</v>
      </c>
      <c r="BW125" s="73">
        <v>0</v>
      </c>
      <c r="BX125" s="73">
        <v>0</v>
      </c>
      <c r="BY125" s="73">
        <v>0</v>
      </c>
      <c r="BZ125" s="73">
        <v>0</v>
      </c>
      <c r="CA125" s="73">
        <v>0</v>
      </c>
      <c r="CB125" s="73">
        <v>0</v>
      </c>
      <c r="CC125" s="73">
        <v>0</v>
      </c>
      <c r="CD125" s="73">
        <v>0</v>
      </c>
      <c r="CE125" s="73">
        <v>0</v>
      </c>
      <c r="CF125" s="73">
        <v>0</v>
      </c>
      <c r="CG125" s="73">
        <v>0</v>
      </c>
      <c r="CH125" s="73">
        <v>0</v>
      </c>
      <c r="CI125" s="73">
        <v>0</v>
      </c>
      <c r="CJ125" s="73">
        <v>0</v>
      </c>
      <c r="CK125" s="73">
        <v>0</v>
      </c>
      <c r="CL125" s="73">
        <v>0</v>
      </c>
      <c r="CM125" s="73">
        <v>0</v>
      </c>
      <c r="CN125" s="73">
        <v>0</v>
      </c>
      <c r="CO125" s="73">
        <v>0</v>
      </c>
      <c r="CP125" s="73">
        <v>0</v>
      </c>
      <c r="CQ125" s="73">
        <v>0</v>
      </c>
      <c r="CR125" s="73">
        <v>0</v>
      </c>
      <c r="CS125" s="73">
        <v>0</v>
      </c>
      <c r="CT125" s="73">
        <v>0</v>
      </c>
      <c r="CU125" s="73">
        <v>0</v>
      </c>
      <c r="CV125" s="73">
        <v>0</v>
      </c>
      <c r="CW125" s="73">
        <v>0</v>
      </c>
      <c r="CX125" s="73">
        <v>0</v>
      </c>
    </row>
    <row r="126" spans="1:16384" customFormat="1" x14ac:dyDescent="0.25">
      <c r="A126" s="62" t="s">
        <v>11</v>
      </c>
      <c r="B126" s="5"/>
      <c r="C126" s="73" t="str">
        <f t="shared" ref="C126:AH126" si="377">IF(ISNUMBER(outYear),+C125*C124/100,"")</f>
        <v/>
      </c>
      <c r="D126" s="73" t="str">
        <f t="shared" si="377"/>
        <v/>
      </c>
      <c r="E126" s="73" t="str">
        <f t="shared" si="377"/>
        <v/>
      </c>
      <c r="F126" s="73" t="str">
        <f t="shared" si="377"/>
        <v/>
      </c>
      <c r="G126" s="73" t="str">
        <f t="shared" si="377"/>
        <v/>
      </c>
      <c r="H126" s="73" t="str">
        <f t="shared" si="377"/>
        <v/>
      </c>
      <c r="I126" s="73" t="str">
        <f t="shared" si="377"/>
        <v/>
      </c>
      <c r="J126" s="73" t="str">
        <f t="shared" si="377"/>
        <v/>
      </c>
      <c r="K126" s="73" t="str">
        <f t="shared" si="377"/>
        <v/>
      </c>
      <c r="L126" s="73" t="str">
        <f t="shared" si="377"/>
        <v/>
      </c>
      <c r="M126" s="73" t="str">
        <f t="shared" si="377"/>
        <v/>
      </c>
      <c r="N126" s="73" t="str">
        <f t="shared" si="377"/>
        <v/>
      </c>
      <c r="O126" s="73" t="str">
        <f t="shared" si="377"/>
        <v/>
      </c>
      <c r="P126" s="73" t="str">
        <f t="shared" si="377"/>
        <v/>
      </c>
      <c r="Q126" s="73" t="str">
        <f t="shared" si="377"/>
        <v/>
      </c>
      <c r="R126" s="73" t="str">
        <f t="shared" si="377"/>
        <v/>
      </c>
      <c r="S126" s="73" t="str">
        <f t="shared" si="377"/>
        <v/>
      </c>
      <c r="T126" s="73" t="str">
        <f t="shared" si="377"/>
        <v/>
      </c>
      <c r="U126" s="73" t="str">
        <f t="shared" si="377"/>
        <v/>
      </c>
      <c r="V126" s="73" t="str">
        <f t="shared" si="377"/>
        <v/>
      </c>
      <c r="W126" s="73" t="str">
        <f t="shared" si="377"/>
        <v/>
      </c>
      <c r="X126" s="73" t="str">
        <f t="shared" si="377"/>
        <v/>
      </c>
      <c r="Y126" s="73" t="str">
        <f t="shared" si="377"/>
        <v/>
      </c>
      <c r="Z126" s="73" t="str">
        <f t="shared" si="377"/>
        <v/>
      </c>
      <c r="AA126" s="73" t="str">
        <f t="shared" si="377"/>
        <v/>
      </c>
      <c r="AB126" s="73" t="str">
        <f t="shared" si="377"/>
        <v/>
      </c>
      <c r="AC126" s="73" t="str">
        <f t="shared" si="377"/>
        <v/>
      </c>
      <c r="AD126" s="73" t="str">
        <f t="shared" si="377"/>
        <v/>
      </c>
      <c r="AE126" s="73" t="str">
        <f t="shared" si="377"/>
        <v/>
      </c>
      <c r="AF126" s="73" t="str">
        <f t="shared" si="377"/>
        <v/>
      </c>
      <c r="AG126" s="73" t="str">
        <f t="shared" si="377"/>
        <v/>
      </c>
      <c r="AH126" s="73" t="str">
        <f t="shared" si="377"/>
        <v/>
      </c>
      <c r="AI126" s="73" t="str">
        <f t="shared" ref="AI126:BN126" si="378">IF(ISNUMBER(outYear),+AI125*AI124/100,"")</f>
        <v/>
      </c>
      <c r="AJ126" s="73" t="str">
        <f t="shared" si="378"/>
        <v/>
      </c>
      <c r="AK126" s="73" t="str">
        <f t="shared" si="378"/>
        <v/>
      </c>
      <c r="AL126" s="73" t="str">
        <f t="shared" si="378"/>
        <v/>
      </c>
      <c r="AM126" s="73" t="str">
        <f t="shared" si="378"/>
        <v/>
      </c>
      <c r="AN126" s="73" t="str">
        <f t="shared" si="378"/>
        <v/>
      </c>
      <c r="AO126" s="73" t="str">
        <f t="shared" si="378"/>
        <v/>
      </c>
      <c r="AP126" s="73" t="str">
        <f t="shared" si="378"/>
        <v/>
      </c>
      <c r="AQ126" s="73" t="str">
        <f t="shared" si="378"/>
        <v/>
      </c>
      <c r="AR126" s="73" t="str">
        <f t="shared" si="378"/>
        <v/>
      </c>
      <c r="AS126" s="73" t="str">
        <f t="shared" si="378"/>
        <v/>
      </c>
      <c r="AT126" s="73" t="str">
        <f t="shared" si="378"/>
        <v/>
      </c>
      <c r="AU126" s="73" t="str">
        <f t="shared" si="378"/>
        <v/>
      </c>
      <c r="AV126" s="73" t="str">
        <f t="shared" si="378"/>
        <v/>
      </c>
      <c r="AW126" s="73" t="str">
        <f t="shared" si="378"/>
        <v/>
      </c>
      <c r="AX126" s="73" t="str">
        <f t="shared" si="378"/>
        <v/>
      </c>
      <c r="AY126" s="73" t="str">
        <f t="shared" si="378"/>
        <v/>
      </c>
      <c r="AZ126" s="73" t="str">
        <f t="shared" si="378"/>
        <v/>
      </c>
      <c r="BA126" s="73" t="str">
        <f t="shared" si="378"/>
        <v/>
      </c>
      <c r="BB126" s="73" t="str">
        <f t="shared" si="378"/>
        <v/>
      </c>
      <c r="BC126" s="73" t="str">
        <f t="shared" si="378"/>
        <v/>
      </c>
      <c r="BD126" s="73" t="str">
        <f t="shared" si="378"/>
        <v/>
      </c>
      <c r="BE126" s="73" t="str">
        <f t="shared" si="378"/>
        <v/>
      </c>
      <c r="BF126" s="73" t="str">
        <f t="shared" si="378"/>
        <v/>
      </c>
      <c r="BG126" s="73" t="str">
        <f t="shared" si="378"/>
        <v/>
      </c>
      <c r="BH126" s="73" t="str">
        <f t="shared" si="378"/>
        <v/>
      </c>
      <c r="BI126" s="73" t="str">
        <f t="shared" si="378"/>
        <v/>
      </c>
      <c r="BJ126" s="73" t="str">
        <f t="shared" si="378"/>
        <v/>
      </c>
      <c r="BK126" s="73" t="str">
        <f t="shared" si="378"/>
        <v/>
      </c>
      <c r="BL126" s="73" t="str">
        <f t="shared" si="378"/>
        <v/>
      </c>
      <c r="BM126" s="73" t="str">
        <f t="shared" si="378"/>
        <v/>
      </c>
      <c r="BN126" s="73" t="str">
        <f t="shared" si="378"/>
        <v/>
      </c>
      <c r="BO126" s="73" t="str">
        <f t="shared" ref="BO126:CT126" si="379">IF(ISNUMBER(outYear),+BO125*BO124/100,"")</f>
        <v/>
      </c>
      <c r="BP126" s="73" t="str">
        <f t="shared" si="379"/>
        <v/>
      </c>
      <c r="BQ126" s="73" t="str">
        <f t="shared" si="379"/>
        <v/>
      </c>
      <c r="BR126" s="73" t="str">
        <f t="shared" si="379"/>
        <v/>
      </c>
      <c r="BS126" s="73" t="str">
        <f t="shared" si="379"/>
        <v/>
      </c>
      <c r="BT126" s="73" t="str">
        <f t="shared" si="379"/>
        <v/>
      </c>
      <c r="BU126" s="73" t="str">
        <f t="shared" si="379"/>
        <v/>
      </c>
      <c r="BV126" s="73" t="str">
        <f t="shared" si="379"/>
        <v/>
      </c>
      <c r="BW126" s="73" t="str">
        <f t="shared" si="379"/>
        <v/>
      </c>
      <c r="BX126" s="73" t="str">
        <f t="shared" si="379"/>
        <v/>
      </c>
      <c r="BY126" s="73" t="str">
        <f t="shared" si="379"/>
        <v/>
      </c>
      <c r="BZ126" s="73" t="str">
        <f t="shared" si="379"/>
        <v/>
      </c>
      <c r="CA126" s="73" t="str">
        <f t="shared" si="379"/>
        <v/>
      </c>
      <c r="CB126" s="73" t="str">
        <f t="shared" si="379"/>
        <v/>
      </c>
      <c r="CC126" s="73" t="str">
        <f t="shared" si="379"/>
        <v/>
      </c>
      <c r="CD126" s="73" t="str">
        <f t="shared" si="379"/>
        <v/>
      </c>
      <c r="CE126" s="73" t="str">
        <f t="shared" si="379"/>
        <v/>
      </c>
      <c r="CF126" s="73" t="str">
        <f t="shared" si="379"/>
        <v/>
      </c>
      <c r="CG126" s="73" t="str">
        <f t="shared" si="379"/>
        <v/>
      </c>
      <c r="CH126" s="73" t="str">
        <f t="shared" si="379"/>
        <v/>
      </c>
      <c r="CI126" s="73" t="str">
        <f t="shared" si="379"/>
        <v/>
      </c>
      <c r="CJ126" s="73" t="str">
        <f t="shared" si="379"/>
        <v/>
      </c>
      <c r="CK126" s="73" t="str">
        <f t="shared" si="379"/>
        <v/>
      </c>
      <c r="CL126" s="73" t="str">
        <f t="shared" si="379"/>
        <v/>
      </c>
      <c r="CM126" s="73" t="str">
        <f t="shared" si="379"/>
        <v/>
      </c>
      <c r="CN126" s="73" t="str">
        <f t="shared" si="379"/>
        <v/>
      </c>
      <c r="CO126" s="73" t="str">
        <f t="shared" si="379"/>
        <v/>
      </c>
      <c r="CP126" s="73" t="str">
        <f t="shared" si="379"/>
        <v/>
      </c>
      <c r="CQ126" s="73" t="str">
        <f t="shared" si="379"/>
        <v/>
      </c>
      <c r="CR126" s="73" t="str">
        <f t="shared" si="379"/>
        <v/>
      </c>
      <c r="CS126" s="73" t="str">
        <f t="shared" si="379"/>
        <v/>
      </c>
      <c r="CT126" s="73" t="str">
        <f t="shared" si="379"/>
        <v/>
      </c>
      <c r="CU126" s="73" t="str">
        <f t="shared" ref="CU126:CX126" si="380">IF(ISNUMBER(outYear),+CU125*CU124/100,"")</f>
        <v/>
      </c>
      <c r="CV126" s="73" t="str">
        <f t="shared" si="380"/>
        <v/>
      </c>
      <c r="CW126" s="73" t="str">
        <f t="shared" si="380"/>
        <v/>
      </c>
      <c r="CX126" s="73" t="str">
        <f t="shared" si="380"/>
        <v/>
      </c>
    </row>
    <row r="127" spans="1:16384" customFormat="1" x14ac:dyDescent="0.25">
      <c r="A127" s="54" t="s">
        <v>127</v>
      </c>
      <c r="B127" s="5"/>
      <c r="C127" s="73" t="str">
        <f>IF(ptc_fed_amount="n/a",'Inputs and Outputs'!C151*C5,IF(ISNUMBER(outYear),IF(outYear&lt;=ptc_fed_term,ROUND(ptc_fed_amount*1000*(1+ptc_fed_escal/100)^(outYear-1),0)*C5/1000,0),""))</f>
        <v/>
      </c>
      <c r="D127" s="73" t="str">
        <f>IF(ptc_fed_amount="n/a",'Inputs and Outputs'!D151*D5,IF(ISNUMBER(outYear),IF(outYear&lt;=ptc_fed_term,ROUND(ptc_fed_amount*1000*(1+ptc_fed_escal/100)^(outYear-1),0)*D5/1000,0),""))</f>
        <v/>
      </c>
      <c r="E127" s="73" t="str">
        <f>IF(ptc_fed_amount="n/a",'Inputs and Outputs'!E151*E5,IF(ISNUMBER(outYear),IF(outYear&lt;=ptc_fed_term,ROUND(ptc_fed_amount*1000*(1+ptc_fed_escal/100)^(outYear-1),0)*E5/1000,0),""))</f>
        <v/>
      </c>
      <c r="F127" s="73" t="str">
        <f>IF(ptc_fed_amount="n/a",'Inputs and Outputs'!F151*F5,IF(ISNUMBER(outYear),IF(outYear&lt;=ptc_fed_term,ROUND(ptc_fed_amount*1000*(1+ptc_fed_escal/100)^(outYear-1),0)*F5/1000,0),""))</f>
        <v/>
      </c>
      <c r="G127" s="73" t="str">
        <f>IF(ptc_fed_amount="n/a",'Inputs and Outputs'!G151*G5,IF(ISNUMBER(outYear),IF(outYear&lt;=ptc_fed_term,ROUND(ptc_fed_amount*1000*(1+ptc_fed_escal/100)^(outYear-1),0)*G5/1000,0),""))</f>
        <v/>
      </c>
      <c r="H127" s="73" t="str">
        <f>IF(ptc_fed_amount="n/a",'Inputs and Outputs'!H151*H5,IF(ISNUMBER(outYear),IF(outYear&lt;=ptc_fed_term,ROUND(ptc_fed_amount*1000*(1+ptc_fed_escal/100)^(outYear-1),0)*H5/1000,0),""))</f>
        <v/>
      </c>
      <c r="I127" s="73" t="str">
        <f>IF(ptc_fed_amount="n/a",'Inputs and Outputs'!I151*I5,IF(ISNUMBER(outYear),IF(outYear&lt;=ptc_fed_term,ROUND(ptc_fed_amount*1000*(1+ptc_fed_escal/100)^(outYear-1),0)*I5/1000,0),""))</f>
        <v/>
      </c>
      <c r="J127" s="73" t="str">
        <f>IF(ptc_fed_amount="n/a",'Inputs and Outputs'!J151*J5,IF(ISNUMBER(outYear),IF(outYear&lt;=ptc_fed_term,ROUND(ptc_fed_amount*1000*(1+ptc_fed_escal/100)^(outYear-1),0)*J5/1000,0),""))</f>
        <v/>
      </c>
      <c r="K127" s="73" t="str">
        <f>IF(ptc_fed_amount="n/a",'Inputs and Outputs'!K151*K5,IF(ISNUMBER(outYear),IF(outYear&lt;=ptc_fed_term,ROUND(ptc_fed_amount*1000*(1+ptc_fed_escal/100)^(outYear-1),0)*K5/1000,0),""))</f>
        <v/>
      </c>
      <c r="L127" s="73" t="str">
        <f>IF(ptc_fed_amount="n/a",'Inputs and Outputs'!L151*L5,IF(ISNUMBER(outYear),IF(outYear&lt;=ptc_fed_term,ROUND(ptc_fed_amount*1000*(1+ptc_fed_escal/100)^(outYear-1),0)*L5/1000,0),""))</f>
        <v/>
      </c>
      <c r="M127" s="73" t="str">
        <f>IF(ptc_fed_amount="n/a",'Inputs and Outputs'!M151*M5,IF(ISNUMBER(outYear),IF(outYear&lt;=ptc_fed_term,ROUND(ptc_fed_amount*1000*(1+ptc_fed_escal/100)^(outYear-1),0)*M5/1000,0),""))</f>
        <v/>
      </c>
      <c r="N127" s="73" t="str">
        <f>IF(ptc_fed_amount="n/a",'Inputs and Outputs'!N151*N5,IF(ISNUMBER(outYear),IF(outYear&lt;=ptc_fed_term,ROUND(ptc_fed_amount*1000*(1+ptc_fed_escal/100)^(outYear-1),0)*N5/1000,0),""))</f>
        <v/>
      </c>
      <c r="O127" s="73" t="str">
        <f>IF(ptc_fed_amount="n/a",'Inputs and Outputs'!O151*O5,IF(ISNUMBER(outYear),IF(outYear&lt;=ptc_fed_term,ROUND(ptc_fed_amount*1000*(1+ptc_fed_escal/100)^(outYear-1),0)*O5/1000,0),""))</f>
        <v/>
      </c>
      <c r="P127" s="73" t="str">
        <f>IF(ptc_fed_amount="n/a",'Inputs and Outputs'!P151*P5,IF(ISNUMBER(outYear),IF(outYear&lt;=ptc_fed_term,ROUND(ptc_fed_amount*1000*(1+ptc_fed_escal/100)^(outYear-1),0)*P5/1000,0),""))</f>
        <v/>
      </c>
      <c r="Q127" s="73" t="str">
        <f>IF(ptc_fed_amount="n/a",'Inputs and Outputs'!Q151*Q5,IF(ISNUMBER(outYear),IF(outYear&lt;=ptc_fed_term,ROUND(ptc_fed_amount*1000*(1+ptc_fed_escal/100)^(outYear-1),0)*Q5/1000,0),""))</f>
        <v/>
      </c>
      <c r="R127" s="73" t="str">
        <f>IF(ptc_fed_amount="n/a",'Inputs and Outputs'!R151*R5,IF(ISNUMBER(outYear),IF(outYear&lt;=ptc_fed_term,ROUND(ptc_fed_amount*1000*(1+ptc_fed_escal/100)^(outYear-1),0)*R5/1000,0),""))</f>
        <v/>
      </c>
      <c r="S127" s="73" t="str">
        <f>IF(ptc_fed_amount="n/a",'Inputs and Outputs'!S151*S5,IF(ISNUMBER(outYear),IF(outYear&lt;=ptc_fed_term,ROUND(ptc_fed_amount*1000*(1+ptc_fed_escal/100)^(outYear-1),0)*S5/1000,0),""))</f>
        <v/>
      </c>
      <c r="T127" s="73" t="str">
        <f>IF(ptc_fed_amount="n/a",'Inputs and Outputs'!T151*T5,IF(ISNUMBER(outYear),IF(outYear&lt;=ptc_fed_term,ROUND(ptc_fed_amount*1000*(1+ptc_fed_escal/100)^(outYear-1),0)*T5/1000,0),""))</f>
        <v/>
      </c>
      <c r="U127" s="73" t="str">
        <f>IF(ptc_fed_amount="n/a",'Inputs and Outputs'!U151*U5,IF(ISNUMBER(outYear),IF(outYear&lt;=ptc_fed_term,ROUND(ptc_fed_amount*1000*(1+ptc_fed_escal/100)^(outYear-1),0)*U5/1000,0),""))</f>
        <v/>
      </c>
      <c r="V127" s="73" t="str">
        <f>IF(ptc_fed_amount="n/a",'Inputs and Outputs'!V151*V5,IF(ISNUMBER(outYear),IF(outYear&lt;=ptc_fed_term,ROUND(ptc_fed_amount*1000*(1+ptc_fed_escal/100)^(outYear-1),0)*V5/1000,0),""))</f>
        <v/>
      </c>
      <c r="W127" s="73" t="str">
        <f>IF(ptc_fed_amount="n/a",'Inputs and Outputs'!W151*W5,IF(ISNUMBER(outYear),IF(outYear&lt;=ptc_fed_term,ROUND(ptc_fed_amount*1000*(1+ptc_fed_escal/100)^(outYear-1),0)*W5/1000,0),""))</f>
        <v/>
      </c>
      <c r="X127" s="73" t="str">
        <f>IF(ptc_fed_amount="n/a",'Inputs and Outputs'!X151*X5,IF(ISNUMBER(outYear),IF(outYear&lt;=ptc_fed_term,ROUND(ptc_fed_amount*1000*(1+ptc_fed_escal/100)^(outYear-1),0)*X5/1000,0),""))</f>
        <v/>
      </c>
      <c r="Y127" s="73" t="str">
        <f>IF(ptc_fed_amount="n/a",'Inputs and Outputs'!Y151*Y5,IF(ISNUMBER(outYear),IF(outYear&lt;=ptc_fed_term,ROUND(ptc_fed_amount*1000*(1+ptc_fed_escal/100)^(outYear-1),0)*Y5/1000,0),""))</f>
        <v/>
      </c>
      <c r="Z127" s="73" t="str">
        <f>IF(ptc_fed_amount="n/a",'Inputs and Outputs'!Z151*Z5,IF(ISNUMBER(outYear),IF(outYear&lt;=ptc_fed_term,ROUND(ptc_fed_amount*1000*(1+ptc_fed_escal/100)^(outYear-1),0)*Z5/1000,0),""))</f>
        <v/>
      </c>
      <c r="AA127" s="73" t="str">
        <f>IF(ptc_fed_amount="n/a",'Inputs and Outputs'!AA151*AA5,IF(ISNUMBER(outYear),IF(outYear&lt;=ptc_fed_term,ROUND(ptc_fed_amount*1000*(1+ptc_fed_escal/100)^(outYear-1),0)*AA5/1000,0),""))</f>
        <v/>
      </c>
      <c r="AB127" s="73" t="str">
        <f>IF(ptc_fed_amount="n/a",'Inputs and Outputs'!AB151*AB5,IF(ISNUMBER(outYear),IF(outYear&lt;=ptc_fed_term,ROUND(ptc_fed_amount*1000*(1+ptc_fed_escal/100)^(outYear-1),0)*AB5/1000,0),""))</f>
        <v/>
      </c>
      <c r="AC127" s="73" t="str">
        <f>IF(ptc_fed_amount="n/a",'Inputs and Outputs'!AC151*AC5,IF(ISNUMBER(outYear),IF(outYear&lt;=ptc_fed_term,ROUND(ptc_fed_amount*1000*(1+ptc_fed_escal/100)^(outYear-1),0)*AC5/1000,0),""))</f>
        <v/>
      </c>
      <c r="AD127" s="73" t="str">
        <f>IF(ptc_fed_amount="n/a",'Inputs and Outputs'!AD151*AD5,IF(ISNUMBER(outYear),IF(outYear&lt;=ptc_fed_term,ROUND(ptc_fed_amount*1000*(1+ptc_fed_escal/100)^(outYear-1),0)*AD5/1000,0),""))</f>
        <v/>
      </c>
      <c r="AE127" s="73" t="str">
        <f>IF(ptc_fed_amount="n/a",'Inputs and Outputs'!AE151*AE5,IF(ISNUMBER(outYear),IF(outYear&lt;=ptc_fed_term,ROUND(ptc_fed_amount*1000*(1+ptc_fed_escal/100)^(outYear-1),0)*AE5/1000,0),""))</f>
        <v/>
      </c>
      <c r="AF127" s="73" t="str">
        <f>IF(ptc_fed_amount="n/a",'Inputs and Outputs'!AF151*AF5,IF(ISNUMBER(outYear),IF(outYear&lt;=ptc_fed_term,ROUND(ptc_fed_amount*1000*(1+ptc_fed_escal/100)^(outYear-1),0)*AF5/1000,0),""))</f>
        <v/>
      </c>
      <c r="AG127" s="73" t="str">
        <f>IF(ptc_fed_amount="n/a",'Inputs and Outputs'!AG151*AG5,IF(ISNUMBER(outYear),IF(outYear&lt;=ptc_fed_term,ROUND(ptc_fed_amount*1000*(1+ptc_fed_escal/100)^(outYear-1),0)*AG5/1000,0),""))</f>
        <v/>
      </c>
      <c r="AH127" s="73" t="str">
        <f>IF(ptc_fed_amount="n/a",'Inputs and Outputs'!AH151*AH5,IF(ISNUMBER(outYear),IF(outYear&lt;=ptc_fed_term,ROUND(ptc_fed_amount*1000*(1+ptc_fed_escal/100)^(outYear-1),0)*AH5/1000,0),""))</f>
        <v/>
      </c>
      <c r="AI127" s="73" t="str">
        <f>IF(ptc_fed_amount="n/a",'Inputs and Outputs'!AI151*AI5,IF(ISNUMBER(outYear),IF(outYear&lt;=ptc_fed_term,ROUND(ptc_fed_amount*1000*(1+ptc_fed_escal/100)^(outYear-1),0)*AI5/1000,0),""))</f>
        <v/>
      </c>
      <c r="AJ127" s="73" t="str">
        <f>IF(ptc_fed_amount="n/a",'Inputs and Outputs'!AJ151*AJ5,IF(ISNUMBER(outYear),IF(outYear&lt;=ptc_fed_term,ROUND(ptc_fed_amount*1000*(1+ptc_fed_escal/100)^(outYear-1),0)*AJ5/1000,0),""))</f>
        <v/>
      </c>
      <c r="AK127" s="73" t="str">
        <f>IF(ptc_fed_amount="n/a",'Inputs and Outputs'!AK151*AK5,IF(ISNUMBER(outYear),IF(outYear&lt;=ptc_fed_term,ROUND(ptc_fed_amount*1000*(1+ptc_fed_escal/100)^(outYear-1),0)*AK5/1000,0),""))</f>
        <v/>
      </c>
      <c r="AL127" s="73" t="str">
        <f>IF(ptc_fed_amount="n/a",'Inputs and Outputs'!AL151*AL5,IF(ISNUMBER(outYear),IF(outYear&lt;=ptc_fed_term,ROUND(ptc_fed_amount*1000*(1+ptc_fed_escal/100)^(outYear-1),0)*AL5/1000,0),""))</f>
        <v/>
      </c>
      <c r="AM127" s="73" t="str">
        <f>IF(ptc_fed_amount="n/a",'Inputs and Outputs'!AM151*AM5,IF(ISNUMBER(outYear),IF(outYear&lt;=ptc_fed_term,ROUND(ptc_fed_amount*1000*(1+ptc_fed_escal/100)^(outYear-1),0)*AM5/1000,0),""))</f>
        <v/>
      </c>
      <c r="AN127" s="73" t="str">
        <f>IF(ptc_fed_amount="n/a",'Inputs and Outputs'!AN151*AN5,IF(ISNUMBER(outYear),IF(outYear&lt;=ptc_fed_term,ROUND(ptc_fed_amount*1000*(1+ptc_fed_escal/100)^(outYear-1),0)*AN5/1000,0),""))</f>
        <v/>
      </c>
      <c r="AO127" s="73" t="str">
        <f>IF(ptc_fed_amount="n/a",'Inputs and Outputs'!AO151*AO5,IF(ISNUMBER(outYear),IF(outYear&lt;=ptc_fed_term,ROUND(ptc_fed_amount*1000*(1+ptc_fed_escal/100)^(outYear-1),0)*AO5/1000,0),""))</f>
        <v/>
      </c>
      <c r="AP127" s="73" t="str">
        <f>IF(ptc_fed_amount="n/a",'Inputs and Outputs'!AP151*AP5,IF(ISNUMBER(outYear),IF(outYear&lt;=ptc_fed_term,ROUND(ptc_fed_amount*1000*(1+ptc_fed_escal/100)^(outYear-1),0)*AP5/1000,0),""))</f>
        <v/>
      </c>
      <c r="AQ127" s="73" t="str">
        <f>IF(ptc_fed_amount="n/a",'Inputs and Outputs'!AQ151*AQ5,IF(ISNUMBER(outYear),IF(outYear&lt;=ptc_fed_term,ROUND(ptc_fed_amount*1000*(1+ptc_fed_escal/100)^(outYear-1),0)*AQ5/1000,0),""))</f>
        <v/>
      </c>
      <c r="AR127" s="73" t="str">
        <f>IF(ptc_fed_amount="n/a",'Inputs and Outputs'!AR151*AR5,IF(ISNUMBER(outYear),IF(outYear&lt;=ptc_fed_term,ROUND(ptc_fed_amount*1000*(1+ptc_fed_escal/100)^(outYear-1),0)*AR5/1000,0),""))</f>
        <v/>
      </c>
      <c r="AS127" s="73" t="str">
        <f>IF(ptc_fed_amount="n/a",'Inputs and Outputs'!AS151*AS5,IF(ISNUMBER(outYear),IF(outYear&lt;=ptc_fed_term,ROUND(ptc_fed_amount*1000*(1+ptc_fed_escal/100)^(outYear-1),0)*AS5/1000,0),""))</f>
        <v/>
      </c>
      <c r="AT127" s="73" t="str">
        <f>IF(ptc_fed_amount="n/a",'Inputs and Outputs'!AT151*AT5,IF(ISNUMBER(outYear),IF(outYear&lt;=ptc_fed_term,ROUND(ptc_fed_amount*1000*(1+ptc_fed_escal/100)^(outYear-1),0)*AT5/1000,0),""))</f>
        <v/>
      </c>
      <c r="AU127" s="73" t="str">
        <f>IF(ptc_fed_amount="n/a",'Inputs and Outputs'!AU151*AU5,IF(ISNUMBER(outYear),IF(outYear&lt;=ptc_fed_term,ROUND(ptc_fed_amount*1000*(1+ptc_fed_escal/100)^(outYear-1),0)*AU5/1000,0),""))</f>
        <v/>
      </c>
      <c r="AV127" s="73" t="str">
        <f>IF(ptc_fed_amount="n/a",'Inputs and Outputs'!AV151*AV5,IF(ISNUMBER(outYear),IF(outYear&lt;=ptc_fed_term,ROUND(ptc_fed_amount*1000*(1+ptc_fed_escal/100)^(outYear-1),0)*AV5/1000,0),""))</f>
        <v/>
      </c>
      <c r="AW127" s="73" t="str">
        <f>IF(ptc_fed_amount="n/a",'Inputs and Outputs'!AW151*AW5,IF(ISNUMBER(outYear),IF(outYear&lt;=ptc_fed_term,ROUND(ptc_fed_amount*1000*(1+ptc_fed_escal/100)^(outYear-1),0)*AW5/1000,0),""))</f>
        <v/>
      </c>
      <c r="AX127" s="73" t="str">
        <f>IF(ptc_fed_amount="n/a",'Inputs and Outputs'!AX151*AX5,IF(ISNUMBER(outYear),IF(outYear&lt;=ptc_fed_term,ROUND(ptc_fed_amount*1000*(1+ptc_fed_escal/100)^(outYear-1),0)*AX5/1000,0),""))</f>
        <v/>
      </c>
      <c r="AY127" s="73" t="str">
        <f>IF(ptc_fed_amount="n/a",'Inputs and Outputs'!AY151*AY5,IF(ISNUMBER(outYear),IF(outYear&lt;=ptc_fed_term,ROUND(ptc_fed_amount*1000*(1+ptc_fed_escal/100)^(outYear-1),0)*AY5/1000,0),""))</f>
        <v/>
      </c>
      <c r="AZ127" s="73" t="str">
        <f>IF(ptc_fed_amount="n/a",'Inputs and Outputs'!AZ151*AZ5,IF(ISNUMBER(outYear),IF(outYear&lt;=ptc_fed_term,ROUND(ptc_fed_amount*1000*(1+ptc_fed_escal/100)^(outYear-1),0)*AZ5/1000,0),""))</f>
        <v/>
      </c>
      <c r="BA127" s="73" t="str">
        <f>IF(ptc_fed_amount="n/a",'Inputs and Outputs'!BA151*BA5,IF(ISNUMBER(outYear),IF(outYear&lt;=ptc_fed_term,ROUND(ptc_fed_amount*1000*(1+ptc_fed_escal/100)^(outYear-1),0)*BA5/1000,0),""))</f>
        <v/>
      </c>
      <c r="BB127" s="73" t="str">
        <f>IF(ptc_fed_amount="n/a",'Inputs and Outputs'!BB151*BB5,IF(ISNUMBER(outYear),IF(outYear&lt;=ptc_fed_term,ROUND(ptc_fed_amount*1000*(1+ptc_fed_escal/100)^(outYear-1),0)*BB5/1000,0),""))</f>
        <v/>
      </c>
      <c r="BC127" s="73" t="str">
        <f>IF(ptc_fed_amount="n/a",'Inputs and Outputs'!BC151*BC5,IF(ISNUMBER(outYear),IF(outYear&lt;=ptc_fed_term,ROUND(ptc_fed_amount*1000*(1+ptc_fed_escal/100)^(outYear-1),0)*BC5/1000,0),""))</f>
        <v/>
      </c>
      <c r="BD127" s="73" t="str">
        <f>IF(ptc_fed_amount="n/a",'Inputs and Outputs'!BD151*BD5,IF(ISNUMBER(outYear),IF(outYear&lt;=ptc_fed_term,ROUND(ptc_fed_amount*1000*(1+ptc_fed_escal/100)^(outYear-1),0)*BD5/1000,0),""))</f>
        <v/>
      </c>
      <c r="BE127" s="73" t="str">
        <f>IF(ptc_fed_amount="n/a",'Inputs and Outputs'!BE151*BE5,IF(ISNUMBER(outYear),IF(outYear&lt;=ptc_fed_term,ROUND(ptc_fed_amount*1000*(1+ptc_fed_escal/100)^(outYear-1),0)*BE5/1000,0),""))</f>
        <v/>
      </c>
      <c r="BF127" s="73" t="str">
        <f>IF(ptc_fed_amount="n/a",'Inputs and Outputs'!BF151*BF5,IF(ISNUMBER(outYear),IF(outYear&lt;=ptc_fed_term,ROUND(ptc_fed_amount*1000*(1+ptc_fed_escal/100)^(outYear-1),0)*BF5/1000,0),""))</f>
        <v/>
      </c>
      <c r="BG127" s="73" t="str">
        <f>IF(ptc_fed_amount="n/a",'Inputs and Outputs'!BG151*BG5,IF(ISNUMBER(outYear),IF(outYear&lt;=ptc_fed_term,ROUND(ptc_fed_amount*1000*(1+ptc_fed_escal/100)^(outYear-1),0)*BG5/1000,0),""))</f>
        <v/>
      </c>
      <c r="BH127" s="73" t="str">
        <f>IF(ptc_fed_amount="n/a",'Inputs and Outputs'!BH151*BH5,IF(ISNUMBER(outYear),IF(outYear&lt;=ptc_fed_term,ROUND(ptc_fed_amount*1000*(1+ptc_fed_escal/100)^(outYear-1),0)*BH5/1000,0),""))</f>
        <v/>
      </c>
      <c r="BI127" s="73" t="str">
        <f>IF(ptc_fed_amount="n/a",'Inputs and Outputs'!BI151*BI5,IF(ISNUMBER(outYear),IF(outYear&lt;=ptc_fed_term,ROUND(ptc_fed_amount*1000*(1+ptc_fed_escal/100)^(outYear-1),0)*BI5/1000,0),""))</f>
        <v/>
      </c>
      <c r="BJ127" s="73" t="str">
        <f>IF(ptc_fed_amount="n/a",'Inputs and Outputs'!BJ151*BJ5,IF(ISNUMBER(outYear),IF(outYear&lt;=ptc_fed_term,ROUND(ptc_fed_amount*1000*(1+ptc_fed_escal/100)^(outYear-1),0)*BJ5/1000,0),""))</f>
        <v/>
      </c>
      <c r="BK127" s="73" t="str">
        <f>IF(ptc_fed_amount="n/a",'Inputs and Outputs'!BK151*BK5,IF(ISNUMBER(outYear),IF(outYear&lt;=ptc_fed_term,ROUND(ptc_fed_amount*1000*(1+ptc_fed_escal/100)^(outYear-1),0)*BK5/1000,0),""))</f>
        <v/>
      </c>
      <c r="BL127" s="73" t="str">
        <f>IF(ptc_fed_amount="n/a",'Inputs and Outputs'!BL151*BL5,IF(ISNUMBER(outYear),IF(outYear&lt;=ptc_fed_term,ROUND(ptc_fed_amount*1000*(1+ptc_fed_escal/100)^(outYear-1),0)*BL5/1000,0),""))</f>
        <v/>
      </c>
      <c r="BM127" s="73" t="str">
        <f>IF(ptc_fed_amount="n/a",'Inputs and Outputs'!BM151*BM5,IF(ISNUMBER(outYear),IF(outYear&lt;=ptc_fed_term,ROUND(ptc_fed_amount*1000*(1+ptc_fed_escal/100)^(outYear-1),0)*BM5/1000,0),""))</f>
        <v/>
      </c>
      <c r="BN127" s="73" t="str">
        <f>IF(ptc_fed_amount="n/a",'Inputs and Outputs'!BN151*BN5,IF(ISNUMBER(outYear),IF(outYear&lt;=ptc_fed_term,ROUND(ptc_fed_amount*1000*(1+ptc_fed_escal/100)^(outYear-1),0)*BN5/1000,0),""))</f>
        <v/>
      </c>
      <c r="BO127" s="73" t="str">
        <f>IF(ptc_fed_amount="n/a",'Inputs and Outputs'!BO151*BO5,IF(ISNUMBER(outYear),IF(outYear&lt;=ptc_fed_term,ROUND(ptc_fed_amount*1000*(1+ptc_fed_escal/100)^(outYear-1),0)*BO5/1000,0),""))</f>
        <v/>
      </c>
      <c r="BP127" s="73" t="str">
        <f>IF(ptc_fed_amount="n/a",'Inputs and Outputs'!BP151*BP5,IF(ISNUMBER(outYear),IF(outYear&lt;=ptc_fed_term,ROUND(ptc_fed_amount*1000*(1+ptc_fed_escal/100)^(outYear-1),0)*BP5/1000,0),""))</f>
        <v/>
      </c>
      <c r="BQ127" s="73" t="str">
        <f>IF(ptc_fed_amount="n/a",'Inputs and Outputs'!BQ151*BQ5,IF(ISNUMBER(outYear),IF(outYear&lt;=ptc_fed_term,ROUND(ptc_fed_amount*1000*(1+ptc_fed_escal/100)^(outYear-1),0)*BQ5/1000,0),""))</f>
        <v/>
      </c>
      <c r="BR127" s="73" t="str">
        <f>IF(ptc_fed_amount="n/a",'Inputs and Outputs'!BR151*BR5,IF(ISNUMBER(outYear),IF(outYear&lt;=ptc_fed_term,ROUND(ptc_fed_amount*1000*(1+ptc_fed_escal/100)^(outYear-1),0)*BR5/1000,0),""))</f>
        <v/>
      </c>
      <c r="BS127" s="73" t="str">
        <f>IF(ptc_fed_amount="n/a",'Inputs and Outputs'!BS151*BS5,IF(ISNUMBER(outYear),IF(outYear&lt;=ptc_fed_term,ROUND(ptc_fed_amount*1000*(1+ptc_fed_escal/100)^(outYear-1),0)*BS5/1000,0),""))</f>
        <v/>
      </c>
      <c r="BT127" s="73" t="str">
        <f>IF(ptc_fed_amount="n/a",'Inputs and Outputs'!BT151*BT5,IF(ISNUMBER(outYear),IF(outYear&lt;=ptc_fed_term,ROUND(ptc_fed_amount*1000*(1+ptc_fed_escal/100)^(outYear-1),0)*BT5/1000,0),""))</f>
        <v/>
      </c>
      <c r="BU127" s="73" t="str">
        <f>IF(ptc_fed_amount="n/a",'Inputs and Outputs'!BU151*BU5,IF(ISNUMBER(outYear),IF(outYear&lt;=ptc_fed_term,ROUND(ptc_fed_amount*1000*(1+ptc_fed_escal/100)^(outYear-1),0)*BU5/1000,0),""))</f>
        <v/>
      </c>
      <c r="BV127" s="73" t="str">
        <f>IF(ptc_fed_amount="n/a",'Inputs and Outputs'!BV151*BV5,IF(ISNUMBER(outYear),IF(outYear&lt;=ptc_fed_term,ROUND(ptc_fed_amount*1000*(1+ptc_fed_escal/100)^(outYear-1),0)*BV5/1000,0),""))</f>
        <v/>
      </c>
      <c r="BW127" s="73" t="str">
        <f>IF(ptc_fed_amount="n/a",'Inputs and Outputs'!BW151*BW5,IF(ISNUMBER(outYear),IF(outYear&lt;=ptc_fed_term,ROUND(ptc_fed_amount*1000*(1+ptc_fed_escal/100)^(outYear-1),0)*BW5/1000,0),""))</f>
        <v/>
      </c>
      <c r="BX127" s="73" t="str">
        <f>IF(ptc_fed_amount="n/a",'Inputs and Outputs'!BX151*BX5,IF(ISNUMBER(outYear),IF(outYear&lt;=ptc_fed_term,ROUND(ptc_fed_amount*1000*(1+ptc_fed_escal/100)^(outYear-1),0)*BX5/1000,0),""))</f>
        <v/>
      </c>
      <c r="BY127" s="73" t="str">
        <f>IF(ptc_fed_amount="n/a",'Inputs and Outputs'!BY151*BY5,IF(ISNUMBER(outYear),IF(outYear&lt;=ptc_fed_term,ROUND(ptc_fed_amount*1000*(1+ptc_fed_escal/100)^(outYear-1),0)*BY5/1000,0),""))</f>
        <v/>
      </c>
      <c r="BZ127" s="73" t="str">
        <f>IF(ptc_fed_amount="n/a",'Inputs and Outputs'!BZ151*BZ5,IF(ISNUMBER(outYear),IF(outYear&lt;=ptc_fed_term,ROUND(ptc_fed_amount*1000*(1+ptc_fed_escal/100)^(outYear-1),0)*BZ5/1000,0),""))</f>
        <v/>
      </c>
      <c r="CA127" s="73" t="str">
        <f>IF(ptc_fed_amount="n/a",'Inputs and Outputs'!CA151*CA5,IF(ISNUMBER(outYear),IF(outYear&lt;=ptc_fed_term,ROUND(ptc_fed_amount*1000*(1+ptc_fed_escal/100)^(outYear-1),0)*CA5/1000,0),""))</f>
        <v/>
      </c>
      <c r="CB127" s="73" t="str">
        <f>IF(ptc_fed_amount="n/a",'Inputs and Outputs'!CB151*CB5,IF(ISNUMBER(outYear),IF(outYear&lt;=ptc_fed_term,ROUND(ptc_fed_amount*1000*(1+ptc_fed_escal/100)^(outYear-1),0)*CB5/1000,0),""))</f>
        <v/>
      </c>
      <c r="CC127" s="73" t="str">
        <f>IF(ptc_fed_amount="n/a",'Inputs and Outputs'!CC151*CC5,IF(ISNUMBER(outYear),IF(outYear&lt;=ptc_fed_term,ROUND(ptc_fed_amount*1000*(1+ptc_fed_escal/100)^(outYear-1),0)*CC5/1000,0),""))</f>
        <v/>
      </c>
      <c r="CD127" s="73" t="str">
        <f>IF(ptc_fed_amount="n/a",'Inputs and Outputs'!CD151*CD5,IF(ISNUMBER(outYear),IF(outYear&lt;=ptc_fed_term,ROUND(ptc_fed_amount*1000*(1+ptc_fed_escal/100)^(outYear-1),0)*CD5/1000,0),""))</f>
        <v/>
      </c>
      <c r="CE127" s="73" t="str">
        <f>IF(ptc_fed_amount="n/a",'Inputs and Outputs'!CE151*CE5,IF(ISNUMBER(outYear),IF(outYear&lt;=ptc_fed_term,ROUND(ptc_fed_amount*1000*(1+ptc_fed_escal/100)^(outYear-1),0)*CE5/1000,0),""))</f>
        <v/>
      </c>
      <c r="CF127" s="73" t="str">
        <f>IF(ptc_fed_amount="n/a",'Inputs and Outputs'!CF151*CF5,IF(ISNUMBER(outYear),IF(outYear&lt;=ptc_fed_term,ROUND(ptc_fed_amount*1000*(1+ptc_fed_escal/100)^(outYear-1),0)*CF5/1000,0),""))</f>
        <v/>
      </c>
      <c r="CG127" s="73" t="str">
        <f>IF(ptc_fed_amount="n/a",'Inputs and Outputs'!CG151*CG5,IF(ISNUMBER(outYear),IF(outYear&lt;=ptc_fed_term,ROUND(ptc_fed_amount*1000*(1+ptc_fed_escal/100)^(outYear-1),0)*CG5/1000,0),""))</f>
        <v/>
      </c>
      <c r="CH127" s="73" t="str">
        <f>IF(ptc_fed_amount="n/a",'Inputs and Outputs'!CH151*CH5,IF(ISNUMBER(outYear),IF(outYear&lt;=ptc_fed_term,ROUND(ptc_fed_amount*1000*(1+ptc_fed_escal/100)^(outYear-1),0)*CH5/1000,0),""))</f>
        <v/>
      </c>
      <c r="CI127" s="73" t="str">
        <f>IF(ptc_fed_amount="n/a",'Inputs and Outputs'!CI151*CI5,IF(ISNUMBER(outYear),IF(outYear&lt;=ptc_fed_term,ROUND(ptc_fed_amount*1000*(1+ptc_fed_escal/100)^(outYear-1),0)*CI5/1000,0),""))</f>
        <v/>
      </c>
      <c r="CJ127" s="73" t="str">
        <f>IF(ptc_fed_amount="n/a",'Inputs and Outputs'!CJ151*CJ5,IF(ISNUMBER(outYear),IF(outYear&lt;=ptc_fed_term,ROUND(ptc_fed_amount*1000*(1+ptc_fed_escal/100)^(outYear-1),0)*CJ5/1000,0),""))</f>
        <v/>
      </c>
      <c r="CK127" s="73" t="str">
        <f>IF(ptc_fed_amount="n/a",'Inputs and Outputs'!CK151*CK5,IF(ISNUMBER(outYear),IF(outYear&lt;=ptc_fed_term,ROUND(ptc_fed_amount*1000*(1+ptc_fed_escal/100)^(outYear-1),0)*CK5/1000,0),""))</f>
        <v/>
      </c>
      <c r="CL127" s="73" t="str">
        <f>IF(ptc_fed_amount="n/a",'Inputs and Outputs'!CL151*CL5,IF(ISNUMBER(outYear),IF(outYear&lt;=ptc_fed_term,ROUND(ptc_fed_amount*1000*(1+ptc_fed_escal/100)^(outYear-1),0)*CL5/1000,0),""))</f>
        <v/>
      </c>
      <c r="CM127" s="73" t="str">
        <f>IF(ptc_fed_amount="n/a",'Inputs and Outputs'!CM151*CM5,IF(ISNUMBER(outYear),IF(outYear&lt;=ptc_fed_term,ROUND(ptc_fed_amount*1000*(1+ptc_fed_escal/100)^(outYear-1),0)*CM5/1000,0),""))</f>
        <v/>
      </c>
      <c r="CN127" s="73" t="str">
        <f>IF(ptc_fed_amount="n/a",'Inputs and Outputs'!CN151*CN5,IF(ISNUMBER(outYear),IF(outYear&lt;=ptc_fed_term,ROUND(ptc_fed_amount*1000*(1+ptc_fed_escal/100)^(outYear-1),0)*CN5/1000,0),""))</f>
        <v/>
      </c>
      <c r="CO127" s="73" t="str">
        <f>IF(ptc_fed_amount="n/a",'Inputs and Outputs'!CO151*CO5,IF(ISNUMBER(outYear),IF(outYear&lt;=ptc_fed_term,ROUND(ptc_fed_amount*1000*(1+ptc_fed_escal/100)^(outYear-1),0)*CO5/1000,0),""))</f>
        <v/>
      </c>
      <c r="CP127" s="73" t="str">
        <f>IF(ptc_fed_amount="n/a",'Inputs and Outputs'!CP151*CP5,IF(ISNUMBER(outYear),IF(outYear&lt;=ptc_fed_term,ROUND(ptc_fed_amount*1000*(1+ptc_fed_escal/100)^(outYear-1),0)*CP5/1000,0),""))</f>
        <v/>
      </c>
      <c r="CQ127" s="73" t="str">
        <f>IF(ptc_fed_amount="n/a",'Inputs and Outputs'!CQ151*CQ5,IF(ISNUMBER(outYear),IF(outYear&lt;=ptc_fed_term,ROUND(ptc_fed_amount*1000*(1+ptc_fed_escal/100)^(outYear-1),0)*CQ5/1000,0),""))</f>
        <v/>
      </c>
      <c r="CR127" s="73" t="str">
        <f>IF(ptc_fed_amount="n/a",'Inputs and Outputs'!CR151*CR5,IF(ISNUMBER(outYear),IF(outYear&lt;=ptc_fed_term,ROUND(ptc_fed_amount*1000*(1+ptc_fed_escal/100)^(outYear-1),0)*CR5/1000,0),""))</f>
        <v/>
      </c>
      <c r="CS127" s="73" t="str">
        <f>IF(ptc_fed_amount="n/a",'Inputs and Outputs'!CS151*CS5,IF(ISNUMBER(outYear),IF(outYear&lt;=ptc_fed_term,ROUND(ptc_fed_amount*1000*(1+ptc_fed_escal/100)^(outYear-1),0)*CS5/1000,0),""))</f>
        <v/>
      </c>
      <c r="CT127" s="73" t="str">
        <f>IF(ptc_fed_amount="n/a",'Inputs and Outputs'!CT151*CT5,IF(ISNUMBER(outYear),IF(outYear&lt;=ptc_fed_term,ROUND(ptc_fed_amount*1000*(1+ptc_fed_escal/100)^(outYear-1),0)*CT5/1000,0),""))</f>
        <v/>
      </c>
      <c r="CU127" s="73" t="str">
        <f>IF(ptc_fed_amount="n/a",'Inputs and Outputs'!CU151*CU5,IF(ISNUMBER(outYear),IF(outYear&lt;=ptc_fed_term,ROUND(ptc_fed_amount*1000*(1+ptc_fed_escal/100)^(outYear-1),0)*CU5/1000,0),""))</f>
        <v/>
      </c>
      <c r="CV127" s="73" t="str">
        <f>IF(ptc_fed_amount="n/a",'Inputs and Outputs'!CV151*CV5,IF(ISNUMBER(outYear),IF(outYear&lt;=ptc_fed_term,ROUND(ptc_fed_amount*1000*(1+ptc_fed_escal/100)^(outYear-1),0)*CV5/1000,0),""))</f>
        <v/>
      </c>
      <c r="CW127" s="73" t="str">
        <f>IF(ptc_fed_amount="n/a",'Inputs and Outputs'!CW151*CW5,IF(ISNUMBER(outYear),IF(outYear&lt;=ptc_fed_term,ROUND(ptc_fed_amount*1000*(1+ptc_fed_escal/100)^(outYear-1),0)*CW5/1000,0),""))</f>
        <v/>
      </c>
      <c r="CX127" s="73" t="str">
        <f>IF(ptc_fed_amount="n/a",'Inputs and Outputs'!CX151*CX5,IF(ISNUMBER(outYear),IF(outYear&lt;=ptc_fed_term,ROUND(ptc_fed_amount*1000*(1+ptc_fed_escal/100)^(outYear-1),0)*CX5/1000,0),""))</f>
        <v/>
      </c>
    </row>
    <row r="128" spans="1:16384" customFormat="1" x14ac:dyDescent="0.25">
      <c r="A128" s="54" t="s">
        <v>221</v>
      </c>
      <c r="B128" s="5"/>
      <c r="C128" s="73">
        <f>C$98</f>
        <v>0</v>
      </c>
      <c r="D128" s="73">
        <f t="shared" ref="D128:BO128" si="381">D$98</f>
        <v>0</v>
      </c>
      <c r="E128" s="73">
        <f t="shared" si="381"/>
        <v>0</v>
      </c>
      <c r="F128" s="73">
        <f t="shared" si="381"/>
        <v>0</v>
      </c>
      <c r="G128" s="73">
        <f t="shared" si="381"/>
        <v>0</v>
      </c>
      <c r="H128" s="73">
        <f t="shared" si="381"/>
        <v>0</v>
      </c>
      <c r="I128" s="73">
        <f t="shared" si="381"/>
        <v>0</v>
      </c>
      <c r="J128" s="73">
        <f t="shared" si="381"/>
        <v>0</v>
      </c>
      <c r="K128" s="73">
        <f t="shared" si="381"/>
        <v>0</v>
      </c>
      <c r="L128" s="73">
        <f t="shared" si="381"/>
        <v>0</v>
      </c>
      <c r="M128" s="73">
        <f t="shared" si="381"/>
        <v>0</v>
      </c>
      <c r="N128" s="73">
        <f t="shared" si="381"/>
        <v>0</v>
      </c>
      <c r="O128" s="73">
        <f t="shared" si="381"/>
        <v>0</v>
      </c>
      <c r="P128" s="73">
        <f t="shared" si="381"/>
        <v>0</v>
      </c>
      <c r="Q128" s="73">
        <f t="shared" si="381"/>
        <v>0</v>
      </c>
      <c r="R128" s="73">
        <f t="shared" si="381"/>
        <v>0</v>
      </c>
      <c r="S128" s="73">
        <f t="shared" si="381"/>
        <v>0</v>
      </c>
      <c r="T128" s="73">
        <f t="shared" si="381"/>
        <v>0</v>
      </c>
      <c r="U128" s="73">
        <f t="shared" si="381"/>
        <v>0</v>
      </c>
      <c r="V128" s="73">
        <f t="shared" si="381"/>
        <v>0</v>
      </c>
      <c r="W128" s="73">
        <f t="shared" si="381"/>
        <v>0</v>
      </c>
      <c r="X128" s="73">
        <f t="shared" si="381"/>
        <v>0</v>
      </c>
      <c r="Y128" s="73">
        <f t="shared" si="381"/>
        <v>0</v>
      </c>
      <c r="Z128" s="73">
        <f t="shared" si="381"/>
        <v>0</v>
      </c>
      <c r="AA128" s="73">
        <f t="shared" si="381"/>
        <v>0</v>
      </c>
      <c r="AB128" s="73">
        <f t="shared" si="381"/>
        <v>0</v>
      </c>
      <c r="AC128" s="73">
        <f t="shared" si="381"/>
        <v>0</v>
      </c>
      <c r="AD128" s="73">
        <f t="shared" si="381"/>
        <v>0</v>
      </c>
      <c r="AE128" s="73">
        <f t="shared" si="381"/>
        <v>0</v>
      </c>
      <c r="AF128" s="73">
        <f t="shared" si="381"/>
        <v>0</v>
      </c>
      <c r="AG128" s="73">
        <f t="shared" si="381"/>
        <v>0</v>
      </c>
      <c r="AH128" s="73">
        <f t="shared" si="381"/>
        <v>0</v>
      </c>
      <c r="AI128" s="73">
        <f t="shared" si="381"/>
        <v>0</v>
      </c>
      <c r="AJ128" s="73">
        <f t="shared" si="381"/>
        <v>0</v>
      </c>
      <c r="AK128" s="73">
        <f t="shared" si="381"/>
        <v>0</v>
      </c>
      <c r="AL128" s="73">
        <f t="shared" si="381"/>
        <v>0</v>
      </c>
      <c r="AM128" s="73">
        <f t="shared" si="381"/>
        <v>0</v>
      </c>
      <c r="AN128" s="73">
        <f t="shared" si="381"/>
        <v>0</v>
      </c>
      <c r="AO128" s="73">
        <f t="shared" si="381"/>
        <v>0</v>
      </c>
      <c r="AP128" s="73">
        <f t="shared" si="381"/>
        <v>0</v>
      </c>
      <c r="AQ128" s="73">
        <f t="shared" si="381"/>
        <v>0</v>
      </c>
      <c r="AR128" s="73">
        <f t="shared" si="381"/>
        <v>0</v>
      </c>
      <c r="AS128" s="73">
        <f t="shared" si="381"/>
        <v>0</v>
      </c>
      <c r="AT128" s="73">
        <f t="shared" si="381"/>
        <v>0</v>
      </c>
      <c r="AU128" s="73">
        <f t="shared" si="381"/>
        <v>0</v>
      </c>
      <c r="AV128" s="73">
        <f t="shared" si="381"/>
        <v>0</v>
      </c>
      <c r="AW128" s="73">
        <f t="shared" si="381"/>
        <v>0</v>
      </c>
      <c r="AX128" s="73">
        <f t="shared" si="381"/>
        <v>0</v>
      </c>
      <c r="AY128" s="73">
        <f t="shared" si="381"/>
        <v>0</v>
      </c>
      <c r="AZ128" s="73">
        <f t="shared" si="381"/>
        <v>0</v>
      </c>
      <c r="BA128" s="73">
        <f t="shared" si="381"/>
        <v>0</v>
      </c>
      <c r="BB128" s="73">
        <f t="shared" si="381"/>
        <v>0</v>
      </c>
      <c r="BC128" s="73">
        <f t="shared" si="381"/>
        <v>0</v>
      </c>
      <c r="BD128" s="73">
        <f t="shared" si="381"/>
        <v>0</v>
      </c>
      <c r="BE128" s="73">
        <f t="shared" si="381"/>
        <v>0</v>
      </c>
      <c r="BF128" s="73">
        <f t="shared" si="381"/>
        <v>0</v>
      </c>
      <c r="BG128" s="73">
        <f t="shared" si="381"/>
        <v>0</v>
      </c>
      <c r="BH128" s="73">
        <f t="shared" si="381"/>
        <v>0</v>
      </c>
      <c r="BI128" s="73">
        <f t="shared" si="381"/>
        <v>0</v>
      </c>
      <c r="BJ128" s="73">
        <f t="shared" si="381"/>
        <v>0</v>
      </c>
      <c r="BK128" s="73">
        <f t="shared" si="381"/>
        <v>0</v>
      </c>
      <c r="BL128" s="73">
        <f t="shared" si="381"/>
        <v>0</v>
      </c>
      <c r="BM128" s="73">
        <f t="shared" si="381"/>
        <v>0</v>
      </c>
      <c r="BN128" s="73">
        <f t="shared" si="381"/>
        <v>0</v>
      </c>
      <c r="BO128" s="73">
        <f t="shared" si="381"/>
        <v>0</v>
      </c>
      <c r="BP128" s="73">
        <f t="shared" ref="BP128:CX128" si="382">BP$98</f>
        <v>0</v>
      </c>
      <c r="BQ128" s="73">
        <f t="shared" si="382"/>
        <v>0</v>
      </c>
      <c r="BR128" s="73">
        <f t="shared" si="382"/>
        <v>0</v>
      </c>
      <c r="BS128" s="73">
        <f t="shared" si="382"/>
        <v>0</v>
      </c>
      <c r="BT128" s="73">
        <f t="shared" si="382"/>
        <v>0</v>
      </c>
      <c r="BU128" s="73">
        <f t="shared" si="382"/>
        <v>0</v>
      </c>
      <c r="BV128" s="73">
        <f t="shared" si="382"/>
        <v>0</v>
      </c>
      <c r="BW128" s="73">
        <f t="shared" si="382"/>
        <v>0</v>
      </c>
      <c r="BX128" s="73">
        <f t="shared" si="382"/>
        <v>0</v>
      </c>
      <c r="BY128" s="73">
        <f t="shared" si="382"/>
        <v>0</v>
      </c>
      <c r="BZ128" s="73">
        <f t="shared" si="382"/>
        <v>0</v>
      </c>
      <c r="CA128" s="73">
        <f t="shared" si="382"/>
        <v>0</v>
      </c>
      <c r="CB128" s="73">
        <f t="shared" si="382"/>
        <v>0</v>
      </c>
      <c r="CC128" s="73">
        <f t="shared" si="382"/>
        <v>0</v>
      </c>
      <c r="CD128" s="73">
        <f t="shared" si="382"/>
        <v>0</v>
      </c>
      <c r="CE128" s="73">
        <f t="shared" si="382"/>
        <v>0</v>
      </c>
      <c r="CF128" s="73">
        <f t="shared" si="382"/>
        <v>0</v>
      </c>
      <c r="CG128" s="73">
        <f t="shared" si="382"/>
        <v>0</v>
      </c>
      <c r="CH128" s="73">
        <f t="shared" si="382"/>
        <v>0</v>
      </c>
      <c r="CI128" s="73">
        <f t="shared" si="382"/>
        <v>0</v>
      </c>
      <c r="CJ128" s="73">
        <f t="shared" si="382"/>
        <v>0</v>
      </c>
      <c r="CK128" s="73">
        <f t="shared" si="382"/>
        <v>0</v>
      </c>
      <c r="CL128" s="73">
        <f t="shared" si="382"/>
        <v>0</v>
      </c>
      <c r="CM128" s="73">
        <f t="shared" si="382"/>
        <v>0</v>
      </c>
      <c r="CN128" s="73">
        <f t="shared" si="382"/>
        <v>0</v>
      </c>
      <c r="CO128" s="73">
        <f t="shared" si="382"/>
        <v>0</v>
      </c>
      <c r="CP128" s="73">
        <f t="shared" si="382"/>
        <v>0</v>
      </c>
      <c r="CQ128" s="73">
        <f t="shared" si="382"/>
        <v>0</v>
      </c>
      <c r="CR128" s="73">
        <f t="shared" si="382"/>
        <v>0</v>
      </c>
      <c r="CS128" s="73">
        <f t="shared" si="382"/>
        <v>0</v>
      </c>
      <c r="CT128" s="73">
        <f t="shared" si="382"/>
        <v>0</v>
      </c>
      <c r="CU128" s="73">
        <f t="shared" si="382"/>
        <v>0</v>
      </c>
      <c r="CV128" s="73">
        <f t="shared" si="382"/>
        <v>0</v>
      </c>
      <c r="CW128" s="73">
        <f t="shared" si="382"/>
        <v>0</v>
      </c>
      <c r="CX128" s="73">
        <f t="shared" si="382"/>
        <v>0</v>
      </c>
    </row>
    <row r="129" spans="1:102" x14ac:dyDescent="0.25">
      <c r="A129" s="64" t="s">
        <v>78</v>
      </c>
      <c r="B129" s="63"/>
      <c r="C129" s="74" t="str">
        <f t="shared" ref="C129:AH129" si="383">IF(ISNUMBER(outYear),-C126+C127+C128,"")</f>
        <v/>
      </c>
      <c r="D129" s="74" t="str">
        <f t="shared" si="383"/>
        <v/>
      </c>
      <c r="E129" s="74" t="str">
        <f t="shared" si="383"/>
        <v/>
      </c>
      <c r="F129" s="74" t="str">
        <f t="shared" si="383"/>
        <v/>
      </c>
      <c r="G129" s="74" t="str">
        <f t="shared" si="383"/>
        <v/>
      </c>
      <c r="H129" s="74" t="str">
        <f t="shared" si="383"/>
        <v/>
      </c>
      <c r="I129" s="74" t="str">
        <f t="shared" si="383"/>
        <v/>
      </c>
      <c r="J129" s="74" t="str">
        <f t="shared" si="383"/>
        <v/>
      </c>
      <c r="K129" s="74" t="str">
        <f t="shared" si="383"/>
        <v/>
      </c>
      <c r="L129" s="74" t="str">
        <f t="shared" si="383"/>
        <v/>
      </c>
      <c r="M129" s="74" t="str">
        <f t="shared" si="383"/>
        <v/>
      </c>
      <c r="N129" s="74" t="str">
        <f t="shared" si="383"/>
        <v/>
      </c>
      <c r="O129" s="74" t="str">
        <f t="shared" si="383"/>
        <v/>
      </c>
      <c r="P129" s="74" t="str">
        <f t="shared" si="383"/>
        <v/>
      </c>
      <c r="Q129" s="74" t="str">
        <f t="shared" si="383"/>
        <v/>
      </c>
      <c r="R129" s="74" t="str">
        <f t="shared" si="383"/>
        <v/>
      </c>
      <c r="S129" s="74" t="str">
        <f t="shared" si="383"/>
        <v/>
      </c>
      <c r="T129" s="74" t="str">
        <f t="shared" si="383"/>
        <v/>
      </c>
      <c r="U129" s="74" t="str">
        <f t="shared" si="383"/>
        <v/>
      </c>
      <c r="V129" s="74" t="str">
        <f t="shared" si="383"/>
        <v/>
      </c>
      <c r="W129" s="74" t="str">
        <f t="shared" si="383"/>
        <v/>
      </c>
      <c r="X129" s="74" t="str">
        <f t="shared" si="383"/>
        <v/>
      </c>
      <c r="Y129" s="74" t="str">
        <f t="shared" si="383"/>
        <v/>
      </c>
      <c r="Z129" s="74" t="str">
        <f t="shared" si="383"/>
        <v/>
      </c>
      <c r="AA129" s="74" t="str">
        <f t="shared" si="383"/>
        <v/>
      </c>
      <c r="AB129" s="74" t="str">
        <f t="shared" si="383"/>
        <v/>
      </c>
      <c r="AC129" s="74" t="str">
        <f t="shared" si="383"/>
        <v/>
      </c>
      <c r="AD129" s="74" t="str">
        <f t="shared" si="383"/>
        <v/>
      </c>
      <c r="AE129" s="74" t="str">
        <f t="shared" si="383"/>
        <v/>
      </c>
      <c r="AF129" s="74" t="str">
        <f t="shared" si="383"/>
        <v/>
      </c>
      <c r="AG129" s="74" t="str">
        <f t="shared" si="383"/>
        <v/>
      </c>
      <c r="AH129" s="74" t="str">
        <f t="shared" si="383"/>
        <v/>
      </c>
      <c r="AI129" s="74" t="str">
        <f t="shared" ref="AI129:BN129" si="384">IF(ISNUMBER(outYear),-AI126+AI127+AI128,"")</f>
        <v/>
      </c>
      <c r="AJ129" s="74" t="str">
        <f t="shared" si="384"/>
        <v/>
      </c>
      <c r="AK129" s="74" t="str">
        <f t="shared" si="384"/>
        <v/>
      </c>
      <c r="AL129" s="74" t="str">
        <f t="shared" si="384"/>
        <v/>
      </c>
      <c r="AM129" s="74" t="str">
        <f t="shared" si="384"/>
        <v/>
      </c>
      <c r="AN129" s="74" t="str">
        <f t="shared" si="384"/>
        <v/>
      </c>
      <c r="AO129" s="74" t="str">
        <f t="shared" si="384"/>
        <v/>
      </c>
      <c r="AP129" s="74" t="str">
        <f t="shared" si="384"/>
        <v/>
      </c>
      <c r="AQ129" s="74" t="str">
        <f t="shared" si="384"/>
        <v/>
      </c>
      <c r="AR129" s="74" t="str">
        <f t="shared" si="384"/>
        <v/>
      </c>
      <c r="AS129" s="74" t="str">
        <f t="shared" si="384"/>
        <v/>
      </c>
      <c r="AT129" s="74" t="str">
        <f t="shared" si="384"/>
        <v/>
      </c>
      <c r="AU129" s="74" t="str">
        <f t="shared" si="384"/>
        <v/>
      </c>
      <c r="AV129" s="74" t="str">
        <f t="shared" si="384"/>
        <v/>
      </c>
      <c r="AW129" s="74" t="str">
        <f t="shared" si="384"/>
        <v/>
      </c>
      <c r="AX129" s="74" t="str">
        <f t="shared" si="384"/>
        <v/>
      </c>
      <c r="AY129" s="74" t="str">
        <f t="shared" si="384"/>
        <v/>
      </c>
      <c r="AZ129" s="74" t="str">
        <f t="shared" si="384"/>
        <v/>
      </c>
      <c r="BA129" s="74" t="str">
        <f t="shared" si="384"/>
        <v/>
      </c>
      <c r="BB129" s="74" t="str">
        <f t="shared" si="384"/>
        <v/>
      </c>
      <c r="BC129" s="74" t="str">
        <f t="shared" si="384"/>
        <v/>
      </c>
      <c r="BD129" s="74" t="str">
        <f t="shared" si="384"/>
        <v/>
      </c>
      <c r="BE129" s="74" t="str">
        <f t="shared" si="384"/>
        <v/>
      </c>
      <c r="BF129" s="74" t="str">
        <f t="shared" si="384"/>
        <v/>
      </c>
      <c r="BG129" s="74" t="str">
        <f t="shared" si="384"/>
        <v/>
      </c>
      <c r="BH129" s="74" t="str">
        <f t="shared" si="384"/>
        <v/>
      </c>
      <c r="BI129" s="74" t="str">
        <f t="shared" si="384"/>
        <v/>
      </c>
      <c r="BJ129" s="74" t="str">
        <f t="shared" si="384"/>
        <v/>
      </c>
      <c r="BK129" s="74" t="str">
        <f t="shared" si="384"/>
        <v/>
      </c>
      <c r="BL129" s="74" t="str">
        <f t="shared" si="384"/>
        <v/>
      </c>
      <c r="BM129" s="74" t="str">
        <f t="shared" si="384"/>
        <v/>
      </c>
      <c r="BN129" s="74" t="str">
        <f t="shared" si="384"/>
        <v/>
      </c>
      <c r="BO129" s="74" t="str">
        <f t="shared" ref="BO129:CT129" si="385">IF(ISNUMBER(outYear),-BO126+BO127+BO128,"")</f>
        <v/>
      </c>
      <c r="BP129" s="74" t="str">
        <f t="shared" si="385"/>
        <v/>
      </c>
      <c r="BQ129" s="74" t="str">
        <f t="shared" si="385"/>
        <v/>
      </c>
      <c r="BR129" s="74" t="str">
        <f t="shared" si="385"/>
        <v/>
      </c>
      <c r="BS129" s="74" t="str">
        <f t="shared" si="385"/>
        <v/>
      </c>
      <c r="BT129" s="74" t="str">
        <f t="shared" si="385"/>
        <v/>
      </c>
      <c r="BU129" s="74" t="str">
        <f t="shared" si="385"/>
        <v/>
      </c>
      <c r="BV129" s="74" t="str">
        <f t="shared" si="385"/>
        <v/>
      </c>
      <c r="BW129" s="74" t="str">
        <f t="shared" si="385"/>
        <v/>
      </c>
      <c r="BX129" s="74" t="str">
        <f t="shared" si="385"/>
        <v/>
      </c>
      <c r="BY129" s="74" t="str">
        <f t="shared" si="385"/>
        <v/>
      </c>
      <c r="BZ129" s="74" t="str">
        <f t="shared" si="385"/>
        <v/>
      </c>
      <c r="CA129" s="74" t="str">
        <f t="shared" si="385"/>
        <v/>
      </c>
      <c r="CB129" s="74" t="str">
        <f t="shared" si="385"/>
        <v/>
      </c>
      <c r="CC129" s="74" t="str">
        <f t="shared" si="385"/>
        <v/>
      </c>
      <c r="CD129" s="74" t="str">
        <f t="shared" si="385"/>
        <v/>
      </c>
      <c r="CE129" s="74" t="str">
        <f t="shared" si="385"/>
        <v/>
      </c>
      <c r="CF129" s="74" t="str">
        <f t="shared" si="385"/>
        <v/>
      </c>
      <c r="CG129" s="74" t="str">
        <f t="shared" si="385"/>
        <v/>
      </c>
      <c r="CH129" s="74" t="str">
        <f t="shared" si="385"/>
        <v/>
      </c>
      <c r="CI129" s="74" t="str">
        <f t="shared" si="385"/>
        <v/>
      </c>
      <c r="CJ129" s="74" t="str">
        <f t="shared" si="385"/>
        <v/>
      </c>
      <c r="CK129" s="74" t="str">
        <f t="shared" si="385"/>
        <v/>
      </c>
      <c r="CL129" s="74" t="str">
        <f t="shared" si="385"/>
        <v/>
      </c>
      <c r="CM129" s="74" t="str">
        <f t="shared" si="385"/>
        <v/>
      </c>
      <c r="CN129" s="74" t="str">
        <f t="shared" si="385"/>
        <v/>
      </c>
      <c r="CO129" s="74" t="str">
        <f t="shared" si="385"/>
        <v/>
      </c>
      <c r="CP129" s="74" t="str">
        <f t="shared" si="385"/>
        <v/>
      </c>
      <c r="CQ129" s="74" t="str">
        <f t="shared" si="385"/>
        <v/>
      </c>
      <c r="CR129" s="74" t="str">
        <f t="shared" si="385"/>
        <v/>
      </c>
      <c r="CS129" s="74" t="str">
        <f t="shared" si="385"/>
        <v/>
      </c>
      <c r="CT129" s="74" t="str">
        <f t="shared" si="385"/>
        <v/>
      </c>
      <c r="CU129" s="74" t="str">
        <f t="shared" ref="CU129:CX129" si="386">IF(ISNUMBER(outYear),-CU126+CU127+CU128,"")</f>
        <v/>
      </c>
      <c r="CV129" s="74" t="str">
        <f t="shared" si="386"/>
        <v/>
      </c>
      <c r="CW129" s="74" t="str">
        <f t="shared" si="386"/>
        <v/>
      </c>
      <c r="CX129" s="74" t="str">
        <f t="shared" si="386"/>
        <v/>
      </c>
    </row>
    <row r="130" spans="1:102" x14ac:dyDescent="0.25">
      <c r="A130" s="54"/>
      <c r="B130" s="5"/>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row>
    <row r="131" spans="1:102" x14ac:dyDescent="0.25">
      <c r="A131" s="62"/>
      <c r="B131" s="5"/>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row>
    <row r="132" spans="1:102" x14ac:dyDescent="0.25">
      <c r="A132" s="53" t="s">
        <v>79</v>
      </c>
      <c r="B132" s="73">
        <f>B61</f>
        <v>0</v>
      </c>
      <c r="C132" s="73" t="str">
        <f t="shared" ref="C132:AH132" si="387">IF(ISNUMBER(outYear),(C61+C81+C113+C129),"")</f>
        <v/>
      </c>
      <c r="D132" s="73" t="str">
        <f t="shared" si="387"/>
        <v/>
      </c>
      <c r="E132" s="73" t="str">
        <f t="shared" si="387"/>
        <v/>
      </c>
      <c r="F132" s="73" t="str">
        <f t="shared" si="387"/>
        <v/>
      </c>
      <c r="G132" s="73" t="str">
        <f t="shared" si="387"/>
        <v/>
      </c>
      <c r="H132" s="73" t="str">
        <f t="shared" si="387"/>
        <v/>
      </c>
      <c r="I132" s="73" t="str">
        <f t="shared" si="387"/>
        <v/>
      </c>
      <c r="J132" s="73" t="str">
        <f t="shared" si="387"/>
        <v/>
      </c>
      <c r="K132" s="73" t="str">
        <f t="shared" si="387"/>
        <v/>
      </c>
      <c r="L132" s="73" t="str">
        <f t="shared" si="387"/>
        <v/>
      </c>
      <c r="M132" s="73" t="str">
        <f t="shared" si="387"/>
        <v/>
      </c>
      <c r="N132" s="73" t="str">
        <f t="shared" si="387"/>
        <v/>
      </c>
      <c r="O132" s="73" t="str">
        <f t="shared" si="387"/>
        <v/>
      </c>
      <c r="P132" s="73" t="str">
        <f t="shared" si="387"/>
        <v/>
      </c>
      <c r="Q132" s="73" t="str">
        <f t="shared" si="387"/>
        <v/>
      </c>
      <c r="R132" s="73" t="str">
        <f t="shared" si="387"/>
        <v/>
      </c>
      <c r="S132" s="73" t="str">
        <f t="shared" si="387"/>
        <v/>
      </c>
      <c r="T132" s="73" t="str">
        <f t="shared" si="387"/>
        <v/>
      </c>
      <c r="U132" s="73" t="str">
        <f t="shared" si="387"/>
        <v/>
      </c>
      <c r="V132" s="73" t="str">
        <f t="shared" si="387"/>
        <v/>
      </c>
      <c r="W132" s="73" t="str">
        <f t="shared" si="387"/>
        <v/>
      </c>
      <c r="X132" s="73" t="str">
        <f t="shared" si="387"/>
        <v/>
      </c>
      <c r="Y132" s="73" t="str">
        <f t="shared" si="387"/>
        <v/>
      </c>
      <c r="Z132" s="73" t="str">
        <f t="shared" si="387"/>
        <v/>
      </c>
      <c r="AA132" s="73" t="str">
        <f t="shared" si="387"/>
        <v/>
      </c>
      <c r="AB132" s="73" t="str">
        <f t="shared" si="387"/>
        <v/>
      </c>
      <c r="AC132" s="73" t="str">
        <f t="shared" si="387"/>
        <v/>
      </c>
      <c r="AD132" s="73" t="str">
        <f t="shared" si="387"/>
        <v/>
      </c>
      <c r="AE132" s="73" t="str">
        <f t="shared" si="387"/>
        <v/>
      </c>
      <c r="AF132" s="73" t="str">
        <f t="shared" si="387"/>
        <v/>
      </c>
      <c r="AG132" s="73" t="str">
        <f t="shared" si="387"/>
        <v/>
      </c>
      <c r="AH132" s="73" t="str">
        <f t="shared" si="387"/>
        <v/>
      </c>
      <c r="AI132" s="73" t="str">
        <f t="shared" ref="AI132:BN132" si="388">IF(ISNUMBER(outYear),(AI61+AI81+AI113+AI129),"")</f>
        <v/>
      </c>
      <c r="AJ132" s="73" t="str">
        <f t="shared" si="388"/>
        <v/>
      </c>
      <c r="AK132" s="73" t="str">
        <f t="shared" si="388"/>
        <v/>
      </c>
      <c r="AL132" s="73" t="str">
        <f t="shared" si="388"/>
        <v/>
      </c>
      <c r="AM132" s="73" t="str">
        <f t="shared" si="388"/>
        <v/>
      </c>
      <c r="AN132" s="73" t="str">
        <f t="shared" si="388"/>
        <v/>
      </c>
      <c r="AO132" s="73" t="str">
        <f t="shared" si="388"/>
        <v/>
      </c>
      <c r="AP132" s="73" t="str">
        <f t="shared" si="388"/>
        <v/>
      </c>
      <c r="AQ132" s="73" t="str">
        <f t="shared" si="388"/>
        <v/>
      </c>
      <c r="AR132" s="73" t="str">
        <f t="shared" si="388"/>
        <v/>
      </c>
      <c r="AS132" s="73" t="str">
        <f t="shared" si="388"/>
        <v/>
      </c>
      <c r="AT132" s="73" t="str">
        <f t="shared" si="388"/>
        <v/>
      </c>
      <c r="AU132" s="73" t="str">
        <f t="shared" si="388"/>
        <v/>
      </c>
      <c r="AV132" s="73" t="str">
        <f t="shared" si="388"/>
        <v/>
      </c>
      <c r="AW132" s="73" t="str">
        <f t="shared" si="388"/>
        <v/>
      </c>
      <c r="AX132" s="73" t="str">
        <f t="shared" si="388"/>
        <v/>
      </c>
      <c r="AY132" s="73" t="str">
        <f t="shared" si="388"/>
        <v/>
      </c>
      <c r="AZ132" s="73" t="str">
        <f t="shared" si="388"/>
        <v/>
      </c>
      <c r="BA132" s="73" t="str">
        <f t="shared" si="388"/>
        <v/>
      </c>
      <c r="BB132" s="73" t="str">
        <f t="shared" si="388"/>
        <v/>
      </c>
      <c r="BC132" s="73" t="str">
        <f t="shared" si="388"/>
        <v/>
      </c>
      <c r="BD132" s="73" t="str">
        <f t="shared" si="388"/>
        <v/>
      </c>
      <c r="BE132" s="73" t="str">
        <f t="shared" si="388"/>
        <v/>
      </c>
      <c r="BF132" s="73" t="str">
        <f t="shared" si="388"/>
        <v/>
      </c>
      <c r="BG132" s="73" t="str">
        <f t="shared" si="388"/>
        <v/>
      </c>
      <c r="BH132" s="73" t="str">
        <f t="shared" si="388"/>
        <v/>
      </c>
      <c r="BI132" s="73" t="str">
        <f t="shared" si="388"/>
        <v/>
      </c>
      <c r="BJ132" s="73" t="str">
        <f t="shared" si="388"/>
        <v/>
      </c>
      <c r="BK132" s="73" t="str">
        <f t="shared" si="388"/>
        <v/>
      </c>
      <c r="BL132" s="73" t="str">
        <f t="shared" si="388"/>
        <v/>
      </c>
      <c r="BM132" s="73" t="str">
        <f t="shared" si="388"/>
        <v/>
      </c>
      <c r="BN132" s="73" t="str">
        <f t="shared" si="388"/>
        <v/>
      </c>
      <c r="BO132" s="73" t="str">
        <f t="shared" ref="BO132:CX132" si="389">IF(ISNUMBER(outYear),(BO61+BO81+BO113+BO129),"")</f>
        <v/>
      </c>
      <c r="BP132" s="73" t="str">
        <f t="shared" si="389"/>
        <v/>
      </c>
      <c r="BQ132" s="73" t="str">
        <f t="shared" si="389"/>
        <v/>
      </c>
      <c r="BR132" s="73" t="str">
        <f t="shared" si="389"/>
        <v/>
      </c>
      <c r="BS132" s="73" t="str">
        <f t="shared" si="389"/>
        <v/>
      </c>
      <c r="BT132" s="73" t="str">
        <f t="shared" si="389"/>
        <v/>
      </c>
      <c r="BU132" s="73" t="str">
        <f t="shared" si="389"/>
        <v/>
      </c>
      <c r="BV132" s="73" t="str">
        <f t="shared" si="389"/>
        <v/>
      </c>
      <c r="BW132" s="73" t="str">
        <f t="shared" si="389"/>
        <v/>
      </c>
      <c r="BX132" s="73" t="str">
        <f t="shared" si="389"/>
        <v/>
      </c>
      <c r="BY132" s="73" t="str">
        <f t="shared" si="389"/>
        <v/>
      </c>
      <c r="BZ132" s="73" t="str">
        <f t="shared" si="389"/>
        <v/>
      </c>
      <c r="CA132" s="73" t="str">
        <f t="shared" si="389"/>
        <v/>
      </c>
      <c r="CB132" s="73" t="str">
        <f t="shared" si="389"/>
        <v/>
      </c>
      <c r="CC132" s="73" t="str">
        <f t="shared" si="389"/>
        <v/>
      </c>
      <c r="CD132" s="73" t="str">
        <f t="shared" si="389"/>
        <v/>
      </c>
      <c r="CE132" s="73" t="str">
        <f t="shared" si="389"/>
        <v/>
      </c>
      <c r="CF132" s="73" t="str">
        <f t="shared" si="389"/>
        <v/>
      </c>
      <c r="CG132" s="73" t="str">
        <f t="shared" si="389"/>
        <v/>
      </c>
      <c r="CH132" s="73" t="str">
        <f t="shared" si="389"/>
        <v/>
      </c>
      <c r="CI132" s="73" t="str">
        <f t="shared" si="389"/>
        <v/>
      </c>
      <c r="CJ132" s="73" t="str">
        <f t="shared" si="389"/>
        <v/>
      </c>
      <c r="CK132" s="73" t="str">
        <f t="shared" si="389"/>
        <v/>
      </c>
      <c r="CL132" s="73" t="str">
        <f t="shared" si="389"/>
        <v/>
      </c>
      <c r="CM132" s="73" t="str">
        <f t="shared" si="389"/>
        <v/>
      </c>
      <c r="CN132" s="73" t="str">
        <f t="shared" si="389"/>
        <v/>
      </c>
      <c r="CO132" s="73" t="str">
        <f t="shared" si="389"/>
        <v/>
      </c>
      <c r="CP132" s="73" t="str">
        <f t="shared" si="389"/>
        <v/>
      </c>
      <c r="CQ132" s="73" t="str">
        <f t="shared" si="389"/>
        <v/>
      </c>
      <c r="CR132" s="73" t="str">
        <f t="shared" si="389"/>
        <v/>
      </c>
      <c r="CS132" s="73" t="str">
        <f t="shared" si="389"/>
        <v/>
      </c>
      <c r="CT132" s="73" t="str">
        <f t="shared" si="389"/>
        <v/>
      </c>
      <c r="CU132" s="73" t="str">
        <f t="shared" si="389"/>
        <v/>
      </c>
      <c r="CV132" s="73" t="str">
        <f t="shared" si="389"/>
        <v/>
      </c>
      <c r="CW132" s="73" t="str">
        <f t="shared" si="389"/>
        <v/>
      </c>
      <c r="CX132" s="73" t="str">
        <f t="shared" si="389"/>
        <v/>
      </c>
    </row>
    <row r="133" spans="1:102" x14ac:dyDescent="0.25">
      <c r="A133" s="53" t="s">
        <v>164</v>
      </c>
      <c r="B133" s="75">
        <v>0</v>
      </c>
      <c r="C133" s="75" t="str">
        <f>IF(ISNUMBER(outYear),IF(UseTaxDeductableOpEx="No",C11+C12,(C11+C12)*(1-(C109/100+(1-C109/100)*C125/100))),"")</f>
        <v/>
      </c>
      <c r="D133" s="75" t="str">
        <f>IF(ISNUMBER(outYear),IF(UseTaxDeductableOpEx="No",D11+D12,(D11+D12)*(1-(D109/100+(1-D109/100)*D125/100))),"")</f>
        <v/>
      </c>
      <c r="E133" s="75" t="str">
        <f>IF(ISNUMBER(outYear),IF(UseTaxDeductableOpEx="No",E11+E12,(E11+E12)*(1-(E109/100+(1-E109/100)*E125/100))),"")</f>
        <v/>
      </c>
      <c r="F133" s="75" t="str">
        <f>IF(ISNUMBER(outYear),IF(UseTaxDeductableOpEx="No",F11+F12,(F11+F12)*(1-(F109/100+(1-F109/100)*F125/100))),"")</f>
        <v/>
      </c>
      <c r="G133" s="75" t="str">
        <f>IF(ISNUMBER(outYear),IF(UseTaxDeductableOpEx="No",G11+G12,(G11+G12)*(1-(G109/100+(1-G109/100)*G125/100))),"")</f>
        <v/>
      </c>
      <c r="H133" s="75" t="str">
        <f>IF(ISNUMBER(outYear),IF(UseTaxDeductableOpEx="No",H11+H12,(H11+H12)*(1-(H109/100+(1-H109/100)*H125/100))),"")</f>
        <v/>
      </c>
      <c r="I133" s="75" t="str">
        <f>IF(ISNUMBER(outYear),IF(UseTaxDeductableOpEx="No",I11+I12,(I11+I12)*(1-(I109/100+(1-I109/100)*I125/100))),"")</f>
        <v/>
      </c>
      <c r="J133" s="75" t="str">
        <f>IF(ISNUMBER(outYear),IF(UseTaxDeductableOpEx="No",J11+J12,(J11+J12)*(1-(J109/100+(1-J109/100)*J125/100))),"")</f>
        <v/>
      </c>
      <c r="K133" s="75" t="str">
        <f>IF(ISNUMBER(outYear),IF(UseTaxDeductableOpEx="No",K11+K12,(K11+K12)*(1-(K109/100+(1-K109/100)*K125/100))),"")</f>
        <v/>
      </c>
      <c r="L133" s="75" t="str">
        <f>IF(ISNUMBER(outYear),IF(UseTaxDeductableOpEx="No",L11+L12,(L11+L12)*(1-(L109/100+(1-L109/100)*L125/100))),"")</f>
        <v/>
      </c>
      <c r="M133" s="75" t="str">
        <f>IF(ISNUMBER(outYear),IF(UseTaxDeductableOpEx="No",M11+M12,(M11+M12)*(1-(M109/100+(1-M109/100)*M125/100))),"")</f>
        <v/>
      </c>
      <c r="N133" s="75" t="str">
        <f>IF(ISNUMBER(outYear),IF(UseTaxDeductableOpEx="No",N11+N12,(N11+N12)*(1-(N109/100+(1-N109/100)*N125/100))),"")</f>
        <v/>
      </c>
      <c r="O133" s="75" t="str">
        <f>IF(ISNUMBER(outYear),IF(UseTaxDeductableOpEx="No",O11+O12,(O11+O12)*(1-(O109/100+(1-O109/100)*O125/100))),"")</f>
        <v/>
      </c>
      <c r="P133" s="75" t="str">
        <f>IF(ISNUMBER(outYear),IF(UseTaxDeductableOpEx="No",P11+P12,(P11+P12)*(1-(P109/100+(1-P109/100)*P125/100))),"")</f>
        <v/>
      </c>
      <c r="Q133" s="75" t="str">
        <f>IF(ISNUMBER(outYear),IF(UseTaxDeductableOpEx="No",Q11+Q12,(Q11+Q12)*(1-(Q109/100+(1-Q109/100)*Q125/100))),"")</f>
        <v/>
      </c>
      <c r="R133" s="75" t="str">
        <f>IF(ISNUMBER(outYear),IF(UseTaxDeductableOpEx="No",R11+R12,(R11+R12)*(1-(R109/100+(1-R109/100)*R125/100))),"")</f>
        <v/>
      </c>
      <c r="S133" s="75" t="str">
        <f>IF(ISNUMBER(outYear),IF(UseTaxDeductableOpEx="No",S11+S12,(S11+S12)*(1-(S109/100+(1-S109/100)*S125/100))),"")</f>
        <v/>
      </c>
      <c r="T133" s="75" t="str">
        <f>IF(ISNUMBER(outYear),IF(UseTaxDeductableOpEx="No",T11+T12,(T11+T12)*(1-(T109/100+(1-T109/100)*T125/100))),"")</f>
        <v/>
      </c>
      <c r="U133" s="75" t="str">
        <f>IF(ISNUMBER(outYear),IF(UseTaxDeductableOpEx="No",U11+U12,(U11+U12)*(1-(U109/100+(1-U109/100)*U125/100))),"")</f>
        <v/>
      </c>
      <c r="V133" s="75" t="str">
        <f>IF(ISNUMBER(outYear),IF(UseTaxDeductableOpEx="No",V11+V12,(V11+V12)*(1-(V109/100+(1-V109/100)*V125/100))),"")</f>
        <v/>
      </c>
      <c r="W133" s="75" t="str">
        <f>IF(ISNUMBER(outYear),IF(UseTaxDeductableOpEx="No",W11+W12,(W11+W12)*(1-(W109/100+(1-W109/100)*W125/100))),"")</f>
        <v/>
      </c>
      <c r="X133" s="75" t="str">
        <f>IF(ISNUMBER(outYear),IF(UseTaxDeductableOpEx="No",X11+X12,(X11+X12)*(1-(X109/100+(1-X109/100)*X125/100))),"")</f>
        <v/>
      </c>
      <c r="Y133" s="75" t="str">
        <f>IF(ISNUMBER(outYear),IF(UseTaxDeductableOpEx="No",Y11+Y12,(Y11+Y12)*(1-(Y109/100+(1-Y109/100)*Y125/100))),"")</f>
        <v/>
      </c>
      <c r="Z133" s="75" t="str">
        <f>IF(ISNUMBER(outYear),IF(UseTaxDeductableOpEx="No",Z11+Z12,(Z11+Z12)*(1-(Z109/100+(1-Z109/100)*Z125/100))),"")</f>
        <v/>
      </c>
      <c r="AA133" s="75" t="str">
        <f>IF(ISNUMBER(outYear),IF(UseTaxDeductableOpEx="No",AA11+AA12,(AA11+AA12)*(1-(AA109/100+(1-AA109/100)*AA125/100))),"")</f>
        <v/>
      </c>
      <c r="AB133" s="75" t="str">
        <f>IF(ISNUMBER(outYear),IF(UseTaxDeductableOpEx="No",AB11+AB12,(AB11+AB12)*(1-(AB109/100+(1-AB109/100)*AB125/100))),"")</f>
        <v/>
      </c>
      <c r="AC133" s="75" t="str">
        <f>IF(ISNUMBER(outYear),IF(UseTaxDeductableOpEx="No",AC11+AC12,(AC11+AC12)*(1-(AC109/100+(1-AC109/100)*AC125/100))),"")</f>
        <v/>
      </c>
      <c r="AD133" s="75" t="str">
        <f>IF(ISNUMBER(outYear),IF(UseTaxDeductableOpEx="No",AD11+AD12,(AD11+AD12)*(1-(AD109/100+(1-AD109/100)*AD125/100))),"")</f>
        <v/>
      </c>
      <c r="AE133" s="75" t="str">
        <f>IF(ISNUMBER(outYear),IF(UseTaxDeductableOpEx="No",AE11+AE12,(AE11+AE12)*(1-(AE109/100+(1-AE109/100)*AE125/100))),"")</f>
        <v/>
      </c>
      <c r="AF133" s="75" t="str">
        <f>IF(ISNUMBER(outYear),IF(UseTaxDeductableOpEx="No",AF11+AF12,(AF11+AF12)*(1-(AF109/100+(1-AF109/100)*AF125/100))),"")</f>
        <v/>
      </c>
      <c r="AG133" s="75" t="str">
        <f>IF(ISNUMBER(outYear),IF(UseTaxDeductableOpEx="No",AG11+AG12,(AG11+AG12)*(1-(AG109/100+(1-AG109/100)*AG125/100))),"")</f>
        <v/>
      </c>
      <c r="AH133" s="75" t="str">
        <f>IF(ISNUMBER(outYear),IF(UseTaxDeductableOpEx="No",AH11+AH12,(AH11+AH12)*(1-(AH109/100+(1-AH109/100)*AH125/100))),"")</f>
        <v/>
      </c>
      <c r="AI133" s="75" t="str">
        <f>IF(ISNUMBER(outYear),IF(UseTaxDeductableOpEx="No",AI11+AI12,(AI11+AI12)*(1-(AI109/100+(1-AI109/100)*AI125/100))),"")</f>
        <v/>
      </c>
      <c r="AJ133" s="75" t="str">
        <f>IF(ISNUMBER(outYear),IF(UseTaxDeductableOpEx="No",AJ11+AJ12,(AJ11+AJ12)*(1-(AJ109/100+(1-AJ109/100)*AJ125/100))),"")</f>
        <v/>
      </c>
      <c r="AK133" s="75" t="str">
        <f>IF(ISNUMBER(outYear),IF(UseTaxDeductableOpEx="No",AK11+AK12,(AK11+AK12)*(1-(AK109/100+(1-AK109/100)*AK125/100))),"")</f>
        <v/>
      </c>
      <c r="AL133" s="75" t="str">
        <f>IF(ISNUMBER(outYear),IF(UseTaxDeductableOpEx="No",AL11+AL12,(AL11+AL12)*(1-(AL109/100+(1-AL109/100)*AL125/100))),"")</f>
        <v/>
      </c>
      <c r="AM133" s="75" t="str">
        <f>IF(ISNUMBER(outYear),IF(UseTaxDeductableOpEx="No",AM11+AM12,(AM11+AM12)*(1-(AM109/100+(1-AM109/100)*AM125/100))),"")</f>
        <v/>
      </c>
      <c r="AN133" s="75" t="str">
        <f>IF(ISNUMBER(outYear),IF(UseTaxDeductableOpEx="No",AN11+AN12,(AN11+AN12)*(1-(AN109/100+(1-AN109/100)*AN125/100))),"")</f>
        <v/>
      </c>
      <c r="AO133" s="75" t="str">
        <f>IF(ISNUMBER(outYear),IF(UseTaxDeductableOpEx="No",AO11+AO12,(AO11+AO12)*(1-(AO109/100+(1-AO109/100)*AO125/100))),"")</f>
        <v/>
      </c>
      <c r="AP133" s="75" t="str">
        <f>IF(ISNUMBER(outYear),IF(UseTaxDeductableOpEx="No",AP11+AP12,(AP11+AP12)*(1-(AP109/100+(1-AP109/100)*AP125/100))),"")</f>
        <v/>
      </c>
      <c r="AQ133" s="75" t="str">
        <f>IF(ISNUMBER(outYear),IF(UseTaxDeductableOpEx="No",AQ11+AQ12,(AQ11+AQ12)*(1-(AQ109/100+(1-AQ109/100)*AQ125/100))),"")</f>
        <v/>
      </c>
      <c r="AR133" s="75" t="str">
        <f>IF(ISNUMBER(outYear),IF(UseTaxDeductableOpEx="No",AR11+AR12,(AR11+AR12)*(1-(AR109/100+(1-AR109/100)*AR125/100))),"")</f>
        <v/>
      </c>
      <c r="AS133" s="75" t="str">
        <f>IF(ISNUMBER(outYear),IF(UseTaxDeductableOpEx="No",AS11+AS12,(AS11+AS12)*(1-(AS109/100+(1-AS109/100)*AS125/100))),"")</f>
        <v/>
      </c>
      <c r="AT133" s="75" t="str">
        <f>IF(ISNUMBER(outYear),IF(UseTaxDeductableOpEx="No",AT11+AT12,(AT11+AT12)*(1-(AT109/100+(1-AT109/100)*AT125/100))),"")</f>
        <v/>
      </c>
      <c r="AU133" s="75" t="str">
        <f>IF(ISNUMBER(outYear),IF(UseTaxDeductableOpEx="No",AU11+AU12,(AU11+AU12)*(1-(AU109/100+(1-AU109/100)*AU125/100))),"")</f>
        <v/>
      </c>
      <c r="AV133" s="75" t="str">
        <f>IF(ISNUMBER(outYear),IF(UseTaxDeductableOpEx="No",AV11+AV12,(AV11+AV12)*(1-(AV109/100+(1-AV109/100)*AV125/100))),"")</f>
        <v/>
      </c>
      <c r="AW133" s="75" t="str">
        <f>IF(ISNUMBER(outYear),IF(UseTaxDeductableOpEx="No",AW11+AW12,(AW11+AW12)*(1-(AW109/100+(1-AW109/100)*AW125/100))),"")</f>
        <v/>
      </c>
      <c r="AX133" s="75" t="str">
        <f>IF(ISNUMBER(outYear),IF(UseTaxDeductableOpEx="No",AX11+AX12,(AX11+AX12)*(1-(AX109/100+(1-AX109/100)*AX125/100))),"")</f>
        <v/>
      </c>
      <c r="AY133" s="75" t="str">
        <f>IF(ISNUMBER(outYear),IF(UseTaxDeductableOpEx="No",AY11+AY12,(AY11+AY12)*(1-(AY109/100+(1-AY109/100)*AY125/100))),"")</f>
        <v/>
      </c>
      <c r="AZ133" s="75" t="str">
        <f>IF(ISNUMBER(outYear),IF(UseTaxDeductableOpEx="No",AZ11+AZ12,(AZ11+AZ12)*(1-(AZ109/100+(1-AZ109/100)*AZ125/100))),"")</f>
        <v/>
      </c>
      <c r="BA133" s="75" t="str">
        <f>IF(ISNUMBER(outYear),IF(UseTaxDeductableOpEx="No",BA11+BA12,(BA11+BA12)*(1-(BA109/100+(1-BA109/100)*BA125/100))),"")</f>
        <v/>
      </c>
      <c r="BB133" s="75" t="str">
        <f>IF(ISNUMBER(outYear),IF(UseTaxDeductableOpEx="No",BB11+BB12,(BB11+BB12)*(1-(BB109/100+(1-BB109/100)*BB125/100))),"")</f>
        <v/>
      </c>
      <c r="BC133" s="75" t="str">
        <f>IF(ISNUMBER(outYear),IF(UseTaxDeductableOpEx="No",BC11+BC12,(BC11+BC12)*(1-(BC109/100+(1-BC109/100)*BC125/100))),"")</f>
        <v/>
      </c>
      <c r="BD133" s="75" t="str">
        <f>IF(ISNUMBER(outYear),IF(UseTaxDeductableOpEx="No",BD11+BD12,(BD11+BD12)*(1-(BD109/100+(1-BD109/100)*BD125/100))),"")</f>
        <v/>
      </c>
      <c r="BE133" s="75" t="str">
        <f>IF(ISNUMBER(outYear),IF(UseTaxDeductableOpEx="No",BE11+BE12,(BE11+BE12)*(1-(BE109/100+(1-BE109/100)*BE125/100))),"")</f>
        <v/>
      </c>
      <c r="BF133" s="75" t="str">
        <f>IF(ISNUMBER(outYear),IF(UseTaxDeductableOpEx="No",BF11+BF12,(BF11+BF12)*(1-(BF109/100+(1-BF109/100)*BF125/100))),"")</f>
        <v/>
      </c>
      <c r="BG133" s="75" t="str">
        <f>IF(ISNUMBER(outYear),IF(UseTaxDeductableOpEx="No",BG11+BG12,(BG11+BG12)*(1-(BG109/100+(1-BG109/100)*BG125/100))),"")</f>
        <v/>
      </c>
      <c r="BH133" s="75" t="str">
        <f>IF(ISNUMBER(outYear),IF(UseTaxDeductableOpEx="No",BH11+BH12,(BH11+BH12)*(1-(BH109/100+(1-BH109/100)*BH125/100))),"")</f>
        <v/>
      </c>
      <c r="BI133" s="75" t="str">
        <f>IF(ISNUMBER(outYear),IF(UseTaxDeductableOpEx="No",BI11+BI12,(BI11+BI12)*(1-(BI109/100+(1-BI109/100)*BI125/100))),"")</f>
        <v/>
      </c>
      <c r="BJ133" s="75" t="str">
        <f>IF(ISNUMBER(outYear),IF(UseTaxDeductableOpEx="No",BJ11+BJ12,(BJ11+BJ12)*(1-(BJ109/100+(1-BJ109/100)*BJ125/100))),"")</f>
        <v/>
      </c>
      <c r="BK133" s="75" t="str">
        <f>IF(ISNUMBER(outYear),IF(UseTaxDeductableOpEx="No",BK11+BK12,(BK11+BK12)*(1-(BK109/100+(1-BK109/100)*BK125/100))),"")</f>
        <v/>
      </c>
      <c r="BL133" s="75" t="str">
        <f>IF(ISNUMBER(outYear),IF(UseTaxDeductableOpEx="No",BL11+BL12,(BL11+BL12)*(1-(BL109/100+(1-BL109/100)*BL125/100))),"")</f>
        <v/>
      </c>
      <c r="BM133" s="75" t="str">
        <f>IF(ISNUMBER(outYear),IF(UseTaxDeductableOpEx="No",BM11+BM12,(BM11+BM12)*(1-(BM109/100+(1-BM109/100)*BM125/100))),"")</f>
        <v/>
      </c>
      <c r="BN133" s="75" t="str">
        <f>IF(ISNUMBER(outYear),IF(UseTaxDeductableOpEx="No",BN11+BN12,(BN11+BN12)*(1-(BN109/100+(1-BN109/100)*BN125/100))),"")</f>
        <v/>
      </c>
      <c r="BO133" s="75" t="str">
        <f>IF(ISNUMBER(outYear),IF(UseTaxDeductableOpEx="No",BO11+BO12,(BO11+BO12)*(1-(BO109/100+(1-BO109/100)*BO125/100))),"")</f>
        <v/>
      </c>
      <c r="BP133" s="75" t="str">
        <f>IF(ISNUMBER(outYear),IF(UseTaxDeductableOpEx="No",BP11+BP12,(BP11+BP12)*(1-(BP109/100+(1-BP109/100)*BP125/100))),"")</f>
        <v/>
      </c>
      <c r="BQ133" s="75" t="str">
        <f>IF(ISNUMBER(outYear),IF(UseTaxDeductableOpEx="No",BQ11+BQ12,(BQ11+BQ12)*(1-(BQ109/100+(1-BQ109/100)*BQ125/100))),"")</f>
        <v/>
      </c>
      <c r="BR133" s="75" t="str">
        <f>IF(ISNUMBER(outYear),IF(UseTaxDeductableOpEx="No",BR11+BR12,(BR11+BR12)*(1-(BR109/100+(1-BR109/100)*BR125/100))),"")</f>
        <v/>
      </c>
      <c r="BS133" s="75" t="str">
        <f>IF(ISNUMBER(outYear),IF(UseTaxDeductableOpEx="No",BS11+BS12,(BS11+BS12)*(1-(BS109/100+(1-BS109/100)*BS125/100))),"")</f>
        <v/>
      </c>
      <c r="BT133" s="75" t="str">
        <f>IF(ISNUMBER(outYear),IF(UseTaxDeductableOpEx="No",BT11+BT12,(BT11+BT12)*(1-(BT109/100+(1-BT109/100)*BT125/100))),"")</f>
        <v/>
      </c>
      <c r="BU133" s="75" t="str">
        <f>IF(ISNUMBER(outYear),IF(UseTaxDeductableOpEx="No",BU11+BU12,(BU11+BU12)*(1-(BU109/100+(1-BU109/100)*BU125/100))),"")</f>
        <v/>
      </c>
      <c r="BV133" s="75" t="str">
        <f>IF(ISNUMBER(outYear),IF(UseTaxDeductableOpEx="No",BV11+BV12,(BV11+BV12)*(1-(BV109/100+(1-BV109/100)*BV125/100))),"")</f>
        <v/>
      </c>
      <c r="BW133" s="75" t="str">
        <f>IF(ISNUMBER(outYear),IF(UseTaxDeductableOpEx="No",BW11+BW12,(BW11+BW12)*(1-(BW109/100+(1-BW109/100)*BW125/100))),"")</f>
        <v/>
      </c>
      <c r="BX133" s="75" t="str">
        <f>IF(ISNUMBER(outYear),IF(UseTaxDeductableOpEx="No",BX11+BX12,(BX11+BX12)*(1-(BX109/100+(1-BX109/100)*BX125/100))),"")</f>
        <v/>
      </c>
      <c r="BY133" s="75" t="str">
        <f>IF(ISNUMBER(outYear),IF(UseTaxDeductableOpEx="No",BY11+BY12,(BY11+BY12)*(1-(BY109/100+(1-BY109/100)*BY125/100))),"")</f>
        <v/>
      </c>
      <c r="BZ133" s="75" t="str">
        <f>IF(ISNUMBER(outYear),IF(UseTaxDeductableOpEx="No",BZ11+BZ12,(BZ11+BZ12)*(1-(BZ109/100+(1-BZ109/100)*BZ125/100))),"")</f>
        <v/>
      </c>
      <c r="CA133" s="75" t="str">
        <f>IF(ISNUMBER(outYear),IF(UseTaxDeductableOpEx="No",CA11+CA12,(CA11+CA12)*(1-(CA109/100+(1-CA109/100)*CA125/100))),"")</f>
        <v/>
      </c>
      <c r="CB133" s="75" t="str">
        <f>IF(ISNUMBER(outYear),IF(UseTaxDeductableOpEx="No",CB11+CB12,(CB11+CB12)*(1-(CB109/100+(1-CB109/100)*CB125/100))),"")</f>
        <v/>
      </c>
      <c r="CC133" s="75" t="str">
        <f>IF(ISNUMBER(outYear),IF(UseTaxDeductableOpEx="No",CC11+CC12,(CC11+CC12)*(1-(CC109/100+(1-CC109/100)*CC125/100))),"")</f>
        <v/>
      </c>
      <c r="CD133" s="75" t="str">
        <f>IF(ISNUMBER(outYear),IF(UseTaxDeductableOpEx="No",CD11+CD12,(CD11+CD12)*(1-(CD109/100+(1-CD109/100)*CD125/100))),"")</f>
        <v/>
      </c>
      <c r="CE133" s="75" t="str">
        <f>IF(ISNUMBER(outYear),IF(UseTaxDeductableOpEx="No",CE11+CE12,(CE11+CE12)*(1-(CE109/100+(1-CE109/100)*CE125/100))),"")</f>
        <v/>
      </c>
      <c r="CF133" s="75" t="str">
        <f>IF(ISNUMBER(outYear),IF(UseTaxDeductableOpEx="No",CF11+CF12,(CF11+CF12)*(1-(CF109/100+(1-CF109/100)*CF125/100))),"")</f>
        <v/>
      </c>
      <c r="CG133" s="75" t="str">
        <f>IF(ISNUMBER(outYear),IF(UseTaxDeductableOpEx="No",CG11+CG12,(CG11+CG12)*(1-(CG109/100+(1-CG109/100)*CG125/100))),"")</f>
        <v/>
      </c>
      <c r="CH133" s="75" t="str">
        <f>IF(ISNUMBER(outYear),IF(UseTaxDeductableOpEx="No",CH11+CH12,(CH11+CH12)*(1-(CH109/100+(1-CH109/100)*CH125/100))),"")</f>
        <v/>
      </c>
      <c r="CI133" s="75" t="str">
        <f>IF(ISNUMBER(outYear),IF(UseTaxDeductableOpEx="No",CI11+CI12,(CI11+CI12)*(1-(CI109/100+(1-CI109/100)*CI125/100))),"")</f>
        <v/>
      </c>
      <c r="CJ133" s="75" t="str">
        <f>IF(ISNUMBER(outYear),IF(UseTaxDeductableOpEx="No",CJ11+CJ12,(CJ11+CJ12)*(1-(CJ109/100+(1-CJ109/100)*CJ125/100))),"")</f>
        <v/>
      </c>
      <c r="CK133" s="75" t="str">
        <f>IF(ISNUMBER(outYear),IF(UseTaxDeductableOpEx="No",CK11+CK12,(CK11+CK12)*(1-(CK109/100+(1-CK109/100)*CK125/100))),"")</f>
        <v/>
      </c>
      <c r="CL133" s="75" t="str">
        <f>IF(ISNUMBER(outYear),IF(UseTaxDeductableOpEx="No",CL11+CL12,(CL11+CL12)*(1-(CL109/100+(1-CL109/100)*CL125/100))),"")</f>
        <v/>
      </c>
      <c r="CM133" s="75" t="str">
        <f>IF(ISNUMBER(outYear),IF(UseTaxDeductableOpEx="No",CM11+CM12,(CM11+CM12)*(1-(CM109/100+(1-CM109/100)*CM125/100))),"")</f>
        <v/>
      </c>
      <c r="CN133" s="75" t="str">
        <f>IF(ISNUMBER(outYear),IF(UseTaxDeductableOpEx="No",CN11+CN12,(CN11+CN12)*(1-(CN109/100+(1-CN109/100)*CN125/100))),"")</f>
        <v/>
      </c>
      <c r="CO133" s="75" t="str">
        <f>IF(ISNUMBER(outYear),IF(UseTaxDeductableOpEx="No",CO11+CO12,(CO11+CO12)*(1-(CO109/100+(1-CO109/100)*CO125/100))),"")</f>
        <v/>
      </c>
      <c r="CP133" s="75" t="str">
        <f>IF(ISNUMBER(outYear),IF(UseTaxDeductableOpEx="No",CP11+CP12,(CP11+CP12)*(1-(CP109/100+(1-CP109/100)*CP125/100))),"")</f>
        <v/>
      </c>
      <c r="CQ133" s="75" t="str">
        <f>IF(ISNUMBER(outYear),IF(UseTaxDeductableOpEx="No",CQ11+CQ12,(CQ11+CQ12)*(1-(CQ109/100+(1-CQ109/100)*CQ125/100))),"")</f>
        <v/>
      </c>
      <c r="CR133" s="75" t="str">
        <f>IF(ISNUMBER(outYear),IF(UseTaxDeductableOpEx="No",CR11+CR12,(CR11+CR12)*(1-(CR109/100+(1-CR109/100)*CR125/100))),"")</f>
        <v/>
      </c>
      <c r="CS133" s="75" t="str">
        <f>IF(ISNUMBER(outYear),IF(UseTaxDeductableOpEx="No",CS11+CS12,(CS11+CS12)*(1-(CS109/100+(1-CS109/100)*CS125/100))),"")</f>
        <v/>
      </c>
      <c r="CT133" s="75" t="str">
        <f>IF(ISNUMBER(outYear),IF(UseTaxDeductableOpEx="No",CT11+CT12,(CT11+CT12)*(1-(CT109/100+(1-CT109/100)*CT125/100))),"")</f>
        <v/>
      </c>
      <c r="CU133" s="75" t="str">
        <f>IF(ISNUMBER(outYear),IF(UseTaxDeductableOpEx="No",CU11+CU12,(CU11+CU12)*(1-(CU109/100+(1-CU109/100)*CU125/100))),"")</f>
        <v/>
      </c>
      <c r="CV133" s="75" t="str">
        <f>IF(ISNUMBER(outYear),IF(UseTaxDeductableOpEx="No",CV11+CV12,(CV11+CV12)*(1-(CV109/100+(1-CV109/100)*CV125/100))),"")</f>
        <v/>
      </c>
      <c r="CW133" s="75" t="str">
        <f>IF(ISNUMBER(outYear),IF(UseTaxDeductableOpEx="No",CW11+CW12,(CW11+CW12)*(1-(CW109/100+(1-CW109/100)*CW125/100))),"")</f>
        <v/>
      </c>
      <c r="CX133" s="75" t="str">
        <f>IF(ISNUMBER(outYear),IF(UseTaxDeductableOpEx="No",CX11+CX12,(CX11+CX12)*(1-(CX109/100+(1-CX109/100)*CX125/100))),"")</f>
        <v/>
      </c>
    </row>
    <row r="134" spans="1:102" x14ac:dyDescent="0.25">
      <c r="A134" s="10" t="s">
        <v>80</v>
      </c>
      <c r="B134" s="73">
        <f>IF(ISNUMBER(outYear),+B132+B11,"")</f>
        <v>0</v>
      </c>
      <c r="C134" s="73" t="str">
        <f t="shared" ref="C134:AH134" si="390">IF(ISNUMBER(outYear),+C132+C133,"")</f>
        <v/>
      </c>
      <c r="D134" s="73" t="str">
        <f t="shared" si="390"/>
        <v/>
      </c>
      <c r="E134" s="73" t="str">
        <f t="shared" si="390"/>
        <v/>
      </c>
      <c r="F134" s="73" t="str">
        <f t="shared" si="390"/>
        <v/>
      </c>
      <c r="G134" s="73" t="str">
        <f t="shared" si="390"/>
        <v/>
      </c>
      <c r="H134" s="73" t="str">
        <f t="shared" si="390"/>
        <v/>
      </c>
      <c r="I134" s="73" t="str">
        <f t="shared" si="390"/>
        <v/>
      </c>
      <c r="J134" s="73" t="str">
        <f t="shared" si="390"/>
        <v/>
      </c>
      <c r="K134" s="73" t="str">
        <f t="shared" si="390"/>
        <v/>
      </c>
      <c r="L134" s="73" t="str">
        <f t="shared" si="390"/>
        <v/>
      </c>
      <c r="M134" s="73" t="str">
        <f t="shared" si="390"/>
        <v/>
      </c>
      <c r="N134" s="73" t="str">
        <f t="shared" si="390"/>
        <v/>
      </c>
      <c r="O134" s="73" t="str">
        <f t="shared" si="390"/>
        <v/>
      </c>
      <c r="P134" s="73" t="str">
        <f t="shared" si="390"/>
        <v/>
      </c>
      <c r="Q134" s="73" t="str">
        <f t="shared" si="390"/>
        <v/>
      </c>
      <c r="R134" s="73" t="str">
        <f t="shared" si="390"/>
        <v/>
      </c>
      <c r="S134" s="73" t="str">
        <f t="shared" si="390"/>
        <v/>
      </c>
      <c r="T134" s="73" t="str">
        <f t="shared" si="390"/>
        <v/>
      </c>
      <c r="U134" s="73" t="str">
        <f t="shared" si="390"/>
        <v/>
      </c>
      <c r="V134" s="73" t="str">
        <f t="shared" si="390"/>
        <v/>
      </c>
      <c r="W134" s="73" t="str">
        <f t="shared" si="390"/>
        <v/>
      </c>
      <c r="X134" s="73" t="str">
        <f t="shared" si="390"/>
        <v/>
      </c>
      <c r="Y134" s="73" t="str">
        <f t="shared" si="390"/>
        <v/>
      </c>
      <c r="Z134" s="73" t="str">
        <f t="shared" si="390"/>
        <v/>
      </c>
      <c r="AA134" s="73" t="str">
        <f t="shared" si="390"/>
        <v/>
      </c>
      <c r="AB134" s="73" t="str">
        <f t="shared" si="390"/>
        <v/>
      </c>
      <c r="AC134" s="73" t="str">
        <f t="shared" si="390"/>
        <v/>
      </c>
      <c r="AD134" s="73" t="str">
        <f t="shared" si="390"/>
        <v/>
      </c>
      <c r="AE134" s="73" t="str">
        <f t="shared" si="390"/>
        <v/>
      </c>
      <c r="AF134" s="73" t="str">
        <f t="shared" si="390"/>
        <v/>
      </c>
      <c r="AG134" s="73" t="str">
        <f t="shared" si="390"/>
        <v/>
      </c>
      <c r="AH134" s="73" t="str">
        <f t="shared" si="390"/>
        <v/>
      </c>
      <c r="AI134" s="73" t="str">
        <f t="shared" ref="AI134:BN134" si="391">IF(ISNUMBER(outYear),+AI132+AI133,"")</f>
        <v/>
      </c>
      <c r="AJ134" s="73" t="str">
        <f t="shared" si="391"/>
        <v/>
      </c>
      <c r="AK134" s="73" t="str">
        <f t="shared" si="391"/>
        <v/>
      </c>
      <c r="AL134" s="73" t="str">
        <f t="shared" si="391"/>
        <v/>
      </c>
      <c r="AM134" s="73" t="str">
        <f t="shared" si="391"/>
        <v/>
      </c>
      <c r="AN134" s="73" t="str">
        <f t="shared" si="391"/>
        <v/>
      </c>
      <c r="AO134" s="73" t="str">
        <f t="shared" si="391"/>
        <v/>
      </c>
      <c r="AP134" s="73" t="str">
        <f t="shared" si="391"/>
        <v/>
      </c>
      <c r="AQ134" s="73" t="str">
        <f t="shared" si="391"/>
        <v/>
      </c>
      <c r="AR134" s="73" t="str">
        <f t="shared" si="391"/>
        <v/>
      </c>
      <c r="AS134" s="73" t="str">
        <f t="shared" si="391"/>
        <v/>
      </c>
      <c r="AT134" s="73" t="str">
        <f t="shared" si="391"/>
        <v/>
      </c>
      <c r="AU134" s="73" t="str">
        <f t="shared" si="391"/>
        <v/>
      </c>
      <c r="AV134" s="73" t="str">
        <f t="shared" si="391"/>
        <v/>
      </c>
      <c r="AW134" s="73" t="str">
        <f t="shared" si="391"/>
        <v/>
      </c>
      <c r="AX134" s="73" t="str">
        <f t="shared" si="391"/>
        <v/>
      </c>
      <c r="AY134" s="73" t="str">
        <f t="shared" si="391"/>
        <v/>
      </c>
      <c r="AZ134" s="73" t="str">
        <f t="shared" si="391"/>
        <v/>
      </c>
      <c r="BA134" s="73" t="str">
        <f t="shared" si="391"/>
        <v/>
      </c>
      <c r="BB134" s="73" t="str">
        <f t="shared" si="391"/>
        <v/>
      </c>
      <c r="BC134" s="73" t="str">
        <f t="shared" si="391"/>
        <v/>
      </c>
      <c r="BD134" s="73" t="str">
        <f t="shared" si="391"/>
        <v/>
      </c>
      <c r="BE134" s="73" t="str">
        <f t="shared" si="391"/>
        <v/>
      </c>
      <c r="BF134" s="73" t="str">
        <f t="shared" si="391"/>
        <v/>
      </c>
      <c r="BG134" s="73" t="str">
        <f t="shared" si="391"/>
        <v/>
      </c>
      <c r="BH134" s="73" t="str">
        <f t="shared" si="391"/>
        <v/>
      </c>
      <c r="BI134" s="73" t="str">
        <f t="shared" si="391"/>
        <v/>
      </c>
      <c r="BJ134" s="73" t="str">
        <f t="shared" si="391"/>
        <v/>
      </c>
      <c r="BK134" s="73" t="str">
        <f t="shared" si="391"/>
        <v/>
      </c>
      <c r="BL134" s="73" t="str">
        <f t="shared" si="391"/>
        <v/>
      </c>
      <c r="BM134" s="73" t="str">
        <f t="shared" si="391"/>
        <v/>
      </c>
      <c r="BN134" s="73" t="str">
        <f t="shared" si="391"/>
        <v/>
      </c>
      <c r="BO134" s="73" t="str">
        <f t="shared" ref="BO134:CT134" si="392">IF(ISNUMBER(outYear),+BO132+BO133,"")</f>
        <v/>
      </c>
      <c r="BP134" s="73" t="str">
        <f t="shared" si="392"/>
        <v/>
      </c>
      <c r="BQ134" s="73" t="str">
        <f t="shared" si="392"/>
        <v/>
      </c>
      <c r="BR134" s="73" t="str">
        <f t="shared" si="392"/>
        <v/>
      </c>
      <c r="BS134" s="73" t="str">
        <f t="shared" si="392"/>
        <v/>
      </c>
      <c r="BT134" s="73" t="str">
        <f t="shared" si="392"/>
        <v/>
      </c>
      <c r="BU134" s="73" t="str">
        <f t="shared" si="392"/>
        <v/>
      </c>
      <c r="BV134" s="73" t="str">
        <f t="shared" si="392"/>
        <v/>
      </c>
      <c r="BW134" s="73" t="str">
        <f t="shared" si="392"/>
        <v/>
      </c>
      <c r="BX134" s="73" t="str">
        <f t="shared" si="392"/>
        <v/>
      </c>
      <c r="BY134" s="73" t="str">
        <f t="shared" si="392"/>
        <v/>
      </c>
      <c r="BZ134" s="73" t="str">
        <f t="shared" si="392"/>
        <v/>
      </c>
      <c r="CA134" s="73" t="str">
        <f t="shared" si="392"/>
        <v/>
      </c>
      <c r="CB134" s="73" t="str">
        <f t="shared" si="392"/>
        <v/>
      </c>
      <c r="CC134" s="73" t="str">
        <f t="shared" si="392"/>
        <v/>
      </c>
      <c r="CD134" s="73" t="str">
        <f t="shared" si="392"/>
        <v/>
      </c>
      <c r="CE134" s="73" t="str">
        <f t="shared" si="392"/>
        <v/>
      </c>
      <c r="CF134" s="73" t="str">
        <f t="shared" si="392"/>
        <v/>
      </c>
      <c r="CG134" s="73" t="str">
        <f t="shared" si="392"/>
        <v/>
      </c>
      <c r="CH134" s="73" t="str">
        <f t="shared" si="392"/>
        <v/>
      </c>
      <c r="CI134" s="73" t="str">
        <f t="shared" si="392"/>
        <v/>
      </c>
      <c r="CJ134" s="73" t="str">
        <f t="shared" si="392"/>
        <v/>
      </c>
      <c r="CK134" s="73" t="str">
        <f t="shared" si="392"/>
        <v/>
      </c>
      <c r="CL134" s="73" t="str">
        <f t="shared" si="392"/>
        <v/>
      </c>
      <c r="CM134" s="73" t="str">
        <f t="shared" si="392"/>
        <v/>
      </c>
      <c r="CN134" s="73" t="str">
        <f t="shared" si="392"/>
        <v/>
      </c>
      <c r="CO134" s="73" t="str">
        <f t="shared" si="392"/>
        <v/>
      </c>
      <c r="CP134" s="73" t="str">
        <f t="shared" si="392"/>
        <v/>
      </c>
      <c r="CQ134" s="73" t="str">
        <f t="shared" si="392"/>
        <v/>
      </c>
      <c r="CR134" s="73" t="str">
        <f t="shared" si="392"/>
        <v/>
      </c>
      <c r="CS134" s="73" t="str">
        <f t="shared" si="392"/>
        <v/>
      </c>
      <c r="CT134" s="73" t="str">
        <f t="shared" si="392"/>
        <v/>
      </c>
      <c r="CU134" s="73" t="str">
        <f t="shared" ref="CU134:CX134" si="393">IF(ISNUMBER(outYear),+CU132+CU133,"")</f>
        <v/>
      </c>
      <c r="CV134" s="73" t="str">
        <f t="shared" si="393"/>
        <v/>
      </c>
      <c r="CW134" s="73" t="str">
        <f t="shared" si="393"/>
        <v/>
      </c>
      <c r="CX134" s="73" t="str">
        <f t="shared" si="393"/>
        <v/>
      </c>
    </row>
    <row r="135" spans="1:102" x14ac:dyDescent="0.25">
      <c r="B135" s="3"/>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row>
    <row r="136" spans="1:102" x14ac:dyDescent="0.25">
      <c r="A136" s="105" t="s">
        <v>158</v>
      </c>
      <c r="B136" s="102"/>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c r="AC136" s="103"/>
      <c r="AD136" s="103"/>
      <c r="AE136" s="103"/>
      <c r="AF136" s="103"/>
      <c r="AG136" s="103"/>
      <c r="AH136" s="103"/>
      <c r="AI136" s="103"/>
      <c r="AJ136" s="103"/>
      <c r="AK136" s="103"/>
      <c r="AL136" s="103"/>
      <c r="AM136" s="103"/>
      <c r="AN136" s="103"/>
      <c r="AO136" s="103"/>
      <c r="AP136" s="103"/>
      <c r="AQ136" s="103"/>
      <c r="AR136" s="103"/>
      <c r="AS136" s="103"/>
      <c r="AT136" s="103"/>
      <c r="AU136" s="103"/>
      <c r="AV136" s="103"/>
      <c r="AW136" s="103"/>
      <c r="AX136" s="103"/>
      <c r="AY136" s="103"/>
      <c r="AZ136" s="103"/>
      <c r="BA136" s="103"/>
      <c r="BB136" s="103"/>
      <c r="BC136" s="103"/>
      <c r="BD136" s="103"/>
      <c r="BE136" s="103"/>
      <c r="BF136" s="103"/>
      <c r="BG136" s="103"/>
      <c r="BH136" s="103"/>
      <c r="BI136" s="103"/>
      <c r="BJ136" s="103"/>
      <c r="BK136" s="103"/>
      <c r="BL136" s="103"/>
      <c r="BM136" s="103"/>
      <c r="BN136" s="103"/>
      <c r="BO136" s="103"/>
      <c r="BP136" s="103"/>
      <c r="BQ136" s="103"/>
      <c r="BR136" s="103"/>
      <c r="BS136" s="103"/>
      <c r="BT136" s="103"/>
      <c r="BU136" s="103"/>
      <c r="BV136" s="103"/>
      <c r="BW136" s="103"/>
      <c r="BX136" s="103"/>
      <c r="BY136" s="103"/>
      <c r="BZ136" s="103"/>
      <c r="CA136" s="103"/>
      <c r="CB136" s="103"/>
      <c r="CC136" s="103"/>
      <c r="CD136" s="103"/>
      <c r="CE136" s="103"/>
      <c r="CF136" s="103"/>
      <c r="CG136" s="103"/>
      <c r="CH136" s="103"/>
      <c r="CI136" s="103"/>
      <c r="CJ136" s="103"/>
      <c r="CK136" s="103"/>
      <c r="CL136" s="103"/>
      <c r="CM136" s="103"/>
      <c r="CN136" s="103"/>
      <c r="CO136" s="103"/>
      <c r="CP136" s="103"/>
      <c r="CQ136" s="103"/>
      <c r="CR136" s="103"/>
      <c r="CS136" s="103"/>
      <c r="CT136" s="103"/>
      <c r="CU136" s="103"/>
      <c r="CV136" s="103"/>
      <c r="CW136" s="103"/>
      <c r="CX136" s="104"/>
    </row>
    <row r="137" spans="1:102" x14ac:dyDescent="0.25">
      <c r="A137" s="54" t="s">
        <v>163</v>
      </c>
      <c r="B137" s="73">
        <f>IF(ISNUMBER(outYear),(B53+B54),"")</f>
        <v>0</v>
      </c>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c r="BU137" s="73"/>
      <c r="BV137" s="73"/>
      <c r="BW137" s="73"/>
      <c r="BX137" s="73"/>
      <c r="BY137" s="73"/>
      <c r="BZ137" s="73"/>
      <c r="CA137" s="73"/>
      <c r="CB137" s="73"/>
      <c r="CC137" s="73"/>
      <c r="CD137" s="73"/>
      <c r="CE137" s="73"/>
      <c r="CF137" s="73"/>
      <c r="CG137" s="73"/>
      <c r="CH137" s="73"/>
      <c r="CI137" s="73"/>
      <c r="CJ137" s="73"/>
      <c r="CK137" s="73"/>
      <c r="CL137" s="73"/>
      <c r="CM137" s="73"/>
      <c r="CN137" s="73"/>
      <c r="CO137" s="73"/>
      <c r="CP137" s="73"/>
      <c r="CQ137" s="73"/>
      <c r="CR137" s="73"/>
      <c r="CS137" s="73"/>
      <c r="CT137" s="73"/>
      <c r="CU137" s="73"/>
      <c r="CV137" s="73"/>
      <c r="CW137" s="73"/>
      <c r="CX137" s="73"/>
    </row>
    <row r="138" spans="1:102" x14ac:dyDescent="0.25">
      <c r="A138" s="54" t="s">
        <v>198</v>
      </c>
      <c r="B138" s="8"/>
      <c r="C138" s="190" t="str">
        <f t="shared" ref="C138:AH138" si="394">IF(ISNUMBER(outYear),C109/100+C125/100*(1-C109/100),"")</f>
        <v/>
      </c>
      <c r="D138" s="190" t="str">
        <f t="shared" si="394"/>
        <v/>
      </c>
      <c r="E138" s="190" t="str">
        <f t="shared" si="394"/>
        <v/>
      </c>
      <c r="F138" s="190" t="str">
        <f t="shared" si="394"/>
        <v/>
      </c>
      <c r="G138" s="190" t="str">
        <f t="shared" si="394"/>
        <v/>
      </c>
      <c r="H138" s="190" t="str">
        <f t="shared" si="394"/>
        <v/>
      </c>
      <c r="I138" s="190" t="str">
        <f t="shared" si="394"/>
        <v/>
      </c>
      <c r="J138" s="190" t="str">
        <f t="shared" si="394"/>
        <v/>
      </c>
      <c r="K138" s="190" t="str">
        <f t="shared" si="394"/>
        <v/>
      </c>
      <c r="L138" s="190" t="str">
        <f t="shared" si="394"/>
        <v/>
      </c>
      <c r="M138" s="190" t="str">
        <f t="shared" si="394"/>
        <v/>
      </c>
      <c r="N138" s="190" t="str">
        <f t="shared" si="394"/>
        <v/>
      </c>
      <c r="O138" s="190" t="str">
        <f t="shared" si="394"/>
        <v/>
      </c>
      <c r="P138" s="190" t="str">
        <f t="shared" si="394"/>
        <v/>
      </c>
      <c r="Q138" s="190" t="str">
        <f t="shared" si="394"/>
        <v/>
      </c>
      <c r="R138" s="190" t="str">
        <f t="shared" si="394"/>
        <v/>
      </c>
      <c r="S138" s="190" t="str">
        <f t="shared" si="394"/>
        <v/>
      </c>
      <c r="T138" s="190" t="str">
        <f t="shared" si="394"/>
        <v/>
      </c>
      <c r="U138" s="190" t="str">
        <f t="shared" si="394"/>
        <v/>
      </c>
      <c r="V138" s="190" t="str">
        <f t="shared" si="394"/>
        <v/>
      </c>
      <c r="W138" s="190" t="str">
        <f t="shared" si="394"/>
        <v/>
      </c>
      <c r="X138" s="190" t="str">
        <f t="shared" si="394"/>
        <v/>
      </c>
      <c r="Y138" s="190" t="str">
        <f t="shared" si="394"/>
        <v/>
      </c>
      <c r="Z138" s="190" t="str">
        <f t="shared" si="394"/>
        <v/>
      </c>
      <c r="AA138" s="190" t="str">
        <f t="shared" si="394"/>
        <v/>
      </c>
      <c r="AB138" s="190" t="str">
        <f t="shared" si="394"/>
        <v/>
      </c>
      <c r="AC138" s="190" t="str">
        <f t="shared" si="394"/>
        <v/>
      </c>
      <c r="AD138" s="190" t="str">
        <f t="shared" si="394"/>
        <v/>
      </c>
      <c r="AE138" s="190" t="str">
        <f t="shared" si="394"/>
        <v/>
      </c>
      <c r="AF138" s="190" t="str">
        <f t="shared" si="394"/>
        <v/>
      </c>
      <c r="AG138" s="190" t="str">
        <f t="shared" si="394"/>
        <v/>
      </c>
      <c r="AH138" s="190" t="str">
        <f t="shared" si="394"/>
        <v/>
      </c>
      <c r="AI138" s="190" t="str">
        <f t="shared" ref="AI138:BN138" si="395">IF(ISNUMBER(outYear),AI109/100+AI125/100*(1-AI109/100),"")</f>
        <v/>
      </c>
      <c r="AJ138" s="190" t="str">
        <f t="shared" si="395"/>
        <v/>
      </c>
      <c r="AK138" s="190" t="str">
        <f t="shared" si="395"/>
        <v/>
      </c>
      <c r="AL138" s="190" t="str">
        <f t="shared" si="395"/>
        <v/>
      </c>
      <c r="AM138" s="190" t="str">
        <f t="shared" si="395"/>
        <v/>
      </c>
      <c r="AN138" s="190" t="str">
        <f t="shared" si="395"/>
        <v/>
      </c>
      <c r="AO138" s="190" t="str">
        <f t="shared" si="395"/>
        <v/>
      </c>
      <c r="AP138" s="190" t="str">
        <f t="shared" si="395"/>
        <v/>
      </c>
      <c r="AQ138" s="190" t="str">
        <f t="shared" si="395"/>
        <v/>
      </c>
      <c r="AR138" s="190" t="str">
        <f t="shared" si="395"/>
        <v/>
      </c>
      <c r="AS138" s="190" t="str">
        <f t="shared" si="395"/>
        <v/>
      </c>
      <c r="AT138" s="190" t="str">
        <f t="shared" si="395"/>
        <v/>
      </c>
      <c r="AU138" s="190" t="str">
        <f t="shared" si="395"/>
        <v/>
      </c>
      <c r="AV138" s="190" t="str">
        <f t="shared" si="395"/>
        <v/>
      </c>
      <c r="AW138" s="190" t="str">
        <f t="shared" si="395"/>
        <v/>
      </c>
      <c r="AX138" s="190" t="str">
        <f t="shared" si="395"/>
        <v/>
      </c>
      <c r="AY138" s="190" t="str">
        <f t="shared" si="395"/>
        <v/>
      </c>
      <c r="AZ138" s="190" t="str">
        <f t="shared" si="395"/>
        <v/>
      </c>
      <c r="BA138" s="190" t="str">
        <f t="shared" si="395"/>
        <v/>
      </c>
      <c r="BB138" s="190" t="str">
        <f t="shared" si="395"/>
        <v/>
      </c>
      <c r="BC138" s="190" t="str">
        <f t="shared" si="395"/>
        <v/>
      </c>
      <c r="BD138" s="190" t="str">
        <f t="shared" si="395"/>
        <v/>
      </c>
      <c r="BE138" s="190" t="str">
        <f t="shared" si="395"/>
        <v/>
      </c>
      <c r="BF138" s="190" t="str">
        <f t="shared" si="395"/>
        <v/>
      </c>
      <c r="BG138" s="190" t="str">
        <f t="shared" si="395"/>
        <v/>
      </c>
      <c r="BH138" s="190" t="str">
        <f t="shared" si="395"/>
        <v/>
      </c>
      <c r="BI138" s="190" t="str">
        <f t="shared" si="395"/>
        <v/>
      </c>
      <c r="BJ138" s="190" t="str">
        <f t="shared" si="395"/>
        <v/>
      </c>
      <c r="BK138" s="190" t="str">
        <f t="shared" si="395"/>
        <v/>
      </c>
      <c r="BL138" s="190" t="str">
        <f t="shared" si="395"/>
        <v/>
      </c>
      <c r="BM138" s="190" t="str">
        <f t="shared" si="395"/>
        <v/>
      </c>
      <c r="BN138" s="190" t="str">
        <f t="shared" si="395"/>
        <v/>
      </c>
      <c r="BO138" s="190" t="str">
        <f t="shared" ref="BO138:CX138" si="396">IF(ISNUMBER(outYear),BO109/100+BO125/100*(1-BO109/100),"")</f>
        <v/>
      </c>
      <c r="BP138" s="190" t="str">
        <f t="shared" si="396"/>
        <v/>
      </c>
      <c r="BQ138" s="190" t="str">
        <f t="shared" si="396"/>
        <v/>
      </c>
      <c r="BR138" s="190" t="str">
        <f t="shared" si="396"/>
        <v/>
      </c>
      <c r="BS138" s="190" t="str">
        <f t="shared" si="396"/>
        <v/>
      </c>
      <c r="BT138" s="190" t="str">
        <f t="shared" si="396"/>
        <v/>
      </c>
      <c r="BU138" s="190" t="str">
        <f t="shared" si="396"/>
        <v/>
      </c>
      <c r="BV138" s="190" t="str">
        <f t="shared" si="396"/>
        <v/>
      </c>
      <c r="BW138" s="190" t="str">
        <f t="shared" si="396"/>
        <v/>
      </c>
      <c r="BX138" s="190" t="str">
        <f t="shared" si="396"/>
        <v/>
      </c>
      <c r="BY138" s="190" t="str">
        <f t="shared" si="396"/>
        <v/>
      </c>
      <c r="BZ138" s="190" t="str">
        <f t="shared" si="396"/>
        <v/>
      </c>
      <c r="CA138" s="190" t="str">
        <f t="shared" si="396"/>
        <v/>
      </c>
      <c r="CB138" s="190" t="str">
        <f t="shared" si="396"/>
        <v/>
      </c>
      <c r="CC138" s="190" t="str">
        <f t="shared" si="396"/>
        <v/>
      </c>
      <c r="CD138" s="190" t="str">
        <f t="shared" si="396"/>
        <v/>
      </c>
      <c r="CE138" s="190" t="str">
        <f t="shared" si="396"/>
        <v/>
      </c>
      <c r="CF138" s="190" t="str">
        <f t="shared" si="396"/>
        <v/>
      </c>
      <c r="CG138" s="190" t="str">
        <f t="shared" si="396"/>
        <v/>
      </c>
      <c r="CH138" s="190" t="str">
        <f t="shared" si="396"/>
        <v/>
      </c>
      <c r="CI138" s="190" t="str">
        <f t="shared" si="396"/>
        <v/>
      </c>
      <c r="CJ138" s="190" t="str">
        <f t="shared" si="396"/>
        <v/>
      </c>
      <c r="CK138" s="190" t="str">
        <f t="shared" si="396"/>
        <v/>
      </c>
      <c r="CL138" s="190" t="str">
        <f t="shared" si="396"/>
        <v/>
      </c>
      <c r="CM138" s="190" t="str">
        <f t="shared" si="396"/>
        <v/>
      </c>
      <c r="CN138" s="190" t="str">
        <f t="shared" si="396"/>
        <v/>
      </c>
      <c r="CO138" s="190" t="str">
        <f t="shared" si="396"/>
        <v/>
      </c>
      <c r="CP138" s="190" t="str">
        <f t="shared" si="396"/>
        <v/>
      </c>
      <c r="CQ138" s="190" t="str">
        <f t="shared" si="396"/>
        <v/>
      </c>
      <c r="CR138" s="190" t="str">
        <f t="shared" si="396"/>
        <v/>
      </c>
      <c r="CS138" s="190" t="str">
        <f t="shared" si="396"/>
        <v/>
      </c>
      <c r="CT138" s="190" t="str">
        <f t="shared" si="396"/>
        <v/>
      </c>
      <c r="CU138" s="190" t="str">
        <f t="shared" si="396"/>
        <v/>
      </c>
      <c r="CV138" s="190" t="str">
        <f t="shared" si="396"/>
        <v/>
      </c>
      <c r="CW138" s="190" t="str">
        <f t="shared" si="396"/>
        <v/>
      </c>
      <c r="CX138" s="190" t="str">
        <f t="shared" si="396"/>
        <v/>
      </c>
    </row>
    <row r="139" spans="1:102" x14ac:dyDescent="0.25">
      <c r="A139" s="54" t="s">
        <v>162</v>
      </c>
      <c r="B139" s="73">
        <f>-B137</f>
        <v>0</v>
      </c>
      <c r="C139" s="73" t="str">
        <f t="shared" ref="C139:AH139" si="397">IF(ISNUMBER(outYear),IF(UseTaxDeductibleInterest="No",C134+C57+C58,C134+C57*(1-C138)+C58),"")</f>
        <v/>
      </c>
      <c r="D139" s="73" t="str">
        <f t="shared" si="397"/>
        <v/>
      </c>
      <c r="E139" s="73" t="str">
        <f t="shared" si="397"/>
        <v/>
      </c>
      <c r="F139" s="73" t="str">
        <f t="shared" si="397"/>
        <v/>
      </c>
      <c r="G139" s="73" t="str">
        <f t="shared" si="397"/>
        <v/>
      </c>
      <c r="H139" s="73" t="str">
        <f t="shared" si="397"/>
        <v/>
      </c>
      <c r="I139" s="73" t="str">
        <f t="shared" si="397"/>
        <v/>
      </c>
      <c r="J139" s="73" t="str">
        <f t="shared" si="397"/>
        <v/>
      </c>
      <c r="K139" s="73" t="str">
        <f t="shared" si="397"/>
        <v/>
      </c>
      <c r="L139" s="73" t="str">
        <f t="shared" si="397"/>
        <v/>
      </c>
      <c r="M139" s="73" t="str">
        <f t="shared" si="397"/>
        <v/>
      </c>
      <c r="N139" s="73" t="str">
        <f t="shared" si="397"/>
        <v/>
      </c>
      <c r="O139" s="73" t="str">
        <f t="shared" si="397"/>
        <v/>
      </c>
      <c r="P139" s="73" t="str">
        <f t="shared" si="397"/>
        <v/>
      </c>
      <c r="Q139" s="73" t="str">
        <f t="shared" si="397"/>
        <v/>
      </c>
      <c r="R139" s="73" t="str">
        <f t="shared" si="397"/>
        <v/>
      </c>
      <c r="S139" s="73" t="str">
        <f t="shared" si="397"/>
        <v/>
      </c>
      <c r="T139" s="73" t="str">
        <f t="shared" si="397"/>
        <v/>
      </c>
      <c r="U139" s="73" t="str">
        <f t="shared" si="397"/>
        <v/>
      </c>
      <c r="V139" s="73" t="str">
        <f t="shared" si="397"/>
        <v/>
      </c>
      <c r="W139" s="73" t="str">
        <f t="shared" si="397"/>
        <v/>
      </c>
      <c r="X139" s="73" t="str">
        <f t="shared" si="397"/>
        <v/>
      </c>
      <c r="Y139" s="73" t="str">
        <f t="shared" si="397"/>
        <v/>
      </c>
      <c r="Z139" s="73" t="str">
        <f t="shared" si="397"/>
        <v/>
      </c>
      <c r="AA139" s="73" t="str">
        <f t="shared" si="397"/>
        <v/>
      </c>
      <c r="AB139" s="73" t="str">
        <f t="shared" si="397"/>
        <v/>
      </c>
      <c r="AC139" s="73" t="str">
        <f t="shared" si="397"/>
        <v/>
      </c>
      <c r="AD139" s="73" t="str">
        <f t="shared" si="397"/>
        <v/>
      </c>
      <c r="AE139" s="73" t="str">
        <f t="shared" si="397"/>
        <v/>
      </c>
      <c r="AF139" s="73" t="str">
        <f t="shared" si="397"/>
        <v/>
      </c>
      <c r="AG139" s="73" t="str">
        <f t="shared" si="397"/>
        <v/>
      </c>
      <c r="AH139" s="73" t="str">
        <f t="shared" si="397"/>
        <v/>
      </c>
      <c r="AI139" s="73" t="str">
        <f t="shared" ref="AI139:BN139" si="398">IF(ISNUMBER(outYear),IF(UseTaxDeductibleInterest="No",AI134+AI57+AI58,AI134+AI57*(1-AI138)+AI58),"")</f>
        <v/>
      </c>
      <c r="AJ139" s="73" t="str">
        <f t="shared" si="398"/>
        <v/>
      </c>
      <c r="AK139" s="73" t="str">
        <f t="shared" si="398"/>
        <v/>
      </c>
      <c r="AL139" s="73" t="str">
        <f t="shared" si="398"/>
        <v/>
      </c>
      <c r="AM139" s="73" t="str">
        <f t="shared" si="398"/>
        <v/>
      </c>
      <c r="AN139" s="73" t="str">
        <f t="shared" si="398"/>
        <v/>
      </c>
      <c r="AO139" s="73" t="str">
        <f t="shared" si="398"/>
        <v/>
      </c>
      <c r="AP139" s="73" t="str">
        <f t="shared" si="398"/>
        <v/>
      </c>
      <c r="AQ139" s="73" t="str">
        <f t="shared" si="398"/>
        <v/>
      </c>
      <c r="AR139" s="73" t="str">
        <f t="shared" si="398"/>
        <v/>
      </c>
      <c r="AS139" s="73" t="str">
        <f t="shared" si="398"/>
        <v/>
      </c>
      <c r="AT139" s="73" t="str">
        <f t="shared" si="398"/>
        <v/>
      </c>
      <c r="AU139" s="73" t="str">
        <f t="shared" si="398"/>
        <v/>
      </c>
      <c r="AV139" s="73" t="str">
        <f t="shared" si="398"/>
        <v/>
      </c>
      <c r="AW139" s="73" t="str">
        <f t="shared" si="398"/>
        <v/>
      </c>
      <c r="AX139" s="73" t="str">
        <f t="shared" si="398"/>
        <v/>
      </c>
      <c r="AY139" s="73" t="str">
        <f t="shared" si="398"/>
        <v/>
      </c>
      <c r="AZ139" s="73" t="str">
        <f t="shared" si="398"/>
        <v/>
      </c>
      <c r="BA139" s="73" t="str">
        <f t="shared" si="398"/>
        <v/>
      </c>
      <c r="BB139" s="73" t="str">
        <f t="shared" si="398"/>
        <v/>
      </c>
      <c r="BC139" s="73" t="str">
        <f t="shared" si="398"/>
        <v/>
      </c>
      <c r="BD139" s="73" t="str">
        <f t="shared" si="398"/>
        <v/>
      </c>
      <c r="BE139" s="73" t="str">
        <f t="shared" si="398"/>
        <v/>
      </c>
      <c r="BF139" s="73" t="str">
        <f t="shared" si="398"/>
        <v/>
      </c>
      <c r="BG139" s="73" t="str">
        <f t="shared" si="398"/>
        <v/>
      </c>
      <c r="BH139" s="73" t="str">
        <f t="shared" si="398"/>
        <v/>
      </c>
      <c r="BI139" s="73" t="str">
        <f t="shared" si="398"/>
        <v/>
      </c>
      <c r="BJ139" s="73" t="str">
        <f t="shared" si="398"/>
        <v/>
      </c>
      <c r="BK139" s="73" t="str">
        <f t="shared" si="398"/>
        <v/>
      </c>
      <c r="BL139" s="73" t="str">
        <f t="shared" si="398"/>
        <v/>
      </c>
      <c r="BM139" s="73" t="str">
        <f t="shared" si="398"/>
        <v/>
      </c>
      <c r="BN139" s="73" t="str">
        <f t="shared" si="398"/>
        <v/>
      </c>
      <c r="BO139" s="73" t="str">
        <f t="shared" ref="BO139:CT139" si="399">IF(ISNUMBER(outYear),IF(UseTaxDeductibleInterest="No",BO134+BO57+BO58,BO134+BO57*(1-BO138)+BO58),"")</f>
        <v/>
      </c>
      <c r="BP139" s="73" t="str">
        <f t="shared" si="399"/>
        <v/>
      </c>
      <c r="BQ139" s="73" t="str">
        <f t="shared" si="399"/>
        <v/>
      </c>
      <c r="BR139" s="73" t="str">
        <f t="shared" si="399"/>
        <v/>
      </c>
      <c r="BS139" s="73" t="str">
        <f t="shared" si="399"/>
        <v/>
      </c>
      <c r="BT139" s="73" t="str">
        <f t="shared" si="399"/>
        <v/>
      </c>
      <c r="BU139" s="73" t="str">
        <f t="shared" si="399"/>
        <v/>
      </c>
      <c r="BV139" s="73" t="str">
        <f t="shared" si="399"/>
        <v/>
      </c>
      <c r="BW139" s="73" t="str">
        <f t="shared" si="399"/>
        <v/>
      </c>
      <c r="BX139" s="73" t="str">
        <f t="shared" si="399"/>
        <v/>
      </c>
      <c r="BY139" s="73" t="str">
        <f t="shared" si="399"/>
        <v/>
      </c>
      <c r="BZ139" s="73" t="str">
        <f t="shared" si="399"/>
        <v/>
      </c>
      <c r="CA139" s="73" t="str">
        <f t="shared" si="399"/>
        <v/>
      </c>
      <c r="CB139" s="73" t="str">
        <f t="shared" si="399"/>
        <v/>
      </c>
      <c r="CC139" s="73" t="str">
        <f t="shared" si="399"/>
        <v/>
      </c>
      <c r="CD139" s="73" t="str">
        <f t="shared" si="399"/>
        <v/>
      </c>
      <c r="CE139" s="73" t="str">
        <f t="shared" si="399"/>
        <v/>
      </c>
      <c r="CF139" s="73" t="str">
        <f t="shared" si="399"/>
        <v/>
      </c>
      <c r="CG139" s="73" t="str">
        <f t="shared" si="399"/>
        <v/>
      </c>
      <c r="CH139" s="73" t="str">
        <f t="shared" si="399"/>
        <v/>
      </c>
      <c r="CI139" s="73" t="str">
        <f t="shared" si="399"/>
        <v/>
      </c>
      <c r="CJ139" s="73" t="str">
        <f t="shared" si="399"/>
        <v/>
      </c>
      <c r="CK139" s="73" t="str">
        <f t="shared" si="399"/>
        <v/>
      </c>
      <c r="CL139" s="73" t="str">
        <f t="shared" si="399"/>
        <v/>
      </c>
      <c r="CM139" s="73" t="str">
        <f t="shared" si="399"/>
        <v/>
      </c>
      <c r="CN139" s="73" t="str">
        <f t="shared" si="399"/>
        <v/>
      </c>
      <c r="CO139" s="73" t="str">
        <f t="shared" si="399"/>
        <v/>
      </c>
      <c r="CP139" s="73" t="str">
        <f t="shared" si="399"/>
        <v/>
      </c>
      <c r="CQ139" s="73" t="str">
        <f t="shared" si="399"/>
        <v/>
      </c>
      <c r="CR139" s="73" t="str">
        <f t="shared" si="399"/>
        <v/>
      </c>
      <c r="CS139" s="73" t="str">
        <f t="shared" si="399"/>
        <v/>
      </c>
      <c r="CT139" s="73" t="str">
        <f t="shared" si="399"/>
        <v/>
      </c>
      <c r="CU139" s="73" t="str">
        <f t="shared" ref="CU139:CX139" si="400">IF(ISNUMBER(outYear),IF(UseTaxDeductibleInterest="No",CU134+CU57+CU58,CU134+CU57*(1-CU138)+CU58),"")</f>
        <v/>
      </c>
      <c r="CV139" s="73" t="str">
        <f t="shared" si="400"/>
        <v/>
      </c>
      <c r="CW139" s="73" t="str">
        <f t="shared" si="400"/>
        <v/>
      </c>
      <c r="CX139" s="73" t="str">
        <f t="shared" si="400"/>
        <v/>
      </c>
    </row>
    <row r="140" spans="1:102" x14ac:dyDescent="0.25">
      <c r="A140" s="54" t="s">
        <v>159</v>
      </c>
      <c r="B140" s="73">
        <f>B139</f>
        <v>0</v>
      </c>
      <c r="C140" s="73" t="str">
        <f>IF(ISNUMBER(outYear),+B140+C139,"")</f>
        <v/>
      </c>
      <c r="D140" s="73" t="str">
        <f t="shared" ref="D140:AH140" si="401">IF(ISNUMBER(outYear),+C140+D139,"")</f>
        <v/>
      </c>
      <c r="E140" s="73" t="str">
        <f t="shared" si="401"/>
        <v/>
      </c>
      <c r="F140" s="73" t="str">
        <f t="shared" si="401"/>
        <v/>
      </c>
      <c r="G140" s="73" t="str">
        <f t="shared" si="401"/>
        <v/>
      </c>
      <c r="H140" s="73" t="str">
        <f t="shared" si="401"/>
        <v/>
      </c>
      <c r="I140" s="73" t="str">
        <f t="shared" si="401"/>
        <v/>
      </c>
      <c r="J140" s="73" t="str">
        <f t="shared" si="401"/>
        <v/>
      </c>
      <c r="K140" s="73" t="str">
        <f t="shared" si="401"/>
        <v/>
      </c>
      <c r="L140" s="73" t="str">
        <f t="shared" si="401"/>
        <v/>
      </c>
      <c r="M140" s="73" t="str">
        <f t="shared" si="401"/>
        <v/>
      </c>
      <c r="N140" s="73" t="str">
        <f t="shared" si="401"/>
        <v/>
      </c>
      <c r="O140" s="73" t="str">
        <f t="shared" si="401"/>
        <v/>
      </c>
      <c r="P140" s="73" t="str">
        <f t="shared" si="401"/>
        <v/>
      </c>
      <c r="Q140" s="73" t="str">
        <f t="shared" si="401"/>
        <v/>
      </c>
      <c r="R140" s="73" t="str">
        <f t="shared" si="401"/>
        <v/>
      </c>
      <c r="S140" s="73" t="str">
        <f t="shared" si="401"/>
        <v/>
      </c>
      <c r="T140" s="73" t="str">
        <f t="shared" si="401"/>
        <v/>
      </c>
      <c r="U140" s="73" t="str">
        <f t="shared" si="401"/>
        <v/>
      </c>
      <c r="V140" s="73" t="str">
        <f t="shared" si="401"/>
        <v/>
      </c>
      <c r="W140" s="73" t="str">
        <f t="shared" si="401"/>
        <v/>
      </c>
      <c r="X140" s="73" t="str">
        <f t="shared" si="401"/>
        <v/>
      </c>
      <c r="Y140" s="73" t="str">
        <f t="shared" si="401"/>
        <v/>
      </c>
      <c r="Z140" s="73" t="str">
        <f t="shared" si="401"/>
        <v/>
      </c>
      <c r="AA140" s="73" t="str">
        <f t="shared" si="401"/>
        <v/>
      </c>
      <c r="AB140" s="73" t="str">
        <f t="shared" si="401"/>
        <v/>
      </c>
      <c r="AC140" s="73" t="str">
        <f t="shared" si="401"/>
        <v/>
      </c>
      <c r="AD140" s="73" t="str">
        <f t="shared" si="401"/>
        <v/>
      </c>
      <c r="AE140" s="73" t="str">
        <f t="shared" si="401"/>
        <v/>
      </c>
      <c r="AF140" s="73" t="str">
        <f t="shared" si="401"/>
        <v/>
      </c>
      <c r="AG140" s="73" t="str">
        <f t="shared" si="401"/>
        <v/>
      </c>
      <c r="AH140" s="73" t="str">
        <f t="shared" si="401"/>
        <v/>
      </c>
      <c r="AI140" s="73" t="str">
        <f t="shared" ref="AI140:BN140" si="402">IF(ISNUMBER(outYear),+AH140+AI139,"")</f>
        <v/>
      </c>
      <c r="AJ140" s="73" t="str">
        <f t="shared" si="402"/>
        <v/>
      </c>
      <c r="AK140" s="73" t="str">
        <f t="shared" si="402"/>
        <v/>
      </c>
      <c r="AL140" s="73" t="str">
        <f t="shared" si="402"/>
        <v/>
      </c>
      <c r="AM140" s="73" t="str">
        <f t="shared" si="402"/>
        <v/>
      </c>
      <c r="AN140" s="73" t="str">
        <f t="shared" si="402"/>
        <v/>
      </c>
      <c r="AO140" s="73" t="str">
        <f t="shared" si="402"/>
        <v/>
      </c>
      <c r="AP140" s="73" t="str">
        <f t="shared" si="402"/>
        <v/>
      </c>
      <c r="AQ140" s="73" t="str">
        <f t="shared" si="402"/>
        <v/>
      </c>
      <c r="AR140" s="73" t="str">
        <f t="shared" si="402"/>
        <v/>
      </c>
      <c r="AS140" s="73" t="str">
        <f t="shared" si="402"/>
        <v/>
      </c>
      <c r="AT140" s="73" t="str">
        <f t="shared" si="402"/>
        <v/>
      </c>
      <c r="AU140" s="73" t="str">
        <f t="shared" si="402"/>
        <v/>
      </c>
      <c r="AV140" s="73" t="str">
        <f t="shared" si="402"/>
        <v/>
      </c>
      <c r="AW140" s="73" t="str">
        <f t="shared" si="402"/>
        <v/>
      </c>
      <c r="AX140" s="73" t="str">
        <f t="shared" si="402"/>
        <v/>
      </c>
      <c r="AY140" s="73" t="str">
        <f t="shared" si="402"/>
        <v/>
      </c>
      <c r="AZ140" s="73" t="str">
        <f t="shared" si="402"/>
        <v/>
      </c>
      <c r="BA140" s="73" t="str">
        <f t="shared" si="402"/>
        <v/>
      </c>
      <c r="BB140" s="73" t="str">
        <f t="shared" si="402"/>
        <v/>
      </c>
      <c r="BC140" s="73" t="str">
        <f t="shared" si="402"/>
        <v/>
      </c>
      <c r="BD140" s="73" t="str">
        <f t="shared" si="402"/>
        <v/>
      </c>
      <c r="BE140" s="73" t="str">
        <f t="shared" si="402"/>
        <v/>
      </c>
      <c r="BF140" s="73" t="str">
        <f t="shared" si="402"/>
        <v/>
      </c>
      <c r="BG140" s="73" t="str">
        <f t="shared" si="402"/>
        <v/>
      </c>
      <c r="BH140" s="73" t="str">
        <f t="shared" si="402"/>
        <v/>
      </c>
      <c r="BI140" s="73" t="str">
        <f t="shared" si="402"/>
        <v/>
      </c>
      <c r="BJ140" s="73" t="str">
        <f t="shared" si="402"/>
        <v/>
      </c>
      <c r="BK140" s="73" t="str">
        <f t="shared" si="402"/>
        <v/>
      </c>
      <c r="BL140" s="73" t="str">
        <f t="shared" si="402"/>
        <v/>
      </c>
      <c r="BM140" s="73" t="str">
        <f t="shared" si="402"/>
        <v/>
      </c>
      <c r="BN140" s="73" t="str">
        <f t="shared" si="402"/>
        <v/>
      </c>
      <c r="BO140" s="73" t="str">
        <f t="shared" ref="BO140:CT140" si="403">IF(ISNUMBER(outYear),+BN140+BO139,"")</f>
        <v/>
      </c>
      <c r="BP140" s="73" t="str">
        <f t="shared" si="403"/>
        <v/>
      </c>
      <c r="BQ140" s="73" t="str">
        <f t="shared" si="403"/>
        <v/>
      </c>
      <c r="BR140" s="73" t="str">
        <f t="shared" si="403"/>
        <v/>
      </c>
      <c r="BS140" s="73" t="str">
        <f t="shared" si="403"/>
        <v/>
      </c>
      <c r="BT140" s="73" t="str">
        <f t="shared" si="403"/>
        <v/>
      </c>
      <c r="BU140" s="73" t="str">
        <f t="shared" si="403"/>
        <v/>
      </c>
      <c r="BV140" s="73" t="str">
        <f t="shared" si="403"/>
        <v/>
      </c>
      <c r="BW140" s="73" t="str">
        <f t="shared" si="403"/>
        <v/>
      </c>
      <c r="BX140" s="73" t="str">
        <f t="shared" si="403"/>
        <v/>
      </c>
      <c r="BY140" s="73" t="str">
        <f t="shared" si="403"/>
        <v/>
      </c>
      <c r="BZ140" s="73" t="str">
        <f t="shared" si="403"/>
        <v/>
      </c>
      <c r="CA140" s="73" t="str">
        <f t="shared" si="403"/>
        <v/>
      </c>
      <c r="CB140" s="73" t="str">
        <f t="shared" si="403"/>
        <v/>
      </c>
      <c r="CC140" s="73" t="str">
        <f t="shared" si="403"/>
        <v/>
      </c>
      <c r="CD140" s="73" t="str">
        <f t="shared" si="403"/>
        <v/>
      </c>
      <c r="CE140" s="73" t="str">
        <f t="shared" si="403"/>
        <v/>
      </c>
      <c r="CF140" s="73" t="str">
        <f t="shared" si="403"/>
        <v/>
      </c>
      <c r="CG140" s="73" t="str">
        <f t="shared" si="403"/>
        <v/>
      </c>
      <c r="CH140" s="73" t="str">
        <f t="shared" si="403"/>
        <v/>
      </c>
      <c r="CI140" s="73" t="str">
        <f t="shared" si="403"/>
        <v/>
      </c>
      <c r="CJ140" s="73" t="str">
        <f t="shared" si="403"/>
        <v/>
      </c>
      <c r="CK140" s="73" t="str">
        <f t="shared" si="403"/>
        <v/>
      </c>
      <c r="CL140" s="73" t="str">
        <f t="shared" si="403"/>
        <v/>
      </c>
      <c r="CM140" s="73" t="str">
        <f t="shared" si="403"/>
        <v/>
      </c>
      <c r="CN140" s="73" t="str">
        <f t="shared" si="403"/>
        <v/>
      </c>
      <c r="CO140" s="73" t="str">
        <f t="shared" si="403"/>
        <v/>
      </c>
      <c r="CP140" s="73" t="str">
        <f t="shared" si="403"/>
        <v/>
      </c>
      <c r="CQ140" s="73" t="str">
        <f t="shared" si="403"/>
        <v/>
      </c>
      <c r="CR140" s="73" t="str">
        <f t="shared" si="403"/>
        <v/>
      </c>
      <c r="CS140" s="73" t="str">
        <f t="shared" si="403"/>
        <v/>
      </c>
      <c r="CT140" s="73" t="str">
        <f t="shared" si="403"/>
        <v/>
      </c>
      <c r="CU140" s="73" t="str">
        <f t="shared" ref="CU140:CX140" si="404">IF(ISNUMBER(outYear),+CT140+CU139,"")</f>
        <v/>
      </c>
      <c r="CV140" s="73" t="str">
        <f t="shared" si="404"/>
        <v/>
      </c>
      <c r="CW140" s="73" t="str">
        <f t="shared" si="404"/>
        <v/>
      </c>
      <c r="CX140" s="73" t="str">
        <f t="shared" si="404"/>
        <v/>
      </c>
    </row>
    <row r="141" spans="1:102" x14ac:dyDescent="0.25">
      <c r="A141" s="54" t="s">
        <v>157</v>
      </c>
      <c r="B141" s="5"/>
      <c r="C141" s="6" t="str">
        <f>IF(ISNUMBER(outYear),IF(C140&lt;=0,1,IF(B140&gt;0,0,IF(-B140/C139&gt;0,-B140/C139,0))),"")</f>
        <v/>
      </c>
      <c r="D141" s="6" t="str">
        <f t="shared" ref="D141:AH141" si="405">IF(ISNUMBER(outYear),IF(D140&lt;=0,1,IF(C140&gt;0,0,IF(-C140/D139&gt;0,-C140/D139,0))),"")</f>
        <v/>
      </c>
      <c r="E141" s="6" t="str">
        <f t="shared" si="405"/>
        <v/>
      </c>
      <c r="F141" s="6" t="str">
        <f t="shared" si="405"/>
        <v/>
      </c>
      <c r="G141" s="6" t="str">
        <f t="shared" si="405"/>
        <v/>
      </c>
      <c r="H141" s="6" t="str">
        <f t="shared" si="405"/>
        <v/>
      </c>
      <c r="I141" s="6" t="str">
        <f t="shared" si="405"/>
        <v/>
      </c>
      <c r="J141" s="6" t="str">
        <f t="shared" si="405"/>
        <v/>
      </c>
      <c r="K141" s="6" t="str">
        <f t="shared" si="405"/>
        <v/>
      </c>
      <c r="L141" s="6" t="str">
        <f t="shared" si="405"/>
        <v/>
      </c>
      <c r="M141" s="6" t="str">
        <f t="shared" si="405"/>
        <v/>
      </c>
      <c r="N141" s="6" t="str">
        <f t="shared" si="405"/>
        <v/>
      </c>
      <c r="O141" s="6" t="str">
        <f t="shared" si="405"/>
        <v/>
      </c>
      <c r="P141" s="6" t="str">
        <f t="shared" si="405"/>
        <v/>
      </c>
      <c r="Q141" s="6" t="str">
        <f t="shared" si="405"/>
        <v/>
      </c>
      <c r="R141" s="6" t="str">
        <f t="shared" si="405"/>
        <v/>
      </c>
      <c r="S141" s="6" t="str">
        <f t="shared" si="405"/>
        <v/>
      </c>
      <c r="T141" s="6" t="str">
        <f t="shared" si="405"/>
        <v/>
      </c>
      <c r="U141" s="6" t="str">
        <f t="shared" si="405"/>
        <v/>
      </c>
      <c r="V141" s="6" t="str">
        <f t="shared" si="405"/>
        <v/>
      </c>
      <c r="W141" s="6" t="str">
        <f t="shared" si="405"/>
        <v/>
      </c>
      <c r="X141" s="6" t="str">
        <f t="shared" si="405"/>
        <v/>
      </c>
      <c r="Y141" s="6" t="str">
        <f t="shared" si="405"/>
        <v/>
      </c>
      <c r="Z141" s="6" t="str">
        <f t="shared" si="405"/>
        <v/>
      </c>
      <c r="AA141" s="6" t="str">
        <f t="shared" si="405"/>
        <v/>
      </c>
      <c r="AB141" s="6" t="str">
        <f t="shared" si="405"/>
        <v/>
      </c>
      <c r="AC141" s="6" t="str">
        <f t="shared" si="405"/>
        <v/>
      </c>
      <c r="AD141" s="6" t="str">
        <f t="shared" si="405"/>
        <v/>
      </c>
      <c r="AE141" s="6" t="str">
        <f t="shared" si="405"/>
        <v/>
      </c>
      <c r="AF141" s="6" t="str">
        <f t="shared" si="405"/>
        <v/>
      </c>
      <c r="AG141" s="6" t="str">
        <f t="shared" si="405"/>
        <v/>
      </c>
      <c r="AH141" s="6" t="str">
        <f t="shared" si="405"/>
        <v/>
      </c>
      <c r="AI141" s="6" t="str">
        <f t="shared" ref="AI141:BN141" si="406">IF(ISNUMBER(outYear),IF(AI140&lt;=0,1,IF(AH140&gt;0,0,IF(-AH140/AI139&gt;0,-AH140/AI139,0))),"")</f>
        <v/>
      </c>
      <c r="AJ141" s="6" t="str">
        <f t="shared" si="406"/>
        <v/>
      </c>
      <c r="AK141" s="6" t="str">
        <f t="shared" si="406"/>
        <v/>
      </c>
      <c r="AL141" s="6" t="str">
        <f t="shared" si="406"/>
        <v/>
      </c>
      <c r="AM141" s="6" t="str">
        <f t="shared" si="406"/>
        <v/>
      </c>
      <c r="AN141" s="6" t="str">
        <f t="shared" si="406"/>
        <v/>
      </c>
      <c r="AO141" s="6" t="str">
        <f t="shared" si="406"/>
        <v/>
      </c>
      <c r="AP141" s="6" t="str">
        <f t="shared" si="406"/>
        <v/>
      </c>
      <c r="AQ141" s="6" t="str">
        <f t="shared" si="406"/>
        <v/>
      </c>
      <c r="AR141" s="6" t="str">
        <f t="shared" si="406"/>
        <v/>
      </c>
      <c r="AS141" s="6" t="str">
        <f t="shared" si="406"/>
        <v/>
      </c>
      <c r="AT141" s="6" t="str">
        <f t="shared" si="406"/>
        <v/>
      </c>
      <c r="AU141" s="6" t="str">
        <f t="shared" si="406"/>
        <v/>
      </c>
      <c r="AV141" s="6" t="str">
        <f t="shared" si="406"/>
        <v/>
      </c>
      <c r="AW141" s="6" t="str">
        <f t="shared" si="406"/>
        <v/>
      </c>
      <c r="AX141" s="6" t="str">
        <f t="shared" si="406"/>
        <v/>
      </c>
      <c r="AY141" s="6" t="str">
        <f t="shared" si="406"/>
        <v/>
      </c>
      <c r="AZ141" s="6" t="str">
        <f t="shared" si="406"/>
        <v/>
      </c>
      <c r="BA141" s="6" t="str">
        <f t="shared" si="406"/>
        <v/>
      </c>
      <c r="BB141" s="6" t="str">
        <f t="shared" si="406"/>
        <v/>
      </c>
      <c r="BC141" s="6" t="str">
        <f t="shared" si="406"/>
        <v/>
      </c>
      <c r="BD141" s="6" t="str">
        <f t="shared" si="406"/>
        <v/>
      </c>
      <c r="BE141" s="6" t="str">
        <f t="shared" si="406"/>
        <v/>
      </c>
      <c r="BF141" s="6" t="str">
        <f t="shared" si="406"/>
        <v/>
      </c>
      <c r="BG141" s="6" t="str">
        <f t="shared" si="406"/>
        <v/>
      </c>
      <c r="BH141" s="6" t="str">
        <f t="shared" si="406"/>
        <v/>
      </c>
      <c r="BI141" s="6" t="str">
        <f t="shared" si="406"/>
        <v/>
      </c>
      <c r="BJ141" s="6" t="str">
        <f t="shared" si="406"/>
        <v/>
      </c>
      <c r="BK141" s="6" t="str">
        <f t="shared" si="406"/>
        <v/>
      </c>
      <c r="BL141" s="6" t="str">
        <f t="shared" si="406"/>
        <v/>
      </c>
      <c r="BM141" s="6" t="str">
        <f t="shared" si="406"/>
        <v/>
      </c>
      <c r="BN141" s="6" t="str">
        <f t="shared" si="406"/>
        <v/>
      </c>
      <c r="BO141" s="6" t="str">
        <f t="shared" ref="BO141:CT141" si="407">IF(ISNUMBER(outYear),IF(BO140&lt;=0,1,IF(BN140&gt;0,0,IF(-BN140/BO139&gt;0,-BN140/BO139,0))),"")</f>
        <v/>
      </c>
      <c r="BP141" s="6" t="str">
        <f t="shared" si="407"/>
        <v/>
      </c>
      <c r="BQ141" s="6" t="str">
        <f t="shared" si="407"/>
        <v/>
      </c>
      <c r="BR141" s="6" t="str">
        <f t="shared" si="407"/>
        <v/>
      </c>
      <c r="BS141" s="6" t="str">
        <f t="shared" si="407"/>
        <v/>
      </c>
      <c r="BT141" s="6" t="str">
        <f t="shared" si="407"/>
        <v/>
      </c>
      <c r="BU141" s="6" t="str">
        <f t="shared" si="407"/>
        <v/>
      </c>
      <c r="BV141" s="6" t="str">
        <f t="shared" si="407"/>
        <v/>
      </c>
      <c r="BW141" s="6" t="str">
        <f t="shared" si="407"/>
        <v/>
      </c>
      <c r="BX141" s="6" t="str">
        <f t="shared" si="407"/>
        <v/>
      </c>
      <c r="BY141" s="6" t="str">
        <f t="shared" si="407"/>
        <v/>
      </c>
      <c r="BZ141" s="6" t="str">
        <f t="shared" si="407"/>
        <v/>
      </c>
      <c r="CA141" s="6" t="str">
        <f t="shared" si="407"/>
        <v/>
      </c>
      <c r="CB141" s="6" t="str">
        <f t="shared" si="407"/>
        <v/>
      </c>
      <c r="CC141" s="6" t="str">
        <f t="shared" si="407"/>
        <v/>
      </c>
      <c r="CD141" s="6" t="str">
        <f t="shared" si="407"/>
        <v/>
      </c>
      <c r="CE141" s="6" t="str">
        <f t="shared" si="407"/>
        <v/>
      </c>
      <c r="CF141" s="6" t="str">
        <f t="shared" si="407"/>
        <v/>
      </c>
      <c r="CG141" s="6" t="str">
        <f t="shared" si="407"/>
        <v/>
      </c>
      <c r="CH141" s="6" t="str">
        <f t="shared" si="407"/>
        <v/>
      </c>
      <c r="CI141" s="6" t="str">
        <f t="shared" si="407"/>
        <v/>
      </c>
      <c r="CJ141" s="6" t="str">
        <f t="shared" si="407"/>
        <v/>
      </c>
      <c r="CK141" s="6" t="str">
        <f t="shared" si="407"/>
        <v/>
      </c>
      <c r="CL141" s="6" t="str">
        <f t="shared" si="407"/>
        <v/>
      </c>
      <c r="CM141" s="6" t="str">
        <f t="shared" si="407"/>
        <v/>
      </c>
      <c r="CN141" s="6" t="str">
        <f t="shared" si="407"/>
        <v/>
      </c>
      <c r="CO141" s="6" t="str">
        <f t="shared" si="407"/>
        <v/>
      </c>
      <c r="CP141" s="6" t="str">
        <f t="shared" si="407"/>
        <v/>
      </c>
      <c r="CQ141" s="6" t="str">
        <f t="shared" si="407"/>
        <v/>
      </c>
      <c r="CR141" s="6" t="str">
        <f t="shared" si="407"/>
        <v/>
      </c>
      <c r="CS141" s="6" t="str">
        <f t="shared" si="407"/>
        <v/>
      </c>
      <c r="CT141" s="6" t="str">
        <f t="shared" si="407"/>
        <v/>
      </c>
      <c r="CU141" s="6" t="str">
        <f t="shared" ref="CU141:CX141" si="408">IF(ISNUMBER(outYear),IF(CU140&lt;=0,1,IF(CT140&gt;0,0,IF(-CT140/CU139&gt;0,-CT140/CU139,0))),"")</f>
        <v/>
      </c>
      <c r="CV141" s="6" t="str">
        <f t="shared" si="408"/>
        <v/>
      </c>
      <c r="CW141" s="6" t="str">
        <f t="shared" si="408"/>
        <v/>
      </c>
      <c r="CX141" s="6" t="str">
        <f t="shared" si="408"/>
        <v/>
      </c>
    </row>
    <row r="142" spans="1:102" x14ac:dyDescent="0.25">
      <c r="A142" s="183" t="s">
        <v>156</v>
      </c>
      <c r="B142" s="184"/>
      <c r="C142" s="185" t="str">
        <f>IF(ISNUMBER(outYear),SUM(C141:CX141),"")</f>
        <v/>
      </c>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c r="AF142" s="186"/>
      <c r="AG142" s="186"/>
      <c r="AH142" s="186"/>
      <c r="AI142" s="186"/>
      <c r="AJ142" s="186"/>
      <c r="AK142" s="186"/>
      <c r="AL142" s="186"/>
      <c r="AM142" s="186"/>
      <c r="AN142" s="186"/>
      <c r="AO142" s="186"/>
      <c r="AP142" s="186"/>
      <c r="AQ142" s="186"/>
      <c r="AR142" s="186"/>
      <c r="AS142" s="186"/>
      <c r="AT142" s="186"/>
      <c r="AU142" s="186"/>
      <c r="AV142" s="186"/>
      <c r="AW142" s="186"/>
      <c r="AX142" s="186"/>
      <c r="AY142" s="186"/>
      <c r="AZ142" s="186"/>
      <c r="BA142" s="186"/>
      <c r="BB142" s="186"/>
      <c r="BC142" s="186"/>
      <c r="BD142" s="186"/>
      <c r="BE142" s="186"/>
      <c r="BF142" s="186"/>
      <c r="BG142" s="186"/>
      <c r="BH142" s="186"/>
      <c r="BI142" s="186"/>
      <c r="BJ142" s="186"/>
      <c r="BK142" s="186"/>
      <c r="BL142" s="186"/>
      <c r="BM142" s="186"/>
      <c r="BN142" s="186"/>
      <c r="BO142" s="186"/>
      <c r="BP142" s="186"/>
      <c r="BQ142" s="186"/>
      <c r="BR142" s="186"/>
      <c r="BS142" s="186"/>
      <c r="BT142" s="186"/>
      <c r="BU142" s="186"/>
      <c r="BV142" s="186"/>
      <c r="BW142" s="186"/>
      <c r="BX142" s="186"/>
      <c r="BY142" s="186"/>
      <c r="BZ142" s="186"/>
      <c r="CA142" s="186"/>
      <c r="CB142" s="186"/>
      <c r="CC142" s="186"/>
      <c r="CD142" s="186"/>
      <c r="CE142" s="186"/>
      <c r="CF142" s="186"/>
      <c r="CG142" s="186"/>
      <c r="CH142" s="186"/>
      <c r="CI142" s="186"/>
      <c r="CJ142" s="186"/>
      <c r="CK142" s="186"/>
      <c r="CL142" s="186"/>
      <c r="CM142" s="186"/>
      <c r="CN142" s="186"/>
      <c r="CO142" s="186"/>
      <c r="CP142" s="186"/>
      <c r="CQ142" s="186"/>
      <c r="CR142" s="186"/>
      <c r="CS142" s="186"/>
      <c r="CT142" s="186"/>
      <c r="CU142" s="186"/>
      <c r="CV142" s="186"/>
      <c r="CW142" s="186"/>
      <c r="CX142" s="186"/>
    </row>
    <row r="143" spans="1:102" x14ac:dyDescent="0.25">
      <c r="A143" s="54" t="s">
        <v>192</v>
      </c>
      <c r="B143" s="188">
        <v>0</v>
      </c>
      <c r="C143" s="188" t="str">
        <f>IF(ISNUMBER(outYear),IF(UseTaxDeductableOpEx="No",C11/(1+NominalDiscountRate/100)^('Cash Flow'!C2),C11*(1-C138)/(1+NominalDiscountRate/100)^('Cash Flow'!C2)),"")</f>
        <v/>
      </c>
      <c r="D143" s="188" t="str">
        <f>IF(ISNUMBER(outYear),IF(UseTaxDeductableOpEx="No",D11/(1+NominalDiscountRate/100)^('Cash Flow'!D2),D11*(1-D138)/(1+NominalDiscountRate/100)^('Cash Flow'!D2)),"")</f>
        <v/>
      </c>
      <c r="E143" s="188" t="str">
        <f>IF(ISNUMBER(outYear),IF(UseTaxDeductableOpEx="No",E11/(1+NominalDiscountRate/100)^('Cash Flow'!E2),E11*(1-E138)/(1+NominalDiscountRate/100)^('Cash Flow'!E2)),"")</f>
        <v/>
      </c>
      <c r="F143" s="188" t="str">
        <f>IF(ISNUMBER(outYear),IF(UseTaxDeductableOpEx="No",F11/(1+NominalDiscountRate/100)^('Cash Flow'!F2),F11*(1-F138)/(1+NominalDiscountRate/100)^('Cash Flow'!F2)),"")</f>
        <v/>
      </c>
      <c r="G143" s="188" t="str">
        <f>IF(ISNUMBER(outYear),IF(UseTaxDeductableOpEx="No",G11/(1+NominalDiscountRate/100)^('Cash Flow'!G2),G11*(1-G138)/(1+NominalDiscountRate/100)^('Cash Flow'!G2)),"")</f>
        <v/>
      </c>
      <c r="H143" s="188" t="str">
        <f>IF(ISNUMBER(outYear),IF(UseTaxDeductableOpEx="No",H11/(1+NominalDiscountRate/100)^('Cash Flow'!H2),H11*(1-H138)/(1+NominalDiscountRate/100)^('Cash Flow'!H2)),"")</f>
        <v/>
      </c>
      <c r="I143" s="188" t="str">
        <f>IF(ISNUMBER(outYear),IF(UseTaxDeductableOpEx="No",I11/(1+NominalDiscountRate/100)^('Cash Flow'!I2),I11*(1-I138)/(1+NominalDiscountRate/100)^('Cash Flow'!I2)),"")</f>
        <v/>
      </c>
      <c r="J143" s="188" t="str">
        <f>IF(ISNUMBER(outYear),IF(UseTaxDeductableOpEx="No",J11/(1+NominalDiscountRate/100)^('Cash Flow'!J2),J11*(1-J138)/(1+NominalDiscountRate/100)^('Cash Flow'!J2)),"")</f>
        <v/>
      </c>
      <c r="K143" s="188" t="str">
        <f>IF(ISNUMBER(outYear),IF(UseTaxDeductableOpEx="No",K11/(1+NominalDiscountRate/100)^('Cash Flow'!K2),K11*(1-K138)/(1+NominalDiscountRate/100)^('Cash Flow'!K2)),"")</f>
        <v/>
      </c>
      <c r="L143" s="188" t="str">
        <f>IF(ISNUMBER(outYear),IF(UseTaxDeductableOpEx="No",L11/(1+NominalDiscountRate/100)^('Cash Flow'!L2),L11*(1-L138)/(1+NominalDiscountRate/100)^('Cash Flow'!L2)),"")</f>
        <v/>
      </c>
      <c r="M143" s="188" t="str">
        <f>IF(ISNUMBER(outYear),IF(UseTaxDeductableOpEx="No",M11/(1+NominalDiscountRate/100)^('Cash Flow'!M2),M11*(1-M138)/(1+NominalDiscountRate/100)^('Cash Flow'!M2)),"")</f>
        <v/>
      </c>
      <c r="N143" s="188" t="str">
        <f>IF(ISNUMBER(outYear),IF(UseTaxDeductableOpEx="No",N11/(1+NominalDiscountRate/100)^('Cash Flow'!N2),N11*(1-N138)/(1+NominalDiscountRate/100)^('Cash Flow'!N2)),"")</f>
        <v/>
      </c>
      <c r="O143" s="188" t="str">
        <f>IF(ISNUMBER(outYear),IF(UseTaxDeductableOpEx="No",O11/(1+NominalDiscountRate/100)^('Cash Flow'!O2),O11*(1-O138)/(1+NominalDiscountRate/100)^('Cash Flow'!O2)),"")</f>
        <v/>
      </c>
      <c r="P143" s="188" t="str">
        <f>IF(ISNUMBER(outYear),IF(UseTaxDeductableOpEx="No",P11/(1+NominalDiscountRate/100)^('Cash Flow'!P2),P11*(1-P138)/(1+NominalDiscountRate/100)^('Cash Flow'!P2)),"")</f>
        <v/>
      </c>
      <c r="Q143" s="188" t="str">
        <f>IF(ISNUMBER(outYear),IF(UseTaxDeductableOpEx="No",Q11/(1+NominalDiscountRate/100)^('Cash Flow'!Q2),Q11*(1-Q138)/(1+NominalDiscountRate/100)^('Cash Flow'!Q2)),"")</f>
        <v/>
      </c>
      <c r="R143" s="188" t="str">
        <f>IF(ISNUMBER(outYear),IF(UseTaxDeductableOpEx="No",R11/(1+NominalDiscountRate/100)^('Cash Flow'!R2),R11*(1-R138)/(1+NominalDiscountRate/100)^('Cash Flow'!R2)),"")</f>
        <v/>
      </c>
      <c r="S143" s="188" t="str">
        <f>IF(ISNUMBER(outYear),IF(UseTaxDeductableOpEx="No",S11/(1+NominalDiscountRate/100)^('Cash Flow'!S2),S11*(1-S138)/(1+NominalDiscountRate/100)^('Cash Flow'!S2)),"")</f>
        <v/>
      </c>
      <c r="T143" s="188" t="str">
        <f>IF(ISNUMBER(outYear),IF(UseTaxDeductableOpEx="No",T11/(1+NominalDiscountRate/100)^('Cash Flow'!T2),T11*(1-T138)/(1+NominalDiscountRate/100)^('Cash Flow'!T2)),"")</f>
        <v/>
      </c>
      <c r="U143" s="188" t="str">
        <f>IF(ISNUMBER(outYear),IF(UseTaxDeductableOpEx="No",U11/(1+NominalDiscountRate/100)^('Cash Flow'!U2),U11*(1-U138)/(1+NominalDiscountRate/100)^('Cash Flow'!U2)),"")</f>
        <v/>
      </c>
      <c r="V143" s="188" t="str">
        <f>IF(ISNUMBER(outYear),IF(UseTaxDeductableOpEx="No",V11/(1+NominalDiscountRate/100)^('Cash Flow'!V2),V11*(1-V138)/(1+NominalDiscountRate/100)^('Cash Flow'!V2)),"")</f>
        <v/>
      </c>
      <c r="W143" s="188" t="str">
        <f>IF(ISNUMBER(outYear),IF(UseTaxDeductableOpEx="No",W11/(1+NominalDiscountRate/100)^('Cash Flow'!W2),W11*(1-W138)/(1+NominalDiscountRate/100)^('Cash Flow'!W2)),"")</f>
        <v/>
      </c>
      <c r="X143" s="188" t="str">
        <f>IF(ISNUMBER(outYear),IF(UseTaxDeductableOpEx="No",X11/(1+NominalDiscountRate/100)^('Cash Flow'!X2),X11*(1-X138)/(1+NominalDiscountRate/100)^('Cash Flow'!X2)),"")</f>
        <v/>
      </c>
      <c r="Y143" s="188" t="str">
        <f>IF(ISNUMBER(outYear),IF(UseTaxDeductableOpEx="No",Y11/(1+NominalDiscountRate/100)^('Cash Flow'!Y2),Y11*(1-Y138)/(1+NominalDiscountRate/100)^('Cash Flow'!Y2)),"")</f>
        <v/>
      </c>
      <c r="Z143" s="188" t="str">
        <f>IF(ISNUMBER(outYear),IF(UseTaxDeductableOpEx="No",Z11/(1+NominalDiscountRate/100)^('Cash Flow'!Z2),Z11*(1-Z138)/(1+NominalDiscountRate/100)^('Cash Flow'!Z2)),"")</f>
        <v/>
      </c>
      <c r="AA143" s="188" t="str">
        <f>IF(ISNUMBER(outYear),IF(UseTaxDeductableOpEx="No",AA11/(1+NominalDiscountRate/100)^('Cash Flow'!AA2),AA11*(1-AA138)/(1+NominalDiscountRate/100)^('Cash Flow'!AA2)),"")</f>
        <v/>
      </c>
      <c r="AB143" s="188" t="str">
        <f>IF(ISNUMBER(outYear),IF(UseTaxDeductableOpEx="No",AB11/(1+NominalDiscountRate/100)^('Cash Flow'!AB2),AB11*(1-AB138)/(1+NominalDiscountRate/100)^('Cash Flow'!AB2)),"")</f>
        <v/>
      </c>
      <c r="AC143" s="188" t="str">
        <f>IF(ISNUMBER(outYear),IF(UseTaxDeductableOpEx="No",AC11/(1+NominalDiscountRate/100)^('Cash Flow'!AC2),AC11*(1-AC138)/(1+NominalDiscountRate/100)^('Cash Flow'!AC2)),"")</f>
        <v/>
      </c>
      <c r="AD143" s="188" t="str">
        <f>IF(ISNUMBER(outYear),IF(UseTaxDeductableOpEx="No",AD11/(1+NominalDiscountRate/100)^('Cash Flow'!AD2),AD11*(1-AD138)/(1+NominalDiscountRate/100)^('Cash Flow'!AD2)),"")</f>
        <v/>
      </c>
      <c r="AE143" s="188" t="str">
        <f>IF(ISNUMBER(outYear),IF(UseTaxDeductableOpEx="No",AE11/(1+NominalDiscountRate/100)^('Cash Flow'!AE2),AE11*(1-AE138)/(1+NominalDiscountRate/100)^('Cash Flow'!AE2)),"")</f>
        <v/>
      </c>
      <c r="AF143" s="188" t="str">
        <f>IF(ISNUMBER(outYear),IF(UseTaxDeductableOpEx="No",AF11/(1+NominalDiscountRate/100)^('Cash Flow'!AF2),AF11*(1-AF138)/(1+NominalDiscountRate/100)^('Cash Flow'!AF2)),"")</f>
        <v/>
      </c>
      <c r="AG143" s="188" t="str">
        <f>IF(ISNUMBER(outYear),IF(UseTaxDeductableOpEx="No",AG11/(1+NominalDiscountRate/100)^('Cash Flow'!AG2),AG11*(1-AG138)/(1+NominalDiscountRate/100)^('Cash Flow'!AG2)),"")</f>
        <v/>
      </c>
      <c r="AH143" s="188" t="str">
        <f>IF(ISNUMBER(outYear),IF(UseTaxDeductableOpEx="No",AH11/(1+NominalDiscountRate/100)^('Cash Flow'!AH2),AH11*(1-AH138)/(1+NominalDiscountRate/100)^('Cash Flow'!AH2)),"")</f>
        <v/>
      </c>
      <c r="AI143" s="188" t="str">
        <f>IF(ISNUMBER(outYear),IF(UseTaxDeductableOpEx="No",AI11/(1+NominalDiscountRate/100)^('Cash Flow'!AI2),AI11*(1-AI138)/(1+NominalDiscountRate/100)^('Cash Flow'!AI2)),"")</f>
        <v/>
      </c>
      <c r="AJ143" s="188" t="str">
        <f>IF(ISNUMBER(outYear),IF(UseTaxDeductableOpEx="No",AJ11/(1+NominalDiscountRate/100)^('Cash Flow'!AJ2),AJ11*(1-AJ138)/(1+NominalDiscountRate/100)^('Cash Flow'!AJ2)),"")</f>
        <v/>
      </c>
      <c r="AK143" s="188" t="str">
        <f>IF(ISNUMBER(outYear),IF(UseTaxDeductableOpEx="No",AK11/(1+NominalDiscountRate/100)^('Cash Flow'!AK2),AK11*(1-AK138)/(1+NominalDiscountRate/100)^('Cash Flow'!AK2)),"")</f>
        <v/>
      </c>
      <c r="AL143" s="188" t="str">
        <f>IF(ISNUMBER(outYear),IF(UseTaxDeductableOpEx="No",AL11/(1+NominalDiscountRate/100)^('Cash Flow'!AL2),AL11*(1-AL138)/(1+NominalDiscountRate/100)^('Cash Flow'!AL2)),"")</f>
        <v/>
      </c>
      <c r="AM143" s="188" t="str">
        <f>IF(ISNUMBER(outYear),IF(UseTaxDeductableOpEx="No",AM11/(1+NominalDiscountRate/100)^('Cash Flow'!AM2),AM11*(1-AM138)/(1+NominalDiscountRate/100)^('Cash Flow'!AM2)),"")</f>
        <v/>
      </c>
      <c r="AN143" s="188" t="str">
        <f>IF(ISNUMBER(outYear),IF(UseTaxDeductableOpEx="No",AN11/(1+NominalDiscountRate/100)^('Cash Flow'!AN2),AN11*(1-AN138)/(1+NominalDiscountRate/100)^('Cash Flow'!AN2)),"")</f>
        <v/>
      </c>
      <c r="AO143" s="188" t="str">
        <f>IF(ISNUMBER(outYear),IF(UseTaxDeductableOpEx="No",AO11/(1+NominalDiscountRate/100)^('Cash Flow'!AO2),AO11*(1-AO138)/(1+NominalDiscountRate/100)^('Cash Flow'!AO2)),"")</f>
        <v/>
      </c>
      <c r="AP143" s="188" t="str">
        <f>IF(ISNUMBER(outYear),IF(UseTaxDeductableOpEx="No",AP11/(1+NominalDiscountRate/100)^('Cash Flow'!AP2),AP11*(1-AP138)/(1+NominalDiscountRate/100)^('Cash Flow'!AP2)),"")</f>
        <v/>
      </c>
      <c r="AQ143" s="188" t="str">
        <f>IF(ISNUMBER(outYear),IF(UseTaxDeductableOpEx="No",AQ11/(1+NominalDiscountRate/100)^('Cash Flow'!AQ2),AQ11*(1-AQ138)/(1+NominalDiscountRate/100)^('Cash Flow'!AQ2)),"")</f>
        <v/>
      </c>
      <c r="AR143" s="188" t="str">
        <f>IF(ISNUMBER(outYear),IF(UseTaxDeductableOpEx="No",AR11/(1+NominalDiscountRate/100)^('Cash Flow'!AR2),AR11*(1-AR138)/(1+NominalDiscountRate/100)^('Cash Flow'!AR2)),"")</f>
        <v/>
      </c>
      <c r="AS143" s="188" t="str">
        <f>IF(ISNUMBER(outYear),IF(UseTaxDeductableOpEx="No",AS11/(1+NominalDiscountRate/100)^('Cash Flow'!AS2),AS11*(1-AS138)/(1+NominalDiscountRate/100)^('Cash Flow'!AS2)),"")</f>
        <v/>
      </c>
      <c r="AT143" s="188" t="str">
        <f>IF(ISNUMBER(outYear),IF(UseTaxDeductableOpEx="No",AT11/(1+NominalDiscountRate/100)^('Cash Flow'!AT2),AT11*(1-AT138)/(1+NominalDiscountRate/100)^('Cash Flow'!AT2)),"")</f>
        <v/>
      </c>
      <c r="AU143" s="188" t="str">
        <f>IF(ISNUMBER(outYear),IF(UseTaxDeductableOpEx="No",AU11/(1+NominalDiscountRate/100)^('Cash Flow'!AU2),AU11*(1-AU138)/(1+NominalDiscountRate/100)^('Cash Flow'!AU2)),"")</f>
        <v/>
      </c>
      <c r="AV143" s="188" t="str">
        <f>IF(ISNUMBER(outYear),IF(UseTaxDeductableOpEx="No",AV11/(1+NominalDiscountRate/100)^('Cash Flow'!AV2),AV11*(1-AV138)/(1+NominalDiscountRate/100)^('Cash Flow'!AV2)),"")</f>
        <v/>
      </c>
      <c r="AW143" s="188" t="str">
        <f>IF(ISNUMBER(outYear),IF(UseTaxDeductableOpEx="No",AW11/(1+NominalDiscountRate/100)^('Cash Flow'!AW2),AW11*(1-AW138)/(1+NominalDiscountRate/100)^('Cash Flow'!AW2)),"")</f>
        <v/>
      </c>
      <c r="AX143" s="188" t="str">
        <f>IF(ISNUMBER(outYear),IF(UseTaxDeductableOpEx="No",AX11/(1+NominalDiscountRate/100)^('Cash Flow'!AX2),AX11*(1-AX138)/(1+NominalDiscountRate/100)^('Cash Flow'!AX2)),"")</f>
        <v/>
      </c>
      <c r="AY143" s="188" t="str">
        <f>IF(ISNUMBER(outYear),IF(UseTaxDeductableOpEx="No",AY11/(1+NominalDiscountRate/100)^('Cash Flow'!AY2),AY11*(1-AY138)/(1+NominalDiscountRate/100)^('Cash Flow'!AY2)),"")</f>
        <v/>
      </c>
      <c r="AZ143" s="188" t="str">
        <f>IF(ISNUMBER(outYear),IF(UseTaxDeductableOpEx="No",AZ11/(1+NominalDiscountRate/100)^('Cash Flow'!AZ2),AZ11*(1-AZ138)/(1+NominalDiscountRate/100)^('Cash Flow'!AZ2)),"")</f>
        <v/>
      </c>
      <c r="BA143" s="188" t="str">
        <f>IF(ISNUMBER(outYear),IF(UseTaxDeductableOpEx="No",BA11/(1+NominalDiscountRate/100)^('Cash Flow'!BA2),BA11*(1-BA138)/(1+NominalDiscountRate/100)^('Cash Flow'!BA2)),"")</f>
        <v/>
      </c>
      <c r="BB143" s="188" t="str">
        <f>IF(ISNUMBER(outYear),IF(UseTaxDeductableOpEx="No",BB11/(1+NominalDiscountRate/100)^('Cash Flow'!BB2),BB11*(1-BB138)/(1+NominalDiscountRate/100)^('Cash Flow'!BB2)),"")</f>
        <v/>
      </c>
      <c r="BC143" s="188" t="str">
        <f>IF(ISNUMBER(outYear),IF(UseTaxDeductableOpEx="No",BC11/(1+NominalDiscountRate/100)^('Cash Flow'!BC2),BC11*(1-BC138)/(1+NominalDiscountRate/100)^('Cash Flow'!BC2)),"")</f>
        <v/>
      </c>
      <c r="BD143" s="188" t="str">
        <f>IF(ISNUMBER(outYear),IF(UseTaxDeductableOpEx="No",BD11/(1+NominalDiscountRate/100)^('Cash Flow'!BD2),BD11*(1-BD138)/(1+NominalDiscountRate/100)^('Cash Flow'!BD2)),"")</f>
        <v/>
      </c>
      <c r="BE143" s="188" t="str">
        <f>IF(ISNUMBER(outYear),IF(UseTaxDeductableOpEx="No",BE11/(1+NominalDiscountRate/100)^('Cash Flow'!BE2),BE11*(1-BE138)/(1+NominalDiscountRate/100)^('Cash Flow'!BE2)),"")</f>
        <v/>
      </c>
      <c r="BF143" s="188" t="str">
        <f>IF(ISNUMBER(outYear),IF(UseTaxDeductableOpEx="No",BF11/(1+NominalDiscountRate/100)^('Cash Flow'!BF2),BF11*(1-BF138)/(1+NominalDiscountRate/100)^('Cash Flow'!BF2)),"")</f>
        <v/>
      </c>
      <c r="BG143" s="188" t="str">
        <f>IF(ISNUMBER(outYear),IF(UseTaxDeductableOpEx="No",BG11/(1+NominalDiscountRate/100)^('Cash Flow'!BG2),BG11*(1-BG138)/(1+NominalDiscountRate/100)^('Cash Flow'!BG2)),"")</f>
        <v/>
      </c>
      <c r="BH143" s="188" t="str">
        <f>IF(ISNUMBER(outYear),IF(UseTaxDeductableOpEx="No",BH11/(1+NominalDiscountRate/100)^('Cash Flow'!BH2),BH11*(1-BH138)/(1+NominalDiscountRate/100)^('Cash Flow'!BH2)),"")</f>
        <v/>
      </c>
      <c r="BI143" s="188" t="str">
        <f>IF(ISNUMBER(outYear),IF(UseTaxDeductableOpEx="No",BI11/(1+NominalDiscountRate/100)^('Cash Flow'!BI2),BI11*(1-BI138)/(1+NominalDiscountRate/100)^('Cash Flow'!BI2)),"")</f>
        <v/>
      </c>
      <c r="BJ143" s="188" t="str">
        <f>IF(ISNUMBER(outYear),IF(UseTaxDeductableOpEx="No",BJ11/(1+NominalDiscountRate/100)^('Cash Flow'!BJ2),BJ11*(1-BJ138)/(1+NominalDiscountRate/100)^('Cash Flow'!BJ2)),"")</f>
        <v/>
      </c>
      <c r="BK143" s="188" t="str">
        <f>IF(ISNUMBER(outYear),IF(UseTaxDeductableOpEx="No",BK11/(1+NominalDiscountRate/100)^('Cash Flow'!BK2),BK11*(1-BK138)/(1+NominalDiscountRate/100)^('Cash Flow'!BK2)),"")</f>
        <v/>
      </c>
      <c r="BL143" s="188" t="str">
        <f>IF(ISNUMBER(outYear),IF(UseTaxDeductableOpEx="No",BL11/(1+NominalDiscountRate/100)^('Cash Flow'!BL2),BL11*(1-BL138)/(1+NominalDiscountRate/100)^('Cash Flow'!BL2)),"")</f>
        <v/>
      </c>
      <c r="BM143" s="188" t="str">
        <f>IF(ISNUMBER(outYear),IF(UseTaxDeductableOpEx="No",BM11/(1+NominalDiscountRate/100)^('Cash Flow'!BM2),BM11*(1-BM138)/(1+NominalDiscountRate/100)^('Cash Flow'!BM2)),"")</f>
        <v/>
      </c>
      <c r="BN143" s="188" t="str">
        <f>IF(ISNUMBER(outYear),IF(UseTaxDeductableOpEx="No",BN11/(1+NominalDiscountRate/100)^('Cash Flow'!BN2),BN11*(1-BN138)/(1+NominalDiscountRate/100)^('Cash Flow'!BN2)),"")</f>
        <v/>
      </c>
      <c r="BO143" s="188" t="str">
        <f>IF(ISNUMBER(outYear),IF(UseTaxDeductableOpEx="No",BO11/(1+NominalDiscountRate/100)^('Cash Flow'!BO2),BO11*(1-BO138)/(1+NominalDiscountRate/100)^('Cash Flow'!BO2)),"")</f>
        <v/>
      </c>
      <c r="BP143" s="188" t="str">
        <f>IF(ISNUMBER(outYear),IF(UseTaxDeductableOpEx="No",BP11/(1+NominalDiscountRate/100)^('Cash Flow'!BP2),BP11*(1-BP138)/(1+NominalDiscountRate/100)^('Cash Flow'!BP2)),"")</f>
        <v/>
      </c>
      <c r="BQ143" s="188" t="str">
        <f>IF(ISNUMBER(outYear),IF(UseTaxDeductableOpEx="No",BQ11/(1+NominalDiscountRate/100)^('Cash Flow'!BQ2),BQ11*(1-BQ138)/(1+NominalDiscountRate/100)^('Cash Flow'!BQ2)),"")</f>
        <v/>
      </c>
      <c r="BR143" s="188" t="str">
        <f>IF(ISNUMBER(outYear),IF(UseTaxDeductableOpEx="No",BR11/(1+NominalDiscountRate/100)^('Cash Flow'!BR2),BR11*(1-BR138)/(1+NominalDiscountRate/100)^('Cash Flow'!BR2)),"")</f>
        <v/>
      </c>
      <c r="BS143" s="188" t="str">
        <f>IF(ISNUMBER(outYear),IF(UseTaxDeductableOpEx="No",BS11/(1+NominalDiscountRate/100)^('Cash Flow'!BS2),BS11*(1-BS138)/(1+NominalDiscountRate/100)^('Cash Flow'!BS2)),"")</f>
        <v/>
      </c>
      <c r="BT143" s="188" t="str">
        <f>IF(ISNUMBER(outYear),IF(UseTaxDeductableOpEx="No",BT11/(1+NominalDiscountRate/100)^('Cash Flow'!BT2),BT11*(1-BT138)/(1+NominalDiscountRate/100)^('Cash Flow'!BT2)),"")</f>
        <v/>
      </c>
      <c r="BU143" s="188" t="str">
        <f>IF(ISNUMBER(outYear),IF(UseTaxDeductableOpEx="No",BU11/(1+NominalDiscountRate/100)^('Cash Flow'!BU2),BU11*(1-BU138)/(1+NominalDiscountRate/100)^('Cash Flow'!BU2)),"")</f>
        <v/>
      </c>
      <c r="BV143" s="188" t="str">
        <f>IF(ISNUMBER(outYear),IF(UseTaxDeductableOpEx="No",BV11/(1+NominalDiscountRate/100)^('Cash Flow'!BV2),BV11*(1-BV138)/(1+NominalDiscountRate/100)^('Cash Flow'!BV2)),"")</f>
        <v/>
      </c>
      <c r="BW143" s="188" t="str">
        <f>IF(ISNUMBER(outYear),IF(UseTaxDeductableOpEx="No",BW11/(1+NominalDiscountRate/100)^('Cash Flow'!BW2),BW11*(1-BW138)/(1+NominalDiscountRate/100)^('Cash Flow'!BW2)),"")</f>
        <v/>
      </c>
      <c r="BX143" s="188" t="str">
        <f>IF(ISNUMBER(outYear),IF(UseTaxDeductableOpEx="No",BX11/(1+NominalDiscountRate/100)^('Cash Flow'!BX2),BX11*(1-BX138)/(1+NominalDiscountRate/100)^('Cash Flow'!BX2)),"")</f>
        <v/>
      </c>
      <c r="BY143" s="188" t="str">
        <f>IF(ISNUMBER(outYear),IF(UseTaxDeductableOpEx="No",BY11/(1+NominalDiscountRate/100)^('Cash Flow'!BY2),BY11*(1-BY138)/(1+NominalDiscountRate/100)^('Cash Flow'!BY2)),"")</f>
        <v/>
      </c>
      <c r="BZ143" s="188" t="str">
        <f>IF(ISNUMBER(outYear),IF(UseTaxDeductableOpEx="No",BZ11/(1+NominalDiscountRate/100)^('Cash Flow'!BZ2),BZ11*(1-BZ138)/(1+NominalDiscountRate/100)^('Cash Flow'!BZ2)),"")</f>
        <v/>
      </c>
      <c r="CA143" s="188" t="str">
        <f>IF(ISNUMBER(outYear),IF(UseTaxDeductableOpEx="No",CA11/(1+NominalDiscountRate/100)^('Cash Flow'!CA2),CA11*(1-CA138)/(1+NominalDiscountRate/100)^('Cash Flow'!CA2)),"")</f>
        <v/>
      </c>
      <c r="CB143" s="188" t="str">
        <f>IF(ISNUMBER(outYear),IF(UseTaxDeductableOpEx="No",CB11/(1+NominalDiscountRate/100)^('Cash Flow'!CB2),CB11*(1-CB138)/(1+NominalDiscountRate/100)^('Cash Flow'!CB2)),"")</f>
        <v/>
      </c>
      <c r="CC143" s="188" t="str">
        <f>IF(ISNUMBER(outYear),IF(UseTaxDeductableOpEx="No",CC11/(1+NominalDiscountRate/100)^('Cash Flow'!CC2),CC11*(1-CC138)/(1+NominalDiscountRate/100)^('Cash Flow'!CC2)),"")</f>
        <v/>
      </c>
      <c r="CD143" s="188" t="str">
        <f>IF(ISNUMBER(outYear),IF(UseTaxDeductableOpEx="No",CD11/(1+NominalDiscountRate/100)^('Cash Flow'!CD2),CD11*(1-CD138)/(1+NominalDiscountRate/100)^('Cash Flow'!CD2)),"")</f>
        <v/>
      </c>
      <c r="CE143" s="188" t="str">
        <f>IF(ISNUMBER(outYear),IF(UseTaxDeductableOpEx="No",CE11/(1+NominalDiscountRate/100)^('Cash Flow'!CE2),CE11*(1-CE138)/(1+NominalDiscountRate/100)^('Cash Flow'!CE2)),"")</f>
        <v/>
      </c>
      <c r="CF143" s="188" t="str">
        <f>IF(ISNUMBER(outYear),IF(UseTaxDeductableOpEx="No",CF11/(1+NominalDiscountRate/100)^('Cash Flow'!CF2),CF11*(1-CF138)/(1+NominalDiscountRate/100)^('Cash Flow'!CF2)),"")</f>
        <v/>
      </c>
      <c r="CG143" s="188" t="str">
        <f>IF(ISNUMBER(outYear),IF(UseTaxDeductableOpEx="No",CG11/(1+NominalDiscountRate/100)^('Cash Flow'!CG2),CG11*(1-CG138)/(1+NominalDiscountRate/100)^('Cash Flow'!CG2)),"")</f>
        <v/>
      </c>
      <c r="CH143" s="188" t="str">
        <f>IF(ISNUMBER(outYear),IF(UseTaxDeductableOpEx="No",CH11/(1+NominalDiscountRate/100)^('Cash Flow'!CH2),CH11*(1-CH138)/(1+NominalDiscountRate/100)^('Cash Flow'!CH2)),"")</f>
        <v/>
      </c>
      <c r="CI143" s="188" t="str">
        <f>IF(ISNUMBER(outYear),IF(UseTaxDeductableOpEx="No",CI11/(1+NominalDiscountRate/100)^('Cash Flow'!CI2),CI11*(1-CI138)/(1+NominalDiscountRate/100)^('Cash Flow'!CI2)),"")</f>
        <v/>
      </c>
      <c r="CJ143" s="188" t="str">
        <f>IF(ISNUMBER(outYear),IF(UseTaxDeductableOpEx="No",CJ11/(1+NominalDiscountRate/100)^('Cash Flow'!CJ2),CJ11*(1-CJ138)/(1+NominalDiscountRate/100)^('Cash Flow'!CJ2)),"")</f>
        <v/>
      </c>
      <c r="CK143" s="188" t="str">
        <f>IF(ISNUMBER(outYear),IF(UseTaxDeductableOpEx="No",CK11/(1+NominalDiscountRate/100)^('Cash Flow'!CK2),CK11*(1-CK138)/(1+NominalDiscountRate/100)^('Cash Flow'!CK2)),"")</f>
        <v/>
      </c>
      <c r="CL143" s="188" t="str">
        <f>IF(ISNUMBER(outYear),IF(UseTaxDeductableOpEx="No",CL11/(1+NominalDiscountRate/100)^('Cash Flow'!CL2),CL11*(1-CL138)/(1+NominalDiscountRate/100)^('Cash Flow'!CL2)),"")</f>
        <v/>
      </c>
      <c r="CM143" s="188" t="str">
        <f>IF(ISNUMBER(outYear),IF(UseTaxDeductableOpEx="No",CM11/(1+NominalDiscountRate/100)^('Cash Flow'!CM2),CM11*(1-CM138)/(1+NominalDiscountRate/100)^('Cash Flow'!CM2)),"")</f>
        <v/>
      </c>
      <c r="CN143" s="188" t="str">
        <f>IF(ISNUMBER(outYear),IF(UseTaxDeductableOpEx="No",CN11/(1+NominalDiscountRate/100)^('Cash Flow'!CN2),CN11*(1-CN138)/(1+NominalDiscountRate/100)^('Cash Flow'!CN2)),"")</f>
        <v/>
      </c>
      <c r="CO143" s="188" t="str">
        <f>IF(ISNUMBER(outYear),IF(UseTaxDeductableOpEx="No",CO11/(1+NominalDiscountRate/100)^('Cash Flow'!CO2),CO11*(1-CO138)/(1+NominalDiscountRate/100)^('Cash Flow'!CO2)),"")</f>
        <v/>
      </c>
      <c r="CP143" s="188" t="str">
        <f>IF(ISNUMBER(outYear),IF(UseTaxDeductableOpEx="No",CP11/(1+NominalDiscountRate/100)^('Cash Flow'!CP2),CP11*(1-CP138)/(1+NominalDiscountRate/100)^('Cash Flow'!CP2)),"")</f>
        <v/>
      </c>
      <c r="CQ143" s="188" t="str">
        <f>IF(ISNUMBER(outYear),IF(UseTaxDeductableOpEx="No",CQ11/(1+NominalDiscountRate/100)^('Cash Flow'!CQ2),CQ11*(1-CQ138)/(1+NominalDiscountRate/100)^('Cash Flow'!CQ2)),"")</f>
        <v/>
      </c>
      <c r="CR143" s="188" t="str">
        <f>IF(ISNUMBER(outYear),IF(UseTaxDeductableOpEx="No",CR11/(1+NominalDiscountRate/100)^('Cash Flow'!CR2),CR11*(1-CR138)/(1+NominalDiscountRate/100)^('Cash Flow'!CR2)),"")</f>
        <v/>
      </c>
      <c r="CS143" s="188" t="str">
        <f>IF(ISNUMBER(outYear),IF(UseTaxDeductableOpEx="No",CS11/(1+NominalDiscountRate/100)^('Cash Flow'!CS2),CS11*(1-CS138)/(1+NominalDiscountRate/100)^('Cash Flow'!CS2)),"")</f>
        <v/>
      </c>
      <c r="CT143" s="188" t="str">
        <f>IF(ISNUMBER(outYear),IF(UseTaxDeductableOpEx="No",CT11/(1+NominalDiscountRate/100)^('Cash Flow'!CT2),CT11*(1-CT138)/(1+NominalDiscountRate/100)^('Cash Flow'!CT2)),"")</f>
        <v/>
      </c>
      <c r="CU143" s="188" t="str">
        <f>IF(ISNUMBER(outYear),IF(UseTaxDeductableOpEx="No",CU11/(1+NominalDiscountRate/100)^('Cash Flow'!CU2),CU11*(1-CU138)/(1+NominalDiscountRate/100)^('Cash Flow'!CU2)),"")</f>
        <v/>
      </c>
      <c r="CV143" s="188" t="str">
        <f>IF(ISNUMBER(outYear),IF(UseTaxDeductableOpEx="No",CV11/(1+NominalDiscountRate/100)^('Cash Flow'!CV2),CV11*(1-CV138)/(1+NominalDiscountRate/100)^('Cash Flow'!CV2)),"")</f>
        <v/>
      </c>
      <c r="CW143" s="188" t="str">
        <f>IF(ISNUMBER(outYear),IF(UseTaxDeductableOpEx="No",CW11/(1+NominalDiscountRate/100)^('Cash Flow'!CW2),CW11*(1-CW138)/(1+NominalDiscountRate/100)^('Cash Flow'!CW2)),"")</f>
        <v/>
      </c>
      <c r="CX143" s="188" t="str">
        <f>IF(ISNUMBER(outYear),IF(UseTaxDeductableOpEx="No",CX11/(1+NominalDiscountRate/100)^('Cash Flow'!CX2),CX11*(1-CX138)/(1+NominalDiscountRate/100)^('Cash Flow'!CX2)),"")</f>
        <v/>
      </c>
    </row>
    <row r="144" spans="1:102" x14ac:dyDescent="0.25">
      <c r="A144" s="54" t="s">
        <v>193</v>
      </c>
      <c r="B144" s="188">
        <f>B137</f>
        <v>0</v>
      </c>
      <c r="C144" s="188" t="str">
        <f t="shared" ref="C144:AH144" si="409">IF(ISNUMBER(outYear),IF(UseTaxDeductibleInterest="No",(-C132-C59)/(1+NominalDiscountRate/100)^(C2),(-C132-C59+C57*C138)/(1+NominalDiscountRate/100)^(C2)),"")</f>
        <v/>
      </c>
      <c r="D144" s="188" t="str">
        <f t="shared" si="409"/>
        <v/>
      </c>
      <c r="E144" s="188" t="str">
        <f t="shared" si="409"/>
        <v/>
      </c>
      <c r="F144" s="188" t="str">
        <f t="shared" si="409"/>
        <v/>
      </c>
      <c r="G144" s="188" t="str">
        <f t="shared" si="409"/>
        <v/>
      </c>
      <c r="H144" s="188" t="str">
        <f t="shared" si="409"/>
        <v/>
      </c>
      <c r="I144" s="188" t="str">
        <f t="shared" si="409"/>
        <v/>
      </c>
      <c r="J144" s="188" t="str">
        <f t="shared" si="409"/>
        <v/>
      </c>
      <c r="K144" s="188" t="str">
        <f t="shared" si="409"/>
        <v/>
      </c>
      <c r="L144" s="188" t="str">
        <f t="shared" si="409"/>
        <v/>
      </c>
      <c r="M144" s="188" t="str">
        <f t="shared" si="409"/>
        <v/>
      </c>
      <c r="N144" s="188" t="str">
        <f t="shared" si="409"/>
        <v/>
      </c>
      <c r="O144" s="188" t="str">
        <f t="shared" si="409"/>
        <v/>
      </c>
      <c r="P144" s="188" t="str">
        <f t="shared" si="409"/>
        <v/>
      </c>
      <c r="Q144" s="188" t="str">
        <f t="shared" si="409"/>
        <v/>
      </c>
      <c r="R144" s="188" t="str">
        <f t="shared" si="409"/>
        <v/>
      </c>
      <c r="S144" s="188" t="str">
        <f t="shared" si="409"/>
        <v/>
      </c>
      <c r="T144" s="188" t="str">
        <f t="shared" si="409"/>
        <v/>
      </c>
      <c r="U144" s="188" t="str">
        <f t="shared" si="409"/>
        <v/>
      </c>
      <c r="V144" s="188" t="str">
        <f t="shared" si="409"/>
        <v/>
      </c>
      <c r="W144" s="188" t="str">
        <f t="shared" si="409"/>
        <v/>
      </c>
      <c r="X144" s="188" t="str">
        <f t="shared" si="409"/>
        <v/>
      </c>
      <c r="Y144" s="188" t="str">
        <f t="shared" si="409"/>
        <v/>
      </c>
      <c r="Z144" s="188" t="str">
        <f t="shared" si="409"/>
        <v/>
      </c>
      <c r="AA144" s="188" t="str">
        <f t="shared" si="409"/>
        <v/>
      </c>
      <c r="AB144" s="188" t="str">
        <f t="shared" si="409"/>
        <v/>
      </c>
      <c r="AC144" s="188" t="str">
        <f t="shared" si="409"/>
        <v/>
      </c>
      <c r="AD144" s="188" t="str">
        <f t="shared" si="409"/>
        <v/>
      </c>
      <c r="AE144" s="188" t="str">
        <f t="shared" si="409"/>
        <v/>
      </c>
      <c r="AF144" s="188" t="str">
        <f t="shared" si="409"/>
        <v/>
      </c>
      <c r="AG144" s="188" t="str">
        <f t="shared" si="409"/>
        <v/>
      </c>
      <c r="AH144" s="188" t="str">
        <f t="shared" si="409"/>
        <v/>
      </c>
      <c r="AI144" s="188" t="str">
        <f t="shared" ref="AI144:BN144" si="410">IF(ISNUMBER(outYear),IF(UseTaxDeductibleInterest="No",(-AI132-AI59)/(1+NominalDiscountRate/100)^(AI2),(-AI132-AI59+AI57*AI138)/(1+NominalDiscountRate/100)^(AI2)),"")</f>
        <v/>
      </c>
      <c r="AJ144" s="188" t="str">
        <f t="shared" si="410"/>
        <v/>
      </c>
      <c r="AK144" s="188" t="str">
        <f t="shared" si="410"/>
        <v/>
      </c>
      <c r="AL144" s="188" t="str">
        <f t="shared" si="410"/>
        <v/>
      </c>
      <c r="AM144" s="188" t="str">
        <f t="shared" si="410"/>
        <v/>
      </c>
      <c r="AN144" s="188" t="str">
        <f t="shared" si="410"/>
        <v/>
      </c>
      <c r="AO144" s="188" t="str">
        <f t="shared" si="410"/>
        <v/>
      </c>
      <c r="AP144" s="188" t="str">
        <f t="shared" si="410"/>
        <v/>
      </c>
      <c r="AQ144" s="188" t="str">
        <f t="shared" si="410"/>
        <v/>
      </c>
      <c r="AR144" s="188" t="str">
        <f t="shared" si="410"/>
        <v/>
      </c>
      <c r="AS144" s="188" t="str">
        <f t="shared" si="410"/>
        <v/>
      </c>
      <c r="AT144" s="188" t="str">
        <f t="shared" si="410"/>
        <v/>
      </c>
      <c r="AU144" s="188" t="str">
        <f t="shared" si="410"/>
        <v/>
      </c>
      <c r="AV144" s="188" t="str">
        <f t="shared" si="410"/>
        <v/>
      </c>
      <c r="AW144" s="188" t="str">
        <f t="shared" si="410"/>
        <v/>
      </c>
      <c r="AX144" s="188" t="str">
        <f t="shared" si="410"/>
        <v/>
      </c>
      <c r="AY144" s="188" t="str">
        <f t="shared" si="410"/>
        <v/>
      </c>
      <c r="AZ144" s="188" t="str">
        <f t="shared" si="410"/>
        <v/>
      </c>
      <c r="BA144" s="188" t="str">
        <f t="shared" si="410"/>
        <v/>
      </c>
      <c r="BB144" s="188" t="str">
        <f t="shared" si="410"/>
        <v/>
      </c>
      <c r="BC144" s="188" t="str">
        <f t="shared" si="410"/>
        <v/>
      </c>
      <c r="BD144" s="188" t="str">
        <f t="shared" si="410"/>
        <v/>
      </c>
      <c r="BE144" s="188" t="str">
        <f t="shared" si="410"/>
        <v/>
      </c>
      <c r="BF144" s="188" t="str">
        <f t="shared" si="410"/>
        <v/>
      </c>
      <c r="BG144" s="188" t="str">
        <f t="shared" si="410"/>
        <v/>
      </c>
      <c r="BH144" s="188" t="str">
        <f t="shared" si="410"/>
        <v/>
      </c>
      <c r="BI144" s="188" t="str">
        <f t="shared" si="410"/>
        <v/>
      </c>
      <c r="BJ144" s="188" t="str">
        <f t="shared" si="410"/>
        <v/>
      </c>
      <c r="BK144" s="188" t="str">
        <f t="shared" si="410"/>
        <v/>
      </c>
      <c r="BL144" s="188" t="str">
        <f t="shared" si="410"/>
        <v/>
      </c>
      <c r="BM144" s="188" t="str">
        <f t="shared" si="410"/>
        <v/>
      </c>
      <c r="BN144" s="188" t="str">
        <f t="shared" si="410"/>
        <v/>
      </c>
      <c r="BO144" s="188" t="str">
        <f t="shared" ref="BO144:CX144" si="411">IF(ISNUMBER(outYear),IF(UseTaxDeductibleInterest="No",(-BO132-BO59)/(1+NominalDiscountRate/100)^(BO2),(-BO132-BO59+BO57*BO138)/(1+NominalDiscountRate/100)^(BO2)),"")</f>
        <v/>
      </c>
      <c r="BP144" s="188" t="str">
        <f t="shared" si="411"/>
        <v/>
      </c>
      <c r="BQ144" s="188" t="str">
        <f t="shared" si="411"/>
        <v/>
      </c>
      <c r="BR144" s="188" t="str">
        <f t="shared" si="411"/>
        <v/>
      </c>
      <c r="BS144" s="188" t="str">
        <f t="shared" si="411"/>
        <v/>
      </c>
      <c r="BT144" s="188" t="str">
        <f t="shared" si="411"/>
        <v/>
      </c>
      <c r="BU144" s="188" t="str">
        <f t="shared" si="411"/>
        <v/>
      </c>
      <c r="BV144" s="188" t="str">
        <f t="shared" si="411"/>
        <v/>
      </c>
      <c r="BW144" s="188" t="str">
        <f t="shared" si="411"/>
        <v/>
      </c>
      <c r="BX144" s="188" t="str">
        <f t="shared" si="411"/>
        <v/>
      </c>
      <c r="BY144" s="188" t="str">
        <f t="shared" si="411"/>
        <v/>
      </c>
      <c r="BZ144" s="188" t="str">
        <f t="shared" si="411"/>
        <v/>
      </c>
      <c r="CA144" s="188" t="str">
        <f t="shared" si="411"/>
        <v/>
      </c>
      <c r="CB144" s="188" t="str">
        <f t="shared" si="411"/>
        <v/>
      </c>
      <c r="CC144" s="188" t="str">
        <f t="shared" si="411"/>
        <v/>
      </c>
      <c r="CD144" s="188" t="str">
        <f t="shared" si="411"/>
        <v/>
      </c>
      <c r="CE144" s="188" t="str">
        <f t="shared" si="411"/>
        <v/>
      </c>
      <c r="CF144" s="188" t="str">
        <f t="shared" si="411"/>
        <v/>
      </c>
      <c r="CG144" s="188" t="str">
        <f t="shared" si="411"/>
        <v/>
      </c>
      <c r="CH144" s="188" t="str">
        <f t="shared" si="411"/>
        <v/>
      </c>
      <c r="CI144" s="188" t="str">
        <f t="shared" si="411"/>
        <v/>
      </c>
      <c r="CJ144" s="188" t="str">
        <f t="shared" si="411"/>
        <v/>
      </c>
      <c r="CK144" s="188" t="str">
        <f t="shared" si="411"/>
        <v/>
      </c>
      <c r="CL144" s="188" t="str">
        <f t="shared" si="411"/>
        <v/>
      </c>
      <c r="CM144" s="188" t="str">
        <f t="shared" si="411"/>
        <v/>
      </c>
      <c r="CN144" s="188" t="str">
        <f t="shared" si="411"/>
        <v/>
      </c>
      <c r="CO144" s="188" t="str">
        <f t="shared" si="411"/>
        <v/>
      </c>
      <c r="CP144" s="188" t="str">
        <f t="shared" si="411"/>
        <v/>
      </c>
      <c r="CQ144" s="188" t="str">
        <f t="shared" si="411"/>
        <v/>
      </c>
      <c r="CR144" s="188" t="str">
        <f t="shared" si="411"/>
        <v/>
      </c>
      <c r="CS144" s="188" t="str">
        <f t="shared" si="411"/>
        <v/>
      </c>
      <c r="CT144" s="188" t="str">
        <f t="shared" si="411"/>
        <v/>
      </c>
      <c r="CU144" s="188" t="str">
        <f t="shared" si="411"/>
        <v/>
      </c>
      <c r="CV144" s="188" t="str">
        <f t="shared" si="411"/>
        <v/>
      </c>
      <c r="CW144" s="188" t="str">
        <f t="shared" si="411"/>
        <v/>
      </c>
      <c r="CX144" s="188" t="str">
        <f t="shared" si="411"/>
        <v/>
      </c>
    </row>
    <row r="145" spans="1:102" x14ac:dyDescent="0.25">
      <c r="A145" s="54" t="s">
        <v>191</v>
      </c>
      <c r="B145" s="188">
        <f>B143-B144</f>
        <v>0</v>
      </c>
      <c r="C145" s="188" t="str">
        <f t="shared" ref="C145:AH145" si="412">IF(ISNUMBER(outYear),C143-C144,"")</f>
        <v/>
      </c>
      <c r="D145" s="188" t="str">
        <f t="shared" si="412"/>
        <v/>
      </c>
      <c r="E145" s="188" t="str">
        <f t="shared" si="412"/>
        <v/>
      </c>
      <c r="F145" s="188" t="str">
        <f t="shared" si="412"/>
        <v/>
      </c>
      <c r="G145" s="188" t="str">
        <f t="shared" si="412"/>
        <v/>
      </c>
      <c r="H145" s="188" t="str">
        <f t="shared" si="412"/>
        <v/>
      </c>
      <c r="I145" s="188" t="str">
        <f t="shared" si="412"/>
        <v/>
      </c>
      <c r="J145" s="188" t="str">
        <f t="shared" si="412"/>
        <v/>
      </c>
      <c r="K145" s="188" t="str">
        <f t="shared" si="412"/>
        <v/>
      </c>
      <c r="L145" s="188" t="str">
        <f t="shared" si="412"/>
        <v/>
      </c>
      <c r="M145" s="188" t="str">
        <f t="shared" si="412"/>
        <v/>
      </c>
      <c r="N145" s="188" t="str">
        <f t="shared" si="412"/>
        <v/>
      </c>
      <c r="O145" s="188" t="str">
        <f t="shared" si="412"/>
        <v/>
      </c>
      <c r="P145" s="188" t="str">
        <f t="shared" si="412"/>
        <v/>
      </c>
      <c r="Q145" s="188" t="str">
        <f t="shared" si="412"/>
        <v/>
      </c>
      <c r="R145" s="188" t="str">
        <f t="shared" si="412"/>
        <v/>
      </c>
      <c r="S145" s="188" t="str">
        <f t="shared" si="412"/>
        <v/>
      </c>
      <c r="T145" s="188" t="str">
        <f t="shared" si="412"/>
        <v/>
      </c>
      <c r="U145" s="188" t="str">
        <f t="shared" si="412"/>
        <v/>
      </c>
      <c r="V145" s="188" t="str">
        <f t="shared" si="412"/>
        <v/>
      </c>
      <c r="W145" s="188" t="str">
        <f t="shared" si="412"/>
        <v/>
      </c>
      <c r="X145" s="188" t="str">
        <f t="shared" si="412"/>
        <v/>
      </c>
      <c r="Y145" s="188" t="str">
        <f t="shared" si="412"/>
        <v/>
      </c>
      <c r="Z145" s="188" t="str">
        <f t="shared" si="412"/>
        <v/>
      </c>
      <c r="AA145" s="188" t="str">
        <f t="shared" si="412"/>
        <v/>
      </c>
      <c r="AB145" s="188" t="str">
        <f t="shared" si="412"/>
        <v/>
      </c>
      <c r="AC145" s="188" t="str">
        <f t="shared" si="412"/>
        <v/>
      </c>
      <c r="AD145" s="188" t="str">
        <f t="shared" si="412"/>
        <v/>
      </c>
      <c r="AE145" s="188" t="str">
        <f t="shared" si="412"/>
        <v/>
      </c>
      <c r="AF145" s="188" t="str">
        <f t="shared" si="412"/>
        <v/>
      </c>
      <c r="AG145" s="188" t="str">
        <f t="shared" si="412"/>
        <v/>
      </c>
      <c r="AH145" s="188" t="str">
        <f t="shared" si="412"/>
        <v/>
      </c>
      <c r="AI145" s="188" t="str">
        <f t="shared" ref="AI145:BN145" si="413">IF(ISNUMBER(outYear),AI143-AI144,"")</f>
        <v/>
      </c>
      <c r="AJ145" s="188" t="str">
        <f t="shared" si="413"/>
        <v/>
      </c>
      <c r="AK145" s="188" t="str">
        <f t="shared" si="413"/>
        <v/>
      </c>
      <c r="AL145" s="188" t="str">
        <f t="shared" si="413"/>
        <v/>
      </c>
      <c r="AM145" s="188" t="str">
        <f t="shared" si="413"/>
        <v/>
      </c>
      <c r="AN145" s="188" t="str">
        <f t="shared" si="413"/>
        <v/>
      </c>
      <c r="AO145" s="188" t="str">
        <f t="shared" si="413"/>
        <v/>
      </c>
      <c r="AP145" s="188" t="str">
        <f t="shared" si="413"/>
        <v/>
      </c>
      <c r="AQ145" s="188" t="str">
        <f t="shared" si="413"/>
        <v/>
      </c>
      <c r="AR145" s="188" t="str">
        <f t="shared" si="413"/>
        <v/>
      </c>
      <c r="AS145" s="188" t="str">
        <f t="shared" si="413"/>
        <v/>
      </c>
      <c r="AT145" s="188" t="str">
        <f t="shared" si="413"/>
        <v/>
      </c>
      <c r="AU145" s="188" t="str">
        <f t="shared" si="413"/>
        <v/>
      </c>
      <c r="AV145" s="188" t="str">
        <f t="shared" si="413"/>
        <v/>
      </c>
      <c r="AW145" s="188" t="str">
        <f t="shared" si="413"/>
        <v/>
      </c>
      <c r="AX145" s="188" t="str">
        <f t="shared" si="413"/>
        <v/>
      </c>
      <c r="AY145" s="188" t="str">
        <f t="shared" si="413"/>
        <v/>
      </c>
      <c r="AZ145" s="188" t="str">
        <f t="shared" si="413"/>
        <v/>
      </c>
      <c r="BA145" s="188" t="str">
        <f t="shared" si="413"/>
        <v/>
      </c>
      <c r="BB145" s="188" t="str">
        <f t="shared" si="413"/>
        <v/>
      </c>
      <c r="BC145" s="188" t="str">
        <f t="shared" si="413"/>
        <v/>
      </c>
      <c r="BD145" s="188" t="str">
        <f t="shared" si="413"/>
        <v/>
      </c>
      <c r="BE145" s="188" t="str">
        <f t="shared" si="413"/>
        <v/>
      </c>
      <c r="BF145" s="188" t="str">
        <f t="shared" si="413"/>
        <v/>
      </c>
      <c r="BG145" s="188" t="str">
        <f t="shared" si="413"/>
        <v/>
      </c>
      <c r="BH145" s="188" t="str">
        <f t="shared" si="413"/>
        <v/>
      </c>
      <c r="BI145" s="188" t="str">
        <f t="shared" si="413"/>
        <v/>
      </c>
      <c r="BJ145" s="188" t="str">
        <f t="shared" si="413"/>
        <v/>
      </c>
      <c r="BK145" s="188" t="str">
        <f t="shared" si="413"/>
        <v/>
      </c>
      <c r="BL145" s="188" t="str">
        <f t="shared" si="413"/>
        <v/>
      </c>
      <c r="BM145" s="188" t="str">
        <f t="shared" si="413"/>
        <v/>
      </c>
      <c r="BN145" s="188" t="str">
        <f t="shared" si="413"/>
        <v/>
      </c>
      <c r="BO145" s="188" t="str">
        <f t="shared" ref="BO145:CT145" si="414">IF(ISNUMBER(outYear),BO143-BO144,"")</f>
        <v/>
      </c>
      <c r="BP145" s="188" t="str">
        <f t="shared" si="414"/>
        <v/>
      </c>
      <c r="BQ145" s="188" t="str">
        <f t="shared" si="414"/>
        <v/>
      </c>
      <c r="BR145" s="188" t="str">
        <f t="shared" si="414"/>
        <v/>
      </c>
      <c r="BS145" s="188" t="str">
        <f t="shared" si="414"/>
        <v/>
      </c>
      <c r="BT145" s="188" t="str">
        <f t="shared" si="414"/>
        <v/>
      </c>
      <c r="BU145" s="188" t="str">
        <f t="shared" si="414"/>
        <v/>
      </c>
      <c r="BV145" s="188" t="str">
        <f t="shared" si="414"/>
        <v/>
      </c>
      <c r="BW145" s="188" t="str">
        <f t="shared" si="414"/>
        <v/>
      </c>
      <c r="BX145" s="188" t="str">
        <f t="shared" si="414"/>
        <v/>
      </c>
      <c r="BY145" s="188" t="str">
        <f t="shared" si="414"/>
        <v/>
      </c>
      <c r="BZ145" s="188" t="str">
        <f t="shared" si="414"/>
        <v/>
      </c>
      <c r="CA145" s="188" t="str">
        <f t="shared" si="414"/>
        <v/>
      </c>
      <c r="CB145" s="188" t="str">
        <f t="shared" si="414"/>
        <v/>
      </c>
      <c r="CC145" s="188" t="str">
        <f t="shared" si="414"/>
        <v/>
      </c>
      <c r="CD145" s="188" t="str">
        <f t="shared" si="414"/>
        <v/>
      </c>
      <c r="CE145" s="188" t="str">
        <f t="shared" si="414"/>
        <v/>
      </c>
      <c r="CF145" s="188" t="str">
        <f t="shared" si="414"/>
        <v/>
      </c>
      <c r="CG145" s="188" t="str">
        <f t="shared" si="414"/>
        <v/>
      </c>
      <c r="CH145" s="188" t="str">
        <f t="shared" si="414"/>
        <v/>
      </c>
      <c r="CI145" s="188" t="str">
        <f t="shared" si="414"/>
        <v/>
      </c>
      <c r="CJ145" s="188" t="str">
        <f t="shared" si="414"/>
        <v/>
      </c>
      <c r="CK145" s="188" t="str">
        <f t="shared" si="414"/>
        <v/>
      </c>
      <c r="CL145" s="188" t="str">
        <f t="shared" si="414"/>
        <v/>
      </c>
      <c r="CM145" s="188" t="str">
        <f t="shared" si="414"/>
        <v/>
      </c>
      <c r="CN145" s="188" t="str">
        <f t="shared" si="414"/>
        <v/>
      </c>
      <c r="CO145" s="188" t="str">
        <f t="shared" si="414"/>
        <v/>
      </c>
      <c r="CP145" s="188" t="str">
        <f t="shared" si="414"/>
        <v/>
      </c>
      <c r="CQ145" s="188" t="str">
        <f t="shared" si="414"/>
        <v/>
      </c>
      <c r="CR145" s="188" t="str">
        <f t="shared" si="414"/>
        <v/>
      </c>
      <c r="CS145" s="188" t="str">
        <f t="shared" si="414"/>
        <v/>
      </c>
      <c r="CT145" s="188" t="str">
        <f t="shared" si="414"/>
        <v/>
      </c>
      <c r="CU145" s="188" t="str">
        <f t="shared" ref="CU145:CX145" si="415">IF(ISNUMBER(outYear),CU143-CU144,"")</f>
        <v/>
      </c>
      <c r="CV145" s="188" t="str">
        <f t="shared" si="415"/>
        <v/>
      </c>
      <c r="CW145" s="188" t="str">
        <f t="shared" si="415"/>
        <v/>
      </c>
      <c r="CX145" s="188" t="str">
        <f t="shared" si="415"/>
        <v/>
      </c>
    </row>
    <row r="146" spans="1:102" x14ac:dyDescent="0.25">
      <c r="A146" s="189" t="s">
        <v>194</v>
      </c>
      <c r="B146" s="188">
        <f>B145</f>
        <v>0</v>
      </c>
      <c r="C146" s="188" t="str">
        <f t="shared" ref="C146:AH146" si="416">IF(ISNUMBER(outYear),C145+B146,"")</f>
        <v/>
      </c>
      <c r="D146" s="188" t="str">
        <f t="shared" si="416"/>
        <v/>
      </c>
      <c r="E146" s="188" t="str">
        <f t="shared" si="416"/>
        <v/>
      </c>
      <c r="F146" s="188" t="str">
        <f t="shared" si="416"/>
        <v/>
      </c>
      <c r="G146" s="188" t="str">
        <f t="shared" si="416"/>
        <v/>
      </c>
      <c r="H146" s="188" t="str">
        <f t="shared" si="416"/>
        <v/>
      </c>
      <c r="I146" s="188" t="str">
        <f t="shared" si="416"/>
        <v/>
      </c>
      <c r="J146" s="188" t="str">
        <f t="shared" si="416"/>
        <v/>
      </c>
      <c r="K146" s="188" t="str">
        <f t="shared" si="416"/>
        <v/>
      </c>
      <c r="L146" s="188" t="str">
        <f t="shared" si="416"/>
        <v/>
      </c>
      <c r="M146" s="188" t="str">
        <f t="shared" si="416"/>
        <v/>
      </c>
      <c r="N146" s="188" t="str">
        <f t="shared" si="416"/>
        <v/>
      </c>
      <c r="O146" s="188" t="str">
        <f t="shared" si="416"/>
        <v/>
      </c>
      <c r="P146" s="188" t="str">
        <f t="shared" si="416"/>
        <v/>
      </c>
      <c r="Q146" s="188" t="str">
        <f t="shared" si="416"/>
        <v/>
      </c>
      <c r="R146" s="188" t="str">
        <f t="shared" si="416"/>
        <v/>
      </c>
      <c r="S146" s="188" t="str">
        <f t="shared" si="416"/>
        <v/>
      </c>
      <c r="T146" s="188" t="str">
        <f t="shared" si="416"/>
        <v/>
      </c>
      <c r="U146" s="188" t="str">
        <f t="shared" si="416"/>
        <v/>
      </c>
      <c r="V146" s="188" t="str">
        <f t="shared" si="416"/>
        <v/>
      </c>
      <c r="W146" s="188" t="str">
        <f t="shared" si="416"/>
        <v/>
      </c>
      <c r="X146" s="188" t="str">
        <f t="shared" si="416"/>
        <v/>
      </c>
      <c r="Y146" s="188" t="str">
        <f t="shared" si="416"/>
        <v/>
      </c>
      <c r="Z146" s="188" t="str">
        <f t="shared" si="416"/>
        <v/>
      </c>
      <c r="AA146" s="188" t="str">
        <f t="shared" si="416"/>
        <v/>
      </c>
      <c r="AB146" s="188" t="str">
        <f t="shared" si="416"/>
        <v/>
      </c>
      <c r="AC146" s="188" t="str">
        <f t="shared" si="416"/>
        <v/>
      </c>
      <c r="AD146" s="188" t="str">
        <f t="shared" si="416"/>
        <v/>
      </c>
      <c r="AE146" s="188" t="str">
        <f t="shared" si="416"/>
        <v/>
      </c>
      <c r="AF146" s="188" t="str">
        <f t="shared" si="416"/>
        <v/>
      </c>
      <c r="AG146" s="188" t="str">
        <f t="shared" si="416"/>
        <v/>
      </c>
      <c r="AH146" s="188" t="str">
        <f t="shared" si="416"/>
        <v/>
      </c>
      <c r="AI146" s="188" t="str">
        <f t="shared" ref="AI146:BN146" si="417">IF(ISNUMBER(outYear),AI145+AH146,"")</f>
        <v/>
      </c>
      <c r="AJ146" s="188" t="str">
        <f t="shared" si="417"/>
        <v/>
      </c>
      <c r="AK146" s="188" t="str">
        <f t="shared" si="417"/>
        <v/>
      </c>
      <c r="AL146" s="188" t="str">
        <f t="shared" si="417"/>
        <v/>
      </c>
      <c r="AM146" s="188" t="str">
        <f t="shared" si="417"/>
        <v/>
      </c>
      <c r="AN146" s="188" t="str">
        <f t="shared" si="417"/>
        <v/>
      </c>
      <c r="AO146" s="188" t="str">
        <f t="shared" si="417"/>
        <v/>
      </c>
      <c r="AP146" s="188" t="str">
        <f t="shared" si="417"/>
        <v/>
      </c>
      <c r="AQ146" s="188" t="str">
        <f t="shared" si="417"/>
        <v/>
      </c>
      <c r="AR146" s="188" t="str">
        <f t="shared" si="417"/>
        <v/>
      </c>
      <c r="AS146" s="188" t="str">
        <f t="shared" si="417"/>
        <v/>
      </c>
      <c r="AT146" s="188" t="str">
        <f t="shared" si="417"/>
        <v/>
      </c>
      <c r="AU146" s="188" t="str">
        <f t="shared" si="417"/>
        <v/>
      </c>
      <c r="AV146" s="188" t="str">
        <f t="shared" si="417"/>
        <v/>
      </c>
      <c r="AW146" s="188" t="str">
        <f t="shared" si="417"/>
        <v/>
      </c>
      <c r="AX146" s="188" t="str">
        <f t="shared" si="417"/>
        <v/>
      </c>
      <c r="AY146" s="188" t="str">
        <f t="shared" si="417"/>
        <v/>
      </c>
      <c r="AZ146" s="188" t="str">
        <f t="shared" si="417"/>
        <v/>
      </c>
      <c r="BA146" s="188" t="str">
        <f t="shared" si="417"/>
        <v/>
      </c>
      <c r="BB146" s="188" t="str">
        <f t="shared" si="417"/>
        <v/>
      </c>
      <c r="BC146" s="188" t="str">
        <f t="shared" si="417"/>
        <v/>
      </c>
      <c r="BD146" s="188" t="str">
        <f t="shared" si="417"/>
        <v/>
      </c>
      <c r="BE146" s="188" t="str">
        <f t="shared" si="417"/>
        <v/>
      </c>
      <c r="BF146" s="188" t="str">
        <f t="shared" si="417"/>
        <v/>
      </c>
      <c r="BG146" s="188" t="str">
        <f t="shared" si="417"/>
        <v/>
      </c>
      <c r="BH146" s="188" t="str">
        <f t="shared" si="417"/>
        <v/>
      </c>
      <c r="BI146" s="188" t="str">
        <f t="shared" si="417"/>
        <v/>
      </c>
      <c r="BJ146" s="188" t="str">
        <f t="shared" si="417"/>
        <v/>
      </c>
      <c r="BK146" s="188" t="str">
        <f t="shared" si="417"/>
        <v/>
      </c>
      <c r="BL146" s="188" t="str">
        <f t="shared" si="417"/>
        <v/>
      </c>
      <c r="BM146" s="188" t="str">
        <f t="shared" si="417"/>
        <v/>
      </c>
      <c r="BN146" s="188" t="str">
        <f t="shared" si="417"/>
        <v/>
      </c>
      <c r="BO146" s="188" t="str">
        <f t="shared" ref="BO146:CT146" si="418">IF(ISNUMBER(outYear),BO145+BN146,"")</f>
        <v/>
      </c>
      <c r="BP146" s="188" t="str">
        <f t="shared" si="418"/>
        <v/>
      </c>
      <c r="BQ146" s="188" t="str">
        <f t="shared" si="418"/>
        <v/>
      </c>
      <c r="BR146" s="188" t="str">
        <f t="shared" si="418"/>
        <v/>
      </c>
      <c r="BS146" s="188" t="str">
        <f t="shared" si="418"/>
        <v/>
      </c>
      <c r="BT146" s="188" t="str">
        <f t="shared" si="418"/>
        <v/>
      </c>
      <c r="BU146" s="188" t="str">
        <f t="shared" si="418"/>
        <v/>
      </c>
      <c r="BV146" s="188" t="str">
        <f t="shared" si="418"/>
        <v/>
      </c>
      <c r="BW146" s="188" t="str">
        <f t="shared" si="418"/>
        <v/>
      </c>
      <c r="BX146" s="188" t="str">
        <f t="shared" si="418"/>
        <v/>
      </c>
      <c r="BY146" s="188" t="str">
        <f t="shared" si="418"/>
        <v/>
      </c>
      <c r="BZ146" s="188" t="str">
        <f t="shared" si="418"/>
        <v/>
      </c>
      <c r="CA146" s="188" t="str">
        <f t="shared" si="418"/>
        <v/>
      </c>
      <c r="CB146" s="188" t="str">
        <f t="shared" si="418"/>
        <v/>
      </c>
      <c r="CC146" s="188" t="str">
        <f t="shared" si="418"/>
        <v/>
      </c>
      <c r="CD146" s="188" t="str">
        <f t="shared" si="418"/>
        <v/>
      </c>
      <c r="CE146" s="188" t="str">
        <f t="shared" si="418"/>
        <v/>
      </c>
      <c r="CF146" s="188" t="str">
        <f t="shared" si="418"/>
        <v/>
      </c>
      <c r="CG146" s="188" t="str">
        <f t="shared" si="418"/>
        <v/>
      </c>
      <c r="CH146" s="188" t="str">
        <f t="shared" si="418"/>
        <v/>
      </c>
      <c r="CI146" s="188" t="str">
        <f t="shared" si="418"/>
        <v/>
      </c>
      <c r="CJ146" s="188" t="str">
        <f t="shared" si="418"/>
        <v/>
      </c>
      <c r="CK146" s="188" t="str">
        <f t="shared" si="418"/>
        <v/>
      </c>
      <c r="CL146" s="188" t="str">
        <f t="shared" si="418"/>
        <v/>
      </c>
      <c r="CM146" s="188" t="str">
        <f t="shared" si="418"/>
        <v/>
      </c>
      <c r="CN146" s="188" t="str">
        <f t="shared" si="418"/>
        <v/>
      </c>
      <c r="CO146" s="188" t="str">
        <f t="shared" si="418"/>
        <v/>
      </c>
      <c r="CP146" s="188" t="str">
        <f t="shared" si="418"/>
        <v/>
      </c>
      <c r="CQ146" s="188" t="str">
        <f t="shared" si="418"/>
        <v/>
      </c>
      <c r="CR146" s="188" t="str">
        <f t="shared" si="418"/>
        <v/>
      </c>
      <c r="CS146" s="188" t="str">
        <f t="shared" si="418"/>
        <v/>
      </c>
      <c r="CT146" s="188" t="str">
        <f t="shared" si="418"/>
        <v/>
      </c>
      <c r="CU146" s="188" t="str">
        <f t="shared" ref="CU146:CX146" si="419">IF(ISNUMBER(outYear),CU145+CT146,"")</f>
        <v/>
      </c>
      <c r="CV146" s="188" t="str">
        <f t="shared" si="419"/>
        <v/>
      </c>
      <c r="CW146" s="188" t="str">
        <f t="shared" si="419"/>
        <v/>
      </c>
      <c r="CX146" s="188" t="str">
        <f t="shared" si="419"/>
        <v/>
      </c>
    </row>
    <row r="147" spans="1:102" x14ac:dyDescent="0.25">
      <c r="A147" s="189" t="s">
        <v>196</v>
      </c>
      <c r="B147" s="188"/>
      <c r="C147" s="187" t="str">
        <f>IF(ISNUMBER(outYear),IF(C146&lt;=0,1,IF(B146&gt;0,0,IF(-B146/C145&gt;0,-B146/C145,0))),"")</f>
        <v/>
      </c>
      <c r="D147" s="187" t="str">
        <f t="shared" ref="D147:AH147" si="420">IF(ISNUMBER(outYear),IF(D146&lt;=0,1,IF(C146&gt;0,0,IF(-C146/D145&gt;0,-C146/D145,0))),"")</f>
        <v/>
      </c>
      <c r="E147" s="187" t="str">
        <f t="shared" si="420"/>
        <v/>
      </c>
      <c r="F147" s="187" t="str">
        <f t="shared" si="420"/>
        <v/>
      </c>
      <c r="G147" s="187" t="str">
        <f t="shared" si="420"/>
        <v/>
      </c>
      <c r="H147" s="187" t="str">
        <f t="shared" si="420"/>
        <v/>
      </c>
      <c r="I147" s="187" t="str">
        <f t="shared" si="420"/>
        <v/>
      </c>
      <c r="J147" s="187" t="str">
        <f t="shared" si="420"/>
        <v/>
      </c>
      <c r="K147" s="187" t="str">
        <f t="shared" si="420"/>
        <v/>
      </c>
      <c r="L147" s="187" t="str">
        <f t="shared" si="420"/>
        <v/>
      </c>
      <c r="M147" s="187" t="str">
        <f t="shared" si="420"/>
        <v/>
      </c>
      <c r="N147" s="187" t="str">
        <f t="shared" si="420"/>
        <v/>
      </c>
      <c r="O147" s="187" t="str">
        <f t="shared" si="420"/>
        <v/>
      </c>
      <c r="P147" s="187" t="str">
        <f t="shared" si="420"/>
        <v/>
      </c>
      <c r="Q147" s="187" t="str">
        <f t="shared" si="420"/>
        <v/>
      </c>
      <c r="R147" s="187" t="str">
        <f t="shared" si="420"/>
        <v/>
      </c>
      <c r="S147" s="187" t="str">
        <f t="shared" si="420"/>
        <v/>
      </c>
      <c r="T147" s="187" t="str">
        <f t="shared" si="420"/>
        <v/>
      </c>
      <c r="U147" s="187" t="str">
        <f t="shared" si="420"/>
        <v/>
      </c>
      <c r="V147" s="187" t="str">
        <f t="shared" si="420"/>
        <v/>
      </c>
      <c r="W147" s="187" t="str">
        <f t="shared" si="420"/>
        <v/>
      </c>
      <c r="X147" s="187" t="str">
        <f t="shared" si="420"/>
        <v/>
      </c>
      <c r="Y147" s="187" t="str">
        <f t="shared" si="420"/>
        <v/>
      </c>
      <c r="Z147" s="187" t="str">
        <f t="shared" si="420"/>
        <v/>
      </c>
      <c r="AA147" s="187" t="str">
        <f t="shared" si="420"/>
        <v/>
      </c>
      <c r="AB147" s="187" t="str">
        <f t="shared" si="420"/>
        <v/>
      </c>
      <c r="AC147" s="187" t="str">
        <f t="shared" si="420"/>
        <v/>
      </c>
      <c r="AD147" s="187" t="str">
        <f t="shared" si="420"/>
        <v/>
      </c>
      <c r="AE147" s="187" t="str">
        <f t="shared" si="420"/>
        <v/>
      </c>
      <c r="AF147" s="187" t="str">
        <f t="shared" si="420"/>
        <v/>
      </c>
      <c r="AG147" s="187" t="str">
        <f t="shared" si="420"/>
        <v/>
      </c>
      <c r="AH147" s="187" t="str">
        <f t="shared" si="420"/>
        <v/>
      </c>
      <c r="AI147" s="187" t="str">
        <f t="shared" ref="AI147:BN147" si="421">IF(ISNUMBER(outYear),IF(AI146&lt;=0,1,IF(AH146&gt;0,0,IF(-AH146/AI145&gt;0,-AH146/AI145,0))),"")</f>
        <v/>
      </c>
      <c r="AJ147" s="187" t="str">
        <f t="shared" si="421"/>
        <v/>
      </c>
      <c r="AK147" s="187" t="str">
        <f t="shared" si="421"/>
        <v/>
      </c>
      <c r="AL147" s="187" t="str">
        <f t="shared" si="421"/>
        <v/>
      </c>
      <c r="AM147" s="187" t="str">
        <f t="shared" si="421"/>
        <v/>
      </c>
      <c r="AN147" s="187" t="str">
        <f t="shared" si="421"/>
        <v/>
      </c>
      <c r="AO147" s="187" t="str">
        <f t="shared" si="421"/>
        <v/>
      </c>
      <c r="AP147" s="187" t="str">
        <f t="shared" si="421"/>
        <v/>
      </c>
      <c r="AQ147" s="187" t="str">
        <f t="shared" si="421"/>
        <v/>
      </c>
      <c r="AR147" s="187" t="str">
        <f t="shared" si="421"/>
        <v/>
      </c>
      <c r="AS147" s="187" t="str">
        <f t="shared" si="421"/>
        <v/>
      </c>
      <c r="AT147" s="187" t="str">
        <f t="shared" si="421"/>
        <v/>
      </c>
      <c r="AU147" s="187" t="str">
        <f t="shared" si="421"/>
        <v/>
      </c>
      <c r="AV147" s="187" t="str">
        <f t="shared" si="421"/>
        <v/>
      </c>
      <c r="AW147" s="187" t="str">
        <f t="shared" si="421"/>
        <v/>
      </c>
      <c r="AX147" s="187" t="str">
        <f t="shared" si="421"/>
        <v/>
      </c>
      <c r="AY147" s="187" t="str">
        <f t="shared" si="421"/>
        <v/>
      </c>
      <c r="AZ147" s="187" t="str">
        <f t="shared" si="421"/>
        <v/>
      </c>
      <c r="BA147" s="187" t="str">
        <f t="shared" si="421"/>
        <v/>
      </c>
      <c r="BB147" s="187" t="str">
        <f t="shared" si="421"/>
        <v/>
      </c>
      <c r="BC147" s="187" t="str">
        <f t="shared" si="421"/>
        <v/>
      </c>
      <c r="BD147" s="187" t="str">
        <f t="shared" si="421"/>
        <v/>
      </c>
      <c r="BE147" s="187" t="str">
        <f t="shared" si="421"/>
        <v/>
      </c>
      <c r="BF147" s="187" t="str">
        <f t="shared" si="421"/>
        <v/>
      </c>
      <c r="BG147" s="187" t="str">
        <f t="shared" si="421"/>
        <v/>
      </c>
      <c r="BH147" s="187" t="str">
        <f t="shared" si="421"/>
        <v/>
      </c>
      <c r="BI147" s="187" t="str">
        <f t="shared" si="421"/>
        <v/>
      </c>
      <c r="BJ147" s="187" t="str">
        <f t="shared" si="421"/>
        <v/>
      </c>
      <c r="BK147" s="187" t="str">
        <f t="shared" si="421"/>
        <v/>
      </c>
      <c r="BL147" s="187" t="str">
        <f t="shared" si="421"/>
        <v/>
      </c>
      <c r="BM147" s="187" t="str">
        <f t="shared" si="421"/>
        <v/>
      </c>
      <c r="BN147" s="187" t="str">
        <f t="shared" si="421"/>
        <v/>
      </c>
      <c r="BO147" s="187" t="str">
        <f t="shared" ref="BO147:CT147" si="422">IF(ISNUMBER(outYear),IF(BO146&lt;=0,1,IF(BN146&gt;0,0,IF(-BN146/BO145&gt;0,-BN146/BO145,0))),"")</f>
        <v/>
      </c>
      <c r="BP147" s="187" t="str">
        <f t="shared" si="422"/>
        <v/>
      </c>
      <c r="BQ147" s="187" t="str">
        <f t="shared" si="422"/>
        <v/>
      </c>
      <c r="BR147" s="187" t="str">
        <f t="shared" si="422"/>
        <v/>
      </c>
      <c r="BS147" s="187" t="str">
        <f t="shared" si="422"/>
        <v/>
      </c>
      <c r="BT147" s="187" t="str">
        <f t="shared" si="422"/>
        <v/>
      </c>
      <c r="BU147" s="187" t="str">
        <f t="shared" si="422"/>
        <v/>
      </c>
      <c r="BV147" s="187" t="str">
        <f t="shared" si="422"/>
        <v/>
      </c>
      <c r="BW147" s="187" t="str">
        <f t="shared" si="422"/>
        <v/>
      </c>
      <c r="BX147" s="187" t="str">
        <f t="shared" si="422"/>
        <v/>
      </c>
      <c r="BY147" s="187" t="str">
        <f t="shared" si="422"/>
        <v/>
      </c>
      <c r="BZ147" s="187" t="str">
        <f t="shared" si="422"/>
        <v/>
      </c>
      <c r="CA147" s="187" t="str">
        <f t="shared" si="422"/>
        <v/>
      </c>
      <c r="CB147" s="187" t="str">
        <f t="shared" si="422"/>
        <v/>
      </c>
      <c r="CC147" s="187" t="str">
        <f t="shared" si="422"/>
        <v/>
      </c>
      <c r="CD147" s="187" t="str">
        <f t="shared" si="422"/>
        <v/>
      </c>
      <c r="CE147" s="187" t="str">
        <f t="shared" si="422"/>
        <v/>
      </c>
      <c r="CF147" s="187" t="str">
        <f t="shared" si="422"/>
        <v/>
      </c>
      <c r="CG147" s="187" t="str">
        <f t="shared" si="422"/>
        <v/>
      </c>
      <c r="CH147" s="187" t="str">
        <f t="shared" si="422"/>
        <v/>
      </c>
      <c r="CI147" s="187" t="str">
        <f t="shared" si="422"/>
        <v/>
      </c>
      <c r="CJ147" s="187" t="str">
        <f t="shared" si="422"/>
        <v/>
      </c>
      <c r="CK147" s="187" t="str">
        <f t="shared" si="422"/>
        <v/>
      </c>
      <c r="CL147" s="187" t="str">
        <f t="shared" si="422"/>
        <v/>
      </c>
      <c r="CM147" s="187" t="str">
        <f t="shared" si="422"/>
        <v/>
      </c>
      <c r="CN147" s="187" t="str">
        <f t="shared" si="422"/>
        <v/>
      </c>
      <c r="CO147" s="187" t="str">
        <f t="shared" si="422"/>
        <v/>
      </c>
      <c r="CP147" s="187" t="str">
        <f t="shared" si="422"/>
        <v/>
      </c>
      <c r="CQ147" s="187" t="str">
        <f t="shared" si="422"/>
        <v/>
      </c>
      <c r="CR147" s="187" t="str">
        <f t="shared" si="422"/>
        <v/>
      </c>
      <c r="CS147" s="187" t="str">
        <f t="shared" si="422"/>
        <v/>
      </c>
      <c r="CT147" s="187" t="str">
        <f t="shared" si="422"/>
        <v/>
      </c>
      <c r="CU147" s="187" t="str">
        <f t="shared" ref="CU147:CX147" si="423">IF(ISNUMBER(outYear),IF(CU146&lt;=0,1,IF(CT146&gt;0,0,IF(-CT146/CU145&gt;0,-CT146/CU145,0))),"")</f>
        <v/>
      </c>
      <c r="CV147" s="187" t="str">
        <f t="shared" si="423"/>
        <v/>
      </c>
      <c r="CW147" s="187" t="str">
        <f t="shared" si="423"/>
        <v/>
      </c>
      <c r="CX147" s="187" t="str">
        <f t="shared" si="423"/>
        <v/>
      </c>
    </row>
    <row r="148" spans="1:102" x14ac:dyDescent="0.25">
      <c r="A148" s="191" t="s">
        <v>195</v>
      </c>
      <c r="C148" s="190" t="str">
        <f>IF(ISNUMBER(outYear),SUM(C147:CX147),"")</f>
        <v/>
      </c>
    </row>
    <row r="150" spans="1:102" s="181" customFormat="1" ht="13.8" x14ac:dyDescent="0.3">
      <c r="A150" s="288" t="s">
        <v>312</v>
      </c>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c r="AA150" s="289"/>
      <c r="AB150" s="289"/>
      <c r="AC150" s="289"/>
      <c r="AD150" s="289"/>
      <c r="AE150" s="289"/>
      <c r="AF150" s="289"/>
      <c r="AG150" s="289"/>
      <c r="AH150" s="289"/>
      <c r="AI150" s="289"/>
      <c r="AJ150" s="289"/>
      <c r="AK150" s="289"/>
      <c r="AL150" s="289"/>
      <c r="AM150" s="289"/>
      <c r="AN150" s="289"/>
      <c r="AO150" s="289"/>
      <c r="AP150" s="289"/>
    </row>
    <row r="151" spans="1:102" s="181" customFormat="1" ht="13.8" x14ac:dyDescent="0.3">
      <c r="A151" s="206" t="s">
        <v>266</v>
      </c>
    </row>
    <row r="152" spans="1:102" s="181" customFormat="1" ht="13.8" x14ac:dyDescent="0.3">
      <c r="A152" s="208" t="s">
        <v>267</v>
      </c>
      <c r="B152" s="290">
        <f>total_installed_cost</f>
        <v>0</v>
      </c>
    </row>
    <row r="153" spans="1:102" s="181" customFormat="1" ht="13.8" x14ac:dyDescent="0.3">
      <c r="A153" s="208" t="s">
        <v>268</v>
      </c>
      <c r="B153" s="290">
        <v>0</v>
      </c>
    </row>
    <row r="154" spans="1:102" s="181" customFormat="1" ht="13.8" x14ac:dyDescent="0.3">
      <c r="A154" s="208" t="s">
        <v>269</v>
      </c>
      <c r="B154" s="291">
        <v>0</v>
      </c>
    </row>
    <row r="155" spans="1:102" s="181" customFormat="1" ht="13.8" x14ac:dyDescent="0.3">
      <c r="A155" s="207" t="s">
        <v>270</v>
      </c>
      <c r="B155" s="290">
        <f>SUM(B152:B154)</f>
        <v>0</v>
      </c>
    </row>
    <row r="156" spans="1:102" s="181" customFormat="1" ht="13.8" x14ac:dyDescent="0.3">
      <c r="A156" s="207" t="s">
        <v>271</v>
      </c>
      <c r="B156" s="290">
        <f>B155</f>
        <v>0</v>
      </c>
    </row>
    <row r="157" spans="1:102" s="181" customFormat="1" ht="13.8" x14ac:dyDescent="0.3">
      <c r="A157" s="208"/>
      <c r="B157" s="290"/>
    </row>
    <row r="158" spans="1:102" s="181" customFormat="1" ht="13.8" x14ac:dyDescent="0.3">
      <c r="A158" s="206" t="s">
        <v>272</v>
      </c>
    </row>
    <row r="159" spans="1:102" s="181" customFormat="1" ht="15" customHeight="1" x14ac:dyDescent="0.3">
      <c r="A159" s="292" t="s">
        <v>273</v>
      </c>
      <c r="B159" s="346" t="s">
        <v>274</v>
      </c>
      <c r="C159" s="347"/>
      <c r="D159" s="346" t="s">
        <v>275</v>
      </c>
      <c r="E159" s="347"/>
      <c r="F159" s="348"/>
      <c r="G159" s="346" t="s">
        <v>276</v>
      </c>
      <c r="H159" s="347"/>
      <c r="I159" s="347"/>
      <c r="J159" s="348"/>
      <c r="K159" s="349" t="s">
        <v>277</v>
      </c>
      <c r="L159" s="350"/>
      <c r="M159" s="351" t="s">
        <v>278</v>
      </c>
      <c r="N159" s="352"/>
      <c r="O159" s="353"/>
      <c r="P159" s="293" t="s">
        <v>279</v>
      </c>
      <c r="Q159" s="344" t="s">
        <v>273</v>
      </c>
    </row>
    <row r="160" spans="1:102" s="181" customFormat="1" ht="41.4" x14ac:dyDescent="0.3">
      <c r="A160" s="294" t="s">
        <v>280</v>
      </c>
      <c r="B160" s="295" t="s">
        <v>281</v>
      </c>
      <c r="C160" s="296" t="s">
        <v>282</v>
      </c>
      <c r="D160" s="295" t="s">
        <v>283</v>
      </c>
      <c r="E160" s="296" t="s">
        <v>284</v>
      </c>
      <c r="F160" s="296" t="s">
        <v>285</v>
      </c>
      <c r="G160" s="295" t="s">
        <v>286</v>
      </c>
      <c r="H160" s="296" t="s">
        <v>287</v>
      </c>
      <c r="I160" s="296" t="s">
        <v>288</v>
      </c>
      <c r="J160" s="296" t="s">
        <v>289</v>
      </c>
      <c r="K160" s="295" t="s">
        <v>290</v>
      </c>
      <c r="L160" s="296" t="s">
        <v>291</v>
      </c>
      <c r="M160" s="297" t="s">
        <v>292</v>
      </c>
      <c r="N160" s="298" t="s">
        <v>293</v>
      </c>
      <c r="O160" s="298" t="s">
        <v>294</v>
      </c>
      <c r="P160" s="299" t="s">
        <v>295</v>
      </c>
      <c r="Q160" s="345"/>
    </row>
    <row r="161" spans="1:17" s="181" customFormat="1" ht="13.8" x14ac:dyDescent="0.3">
      <c r="A161" s="300" t="str">
        <f>'Inputs and Outputs'!A92</f>
        <v>5-yr MACRS</v>
      </c>
      <c r="B161" s="301">
        <f>IF('Inputs and Outputs'!B$100=0,0,depr_alloc_macrs_5_percent*100/'Inputs and Outputs'!B$100)</f>
        <v>0</v>
      </c>
      <c r="C161" s="302">
        <f>B$155*depr_alloc_macrs_5_percent/100</f>
        <v>0</v>
      </c>
      <c r="D161" s="303">
        <f>$B161/100*(B$179+B$185)</f>
        <v>0</v>
      </c>
      <c r="E161" s="302">
        <f>$B161/100*B$191</f>
        <v>0</v>
      </c>
      <c r="F161" s="304">
        <f>C161-D161-E161</f>
        <v>0</v>
      </c>
      <c r="G161" s="302">
        <f>IF(depr_itc_sta_macrs_5="Yes",F161,0)</f>
        <v>0</v>
      </c>
      <c r="H161" s="305">
        <f>IF(G$168=0,0,G161/G$168)*100</f>
        <v>0</v>
      </c>
      <c r="I161" s="302">
        <f t="shared" ref="I161:I167" si="424">SUM($C$375:$AP$375)*H161/100</f>
        <v>0</v>
      </c>
      <c r="J161" s="304">
        <f>I161*0.5</f>
        <v>0</v>
      </c>
      <c r="K161" s="303">
        <f>H161/100*K$168</f>
        <v>0</v>
      </c>
      <c r="L161" s="302">
        <f>K161*0.5</f>
        <v>0</v>
      </c>
      <c r="M161" s="306">
        <f>IF(itc_sta_amount_deprbas_sta="Yes",L161,0)+IF(itc_sta_percent_deprbas_sta="Yes",J161,0)</f>
        <v>0</v>
      </c>
      <c r="N161" s="307">
        <f t="shared" ref="N161:N166" si="425">IF(itc_fed_amount_deprbas_sta="Yes",L218,0)+IF(itc_fed_percent_deprbas_sta="Yes",J218,0)</f>
        <v>0</v>
      </c>
      <c r="O161" s="307">
        <f>F161-M161-N161</f>
        <v>0</v>
      </c>
      <c r="P161" s="308">
        <v>0</v>
      </c>
      <c r="Q161" s="309">
        <f>O161-P161</f>
        <v>0</v>
      </c>
    </row>
    <row r="162" spans="1:17" s="181" customFormat="1" ht="13.8" x14ac:dyDescent="0.3">
      <c r="A162" s="300" t="str">
        <f>'Inputs and Outputs'!A93</f>
        <v>15-yr MACRS</v>
      </c>
      <c r="B162" s="301">
        <f>IF('Inputs and Outputs'!B$100=0,0,depr_alloc_macrs_15_percent*100/'Inputs and Outputs'!B$100)</f>
        <v>0</v>
      </c>
      <c r="C162" s="302">
        <f>B$155*depr_alloc_macrs_15_percent/100</f>
        <v>0</v>
      </c>
      <c r="D162" s="303">
        <f t="shared" ref="D162:D167" si="426">$B162/100*(B$179+B$185)</f>
        <v>0</v>
      </c>
      <c r="E162" s="302">
        <f t="shared" ref="E162:E167" si="427">$B162/100*B$191</f>
        <v>0</v>
      </c>
      <c r="F162" s="304">
        <f t="shared" ref="F162:F166" si="428">C162-D162-E162</f>
        <v>0</v>
      </c>
      <c r="G162" s="302">
        <f>IF(depr_itc_sta_macrs_15="Yes",F162,0)</f>
        <v>0</v>
      </c>
      <c r="H162" s="305">
        <f t="shared" ref="H162:H167" si="429">IF(G$168=0,0,G162/G$168)*100</f>
        <v>0</v>
      </c>
      <c r="I162" s="302">
        <f t="shared" si="424"/>
        <v>0</v>
      </c>
      <c r="J162" s="304">
        <f t="shared" ref="J162:J167" si="430">I162*0.5</f>
        <v>0</v>
      </c>
      <c r="K162" s="303">
        <f t="shared" ref="K162:K167" si="431">H162/100*K$168</f>
        <v>0</v>
      </c>
      <c r="L162" s="302">
        <f t="shared" ref="L162:L167" si="432">K162*0.5</f>
        <v>0</v>
      </c>
      <c r="M162" s="303">
        <f t="shared" ref="M162:M165" si="433">IF(itc_sta_amount_deprbas_sta="Yes",L162,0)+IF(itc_sta_percent_deprbas_sta="Yes",J162,0)</f>
        <v>0</v>
      </c>
      <c r="N162" s="302">
        <f t="shared" si="425"/>
        <v>0</v>
      </c>
      <c r="O162" s="302">
        <f t="shared" ref="O162:O165" si="434">F162-M162-N162</f>
        <v>0</v>
      </c>
      <c r="P162" s="310">
        <v>0</v>
      </c>
      <c r="Q162" s="304">
        <f t="shared" ref="Q162:Q165" si="435">O162-P162</f>
        <v>0</v>
      </c>
    </row>
    <row r="163" spans="1:17" s="181" customFormat="1" ht="13.8" x14ac:dyDescent="0.3">
      <c r="A163" s="300" t="str">
        <f>'Inputs and Outputs'!A94</f>
        <v>5-yr SL</v>
      </c>
      <c r="B163" s="301">
        <f>IF('Inputs and Outputs'!B$100=0,0,depr_alloc_sl_5_percent*100/'Inputs and Outputs'!B$100)</f>
        <v>0</v>
      </c>
      <c r="C163" s="302">
        <f>B$155*depr_alloc_sl_5_percent/100</f>
        <v>0</v>
      </c>
      <c r="D163" s="303">
        <f t="shared" si="426"/>
        <v>0</v>
      </c>
      <c r="E163" s="302">
        <f t="shared" si="427"/>
        <v>0</v>
      </c>
      <c r="F163" s="304">
        <f t="shared" si="428"/>
        <v>0</v>
      </c>
      <c r="G163" s="302">
        <f>IF(depr_itc_sta_sl_5="Yes",F163,0)</f>
        <v>0</v>
      </c>
      <c r="H163" s="305">
        <f t="shared" si="429"/>
        <v>0</v>
      </c>
      <c r="I163" s="302">
        <f t="shared" si="424"/>
        <v>0</v>
      </c>
      <c r="J163" s="304">
        <f t="shared" si="430"/>
        <v>0</v>
      </c>
      <c r="K163" s="303">
        <f t="shared" si="431"/>
        <v>0</v>
      </c>
      <c r="L163" s="302">
        <f t="shared" si="432"/>
        <v>0</v>
      </c>
      <c r="M163" s="303">
        <f t="shared" si="433"/>
        <v>0</v>
      </c>
      <c r="N163" s="302">
        <f t="shared" si="425"/>
        <v>0</v>
      </c>
      <c r="O163" s="302">
        <f t="shared" si="434"/>
        <v>0</v>
      </c>
      <c r="P163" s="310">
        <v>0</v>
      </c>
      <c r="Q163" s="304">
        <f t="shared" si="435"/>
        <v>0</v>
      </c>
    </row>
    <row r="164" spans="1:17" s="181" customFormat="1" ht="13.8" x14ac:dyDescent="0.3">
      <c r="A164" s="300" t="str">
        <f>'Inputs and Outputs'!A95</f>
        <v>15-yr SL</v>
      </c>
      <c r="B164" s="301">
        <f>IF('Inputs and Outputs'!B$100=0,0,depr_alloc_sl_15_percent*100/'Inputs and Outputs'!B$100)</f>
        <v>0</v>
      </c>
      <c r="C164" s="302">
        <f>B$155*depr_alloc_sl_15_percent/100</f>
        <v>0</v>
      </c>
      <c r="D164" s="303">
        <f t="shared" si="426"/>
        <v>0</v>
      </c>
      <c r="E164" s="302">
        <f t="shared" si="427"/>
        <v>0</v>
      </c>
      <c r="F164" s="304">
        <f t="shared" si="428"/>
        <v>0</v>
      </c>
      <c r="G164" s="302">
        <f>IF(depr_itc_sta_sl_15="Yes",F164,0)</f>
        <v>0</v>
      </c>
      <c r="H164" s="305">
        <f t="shared" si="429"/>
        <v>0</v>
      </c>
      <c r="I164" s="302">
        <f t="shared" si="424"/>
        <v>0</v>
      </c>
      <c r="J164" s="304">
        <f t="shared" si="430"/>
        <v>0</v>
      </c>
      <c r="K164" s="303">
        <f t="shared" si="431"/>
        <v>0</v>
      </c>
      <c r="L164" s="302">
        <f t="shared" si="432"/>
        <v>0</v>
      </c>
      <c r="M164" s="303">
        <f t="shared" si="433"/>
        <v>0</v>
      </c>
      <c r="N164" s="302">
        <f t="shared" si="425"/>
        <v>0</v>
      </c>
      <c r="O164" s="302">
        <f t="shared" si="434"/>
        <v>0</v>
      </c>
      <c r="P164" s="310">
        <v>0</v>
      </c>
      <c r="Q164" s="304">
        <f t="shared" si="435"/>
        <v>0</v>
      </c>
    </row>
    <row r="165" spans="1:17" s="181" customFormat="1" ht="13.8" x14ac:dyDescent="0.3">
      <c r="A165" s="300" t="str">
        <f>'Inputs and Outputs'!A96</f>
        <v>20-yr SL</v>
      </c>
      <c r="B165" s="301">
        <f>IF('Inputs and Outputs'!B$100=0,0,depr_alloc_sl_20_percent*100/'Inputs and Outputs'!B$100)</f>
        <v>0</v>
      </c>
      <c r="C165" s="302">
        <f>B$155*depr_alloc_sl_20_percent/100</f>
        <v>0</v>
      </c>
      <c r="D165" s="303">
        <f t="shared" si="426"/>
        <v>0</v>
      </c>
      <c r="E165" s="302">
        <f t="shared" si="427"/>
        <v>0</v>
      </c>
      <c r="F165" s="304">
        <f t="shared" si="428"/>
        <v>0</v>
      </c>
      <c r="G165" s="302">
        <f>IF(depr_itc_sta_sl_20="Yes",F165,0)</f>
        <v>0</v>
      </c>
      <c r="H165" s="305">
        <f t="shared" si="429"/>
        <v>0</v>
      </c>
      <c r="I165" s="302">
        <f t="shared" si="424"/>
        <v>0</v>
      </c>
      <c r="J165" s="304">
        <f t="shared" si="430"/>
        <v>0</v>
      </c>
      <c r="K165" s="303">
        <f t="shared" si="431"/>
        <v>0</v>
      </c>
      <c r="L165" s="302">
        <f t="shared" si="432"/>
        <v>0</v>
      </c>
      <c r="M165" s="303">
        <f t="shared" si="433"/>
        <v>0</v>
      </c>
      <c r="N165" s="302">
        <f t="shared" si="425"/>
        <v>0</v>
      </c>
      <c r="O165" s="302">
        <f t="shared" si="434"/>
        <v>0</v>
      </c>
      <c r="P165" s="310">
        <v>0</v>
      </c>
      <c r="Q165" s="304">
        <f t="shared" si="435"/>
        <v>0</v>
      </c>
    </row>
    <row r="166" spans="1:17" s="181" customFormat="1" ht="13.8" x14ac:dyDescent="0.3">
      <c r="A166" s="300" t="str">
        <f>'Inputs and Outputs'!A97</f>
        <v>39-yr SL</v>
      </c>
      <c r="B166" s="301">
        <f>IF('Inputs and Outputs'!B$100=0,0,depr_alloc_sl_39_percent*100/'Inputs and Outputs'!B$100)</f>
        <v>0</v>
      </c>
      <c r="C166" s="302">
        <f>B$155*depr_alloc_sl_39_percent/100</f>
        <v>0</v>
      </c>
      <c r="D166" s="303">
        <f t="shared" si="426"/>
        <v>0</v>
      </c>
      <c r="E166" s="302">
        <f t="shared" si="427"/>
        <v>0</v>
      </c>
      <c r="F166" s="304">
        <f t="shared" si="428"/>
        <v>0</v>
      </c>
      <c r="G166" s="302">
        <f>IF(depr_itc_sta_sl_39="Yes",F166,0)</f>
        <v>0</v>
      </c>
      <c r="H166" s="305">
        <f t="shared" si="429"/>
        <v>0</v>
      </c>
      <c r="I166" s="302">
        <f t="shared" si="424"/>
        <v>0</v>
      </c>
      <c r="J166" s="304">
        <f t="shared" si="430"/>
        <v>0</v>
      </c>
      <c r="K166" s="303">
        <f t="shared" si="431"/>
        <v>0</v>
      </c>
      <c r="L166" s="302">
        <f t="shared" si="432"/>
        <v>0</v>
      </c>
      <c r="M166" s="303">
        <f>IF(itc_sta_amount_deprbas_sta="Yes",L166,0)+IF(itc_sta_percent_deprbas_sta="Yes",J166,0)</f>
        <v>0</v>
      </c>
      <c r="N166" s="302">
        <f t="shared" si="425"/>
        <v>0</v>
      </c>
      <c r="O166" s="302">
        <f>F166-M166-N166</f>
        <v>0</v>
      </c>
      <c r="P166" s="310">
        <v>0</v>
      </c>
      <c r="Q166" s="304">
        <f>O166-P166</f>
        <v>0</v>
      </c>
    </row>
    <row r="167" spans="1:17" s="181" customFormat="1" ht="13.8" x14ac:dyDescent="0.3">
      <c r="A167" s="300" t="str">
        <f>'Inputs and Outputs'!A98</f>
        <v>Custom</v>
      </c>
      <c r="B167" s="301">
        <f>IF('Inputs and Outputs'!B$100=0,0,depr_alloc_custom_percent*100/'Inputs and Outputs'!B$100)</f>
        <v>0</v>
      </c>
      <c r="C167" s="302">
        <f>B$155*depr_alloc_custom_percent/100</f>
        <v>0</v>
      </c>
      <c r="D167" s="303">
        <f t="shared" si="426"/>
        <v>0</v>
      </c>
      <c r="E167" s="302">
        <f t="shared" si="427"/>
        <v>0</v>
      </c>
      <c r="F167" s="304">
        <f>C167-D167-E167</f>
        <v>0</v>
      </c>
      <c r="G167" s="302">
        <f>IF(depr_itc_sta_custom="Yes",F167,0)</f>
        <v>0</v>
      </c>
      <c r="H167" s="305">
        <f t="shared" si="429"/>
        <v>0</v>
      </c>
      <c r="I167" s="302">
        <f t="shared" si="424"/>
        <v>0</v>
      </c>
      <c r="J167" s="304">
        <f t="shared" si="430"/>
        <v>0</v>
      </c>
      <c r="K167" s="303">
        <f t="shared" si="431"/>
        <v>0</v>
      </c>
      <c r="L167" s="302">
        <f t="shared" si="432"/>
        <v>0</v>
      </c>
      <c r="M167" s="303">
        <f>IF(itc_sta_amount_deprbas_sta="Yes",L167,0)+IF(itc_sta_percent_deprbas_sta="Yes",J167,0)</f>
        <v>0</v>
      </c>
      <c r="N167" s="302">
        <f>IF(itc_fed_amount_deprbas_sta="Yes",L224,0)+IF(itc_fed_percent_deprbas_sta="Yes",J224,0)</f>
        <v>0</v>
      </c>
      <c r="O167" s="302">
        <f>F167-M167-N167</f>
        <v>0</v>
      </c>
      <c r="P167" s="310">
        <v>0</v>
      </c>
      <c r="Q167" s="304">
        <f>O167-P167</f>
        <v>0</v>
      </c>
    </row>
    <row r="168" spans="1:17" s="181" customFormat="1" ht="13.8" x14ac:dyDescent="0.3">
      <c r="A168" s="311" t="s">
        <v>60</v>
      </c>
      <c r="B168" s="312">
        <f t="shared" ref="B168:J168" si="436">SUM(B161:B167)</f>
        <v>0</v>
      </c>
      <c r="C168" s="313">
        <f t="shared" si="436"/>
        <v>0</v>
      </c>
      <c r="D168" s="314">
        <f t="shared" si="436"/>
        <v>0</v>
      </c>
      <c r="E168" s="313">
        <f t="shared" si="436"/>
        <v>0</v>
      </c>
      <c r="F168" s="315">
        <f t="shared" si="436"/>
        <v>0</v>
      </c>
      <c r="G168" s="313">
        <f t="shared" si="436"/>
        <v>0</v>
      </c>
      <c r="H168" s="316">
        <f t="shared" si="436"/>
        <v>0</v>
      </c>
      <c r="I168" s="316">
        <f>SUM(C90:CX90)</f>
        <v>0</v>
      </c>
      <c r="J168" s="313">
        <f t="shared" si="436"/>
        <v>0</v>
      </c>
      <c r="K168" s="314">
        <f>SUM(C275:AP275)</f>
        <v>0</v>
      </c>
      <c r="L168" s="313">
        <f t="shared" ref="L168:Q168" si="437">SUM(L161:L167)</f>
        <v>0</v>
      </c>
      <c r="M168" s="314">
        <f t="shared" si="437"/>
        <v>0</v>
      </c>
      <c r="N168" s="313">
        <f t="shared" si="437"/>
        <v>0</v>
      </c>
      <c r="O168" s="313">
        <f t="shared" si="437"/>
        <v>0</v>
      </c>
      <c r="P168" s="317">
        <f t="shared" si="437"/>
        <v>0</v>
      </c>
      <c r="Q168" s="315">
        <f t="shared" si="437"/>
        <v>0</v>
      </c>
    </row>
    <row r="169" spans="1:17" s="181" customFormat="1" ht="13.8" x14ac:dyDescent="0.3">
      <c r="A169" s="209"/>
      <c r="B169" s="301"/>
      <c r="C169" s="302"/>
      <c r="D169" s="302"/>
      <c r="E169" s="302"/>
      <c r="F169" s="302"/>
      <c r="G169" s="302"/>
      <c r="H169" s="305"/>
      <c r="I169" s="302"/>
      <c r="J169" s="302"/>
      <c r="K169" s="302"/>
      <c r="L169" s="302"/>
      <c r="M169" s="302"/>
      <c r="N169" s="302"/>
      <c r="O169" s="302"/>
      <c r="P169" s="302"/>
      <c r="Q169" s="302"/>
    </row>
    <row r="170" spans="1:17" s="181" customFormat="1" ht="13.8" x14ac:dyDescent="0.3">
      <c r="A170" s="207" t="s">
        <v>296</v>
      </c>
      <c r="B170" s="318">
        <f>G168</f>
        <v>0</v>
      </c>
      <c r="C170" s="302"/>
      <c r="D170" s="302"/>
      <c r="E170" s="302"/>
      <c r="F170" s="302"/>
      <c r="G170" s="302"/>
      <c r="H170" s="305"/>
      <c r="I170" s="302"/>
      <c r="J170" s="302"/>
      <c r="K170" s="302"/>
      <c r="L170" s="302"/>
      <c r="M170" s="302"/>
      <c r="N170" s="302"/>
      <c r="O170" s="302"/>
      <c r="P170" s="302"/>
      <c r="Q170" s="302"/>
    </row>
    <row r="171" spans="1:17" s="181" customFormat="1" ht="13.8" x14ac:dyDescent="0.3"/>
    <row r="172" spans="1:17" s="181" customFormat="1" ht="13.8" x14ac:dyDescent="0.3">
      <c r="A172" s="181" t="s">
        <v>297</v>
      </c>
    </row>
    <row r="173" spans="1:17" s="181" customFormat="1" ht="13.8" x14ac:dyDescent="0.3">
      <c r="A173" s="208">
        <f t="shared" ref="A173:A184" si="438">A300</f>
        <v>0</v>
      </c>
    </row>
    <row r="174" spans="1:17" s="181" customFormat="1" ht="13.8" x14ac:dyDescent="0.3">
      <c r="A174" s="209">
        <f t="shared" si="438"/>
        <v>0</v>
      </c>
    </row>
    <row r="175" spans="1:17" s="181" customFormat="1" ht="13.8" x14ac:dyDescent="0.3">
      <c r="A175" s="319">
        <f t="shared" si="438"/>
        <v>0</v>
      </c>
      <c r="B175" s="290">
        <f>IF(ibi_fed_amount_deprbas_sta="Yes",ibi_fed_amount,0)</f>
        <v>0</v>
      </c>
    </row>
    <row r="176" spans="1:17" s="181" customFormat="1" ht="13.8" x14ac:dyDescent="0.3">
      <c r="A176" s="319">
        <f t="shared" si="438"/>
        <v>0</v>
      </c>
      <c r="B176" s="290">
        <f>IF(ibi_sta_amount_deprbas_sta="Yes",ibi_sta_amount,0)</f>
        <v>0</v>
      </c>
    </row>
    <row r="177" spans="1:2" s="181" customFormat="1" ht="13.8" x14ac:dyDescent="0.3">
      <c r="A177" s="319">
        <f t="shared" si="438"/>
        <v>0</v>
      </c>
      <c r="B177" s="290">
        <f>IF(ibi_uti_amount_deprbas_sta="Yes",ibi_uti_amount,0)</f>
        <v>0</v>
      </c>
    </row>
    <row r="178" spans="1:2" s="181" customFormat="1" ht="13.8" x14ac:dyDescent="0.3">
      <c r="A178" s="319">
        <f t="shared" si="438"/>
        <v>0</v>
      </c>
      <c r="B178" s="291">
        <f>IF(ibi_oth_amount_deprbas_sta="Yes",ibi_oth_amount,0)</f>
        <v>0</v>
      </c>
    </row>
    <row r="179" spans="1:2" s="181" customFormat="1" ht="13.8" x14ac:dyDescent="0.3">
      <c r="A179" s="319" t="s">
        <v>298</v>
      </c>
      <c r="B179" s="290">
        <f>SUM(B175:B178)</f>
        <v>0</v>
      </c>
    </row>
    <row r="180" spans="1:2" s="181" customFormat="1" ht="13.8" x14ac:dyDescent="0.3">
      <c r="A180" s="209">
        <f t="shared" si="438"/>
        <v>0</v>
      </c>
    </row>
    <row r="181" spans="1:2" s="181" customFormat="1" ht="13.8" x14ac:dyDescent="0.3">
      <c r="A181" s="319">
        <f t="shared" si="438"/>
        <v>0</v>
      </c>
      <c r="B181" s="290">
        <f>IF(ibi_fed_percent_deprbas_sta="Yes",C308,0)</f>
        <v>0</v>
      </c>
    </row>
    <row r="182" spans="1:2" s="181" customFormat="1" ht="13.8" x14ac:dyDescent="0.3">
      <c r="A182" s="319">
        <f t="shared" si="438"/>
        <v>0</v>
      </c>
      <c r="B182" s="290">
        <f>IF(ibi_sta_percent_deprbas_sta="Yes",C309,0)</f>
        <v>0</v>
      </c>
    </row>
    <row r="183" spans="1:2" s="181" customFormat="1" ht="13.8" x14ac:dyDescent="0.3">
      <c r="A183" s="319">
        <f t="shared" si="438"/>
        <v>0</v>
      </c>
      <c r="B183" s="290">
        <f>IF(ibi_uti_percent_deprbas_sta="Yes",C310,0)</f>
        <v>0</v>
      </c>
    </row>
    <row r="184" spans="1:2" s="181" customFormat="1" ht="13.8" x14ac:dyDescent="0.3">
      <c r="A184" s="319">
        <f t="shared" si="438"/>
        <v>0</v>
      </c>
      <c r="B184" s="291">
        <f>IF(ibi_oth_percent_deprbas_sta="Yes",C311,0)</f>
        <v>0</v>
      </c>
    </row>
    <row r="185" spans="1:2" s="181" customFormat="1" ht="13.8" x14ac:dyDescent="0.3">
      <c r="A185" s="319" t="s">
        <v>299</v>
      </c>
      <c r="B185" s="290">
        <f>SUM(B181:B184)</f>
        <v>0</v>
      </c>
    </row>
    <row r="186" spans="1:2" s="181" customFormat="1" ht="13.8" x14ac:dyDescent="0.3">
      <c r="A186" s="208">
        <f t="shared" ref="A186:A190" si="439">A314</f>
        <v>0</v>
      </c>
    </row>
    <row r="187" spans="1:2" s="181" customFormat="1" ht="13.8" x14ac:dyDescent="0.3">
      <c r="A187" s="209">
        <f t="shared" si="439"/>
        <v>0</v>
      </c>
      <c r="B187" s="290">
        <f>IF(cbi_fed_deprbas_sta="Yes",C315,0)</f>
        <v>0</v>
      </c>
    </row>
    <row r="188" spans="1:2" s="181" customFormat="1" ht="13.8" x14ac:dyDescent="0.3">
      <c r="A188" s="209">
        <f t="shared" si="439"/>
        <v>0</v>
      </c>
      <c r="B188" s="290">
        <f>IF(cbi_sta_deprbas_sta="Yes",C316,0)</f>
        <v>0</v>
      </c>
    </row>
    <row r="189" spans="1:2" s="181" customFormat="1" ht="13.8" x14ac:dyDescent="0.3">
      <c r="A189" s="209">
        <f t="shared" si="439"/>
        <v>0</v>
      </c>
      <c r="B189" s="290">
        <f>IF(cbi_uti_deprbas_sta="Yes",C317,0)</f>
        <v>0</v>
      </c>
    </row>
    <row r="190" spans="1:2" s="181" customFormat="1" ht="13.8" x14ac:dyDescent="0.3">
      <c r="A190" s="209">
        <f t="shared" si="439"/>
        <v>0</v>
      </c>
      <c r="B190" s="290">
        <f>IF(cbi_oth_deprbas_sta="Yes",C318,0)</f>
        <v>0</v>
      </c>
    </row>
    <row r="191" spans="1:2" s="181" customFormat="1" ht="13.8" x14ac:dyDescent="0.3">
      <c r="A191" s="209" t="s">
        <v>300</v>
      </c>
      <c r="B191" s="320">
        <f>SUM(B187:B190)</f>
        <v>0</v>
      </c>
    </row>
    <row r="192" spans="1:2" s="181" customFormat="1" ht="13.8" x14ac:dyDescent="0.3"/>
    <row r="193" spans="1:42" s="181" customFormat="1" ht="13.8" x14ac:dyDescent="0.3">
      <c r="A193" s="181" t="s">
        <v>301</v>
      </c>
    </row>
    <row r="194" spans="1:42" s="181" customFormat="1" ht="13.8" x14ac:dyDescent="0.3">
      <c r="A194" s="208" t="s">
        <v>302</v>
      </c>
    </row>
    <row r="195" spans="1:42" s="181" customFormat="1" ht="13.8" x14ac:dyDescent="0.3">
      <c r="A195" s="209" t="s">
        <v>303</v>
      </c>
    </row>
    <row r="196" spans="1:42" s="181" customFormat="1" ht="13.8" x14ac:dyDescent="0.3">
      <c r="A196" s="321" t="str">
        <f t="shared" ref="A196:A201" si="440">A161</f>
        <v>5-yr MACRS</v>
      </c>
      <c r="B196" s="322" cm="1">
        <f t="array" ref="B196">SUM(IF(ISNUMBER(C196:AP196),C196:AP196))</f>
        <v>0</v>
      </c>
      <c r="C196" s="323" t="e">
        <f>LOOKUP(C$2,'Depreciation Schedules'!$A$3:$A$42,'Depreciation Schedules'!$B$3:$B$42)</f>
        <v>#N/A</v>
      </c>
      <c r="D196" s="323" t="e">
        <f>LOOKUP(D$2,'Depreciation Schedules'!$A$3:$A$42,'Depreciation Schedules'!$B$3:$B$42)</f>
        <v>#N/A</v>
      </c>
      <c r="E196" s="323" t="e">
        <f>LOOKUP(E$2,'Depreciation Schedules'!$A$3:$A$42,'Depreciation Schedules'!$B$3:$B$42)</f>
        <v>#N/A</v>
      </c>
      <c r="F196" s="323" t="e">
        <f>LOOKUP(F$2,'Depreciation Schedules'!$A$3:$A$42,'Depreciation Schedules'!$B$3:$B$42)</f>
        <v>#N/A</v>
      </c>
      <c r="G196" s="323" t="e">
        <f>LOOKUP(G$2,'Depreciation Schedules'!$A$3:$A$42,'Depreciation Schedules'!$B$3:$B$42)</f>
        <v>#N/A</v>
      </c>
      <c r="H196" s="323" t="e">
        <f>LOOKUP(H$2,'Depreciation Schedules'!$A$3:$A$42,'Depreciation Schedules'!$B$3:$B$42)</f>
        <v>#N/A</v>
      </c>
      <c r="I196" s="323" t="e">
        <f>LOOKUP(I$2,'Depreciation Schedules'!$A$3:$A$42,'Depreciation Schedules'!$B$3:$B$42)</f>
        <v>#N/A</v>
      </c>
      <c r="J196" s="323" t="e">
        <f>LOOKUP(J$2,'Depreciation Schedules'!$A$3:$A$42,'Depreciation Schedules'!$B$3:$B$42)</f>
        <v>#N/A</v>
      </c>
      <c r="K196" s="323" t="e">
        <f>LOOKUP(K$2,'Depreciation Schedules'!$A$3:$A$42,'Depreciation Schedules'!$B$3:$B$42)</f>
        <v>#N/A</v>
      </c>
      <c r="L196" s="323" t="e">
        <f>LOOKUP(L$2,'Depreciation Schedules'!$A$3:$A$42,'Depreciation Schedules'!$B$3:$B$42)</f>
        <v>#N/A</v>
      </c>
      <c r="M196" s="323" t="e">
        <f>LOOKUP(M$2,'Depreciation Schedules'!$A$3:$A$42,'Depreciation Schedules'!$B$3:$B$42)</f>
        <v>#N/A</v>
      </c>
      <c r="N196" s="323" t="e">
        <f>LOOKUP(N$2,'Depreciation Schedules'!$A$3:$A$42,'Depreciation Schedules'!$B$3:$B$42)</f>
        <v>#N/A</v>
      </c>
      <c r="O196" s="323" t="e">
        <f>LOOKUP(O$2,'Depreciation Schedules'!$A$3:$A$42,'Depreciation Schedules'!$B$3:$B$42)</f>
        <v>#N/A</v>
      </c>
      <c r="P196" s="323" t="e">
        <f>LOOKUP(P$2,'Depreciation Schedules'!$A$3:$A$42,'Depreciation Schedules'!$B$3:$B$42)</f>
        <v>#N/A</v>
      </c>
      <c r="Q196" s="323" t="e">
        <f>LOOKUP(Q$2,'Depreciation Schedules'!$A$3:$A$42,'Depreciation Schedules'!$B$3:$B$42)</f>
        <v>#N/A</v>
      </c>
      <c r="R196" s="323" t="e">
        <f>LOOKUP(R$2,'Depreciation Schedules'!$A$3:$A$42,'Depreciation Schedules'!$B$3:$B$42)</f>
        <v>#N/A</v>
      </c>
      <c r="S196" s="323" t="e">
        <f>LOOKUP(S$2,'Depreciation Schedules'!$A$3:$A$42,'Depreciation Schedules'!$B$3:$B$42)</f>
        <v>#N/A</v>
      </c>
      <c r="T196" s="323" t="e">
        <f>LOOKUP(T$2,'Depreciation Schedules'!$A$3:$A$42,'Depreciation Schedules'!$B$3:$B$42)</f>
        <v>#N/A</v>
      </c>
      <c r="U196" s="323" t="e">
        <f>LOOKUP(U$2,'Depreciation Schedules'!$A$3:$A$42,'Depreciation Schedules'!$B$3:$B$42)</f>
        <v>#N/A</v>
      </c>
      <c r="V196" s="323" t="e">
        <f>LOOKUP(V$2,'Depreciation Schedules'!$A$3:$A$42,'Depreciation Schedules'!$B$3:$B$42)</f>
        <v>#N/A</v>
      </c>
      <c r="W196" s="323" t="e">
        <f>LOOKUP(W$2,'Depreciation Schedules'!$A$3:$A$42,'Depreciation Schedules'!$B$3:$B$42)</f>
        <v>#N/A</v>
      </c>
      <c r="X196" s="323" t="e">
        <f>LOOKUP(X$2,'Depreciation Schedules'!$A$3:$A$42,'Depreciation Schedules'!$B$3:$B$42)</f>
        <v>#N/A</v>
      </c>
      <c r="Y196" s="323" t="e">
        <f>LOOKUP(Y$2,'Depreciation Schedules'!$A$3:$A$42,'Depreciation Schedules'!$B$3:$B$42)</f>
        <v>#N/A</v>
      </c>
      <c r="Z196" s="323" t="e">
        <f>LOOKUP(Z$2,'Depreciation Schedules'!$A$3:$A$42,'Depreciation Schedules'!$B$3:$B$42)</f>
        <v>#N/A</v>
      </c>
      <c r="AA196" s="323" t="e">
        <f>LOOKUP(AA$2,'Depreciation Schedules'!$A$3:$A$42,'Depreciation Schedules'!$B$3:$B$42)</f>
        <v>#N/A</v>
      </c>
      <c r="AB196" s="323" t="e">
        <f>LOOKUP(AB$2,'Depreciation Schedules'!$A$3:$A$42,'Depreciation Schedules'!$B$3:$B$42)</f>
        <v>#N/A</v>
      </c>
      <c r="AC196" s="323" t="e">
        <f>LOOKUP(AC$2,'Depreciation Schedules'!$A$3:$A$42,'Depreciation Schedules'!$B$3:$B$42)</f>
        <v>#N/A</v>
      </c>
      <c r="AD196" s="323" t="e">
        <f>LOOKUP(AD$2,'Depreciation Schedules'!$A$3:$A$42,'Depreciation Schedules'!$B$3:$B$42)</f>
        <v>#N/A</v>
      </c>
      <c r="AE196" s="323" t="e">
        <f>LOOKUP(AE$2,'Depreciation Schedules'!$A$3:$A$42,'Depreciation Schedules'!$B$3:$B$42)</f>
        <v>#N/A</v>
      </c>
      <c r="AF196" s="323" t="e">
        <f>LOOKUP(AF$2,'Depreciation Schedules'!$A$3:$A$42,'Depreciation Schedules'!$B$3:$B$42)</f>
        <v>#N/A</v>
      </c>
      <c r="AG196" s="323" t="e">
        <f>LOOKUP(AG$2,'Depreciation Schedules'!$A$3:$A$42,'Depreciation Schedules'!$B$3:$B$42)</f>
        <v>#N/A</v>
      </c>
      <c r="AH196" s="323" t="e">
        <f>LOOKUP(AH$2,'Depreciation Schedules'!$A$3:$A$42,'Depreciation Schedules'!$B$3:$B$42)</f>
        <v>#N/A</v>
      </c>
      <c r="AI196" s="323" t="e">
        <f>LOOKUP(AI$2,'Depreciation Schedules'!$A$3:$A$42,'Depreciation Schedules'!$B$3:$B$42)</f>
        <v>#N/A</v>
      </c>
      <c r="AJ196" s="323" t="e">
        <f>LOOKUP(AJ$2,'Depreciation Schedules'!$A$3:$A$42,'Depreciation Schedules'!$B$3:$B$42)</f>
        <v>#N/A</v>
      </c>
      <c r="AK196" s="323" t="e">
        <f>LOOKUP(AK$2,'Depreciation Schedules'!$A$3:$A$42,'Depreciation Schedules'!$B$3:$B$42)</f>
        <v>#N/A</v>
      </c>
      <c r="AL196" s="323" t="e">
        <f>LOOKUP(AL$2,'Depreciation Schedules'!$A$3:$A$42,'Depreciation Schedules'!$B$3:$B$42)</f>
        <v>#N/A</v>
      </c>
      <c r="AM196" s="323" t="e">
        <f>LOOKUP(AM$2,'Depreciation Schedules'!$A$3:$A$42,'Depreciation Schedules'!$B$3:$B$42)</f>
        <v>#N/A</v>
      </c>
      <c r="AN196" s="323" t="e">
        <f>LOOKUP(AN$2,'Depreciation Schedules'!$A$3:$A$42,'Depreciation Schedules'!$B$3:$B$42)</f>
        <v>#N/A</v>
      </c>
      <c r="AO196" s="323" t="e">
        <f>LOOKUP(AO$2,'Depreciation Schedules'!$A$3:$A$42,'Depreciation Schedules'!$B$3:$B$42)</f>
        <v>#N/A</v>
      </c>
      <c r="AP196" s="323" t="e">
        <f>LOOKUP(AP$2,'Depreciation Schedules'!$A$3:$A$42,'Depreciation Schedules'!$B$3:$B$42)</f>
        <v>#N/A</v>
      </c>
    </row>
    <row r="197" spans="1:42" s="181" customFormat="1" ht="13.8" x14ac:dyDescent="0.3">
      <c r="A197" s="321" t="str">
        <f t="shared" si="440"/>
        <v>15-yr MACRS</v>
      </c>
      <c r="B197" s="322" cm="1">
        <f t="array" ref="B197">SUM(IF(ISNUMBER(C197:AP197),C197:AP197))</f>
        <v>0</v>
      </c>
      <c r="C197" s="323" t="e">
        <f>LOOKUP(C$2,'Depreciation Schedules'!$A$3:$A$42,'Depreciation Schedules'!$B$3:$B$42)</f>
        <v>#N/A</v>
      </c>
      <c r="D197" s="323" t="e">
        <f>LOOKUP(D$2,'Depreciation Schedules'!$A$3:$A$42,'Depreciation Schedules'!$B$3:$B$42)</f>
        <v>#N/A</v>
      </c>
      <c r="E197" s="323" t="e">
        <f>LOOKUP(E$2,'Depreciation Schedules'!$A$3:$A$42,'Depreciation Schedules'!$B$3:$B$42)</f>
        <v>#N/A</v>
      </c>
      <c r="F197" s="323" t="e">
        <f>LOOKUP(F$2,'Depreciation Schedules'!$A$3:$A$42,'Depreciation Schedules'!$B$3:$B$42)</f>
        <v>#N/A</v>
      </c>
      <c r="G197" s="323" t="e">
        <f>LOOKUP(G$2,'Depreciation Schedules'!$A$3:$A$42,'Depreciation Schedules'!$B$3:$B$42)</f>
        <v>#N/A</v>
      </c>
      <c r="H197" s="323" t="e">
        <f>LOOKUP(H$2,'Depreciation Schedules'!$A$3:$A$42,'Depreciation Schedules'!$B$3:$B$42)</f>
        <v>#N/A</v>
      </c>
      <c r="I197" s="323" t="e">
        <f>LOOKUP(I$2,'Depreciation Schedules'!$A$3:$A$42,'Depreciation Schedules'!$B$3:$B$42)</f>
        <v>#N/A</v>
      </c>
      <c r="J197" s="323" t="e">
        <f>LOOKUP(J$2,'Depreciation Schedules'!$A$3:$A$42,'Depreciation Schedules'!$B$3:$B$42)</f>
        <v>#N/A</v>
      </c>
      <c r="K197" s="323" t="e">
        <f>LOOKUP(K$2,'Depreciation Schedules'!$A$3:$A$42,'Depreciation Schedules'!$B$3:$B$42)</f>
        <v>#N/A</v>
      </c>
      <c r="L197" s="323" t="e">
        <f>LOOKUP(L$2,'Depreciation Schedules'!$A$3:$A$42,'Depreciation Schedules'!$B$3:$B$42)</f>
        <v>#N/A</v>
      </c>
      <c r="M197" s="323" t="e">
        <f>LOOKUP(M$2,'Depreciation Schedules'!$A$3:$A$42,'Depreciation Schedules'!$B$3:$B$42)</f>
        <v>#N/A</v>
      </c>
      <c r="N197" s="323" t="e">
        <f>LOOKUP(N$2,'Depreciation Schedules'!$A$3:$A$42,'Depreciation Schedules'!$B$3:$B$42)</f>
        <v>#N/A</v>
      </c>
      <c r="O197" s="323" t="e">
        <f>LOOKUP(O$2,'Depreciation Schedules'!$A$3:$A$42,'Depreciation Schedules'!$B$3:$B$42)</f>
        <v>#N/A</v>
      </c>
      <c r="P197" s="323" t="e">
        <f>LOOKUP(P$2,'Depreciation Schedules'!$A$3:$A$42,'Depreciation Schedules'!$B$3:$B$42)</f>
        <v>#N/A</v>
      </c>
      <c r="Q197" s="323" t="e">
        <f>LOOKUP(Q$2,'Depreciation Schedules'!$A$3:$A$42,'Depreciation Schedules'!$B$3:$B$42)</f>
        <v>#N/A</v>
      </c>
      <c r="R197" s="323" t="e">
        <f>LOOKUP(R$2,'Depreciation Schedules'!$A$3:$A$42,'Depreciation Schedules'!$B$3:$B$42)</f>
        <v>#N/A</v>
      </c>
      <c r="S197" s="323" t="e">
        <f>LOOKUP(S$2,'Depreciation Schedules'!$A$3:$A$42,'Depreciation Schedules'!$B$3:$B$42)</f>
        <v>#N/A</v>
      </c>
      <c r="T197" s="323" t="e">
        <f>LOOKUP(T$2,'Depreciation Schedules'!$A$3:$A$42,'Depreciation Schedules'!$B$3:$B$42)</f>
        <v>#N/A</v>
      </c>
      <c r="U197" s="323" t="e">
        <f>LOOKUP(U$2,'Depreciation Schedules'!$A$3:$A$42,'Depreciation Schedules'!$B$3:$B$42)</f>
        <v>#N/A</v>
      </c>
      <c r="V197" s="323" t="e">
        <f>LOOKUP(V$2,'Depreciation Schedules'!$A$3:$A$42,'Depreciation Schedules'!$B$3:$B$42)</f>
        <v>#N/A</v>
      </c>
      <c r="W197" s="323" t="e">
        <f>LOOKUP(W$2,'Depreciation Schedules'!$A$3:$A$42,'Depreciation Schedules'!$B$3:$B$42)</f>
        <v>#N/A</v>
      </c>
      <c r="X197" s="323" t="e">
        <f>LOOKUP(X$2,'Depreciation Schedules'!$A$3:$A$42,'Depreciation Schedules'!$B$3:$B$42)</f>
        <v>#N/A</v>
      </c>
      <c r="Y197" s="323" t="e">
        <f>LOOKUP(Y$2,'Depreciation Schedules'!$A$3:$A$42,'Depreciation Schedules'!$B$3:$B$42)</f>
        <v>#N/A</v>
      </c>
      <c r="Z197" s="323" t="e">
        <f>LOOKUP(Z$2,'Depreciation Schedules'!$A$3:$A$42,'Depreciation Schedules'!$B$3:$B$42)</f>
        <v>#N/A</v>
      </c>
      <c r="AA197" s="323" t="e">
        <f>LOOKUP(AA$2,'Depreciation Schedules'!$A$3:$A$42,'Depreciation Schedules'!$B$3:$B$42)</f>
        <v>#N/A</v>
      </c>
      <c r="AB197" s="323" t="e">
        <f>LOOKUP(AB$2,'Depreciation Schedules'!$A$3:$A$42,'Depreciation Schedules'!$B$3:$B$42)</f>
        <v>#N/A</v>
      </c>
      <c r="AC197" s="323" t="e">
        <f>LOOKUP(AC$2,'Depreciation Schedules'!$A$3:$A$42,'Depreciation Schedules'!$B$3:$B$42)</f>
        <v>#N/A</v>
      </c>
      <c r="AD197" s="323" t="e">
        <f>LOOKUP(AD$2,'Depreciation Schedules'!$A$3:$A$42,'Depreciation Schedules'!$B$3:$B$42)</f>
        <v>#N/A</v>
      </c>
      <c r="AE197" s="323" t="e">
        <f>LOOKUP(AE$2,'Depreciation Schedules'!$A$3:$A$42,'Depreciation Schedules'!$B$3:$B$42)</f>
        <v>#N/A</v>
      </c>
      <c r="AF197" s="323" t="e">
        <f>LOOKUP(AF$2,'Depreciation Schedules'!$A$3:$A$42,'Depreciation Schedules'!$B$3:$B$42)</f>
        <v>#N/A</v>
      </c>
      <c r="AG197" s="323" t="e">
        <f>LOOKUP(AG$2,'Depreciation Schedules'!$A$3:$A$42,'Depreciation Schedules'!$B$3:$B$42)</f>
        <v>#N/A</v>
      </c>
      <c r="AH197" s="323" t="e">
        <f>LOOKUP(AH$2,'Depreciation Schedules'!$A$3:$A$42,'Depreciation Schedules'!$B$3:$B$42)</f>
        <v>#N/A</v>
      </c>
      <c r="AI197" s="323" t="e">
        <f>LOOKUP(AI$2,'Depreciation Schedules'!$A$3:$A$42,'Depreciation Schedules'!$B$3:$B$42)</f>
        <v>#N/A</v>
      </c>
      <c r="AJ197" s="323" t="e">
        <f>LOOKUP(AJ$2,'Depreciation Schedules'!$A$3:$A$42,'Depreciation Schedules'!$B$3:$B$42)</f>
        <v>#N/A</v>
      </c>
      <c r="AK197" s="323" t="e">
        <f>LOOKUP(AK$2,'Depreciation Schedules'!$A$3:$A$42,'Depreciation Schedules'!$B$3:$B$42)</f>
        <v>#N/A</v>
      </c>
      <c r="AL197" s="323" t="e">
        <f>LOOKUP(AL$2,'Depreciation Schedules'!$A$3:$A$42,'Depreciation Schedules'!$B$3:$B$42)</f>
        <v>#N/A</v>
      </c>
      <c r="AM197" s="323" t="e">
        <f>LOOKUP(AM$2,'Depreciation Schedules'!$A$3:$A$42,'Depreciation Schedules'!$B$3:$B$42)</f>
        <v>#N/A</v>
      </c>
      <c r="AN197" s="323" t="e">
        <f>LOOKUP(AN$2,'Depreciation Schedules'!$A$3:$A$42,'Depreciation Schedules'!$B$3:$B$42)</f>
        <v>#N/A</v>
      </c>
      <c r="AO197" s="323" t="e">
        <f>LOOKUP(AO$2,'Depreciation Schedules'!$A$3:$A$42,'Depreciation Schedules'!$B$3:$B$42)</f>
        <v>#N/A</v>
      </c>
      <c r="AP197" s="323" t="e">
        <f>LOOKUP(AP$2,'Depreciation Schedules'!$A$3:$A$42,'Depreciation Schedules'!$B$3:$B$42)</f>
        <v>#N/A</v>
      </c>
    </row>
    <row r="198" spans="1:42" s="181" customFormat="1" ht="13.8" x14ac:dyDescent="0.3">
      <c r="A198" s="321" t="str">
        <f t="shared" si="440"/>
        <v>5-yr SL</v>
      </c>
      <c r="B198" s="322" cm="1">
        <f t="array" ref="B198">SUM(IF(ISNUMBER(C198:AP198),C198:AP198))</f>
        <v>0</v>
      </c>
      <c r="C198" s="323" t="e">
        <f>LOOKUP(C$2,'Depreciation Schedules'!$A$3:$A$42,'Depreciation Schedules'!$B$3:$B$42)</f>
        <v>#N/A</v>
      </c>
      <c r="D198" s="323" t="e">
        <f>LOOKUP(D$2,'Depreciation Schedules'!$A$3:$A$42,'Depreciation Schedules'!$B$3:$B$42)</f>
        <v>#N/A</v>
      </c>
      <c r="E198" s="323" t="e">
        <f>LOOKUP(E$2,'Depreciation Schedules'!$A$3:$A$42,'Depreciation Schedules'!$B$3:$B$42)</f>
        <v>#N/A</v>
      </c>
      <c r="F198" s="323" t="e">
        <f>LOOKUP(F$2,'Depreciation Schedules'!$A$3:$A$42,'Depreciation Schedules'!$B$3:$B$42)</f>
        <v>#N/A</v>
      </c>
      <c r="G198" s="323" t="e">
        <f>LOOKUP(G$2,'Depreciation Schedules'!$A$3:$A$42,'Depreciation Schedules'!$B$3:$B$42)</f>
        <v>#N/A</v>
      </c>
      <c r="H198" s="323" t="e">
        <f>LOOKUP(H$2,'Depreciation Schedules'!$A$3:$A$42,'Depreciation Schedules'!$B$3:$B$42)</f>
        <v>#N/A</v>
      </c>
      <c r="I198" s="323" t="e">
        <f>LOOKUP(I$2,'Depreciation Schedules'!$A$3:$A$42,'Depreciation Schedules'!$B$3:$B$42)</f>
        <v>#N/A</v>
      </c>
      <c r="J198" s="323" t="e">
        <f>LOOKUP(J$2,'Depreciation Schedules'!$A$3:$A$42,'Depreciation Schedules'!$B$3:$B$42)</f>
        <v>#N/A</v>
      </c>
      <c r="K198" s="323" t="e">
        <f>LOOKUP(K$2,'Depreciation Schedules'!$A$3:$A$42,'Depreciation Schedules'!$B$3:$B$42)</f>
        <v>#N/A</v>
      </c>
      <c r="L198" s="323" t="e">
        <f>LOOKUP(L$2,'Depreciation Schedules'!$A$3:$A$42,'Depreciation Schedules'!$B$3:$B$42)</f>
        <v>#N/A</v>
      </c>
      <c r="M198" s="323" t="e">
        <f>LOOKUP(M$2,'Depreciation Schedules'!$A$3:$A$42,'Depreciation Schedules'!$B$3:$B$42)</f>
        <v>#N/A</v>
      </c>
      <c r="N198" s="323" t="e">
        <f>LOOKUP(N$2,'Depreciation Schedules'!$A$3:$A$42,'Depreciation Schedules'!$B$3:$B$42)</f>
        <v>#N/A</v>
      </c>
      <c r="O198" s="323" t="e">
        <f>LOOKUP(O$2,'Depreciation Schedules'!$A$3:$A$42,'Depreciation Schedules'!$B$3:$B$42)</f>
        <v>#N/A</v>
      </c>
      <c r="P198" s="323" t="e">
        <f>LOOKUP(P$2,'Depreciation Schedules'!$A$3:$A$42,'Depreciation Schedules'!$B$3:$B$42)</f>
        <v>#N/A</v>
      </c>
      <c r="Q198" s="323" t="e">
        <f>LOOKUP(Q$2,'Depreciation Schedules'!$A$3:$A$42,'Depreciation Schedules'!$B$3:$B$42)</f>
        <v>#N/A</v>
      </c>
      <c r="R198" s="323" t="e">
        <f>LOOKUP(R$2,'Depreciation Schedules'!$A$3:$A$42,'Depreciation Schedules'!$B$3:$B$42)</f>
        <v>#N/A</v>
      </c>
      <c r="S198" s="323" t="e">
        <f>LOOKUP(S$2,'Depreciation Schedules'!$A$3:$A$42,'Depreciation Schedules'!$B$3:$B$42)</f>
        <v>#N/A</v>
      </c>
      <c r="T198" s="323" t="e">
        <f>LOOKUP(T$2,'Depreciation Schedules'!$A$3:$A$42,'Depreciation Schedules'!$B$3:$B$42)</f>
        <v>#N/A</v>
      </c>
      <c r="U198" s="323" t="e">
        <f>LOOKUP(U$2,'Depreciation Schedules'!$A$3:$A$42,'Depreciation Schedules'!$B$3:$B$42)</f>
        <v>#N/A</v>
      </c>
      <c r="V198" s="323" t="e">
        <f>LOOKUP(V$2,'Depreciation Schedules'!$A$3:$A$42,'Depreciation Schedules'!$B$3:$B$42)</f>
        <v>#N/A</v>
      </c>
      <c r="W198" s="323" t="e">
        <f>LOOKUP(W$2,'Depreciation Schedules'!$A$3:$A$42,'Depreciation Schedules'!$B$3:$B$42)</f>
        <v>#N/A</v>
      </c>
      <c r="X198" s="323" t="e">
        <f>LOOKUP(X$2,'Depreciation Schedules'!$A$3:$A$42,'Depreciation Schedules'!$B$3:$B$42)</f>
        <v>#N/A</v>
      </c>
      <c r="Y198" s="323" t="e">
        <f>LOOKUP(Y$2,'Depreciation Schedules'!$A$3:$A$42,'Depreciation Schedules'!$B$3:$B$42)</f>
        <v>#N/A</v>
      </c>
      <c r="Z198" s="323" t="e">
        <f>LOOKUP(Z$2,'Depreciation Schedules'!$A$3:$A$42,'Depreciation Schedules'!$B$3:$B$42)</f>
        <v>#N/A</v>
      </c>
      <c r="AA198" s="323" t="e">
        <f>LOOKUP(AA$2,'Depreciation Schedules'!$A$3:$A$42,'Depreciation Schedules'!$B$3:$B$42)</f>
        <v>#N/A</v>
      </c>
      <c r="AB198" s="323" t="e">
        <f>LOOKUP(AB$2,'Depreciation Schedules'!$A$3:$A$42,'Depreciation Schedules'!$B$3:$B$42)</f>
        <v>#N/A</v>
      </c>
      <c r="AC198" s="323" t="e">
        <f>LOOKUP(AC$2,'Depreciation Schedules'!$A$3:$A$42,'Depreciation Schedules'!$B$3:$B$42)</f>
        <v>#N/A</v>
      </c>
      <c r="AD198" s="323" t="e">
        <f>LOOKUP(AD$2,'Depreciation Schedules'!$A$3:$A$42,'Depreciation Schedules'!$B$3:$B$42)</f>
        <v>#N/A</v>
      </c>
      <c r="AE198" s="323" t="e">
        <f>LOOKUP(AE$2,'Depreciation Schedules'!$A$3:$A$42,'Depreciation Schedules'!$B$3:$B$42)</f>
        <v>#N/A</v>
      </c>
      <c r="AF198" s="323" t="e">
        <f>LOOKUP(AF$2,'Depreciation Schedules'!$A$3:$A$42,'Depreciation Schedules'!$B$3:$B$42)</f>
        <v>#N/A</v>
      </c>
      <c r="AG198" s="323" t="e">
        <f>LOOKUP(AG$2,'Depreciation Schedules'!$A$3:$A$42,'Depreciation Schedules'!$B$3:$B$42)</f>
        <v>#N/A</v>
      </c>
      <c r="AH198" s="323" t="e">
        <f>LOOKUP(AH$2,'Depreciation Schedules'!$A$3:$A$42,'Depreciation Schedules'!$B$3:$B$42)</f>
        <v>#N/A</v>
      </c>
      <c r="AI198" s="323" t="e">
        <f>LOOKUP(AI$2,'Depreciation Schedules'!$A$3:$A$42,'Depreciation Schedules'!$B$3:$B$42)</f>
        <v>#N/A</v>
      </c>
      <c r="AJ198" s="323" t="e">
        <f>LOOKUP(AJ$2,'Depreciation Schedules'!$A$3:$A$42,'Depreciation Schedules'!$B$3:$B$42)</f>
        <v>#N/A</v>
      </c>
      <c r="AK198" s="323" t="e">
        <f>LOOKUP(AK$2,'Depreciation Schedules'!$A$3:$A$42,'Depreciation Schedules'!$B$3:$B$42)</f>
        <v>#N/A</v>
      </c>
      <c r="AL198" s="323" t="e">
        <f>LOOKUP(AL$2,'Depreciation Schedules'!$A$3:$A$42,'Depreciation Schedules'!$B$3:$B$42)</f>
        <v>#N/A</v>
      </c>
      <c r="AM198" s="323" t="e">
        <f>LOOKUP(AM$2,'Depreciation Schedules'!$A$3:$A$42,'Depreciation Schedules'!$B$3:$B$42)</f>
        <v>#N/A</v>
      </c>
      <c r="AN198" s="323" t="e">
        <f>LOOKUP(AN$2,'Depreciation Schedules'!$A$3:$A$42,'Depreciation Schedules'!$B$3:$B$42)</f>
        <v>#N/A</v>
      </c>
      <c r="AO198" s="323" t="e">
        <f>LOOKUP(AO$2,'Depreciation Schedules'!$A$3:$A$42,'Depreciation Schedules'!$B$3:$B$42)</f>
        <v>#N/A</v>
      </c>
      <c r="AP198" s="323" t="e">
        <f>LOOKUP(AP$2,'Depreciation Schedules'!$A$3:$A$42,'Depreciation Schedules'!$B$3:$B$42)</f>
        <v>#N/A</v>
      </c>
    </row>
    <row r="199" spans="1:42" s="181" customFormat="1" ht="13.8" x14ac:dyDescent="0.3">
      <c r="A199" s="321" t="str">
        <f t="shared" si="440"/>
        <v>15-yr SL</v>
      </c>
      <c r="B199" s="322" cm="1">
        <f t="array" ref="B199">SUM(IF(ISNUMBER(C199:AP199),C199:AP199))</f>
        <v>0</v>
      </c>
      <c r="C199" s="323" t="e">
        <f>LOOKUP(C$2,'Depreciation Schedules'!$A$3:$A$42,'Depreciation Schedules'!$B$3:$B$42)</f>
        <v>#N/A</v>
      </c>
      <c r="D199" s="323" t="e">
        <f>LOOKUP(D$2,'Depreciation Schedules'!$A$3:$A$42,'Depreciation Schedules'!$B$3:$B$42)</f>
        <v>#N/A</v>
      </c>
      <c r="E199" s="323" t="e">
        <f>LOOKUP(E$2,'Depreciation Schedules'!$A$3:$A$42,'Depreciation Schedules'!$B$3:$B$42)</f>
        <v>#N/A</v>
      </c>
      <c r="F199" s="323" t="e">
        <f>LOOKUP(F$2,'Depreciation Schedules'!$A$3:$A$42,'Depreciation Schedules'!$B$3:$B$42)</f>
        <v>#N/A</v>
      </c>
      <c r="G199" s="323" t="e">
        <f>LOOKUP(G$2,'Depreciation Schedules'!$A$3:$A$42,'Depreciation Schedules'!$B$3:$B$42)</f>
        <v>#N/A</v>
      </c>
      <c r="H199" s="323" t="e">
        <f>LOOKUP(H$2,'Depreciation Schedules'!$A$3:$A$42,'Depreciation Schedules'!$B$3:$B$42)</f>
        <v>#N/A</v>
      </c>
      <c r="I199" s="323" t="e">
        <f>LOOKUP(I$2,'Depreciation Schedules'!$A$3:$A$42,'Depreciation Schedules'!$B$3:$B$42)</f>
        <v>#N/A</v>
      </c>
      <c r="J199" s="323" t="e">
        <f>LOOKUP(J$2,'Depreciation Schedules'!$A$3:$A$42,'Depreciation Schedules'!$B$3:$B$42)</f>
        <v>#N/A</v>
      </c>
      <c r="K199" s="323" t="e">
        <f>LOOKUP(K$2,'Depreciation Schedules'!$A$3:$A$42,'Depreciation Schedules'!$B$3:$B$42)</f>
        <v>#N/A</v>
      </c>
      <c r="L199" s="323" t="e">
        <f>LOOKUP(L$2,'Depreciation Schedules'!$A$3:$A$42,'Depreciation Schedules'!$B$3:$B$42)</f>
        <v>#N/A</v>
      </c>
      <c r="M199" s="323" t="e">
        <f>LOOKUP(M$2,'Depreciation Schedules'!$A$3:$A$42,'Depreciation Schedules'!$B$3:$B$42)</f>
        <v>#N/A</v>
      </c>
      <c r="N199" s="323" t="e">
        <f>LOOKUP(N$2,'Depreciation Schedules'!$A$3:$A$42,'Depreciation Schedules'!$B$3:$B$42)</f>
        <v>#N/A</v>
      </c>
      <c r="O199" s="323" t="e">
        <f>LOOKUP(O$2,'Depreciation Schedules'!$A$3:$A$42,'Depreciation Schedules'!$B$3:$B$42)</f>
        <v>#N/A</v>
      </c>
      <c r="P199" s="323" t="e">
        <f>LOOKUP(P$2,'Depreciation Schedules'!$A$3:$A$42,'Depreciation Schedules'!$B$3:$B$42)</f>
        <v>#N/A</v>
      </c>
      <c r="Q199" s="323" t="e">
        <f>LOOKUP(Q$2,'Depreciation Schedules'!$A$3:$A$42,'Depreciation Schedules'!$B$3:$B$42)</f>
        <v>#N/A</v>
      </c>
      <c r="R199" s="323" t="e">
        <f>LOOKUP(R$2,'Depreciation Schedules'!$A$3:$A$42,'Depreciation Schedules'!$B$3:$B$42)</f>
        <v>#N/A</v>
      </c>
      <c r="S199" s="323" t="e">
        <f>LOOKUP(S$2,'Depreciation Schedules'!$A$3:$A$42,'Depreciation Schedules'!$B$3:$B$42)</f>
        <v>#N/A</v>
      </c>
      <c r="T199" s="323" t="e">
        <f>LOOKUP(T$2,'Depreciation Schedules'!$A$3:$A$42,'Depreciation Schedules'!$B$3:$B$42)</f>
        <v>#N/A</v>
      </c>
      <c r="U199" s="323" t="e">
        <f>LOOKUP(U$2,'Depreciation Schedules'!$A$3:$A$42,'Depreciation Schedules'!$B$3:$B$42)</f>
        <v>#N/A</v>
      </c>
      <c r="V199" s="323" t="e">
        <f>LOOKUP(V$2,'Depreciation Schedules'!$A$3:$A$42,'Depreciation Schedules'!$B$3:$B$42)</f>
        <v>#N/A</v>
      </c>
      <c r="W199" s="323" t="e">
        <f>LOOKUP(W$2,'Depreciation Schedules'!$A$3:$A$42,'Depreciation Schedules'!$B$3:$B$42)</f>
        <v>#N/A</v>
      </c>
      <c r="X199" s="323" t="e">
        <f>LOOKUP(X$2,'Depreciation Schedules'!$A$3:$A$42,'Depreciation Schedules'!$B$3:$B$42)</f>
        <v>#N/A</v>
      </c>
      <c r="Y199" s="323" t="e">
        <f>LOOKUP(Y$2,'Depreciation Schedules'!$A$3:$A$42,'Depreciation Schedules'!$B$3:$B$42)</f>
        <v>#N/A</v>
      </c>
      <c r="Z199" s="323" t="e">
        <f>LOOKUP(Z$2,'Depreciation Schedules'!$A$3:$A$42,'Depreciation Schedules'!$B$3:$B$42)</f>
        <v>#N/A</v>
      </c>
      <c r="AA199" s="323" t="e">
        <f>LOOKUP(AA$2,'Depreciation Schedules'!$A$3:$A$42,'Depreciation Schedules'!$B$3:$B$42)</f>
        <v>#N/A</v>
      </c>
      <c r="AB199" s="323" t="e">
        <f>LOOKUP(AB$2,'Depreciation Schedules'!$A$3:$A$42,'Depreciation Schedules'!$B$3:$B$42)</f>
        <v>#N/A</v>
      </c>
      <c r="AC199" s="323" t="e">
        <f>LOOKUP(AC$2,'Depreciation Schedules'!$A$3:$A$42,'Depreciation Schedules'!$B$3:$B$42)</f>
        <v>#N/A</v>
      </c>
      <c r="AD199" s="323" t="e">
        <f>LOOKUP(AD$2,'Depreciation Schedules'!$A$3:$A$42,'Depreciation Schedules'!$B$3:$B$42)</f>
        <v>#N/A</v>
      </c>
      <c r="AE199" s="323" t="e">
        <f>LOOKUP(AE$2,'Depreciation Schedules'!$A$3:$A$42,'Depreciation Schedules'!$B$3:$B$42)</f>
        <v>#N/A</v>
      </c>
      <c r="AF199" s="323" t="e">
        <f>LOOKUP(AF$2,'Depreciation Schedules'!$A$3:$A$42,'Depreciation Schedules'!$B$3:$B$42)</f>
        <v>#N/A</v>
      </c>
      <c r="AG199" s="323" t="e">
        <f>LOOKUP(AG$2,'Depreciation Schedules'!$A$3:$A$42,'Depreciation Schedules'!$B$3:$B$42)</f>
        <v>#N/A</v>
      </c>
      <c r="AH199" s="323" t="e">
        <f>LOOKUP(AH$2,'Depreciation Schedules'!$A$3:$A$42,'Depreciation Schedules'!$B$3:$B$42)</f>
        <v>#N/A</v>
      </c>
      <c r="AI199" s="323" t="e">
        <f>LOOKUP(AI$2,'Depreciation Schedules'!$A$3:$A$42,'Depreciation Schedules'!$B$3:$B$42)</f>
        <v>#N/A</v>
      </c>
      <c r="AJ199" s="323" t="e">
        <f>LOOKUP(AJ$2,'Depreciation Schedules'!$A$3:$A$42,'Depreciation Schedules'!$B$3:$B$42)</f>
        <v>#N/A</v>
      </c>
      <c r="AK199" s="323" t="e">
        <f>LOOKUP(AK$2,'Depreciation Schedules'!$A$3:$A$42,'Depreciation Schedules'!$B$3:$B$42)</f>
        <v>#N/A</v>
      </c>
      <c r="AL199" s="323" t="e">
        <f>LOOKUP(AL$2,'Depreciation Schedules'!$A$3:$A$42,'Depreciation Schedules'!$B$3:$B$42)</f>
        <v>#N/A</v>
      </c>
      <c r="AM199" s="323" t="e">
        <f>LOOKUP(AM$2,'Depreciation Schedules'!$A$3:$A$42,'Depreciation Schedules'!$B$3:$B$42)</f>
        <v>#N/A</v>
      </c>
      <c r="AN199" s="323" t="e">
        <f>LOOKUP(AN$2,'Depreciation Schedules'!$A$3:$A$42,'Depreciation Schedules'!$B$3:$B$42)</f>
        <v>#N/A</v>
      </c>
      <c r="AO199" s="323" t="e">
        <f>LOOKUP(AO$2,'Depreciation Schedules'!$A$3:$A$42,'Depreciation Schedules'!$B$3:$B$42)</f>
        <v>#N/A</v>
      </c>
      <c r="AP199" s="323" t="e">
        <f>LOOKUP(AP$2,'Depreciation Schedules'!$A$3:$A$42,'Depreciation Schedules'!$B$3:$B$42)</f>
        <v>#N/A</v>
      </c>
    </row>
    <row r="200" spans="1:42" s="181" customFormat="1" ht="13.8" x14ac:dyDescent="0.3">
      <c r="A200" s="321" t="str">
        <f t="shared" si="440"/>
        <v>20-yr SL</v>
      </c>
      <c r="B200" s="322" cm="1">
        <f t="array" ref="B200">SUM(IF(ISNUMBER(C200:AP200),C200:AP200))</f>
        <v>0</v>
      </c>
      <c r="C200" s="323" t="e">
        <f>LOOKUP(C$2,'Depreciation Schedules'!$A$3:$A$42,'Depreciation Schedules'!$B$3:$B$42)</f>
        <v>#N/A</v>
      </c>
      <c r="D200" s="323" t="e">
        <f>LOOKUP(D$2,'Depreciation Schedules'!$A$3:$A$42,'Depreciation Schedules'!$B$3:$B$42)</f>
        <v>#N/A</v>
      </c>
      <c r="E200" s="323" t="e">
        <f>LOOKUP(E$2,'Depreciation Schedules'!$A$3:$A$42,'Depreciation Schedules'!$B$3:$B$42)</f>
        <v>#N/A</v>
      </c>
      <c r="F200" s="323" t="e">
        <f>LOOKUP(F$2,'Depreciation Schedules'!$A$3:$A$42,'Depreciation Schedules'!$B$3:$B$42)</f>
        <v>#N/A</v>
      </c>
      <c r="G200" s="323" t="e">
        <f>LOOKUP(G$2,'Depreciation Schedules'!$A$3:$A$42,'Depreciation Schedules'!$B$3:$B$42)</f>
        <v>#N/A</v>
      </c>
      <c r="H200" s="323" t="e">
        <f>LOOKUP(H$2,'Depreciation Schedules'!$A$3:$A$42,'Depreciation Schedules'!$B$3:$B$42)</f>
        <v>#N/A</v>
      </c>
      <c r="I200" s="323" t="e">
        <f>LOOKUP(I$2,'Depreciation Schedules'!$A$3:$A$42,'Depreciation Schedules'!$B$3:$B$42)</f>
        <v>#N/A</v>
      </c>
      <c r="J200" s="323" t="e">
        <f>LOOKUP(J$2,'Depreciation Schedules'!$A$3:$A$42,'Depreciation Schedules'!$B$3:$B$42)</f>
        <v>#N/A</v>
      </c>
      <c r="K200" s="323" t="e">
        <f>LOOKUP(K$2,'Depreciation Schedules'!$A$3:$A$42,'Depreciation Schedules'!$B$3:$B$42)</f>
        <v>#N/A</v>
      </c>
      <c r="L200" s="323" t="e">
        <f>LOOKUP(L$2,'Depreciation Schedules'!$A$3:$A$42,'Depreciation Schedules'!$B$3:$B$42)</f>
        <v>#N/A</v>
      </c>
      <c r="M200" s="323" t="e">
        <f>LOOKUP(M$2,'Depreciation Schedules'!$A$3:$A$42,'Depreciation Schedules'!$B$3:$B$42)</f>
        <v>#N/A</v>
      </c>
      <c r="N200" s="323" t="e">
        <f>LOOKUP(N$2,'Depreciation Schedules'!$A$3:$A$42,'Depreciation Schedules'!$B$3:$B$42)</f>
        <v>#N/A</v>
      </c>
      <c r="O200" s="323" t="e">
        <f>LOOKUP(O$2,'Depreciation Schedules'!$A$3:$A$42,'Depreciation Schedules'!$B$3:$B$42)</f>
        <v>#N/A</v>
      </c>
      <c r="P200" s="323" t="e">
        <f>LOOKUP(P$2,'Depreciation Schedules'!$A$3:$A$42,'Depreciation Schedules'!$B$3:$B$42)</f>
        <v>#N/A</v>
      </c>
      <c r="Q200" s="323" t="e">
        <f>LOOKUP(Q$2,'Depreciation Schedules'!$A$3:$A$42,'Depreciation Schedules'!$B$3:$B$42)</f>
        <v>#N/A</v>
      </c>
      <c r="R200" s="323" t="e">
        <f>LOOKUP(R$2,'Depreciation Schedules'!$A$3:$A$42,'Depreciation Schedules'!$B$3:$B$42)</f>
        <v>#N/A</v>
      </c>
      <c r="S200" s="323" t="e">
        <f>LOOKUP(S$2,'Depreciation Schedules'!$A$3:$A$42,'Depreciation Schedules'!$B$3:$B$42)</f>
        <v>#N/A</v>
      </c>
      <c r="T200" s="323" t="e">
        <f>LOOKUP(T$2,'Depreciation Schedules'!$A$3:$A$42,'Depreciation Schedules'!$B$3:$B$42)</f>
        <v>#N/A</v>
      </c>
      <c r="U200" s="323" t="e">
        <f>LOOKUP(U$2,'Depreciation Schedules'!$A$3:$A$42,'Depreciation Schedules'!$B$3:$B$42)</f>
        <v>#N/A</v>
      </c>
      <c r="V200" s="323" t="e">
        <f>LOOKUP(V$2,'Depreciation Schedules'!$A$3:$A$42,'Depreciation Schedules'!$B$3:$B$42)</f>
        <v>#N/A</v>
      </c>
      <c r="W200" s="323" t="e">
        <f>LOOKUP(W$2,'Depreciation Schedules'!$A$3:$A$42,'Depreciation Schedules'!$B$3:$B$42)</f>
        <v>#N/A</v>
      </c>
      <c r="X200" s="323" t="e">
        <f>LOOKUP(X$2,'Depreciation Schedules'!$A$3:$A$42,'Depreciation Schedules'!$B$3:$B$42)</f>
        <v>#N/A</v>
      </c>
      <c r="Y200" s="323" t="e">
        <f>LOOKUP(Y$2,'Depreciation Schedules'!$A$3:$A$42,'Depreciation Schedules'!$B$3:$B$42)</f>
        <v>#N/A</v>
      </c>
      <c r="Z200" s="323" t="e">
        <f>LOOKUP(Z$2,'Depreciation Schedules'!$A$3:$A$42,'Depreciation Schedules'!$B$3:$B$42)</f>
        <v>#N/A</v>
      </c>
      <c r="AA200" s="323" t="e">
        <f>LOOKUP(AA$2,'Depreciation Schedules'!$A$3:$A$42,'Depreciation Schedules'!$B$3:$B$42)</f>
        <v>#N/A</v>
      </c>
      <c r="AB200" s="323" t="e">
        <f>LOOKUP(AB$2,'Depreciation Schedules'!$A$3:$A$42,'Depreciation Schedules'!$B$3:$B$42)</f>
        <v>#N/A</v>
      </c>
      <c r="AC200" s="323" t="e">
        <f>LOOKUP(AC$2,'Depreciation Schedules'!$A$3:$A$42,'Depreciation Schedules'!$B$3:$B$42)</f>
        <v>#N/A</v>
      </c>
      <c r="AD200" s="323" t="e">
        <f>LOOKUP(AD$2,'Depreciation Schedules'!$A$3:$A$42,'Depreciation Schedules'!$B$3:$B$42)</f>
        <v>#N/A</v>
      </c>
      <c r="AE200" s="323" t="e">
        <f>LOOKUP(AE$2,'Depreciation Schedules'!$A$3:$A$42,'Depreciation Schedules'!$B$3:$B$42)</f>
        <v>#N/A</v>
      </c>
      <c r="AF200" s="323" t="e">
        <f>LOOKUP(AF$2,'Depreciation Schedules'!$A$3:$A$42,'Depreciation Schedules'!$B$3:$B$42)</f>
        <v>#N/A</v>
      </c>
      <c r="AG200" s="323" t="e">
        <f>LOOKUP(AG$2,'Depreciation Schedules'!$A$3:$A$42,'Depreciation Schedules'!$B$3:$B$42)</f>
        <v>#N/A</v>
      </c>
      <c r="AH200" s="323" t="e">
        <f>LOOKUP(AH$2,'Depreciation Schedules'!$A$3:$A$42,'Depreciation Schedules'!$B$3:$B$42)</f>
        <v>#N/A</v>
      </c>
      <c r="AI200" s="323" t="e">
        <f>LOOKUP(AI$2,'Depreciation Schedules'!$A$3:$A$42,'Depreciation Schedules'!$B$3:$B$42)</f>
        <v>#N/A</v>
      </c>
      <c r="AJ200" s="323" t="e">
        <f>LOOKUP(AJ$2,'Depreciation Schedules'!$A$3:$A$42,'Depreciation Schedules'!$B$3:$B$42)</f>
        <v>#N/A</v>
      </c>
      <c r="AK200" s="323" t="e">
        <f>LOOKUP(AK$2,'Depreciation Schedules'!$A$3:$A$42,'Depreciation Schedules'!$B$3:$B$42)</f>
        <v>#N/A</v>
      </c>
      <c r="AL200" s="323" t="e">
        <f>LOOKUP(AL$2,'Depreciation Schedules'!$A$3:$A$42,'Depreciation Schedules'!$B$3:$B$42)</f>
        <v>#N/A</v>
      </c>
      <c r="AM200" s="323" t="e">
        <f>LOOKUP(AM$2,'Depreciation Schedules'!$A$3:$A$42,'Depreciation Schedules'!$B$3:$B$42)</f>
        <v>#N/A</v>
      </c>
      <c r="AN200" s="323" t="e">
        <f>LOOKUP(AN$2,'Depreciation Schedules'!$A$3:$A$42,'Depreciation Schedules'!$B$3:$B$42)</f>
        <v>#N/A</v>
      </c>
      <c r="AO200" s="323" t="e">
        <f>LOOKUP(AO$2,'Depreciation Schedules'!$A$3:$A$42,'Depreciation Schedules'!$B$3:$B$42)</f>
        <v>#N/A</v>
      </c>
      <c r="AP200" s="323" t="e">
        <f>LOOKUP(AP$2,'Depreciation Schedules'!$A$3:$A$42,'Depreciation Schedules'!$B$3:$B$42)</f>
        <v>#N/A</v>
      </c>
    </row>
    <row r="201" spans="1:42" s="181" customFormat="1" ht="13.8" x14ac:dyDescent="0.3">
      <c r="A201" s="321" t="str">
        <f t="shared" si="440"/>
        <v>39-yr SL</v>
      </c>
      <c r="B201" s="322" cm="1">
        <f t="array" ref="B201">SUM(IF(ISNUMBER(C201:AP201),C201:AP201))</f>
        <v>0</v>
      </c>
      <c r="C201" s="323" t="e">
        <f>LOOKUP(C$2,'Depreciation Schedules'!$A$3:$A$42,'Depreciation Schedules'!$B$3:$B$42)</f>
        <v>#N/A</v>
      </c>
      <c r="D201" s="323" t="e">
        <f>LOOKUP(D$2,'Depreciation Schedules'!$A$3:$A$42,'Depreciation Schedules'!$B$3:$B$42)</f>
        <v>#N/A</v>
      </c>
      <c r="E201" s="323" t="e">
        <f>LOOKUP(E$2,'Depreciation Schedules'!$A$3:$A$42,'Depreciation Schedules'!$B$3:$B$42)</f>
        <v>#N/A</v>
      </c>
      <c r="F201" s="323" t="e">
        <f>LOOKUP(F$2,'Depreciation Schedules'!$A$3:$A$42,'Depreciation Schedules'!$B$3:$B$42)</f>
        <v>#N/A</v>
      </c>
      <c r="G201" s="323" t="e">
        <f>LOOKUP(G$2,'Depreciation Schedules'!$A$3:$A$42,'Depreciation Schedules'!$B$3:$B$42)</f>
        <v>#N/A</v>
      </c>
      <c r="H201" s="323" t="e">
        <f>LOOKUP(H$2,'Depreciation Schedules'!$A$3:$A$42,'Depreciation Schedules'!$B$3:$B$42)</f>
        <v>#N/A</v>
      </c>
      <c r="I201" s="323" t="e">
        <f>LOOKUP(I$2,'Depreciation Schedules'!$A$3:$A$42,'Depreciation Schedules'!$B$3:$B$42)</f>
        <v>#N/A</v>
      </c>
      <c r="J201" s="323" t="e">
        <f>LOOKUP(J$2,'Depreciation Schedules'!$A$3:$A$42,'Depreciation Schedules'!$B$3:$B$42)</f>
        <v>#N/A</v>
      </c>
      <c r="K201" s="323" t="e">
        <f>LOOKUP(K$2,'Depreciation Schedules'!$A$3:$A$42,'Depreciation Schedules'!$B$3:$B$42)</f>
        <v>#N/A</v>
      </c>
      <c r="L201" s="323" t="e">
        <f>LOOKUP(L$2,'Depreciation Schedules'!$A$3:$A$42,'Depreciation Schedules'!$B$3:$B$42)</f>
        <v>#N/A</v>
      </c>
      <c r="M201" s="323" t="e">
        <f>LOOKUP(M$2,'Depreciation Schedules'!$A$3:$A$42,'Depreciation Schedules'!$B$3:$B$42)</f>
        <v>#N/A</v>
      </c>
      <c r="N201" s="323" t="e">
        <f>LOOKUP(N$2,'Depreciation Schedules'!$A$3:$A$42,'Depreciation Schedules'!$B$3:$B$42)</f>
        <v>#N/A</v>
      </c>
      <c r="O201" s="323" t="e">
        <f>LOOKUP(O$2,'Depreciation Schedules'!$A$3:$A$42,'Depreciation Schedules'!$B$3:$B$42)</f>
        <v>#N/A</v>
      </c>
      <c r="P201" s="323" t="e">
        <f>LOOKUP(P$2,'Depreciation Schedules'!$A$3:$A$42,'Depreciation Schedules'!$B$3:$B$42)</f>
        <v>#N/A</v>
      </c>
      <c r="Q201" s="323" t="e">
        <f>LOOKUP(Q$2,'Depreciation Schedules'!$A$3:$A$42,'Depreciation Schedules'!$B$3:$B$42)</f>
        <v>#N/A</v>
      </c>
      <c r="R201" s="323" t="e">
        <f>LOOKUP(R$2,'Depreciation Schedules'!$A$3:$A$42,'Depreciation Schedules'!$B$3:$B$42)</f>
        <v>#N/A</v>
      </c>
      <c r="S201" s="323" t="e">
        <f>LOOKUP(S$2,'Depreciation Schedules'!$A$3:$A$42,'Depreciation Schedules'!$B$3:$B$42)</f>
        <v>#N/A</v>
      </c>
      <c r="T201" s="323" t="e">
        <f>LOOKUP(T$2,'Depreciation Schedules'!$A$3:$A$42,'Depreciation Schedules'!$B$3:$B$42)</f>
        <v>#N/A</v>
      </c>
      <c r="U201" s="323" t="e">
        <f>LOOKUP(U$2,'Depreciation Schedules'!$A$3:$A$42,'Depreciation Schedules'!$B$3:$B$42)</f>
        <v>#N/A</v>
      </c>
      <c r="V201" s="323" t="e">
        <f>LOOKUP(V$2,'Depreciation Schedules'!$A$3:$A$42,'Depreciation Schedules'!$B$3:$B$42)</f>
        <v>#N/A</v>
      </c>
      <c r="W201" s="323" t="e">
        <f>LOOKUP(W$2,'Depreciation Schedules'!$A$3:$A$42,'Depreciation Schedules'!$B$3:$B$42)</f>
        <v>#N/A</v>
      </c>
      <c r="X201" s="323" t="e">
        <f>LOOKUP(X$2,'Depreciation Schedules'!$A$3:$A$42,'Depreciation Schedules'!$B$3:$B$42)</f>
        <v>#N/A</v>
      </c>
      <c r="Y201" s="323" t="e">
        <f>LOOKUP(Y$2,'Depreciation Schedules'!$A$3:$A$42,'Depreciation Schedules'!$B$3:$B$42)</f>
        <v>#N/A</v>
      </c>
      <c r="Z201" s="323" t="e">
        <f>LOOKUP(Z$2,'Depreciation Schedules'!$A$3:$A$42,'Depreciation Schedules'!$B$3:$B$42)</f>
        <v>#N/A</v>
      </c>
      <c r="AA201" s="323" t="e">
        <f>LOOKUP(AA$2,'Depreciation Schedules'!$A$3:$A$42,'Depreciation Schedules'!$B$3:$B$42)</f>
        <v>#N/A</v>
      </c>
      <c r="AB201" s="323" t="e">
        <f>LOOKUP(AB$2,'Depreciation Schedules'!$A$3:$A$42,'Depreciation Schedules'!$B$3:$B$42)</f>
        <v>#N/A</v>
      </c>
      <c r="AC201" s="323" t="e">
        <f>LOOKUP(AC$2,'Depreciation Schedules'!$A$3:$A$42,'Depreciation Schedules'!$B$3:$B$42)</f>
        <v>#N/A</v>
      </c>
      <c r="AD201" s="323" t="e">
        <f>LOOKUP(AD$2,'Depreciation Schedules'!$A$3:$A$42,'Depreciation Schedules'!$B$3:$B$42)</f>
        <v>#N/A</v>
      </c>
      <c r="AE201" s="323" t="e">
        <f>LOOKUP(AE$2,'Depreciation Schedules'!$A$3:$A$42,'Depreciation Schedules'!$B$3:$B$42)</f>
        <v>#N/A</v>
      </c>
      <c r="AF201" s="323" t="e">
        <f>LOOKUP(AF$2,'Depreciation Schedules'!$A$3:$A$42,'Depreciation Schedules'!$B$3:$B$42)</f>
        <v>#N/A</v>
      </c>
      <c r="AG201" s="323" t="e">
        <f>LOOKUP(AG$2,'Depreciation Schedules'!$A$3:$A$42,'Depreciation Schedules'!$B$3:$B$42)</f>
        <v>#N/A</v>
      </c>
      <c r="AH201" s="323" t="e">
        <f>LOOKUP(AH$2,'Depreciation Schedules'!$A$3:$A$42,'Depreciation Schedules'!$B$3:$B$42)</f>
        <v>#N/A</v>
      </c>
      <c r="AI201" s="323" t="e">
        <f>LOOKUP(AI$2,'Depreciation Schedules'!$A$3:$A$42,'Depreciation Schedules'!$B$3:$B$42)</f>
        <v>#N/A</v>
      </c>
      <c r="AJ201" s="323" t="e">
        <f>LOOKUP(AJ$2,'Depreciation Schedules'!$A$3:$A$42,'Depreciation Schedules'!$B$3:$B$42)</f>
        <v>#N/A</v>
      </c>
      <c r="AK201" s="323" t="e">
        <f>LOOKUP(AK$2,'Depreciation Schedules'!$A$3:$A$42,'Depreciation Schedules'!$B$3:$B$42)</f>
        <v>#N/A</v>
      </c>
      <c r="AL201" s="323" t="e">
        <f>LOOKUP(AL$2,'Depreciation Schedules'!$A$3:$A$42,'Depreciation Schedules'!$B$3:$B$42)</f>
        <v>#N/A</v>
      </c>
      <c r="AM201" s="323" t="e">
        <f>LOOKUP(AM$2,'Depreciation Schedules'!$A$3:$A$42,'Depreciation Schedules'!$B$3:$B$42)</f>
        <v>#N/A</v>
      </c>
      <c r="AN201" s="323" t="e">
        <f>LOOKUP(AN$2,'Depreciation Schedules'!$A$3:$A$42,'Depreciation Schedules'!$B$3:$B$42)</f>
        <v>#N/A</v>
      </c>
      <c r="AO201" s="323" t="e">
        <f>LOOKUP(AO$2,'Depreciation Schedules'!$A$3:$A$42,'Depreciation Schedules'!$B$3:$B$42)</f>
        <v>#N/A</v>
      </c>
      <c r="AP201" s="323" t="e">
        <f>LOOKUP(AP$2,'Depreciation Schedules'!$A$3:$A$42,'Depreciation Schedules'!$B$3:$B$42)</f>
        <v>#N/A</v>
      </c>
    </row>
    <row r="202" spans="1:42" s="181" customFormat="1" ht="13.8" x14ac:dyDescent="0.3">
      <c r="A202" s="321" t="s">
        <v>257</v>
      </c>
      <c r="B202" s="324" cm="1">
        <f t="array" ref="B202">SUM(IF(ISNUMBER(C202:AP202),C202:AP202))</f>
        <v>0</v>
      </c>
      <c r="C202" s="323">
        <f>'Inputs and Outputs'!C159</f>
        <v>0</v>
      </c>
      <c r="D202" s="323">
        <f>'Inputs and Outputs'!D159</f>
        <v>0</v>
      </c>
      <c r="E202" s="323">
        <f>'Inputs and Outputs'!E159</f>
        <v>0</v>
      </c>
      <c r="F202" s="323">
        <f>'Inputs and Outputs'!F159</f>
        <v>0</v>
      </c>
      <c r="G202" s="323">
        <f>'Inputs and Outputs'!G159</f>
        <v>0</v>
      </c>
      <c r="H202" s="323">
        <f>'Inputs and Outputs'!H159</f>
        <v>0</v>
      </c>
      <c r="I202" s="323">
        <f>'Inputs and Outputs'!I159</f>
        <v>0</v>
      </c>
      <c r="J202" s="323">
        <f>'Inputs and Outputs'!J159</f>
        <v>0</v>
      </c>
      <c r="K202" s="323">
        <f>'Inputs and Outputs'!K159</f>
        <v>0</v>
      </c>
      <c r="L202" s="323">
        <f>'Inputs and Outputs'!L159</f>
        <v>0</v>
      </c>
      <c r="M202" s="323">
        <f>'Inputs and Outputs'!M159</f>
        <v>0</v>
      </c>
      <c r="N202" s="323">
        <f>'Inputs and Outputs'!N159</f>
        <v>0</v>
      </c>
      <c r="O202" s="323">
        <f>'Inputs and Outputs'!O159</f>
        <v>0</v>
      </c>
      <c r="P202" s="323">
        <f>'Inputs and Outputs'!P159</f>
        <v>0</v>
      </c>
      <c r="Q202" s="323">
        <f>'Inputs and Outputs'!Q159</f>
        <v>0</v>
      </c>
      <c r="R202" s="323">
        <f>'Inputs and Outputs'!R159</f>
        <v>0</v>
      </c>
      <c r="S202" s="323">
        <f>'Inputs and Outputs'!S159</f>
        <v>0</v>
      </c>
      <c r="T202" s="323">
        <f>'Inputs and Outputs'!T159</f>
        <v>0</v>
      </c>
      <c r="U202" s="323">
        <f>'Inputs and Outputs'!U159</f>
        <v>0</v>
      </c>
      <c r="V202" s="323">
        <f>'Inputs and Outputs'!V159</f>
        <v>0</v>
      </c>
      <c r="W202" s="323">
        <f>'Inputs and Outputs'!W159</f>
        <v>0</v>
      </c>
      <c r="X202" s="323">
        <f>'Inputs and Outputs'!X159</f>
        <v>0</v>
      </c>
      <c r="Y202" s="323">
        <f>'Inputs and Outputs'!Y159</f>
        <v>0</v>
      </c>
      <c r="Z202" s="323">
        <f>'Inputs and Outputs'!Z159</f>
        <v>0</v>
      </c>
      <c r="AA202" s="323">
        <f>'Inputs and Outputs'!AA159</f>
        <v>0</v>
      </c>
      <c r="AB202" s="323">
        <f>'Inputs and Outputs'!AB159</f>
        <v>0</v>
      </c>
      <c r="AC202" s="323">
        <f>'Inputs and Outputs'!AC159</f>
        <v>0</v>
      </c>
      <c r="AD202" s="323">
        <f>'Inputs and Outputs'!AD159</f>
        <v>0</v>
      </c>
      <c r="AE202" s="323">
        <f>'Inputs and Outputs'!AE159</f>
        <v>0</v>
      </c>
      <c r="AF202" s="323">
        <f>'Inputs and Outputs'!AF159</f>
        <v>0</v>
      </c>
      <c r="AG202" s="323">
        <f>'Inputs and Outputs'!AG159</f>
        <v>0</v>
      </c>
      <c r="AH202" s="323">
        <f>'Inputs and Outputs'!AH159</f>
        <v>0</v>
      </c>
      <c r="AI202" s="323">
        <f>'Inputs and Outputs'!AI159</f>
        <v>0</v>
      </c>
      <c r="AJ202" s="323">
        <f>'Inputs and Outputs'!AJ159</f>
        <v>0</v>
      </c>
      <c r="AK202" s="323">
        <f>'Inputs and Outputs'!AK159</f>
        <v>0</v>
      </c>
      <c r="AL202" s="323">
        <f>'Inputs and Outputs'!AL159</f>
        <v>0</v>
      </c>
      <c r="AM202" s="323">
        <f>'Inputs and Outputs'!AM159</f>
        <v>0</v>
      </c>
      <c r="AN202" s="323">
        <f>'Inputs and Outputs'!AN159</f>
        <v>0</v>
      </c>
      <c r="AO202" s="323">
        <f>'Inputs and Outputs'!AO159</f>
        <v>0</v>
      </c>
      <c r="AP202" s="323">
        <f>'Inputs and Outputs'!AP159</f>
        <v>0</v>
      </c>
    </row>
    <row r="203" spans="1:42" s="181" customFormat="1" ht="13.8" x14ac:dyDescent="0.3">
      <c r="A203" s="209" t="s">
        <v>1</v>
      </c>
      <c r="C203" s="325"/>
      <c r="D203" s="325"/>
      <c r="E203" s="325"/>
      <c r="F203" s="325"/>
      <c r="G203" s="325"/>
      <c r="H203" s="325"/>
      <c r="I203" s="325"/>
      <c r="J203" s="325"/>
      <c r="K203" s="325"/>
      <c r="L203" s="325"/>
      <c r="M203" s="325"/>
      <c r="N203" s="325"/>
      <c r="O203" s="325"/>
      <c r="P203" s="325"/>
      <c r="Q203" s="325"/>
      <c r="R203" s="325"/>
      <c r="S203" s="325"/>
      <c r="T203" s="325"/>
      <c r="U203" s="325"/>
      <c r="V203" s="325"/>
      <c r="W203" s="325"/>
      <c r="X203" s="325"/>
      <c r="Y203" s="325"/>
      <c r="Z203" s="325"/>
      <c r="AA203" s="325"/>
      <c r="AB203" s="325"/>
      <c r="AC203" s="325"/>
      <c r="AD203" s="325"/>
      <c r="AE203" s="325"/>
      <c r="AF203" s="325"/>
      <c r="AG203" s="325"/>
      <c r="AH203" s="325"/>
      <c r="AI203" s="325"/>
      <c r="AJ203" s="325"/>
      <c r="AK203" s="325"/>
      <c r="AL203" s="325"/>
      <c r="AM203" s="325"/>
      <c r="AN203" s="325"/>
      <c r="AO203" s="325"/>
      <c r="AP203" s="325"/>
    </row>
    <row r="204" spans="1:42" s="181" customFormat="1" ht="13.8" x14ac:dyDescent="0.3">
      <c r="A204" s="321" t="str">
        <f t="shared" ref="A204:A209" si="441">A196</f>
        <v>5-yr MACRS</v>
      </c>
      <c r="B204" s="322" cm="1">
        <f t="array" ref="B204">SUM(IF(ISNUMBER(C204:AP204),C204:AP204))</f>
        <v>0</v>
      </c>
      <c r="C204" s="302" t="e">
        <f>C196/100*$Q161</f>
        <v>#N/A</v>
      </c>
      <c r="D204" s="302" t="e">
        <f t="shared" ref="D204:AP210" si="442">D196/100*$Q161</f>
        <v>#N/A</v>
      </c>
      <c r="E204" s="302" t="e">
        <f t="shared" si="442"/>
        <v>#N/A</v>
      </c>
      <c r="F204" s="302" t="e">
        <f t="shared" si="442"/>
        <v>#N/A</v>
      </c>
      <c r="G204" s="302" t="e">
        <f t="shared" si="442"/>
        <v>#N/A</v>
      </c>
      <c r="H204" s="302" t="e">
        <f t="shared" si="442"/>
        <v>#N/A</v>
      </c>
      <c r="I204" s="302" t="e">
        <f t="shared" si="442"/>
        <v>#N/A</v>
      </c>
      <c r="J204" s="302" t="e">
        <f t="shared" si="442"/>
        <v>#N/A</v>
      </c>
      <c r="K204" s="302" t="e">
        <f t="shared" si="442"/>
        <v>#N/A</v>
      </c>
      <c r="L204" s="302" t="e">
        <f t="shared" si="442"/>
        <v>#N/A</v>
      </c>
      <c r="M204" s="302" t="e">
        <f t="shared" si="442"/>
        <v>#N/A</v>
      </c>
      <c r="N204" s="302" t="e">
        <f t="shared" si="442"/>
        <v>#N/A</v>
      </c>
      <c r="O204" s="302" t="e">
        <f t="shared" si="442"/>
        <v>#N/A</v>
      </c>
      <c r="P204" s="302" t="e">
        <f t="shared" si="442"/>
        <v>#N/A</v>
      </c>
      <c r="Q204" s="302" t="e">
        <f t="shared" si="442"/>
        <v>#N/A</v>
      </c>
      <c r="R204" s="302" t="e">
        <f t="shared" si="442"/>
        <v>#N/A</v>
      </c>
      <c r="S204" s="302" t="e">
        <f t="shared" si="442"/>
        <v>#N/A</v>
      </c>
      <c r="T204" s="302" t="e">
        <f t="shared" si="442"/>
        <v>#N/A</v>
      </c>
      <c r="U204" s="302" t="e">
        <f t="shared" si="442"/>
        <v>#N/A</v>
      </c>
      <c r="V204" s="302" t="e">
        <f t="shared" si="442"/>
        <v>#N/A</v>
      </c>
      <c r="W204" s="302" t="e">
        <f t="shared" si="442"/>
        <v>#N/A</v>
      </c>
      <c r="X204" s="302" t="e">
        <f t="shared" si="442"/>
        <v>#N/A</v>
      </c>
      <c r="Y204" s="302" t="e">
        <f t="shared" si="442"/>
        <v>#N/A</v>
      </c>
      <c r="Z204" s="302" t="e">
        <f t="shared" si="442"/>
        <v>#N/A</v>
      </c>
      <c r="AA204" s="302" t="e">
        <f t="shared" si="442"/>
        <v>#N/A</v>
      </c>
      <c r="AB204" s="302" t="e">
        <f t="shared" si="442"/>
        <v>#N/A</v>
      </c>
      <c r="AC204" s="302" t="e">
        <f t="shared" si="442"/>
        <v>#N/A</v>
      </c>
      <c r="AD204" s="302" t="e">
        <f t="shared" si="442"/>
        <v>#N/A</v>
      </c>
      <c r="AE204" s="302" t="e">
        <f t="shared" si="442"/>
        <v>#N/A</v>
      </c>
      <c r="AF204" s="302" t="e">
        <f t="shared" si="442"/>
        <v>#N/A</v>
      </c>
      <c r="AG204" s="302" t="e">
        <f t="shared" si="442"/>
        <v>#N/A</v>
      </c>
      <c r="AH204" s="302" t="e">
        <f t="shared" si="442"/>
        <v>#N/A</v>
      </c>
      <c r="AI204" s="302" t="e">
        <f t="shared" si="442"/>
        <v>#N/A</v>
      </c>
      <c r="AJ204" s="302" t="e">
        <f t="shared" si="442"/>
        <v>#N/A</v>
      </c>
      <c r="AK204" s="302" t="e">
        <f t="shared" si="442"/>
        <v>#N/A</v>
      </c>
      <c r="AL204" s="302" t="e">
        <f t="shared" si="442"/>
        <v>#N/A</v>
      </c>
      <c r="AM204" s="302" t="e">
        <f t="shared" si="442"/>
        <v>#N/A</v>
      </c>
      <c r="AN204" s="302" t="e">
        <f t="shared" si="442"/>
        <v>#N/A</v>
      </c>
      <c r="AO204" s="302" t="e">
        <f t="shared" si="442"/>
        <v>#N/A</v>
      </c>
      <c r="AP204" s="302" t="e">
        <f t="shared" si="442"/>
        <v>#N/A</v>
      </c>
    </row>
    <row r="205" spans="1:42" s="181" customFormat="1" ht="13.8" x14ac:dyDescent="0.3">
      <c r="A205" s="321" t="str">
        <f t="shared" si="441"/>
        <v>15-yr MACRS</v>
      </c>
      <c r="B205" s="322" cm="1">
        <f t="array" ref="B205">SUM(IF(ISNUMBER(C205:AP205),C205:AP205))</f>
        <v>0</v>
      </c>
      <c r="C205" s="302" t="e">
        <f t="shared" ref="C205:R210" si="443">C197/100*$Q162</f>
        <v>#N/A</v>
      </c>
      <c r="D205" s="302" t="e">
        <f t="shared" si="443"/>
        <v>#N/A</v>
      </c>
      <c r="E205" s="302" t="e">
        <f t="shared" si="443"/>
        <v>#N/A</v>
      </c>
      <c r="F205" s="302" t="e">
        <f t="shared" si="443"/>
        <v>#N/A</v>
      </c>
      <c r="G205" s="302" t="e">
        <f t="shared" si="443"/>
        <v>#N/A</v>
      </c>
      <c r="H205" s="302" t="e">
        <f t="shared" si="443"/>
        <v>#N/A</v>
      </c>
      <c r="I205" s="302" t="e">
        <f t="shared" si="443"/>
        <v>#N/A</v>
      </c>
      <c r="J205" s="302" t="e">
        <f t="shared" si="443"/>
        <v>#N/A</v>
      </c>
      <c r="K205" s="302" t="e">
        <f t="shared" si="443"/>
        <v>#N/A</v>
      </c>
      <c r="L205" s="302" t="e">
        <f t="shared" si="443"/>
        <v>#N/A</v>
      </c>
      <c r="M205" s="302" t="e">
        <f t="shared" si="443"/>
        <v>#N/A</v>
      </c>
      <c r="N205" s="302" t="e">
        <f t="shared" si="443"/>
        <v>#N/A</v>
      </c>
      <c r="O205" s="302" t="e">
        <f t="shared" si="443"/>
        <v>#N/A</v>
      </c>
      <c r="P205" s="302" t="e">
        <f t="shared" si="443"/>
        <v>#N/A</v>
      </c>
      <c r="Q205" s="302" t="e">
        <f t="shared" si="443"/>
        <v>#N/A</v>
      </c>
      <c r="R205" s="302" t="e">
        <f t="shared" si="443"/>
        <v>#N/A</v>
      </c>
      <c r="S205" s="302" t="e">
        <f t="shared" si="442"/>
        <v>#N/A</v>
      </c>
      <c r="T205" s="302" t="e">
        <f t="shared" si="442"/>
        <v>#N/A</v>
      </c>
      <c r="U205" s="302" t="e">
        <f t="shared" si="442"/>
        <v>#N/A</v>
      </c>
      <c r="V205" s="302" t="e">
        <f t="shared" si="442"/>
        <v>#N/A</v>
      </c>
      <c r="W205" s="302" t="e">
        <f t="shared" si="442"/>
        <v>#N/A</v>
      </c>
      <c r="X205" s="302" t="e">
        <f t="shared" si="442"/>
        <v>#N/A</v>
      </c>
      <c r="Y205" s="302" t="e">
        <f t="shared" si="442"/>
        <v>#N/A</v>
      </c>
      <c r="Z205" s="302" t="e">
        <f t="shared" si="442"/>
        <v>#N/A</v>
      </c>
      <c r="AA205" s="302" t="e">
        <f t="shared" si="442"/>
        <v>#N/A</v>
      </c>
      <c r="AB205" s="302" t="e">
        <f t="shared" si="442"/>
        <v>#N/A</v>
      </c>
      <c r="AC205" s="302" t="e">
        <f t="shared" si="442"/>
        <v>#N/A</v>
      </c>
      <c r="AD205" s="302" t="e">
        <f t="shared" si="442"/>
        <v>#N/A</v>
      </c>
      <c r="AE205" s="302" t="e">
        <f t="shared" si="442"/>
        <v>#N/A</v>
      </c>
      <c r="AF205" s="302" t="e">
        <f t="shared" si="442"/>
        <v>#N/A</v>
      </c>
      <c r="AG205" s="302" t="e">
        <f t="shared" si="442"/>
        <v>#N/A</v>
      </c>
      <c r="AH205" s="302" t="e">
        <f t="shared" si="442"/>
        <v>#N/A</v>
      </c>
      <c r="AI205" s="302" t="e">
        <f t="shared" si="442"/>
        <v>#N/A</v>
      </c>
      <c r="AJ205" s="302" t="e">
        <f t="shared" si="442"/>
        <v>#N/A</v>
      </c>
      <c r="AK205" s="302" t="e">
        <f t="shared" si="442"/>
        <v>#N/A</v>
      </c>
      <c r="AL205" s="302" t="e">
        <f t="shared" si="442"/>
        <v>#N/A</v>
      </c>
      <c r="AM205" s="302" t="e">
        <f t="shared" si="442"/>
        <v>#N/A</v>
      </c>
      <c r="AN205" s="302" t="e">
        <f t="shared" si="442"/>
        <v>#N/A</v>
      </c>
      <c r="AO205" s="302" t="e">
        <f t="shared" si="442"/>
        <v>#N/A</v>
      </c>
      <c r="AP205" s="302" t="e">
        <f t="shared" si="442"/>
        <v>#N/A</v>
      </c>
    </row>
    <row r="206" spans="1:42" s="181" customFormat="1" ht="13.8" x14ac:dyDescent="0.3">
      <c r="A206" s="321" t="str">
        <f t="shared" si="441"/>
        <v>5-yr SL</v>
      </c>
      <c r="B206" s="322" cm="1">
        <f t="array" ref="B206">SUM(IF(ISNUMBER(C206:AP206),C206:AP206))</f>
        <v>0</v>
      </c>
      <c r="C206" s="302" t="e">
        <f t="shared" si="443"/>
        <v>#N/A</v>
      </c>
      <c r="D206" s="302" t="e">
        <f t="shared" si="442"/>
        <v>#N/A</v>
      </c>
      <c r="E206" s="302" t="e">
        <f t="shared" si="442"/>
        <v>#N/A</v>
      </c>
      <c r="F206" s="302" t="e">
        <f t="shared" si="442"/>
        <v>#N/A</v>
      </c>
      <c r="G206" s="302" t="e">
        <f t="shared" si="442"/>
        <v>#N/A</v>
      </c>
      <c r="H206" s="302" t="e">
        <f t="shared" si="442"/>
        <v>#N/A</v>
      </c>
      <c r="I206" s="302" t="e">
        <f t="shared" si="442"/>
        <v>#N/A</v>
      </c>
      <c r="J206" s="302" t="e">
        <f t="shared" si="442"/>
        <v>#N/A</v>
      </c>
      <c r="K206" s="302" t="e">
        <f t="shared" si="442"/>
        <v>#N/A</v>
      </c>
      <c r="L206" s="302" t="e">
        <f t="shared" si="442"/>
        <v>#N/A</v>
      </c>
      <c r="M206" s="302" t="e">
        <f t="shared" si="442"/>
        <v>#N/A</v>
      </c>
      <c r="N206" s="302" t="e">
        <f t="shared" si="442"/>
        <v>#N/A</v>
      </c>
      <c r="O206" s="302" t="e">
        <f t="shared" si="442"/>
        <v>#N/A</v>
      </c>
      <c r="P206" s="302" t="e">
        <f t="shared" si="442"/>
        <v>#N/A</v>
      </c>
      <c r="Q206" s="302" t="e">
        <f t="shared" si="442"/>
        <v>#N/A</v>
      </c>
      <c r="R206" s="302" t="e">
        <f t="shared" si="442"/>
        <v>#N/A</v>
      </c>
      <c r="S206" s="302" t="e">
        <f t="shared" si="442"/>
        <v>#N/A</v>
      </c>
      <c r="T206" s="302" t="e">
        <f t="shared" si="442"/>
        <v>#N/A</v>
      </c>
      <c r="U206" s="302" t="e">
        <f t="shared" si="442"/>
        <v>#N/A</v>
      </c>
      <c r="V206" s="302" t="e">
        <f t="shared" si="442"/>
        <v>#N/A</v>
      </c>
      <c r="W206" s="302" t="e">
        <f t="shared" si="442"/>
        <v>#N/A</v>
      </c>
      <c r="X206" s="302" t="e">
        <f t="shared" si="442"/>
        <v>#N/A</v>
      </c>
      <c r="Y206" s="302" t="e">
        <f t="shared" si="442"/>
        <v>#N/A</v>
      </c>
      <c r="Z206" s="302" t="e">
        <f t="shared" si="442"/>
        <v>#N/A</v>
      </c>
      <c r="AA206" s="302" t="e">
        <f t="shared" si="442"/>
        <v>#N/A</v>
      </c>
      <c r="AB206" s="302" t="e">
        <f t="shared" si="442"/>
        <v>#N/A</v>
      </c>
      <c r="AC206" s="302" t="e">
        <f t="shared" si="442"/>
        <v>#N/A</v>
      </c>
      <c r="AD206" s="302" t="e">
        <f t="shared" si="442"/>
        <v>#N/A</v>
      </c>
      <c r="AE206" s="302" t="e">
        <f t="shared" si="442"/>
        <v>#N/A</v>
      </c>
      <c r="AF206" s="302" t="e">
        <f t="shared" si="442"/>
        <v>#N/A</v>
      </c>
      <c r="AG206" s="302" t="e">
        <f t="shared" si="442"/>
        <v>#N/A</v>
      </c>
      <c r="AH206" s="302" t="e">
        <f t="shared" si="442"/>
        <v>#N/A</v>
      </c>
      <c r="AI206" s="302" t="e">
        <f t="shared" si="442"/>
        <v>#N/A</v>
      </c>
      <c r="AJ206" s="302" t="e">
        <f t="shared" si="442"/>
        <v>#N/A</v>
      </c>
      <c r="AK206" s="302" t="e">
        <f t="shared" si="442"/>
        <v>#N/A</v>
      </c>
      <c r="AL206" s="302" t="e">
        <f t="shared" si="442"/>
        <v>#N/A</v>
      </c>
      <c r="AM206" s="302" t="e">
        <f t="shared" si="442"/>
        <v>#N/A</v>
      </c>
      <c r="AN206" s="302" t="e">
        <f t="shared" si="442"/>
        <v>#N/A</v>
      </c>
      <c r="AO206" s="302" t="e">
        <f t="shared" si="442"/>
        <v>#N/A</v>
      </c>
      <c r="AP206" s="302" t="e">
        <f t="shared" si="442"/>
        <v>#N/A</v>
      </c>
    </row>
    <row r="207" spans="1:42" s="181" customFormat="1" ht="13.8" x14ac:dyDescent="0.3">
      <c r="A207" s="321" t="str">
        <f t="shared" si="441"/>
        <v>15-yr SL</v>
      </c>
      <c r="B207" s="322" cm="1">
        <f t="array" ref="B207">SUM(IF(ISNUMBER(C207:AP207),C207:AP207))</f>
        <v>0</v>
      </c>
      <c r="C207" s="302" t="e">
        <f t="shared" si="443"/>
        <v>#N/A</v>
      </c>
      <c r="D207" s="302" t="e">
        <f t="shared" si="442"/>
        <v>#N/A</v>
      </c>
      <c r="E207" s="302" t="e">
        <f t="shared" si="442"/>
        <v>#N/A</v>
      </c>
      <c r="F207" s="302" t="e">
        <f t="shared" si="442"/>
        <v>#N/A</v>
      </c>
      <c r="G207" s="302" t="e">
        <f t="shared" si="442"/>
        <v>#N/A</v>
      </c>
      <c r="H207" s="302" t="e">
        <f t="shared" si="442"/>
        <v>#N/A</v>
      </c>
      <c r="I207" s="302" t="e">
        <f t="shared" si="442"/>
        <v>#N/A</v>
      </c>
      <c r="J207" s="302" t="e">
        <f t="shared" si="442"/>
        <v>#N/A</v>
      </c>
      <c r="K207" s="302" t="e">
        <f t="shared" si="442"/>
        <v>#N/A</v>
      </c>
      <c r="L207" s="302" t="e">
        <f t="shared" si="442"/>
        <v>#N/A</v>
      </c>
      <c r="M207" s="302" t="e">
        <f t="shared" si="442"/>
        <v>#N/A</v>
      </c>
      <c r="N207" s="302" t="e">
        <f t="shared" si="442"/>
        <v>#N/A</v>
      </c>
      <c r="O207" s="302" t="e">
        <f t="shared" si="442"/>
        <v>#N/A</v>
      </c>
      <c r="P207" s="302" t="e">
        <f t="shared" si="442"/>
        <v>#N/A</v>
      </c>
      <c r="Q207" s="302" t="e">
        <f t="shared" si="442"/>
        <v>#N/A</v>
      </c>
      <c r="R207" s="302" t="e">
        <f t="shared" si="442"/>
        <v>#N/A</v>
      </c>
      <c r="S207" s="302" t="e">
        <f t="shared" si="442"/>
        <v>#N/A</v>
      </c>
      <c r="T207" s="302" t="e">
        <f t="shared" si="442"/>
        <v>#N/A</v>
      </c>
      <c r="U207" s="302" t="e">
        <f t="shared" si="442"/>
        <v>#N/A</v>
      </c>
      <c r="V207" s="302" t="e">
        <f t="shared" si="442"/>
        <v>#N/A</v>
      </c>
      <c r="W207" s="302" t="e">
        <f t="shared" si="442"/>
        <v>#N/A</v>
      </c>
      <c r="X207" s="302" t="e">
        <f t="shared" si="442"/>
        <v>#N/A</v>
      </c>
      <c r="Y207" s="302" t="e">
        <f t="shared" si="442"/>
        <v>#N/A</v>
      </c>
      <c r="Z207" s="302" t="e">
        <f t="shared" si="442"/>
        <v>#N/A</v>
      </c>
      <c r="AA207" s="302" t="e">
        <f t="shared" si="442"/>
        <v>#N/A</v>
      </c>
      <c r="AB207" s="302" t="e">
        <f t="shared" si="442"/>
        <v>#N/A</v>
      </c>
      <c r="AC207" s="302" t="e">
        <f t="shared" si="442"/>
        <v>#N/A</v>
      </c>
      <c r="AD207" s="302" t="e">
        <f t="shared" si="442"/>
        <v>#N/A</v>
      </c>
      <c r="AE207" s="302" t="e">
        <f t="shared" si="442"/>
        <v>#N/A</v>
      </c>
      <c r="AF207" s="302" t="e">
        <f t="shared" si="442"/>
        <v>#N/A</v>
      </c>
      <c r="AG207" s="302" t="e">
        <f t="shared" si="442"/>
        <v>#N/A</v>
      </c>
      <c r="AH207" s="302" t="e">
        <f t="shared" si="442"/>
        <v>#N/A</v>
      </c>
      <c r="AI207" s="302" t="e">
        <f t="shared" si="442"/>
        <v>#N/A</v>
      </c>
      <c r="AJ207" s="302" t="e">
        <f t="shared" si="442"/>
        <v>#N/A</v>
      </c>
      <c r="AK207" s="302" t="e">
        <f t="shared" si="442"/>
        <v>#N/A</v>
      </c>
      <c r="AL207" s="302" t="e">
        <f t="shared" si="442"/>
        <v>#N/A</v>
      </c>
      <c r="AM207" s="302" t="e">
        <f t="shared" si="442"/>
        <v>#N/A</v>
      </c>
      <c r="AN207" s="302" t="e">
        <f t="shared" si="442"/>
        <v>#N/A</v>
      </c>
      <c r="AO207" s="302" t="e">
        <f t="shared" si="442"/>
        <v>#N/A</v>
      </c>
      <c r="AP207" s="302" t="e">
        <f t="shared" si="442"/>
        <v>#N/A</v>
      </c>
    </row>
    <row r="208" spans="1:42" s="181" customFormat="1" ht="13.8" x14ac:dyDescent="0.3">
      <c r="A208" s="321" t="str">
        <f t="shared" si="441"/>
        <v>20-yr SL</v>
      </c>
      <c r="B208" s="322" cm="1">
        <f t="array" ref="B208">SUM(IF(ISNUMBER(C208:AP208),C208:AP208))</f>
        <v>0</v>
      </c>
      <c r="C208" s="302" t="e">
        <f t="shared" si="443"/>
        <v>#N/A</v>
      </c>
      <c r="D208" s="302" t="e">
        <f t="shared" si="442"/>
        <v>#N/A</v>
      </c>
      <c r="E208" s="302" t="e">
        <f t="shared" si="442"/>
        <v>#N/A</v>
      </c>
      <c r="F208" s="302" t="e">
        <f t="shared" si="442"/>
        <v>#N/A</v>
      </c>
      <c r="G208" s="302" t="e">
        <f t="shared" si="442"/>
        <v>#N/A</v>
      </c>
      <c r="H208" s="302" t="e">
        <f t="shared" si="442"/>
        <v>#N/A</v>
      </c>
      <c r="I208" s="302" t="e">
        <f t="shared" si="442"/>
        <v>#N/A</v>
      </c>
      <c r="J208" s="302" t="e">
        <f t="shared" si="442"/>
        <v>#N/A</v>
      </c>
      <c r="K208" s="302" t="e">
        <f t="shared" si="442"/>
        <v>#N/A</v>
      </c>
      <c r="L208" s="302" t="e">
        <f t="shared" si="442"/>
        <v>#N/A</v>
      </c>
      <c r="M208" s="302" t="e">
        <f t="shared" si="442"/>
        <v>#N/A</v>
      </c>
      <c r="N208" s="302" t="e">
        <f t="shared" si="442"/>
        <v>#N/A</v>
      </c>
      <c r="O208" s="302" t="e">
        <f t="shared" si="442"/>
        <v>#N/A</v>
      </c>
      <c r="P208" s="302" t="e">
        <f t="shared" si="442"/>
        <v>#N/A</v>
      </c>
      <c r="Q208" s="302" t="e">
        <f t="shared" si="442"/>
        <v>#N/A</v>
      </c>
      <c r="R208" s="302" t="e">
        <f t="shared" si="442"/>
        <v>#N/A</v>
      </c>
      <c r="S208" s="302" t="e">
        <f t="shared" si="442"/>
        <v>#N/A</v>
      </c>
      <c r="T208" s="302" t="e">
        <f t="shared" si="442"/>
        <v>#N/A</v>
      </c>
      <c r="U208" s="302" t="e">
        <f t="shared" si="442"/>
        <v>#N/A</v>
      </c>
      <c r="V208" s="302" t="e">
        <f t="shared" si="442"/>
        <v>#N/A</v>
      </c>
      <c r="W208" s="302" t="e">
        <f t="shared" si="442"/>
        <v>#N/A</v>
      </c>
      <c r="X208" s="302" t="e">
        <f t="shared" si="442"/>
        <v>#N/A</v>
      </c>
      <c r="Y208" s="302" t="e">
        <f t="shared" si="442"/>
        <v>#N/A</v>
      </c>
      <c r="Z208" s="302" t="e">
        <f t="shared" si="442"/>
        <v>#N/A</v>
      </c>
      <c r="AA208" s="302" t="e">
        <f t="shared" si="442"/>
        <v>#N/A</v>
      </c>
      <c r="AB208" s="302" t="e">
        <f t="shared" si="442"/>
        <v>#N/A</v>
      </c>
      <c r="AC208" s="302" t="e">
        <f t="shared" si="442"/>
        <v>#N/A</v>
      </c>
      <c r="AD208" s="302" t="e">
        <f t="shared" si="442"/>
        <v>#N/A</v>
      </c>
      <c r="AE208" s="302" t="e">
        <f t="shared" si="442"/>
        <v>#N/A</v>
      </c>
      <c r="AF208" s="302" t="e">
        <f t="shared" si="442"/>
        <v>#N/A</v>
      </c>
      <c r="AG208" s="302" t="e">
        <f t="shared" si="442"/>
        <v>#N/A</v>
      </c>
      <c r="AH208" s="302" t="e">
        <f t="shared" si="442"/>
        <v>#N/A</v>
      </c>
      <c r="AI208" s="302" t="e">
        <f t="shared" si="442"/>
        <v>#N/A</v>
      </c>
      <c r="AJ208" s="302" t="e">
        <f t="shared" si="442"/>
        <v>#N/A</v>
      </c>
      <c r="AK208" s="302" t="e">
        <f t="shared" si="442"/>
        <v>#N/A</v>
      </c>
      <c r="AL208" s="302" t="e">
        <f t="shared" si="442"/>
        <v>#N/A</v>
      </c>
      <c r="AM208" s="302" t="e">
        <f t="shared" si="442"/>
        <v>#N/A</v>
      </c>
      <c r="AN208" s="302" t="e">
        <f t="shared" si="442"/>
        <v>#N/A</v>
      </c>
      <c r="AO208" s="302" t="e">
        <f t="shared" si="442"/>
        <v>#N/A</v>
      </c>
      <c r="AP208" s="302" t="e">
        <f t="shared" si="442"/>
        <v>#N/A</v>
      </c>
    </row>
    <row r="209" spans="1:42" s="181" customFormat="1" ht="13.8" x14ac:dyDescent="0.3">
      <c r="A209" s="321" t="str">
        <f t="shared" si="441"/>
        <v>39-yr SL</v>
      </c>
      <c r="B209" s="322" cm="1">
        <f t="array" ref="B209">SUM(IF(ISNUMBER(C209:AP209),C209:AP209))</f>
        <v>0</v>
      </c>
      <c r="C209" s="302" t="e">
        <f t="shared" si="443"/>
        <v>#N/A</v>
      </c>
      <c r="D209" s="302" t="e">
        <f t="shared" si="442"/>
        <v>#N/A</v>
      </c>
      <c r="E209" s="302" t="e">
        <f t="shared" si="442"/>
        <v>#N/A</v>
      </c>
      <c r="F209" s="302" t="e">
        <f t="shared" si="442"/>
        <v>#N/A</v>
      </c>
      <c r="G209" s="302" t="e">
        <f t="shared" si="442"/>
        <v>#N/A</v>
      </c>
      <c r="H209" s="302" t="e">
        <f t="shared" si="442"/>
        <v>#N/A</v>
      </c>
      <c r="I209" s="302" t="e">
        <f t="shared" si="442"/>
        <v>#N/A</v>
      </c>
      <c r="J209" s="302" t="e">
        <f t="shared" si="442"/>
        <v>#N/A</v>
      </c>
      <c r="K209" s="302" t="e">
        <f t="shared" si="442"/>
        <v>#N/A</v>
      </c>
      <c r="L209" s="302" t="e">
        <f t="shared" si="442"/>
        <v>#N/A</v>
      </c>
      <c r="M209" s="302" t="e">
        <f t="shared" si="442"/>
        <v>#N/A</v>
      </c>
      <c r="N209" s="302" t="e">
        <f t="shared" si="442"/>
        <v>#N/A</v>
      </c>
      <c r="O209" s="302" t="e">
        <f t="shared" si="442"/>
        <v>#N/A</v>
      </c>
      <c r="P209" s="302" t="e">
        <f t="shared" si="442"/>
        <v>#N/A</v>
      </c>
      <c r="Q209" s="302" t="e">
        <f t="shared" si="442"/>
        <v>#N/A</v>
      </c>
      <c r="R209" s="302" t="e">
        <f t="shared" si="442"/>
        <v>#N/A</v>
      </c>
      <c r="S209" s="302" t="e">
        <f t="shared" si="442"/>
        <v>#N/A</v>
      </c>
      <c r="T209" s="302" t="e">
        <f t="shared" si="442"/>
        <v>#N/A</v>
      </c>
      <c r="U209" s="302" t="e">
        <f t="shared" si="442"/>
        <v>#N/A</v>
      </c>
      <c r="V209" s="302" t="e">
        <f t="shared" si="442"/>
        <v>#N/A</v>
      </c>
      <c r="W209" s="302" t="e">
        <f t="shared" si="442"/>
        <v>#N/A</v>
      </c>
      <c r="X209" s="302" t="e">
        <f t="shared" si="442"/>
        <v>#N/A</v>
      </c>
      <c r="Y209" s="302" t="e">
        <f t="shared" si="442"/>
        <v>#N/A</v>
      </c>
      <c r="Z209" s="302" t="e">
        <f t="shared" si="442"/>
        <v>#N/A</v>
      </c>
      <c r="AA209" s="302" t="e">
        <f t="shared" si="442"/>
        <v>#N/A</v>
      </c>
      <c r="AB209" s="302" t="e">
        <f t="shared" si="442"/>
        <v>#N/A</v>
      </c>
      <c r="AC209" s="302" t="e">
        <f t="shared" si="442"/>
        <v>#N/A</v>
      </c>
      <c r="AD209" s="302" t="e">
        <f t="shared" si="442"/>
        <v>#N/A</v>
      </c>
      <c r="AE209" s="302" t="e">
        <f t="shared" si="442"/>
        <v>#N/A</v>
      </c>
      <c r="AF209" s="302" t="e">
        <f t="shared" si="442"/>
        <v>#N/A</v>
      </c>
      <c r="AG209" s="302" t="e">
        <f t="shared" si="442"/>
        <v>#N/A</v>
      </c>
      <c r="AH209" s="302" t="e">
        <f t="shared" si="442"/>
        <v>#N/A</v>
      </c>
      <c r="AI209" s="302" t="e">
        <f t="shared" si="442"/>
        <v>#N/A</v>
      </c>
      <c r="AJ209" s="302" t="e">
        <f t="shared" si="442"/>
        <v>#N/A</v>
      </c>
      <c r="AK209" s="302" t="e">
        <f t="shared" si="442"/>
        <v>#N/A</v>
      </c>
      <c r="AL209" s="302" t="e">
        <f t="shared" si="442"/>
        <v>#N/A</v>
      </c>
      <c r="AM209" s="302" t="e">
        <f t="shared" si="442"/>
        <v>#N/A</v>
      </c>
      <c r="AN209" s="302" t="e">
        <f t="shared" si="442"/>
        <v>#N/A</v>
      </c>
      <c r="AO209" s="302" t="e">
        <f t="shared" si="442"/>
        <v>#N/A</v>
      </c>
      <c r="AP209" s="302" t="e">
        <f t="shared" si="442"/>
        <v>#N/A</v>
      </c>
    </row>
    <row r="210" spans="1:42" s="181" customFormat="1" ht="13.8" x14ac:dyDescent="0.3">
      <c r="A210" s="321" t="s">
        <v>257</v>
      </c>
      <c r="B210" s="322" cm="1">
        <f t="array" ref="B210">SUM(IF(ISNUMBER(C210:AP210),C210:AP210))</f>
        <v>0</v>
      </c>
      <c r="C210" s="302">
        <f t="shared" si="443"/>
        <v>0</v>
      </c>
      <c r="D210" s="302">
        <f t="shared" si="442"/>
        <v>0</v>
      </c>
      <c r="E210" s="302">
        <f t="shared" si="442"/>
        <v>0</v>
      </c>
      <c r="F210" s="302">
        <f t="shared" si="442"/>
        <v>0</v>
      </c>
      <c r="G210" s="302">
        <f t="shared" si="442"/>
        <v>0</v>
      </c>
      <c r="H210" s="302">
        <f t="shared" si="442"/>
        <v>0</v>
      </c>
      <c r="I210" s="302">
        <f t="shared" si="442"/>
        <v>0</v>
      </c>
      <c r="J210" s="302">
        <f t="shared" si="442"/>
        <v>0</v>
      </c>
      <c r="K210" s="302">
        <f t="shared" si="442"/>
        <v>0</v>
      </c>
      <c r="L210" s="302">
        <f t="shared" si="442"/>
        <v>0</v>
      </c>
      <c r="M210" s="302">
        <f t="shared" si="442"/>
        <v>0</v>
      </c>
      <c r="N210" s="302">
        <f t="shared" si="442"/>
        <v>0</v>
      </c>
      <c r="O210" s="302">
        <f t="shared" si="442"/>
        <v>0</v>
      </c>
      <c r="P210" s="302">
        <f t="shared" si="442"/>
        <v>0</v>
      </c>
      <c r="Q210" s="302">
        <f t="shared" si="442"/>
        <v>0</v>
      </c>
      <c r="R210" s="302">
        <f t="shared" si="442"/>
        <v>0</v>
      </c>
      <c r="S210" s="302">
        <f t="shared" si="442"/>
        <v>0</v>
      </c>
      <c r="T210" s="302">
        <f t="shared" si="442"/>
        <v>0</v>
      </c>
      <c r="U210" s="302">
        <f t="shared" si="442"/>
        <v>0</v>
      </c>
      <c r="V210" s="302">
        <f t="shared" si="442"/>
        <v>0</v>
      </c>
      <c r="W210" s="302">
        <f t="shared" si="442"/>
        <v>0</v>
      </c>
      <c r="X210" s="302">
        <f t="shared" si="442"/>
        <v>0</v>
      </c>
      <c r="Y210" s="302">
        <f t="shared" si="442"/>
        <v>0</v>
      </c>
      <c r="Z210" s="302">
        <f t="shared" si="442"/>
        <v>0</v>
      </c>
      <c r="AA210" s="302">
        <f t="shared" si="442"/>
        <v>0</v>
      </c>
      <c r="AB210" s="302">
        <f t="shared" si="442"/>
        <v>0</v>
      </c>
      <c r="AC210" s="302">
        <f t="shared" si="442"/>
        <v>0</v>
      </c>
      <c r="AD210" s="302">
        <f t="shared" si="442"/>
        <v>0</v>
      </c>
      <c r="AE210" s="302">
        <f t="shared" si="442"/>
        <v>0</v>
      </c>
      <c r="AF210" s="302">
        <f t="shared" si="442"/>
        <v>0</v>
      </c>
      <c r="AG210" s="302">
        <f t="shared" si="442"/>
        <v>0</v>
      </c>
      <c r="AH210" s="302">
        <f t="shared" si="442"/>
        <v>0</v>
      </c>
      <c r="AI210" s="302">
        <f t="shared" si="442"/>
        <v>0</v>
      </c>
      <c r="AJ210" s="302">
        <f t="shared" si="442"/>
        <v>0</v>
      </c>
      <c r="AK210" s="302">
        <f t="shared" si="442"/>
        <v>0</v>
      </c>
      <c r="AL210" s="302">
        <f t="shared" si="442"/>
        <v>0</v>
      </c>
      <c r="AM210" s="302">
        <f t="shared" si="442"/>
        <v>0</v>
      </c>
      <c r="AN210" s="302">
        <f t="shared" ref="AN210:AP210" si="444">AN202/100*$Q167</f>
        <v>0</v>
      </c>
      <c r="AO210" s="302">
        <f t="shared" si="444"/>
        <v>0</v>
      </c>
      <c r="AP210" s="302">
        <f t="shared" si="444"/>
        <v>0</v>
      </c>
    </row>
    <row r="211" spans="1:42" s="181" customFormat="1" ht="13.8" x14ac:dyDescent="0.3">
      <c r="A211" s="321" t="s">
        <v>304</v>
      </c>
      <c r="B211" s="322" cm="1">
        <f t="array" ref="B211">SUM(IF(ISNUMBER(C211:AP211),C211:AP211))</f>
        <v>0</v>
      </c>
      <c r="C211" s="326">
        <f>P168</f>
        <v>0</v>
      </c>
      <c r="D211" s="326">
        <v>0</v>
      </c>
      <c r="E211" s="326">
        <v>0</v>
      </c>
      <c r="F211" s="326">
        <v>0</v>
      </c>
      <c r="G211" s="326">
        <v>0</v>
      </c>
      <c r="H211" s="326">
        <v>0</v>
      </c>
      <c r="I211" s="326">
        <v>0</v>
      </c>
      <c r="J211" s="326">
        <v>0</v>
      </c>
      <c r="K211" s="326">
        <v>0</v>
      </c>
      <c r="L211" s="326">
        <v>0</v>
      </c>
      <c r="M211" s="326">
        <v>0</v>
      </c>
      <c r="N211" s="326">
        <v>0</v>
      </c>
      <c r="O211" s="326">
        <v>0</v>
      </c>
      <c r="P211" s="326">
        <v>0</v>
      </c>
      <c r="Q211" s="326">
        <v>0</v>
      </c>
      <c r="R211" s="326">
        <v>0</v>
      </c>
      <c r="S211" s="326">
        <v>0</v>
      </c>
      <c r="T211" s="326">
        <v>0</v>
      </c>
      <c r="U211" s="326">
        <v>0</v>
      </c>
      <c r="V211" s="326">
        <v>0</v>
      </c>
      <c r="W211" s="326">
        <v>0</v>
      </c>
      <c r="X211" s="326">
        <v>0</v>
      </c>
      <c r="Y211" s="326">
        <v>0</v>
      </c>
      <c r="Z211" s="326">
        <v>0</v>
      </c>
      <c r="AA211" s="326">
        <v>0</v>
      </c>
      <c r="AB211" s="326">
        <v>0</v>
      </c>
      <c r="AC211" s="326">
        <v>0</v>
      </c>
      <c r="AD211" s="326">
        <v>0</v>
      </c>
      <c r="AE211" s="326">
        <v>0</v>
      </c>
      <c r="AF211" s="326">
        <v>0</v>
      </c>
      <c r="AG211" s="326">
        <v>0</v>
      </c>
      <c r="AH211" s="326">
        <v>0</v>
      </c>
      <c r="AI211" s="326">
        <v>0</v>
      </c>
      <c r="AJ211" s="326">
        <v>0</v>
      </c>
      <c r="AK211" s="326">
        <v>0</v>
      </c>
      <c r="AL211" s="326">
        <v>0</v>
      </c>
      <c r="AM211" s="326">
        <v>0</v>
      </c>
      <c r="AN211" s="326">
        <v>0</v>
      </c>
      <c r="AO211" s="326">
        <v>0</v>
      </c>
      <c r="AP211" s="326">
        <v>0</v>
      </c>
    </row>
    <row r="212" spans="1:42" s="181" customFormat="1" ht="13.8" x14ac:dyDescent="0.3">
      <c r="A212" s="209"/>
      <c r="B212" s="324" cm="1">
        <f t="array" ref="B212">SUM(IF(ISNUMBER(C212:AP212),C212:AP212))</f>
        <v>0</v>
      </c>
      <c r="C212" s="302" t="e">
        <f>SUM(C204:C211)</f>
        <v>#N/A</v>
      </c>
      <c r="D212" s="302" t="e">
        <f>SUM(D204:D211)</f>
        <v>#N/A</v>
      </c>
      <c r="E212" s="302" t="e">
        <f t="shared" ref="E212:AP212" si="445">SUM(E204:E211)</f>
        <v>#N/A</v>
      </c>
      <c r="F212" s="302" t="e">
        <f t="shared" si="445"/>
        <v>#N/A</v>
      </c>
      <c r="G212" s="302" t="e">
        <f t="shared" si="445"/>
        <v>#N/A</v>
      </c>
      <c r="H212" s="302" t="e">
        <f t="shared" si="445"/>
        <v>#N/A</v>
      </c>
      <c r="I212" s="302" t="e">
        <f t="shared" si="445"/>
        <v>#N/A</v>
      </c>
      <c r="J212" s="302" t="e">
        <f t="shared" si="445"/>
        <v>#N/A</v>
      </c>
      <c r="K212" s="302" t="e">
        <f t="shared" si="445"/>
        <v>#N/A</v>
      </c>
      <c r="L212" s="302" t="e">
        <f t="shared" si="445"/>
        <v>#N/A</v>
      </c>
      <c r="M212" s="302" t="e">
        <f t="shared" si="445"/>
        <v>#N/A</v>
      </c>
      <c r="N212" s="302" t="e">
        <f t="shared" si="445"/>
        <v>#N/A</v>
      </c>
      <c r="O212" s="302" t="e">
        <f t="shared" si="445"/>
        <v>#N/A</v>
      </c>
      <c r="P212" s="302" t="e">
        <f t="shared" si="445"/>
        <v>#N/A</v>
      </c>
      <c r="Q212" s="302" t="e">
        <f t="shared" si="445"/>
        <v>#N/A</v>
      </c>
      <c r="R212" s="302" t="e">
        <f t="shared" si="445"/>
        <v>#N/A</v>
      </c>
      <c r="S212" s="302" t="e">
        <f t="shared" si="445"/>
        <v>#N/A</v>
      </c>
      <c r="T212" s="302" t="e">
        <f t="shared" si="445"/>
        <v>#N/A</v>
      </c>
      <c r="U212" s="302" t="e">
        <f t="shared" si="445"/>
        <v>#N/A</v>
      </c>
      <c r="V212" s="302" t="e">
        <f t="shared" si="445"/>
        <v>#N/A</v>
      </c>
      <c r="W212" s="302" t="e">
        <f t="shared" si="445"/>
        <v>#N/A</v>
      </c>
      <c r="X212" s="302" t="e">
        <f t="shared" si="445"/>
        <v>#N/A</v>
      </c>
      <c r="Y212" s="302" t="e">
        <f t="shared" si="445"/>
        <v>#N/A</v>
      </c>
      <c r="Z212" s="302" t="e">
        <f t="shared" si="445"/>
        <v>#N/A</v>
      </c>
      <c r="AA212" s="302" t="e">
        <f t="shared" si="445"/>
        <v>#N/A</v>
      </c>
      <c r="AB212" s="302" t="e">
        <f t="shared" si="445"/>
        <v>#N/A</v>
      </c>
      <c r="AC212" s="302" t="e">
        <f t="shared" si="445"/>
        <v>#N/A</v>
      </c>
      <c r="AD212" s="302" t="e">
        <f t="shared" si="445"/>
        <v>#N/A</v>
      </c>
      <c r="AE212" s="302" t="e">
        <f t="shared" si="445"/>
        <v>#N/A</v>
      </c>
      <c r="AF212" s="302" t="e">
        <f t="shared" si="445"/>
        <v>#N/A</v>
      </c>
      <c r="AG212" s="302" t="e">
        <f t="shared" si="445"/>
        <v>#N/A</v>
      </c>
      <c r="AH212" s="302" t="e">
        <f t="shared" si="445"/>
        <v>#N/A</v>
      </c>
      <c r="AI212" s="302" t="e">
        <f t="shared" si="445"/>
        <v>#N/A</v>
      </c>
      <c r="AJ212" s="302" t="e">
        <f t="shared" si="445"/>
        <v>#N/A</v>
      </c>
      <c r="AK212" s="302" t="e">
        <f t="shared" si="445"/>
        <v>#N/A</v>
      </c>
      <c r="AL212" s="302" t="e">
        <f t="shared" si="445"/>
        <v>#N/A</v>
      </c>
      <c r="AM212" s="302" t="e">
        <f t="shared" si="445"/>
        <v>#N/A</v>
      </c>
      <c r="AN212" s="302" t="e">
        <f t="shared" si="445"/>
        <v>#N/A</v>
      </c>
      <c r="AO212" s="302" t="e">
        <f t="shared" si="445"/>
        <v>#N/A</v>
      </c>
      <c r="AP212" s="302" t="e">
        <f t="shared" si="445"/>
        <v>#N/A</v>
      </c>
    </row>
    <row r="213" spans="1:42" s="181" customFormat="1" ht="13.8" x14ac:dyDescent="0.3">
      <c r="A213" s="209"/>
    </row>
    <row r="214" spans="1:42" s="181" customFormat="1" ht="13.8" x14ac:dyDescent="0.3">
      <c r="A214" s="209"/>
      <c r="C214" s="325"/>
      <c r="D214" s="325"/>
      <c r="E214" s="325"/>
      <c r="F214" s="325"/>
      <c r="G214" s="325"/>
      <c r="H214" s="325"/>
      <c r="I214" s="325"/>
      <c r="J214" s="325"/>
      <c r="K214" s="325"/>
      <c r="L214" s="325"/>
      <c r="M214" s="325"/>
      <c r="N214" s="325"/>
      <c r="O214" s="325"/>
      <c r="P214" s="325"/>
      <c r="Q214" s="325"/>
      <c r="R214" s="325"/>
      <c r="S214" s="325"/>
      <c r="T214" s="325"/>
      <c r="U214" s="325"/>
      <c r="V214" s="325"/>
      <c r="W214" s="325"/>
      <c r="X214" s="325"/>
      <c r="Y214" s="325"/>
      <c r="Z214" s="325"/>
      <c r="AA214" s="325"/>
      <c r="AB214" s="325"/>
      <c r="AC214" s="325"/>
      <c r="AD214" s="325"/>
      <c r="AE214" s="325"/>
      <c r="AF214" s="325"/>
      <c r="AG214" s="325"/>
      <c r="AH214" s="325"/>
      <c r="AI214" s="325"/>
      <c r="AJ214" s="325"/>
      <c r="AK214" s="325"/>
      <c r="AL214" s="325"/>
      <c r="AM214" s="325"/>
      <c r="AN214" s="325"/>
      <c r="AO214" s="325"/>
      <c r="AP214" s="325"/>
    </row>
    <row r="215" spans="1:42" s="181" customFormat="1" ht="13.8" x14ac:dyDescent="0.3">
      <c r="A215" s="206" t="s">
        <v>305</v>
      </c>
    </row>
    <row r="216" spans="1:42" s="181" customFormat="1" ht="15" customHeight="1" x14ac:dyDescent="0.3">
      <c r="A216" s="327" t="s">
        <v>306</v>
      </c>
      <c r="B216" s="351" t="s">
        <v>274</v>
      </c>
      <c r="C216" s="353"/>
      <c r="D216" s="346" t="s">
        <v>275</v>
      </c>
      <c r="E216" s="347"/>
      <c r="F216" s="348"/>
      <c r="G216" s="346" t="s">
        <v>276</v>
      </c>
      <c r="H216" s="347"/>
      <c r="I216" s="347"/>
      <c r="J216" s="348"/>
      <c r="K216" s="349" t="s">
        <v>277</v>
      </c>
      <c r="L216" s="350"/>
      <c r="M216" s="351" t="s">
        <v>278</v>
      </c>
      <c r="N216" s="352"/>
      <c r="O216" s="353"/>
      <c r="P216" s="293" t="s">
        <v>279</v>
      </c>
      <c r="Q216" s="344" t="s">
        <v>306</v>
      </c>
    </row>
    <row r="217" spans="1:42" s="181" customFormat="1" ht="41.4" x14ac:dyDescent="0.3">
      <c r="A217" s="294" t="s">
        <v>307</v>
      </c>
      <c r="B217" s="295" t="s">
        <v>281</v>
      </c>
      <c r="C217" s="296" t="s">
        <v>282</v>
      </c>
      <c r="D217" s="297" t="s">
        <v>283</v>
      </c>
      <c r="E217" s="298" t="s">
        <v>284</v>
      </c>
      <c r="F217" s="298" t="s">
        <v>285</v>
      </c>
      <c r="G217" s="295" t="s">
        <v>286</v>
      </c>
      <c r="H217" s="296" t="s">
        <v>287</v>
      </c>
      <c r="I217" s="296" t="s">
        <v>288</v>
      </c>
      <c r="J217" s="296" t="s">
        <v>308</v>
      </c>
      <c r="K217" s="295" t="s">
        <v>290</v>
      </c>
      <c r="L217" s="296" t="s">
        <v>309</v>
      </c>
      <c r="M217" s="295" t="s">
        <v>292</v>
      </c>
      <c r="N217" s="296" t="s">
        <v>293</v>
      </c>
      <c r="O217" s="328" t="s">
        <v>294</v>
      </c>
      <c r="P217" s="299" t="s">
        <v>295</v>
      </c>
      <c r="Q217" s="345"/>
    </row>
    <row r="218" spans="1:42" s="181" customFormat="1" ht="13.8" x14ac:dyDescent="0.3">
      <c r="A218" s="209" t="str">
        <f t="shared" ref="A218:A223" si="446">A161</f>
        <v>5-yr MACRS</v>
      </c>
      <c r="B218" s="301">
        <f>IF('Inputs and Outputs'!B$100=0,0,depr_alloc_macrs_5_percent*100/'Inputs and Outputs'!B$100)</f>
        <v>0</v>
      </c>
      <c r="C218" s="302">
        <f>B$155*depr_alloc_macrs_5_percent/100</f>
        <v>0</v>
      </c>
      <c r="D218" s="306">
        <f>$B218/100*($B$236+$B$242)</f>
        <v>0</v>
      </c>
      <c r="E218" s="307">
        <f>$B218/100*$B$248</f>
        <v>0</v>
      </c>
      <c r="F218" s="309">
        <f>C218-D218-E218</f>
        <v>0</v>
      </c>
      <c r="G218" s="307">
        <f>IF(depr_itc_fed_macrs_5="Yes",F218,0)</f>
        <v>0</v>
      </c>
      <c r="H218" s="329">
        <f>IF(G$225=0,0,G218/G$225)*100</f>
        <v>0</v>
      </c>
      <c r="I218" s="307">
        <f>$I$225*H218/100</f>
        <v>0</v>
      </c>
      <c r="J218" s="309">
        <f>I218*0.5</f>
        <v>0</v>
      </c>
      <c r="K218" s="310">
        <f>H218/100*$K$225</f>
        <v>0</v>
      </c>
      <c r="L218" s="310">
        <f>K218*0.5</f>
        <v>0</v>
      </c>
      <c r="M218" s="302">
        <f t="shared" ref="M218:M224" si="447">IF(itc_sta_amount_deprbas_fed="Yes",L161,0)+IF(itc_sta_percent_deprbas_fed="Yes",J161,0)</f>
        <v>0</v>
      </c>
      <c r="N218" s="302">
        <f t="shared" ref="N218:N224" si="448">IF(itc_fed_amount_deprbas_fed="Yes",L218,0)+IF(itc_fed_percent_deprbas_fed="Yes",J218,0)</f>
        <v>0</v>
      </c>
      <c r="O218" s="310">
        <f t="shared" ref="O218:O222" si="449">F218-M218-N218</f>
        <v>0</v>
      </c>
      <c r="P218" s="302">
        <v>0</v>
      </c>
      <c r="Q218" s="310">
        <f>O218-P218</f>
        <v>0</v>
      </c>
    </row>
    <row r="219" spans="1:42" s="181" customFormat="1" ht="13.8" x14ac:dyDescent="0.3">
      <c r="A219" s="209" t="str">
        <f t="shared" si="446"/>
        <v>15-yr MACRS</v>
      </c>
      <c r="B219" s="301">
        <f>IF('Inputs and Outputs'!B$100=0,0,depr_alloc_macrs_15_percent*100/'Inputs and Outputs'!B$100)</f>
        <v>0</v>
      </c>
      <c r="C219" s="302">
        <f>B$155*depr_alloc_macrs_15_percent/100</f>
        <v>0</v>
      </c>
      <c r="D219" s="306">
        <f t="shared" ref="D219:D224" si="450">$B219/100*($B$236+$B$242)</f>
        <v>0</v>
      </c>
      <c r="E219" s="307">
        <f t="shared" ref="E219:E224" si="451">$B219/100*$B$248</f>
        <v>0</v>
      </c>
      <c r="F219" s="304">
        <f t="shared" ref="F219:F222" si="452">C219-D219-E219</f>
        <v>0</v>
      </c>
      <c r="G219" s="302">
        <f>IF(depr_itc_fed_macrs_15="Yes",F219,0)</f>
        <v>0</v>
      </c>
      <c r="H219" s="329">
        <f t="shared" ref="H219:H224" si="453">IF(G$225=0,0,G219/G$225)*100</f>
        <v>0</v>
      </c>
      <c r="I219" s="307">
        <f t="shared" ref="I219:I224" si="454">$I$225*H219/100</f>
        <v>0</v>
      </c>
      <c r="J219" s="304">
        <f t="shared" ref="J219:J224" si="455">I219*0.5</f>
        <v>0</v>
      </c>
      <c r="K219" s="310">
        <f t="shared" ref="K219:K224" si="456">H219/100*$K$225</f>
        <v>0</v>
      </c>
      <c r="L219" s="310">
        <f t="shared" ref="L219:L224" si="457">K219*0.5</f>
        <v>0</v>
      </c>
      <c r="M219" s="302">
        <f t="shared" si="447"/>
        <v>0</v>
      </c>
      <c r="N219" s="302">
        <f t="shared" si="448"/>
        <v>0</v>
      </c>
      <c r="O219" s="310">
        <f t="shared" si="449"/>
        <v>0</v>
      </c>
      <c r="P219" s="302">
        <v>0</v>
      </c>
      <c r="Q219" s="310">
        <f t="shared" ref="Q219:Q222" si="458">O219-P219</f>
        <v>0</v>
      </c>
    </row>
    <row r="220" spans="1:42" s="181" customFormat="1" ht="13.8" x14ac:dyDescent="0.3">
      <c r="A220" s="209" t="str">
        <f t="shared" si="446"/>
        <v>5-yr SL</v>
      </c>
      <c r="B220" s="301">
        <f>IF('Inputs and Outputs'!B$100=0,0,depr_alloc_sl_5_percent*100/'Inputs and Outputs'!B$100)</f>
        <v>0</v>
      </c>
      <c r="C220" s="302">
        <f>B$155*depr_alloc_sl_5_percent/100</f>
        <v>0</v>
      </c>
      <c r="D220" s="306">
        <f t="shared" si="450"/>
        <v>0</v>
      </c>
      <c r="E220" s="307">
        <f t="shared" si="451"/>
        <v>0</v>
      </c>
      <c r="F220" s="304">
        <f t="shared" si="452"/>
        <v>0</v>
      </c>
      <c r="G220" s="302">
        <f>IF(depr_itc_fed_sl_5="Yes",F220,0)</f>
        <v>0</v>
      </c>
      <c r="H220" s="329">
        <f t="shared" si="453"/>
        <v>0</v>
      </c>
      <c r="I220" s="307">
        <f t="shared" si="454"/>
        <v>0</v>
      </c>
      <c r="J220" s="304">
        <f t="shared" si="455"/>
        <v>0</v>
      </c>
      <c r="K220" s="310">
        <f t="shared" si="456"/>
        <v>0</v>
      </c>
      <c r="L220" s="310">
        <f t="shared" si="457"/>
        <v>0</v>
      </c>
      <c r="M220" s="302">
        <f t="shared" si="447"/>
        <v>0</v>
      </c>
      <c r="N220" s="302">
        <f t="shared" si="448"/>
        <v>0</v>
      </c>
      <c r="O220" s="310">
        <f t="shared" si="449"/>
        <v>0</v>
      </c>
      <c r="P220" s="302">
        <v>0</v>
      </c>
      <c r="Q220" s="310">
        <f t="shared" si="458"/>
        <v>0</v>
      </c>
    </row>
    <row r="221" spans="1:42" s="181" customFormat="1" ht="13.8" x14ac:dyDescent="0.3">
      <c r="A221" s="209" t="str">
        <f t="shared" si="446"/>
        <v>15-yr SL</v>
      </c>
      <c r="B221" s="301">
        <f>IF('Inputs and Outputs'!B$100=0,0,depr_alloc_sl_15_percent*100/'Inputs and Outputs'!B$100)</f>
        <v>0</v>
      </c>
      <c r="C221" s="302">
        <f>B$155*depr_alloc_sl_15_percent/100</f>
        <v>0</v>
      </c>
      <c r="D221" s="306">
        <f t="shared" si="450"/>
        <v>0</v>
      </c>
      <c r="E221" s="307">
        <f t="shared" si="451"/>
        <v>0</v>
      </c>
      <c r="F221" s="304">
        <f t="shared" si="452"/>
        <v>0</v>
      </c>
      <c r="G221" s="302">
        <f>IF(depr_itc_fed_sl_15="Yes",F221,0)</f>
        <v>0</v>
      </c>
      <c r="H221" s="329">
        <f t="shared" si="453"/>
        <v>0</v>
      </c>
      <c r="I221" s="307">
        <f t="shared" si="454"/>
        <v>0</v>
      </c>
      <c r="J221" s="304">
        <f t="shared" si="455"/>
        <v>0</v>
      </c>
      <c r="K221" s="310">
        <f t="shared" si="456"/>
        <v>0</v>
      </c>
      <c r="L221" s="310">
        <f t="shared" si="457"/>
        <v>0</v>
      </c>
      <c r="M221" s="302">
        <f t="shared" si="447"/>
        <v>0</v>
      </c>
      <c r="N221" s="302">
        <f t="shared" si="448"/>
        <v>0</v>
      </c>
      <c r="O221" s="310">
        <f t="shared" si="449"/>
        <v>0</v>
      </c>
      <c r="P221" s="302">
        <v>0</v>
      </c>
      <c r="Q221" s="310">
        <f t="shared" si="458"/>
        <v>0</v>
      </c>
    </row>
    <row r="222" spans="1:42" s="181" customFormat="1" ht="13.8" x14ac:dyDescent="0.3">
      <c r="A222" s="209" t="str">
        <f t="shared" si="446"/>
        <v>20-yr SL</v>
      </c>
      <c r="B222" s="301">
        <f>IF('Inputs and Outputs'!B$100=0,0,depr_alloc_sl_20_percent*100/'Inputs and Outputs'!B$100)</f>
        <v>0</v>
      </c>
      <c r="C222" s="302">
        <f>B$155*depr_alloc_sl_20_percent/100</f>
        <v>0</v>
      </c>
      <c r="D222" s="306">
        <f t="shared" si="450"/>
        <v>0</v>
      </c>
      <c r="E222" s="307">
        <f t="shared" si="451"/>
        <v>0</v>
      </c>
      <c r="F222" s="304">
        <f t="shared" si="452"/>
        <v>0</v>
      </c>
      <c r="G222" s="302">
        <f>IF(depr_itc_fed_sl_20="Yes",F222,0)</f>
        <v>0</v>
      </c>
      <c r="H222" s="329">
        <f t="shared" si="453"/>
        <v>0</v>
      </c>
      <c r="I222" s="307">
        <f t="shared" si="454"/>
        <v>0</v>
      </c>
      <c r="J222" s="304">
        <f t="shared" si="455"/>
        <v>0</v>
      </c>
      <c r="K222" s="310">
        <f t="shared" si="456"/>
        <v>0</v>
      </c>
      <c r="L222" s="310">
        <f t="shared" si="457"/>
        <v>0</v>
      </c>
      <c r="M222" s="302">
        <f t="shared" si="447"/>
        <v>0</v>
      </c>
      <c r="N222" s="302">
        <f t="shared" si="448"/>
        <v>0</v>
      </c>
      <c r="O222" s="310">
        <f t="shared" si="449"/>
        <v>0</v>
      </c>
      <c r="P222" s="302">
        <v>0</v>
      </c>
      <c r="Q222" s="310">
        <f t="shared" si="458"/>
        <v>0</v>
      </c>
    </row>
    <row r="223" spans="1:42" s="181" customFormat="1" ht="13.8" x14ac:dyDescent="0.3">
      <c r="A223" s="209" t="str">
        <f t="shared" si="446"/>
        <v>39-yr SL</v>
      </c>
      <c r="B223" s="301">
        <f>IF('Inputs and Outputs'!B$100=0,0,depr_alloc_sl_39_percent*100/'Inputs and Outputs'!B$100)</f>
        <v>0</v>
      </c>
      <c r="C223" s="302">
        <f>B$155*depr_alloc_sl_39_percent/100</f>
        <v>0</v>
      </c>
      <c r="D223" s="306">
        <f t="shared" si="450"/>
        <v>0</v>
      </c>
      <c r="E223" s="307">
        <f t="shared" si="451"/>
        <v>0</v>
      </c>
      <c r="F223" s="304">
        <f>C223-D223-E223</f>
        <v>0</v>
      </c>
      <c r="G223" s="302">
        <f>IF(depr_itc_fed_sl_39="Yes",F223,0)</f>
        <v>0</v>
      </c>
      <c r="H223" s="329">
        <f t="shared" si="453"/>
        <v>0</v>
      </c>
      <c r="I223" s="307">
        <f t="shared" si="454"/>
        <v>0</v>
      </c>
      <c r="J223" s="304">
        <f t="shared" si="455"/>
        <v>0</v>
      </c>
      <c r="K223" s="310">
        <f t="shared" si="456"/>
        <v>0</v>
      </c>
      <c r="L223" s="310">
        <f t="shared" si="457"/>
        <v>0</v>
      </c>
      <c r="M223" s="303">
        <f t="shared" si="447"/>
        <v>0</v>
      </c>
      <c r="N223" s="302">
        <f t="shared" si="448"/>
        <v>0</v>
      </c>
      <c r="O223" s="310">
        <f>F223-M223-N223</f>
        <v>0</v>
      </c>
      <c r="P223" s="302">
        <v>0</v>
      </c>
      <c r="Q223" s="310">
        <f>O223-P223</f>
        <v>0</v>
      </c>
    </row>
    <row r="224" spans="1:42" s="181" customFormat="1" ht="13.8" x14ac:dyDescent="0.3">
      <c r="A224" s="209" t="s">
        <v>257</v>
      </c>
      <c r="B224" s="301">
        <f>IF('Inputs and Outputs'!B$100=0,0,depr_alloc_custom_percent*100/'Inputs and Outputs'!B$100)</f>
        <v>0</v>
      </c>
      <c r="C224" s="326">
        <f>B$155*depr_alloc_custom_percent/100</f>
        <v>0</v>
      </c>
      <c r="D224" s="306">
        <f t="shared" si="450"/>
        <v>0</v>
      </c>
      <c r="E224" s="307">
        <f t="shared" si="451"/>
        <v>0</v>
      </c>
      <c r="F224" s="304">
        <f>C224-D224-E224</f>
        <v>0</v>
      </c>
      <c r="G224" s="302">
        <f>IF(depr_itc_fed_custom="Yes",F224,0)</f>
        <v>0</v>
      </c>
      <c r="H224" s="329">
        <f t="shared" si="453"/>
        <v>0</v>
      </c>
      <c r="I224" s="307">
        <f t="shared" si="454"/>
        <v>0</v>
      </c>
      <c r="J224" s="304">
        <f t="shared" si="455"/>
        <v>0</v>
      </c>
      <c r="K224" s="310">
        <f t="shared" si="456"/>
        <v>0</v>
      </c>
      <c r="L224" s="310">
        <f t="shared" si="457"/>
        <v>0</v>
      </c>
      <c r="M224" s="331">
        <f t="shared" si="447"/>
        <v>0</v>
      </c>
      <c r="N224" s="332">
        <f t="shared" si="448"/>
        <v>0</v>
      </c>
      <c r="O224" s="333">
        <f>F224-M224-N224</f>
        <v>0</v>
      </c>
      <c r="P224" s="326">
        <v>0</v>
      </c>
      <c r="Q224" s="333">
        <f>O224-P224</f>
        <v>0</v>
      </c>
    </row>
    <row r="225" spans="1:17" s="181" customFormat="1" ht="13.8" x14ac:dyDescent="0.3">
      <c r="A225" s="311" t="s">
        <v>60</v>
      </c>
      <c r="B225" s="330">
        <f t="shared" ref="B225:H225" si="459">SUM(B218:B224)</f>
        <v>0</v>
      </c>
      <c r="C225" s="326">
        <f t="shared" si="459"/>
        <v>0</v>
      </c>
      <c r="D225" s="314">
        <f t="shared" si="459"/>
        <v>0</v>
      </c>
      <c r="E225" s="313">
        <f t="shared" si="459"/>
        <v>0</v>
      </c>
      <c r="F225" s="315">
        <f t="shared" si="459"/>
        <v>0</v>
      </c>
      <c r="G225" s="313">
        <f t="shared" si="459"/>
        <v>0</v>
      </c>
      <c r="H225" s="334">
        <f t="shared" si="459"/>
        <v>0</v>
      </c>
      <c r="I225" s="313">
        <f>SUM(C97:CX97)</f>
        <v>0</v>
      </c>
      <c r="J225" s="313">
        <f>SUM(J218:J224)</f>
        <v>0</v>
      </c>
      <c r="K225" s="314">
        <f>SUM(C281:AP281)</f>
        <v>0</v>
      </c>
      <c r="L225" s="315">
        <f t="shared" ref="L225:Q225" si="460">SUM(L218:L224)</f>
        <v>0</v>
      </c>
      <c r="M225" s="326">
        <f t="shared" si="460"/>
        <v>0</v>
      </c>
      <c r="N225" s="326">
        <f t="shared" si="460"/>
        <v>0</v>
      </c>
      <c r="O225" s="333">
        <f t="shared" si="460"/>
        <v>0</v>
      </c>
      <c r="P225" s="333">
        <f t="shared" si="460"/>
        <v>0</v>
      </c>
      <c r="Q225" s="333">
        <f t="shared" si="460"/>
        <v>0</v>
      </c>
    </row>
    <row r="226" spans="1:17" s="181" customFormat="1" ht="13.8" x14ac:dyDescent="0.3"/>
    <row r="227" spans="1:17" s="181" customFormat="1" ht="13.8" x14ac:dyDescent="0.3">
      <c r="A227" s="207" t="s">
        <v>310</v>
      </c>
      <c r="B227" s="318">
        <f>G225</f>
        <v>0</v>
      </c>
    </row>
    <row r="228" spans="1:17" s="181" customFormat="1" ht="13.8" x14ac:dyDescent="0.3"/>
    <row r="229" spans="1:17" s="181" customFormat="1" ht="13.8" x14ac:dyDescent="0.3">
      <c r="A229" s="181" t="s">
        <v>297</v>
      </c>
    </row>
    <row r="230" spans="1:17" s="181" customFormat="1" ht="13.8" x14ac:dyDescent="0.3">
      <c r="A230" s="208">
        <f>A173</f>
        <v>0</v>
      </c>
    </row>
    <row r="231" spans="1:17" s="181" customFormat="1" ht="13.8" x14ac:dyDescent="0.3">
      <c r="A231" s="209">
        <f>A174</f>
        <v>0</v>
      </c>
    </row>
    <row r="232" spans="1:17" s="181" customFormat="1" ht="13.8" x14ac:dyDescent="0.3">
      <c r="A232" s="319" t="s">
        <v>2</v>
      </c>
      <c r="B232" s="290">
        <f>IF(ibi_fed_amount_deprbas_fed="Yes",ibi_fed_amount,0)</f>
        <v>0</v>
      </c>
    </row>
    <row r="233" spans="1:17" s="181" customFormat="1" ht="13.8" x14ac:dyDescent="0.3">
      <c r="A233" s="319" t="s">
        <v>3</v>
      </c>
      <c r="B233" s="290">
        <f>IF(ibi_sta_amount_deprbas_fed="Yes",ibi_sta_amount,0)</f>
        <v>0</v>
      </c>
    </row>
    <row r="234" spans="1:17" s="181" customFormat="1" ht="13.8" x14ac:dyDescent="0.3">
      <c r="A234" s="319" t="s">
        <v>188</v>
      </c>
      <c r="B234" s="290">
        <f>IF(ibi_uti_amount_deprbas_fed="Yes",ibi_uti_amount,0)</f>
        <v>0</v>
      </c>
    </row>
    <row r="235" spans="1:17" s="181" customFormat="1" ht="13.8" x14ac:dyDescent="0.3">
      <c r="A235" s="319" t="s">
        <v>189</v>
      </c>
      <c r="B235" s="291">
        <f>IF(ibi_oth_amount_deprbas_fed="Yes",ibi_oth_amount,0)</f>
        <v>0</v>
      </c>
    </row>
    <row r="236" spans="1:17" s="181" customFormat="1" ht="13.8" x14ac:dyDescent="0.3">
      <c r="A236" s="319" t="str">
        <f>A179</f>
        <v>Total basis reduction for IBI as fixed amount</v>
      </c>
      <c r="B236" s="290">
        <f>SUM(B232:B235)</f>
        <v>0</v>
      </c>
    </row>
    <row r="237" spans="1:17" s="181" customFormat="1" ht="13.8" x14ac:dyDescent="0.3">
      <c r="A237" s="209">
        <f>A180</f>
        <v>0</v>
      </c>
    </row>
    <row r="238" spans="1:17" s="181" customFormat="1" ht="13.8" x14ac:dyDescent="0.3">
      <c r="A238" s="319" t="s">
        <v>2</v>
      </c>
      <c r="B238" s="290">
        <f>IF(ibi_fed_percent_deprbas_fed="Yes",C308,0)</f>
        <v>0</v>
      </c>
    </row>
    <row r="239" spans="1:17" s="181" customFormat="1" ht="13.8" x14ac:dyDescent="0.3">
      <c r="A239" s="319" t="s">
        <v>3</v>
      </c>
      <c r="B239" s="290">
        <f>IF(ibi_sta_percent_deprbas_fed="Yes",C309,0)</f>
        <v>0</v>
      </c>
    </row>
    <row r="240" spans="1:17" s="181" customFormat="1" ht="13.8" x14ac:dyDescent="0.3">
      <c r="A240" s="319" t="s">
        <v>188</v>
      </c>
      <c r="B240" s="290">
        <f>IF(ibi_uti_percent_deprbas_fed="Yes",C310,0)</f>
        <v>0</v>
      </c>
    </row>
    <row r="241" spans="1:42" s="181" customFormat="1" ht="13.8" x14ac:dyDescent="0.3">
      <c r="A241" s="319" t="s">
        <v>189</v>
      </c>
      <c r="B241" s="291">
        <f>IF(ibi_oth_percent_deprbas_fed="Yes",C311,0)</f>
        <v>0</v>
      </c>
    </row>
    <row r="242" spans="1:42" s="181" customFormat="1" ht="13.8" x14ac:dyDescent="0.3">
      <c r="A242" s="319" t="str">
        <f>A185</f>
        <v>Total basis reduction for IBI as percentage</v>
      </c>
      <c r="B242" s="290">
        <f>SUM(B238:B241)</f>
        <v>0</v>
      </c>
    </row>
    <row r="243" spans="1:42" s="181" customFormat="1" ht="13.8" x14ac:dyDescent="0.3">
      <c r="A243" s="208">
        <f>A186</f>
        <v>0</v>
      </c>
    </row>
    <row r="244" spans="1:42" s="181" customFormat="1" ht="13.8" x14ac:dyDescent="0.3">
      <c r="A244" s="209" t="s">
        <v>2</v>
      </c>
      <c r="B244" s="290">
        <f>IF(cbi_fed_deprbas_fed="Yes",C315,0)</f>
        <v>0</v>
      </c>
    </row>
    <row r="245" spans="1:42" s="181" customFormat="1" ht="13.8" x14ac:dyDescent="0.3">
      <c r="A245" s="209" t="s">
        <v>3</v>
      </c>
      <c r="B245" s="290">
        <f>IF(cbi_sta_deprbas_fed="Yes",C316,0)</f>
        <v>0</v>
      </c>
    </row>
    <row r="246" spans="1:42" s="181" customFormat="1" ht="13.8" x14ac:dyDescent="0.3">
      <c r="A246" s="209" t="s">
        <v>188</v>
      </c>
      <c r="B246" s="290">
        <f>IF(cbi_uti_deprbas_fed="Yes",C317,0)</f>
        <v>0</v>
      </c>
    </row>
    <row r="247" spans="1:42" s="181" customFormat="1" ht="13.8" x14ac:dyDescent="0.3">
      <c r="A247" s="209" t="s">
        <v>189</v>
      </c>
      <c r="B247" s="290">
        <f>IF(cbi_oth_deprbas_fed="Yes",C318,0)</f>
        <v>0</v>
      </c>
    </row>
    <row r="248" spans="1:42" s="181" customFormat="1" ht="13.8" x14ac:dyDescent="0.3">
      <c r="A248" s="209" t="str">
        <f>A191</f>
        <v>Total basis reduction for CBI</v>
      </c>
      <c r="B248" s="320">
        <f>SUM(B244:B247)</f>
        <v>0</v>
      </c>
    </row>
    <row r="249" spans="1:42" s="181" customFormat="1" ht="13.8" x14ac:dyDescent="0.3"/>
    <row r="250" spans="1:42" s="181" customFormat="1" ht="13.8" x14ac:dyDescent="0.3">
      <c r="A250" s="181" t="s">
        <v>311</v>
      </c>
    </row>
    <row r="251" spans="1:42" s="181" customFormat="1" ht="13.8" x14ac:dyDescent="0.3">
      <c r="A251" s="208" t="s">
        <v>302</v>
      </c>
    </row>
    <row r="252" spans="1:42" s="181" customFormat="1" ht="13.8" x14ac:dyDescent="0.3">
      <c r="A252" s="209" t="s">
        <v>303</v>
      </c>
    </row>
    <row r="253" spans="1:42" s="181" customFormat="1" ht="13.8" x14ac:dyDescent="0.3">
      <c r="A253" s="321" t="str">
        <f t="shared" ref="A253:A258" si="461">A218</f>
        <v>5-yr MACRS</v>
      </c>
      <c r="B253" s="322" cm="1">
        <f t="array" ref="B253">SUM(IF(ISNUMBER(C253:AP253),C253:AP253))</f>
        <v>0</v>
      </c>
      <c r="C253" s="323" t="e">
        <f>LOOKUP(C$2,'Depreciation Schedules'!$A$3:$A$42,'Depreciation Schedules'!$B$3:$B$42)</f>
        <v>#N/A</v>
      </c>
      <c r="D253" s="323" t="e">
        <f>LOOKUP(D$2,'Depreciation Schedules'!$A$3:$A$42,'Depreciation Schedules'!$B$3:$B$42)</f>
        <v>#N/A</v>
      </c>
      <c r="E253" s="323" t="e">
        <f>LOOKUP(E$2,'Depreciation Schedules'!$A$3:$A$42,'Depreciation Schedules'!$B$3:$B$42)</f>
        <v>#N/A</v>
      </c>
      <c r="F253" s="323" t="e">
        <f>LOOKUP(F$2,'Depreciation Schedules'!$A$3:$A$42,'Depreciation Schedules'!$B$3:$B$42)</f>
        <v>#N/A</v>
      </c>
      <c r="G253" s="323" t="e">
        <f>LOOKUP(G$2,'Depreciation Schedules'!$A$3:$A$42,'Depreciation Schedules'!$B$3:$B$42)</f>
        <v>#N/A</v>
      </c>
      <c r="H253" s="323" t="e">
        <f>LOOKUP(H$2,'Depreciation Schedules'!$A$3:$A$42,'Depreciation Schedules'!$B$3:$B$42)</f>
        <v>#N/A</v>
      </c>
      <c r="I253" s="323" t="e">
        <f>LOOKUP(I$2,'Depreciation Schedules'!$A$3:$A$42,'Depreciation Schedules'!$B$3:$B$42)</f>
        <v>#N/A</v>
      </c>
      <c r="J253" s="323" t="e">
        <f>LOOKUP(J$2,'Depreciation Schedules'!$A$3:$A$42,'Depreciation Schedules'!$B$3:$B$42)</f>
        <v>#N/A</v>
      </c>
      <c r="K253" s="323" t="e">
        <f>LOOKUP(K$2,'Depreciation Schedules'!$A$3:$A$42,'Depreciation Schedules'!$B$3:$B$42)</f>
        <v>#N/A</v>
      </c>
      <c r="L253" s="323" t="e">
        <f>LOOKUP(L$2,'Depreciation Schedules'!$A$3:$A$42,'Depreciation Schedules'!$B$3:$B$42)</f>
        <v>#N/A</v>
      </c>
      <c r="M253" s="323" t="e">
        <f>LOOKUP(M$2,'Depreciation Schedules'!$A$3:$A$42,'Depreciation Schedules'!$B$3:$B$42)</f>
        <v>#N/A</v>
      </c>
      <c r="N253" s="323" t="e">
        <f>LOOKUP(N$2,'Depreciation Schedules'!$A$3:$A$42,'Depreciation Schedules'!$B$3:$B$42)</f>
        <v>#N/A</v>
      </c>
      <c r="O253" s="323" t="e">
        <f>LOOKUP(O$2,'Depreciation Schedules'!$A$3:$A$42,'Depreciation Schedules'!$B$3:$B$42)</f>
        <v>#N/A</v>
      </c>
      <c r="P253" s="323" t="e">
        <f>LOOKUP(P$2,'Depreciation Schedules'!$A$3:$A$42,'Depreciation Schedules'!$B$3:$B$42)</f>
        <v>#N/A</v>
      </c>
      <c r="Q253" s="323" t="e">
        <f>LOOKUP(Q$2,'Depreciation Schedules'!$A$3:$A$42,'Depreciation Schedules'!$B$3:$B$42)</f>
        <v>#N/A</v>
      </c>
      <c r="R253" s="323" t="e">
        <f>LOOKUP(R$2,'Depreciation Schedules'!$A$3:$A$42,'Depreciation Schedules'!$B$3:$B$42)</f>
        <v>#N/A</v>
      </c>
      <c r="S253" s="323" t="e">
        <f>LOOKUP(S$2,'Depreciation Schedules'!$A$3:$A$42,'Depreciation Schedules'!$B$3:$B$42)</f>
        <v>#N/A</v>
      </c>
      <c r="T253" s="323" t="e">
        <f>LOOKUP(T$2,'Depreciation Schedules'!$A$3:$A$42,'Depreciation Schedules'!$B$3:$B$42)</f>
        <v>#N/A</v>
      </c>
      <c r="U253" s="323" t="e">
        <f>LOOKUP(U$2,'Depreciation Schedules'!$A$3:$A$42,'Depreciation Schedules'!$B$3:$B$42)</f>
        <v>#N/A</v>
      </c>
      <c r="V253" s="323" t="e">
        <f>LOOKUP(V$2,'Depreciation Schedules'!$A$3:$A$42,'Depreciation Schedules'!$B$3:$B$42)</f>
        <v>#N/A</v>
      </c>
      <c r="W253" s="323" t="e">
        <f>LOOKUP(W$2,'Depreciation Schedules'!$A$3:$A$42,'Depreciation Schedules'!$B$3:$B$42)</f>
        <v>#N/A</v>
      </c>
      <c r="X253" s="323" t="e">
        <f>LOOKUP(X$2,'Depreciation Schedules'!$A$3:$A$42,'Depreciation Schedules'!$B$3:$B$42)</f>
        <v>#N/A</v>
      </c>
      <c r="Y253" s="323" t="e">
        <f>LOOKUP(Y$2,'Depreciation Schedules'!$A$3:$A$42,'Depreciation Schedules'!$B$3:$B$42)</f>
        <v>#N/A</v>
      </c>
      <c r="Z253" s="323" t="e">
        <f>LOOKUP(Z$2,'Depreciation Schedules'!$A$3:$A$42,'Depreciation Schedules'!$B$3:$B$42)</f>
        <v>#N/A</v>
      </c>
      <c r="AA253" s="323" t="e">
        <f>LOOKUP(AA$2,'Depreciation Schedules'!$A$3:$A$42,'Depreciation Schedules'!$B$3:$B$42)</f>
        <v>#N/A</v>
      </c>
      <c r="AB253" s="323" t="e">
        <f>LOOKUP(AB$2,'Depreciation Schedules'!$A$3:$A$42,'Depreciation Schedules'!$B$3:$B$42)</f>
        <v>#N/A</v>
      </c>
      <c r="AC253" s="323" t="e">
        <f>LOOKUP(AC$2,'Depreciation Schedules'!$A$3:$A$42,'Depreciation Schedules'!$B$3:$B$42)</f>
        <v>#N/A</v>
      </c>
      <c r="AD253" s="323" t="e">
        <f>LOOKUP(AD$2,'Depreciation Schedules'!$A$3:$A$42,'Depreciation Schedules'!$B$3:$B$42)</f>
        <v>#N/A</v>
      </c>
      <c r="AE253" s="323" t="e">
        <f>LOOKUP(AE$2,'Depreciation Schedules'!$A$3:$A$42,'Depreciation Schedules'!$B$3:$B$42)</f>
        <v>#N/A</v>
      </c>
      <c r="AF253" s="323" t="e">
        <f>LOOKUP(AF$2,'Depreciation Schedules'!$A$3:$A$42,'Depreciation Schedules'!$B$3:$B$42)</f>
        <v>#N/A</v>
      </c>
      <c r="AG253" s="323" t="e">
        <f>LOOKUP(AG$2,'Depreciation Schedules'!$A$3:$A$42,'Depreciation Schedules'!$B$3:$B$42)</f>
        <v>#N/A</v>
      </c>
      <c r="AH253" s="323" t="e">
        <f>LOOKUP(AH$2,'Depreciation Schedules'!$A$3:$A$42,'Depreciation Schedules'!$B$3:$B$42)</f>
        <v>#N/A</v>
      </c>
      <c r="AI253" s="323" t="e">
        <f>LOOKUP(AI$2,'Depreciation Schedules'!$A$3:$A$42,'Depreciation Schedules'!$B$3:$B$42)</f>
        <v>#N/A</v>
      </c>
      <c r="AJ253" s="323" t="e">
        <f>LOOKUP(AJ$2,'Depreciation Schedules'!$A$3:$A$42,'Depreciation Schedules'!$B$3:$B$42)</f>
        <v>#N/A</v>
      </c>
      <c r="AK253" s="323" t="e">
        <f>LOOKUP(AK$2,'Depreciation Schedules'!$A$3:$A$42,'Depreciation Schedules'!$B$3:$B$42)</f>
        <v>#N/A</v>
      </c>
      <c r="AL253" s="323" t="e">
        <f>LOOKUP(AL$2,'Depreciation Schedules'!$A$3:$A$42,'Depreciation Schedules'!$B$3:$B$42)</f>
        <v>#N/A</v>
      </c>
      <c r="AM253" s="323" t="e">
        <f>LOOKUP(AM$2,'Depreciation Schedules'!$A$3:$A$42,'Depreciation Schedules'!$B$3:$B$42)</f>
        <v>#N/A</v>
      </c>
      <c r="AN253" s="323" t="e">
        <f>LOOKUP(AN$2,'Depreciation Schedules'!$A$3:$A$42,'Depreciation Schedules'!$B$3:$B$42)</f>
        <v>#N/A</v>
      </c>
      <c r="AO253" s="323" t="e">
        <f>LOOKUP(AO$2,'Depreciation Schedules'!$A$3:$A$42,'Depreciation Schedules'!$B$3:$B$42)</f>
        <v>#N/A</v>
      </c>
      <c r="AP253" s="323" t="e">
        <f>LOOKUP(AP$2,'Depreciation Schedules'!$A$3:$A$42,'Depreciation Schedules'!$B$3:$B$42)</f>
        <v>#N/A</v>
      </c>
    </row>
    <row r="254" spans="1:42" s="181" customFormat="1" ht="13.8" x14ac:dyDescent="0.3">
      <c r="A254" s="321" t="str">
        <f t="shared" si="461"/>
        <v>15-yr MACRS</v>
      </c>
      <c r="B254" s="322">
        <f t="array" ref="B254">SUM(IF(ISNUMBER(C254:AP254),C254:AP254))</f>
        <v>0</v>
      </c>
      <c r="C254" s="323" t="e">
        <f>LOOKUP(C$2,'Depreciation Schedules'!$A$3:$A$42,'Depreciation Schedules'!$B$3:$B$42)</f>
        <v>#N/A</v>
      </c>
      <c r="D254" s="323" t="e">
        <f>LOOKUP(D$2,'Depreciation Schedules'!$A$3:$A$42,'Depreciation Schedules'!$B$3:$B$42)</f>
        <v>#N/A</v>
      </c>
      <c r="E254" s="323" t="e">
        <f>LOOKUP(E$2,'Depreciation Schedules'!$A$3:$A$42,'Depreciation Schedules'!$B$3:$B$42)</f>
        <v>#N/A</v>
      </c>
      <c r="F254" s="323" t="e">
        <f>LOOKUP(F$2,'Depreciation Schedules'!$A$3:$A$42,'Depreciation Schedules'!$B$3:$B$42)</f>
        <v>#N/A</v>
      </c>
      <c r="G254" s="323" t="e">
        <f>LOOKUP(G$2,'Depreciation Schedules'!$A$3:$A$42,'Depreciation Schedules'!$B$3:$B$42)</f>
        <v>#N/A</v>
      </c>
      <c r="H254" s="323" t="e">
        <f>LOOKUP(H$2,'Depreciation Schedules'!$A$3:$A$42,'Depreciation Schedules'!$B$3:$B$42)</f>
        <v>#N/A</v>
      </c>
      <c r="I254" s="323" t="e">
        <f>LOOKUP(I$2,'Depreciation Schedules'!$A$3:$A$42,'Depreciation Schedules'!$B$3:$B$42)</f>
        <v>#N/A</v>
      </c>
      <c r="J254" s="323" t="e">
        <f>LOOKUP(J$2,'Depreciation Schedules'!$A$3:$A$42,'Depreciation Schedules'!$B$3:$B$42)</f>
        <v>#N/A</v>
      </c>
      <c r="K254" s="323" t="e">
        <f>LOOKUP(K$2,'Depreciation Schedules'!$A$3:$A$42,'Depreciation Schedules'!$B$3:$B$42)</f>
        <v>#N/A</v>
      </c>
      <c r="L254" s="323" t="e">
        <f>LOOKUP(L$2,'Depreciation Schedules'!$A$3:$A$42,'Depreciation Schedules'!$B$3:$B$42)</f>
        <v>#N/A</v>
      </c>
      <c r="M254" s="323" t="e">
        <f>LOOKUP(M$2,'Depreciation Schedules'!$A$3:$A$42,'Depreciation Schedules'!$B$3:$B$42)</f>
        <v>#N/A</v>
      </c>
      <c r="N254" s="323" t="e">
        <f>LOOKUP(N$2,'Depreciation Schedules'!$A$3:$A$42,'Depreciation Schedules'!$B$3:$B$42)</f>
        <v>#N/A</v>
      </c>
      <c r="O254" s="323" t="e">
        <f>LOOKUP(O$2,'Depreciation Schedules'!$A$3:$A$42,'Depreciation Schedules'!$B$3:$B$42)</f>
        <v>#N/A</v>
      </c>
      <c r="P254" s="323" t="e">
        <f>LOOKUP(P$2,'Depreciation Schedules'!$A$3:$A$42,'Depreciation Schedules'!$B$3:$B$42)</f>
        <v>#N/A</v>
      </c>
      <c r="Q254" s="323" t="e">
        <f>LOOKUP(Q$2,'Depreciation Schedules'!$A$3:$A$42,'Depreciation Schedules'!$B$3:$B$42)</f>
        <v>#N/A</v>
      </c>
      <c r="R254" s="323" t="e">
        <f>LOOKUP(R$2,'Depreciation Schedules'!$A$3:$A$42,'Depreciation Schedules'!$B$3:$B$42)</f>
        <v>#N/A</v>
      </c>
      <c r="S254" s="323" t="e">
        <f>LOOKUP(S$2,'Depreciation Schedules'!$A$3:$A$42,'Depreciation Schedules'!$B$3:$B$42)</f>
        <v>#N/A</v>
      </c>
      <c r="T254" s="323" t="e">
        <f>LOOKUP(T$2,'Depreciation Schedules'!$A$3:$A$42,'Depreciation Schedules'!$B$3:$B$42)</f>
        <v>#N/A</v>
      </c>
      <c r="U254" s="323" t="e">
        <f>LOOKUP(U$2,'Depreciation Schedules'!$A$3:$A$42,'Depreciation Schedules'!$B$3:$B$42)</f>
        <v>#N/A</v>
      </c>
      <c r="V254" s="323" t="e">
        <f>LOOKUP(V$2,'Depreciation Schedules'!$A$3:$A$42,'Depreciation Schedules'!$B$3:$B$42)</f>
        <v>#N/A</v>
      </c>
      <c r="W254" s="323" t="e">
        <f>LOOKUP(W$2,'Depreciation Schedules'!$A$3:$A$42,'Depreciation Schedules'!$B$3:$B$42)</f>
        <v>#N/A</v>
      </c>
      <c r="X254" s="323" t="e">
        <f>LOOKUP(X$2,'Depreciation Schedules'!$A$3:$A$42,'Depreciation Schedules'!$B$3:$B$42)</f>
        <v>#N/A</v>
      </c>
      <c r="Y254" s="323" t="e">
        <f>LOOKUP(Y$2,'Depreciation Schedules'!$A$3:$A$42,'Depreciation Schedules'!$B$3:$B$42)</f>
        <v>#N/A</v>
      </c>
      <c r="Z254" s="323" t="e">
        <f>LOOKUP(Z$2,'Depreciation Schedules'!$A$3:$A$42,'Depreciation Schedules'!$B$3:$B$42)</f>
        <v>#N/A</v>
      </c>
      <c r="AA254" s="323" t="e">
        <f>LOOKUP(AA$2,'Depreciation Schedules'!$A$3:$A$42,'Depreciation Schedules'!$B$3:$B$42)</f>
        <v>#N/A</v>
      </c>
      <c r="AB254" s="323" t="e">
        <f>LOOKUP(AB$2,'Depreciation Schedules'!$A$3:$A$42,'Depreciation Schedules'!$B$3:$B$42)</f>
        <v>#N/A</v>
      </c>
      <c r="AC254" s="323" t="e">
        <f>LOOKUP(AC$2,'Depreciation Schedules'!$A$3:$A$42,'Depreciation Schedules'!$B$3:$B$42)</f>
        <v>#N/A</v>
      </c>
      <c r="AD254" s="323" t="e">
        <f>LOOKUP(AD$2,'Depreciation Schedules'!$A$3:$A$42,'Depreciation Schedules'!$B$3:$B$42)</f>
        <v>#N/A</v>
      </c>
      <c r="AE254" s="323" t="e">
        <f>LOOKUP(AE$2,'Depreciation Schedules'!$A$3:$A$42,'Depreciation Schedules'!$B$3:$B$42)</f>
        <v>#N/A</v>
      </c>
      <c r="AF254" s="323" t="e">
        <f>LOOKUP(AF$2,'Depreciation Schedules'!$A$3:$A$42,'Depreciation Schedules'!$B$3:$B$42)</f>
        <v>#N/A</v>
      </c>
      <c r="AG254" s="323" t="e">
        <f>LOOKUP(AG$2,'Depreciation Schedules'!$A$3:$A$42,'Depreciation Schedules'!$B$3:$B$42)</f>
        <v>#N/A</v>
      </c>
      <c r="AH254" s="323" t="e">
        <f>LOOKUP(AH$2,'Depreciation Schedules'!$A$3:$A$42,'Depreciation Schedules'!$B$3:$B$42)</f>
        <v>#N/A</v>
      </c>
      <c r="AI254" s="323" t="e">
        <f>LOOKUP(AI$2,'Depreciation Schedules'!$A$3:$A$42,'Depreciation Schedules'!$B$3:$B$42)</f>
        <v>#N/A</v>
      </c>
      <c r="AJ254" s="323" t="e">
        <f>LOOKUP(AJ$2,'Depreciation Schedules'!$A$3:$A$42,'Depreciation Schedules'!$B$3:$B$42)</f>
        <v>#N/A</v>
      </c>
      <c r="AK254" s="323" t="e">
        <f>LOOKUP(AK$2,'Depreciation Schedules'!$A$3:$A$42,'Depreciation Schedules'!$B$3:$B$42)</f>
        <v>#N/A</v>
      </c>
      <c r="AL254" s="323" t="e">
        <f>LOOKUP(AL$2,'Depreciation Schedules'!$A$3:$A$42,'Depreciation Schedules'!$B$3:$B$42)</f>
        <v>#N/A</v>
      </c>
      <c r="AM254" s="323" t="e">
        <f>LOOKUP(AM$2,'Depreciation Schedules'!$A$3:$A$42,'Depreciation Schedules'!$B$3:$B$42)</f>
        <v>#N/A</v>
      </c>
      <c r="AN254" s="323" t="e">
        <f>LOOKUP(AN$2,'Depreciation Schedules'!$A$3:$A$42,'Depreciation Schedules'!$B$3:$B$42)</f>
        <v>#N/A</v>
      </c>
      <c r="AO254" s="323" t="e">
        <f>LOOKUP(AO$2,'Depreciation Schedules'!$A$3:$A$42,'Depreciation Schedules'!$B$3:$B$42)</f>
        <v>#N/A</v>
      </c>
      <c r="AP254" s="323" t="e">
        <f>LOOKUP(AP$2,'Depreciation Schedules'!$A$3:$A$42,'Depreciation Schedules'!$B$3:$B$42)</f>
        <v>#N/A</v>
      </c>
    </row>
    <row r="255" spans="1:42" s="181" customFormat="1" ht="13.8" x14ac:dyDescent="0.3">
      <c r="A255" s="321" t="str">
        <f t="shared" si="461"/>
        <v>5-yr SL</v>
      </c>
      <c r="B255" s="322">
        <f t="array" ref="B255">SUM(IF(ISNUMBER(C255:AP255),C255:AP255))</f>
        <v>0</v>
      </c>
      <c r="C255" s="323" t="e">
        <f>LOOKUP(C$2,'Depreciation Schedules'!$A$3:$A$42,'Depreciation Schedules'!$B$3:$B$42)</f>
        <v>#N/A</v>
      </c>
      <c r="D255" s="323" t="e">
        <f>LOOKUP(D$2,'Depreciation Schedules'!$A$3:$A$42,'Depreciation Schedules'!$B$3:$B$42)</f>
        <v>#N/A</v>
      </c>
      <c r="E255" s="323" t="e">
        <f>LOOKUP(E$2,'Depreciation Schedules'!$A$3:$A$42,'Depreciation Schedules'!$B$3:$B$42)</f>
        <v>#N/A</v>
      </c>
      <c r="F255" s="323" t="e">
        <f>LOOKUP(F$2,'Depreciation Schedules'!$A$3:$A$42,'Depreciation Schedules'!$B$3:$B$42)</f>
        <v>#N/A</v>
      </c>
      <c r="G255" s="323" t="e">
        <f>LOOKUP(G$2,'Depreciation Schedules'!$A$3:$A$42,'Depreciation Schedules'!$B$3:$B$42)</f>
        <v>#N/A</v>
      </c>
      <c r="H255" s="323" t="e">
        <f>LOOKUP(H$2,'Depreciation Schedules'!$A$3:$A$42,'Depreciation Schedules'!$B$3:$B$42)</f>
        <v>#N/A</v>
      </c>
      <c r="I255" s="323" t="e">
        <f>LOOKUP(I$2,'Depreciation Schedules'!$A$3:$A$42,'Depreciation Schedules'!$B$3:$B$42)</f>
        <v>#N/A</v>
      </c>
      <c r="J255" s="323" t="e">
        <f>LOOKUP(J$2,'Depreciation Schedules'!$A$3:$A$42,'Depreciation Schedules'!$B$3:$B$42)</f>
        <v>#N/A</v>
      </c>
      <c r="K255" s="323" t="e">
        <f>LOOKUP(K$2,'Depreciation Schedules'!$A$3:$A$42,'Depreciation Schedules'!$B$3:$B$42)</f>
        <v>#N/A</v>
      </c>
      <c r="L255" s="323" t="e">
        <f>LOOKUP(L$2,'Depreciation Schedules'!$A$3:$A$42,'Depreciation Schedules'!$B$3:$B$42)</f>
        <v>#N/A</v>
      </c>
      <c r="M255" s="323" t="e">
        <f>LOOKUP(M$2,'Depreciation Schedules'!$A$3:$A$42,'Depreciation Schedules'!$B$3:$B$42)</f>
        <v>#N/A</v>
      </c>
      <c r="N255" s="323" t="e">
        <f>LOOKUP(N$2,'Depreciation Schedules'!$A$3:$A$42,'Depreciation Schedules'!$B$3:$B$42)</f>
        <v>#N/A</v>
      </c>
      <c r="O255" s="323" t="e">
        <f>LOOKUP(O$2,'Depreciation Schedules'!$A$3:$A$42,'Depreciation Schedules'!$B$3:$B$42)</f>
        <v>#N/A</v>
      </c>
      <c r="P255" s="323" t="e">
        <f>LOOKUP(P$2,'Depreciation Schedules'!$A$3:$A$42,'Depreciation Schedules'!$B$3:$B$42)</f>
        <v>#N/A</v>
      </c>
      <c r="Q255" s="323" t="e">
        <f>LOOKUP(Q$2,'Depreciation Schedules'!$A$3:$A$42,'Depreciation Schedules'!$B$3:$B$42)</f>
        <v>#N/A</v>
      </c>
      <c r="R255" s="323" t="e">
        <f>LOOKUP(R$2,'Depreciation Schedules'!$A$3:$A$42,'Depreciation Schedules'!$B$3:$B$42)</f>
        <v>#N/A</v>
      </c>
      <c r="S255" s="323" t="e">
        <f>LOOKUP(S$2,'Depreciation Schedules'!$A$3:$A$42,'Depreciation Schedules'!$B$3:$B$42)</f>
        <v>#N/A</v>
      </c>
      <c r="T255" s="323" t="e">
        <f>LOOKUP(T$2,'Depreciation Schedules'!$A$3:$A$42,'Depreciation Schedules'!$B$3:$B$42)</f>
        <v>#N/A</v>
      </c>
      <c r="U255" s="323" t="e">
        <f>LOOKUP(U$2,'Depreciation Schedules'!$A$3:$A$42,'Depreciation Schedules'!$B$3:$B$42)</f>
        <v>#N/A</v>
      </c>
      <c r="V255" s="323" t="e">
        <f>LOOKUP(V$2,'Depreciation Schedules'!$A$3:$A$42,'Depreciation Schedules'!$B$3:$B$42)</f>
        <v>#N/A</v>
      </c>
      <c r="W255" s="323" t="e">
        <f>LOOKUP(W$2,'Depreciation Schedules'!$A$3:$A$42,'Depreciation Schedules'!$B$3:$B$42)</f>
        <v>#N/A</v>
      </c>
      <c r="X255" s="323" t="e">
        <f>LOOKUP(X$2,'Depreciation Schedules'!$A$3:$A$42,'Depreciation Schedules'!$B$3:$B$42)</f>
        <v>#N/A</v>
      </c>
      <c r="Y255" s="323" t="e">
        <f>LOOKUP(Y$2,'Depreciation Schedules'!$A$3:$A$42,'Depreciation Schedules'!$B$3:$B$42)</f>
        <v>#N/A</v>
      </c>
      <c r="Z255" s="323" t="e">
        <f>LOOKUP(Z$2,'Depreciation Schedules'!$A$3:$A$42,'Depreciation Schedules'!$B$3:$B$42)</f>
        <v>#N/A</v>
      </c>
      <c r="AA255" s="323" t="e">
        <f>LOOKUP(AA$2,'Depreciation Schedules'!$A$3:$A$42,'Depreciation Schedules'!$B$3:$B$42)</f>
        <v>#N/A</v>
      </c>
      <c r="AB255" s="323" t="e">
        <f>LOOKUP(AB$2,'Depreciation Schedules'!$A$3:$A$42,'Depreciation Schedules'!$B$3:$B$42)</f>
        <v>#N/A</v>
      </c>
      <c r="AC255" s="323" t="e">
        <f>LOOKUP(AC$2,'Depreciation Schedules'!$A$3:$A$42,'Depreciation Schedules'!$B$3:$B$42)</f>
        <v>#N/A</v>
      </c>
      <c r="AD255" s="323" t="e">
        <f>LOOKUP(AD$2,'Depreciation Schedules'!$A$3:$A$42,'Depreciation Schedules'!$B$3:$B$42)</f>
        <v>#N/A</v>
      </c>
      <c r="AE255" s="323" t="e">
        <f>LOOKUP(AE$2,'Depreciation Schedules'!$A$3:$A$42,'Depreciation Schedules'!$B$3:$B$42)</f>
        <v>#N/A</v>
      </c>
      <c r="AF255" s="323" t="e">
        <f>LOOKUP(AF$2,'Depreciation Schedules'!$A$3:$A$42,'Depreciation Schedules'!$B$3:$B$42)</f>
        <v>#N/A</v>
      </c>
      <c r="AG255" s="323" t="e">
        <f>LOOKUP(AG$2,'Depreciation Schedules'!$A$3:$A$42,'Depreciation Schedules'!$B$3:$B$42)</f>
        <v>#N/A</v>
      </c>
      <c r="AH255" s="323" t="e">
        <f>LOOKUP(AH$2,'Depreciation Schedules'!$A$3:$A$42,'Depreciation Schedules'!$B$3:$B$42)</f>
        <v>#N/A</v>
      </c>
      <c r="AI255" s="323" t="e">
        <f>LOOKUP(AI$2,'Depreciation Schedules'!$A$3:$A$42,'Depreciation Schedules'!$B$3:$B$42)</f>
        <v>#N/A</v>
      </c>
      <c r="AJ255" s="323" t="e">
        <f>LOOKUP(AJ$2,'Depreciation Schedules'!$A$3:$A$42,'Depreciation Schedules'!$B$3:$B$42)</f>
        <v>#N/A</v>
      </c>
      <c r="AK255" s="323" t="e">
        <f>LOOKUP(AK$2,'Depreciation Schedules'!$A$3:$A$42,'Depreciation Schedules'!$B$3:$B$42)</f>
        <v>#N/A</v>
      </c>
      <c r="AL255" s="323" t="e">
        <f>LOOKUP(AL$2,'Depreciation Schedules'!$A$3:$A$42,'Depreciation Schedules'!$B$3:$B$42)</f>
        <v>#N/A</v>
      </c>
      <c r="AM255" s="323" t="e">
        <f>LOOKUP(AM$2,'Depreciation Schedules'!$A$3:$A$42,'Depreciation Schedules'!$B$3:$B$42)</f>
        <v>#N/A</v>
      </c>
      <c r="AN255" s="323" t="e">
        <f>LOOKUP(AN$2,'Depreciation Schedules'!$A$3:$A$42,'Depreciation Schedules'!$B$3:$B$42)</f>
        <v>#N/A</v>
      </c>
      <c r="AO255" s="323" t="e">
        <f>LOOKUP(AO$2,'Depreciation Schedules'!$A$3:$A$42,'Depreciation Schedules'!$B$3:$B$42)</f>
        <v>#N/A</v>
      </c>
      <c r="AP255" s="323" t="e">
        <f>LOOKUP(AP$2,'Depreciation Schedules'!$A$3:$A$42,'Depreciation Schedules'!$B$3:$B$42)</f>
        <v>#N/A</v>
      </c>
    </row>
    <row r="256" spans="1:42" s="181" customFormat="1" ht="13.8" x14ac:dyDescent="0.3">
      <c r="A256" s="321" t="str">
        <f t="shared" si="461"/>
        <v>15-yr SL</v>
      </c>
      <c r="B256" s="322">
        <f t="array" ref="B256">SUM(IF(ISNUMBER(C256:AP256),C256:AP256))</f>
        <v>0</v>
      </c>
      <c r="C256" s="323" t="e">
        <f>LOOKUP(C$2,'Depreciation Schedules'!$A$3:$A$42,'Depreciation Schedules'!$B$3:$B$42)</f>
        <v>#N/A</v>
      </c>
      <c r="D256" s="323" t="e">
        <f>LOOKUP(D$2,'Depreciation Schedules'!$A$3:$A$42,'Depreciation Schedules'!$B$3:$B$42)</f>
        <v>#N/A</v>
      </c>
      <c r="E256" s="323" t="e">
        <f>LOOKUP(E$2,'Depreciation Schedules'!$A$3:$A$42,'Depreciation Schedules'!$B$3:$B$42)</f>
        <v>#N/A</v>
      </c>
      <c r="F256" s="323" t="e">
        <f>LOOKUP(F$2,'Depreciation Schedules'!$A$3:$A$42,'Depreciation Schedules'!$B$3:$B$42)</f>
        <v>#N/A</v>
      </c>
      <c r="G256" s="323" t="e">
        <f>LOOKUP(G$2,'Depreciation Schedules'!$A$3:$A$42,'Depreciation Schedules'!$B$3:$B$42)</f>
        <v>#N/A</v>
      </c>
      <c r="H256" s="323" t="e">
        <f>LOOKUP(H$2,'Depreciation Schedules'!$A$3:$A$42,'Depreciation Schedules'!$B$3:$B$42)</f>
        <v>#N/A</v>
      </c>
      <c r="I256" s="323" t="e">
        <f>LOOKUP(I$2,'Depreciation Schedules'!$A$3:$A$42,'Depreciation Schedules'!$B$3:$B$42)</f>
        <v>#N/A</v>
      </c>
      <c r="J256" s="323" t="e">
        <f>LOOKUP(J$2,'Depreciation Schedules'!$A$3:$A$42,'Depreciation Schedules'!$B$3:$B$42)</f>
        <v>#N/A</v>
      </c>
      <c r="K256" s="323" t="e">
        <f>LOOKUP(K$2,'Depreciation Schedules'!$A$3:$A$42,'Depreciation Schedules'!$B$3:$B$42)</f>
        <v>#N/A</v>
      </c>
      <c r="L256" s="323" t="e">
        <f>LOOKUP(L$2,'Depreciation Schedules'!$A$3:$A$42,'Depreciation Schedules'!$B$3:$B$42)</f>
        <v>#N/A</v>
      </c>
      <c r="M256" s="323" t="e">
        <f>LOOKUP(M$2,'Depreciation Schedules'!$A$3:$A$42,'Depreciation Schedules'!$B$3:$B$42)</f>
        <v>#N/A</v>
      </c>
      <c r="N256" s="323" t="e">
        <f>LOOKUP(N$2,'Depreciation Schedules'!$A$3:$A$42,'Depreciation Schedules'!$B$3:$B$42)</f>
        <v>#N/A</v>
      </c>
      <c r="O256" s="323" t="e">
        <f>LOOKUP(O$2,'Depreciation Schedules'!$A$3:$A$42,'Depreciation Schedules'!$B$3:$B$42)</f>
        <v>#N/A</v>
      </c>
      <c r="P256" s="323" t="e">
        <f>LOOKUP(P$2,'Depreciation Schedules'!$A$3:$A$42,'Depreciation Schedules'!$B$3:$B$42)</f>
        <v>#N/A</v>
      </c>
      <c r="Q256" s="323" t="e">
        <f>LOOKUP(Q$2,'Depreciation Schedules'!$A$3:$A$42,'Depreciation Schedules'!$B$3:$B$42)</f>
        <v>#N/A</v>
      </c>
      <c r="R256" s="323" t="e">
        <f>LOOKUP(R$2,'Depreciation Schedules'!$A$3:$A$42,'Depreciation Schedules'!$B$3:$B$42)</f>
        <v>#N/A</v>
      </c>
      <c r="S256" s="323" t="e">
        <f>LOOKUP(S$2,'Depreciation Schedules'!$A$3:$A$42,'Depreciation Schedules'!$B$3:$B$42)</f>
        <v>#N/A</v>
      </c>
      <c r="T256" s="323" t="e">
        <f>LOOKUP(T$2,'Depreciation Schedules'!$A$3:$A$42,'Depreciation Schedules'!$B$3:$B$42)</f>
        <v>#N/A</v>
      </c>
      <c r="U256" s="323" t="e">
        <f>LOOKUP(U$2,'Depreciation Schedules'!$A$3:$A$42,'Depreciation Schedules'!$B$3:$B$42)</f>
        <v>#N/A</v>
      </c>
      <c r="V256" s="323" t="e">
        <f>LOOKUP(V$2,'Depreciation Schedules'!$A$3:$A$42,'Depreciation Schedules'!$B$3:$B$42)</f>
        <v>#N/A</v>
      </c>
      <c r="W256" s="323" t="e">
        <f>LOOKUP(W$2,'Depreciation Schedules'!$A$3:$A$42,'Depreciation Schedules'!$B$3:$B$42)</f>
        <v>#N/A</v>
      </c>
      <c r="X256" s="323" t="e">
        <f>LOOKUP(X$2,'Depreciation Schedules'!$A$3:$A$42,'Depreciation Schedules'!$B$3:$B$42)</f>
        <v>#N/A</v>
      </c>
      <c r="Y256" s="323" t="e">
        <f>LOOKUP(Y$2,'Depreciation Schedules'!$A$3:$A$42,'Depreciation Schedules'!$B$3:$B$42)</f>
        <v>#N/A</v>
      </c>
      <c r="Z256" s="323" t="e">
        <f>LOOKUP(Z$2,'Depreciation Schedules'!$A$3:$A$42,'Depreciation Schedules'!$B$3:$B$42)</f>
        <v>#N/A</v>
      </c>
      <c r="AA256" s="323" t="e">
        <f>LOOKUP(AA$2,'Depreciation Schedules'!$A$3:$A$42,'Depreciation Schedules'!$B$3:$B$42)</f>
        <v>#N/A</v>
      </c>
      <c r="AB256" s="323" t="e">
        <f>LOOKUP(AB$2,'Depreciation Schedules'!$A$3:$A$42,'Depreciation Schedules'!$B$3:$B$42)</f>
        <v>#N/A</v>
      </c>
      <c r="AC256" s="323" t="e">
        <f>LOOKUP(AC$2,'Depreciation Schedules'!$A$3:$A$42,'Depreciation Schedules'!$B$3:$B$42)</f>
        <v>#N/A</v>
      </c>
      <c r="AD256" s="323" t="e">
        <f>LOOKUP(AD$2,'Depreciation Schedules'!$A$3:$A$42,'Depreciation Schedules'!$B$3:$B$42)</f>
        <v>#N/A</v>
      </c>
      <c r="AE256" s="323" t="e">
        <f>LOOKUP(AE$2,'Depreciation Schedules'!$A$3:$A$42,'Depreciation Schedules'!$B$3:$B$42)</f>
        <v>#N/A</v>
      </c>
      <c r="AF256" s="323" t="e">
        <f>LOOKUP(AF$2,'Depreciation Schedules'!$A$3:$A$42,'Depreciation Schedules'!$B$3:$B$42)</f>
        <v>#N/A</v>
      </c>
      <c r="AG256" s="323" t="e">
        <f>LOOKUP(AG$2,'Depreciation Schedules'!$A$3:$A$42,'Depreciation Schedules'!$B$3:$B$42)</f>
        <v>#N/A</v>
      </c>
      <c r="AH256" s="323" t="e">
        <f>LOOKUP(AH$2,'Depreciation Schedules'!$A$3:$A$42,'Depreciation Schedules'!$B$3:$B$42)</f>
        <v>#N/A</v>
      </c>
      <c r="AI256" s="323" t="e">
        <f>LOOKUP(AI$2,'Depreciation Schedules'!$A$3:$A$42,'Depreciation Schedules'!$B$3:$B$42)</f>
        <v>#N/A</v>
      </c>
      <c r="AJ256" s="323" t="e">
        <f>LOOKUP(AJ$2,'Depreciation Schedules'!$A$3:$A$42,'Depreciation Schedules'!$B$3:$B$42)</f>
        <v>#N/A</v>
      </c>
      <c r="AK256" s="323" t="e">
        <f>LOOKUP(AK$2,'Depreciation Schedules'!$A$3:$A$42,'Depreciation Schedules'!$B$3:$B$42)</f>
        <v>#N/A</v>
      </c>
      <c r="AL256" s="323" t="e">
        <f>LOOKUP(AL$2,'Depreciation Schedules'!$A$3:$A$42,'Depreciation Schedules'!$B$3:$B$42)</f>
        <v>#N/A</v>
      </c>
      <c r="AM256" s="323" t="e">
        <f>LOOKUP(AM$2,'Depreciation Schedules'!$A$3:$A$42,'Depreciation Schedules'!$B$3:$B$42)</f>
        <v>#N/A</v>
      </c>
      <c r="AN256" s="323" t="e">
        <f>LOOKUP(AN$2,'Depreciation Schedules'!$A$3:$A$42,'Depreciation Schedules'!$B$3:$B$42)</f>
        <v>#N/A</v>
      </c>
      <c r="AO256" s="323" t="e">
        <f>LOOKUP(AO$2,'Depreciation Schedules'!$A$3:$A$42,'Depreciation Schedules'!$B$3:$B$42)</f>
        <v>#N/A</v>
      </c>
      <c r="AP256" s="323" t="e">
        <f>LOOKUP(AP$2,'Depreciation Schedules'!$A$3:$A$42,'Depreciation Schedules'!$B$3:$B$42)</f>
        <v>#N/A</v>
      </c>
    </row>
    <row r="257" spans="1:42" s="181" customFormat="1" ht="13.8" x14ac:dyDescent="0.3">
      <c r="A257" s="321" t="str">
        <f t="shared" si="461"/>
        <v>20-yr SL</v>
      </c>
      <c r="B257" s="322">
        <f t="array" ref="B257">SUM(IF(ISNUMBER(C257:AP257),C257:AP257))</f>
        <v>0</v>
      </c>
      <c r="C257" s="323" t="e">
        <f>LOOKUP(C$2,'Depreciation Schedules'!$A$3:$A$42,'Depreciation Schedules'!$B$3:$B$42)</f>
        <v>#N/A</v>
      </c>
      <c r="D257" s="323" t="e">
        <f>LOOKUP(D$2,'Depreciation Schedules'!$A$3:$A$42,'Depreciation Schedules'!$B$3:$B$42)</f>
        <v>#N/A</v>
      </c>
      <c r="E257" s="323" t="e">
        <f>LOOKUP(E$2,'Depreciation Schedules'!$A$3:$A$42,'Depreciation Schedules'!$B$3:$B$42)</f>
        <v>#N/A</v>
      </c>
      <c r="F257" s="323" t="e">
        <f>LOOKUP(F$2,'Depreciation Schedules'!$A$3:$A$42,'Depreciation Schedules'!$B$3:$B$42)</f>
        <v>#N/A</v>
      </c>
      <c r="G257" s="323" t="e">
        <f>LOOKUP(G$2,'Depreciation Schedules'!$A$3:$A$42,'Depreciation Schedules'!$B$3:$B$42)</f>
        <v>#N/A</v>
      </c>
      <c r="H257" s="323" t="e">
        <f>LOOKUP(H$2,'Depreciation Schedules'!$A$3:$A$42,'Depreciation Schedules'!$B$3:$B$42)</f>
        <v>#N/A</v>
      </c>
      <c r="I257" s="323" t="e">
        <f>LOOKUP(I$2,'Depreciation Schedules'!$A$3:$A$42,'Depreciation Schedules'!$B$3:$B$42)</f>
        <v>#N/A</v>
      </c>
      <c r="J257" s="323" t="e">
        <f>LOOKUP(J$2,'Depreciation Schedules'!$A$3:$A$42,'Depreciation Schedules'!$B$3:$B$42)</f>
        <v>#N/A</v>
      </c>
      <c r="K257" s="323" t="e">
        <f>LOOKUP(K$2,'Depreciation Schedules'!$A$3:$A$42,'Depreciation Schedules'!$B$3:$B$42)</f>
        <v>#N/A</v>
      </c>
      <c r="L257" s="323" t="e">
        <f>LOOKUP(L$2,'Depreciation Schedules'!$A$3:$A$42,'Depreciation Schedules'!$B$3:$B$42)</f>
        <v>#N/A</v>
      </c>
      <c r="M257" s="323" t="e">
        <f>LOOKUP(M$2,'Depreciation Schedules'!$A$3:$A$42,'Depreciation Schedules'!$B$3:$B$42)</f>
        <v>#N/A</v>
      </c>
      <c r="N257" s="323" t="e">
        <f>LOOKUP(N$2,'Depreciation Schedules'!$A$3:$A$42,'Depreciation Schedules'!$B$3:$B$42)</f>
        <v>#N/A</v>
      </c>
      <c r="O257" s="323" t="e">
        <f>LOOKUP(O$2,'Depreciation Schedules'!$A$3:$A$42,'Depreciation Schedules'!$B$3:$B$42)</f>
        <v>#N/A</v>
      </c>
      <c r="P257" s="323" t="e">
        <f>LOOKUP(P$2,'Depreciation Schedules'!$A$3:$A$42,'Depreciation Schedules'!$B$3:$B$42)</f>
        <v>#N/A</v>
      </c>
      <c r="Q257" s="323" t="e">
        <f>LOOKUP(Q$2,'Depreciation Schedules'!$A$3:$A$42,'Depreciation Schedules'!$B$3:$B$42)</f>
        <v>#N/A</v>
      </c>
      <c r="R257" s="323" t="e">
        <f>LOOKUP(R$2,'Depreciation Schedules'!$A$3:$A$42,'Depreciation Schedules'!$B$3:$B$42)</f>
        <v>#N/A</v>
      </c>
      <c r="S257" s="323" t="e">
        <f>LOOKUP(S$2,'Depreciation Schedules'!$A$3:$A$42,'Depreciation Schedules'!$B$3:$B$42)</f>
        <v>#N/A</v>
      </c>
      <c r="T257" s="323" t="e">
        <f>LOOKUP(T$2,'Depreciation Schedules'!$A$3:$A$42,'Depreciation Schedules'!$B$3:$B$42)</f>
        <v>#N/A</v>
      </c>
      <c r="U257" s="323" t="e">
        <f>LOOKUP(U$2,'Depreciation Schedules'!$A$3:$A$42,'Depreciation Schedules'!$B$3:$B$42)</f>
        <v>#N/A</v>
      </c>
      <c r="V257" s="323" t="e">
        <f>LOOKUP(V$2,'Depreciation Schedules'!$A$3:$A$42,'Depreciation Schedules'!$B$3:$B$42)</f>
        <v>#N/A</v>
      </c>
      <c r="W257" s="323" t="e">
        <f>LOOKUP(W$2,'Depreciation Schedules'!$A$3:$A$42,'Depreciation Schedules'!$B$3:$B$42)</f>
        <v>#N/A</v>
      </c>
      <c r="X257" s="323" t="e">
        <f>LOOKUP(X$2,'Depreciation Schedules'!$A$3:$A$42,'Depreciation Schedules'!$B$3:$B$42)</f>
        <v>#N/A</v>
      </c>
      <c r="Y257" s="323" t="e">
        <f>LOOKUP(Y$2,'Depreciation Schedules'!$A$3:$A$42,'Depreciation Schedules'!$B$3:$B$42)</f>
        <v>#N/A</v>
      </c>
      <c r="Z257" s="323" t="e">
        <f>LOOKUP(Z$2,'Depreciation Schedules'!$A$3:$A$42,'Depreciation Schedules'!$B$3:$B$42)</f>
        <v>#N/A</v>
      </c>
      <c r="AA257" s="323" t="e">
        <f>LOOKUP(AA$2,'Depreciation Schedules'!$A$3:$A$42,'Depreciation Schedules'!$B$3:$B$42)</f>
        <v>#N/A</v>
      </c>
      <c r="AB257" s="323" t="e">
        <f>LOOKUP(AB$2,'Depreciation Schedules'!$A$3:$A$42,'Depreciation Schedules'!$B$3:$B$42)</f>
        <v>#N/A</v>
      </c>
      <c r="AC257" s="323" t="e">
        <f>LOOKUP(AC$2,'Depreciation Schedules'!$A$3:$A$42,'Depreciation Schedules'!$B$3:$B$42)</f>
        <v>#N/A</v>
      </c>
      <c r="AD257" s="323" t="e">
        <f>LOOKUP(AD$2,'Depreciation Schedules'!$A$3:$A$42,'Depreciation Schedules'!$B$3:$B$42)</f>
        <v>#N/A</v>
      </c>
      <c r="AE257" s="323" t="e">
        <f>LOOKUP(AE$2,'Depreciation Schedules'!$A$3:$A$42,'Depreciation Schedules'!$B$3:$B$42)</f>
        <v>#N/A</v>
      </c>
      <c r="AF257" s="323" t="e">
        <f>LOOKUP(AF$2,'Depreciation Schedules'!$A$3:$A$42,'Depreciation Schedules'!$B$3:$B$42)</f>
        <v>#N/A</v>
      </c>
      <c r="AG257" s="323" t="e">
        <f>LOOKUP(AG$2,'Depreciation Schedules'!$A$3:$A$42,'Depreciation Schedules'!$B$3:$B$42)</f>
        <v>#N/A</v>
      </c>
      <c r="AH257" s="323" t="e">
        <f>LOOKUP(AH$2,'Depreciation Schedules'!$A$3:$A$42,'Depreciation Schedules'!$B$3:$B$42)</f>
        <v>#N/A</v>
      </c>
      <c r="AI257" s="323" t="e">
        <f>LOOKUP(AI$2,'Depreciation Schedules'!$A$3:$A$42,'Depreciation Schedules'!$B$3:$B$42)</f>
        <v>#N/A</v>
      </c>
      <c r="AJ257" s="323" t="e">
        <f>LOOKUP(AJ$2,'Depreciation Schedules'!$A$3:$A$42,'Depreciation Schedules'!$B$3:$B$42)</f>
        <v>#N/A</v>
      </c>
      <c r="AK257" s="323" t="e">
        <f>LOOKUP(AK$2,'Depreciation Schedules'!$A$3:$A$42,'Depreciation Schedules'!$B$3:$B$42)</f>
        <v>#N/A</v>
      </c>
      <c r="AL257" s="323" t="e">
        <f>LOOKUP(AL$2,'Depreciation Schedules'!$A$3:$A$42,'Depreciation Schedules'!$B$3:$B$42)</f>
        <v>#N/A</v>
      </c>
      <c r="AM257" s="323" t="e">
        <f>LOOKUP(AM$2,'Depreciation Schedules'!$A$3:$A$42,'Depreciation Schedules'!$B$3:$B$42)</f>
        <v>#N/A</v>
      </c>
      <c r="AN257" s="323" t="e">
        <f>LOOKUP(AN$2,'Depreciation Schedules'!$A$3:$A$42,'Depreciation Schedules'!$B$3:$B$42)</f>
        <v>#N/A</v>
      </c>
      <c r="AO257" s="323" t="e">
        <f>LOOKUP(AO$2,'Depreciation Schedules'!$A$3:$A$42,'Depreciation Schedules'!$B$3:$B$42)</f>
        <v>#N/A</v>
      </c>
      <c r="AP257" s="323" t="e">
        <f>LOOKUP(AP$2,'Depreciation Schedules'!$A$3:$A$42,'Depreciation Schedules'!$B$3:$B$42)</f>
        <v>#N/A</v>
      </c>
    </row>
    <row r="258" spans="1:42" s="181" customFormat="1" ht="13.8" x14ac:dyDescent="0.3">
      <c r="A258" s="321" t="str">
        <f t="shared" si="461"/>
        <v>39-yr SL</v>
      </c>
      <c r="B258" s="324">
        <f t="array" ref="B258">SUM(IF(ISNUMBER(C258:AP258),C258:AP258))</f>
        <v>0</v>
      </c>
      <c r="C258" s="323" t="e">
        <f>LOOKUP(C$2,'Depreciation Schedules'!$A$3:$A$42,'Depreciation Schedules'!$B$3:$B$42)</f>
        <v>#N/A</v>
      </c>
      <c r="D258" s="323" t="e">
        <f>LOOKUP(D$2,'Depreciation Schedules'!$A$3:$A$42,'Depreciation Schedules'!$B$3:$B$42)</f>
        <v>#N/A</v>
      </c>
      <c r="E258" s="323" t="e">
        <f>LOOKUP(E$2,'Depreciation Schedules'!$A$3:$A$42,'Depreciation Schedules'!$B$3:$B$42)</f>
        <v>#N/A</v>
      </c>
      <c r="F258" s="323" t="e">
        <f>LOOKUP(F$2,'Depreciation Schedules'!$A$3:$A$42,'Depreciation Schedules'!$B$3:$B$42)</f>
        <v>#N/A</v>
      </c>
      <c r="G258" s="323" t="e">
        <f>LOOKUP(G$2,'Depreciation Schedules'!$A$3:$A$42,'Depreciation Schedules'!$B$3:$B$42)</f>
        <v>#N/A</v>
      </c>
      <c r="H258" s="323" t="e">
        <f>LOOKUP(H$2,'Depreciation Schedules'!$A$3:$A$42,'Depreciation Schedules'!$B$3:$B$42)</f>
        <v>#N/A</v>
      </c>
      <c r="I258" s="323" t="e">
        <f>LOOKUP(I$2,'Depreciation Schedules'!$A$3:$A$42,'Depreciation Schedules'!$B$3:$B$42)</f>
        <v>#N/A</v>
      </c>
      <c r="J258" s="323" t="e">
        <f>LOOKUP(J$2,'Depreciation Schedules'!$A$3:$A$42,'Depreciation Schedules'!$B$3:$B$42)</f>
        <v>#N/A</v>
      </c>
      <c r="K258" s="323" t="e">
        <f>LOOKUP(K$2,'Depreciation Schedules'!$A$3:$A$42,'Depreciation Schedules'!$B$3:$B$42)</f>
        <v>#N/A</v>
      </c>
      <c r="L258" s="323" t="e">
        <f>LOOKUP(L$2,'Depreciation Schedules'!$A$3:$A$42,'Depreciation Schedules'!$B$3:$B$42)</f>
        <v>#N/A</v>
      </c>
      <c r="M258" s="323" t="e">
        <f>LOOKUP(M$2,'Depreciation Schedules'!$A$3:$A$42,'Depreciation Schedules'!$B$3:$B$42)</f>
        <v>#N/A</v>
      </c>
      <c r="N258" s="323" t="e">
        <f>LOOKUP(N$2,'Depreciation Schedules'!$A$3:$A$42,'Depreciation Schedules'!$B$3:$B$42)</f>
        <v>#N/A</v>
      </c>
      <c r="O258" s="323" t="e">
        <f>LOOKUP(O$2,'Depreciation Schedules'!$A$3:$A$42,'Depreciation Schedules'!$B$3:$B$42)</f>
        <v>#N/A</v>
      </c>
      <c r="P258" s="323" t="e">
        <f>LOOKUP(P$2,'Depreciation Schedules'!$A$3:$A$42,'Depreciation Schedules'!$B$3:$B$42)</f>
        <v>#N/A</v>
      </c>
      <c r="Q258" s="323" t="e">
        <f>LOOKUP(Q$2,'Depreciation Schedules'!$A$3:$A$42,'Depreciation Schedules'!$B$3:$B$42)</f>
        <v>#N/A</v>
      </c>
      <c r="R258" s="323" t="e">
        <f>LOOKUP(R$2,'Depreciation Schedules'!$A$3:$A$42,'Depreciation Schedules'!$B$3:$B$42)</f>
        <v>#N/A</v>
      </c>
      <c r="S258" s="323" t="e">
        <f>LOOKUP(S$2,'Depreciation Schedules'!$A$3:$A$42,'Depreciation Schedules'!$B$3:$B$42)</f>
        <v>#N/A</v>
      </c>
      <c r="T258" s="323" t="e">
        <f>LOOKUP(T$2,'Depreciation Schedules'!$A$3:$A$42,'Depreciation Schedules'!$B$3:$B$42)</f>
        <v>#N/A</v>
      </c>
      <c r="U258" s="323" t="e">
        <f>LOOKUP(U$2,'Depreciation Schedules'!$A$3:$A$42,'Depreciation Schedules'!$B$3:$B$42)</f>
        <v>#N/A</v>
      </c>
      <c r="V258" s="323" t="e">
        <f>LOOKUP(V$2,'Depreciation Schedules'!$A$3:$A$42,'Depreciation Schedules'!$B$3:$B$42)</f>
        <v>#N/A</v>
      </c>
      <c r="W258" s="323" t="e">
        <f>LOOKUP(W$2,'Depreciation Schedules'!$A$3:$A$42,'Depreciation Schedules'!$B$3:$B$42)</f>
        <v>#N/A</v>
      </c>
      <c r="X258" s="323" t="e">
        <f>LOOKUP(X$2,'Depreciation Schedules'!$A$3:$A$42,'Depreciation Schedules'!$B$3:$B$42)</f>
        <v>#N/A</v>
      </c>
      <c r="Y258" s="323" t="e">
        <f>LOOKUP(Y$2,'Depreciation Schedules'!$A$3:$A$42,'Depreciation Schedules'!$B$3:$B$42)</f>
        <v>#N/A</v>
      </c>
      <c r="Z258" s="323" t="e">
        <f>LOOKUP(Z$2,'Depreciation Schedules'!$A$3:$A$42,'Depreciation Schedules'!$B$3:$B$42)</f>
        <v>#N/A</v>
      </c>
      <c r="AA258" s="323" t="e">
        <f>LOOKUP(AA$2,'Depreciation Schedules'!$A$3:$A$42,'Depreciation Schedules'!$B$3:$B$42)</f>
        <v>#N/A</v>
      </c>
      <c r="AB258" s="323" t="e">
        <f>LOOKUP(AB$2,'Depreciation Schedules'!$A$3:$A$42,'Depreciation Schedules'!$B$3:$B$42)</f>
        <v>#N/A</v>
      </c>
      <c r="AC258" s="323" t="e">
        <f>LOOKUP(AC$2,'Depreciation Schedules'!$A$3:$A$42,'Depreciation Schedules'!$B$3:$B$42)</f>
        <v>#N/A</v>
      </c>
      <c r="AD258" s="323" t="e">
        <f>LOOKUP(AD$2,'Depreciation Schedules'!$A$3:$A$42,'Depreciation Schedules'!$B$3:$B$42)</f>
        <v>#N/A</v>
      </c>
      <c r="AE258" s="323" t="e">
        <f>LOOKUP(AE$2,'Depreciation Schedules'!$A$3:$A$42,'Depreciation Schedules'!$B$3:$B$42)</f>
        <v>#N/A</v>
      </c>
      <c r="AF258" s="323" t="e">
        <f>LOOKUP(AF$2,'Depreciation Schedules'!$A$3:$A$42,'Depreciation Schedules'!$B$3:$B$42)</f>
        <v>#N/A</v>
      </c>
      <c r="AG258" s="323" t="e">
        <f>LOOKUP(AG$2,'Depreciation Schedules'!$A$3:$A$42,'Depreciation Schedules'!$B$3:$B$42)</f>
        <v>#N/A</v>
      </c>
      <c r="AH258" s="323" t="e">
        <f>LOOKUP(AH$2,'Depreciation Schedules'!$A$3:$A$42,'Depreciation Schedules'!$B$3:$B$42)</f>
        <v>#N/A</v>
      </c>
      <c r="AI258" s="323" t="e">
        <f>LOOKUP(AI$2,'Depreciation Schedules'!$A$3:$A$42,'Depreciation Schedules'!$B$3:$B$42)</f>
        <v>#N/A</v>
      </c>
      <c r="AJ258" s="323" t="e">
        <f>LOOKUP(AJ$2,'Depreciation Schedules'!$A$3:$A$42,'Depreciation Schedules'!$B$3:$B$42)</f>
        <v>#N/A</v>
      </c>
      <c r="AK258" s="323" t="e">
        <f>LOOKUP(AK$2,'Depreciation Schedules'!$A$3:$A$42,'Depreciation Schedules'!$B$3:$B$42)</f>
        <v>#N/A</v>
      </c>
      <c r="AL258" s="323" t="e">
        <f>LOOKUP(AL$2,'Depreciation Schedules'!$A$3:$A$42,'Depreciation Schedules'!$B$3:$B$42)</f>
        <v>#N/A</v>
      </c>
      <c r="AM258" s="323" t="e">
        <f>LOOKUP(AM$2,'Depreciation Schedules'!$A$3:$A$42,'Depreciation Schedules'!$B$3:$B$42)</f>
        <v>#N/A</v>
      </c>
      <c r="AN258" s="323" t="e">
        <f>LOOKUP(AN$2,'Depreciation Schedules'!$A$3:$A$42,'Depreciation Schedules'!$B$3:$B$42)</f>
        <v>#N/A</v>
      </c>
      <c r="AO258" s="323" t="e">
        <f>LOOKUP(AO$2,'Depreciation Schedules'!$A$3:$A$42,'Depreciation Schedules'!$B$3:$B$42)</f>
        <v>#N/A</v>
      </c>
      <c r="AP258" s="323" t="e">
        <f>LOOKUP(AP$2,'Depreciation Schedules'!$A$3:$A$42,'Depreciation Schedules'!$B$3:$B$42)</f>
        <v>#N/A</v>
      </c>
    </row>
    <row r="259" spans="1:42" s="181" customFormat="1" ht="13.8" x14ac:dyDescent="0.3">
      <c r="A259" s="321" t="s">
        <v>257</v>
      </c>
      <c r="B259" s="324">
        <f t="array" ref="B259">SUM(IF(ISNUMBER(C259:AP259),C259:AP259))</f>
        <v>0</v>
      </c>
      <c r="C259" s="323">
        <f>'Inputs and Outputs'!C159</f>
        <v>0</v>
      </c>
      <c r="D259" s="323">
        <f>'Inputs and Outputs'!D159</f>
        <v>0</v>
      </c>
      <c r="E259" s="323">
        <f>'Inputs and Outputs'!E159</f>
        <v>0</v>
      </c>
      <c r="F259" s="323">
        <f>'Inputs and Outputs'!F159</f>
        <v>0</v>
      </c>
      <c r="G259" s="323">
        <f>'Inputs and Outputs'!G159</f>
        <v>0</v>
      </c>
      <c r="H259" s="323">
        <f>'Inputs and Outputs'!H159</f>
        <v>0</v>
      </c>
      <c r="I259" s="323">
        <f>'Inputs and Outputs'!I159</f>
        <v>0</v>
      </c>
      <c r="J259" s="323">
        <f>'Inputs and Outputs'!J159</f>
        <v>0</v>
      </c>
      <c r="K259" s="323">
        <f>'Inputs and Outputs'!K159</f>
        <v>0</v>
      </c>
      <c r="L259" s="323">
        <f>'Inputs and Outputs'!L159</f>
        <v>0</v>
      </c>
      <c r="M259" s="323">
        <f>'Inputs and Outputs'!M159</f>
        <v>0</v>
      </c>
      <c r="N259" s="323">
        <f>'Inputs and Outputs'!N159</f>
        <v>0</v>
      </c>
      <c r="O259" s="323">
        <f>'Inputs and Outputs'!O159</f>
        <v>0</v>
      </c>
      <c r="P259" s="323">
        <f>'Inputs and Outputs'!P159</f>
        <v>0</v>
      </c>
      <c r="Q259" s="323">
        <f>'Inputs and Outputs'!Q159</f>
        <v>0</v>
      </c>
      <c r="R259" s="323">
        <f>'Inputs and Outputs'!R159</f>
        <v>0</v>
      </c>
      <c r="S259" s="323">
        <f>'Inputs and Outputs'!S159</f>
        <v>0</v>
      </c>
      <c r="T259" s="323">
        <f>'Inputs and Outputs'!T159</f>
        <v>0</v>
      </c>
      <c r="U259" s="323">
        <f>'Inputs and Outputs'!U159</f>
        <v>0</v>
      </c>
      <c r="V259" s="323">
        <f>'Inputs and Outputs'!V159</f>
        <v>0</v>
      </c>
      <c r="W259" s="323">
        <f>'Inputs and Outputs'!W159</f>
        <v>0</v>
      </c>
      <c r="X259" s="323">
        <f>'Inputs and Outputs'!X159</f>
        <v>0</v>
      </c>
      <c r="Y259" s="323">
        <f>'Inputs and Outputs'!Y159</f>
        <v>0</v>
      </c>
      <c r="Z259" s="323">
        <f>'Inputs and Outputs'!Z159</f>
        <v>0</v>
      </c>
      <c r="AA259" s="323">
        <f>'Inputs and Outputs'!AA159</f>
        <v>0</v>
      </c>
      <c r="AB259" s="323">
        <f>'Inputs and Outputs'!AB159</f>
        <v>0</v>
      </c>
      <c r="AC259" s="323">
        <f>'Inputs and Outputs'!AC159</f>
        <v>0</v>
      </c>
      <c r="AD259" s="323">
        <f>'Inputs and Outputs'!AD159</f>
        <v>0</v>
      </c>
      <c r="AE259" s="323">
        <f>'Inputs and Outputs'!AE159</f>
        <v>0</v>
      </c>
      <c r="AF259" s="323">
        <f>'Inputs and Outputs'!AF159</f>
        <v>0</v>
      </c>
      <c r="AG259" s="323">
        <f>'Inputs and Outputs'!AG159</f>
        <v>0</v>
      </c>
      <c r="AH259" s="323">
        <f>'Inputs and Outputs'!AH159</f>
        <v>0</v>
      </c>
      <c r="AI259" s="323">
        <f>'Inputs and Outputs'!AI159</f>
        <v>0</v>
      </c>
      <c r="AJ259" s="323">
        <f>'Inputs and Outputs'!AJ159</f>
        <v>0</v>
      </c>
      <c r="AK259" s="323">
        <f>'Inputs and Outputs'!AK159</f>
        <v>0</v>
      </c>
      <c r="AL259" s="323">
        <f>'Inputs and Outputs'!AL159</f>
        <v>0</v>
      </c>
      <c r="AM259" s="323">
        <f>'Inputs and Outputs'!AM159</f>
        <v>0</v>
      </c>
      <c r="AN259" s="323">
        <f>'Inputs and Outputs'!AN159</f>
        <v>0</v>
      </c>
      <c r="AO259" s="323">
        <f>'Inputs and Outputs'!AO159</f>
        <v>0</v>
      </c>
      <c r="AP259" s="323">
        <f>'Inputs and Outputs'!AP159</f>
        <v>0</v>
      </c>
    </row>
    <row r="260" spans="1:42" s="181" customFormat="1" ht="13.8" x14ac:dyDescent="0.3">
      <c r="A260" s="209" t="s">
        <v>1</v>
      </c>
      <c r="C260" s="325"/>
      <c r="D260" s="325"/>
      <c r="E260" s="325"/>
      <c r="F260" s="325"/>
      <c r="G260" s="325"/>
      <c r="H260" s="325"/>
      <c r="I260" s="325"/>
      <c r="J260" s="325"/>
      <c r="K260" s="325"/>
      <c r="L260" s="325"/>
      <c r="M260" s="325"/>
      <c r="N260" s="325"/>
      <c r="O260" s="325"/>
      <c r="P260" s="325"/>
      <c r="Q260" s="325"/>
      <c r="R260" s="325"/>
      <c r="S260" s="325"/>
      <c r="T260" s="325"/>
      <c r="U260" s="325"/>
      <c r="V260" s="325"/>
      <c r="W260" s="325"/>
      <c r="X260" s="325"/>
      <c r="Y260" s="325"/>
      <c r="Z260" s="325"/>
      <c r="AA260" s="325"/>
      <c r="AB260" s="325"/>
      <c r="AC260" s="325"/>
      <c r="AD260" s="325"/>
      <c r="AE260" s="325"/>
      <c r="AF260" s="325"/>
      <c r="AG260" s="325"/>
      <c r="AH260" s="325"/>
      <c r="AI260" s="325"/>
      <c r="AJ260" s="325"/>
      <c r="AK260" s="325"/>
      <c r="AL260" s="325"/>
      <c r="AM260" s="325"/>
      <c r="AN260" s="325"/>
      <c r="AO260" s="325"/>
      <c r="AP260" s="325"/>
    </row>
    <row r="261" spans="1:42" s="181" customFormat="1" ht="13.8" x14ac:dyDescent="0.3">
      <c r="A261" s="321" t="str">
        <f t="shared" ref="A261:A266" si="462">A253</f>
        <v>5-yr MACRS</v>
      </c>
      <c r="B261" s="308">
        <f t="array" ref="B261">SUM(IF(ISNUMBER(C261:AP261),C261:AP261))</f>
        <v>0</v>
      </c>
      <c r="C261" s="302" t="e">
        <f>C253/100*$Q218</f>
        <v>#N/A</v>
      </c>
      <c r="D261" s="302" t="e">
        <f t="shared" ref="D261:AP266" si="463">D253/100*$Q218</f>
        <v>#N/A</v>
      </c>
      <c r="E261" s="302" t="e">
        <f t="shared" si="463"/>
        <v>#N/A</v>
      </c>
      <c r="F261" s="302" t="e">
        <f t="shared" si="463"/>
        <v>#N/A</v>
      </c>
      <c r="G261" s="302" t="e">
        <f t="shared" si="463"/>
        <v>#N/A</v>
      </c>
      <c r="H261" s="302" t="e">
        <f t="shared" si="463"/>
        <v>#N/A</v>
      </c>
      <c r="I261" s="302" t="e">
        <f t="shared" si="463"/>
        <v>#N/A</v>
      </c>
      <c r="J261" s="302" t="e">
        <f t="shared" si="463"/>
        <v>#N/A</v>
      </c>
      <c r="K261" s="302" t="e">
        <f t="shared" si="463"/>
        <v>#N/A</v>
      </c>
      <c r="L261" s="302" t="e">
        <f t="shared" si="463"/>
        <v>#N/A</v>
      </c>
      <c r="M261" s="302" t="e">
        <f t="shared" si="463"/>
        <v>#N/A</v>
      </c>
      <c r="N261" s="302" t="e">
        <f t="shared" si="463"/>
        <v>#N/A</v>
      </c>
      <c r="O261" s="302" t="e">
        <f t="shared" si="463"/>
        <v>#N/A</v>
      </c>
      <c r="P261" s="302" t="e">
        <f t="shared" si="463"/>
        <v>#N/A</v>
      </c>
      <c r="Q261" s="302" t="e">
        <f t="shared" si="463"/>
        <v>#N/A</v>
      </c>
      <c r="R261" s="302" t="e">
        <f t="shared" si="463"/>
        <v>#N/A</v>
      </c>
      <c r="S261" s="302" t="e">
        <f t="shared" si="463"/>
        <v>#N/A</v>
      </c>
      <c r="T261" s="302" t="e">
        <f t="shared" si="463"/>
        <v>#N/A</v>
      </c>
      <c r="U261" s="302" t="e">
        <f t="shared" si="463"/>
        <v>#N/A</v>
      </c>
      <c r="V261" s="302" t="e">
        <f t="shared" si="463"/>
        <v>#N/A</v>
      </c>
      <c r="W261" s="302" t="e">
        <f t="shared" si="463"/>
        <v>#N/A</v>
      </c>
      <c r="X261" s="302" t="e">
        <f t="shared" si="463"/>
        <v>#N/A</v>
      </c>
      <c r="Y261" s="302" t="e">
        <f t="shared" si="463"/>
        <v>#N/A</v>
      </c>
      <c r="Z261" s="302" t="e">
        <f t="shared" si="463"/>
        <v>#N/A</v>
      </c>
      <c r="AA261" s="302" t="e">
        <f t="shared" si="463"/>
        <v>#N/A</v>
      </c>
      <c r="AB261" s="302" t="e">
        <f t="shared" si="463"/>
        <v>#N/A</v>
      </c>
      <c r="AC261" s="302" t="e">
        <f t="shared" si="463"/>
        <v>#N/A</v>
      </c>
      <c r="AD261" s="302" t="e">
        <f t="shared" si="463"/>
        <v>#N/A</v>
      </c>
      <c r="AE261" s="302" t="e">
        <f t="shared" si="463"/>
        <v>#N/A</v>
      </c>
      <c r="AF261" s="302" t="e">
        <f t="shared" si="463"/>
        <v>#N/A</v>
      </c>
      <c r="AG261" s="302" t="e">
        <f t="shared" si="463"/>
        <v>#N/A</v>
      </c>
      <c r="AH261" s="302" t="e">
        <f t="shared" si="463"/>
        <v>#N/A</v>
      </c>
      <c r="AI261" s="302" t="e">
        <f t="shared" si="463"/>
        <v>#N/A</v>
      </c>
      <c r="AJ261" s="302" t="e">
        <f t="shared" si="463"/>
        <v>#N/A</v>
      </c>
      <c r="AK261" s="302" t="e">
        <f t="shared" si="463"/>
        <v>#N/A</v>
      </c>
      <c r="AL261" s="302" t="e">
        <f t="shared" si="463"/>
        <v>#N/A</v>
      </c>
      <c r="AM261" s="302" t="e">
        <f t="shared" si="463"/>
        <v>#N/A</v>
      </c>
      <c r="AN261" s="302" t="e">
        <f t="shared" si="463"/>
        <v>#N/A</v>
      </c>
      <c r="AO261" s="302" t="e">
        <f t="shared" si="463"/>
        <v>#N/A</v>
      </c>
      <c r="AP261" s="302" t="e">
        <f t="shared" si="463"/>
        <v>#N/A</v>
      </c>
    </row>
    <row r="262" spans="1:42" s="181" customFormat="1" ht="13.8" x14ac:dyDescent="0.3">
      <c r="A262" s="321" t="str">
        <f t="shared" si="462"/>
        <v>15-yr MACRS</v>
      </c>
      <c r="B262" s="308">
        <f t="array" ref="B262">SUM(IF(ISNUMBER(C262:AP262),C262:AP262))</f>
        <v>0</v>
      </c>
      <c r="C262" s="302" t="e">
        <f t="shared" ref="C262:R266" si="464">C254/100*$Q219</f>
        <v>#N/A</v>
      </c>
      <c r="D262" s="302" t="e">
        <f t="shared" si="464"/>
        <v>#N/A</v>
      </c>
      <c r="E262" s="302" t="e">
        <f t="shared" si="464"/>
        <v>#N/A</v>
      </c>
      <c r="F262" s="302" t="e">
        <f t="shared" si="464"/>
        <v>#N/A</v>
      </c>
      <c r="G262" s="302" t="e">
        <f t="shared" si="464"/>
        <v>#N/A</v>
      </c>
      <c r="H262" s="302" t="e">
        <f t="shared" si="464"/>
        <v>#N/A</v>
      </c>
      <c r="I262" s="302" t="e">
        <f t="shared" si="464"/>
        <v>#N/A</v>
      </c>
      <c r="J262" s="302" t="e">
        <f t="shared" si="464"/>
        <v>#N/A</v>
      </c>
      <c r="K262" s="302" t="e">
        <f t="shared" si="464"/>
        <v>#N/A</v>
      </c>
      <c r="L262" s="302" t="e">
        <f t="shared" si="464"/>
        <v>#N/A</v>
      </c>
      <c r="M262" s="302" t="e">
        <f t="shared" si="464"/>
        <v>#N/A</v>
      </c>
      <c r="N262" s="302" t="e">
        <f t="shared" si="464"/>
        <v>#N/A</v>
      </c>
      <c r="O262" s="302" t="e">
        <f t="shared" si="464"/>
        <v>#N/A</v>
      </c>
      <c r="P262" s="302" t="e">
        <f t="shared" si="464"/>
        <v>#N/A</v>
      </c>
      <c r="Q262" s="302" t="e">
        <f t="shared" si="464"/>
        <v>#N/A</v>
      </c>
      <c r="R262" s="302" t="e">
        <f t="shared" si="464"/>
        <v>#N/A</v>
      </c>
      <c r="S262" s="302" t="e">
        <f t="shared" si="463"/>
        <v>#N/A</v>
      </c>
      <c r="T262" s="302" t="e">
        <f t="shared" si="463"/>
        <v>#N/A</v>
      </c>
      <c r="U262" s="302" t="e">
        <f t="shared" si="463"/>
        <v>#N/A</v>
      </c>
      <c r="V262" s="302" t="e">
        <f t="shared" si="463"/>
        <v>#N/A</v>
      </c>
      <c r="W262" s="302" t="e">
        <f t="shared" si="463"/>
        <v>#N/A</v>
      </c>
      <c r="X262" s="302" t="e">
        <f t="shared" si="463"/>
        <v>#N/A</v>
      </c>
      <c r="Y262" s="302" t="e">
        <f t="shared" si="463"/>
        <v>#N/A</v>
      </c>
      <c r="Z262" s="302" t="e">
        <f t="shared" si="463"/>
        <v>#N/A</v>
      </c>
      <c r="AA262" s="302" t="e">
        <f t="shared" si="463"/>
        <v>#N/A</v>
      </c>
      <c r="AB262" s="302" t="e">
        <f t="shared" si="463"/>
        <v>#N/A</v>
      </c>
      <c r="AC262" s="302" t="e">
        <f t="shared" si="463"/>
        <v>#N/A</v>
      </c>
      <c r="AD262" s="302" t="e">
        <f t="shared" si="463"/>
        <v>#N/A</v>
      </c>
      <c r="AE262" s="302" t="e">
        <f t="shared" si="463"/>
        <v>#N/A</v>
      </c>
      <c r="AF262" s="302" t="e">
        <f t="shared" si="463"/>
        <v>#N/A</v>
      </c>
      <c r="AG262" s="302" t="e">
        <f t="shared" si="463"/>
        <v>#N/A</v>
      </c>
      <c r="AH262" s="302" t="e">
        <f t="shared" si="463"/>
        <v>#N/A</v>
      </c>
      <c r="AI262" s="302" t="e">
        <f t="shared" si="463"/>
        <v>#N/A</v>
      </c>
      <c r="AJ262" s="302" t="e">
        <f t="shared" si="463"/>
        <v>#N/A</v>
      </c>
      <c r="AK262" s="302" t="e">
        <f t="shared" si="463"/>
        <v>#N/A</v>
      </c>
      <c r="AL262" s="302" t="e">
        <f t="shared" si="463"/>
        <v>#N/A</v>
      </c>
      <c r="AM262" s="302" t="e">
        <f t="shared" si="463"/>
        <v>#N/A</v>
      </c>
      <c r="AN262" s="302" t="e">
        <f t="shared" si="463"/>
        <v>#N/A</v>
      </c>
      <c r="AO262" s="302" t="e">
        <f t="shared" si="463"/>
        <v>#N/A</v>
      </c>
      <c r="AP262" s="302" t="e">
        <f t="shared" si="463"/>
        <v>#N/A</v>
      </c>
    </row>
    <row r="263" spans="1:42" s="181" customFormat="1" ht="13.8" x14ac:dyDescent="0.3">
      <c r="A263" s="321" t="str">
        <f t="shared" si="462"/>
        <v>5-yr SL</v>
      </c>
      <c r="B263" s="308">
        <f t="array" ref="B263">SUM(IF(ISNUMBER(C263:AP263),C263:AP263))</f>
        <v>0</v>
      </c>
      <c r="C263" s="302" t="e">
        <f t="shared" si="464"/>
        <v>#N/A</v>
      </c>
      <c r="D263" s="302" t="e">
        <f t="shared" si="463"/>
        <v>#N/A</v>
      </c>
      <c r="E263" s="302" t="e">
        <f t="shared" si="463"/>
        <v>#N/A</v>
      </c>
      <c r="F263" s="302" t="e">
        <f t="shared" si="463"/>
        <v>#N/A</v>
      </c>
      <c r="G263" s="302" t="e">
        <f t="shared" si="463"/>
        <v>#N/A</v>
      </c>
      <c r="H263" s="302" t="e">
        <f t="shared" si="463"/>
        <v>#N/A</v>
      </c>
      <c r="I263" s="302" t="e">
        <f t="shared" si="463"/>
        <v>#N/A</v>
      </c>
      <c r="J263" s="302" t="e">
        <f t="shared" si="463"/>
        <v>#N/A</v>
      </c>
      <c r="K263" s="302" t="e">
        <f t="shared" si="463"/>
        <v>#N/A</v>
      </c>
      <c r="L263" s="302" t="e">
        <f t="shared" si="463"/>
        <v>#N/A</v>
      </c>
      <c r="M263" s="302" t="e">
        <f t="shared" si="463"/>
        <v>#N/A</v>
      </c>
      <c r="N263" s="302" t="e">
        <f t="shared" si="463"/>
        <v>#N/A</v>
      </c>
      <c r="O263" s="302" t="e">
        <f t="shared" si="463"/>
        <v>#N/A</v>
      </c>
      <c r="P263" s="302" t="e">
        <f t="shared" si="463"/>
        <v>#N/A</v>
      </c>
      <c r="Q263" s="302" t="e">
        <f t="shared" si="463"/>
        <v>#N/A</v>
      </c>
      <c r="R263" s="302" t="e">
        <f t="shared" si="463"/>
        <v>#N/A</v>
      </c>
      <c r="S263" s="302" t="e">
        <f t="shared" si="463"/>
        <v>#N/A</v>
      </c>
      <c r="T263" s="302" t="e">
        <f t="shared" si="463"/>
        <v>#N/A</v>
      </c>
      <c r="U263" s="302" t="e">
        <f t="shared" si="463"/>
        <v>#N/A</v>
      </c>
      <c r="V263" s="302" t="e">
        <f t="shared" si="463"/>
        <v>#N/A</v>
      </c>
      <c r="W263" s="302" t="e">
        <f t="shared" si="463"/>
        <v>#N/A</v>
      </c>
      <c r="X263" s="302" t="e">
        <f t="shared" si="463"/>
        <v>#N/A</v>
      </c>
      <c r="Y263" s="302" t="e">
        <f t="shared" si="463"/>
        <v>#N/A</v>
      </c>
      <c r="Z263" s="302" t="e">
        <f t="shared" si="463"/>
        <v>#N/A</v>
      </c>
      <c r="AA263" s="302" t="e">
        <f t="shared" si="463"/>
        <v>#N/A</v>
      </c>
      <c r="AB263" s="302" t="e">
        <f t="shared" si="463"/>
        <v>#N/A</v>
      </c>
      <c r="AC263" s="302" t="e">
        <f t="shared" si="463"/>
        <v>#N/A</v>
      </c>
      <c r="AD263" s="302" t="e">
        <f t="shared" si="463"/>
        <v>#N/A</v>
      </c>
      <c r="AE263" s="302" t="e">
        <f t="shared" si="463"/>
        <v>#N/A</v>
      </c>
      <c r="AF263" s="302" t="e">
        <f t="shared" si="463"/>
        <v>#N/A</v>
      </c>
      <c r="AG263" s="302" t="e">
        <f t="shared" si="463"/>
        <v>#N/A</v>
      </c>
      <c r="AH263" s="302" t="e">
        <f t="shared" si="463"/>
        <v>#N/A</v>
      </c>
      <c r="AI263" s="302" t="e">
        <f t="shared" si="463"/>
        <v>#N/A</v>
      </c>
      <c r="AJ263" s="302" t="e">
        <f t="shared" si="463"/>
        <v>#N/A</v>
      </c>
      <c r="AK263" s="302" t="e">
        <f t="shared" si="463"/>
        <v>#N/A</v>
      </c>
      <c r="AL263" s="302" t="e">
        <f t="shared" si="463"/>
        <v>#N/A</v>
      </c>
      <c r="AM263" s="302" t="e">
        <f t="shared" si="463"/>
        <v>#N/A</v>
      </c>
      <c r="AN263" s="302" t="e">
        <f t="shared" si="463"/>
        <v>#N/A</v>
      </c>
      <c r="AO263" s="302" t="e">
        <f t="shared" si="463"/>
        <v>#N/A</v>
      </c>
      <c r="AP263" s="302" t="e">
        <f t="shared" si="463"/>
        <v>#N/A</v>
      </c>
    </row>
    <row r="264" spans="1:42" s="181" customFormat="1" ht="13.8" x14ac:dyDescent="0.3">
      <c r="A264" s="321" t="str">
        <f t="shared" si="462"/>
        <v>15-yr SL</v>
      </c>
      <c r="B264" s="308">
        <f t="array" ref="B264">SUM(IF(ISNUMBER(C264:AP264),C264:AP264))</f>
        <v>0</v>
      </c>
      <c r="C264" s="302" t="e">
        <f t="shared" si="464"/>
        <v>#N/A</v>
      </c>
      <c r="D264" s="302" t="e">
        <f t="shared" si="463"/>
        <v>#N/A</v>
      </c>
      <c r="E264" s="302" t="e">
        <f t="shared" si="463"/>
        <v>#N/A</v>
      </c>
      <c r="F264" s="302" t="e">
        <f t="shared" si="463"/>
        <v>#N/A</v>
      </c>
      <c r="G264" s="302" t="e">
        <f t="shared" si="463"/>
        <v>#N/A</v>
      </c>
      <c r="H264" s="302" t="e">
        <f t="shared" si="463"/>
        <v>#N/A</v>
      </c>
      <c r="I264" s="302" t="e">
        <f t="shared" si="463"/>
        <v>#N/A</v>
      </c>
      <c r="J264" s="302" t="e">
        <f t="shared" si="463"/>
        <v>#N/A</v>
      </c>
      <c r="K264" s="302" t="e">
        <f t="shared" si="463"/>
        <v>#N/A</v>
      </c>
      <c r="L264" s="302" t="e">
        <f t="shared" si="463"/>
        <v>#N/A</v>
      </c>
      <c r="M264" s="302" t="e">
        <f t="shared" si="463"/>
        <v>#N/A</v>
      </c>
      <c r="N264" s="302" t="e">
        <f t="shared" si="463"/>
        <v>#N/A</v>
      </c>
      <c r="O264" s="302" t="e">
        <f t="shared" si="463"/>
        <v>#N/A</v>
      </c>
      <c r="P264" s="302" t="e">
        <f t="shared" si="463"/>
        <v>#N/A</v>
      </c>
      <c r="Q264" s="302" t="e">
        <f t="shared" si="463"/>
        <v>#N/A</v>
      </c>
      <c r="R264" s="302" t="e">
        <f t="shared" si="463"/>
        <v>#N/A</v>
      </c>
      <c r="S264" s="302" t="e">
        <f t="shared" si="463"/>
        <v>#N/A</v>
      </c>
      <c r="T264" s="302" t="e">
        <f t="shared" si="463"/>
        <v>#N/A</v>
      </c>
      <c r="U264" s="302" t="e">
        <f t="shared" si="463"/>
        <v>#N/A</v>
      </c>
      <c r="V264" s="302" t="e">
        <f t="shared" si="463"/>
        <v>#N/A</v>
      </c>
      <c r="W264" s="302" t="e">
        <f t="shared" si="463"/>
        <v>#N/A</v>
      </c>
      <c r="X264" s="302" t="e">
        <f t="shared" si="463"/>
        <v>#N/A</v>
      </c>
      <c r="Y264" s="302" t="e">
        <f t="shared" si="463"/>
        <v>#N/A</v>
      </c>
      <c r="Z264" s="302" t="e">
        <f t="shared" si="463"/>
        <v>#N/A</v>
      </c>
      <c r="AA264" s="302" t="e">
        <f t="shared" si="463"/>
        <v>#N/A</v>
      </c>
      <c r="AB264" s="302" t="e">
        <f t="shared" si="463"/>
        <v>#N/A</v>
      </c>
      <c r="AC264" s="302" t="e">
        <f t="shared" si="463"/>
        <v>#N/A</v>
      </c>
      <c r="AD264" s="302" t="e">
        <f t="shared" si="463"/>
        <v>#N/A</v>
      </c>
      <c r="AE264" s="302" t="e">
        <f t="shared" si="463"/>
        <v>#N/A</v>
      </c>
      <c r="AF264" s="302" t="e">
        <f t="shared" si="463"/>
        <v>#N/A</v>
      </c>
      <c r="AG264" s="302" t="e">
        <f t="shared" si="463"/>
        <v>#N/A</v>
      </c>
      <c r="AH264" s="302" t="e">
        <f t="shared" si="463"/>
        <v>#N/A</v>
      </c>
      <c r="AI264" s="302" t="e">
        <f t="shared" si="463"/>
        <v>#N/A</v>
      </c>
      <c r="AJ264" s="302" t="e">
        <f t="shared" si="463"/>
        <v>#N/A</v>
      </c>
      <c r="AK264" s="302" t="e">
        <f t="shared" si="463"/>
        <v>#N/A</v>
      </c>
      <c r="AL264" s="302" t="e">
        <f t="shared" si="463"/>
        <v>#N/A</v>
      </c>
      <c r="AM264" s="302" t="e">
        <f t="shared" si="463"/>
        <v>#N/A</v>
      </c>
      <c r="AN264" s="302" t="e">
        <f t="shared" si="463"/>
        <v>#N/A</v>
      </c>
      <c r="AO264" s="302" t="e">
        <f t="shared" si="463"/>
        <v>#N/A</v>
      </c>
      <c r="AP264" s="302" t="e">
        <f t="shared" si="463"/>
        <v>#N/A</v>
      </c>
    </row>
    <row r="265" spans="1:42" s="181" customFormat="1" ht="13.8" x14ac:dyDescent="0.3">
      <c r="A265" s="321" t="str">
        <f t="shared" si="462"/>
        <v>20-yr SL</v>
      </c>
      <c r="B265" s="308">
        <f t="array" ref="B265">SUM(IF(ISNUMBER(C265:AP265),C265:AP265))</f>
        <v>0</v>
      </c>
      <c r="C265" s="302" t="e">
        <f t="shared" si="464"/>
        <v>#N/A</v>
      </c>
      <c r="D265" s="302" t="e">
        <f t="shared" si="463"/>
        <v>#N/A</v>
      </c>
      <c r="E265" s="302" t="e">
        <f t="shared" si="463"/>
        <v>#N/A</v>
      </c>
      <c r="F265" s="302" t="e">
        <f t="shared" si="463"/>
        <v>#N/A</v>
      </c>
      <c r="G265" s="302" t="e">
        <f t="shared" si="463"/>
        <v>#N/A</v>
      </c>
      <c r="H265" s="302" t="e">
        <f t="shared" si="463"/>
        <v>#N/A</v>
      </c>
      <c r="I265" s="302" t="e">
        <f t="shared" si="463"/>
        <v>#N/A</v>
      </c>
      <c r="J265" s="302" t="e">
        <f t="shared" si="463"/>
        <v>#N/A</v>
      </c>
      <c r="K265" s="302" t="e">
        <f t="shared" si="463"/>
        <v>#N/A</v>
      </c>
      <c r="L265" s="302" t="e">
        <f t="shared" si="463"/>
        <v>#N/A</v>
      </c>
      <c r="M265" s="302" t="e">
        <f t="shared" si="463"/>
        <v>#N/A</v>
      </c>
      <c r="N265" s="302" t="e">
        <f t="shared" si="463"/>
        <v>#N/A</v>
      </c>
      <c r="O265" s="302" t="e">
        <f t="shared" si="463"/>
        <v>#N/A</v>
      </c>
      <c r="P265" s="302" t="e">
        <f t="shared" si="463"/>
        <v>#N/A</v>
      </c>
      <c r="Q265" s="302" t="e">
        <f t="shared" si="463"/>
        <v>#N/A</v>
      </c>
      <c r="R265" s="302" t="e">
        <f t="shared" si="463"/>
        <v>#N/A</v>
      </c>
      <c r="S265" s="302" t="e">
        <f t="shared" si="463"/>
        <v>#N/A</v>
      </c>
      <c r="T265" s="302" t="e">
        <f t="shared" si="463"/>
        <v>#N/A</v>
      </c>
      <c r="U265" s="302" t="e">
        <f t="shared" si="463"/>
        <v>#N/A</v>
      </c>
      <c r="V265" s="302" t="e">
        <f t="shared" si="463"/>
        <v>#N/A</v>
      </c>
      <c r="W265" s="302" t="e">
        <f t="shared" si="463"/>
        <v>#N/A</v>
      </c>
      <c r="X265" s="302" t="e">
        <f t="shared" si="463"/>
        <v>#N/A</v>
      </c>
      <c r="Y265" s="302" t="e">
        <f t="shared" si="463"/>
        <v>#N/A</v>
      </c>
      <c r="Z265" s="302" t="e">
        <f t="shared" si="463"/>
        <v>#N/A</v>
      </c>
      <c r="AA265" s="302" t="e">
        <f t="shared" si="463"/>
        <v>#N/A</v>
      </c>
      <c r="AB265" s="302" t="e">
        <f t="shared" si="463"/>
        <v>#N/A</v>
      </c>
      <c r="AC265" s="302" t="e">
        <f t="shared" si="463"/>
        <v>#N/A</v>
      </c>
      <c r="AD265" s="302" t="e">
        <f t="shared" si="463"/>
        <v>#N/A</v>
      </c>
      <c r="AE265" s="302" t="e">
        <f t="shared" si="463"/>
        <v>#N/A</v>
      </c>
      <c r="AF265" s="302" t="e">
        <f t="shared" si="463"/>
        <v>#N/A</v>
      </c>
      <c r="AG265" s="302" t="e">
        <f t="shared" si="463"/>
        <v>#N/A</v>
      </c>
      <c r="AH265" s="302" t="e">
        <f t="shared" si="463"/>
        <v>#N/A</v>
      </c>
      <c r="AI265" s="302" t="e">
        <f t="shared" si="463"/>
        <v>#N/A</v>
      </c>
      <c r="AJ265" s="302" t="e">
        <f t="shared" si="463"/>
        <v>#N/A</v>
      </c>
      <c r="AK265" s="302" t="e">
        <f t="shared" si="463"/>
        <v>#N/A</v>
      </c>
      <c r="AL265" s="302" t="e">
        <f t="shared" si="463"/>
        <v>#N/A</v>
      </c>
      <c r="AM265" s="302" t="e">
        <f t="shared" si="463"/>
        <v>#N/A</v>
      </c>
      <c r="AN265" s="302" t="e">
        <f t="shared" si="463"/>
        <v>#N/A</v>
      </c>
      <c r="AO265" s="302" t="e">
        <f t="shared" si="463"/>
        <v>#N/A</v>
      </c>
      <c r="AP265" s="302" t="e">
        <f t="shared" si="463"/>
        <v>#N/A</v>
      </c>
    </row>
    <row r="266" spans="1:42" s="181" customFormat="1" ht="13.8" x14ac:dyDescent="0.3">
      <c r="A266" s="321" t="str">
        <f t="shared" si="462"/>
        <v>39-yr SL</v>
      </c>
      <c r="B266" s="308">
        <f>SUM(IF(ISNUMBER(C266:AP266),C266:AP266))</f>
        <v>0</v>
      </c>
      <c r="C266" s="302" t="e">
        <f t="shared" si="464"/>
        <v>#N/A</v>
      </c>
      <c r="D266" s="302" t="e">
        <f t="shared" si="463"/>
        <v>#N/A</v>
      </c>
      <c r="E266" s="302" t="e">
        <f t="shared" si="463"/>
        <v>#N/A</v>
      </c>
      <c r="F266" s="302" t="e">
        <f t="shared" si="463"/>
        <v>#N/A</v>
      </c>
      <c r="G266" s="302" t="e">
        <f t="shared" si="463"/>
        <v>#N/A</v>
      </c>
      <c r="H266" s="302" t="e">
        <f t="shared" si="463"/>
        <v>#N/A</v>
      </c>
      <c r="I266" s="302" t="e">
        <f t="shared" si="463"/>
        <v>#N/A</v>
      </c>
      <c r="J266" s="302" t="e">
        <f t="shared" si="463"/>
        <v>#N/A</v>
      </c>
      <c r="K266" s="302" t="e">
        <f t="shared" si="463"/>
        <v>#N/A</v>
      </c>
      <c r="L266" s="302" t="e">
        <f t="shared" si="463"/>
        <v>#N/A</v>
      </c>
      <c r="M266" s="302" t="e">
        <f t="shared" si="463"/>
        <v>#N/A</v>
      </c>
      <c r="N266" s="302" t="e">
        <f t="shared" si="463"/>
        <v>#N/A</v>
      </c>
      <c r="O266" s="302" t="e">
        <f t="shared" si="463"/>
        <v>#N/A</v>
      </c>
      <c r="P266" s="302" t="e">
        <f t="shared" si="463"/>
        <v>#N/A</v>
      </c>
      <c r="Q266" s="302" t="e">
        <f t="shared" si="463"/>
        <v>#N/A</v>
      </c>
      <c r="R266" s="302" t="e">
        <f t="shared" si="463"/>
        <v>#N/A</v>
      </c>
      <c r="S266" s="302" t="e">
        <f t="shared" si="463"/>
        <v>#N/A</v>
      </c>
      <c r="T266" s="302" t="e">
        <f t="shared" si="463"/>
        <v>#N/A</v>
      </c>
      <c r="U266" s="302" t="e">
        <f t="shared" si="463"/>
        <v>#N/A</v>
      </c>
      <c r="V266" s="302" t="e">
        <f t="shared" si="463"/>
        <v>#N/A</v>
      </c>
      <c r="W266" s="302" t="e">
        <f t="shared" si="463"/>
        <v>#N/A</v>
      </c>
      <c r="X266" s="302" t="e">
        <f t="shared" si="463"/>
        <v>#N/A</v>
      </c>
      <c r="Y266" s="302" t="e">
        <f t="shared" si="463"/>
        <v>#N/A</v>
      </c>
      <c r="Z266" s="302" t="e">
        <f t="shared" si="463"/>
        <v>#N/A</v>
      </c>
      <c r="AA266" s="302" t="e">
        <f t="shared" si="463"/>
        <v>#N/A</v>
      </c>
      <c r="AB266" s="302" t="e">
        <f t="shared" si="463"/>
        <v>#N/A</v>
      </c>
      <c r="AC266" s="302" t="e">
        <f t="shared" si="463"/>
        <v>#N/A</v>
      </c>
      <c r="AD266" s="302" t="e">
        <f t="shared" si="463"/>
        <v>#N/A</v>
      </c>
      <c r="AE266" s="302" t="e">
        <f t="shared" si="463"/>
        <v>#N/A</v>
      </c>
      <c r="AF266" s="302" t="e">
        <f t="shared" si="463"/>
        <v>#N/A</v>
      </c>
      <c r="AG266" s="302" t="e">
        <f t="shared" si="463"/>
        <v>#N/A</v>
      </c>
      <c r="AH266" s="302" t="e">
        <f t="shared" si="463"/>
        <v>#N/A</v>
      </c>
      <c r="AI266" s="302" t="e">
        <f t="shared" si="463"/>
        <v>#N/A</v>
      </c>
      <c r="AJ266" s="302" t="e">
        <f t="shared" si="463"/>
        <v>#N/A</v>
      </c>
      <c r="AK266" s="302" t="e">
        <f t="shared" si="463"/>
        <v>#N/A</v>
      </c>
      <c r="AL266" s="302" t="e">
        <f t="shared" si="463"/>
        <v>#N/A</v>
      </c>
      <c r="AM266" s="302" t="e">
        <f t="shared" si="463"/>
        <v>#N/A</v>
      </c>
      <c r="AN266" s="302" t="e">
        <f t="shared" si="463"/>
        <v>#N/A</v>
      </c>
      <c r="AO266" s="302" t="e">
        <f t="shared" si="463"/>
        <v>#N/A</v>
      </c>
      <c r="AP266" s="302" t="e">
        <f t="shared" si="463"/>
        <v>#N/A</v>
      </c>
    </row>
    <row r="267" spans="1:42" s="181" customFormat="1" ht="13.8" x14ac:dyDescent="0.3">
      <c r="A267" s="321" t="s">
        <v>257</v>
      </c>
      <c r="B267" s="308">
        <f>SUM(IF(ISNUMBER(C267:AP267),C267:AP267))</f>
        <v>0</v>
      </c>
      <c r="C267" s="302">
        <f t="shared" ref="C267:AP267" si="465">IF(C2&lt;=analysis_period,C259/100*$Q224,0)</f>
        <v>0</v>
      </c>
      <c r="D267" s="302">
        <f t="shared" si="465"/>
        <v>0</v>
      </c>
      <c r="E267" s="302">
        <f t="shared" si="465"/>
        <v>0</v>
      </c>
      <c r="F267" s="302">
        <f t="shared" si="465"/>
        <v>0</v>
      </c>
      <c r="G267" s="302">
        <f t="shared" si="465"/>
        <v>0</v>
      </c>
      <c r="H267" s="302">
        <f t="shared" si="465"/>
        <v>0</v>
      </c>
      <c r="I267" s="302">
        <f t="shared" si="465"/>
        <v>0</v>
      </c>
      <c r="J267" s="302">
        <f t="shared" si="465"/>
        <v>0</v>
      </c>
      <c r="K267" s="302">
        <f t="shared" si="465"/>
        <v>0</v>
      </c>
      <c r="L267" s="302">
        <f t="shared" si="465"/>
        <v>0</v>
      </c>
      <c r="M267" s="302">
        <f t="shared" si="465"/>
        <v>0</v>
      </c>
      <c r="N267" s="302">
        <f t="shared" si="465"/>
        <v>0</v>
      </c>
      <c r="O267" s="302">
        <f t="shared" si="465"/>
        <v>0</v>
      </c>
      <c r="P267" s="302">
        <f t="shared" si="465"/>
        <v>0</v>
      </c>
      <c r="Q267" s="302">
        <f t="shared" si="465"/>
        <v>0</v>
      </c>
      <c r="R267" s="302">
        <f t="shared" si="465"/>
        <v>0</v>
      </c>
      <c r="S267" s="302">
        <f t="shared" si="465"/>
        <v>0</v>
      </c>
      <c r="T267" s="302">
        <f t="shared" si="465"/>
        <v>0</v>
      </c>
      <c r="U267" s="302">
        <f t="shared" si="465"/>
        <v>0</v>
      </c>
      <c r="V267" s="302">
        <f t="shared" si="465"/>
        <v>0</v>
      </c>
      <c r="W267" s="302">
        <f t="shared" si="465"/>
        <v>0</v>
      </c>
      <c r="X267" s="302">
        <f t="shared" si="465"/>
        <v>0</v>
      </c>
      <c r="Y267" s="302">
        <f t="shared" si="465"/>
        <v>0</v>
      </c>
      <c r="Z267" s="302">
        <f t="shared" si="465"/>
        <v>0</v>
      </c>
      <c r="AA267" s="302">
        <f t="shared" si="465"/>
        <v>0</v>
      </c>
      <c r="AB267" s="302">
        <f t="shared" si="465"/>
        <v>0</v>
      </c>
      <c r="AC267" s="302">
        <f t="shared" si="465"/>
        <v>0</v>
      </c>
      <c r="AD267" s="302">
        <f t="shared" si="465"/>
        <v>0</v>
      </c>
      <c r="AE267" s="302">
        <f t="shared" si="465"/>
        <v>0</v>
      </c>
      <c r="AF267" s="302">
        <f t="shared" si="465"/>
        <v>0</v>
      </c>
      <c r="AG267" s="302">
        <f t="shared" si="465"/>
        <v>0</v>
      </c>
      <c r="AH267" s="302">
        <f t="shared" si="465"/>
        <v>0</v>
      </c>
      <c r="AI267" s="302">
        <f t="shared" si="465"/>
        <v>0</v>
      </c>
      <c r="AJ267" s="302">
        <f t="shared" si="465"/>
        <v>0</v>
      </c>
      <c r="AK267" s="302">
        <f t="shared" si="465"/>
        <v>0</v>
      </c>
      <c r="AL267" s="302">
        <f t="shared" si="465"/>
        <v>0</v>
      </c>
      <c r="AM267" s="302">
        <f t="shared" si="465"/>
        <v>0</v>
      </c>
      <c r="AN267" s="302">
        <f t="shared" si="465"/>
        <v>0</v>
      </c>
      <c r="AO267" s="302">
        <f t="shared" si="465"/>
        <v>0</v>
      </c>
      <c r="AP267" s="302">
        <f t="shared" si="465"/>
        <v>0</v>
      </c>
    </row>
    <row r="268" spans="1:42" s="181" customFormat="1" ht="13.8" x14ac:dyDescent="0.3">
      <c r="A268" s="321" t="s">
        <v>304</v>
      </c>
      <c r="B268" s="308">
        <f t="array" ref="B268">SUM(IF(ISNUMBER(C268:AP268),C268:AP268))</f>
        <v>0</v>
      </c>
      <c r="C268" s="326">
        <f>P225</f>
        <v>0</v>
      </c>
      <c r="D268" s="326">
        <v>0</v>
      </c>
      <c r="E268" s="326">
        <v>0</v>
      </c>
      <c r="F268" s="326">
        <v>0</v>
      </c>
      <c r="G268" s="326">
        <v>0</v>
      </c>
      <c r="H268" s="326">
        <v>0</v>
      </c>
      <c r="I268" s="326">
        <v>0</v>
      </c>
      <c r="J268" s="326">
        <v>0</v>
      </c>
      <c r="K268" s="326">
        <v>0</v>
      </c>
      <c r="L268" s="326">
        <v>0</v>
      </c>
      <c r="M268" s="326">
        <v>0</v>
      </c>
      <c r="N268" s="326">
        <v>0</v>
      </c>
      <c r="O268" s="326">
        <v>0</v>
      </c>
      <c r="P268" s="326">
        <v>0</v>
      </c>
      <c r="Q268" s="326">
        <v>0</v>
      </c>
      <c r="R268" s="326">
        <v>0</v>
      </c>
      <c r="S268" s="326">
        <v>0</v>
      </c>
      <c r="T268" s="326">
        <v>0</v>
      </c>
      <c r="U268" s="326">
        <v>0</v>
      </c>
      <c r="V268" s="326">
        <v>0</v>
      </c>
      <c r="W268" s="326">
        <v>0</v>
      </c>
      <c r="X268" s="326">
        <v>0</v>
      </c>
      <c r="Y268" s="326">
        <v>0</v>
      </c>
      <c r="Z268" s="326">
        <v>0</v>
      </c>
      <c r="AA268" s="326">
        <v>0</v>
      </c>
      <c r="AB268" s="326">
        <v>0</v>
      </c>
      <c r="AC268" s="326">
        <v>0</v>
      </c>
      <c r="AD268" s="326">
        <v>0</v>
      </c>
      <c r="AE268" s="326">
        <v>0</v>
      </c>
      <c r="AF268" s="326">
        <v>0</v>
      </c>
      <c r="AG268" s="326">
        <v>0</v>
      </c>
      <c r="AH268" s="326">
        <v>0</v>
      </c>
      <c r="AI268" s="326">
        <v>0</v>
      </c>
      <c r="AJ268" s="326">
        <v>0</v>
      </c>
      <c r="AK268" s="326">
        <v>0</v>
      </c>
      <c r="AL268" s="326">
        <v>0</v>
      </c>
      <c r="AM268" s="326">
        <v>0</v>
      </c>
      <c r="AN268" s="326">
        <v>0</v>
      </c>
      <c r="AO268" s="326">
        <v>0</v>
      </c>
      <c r="AP268" s="326">
        <v>0</v>
      </c>
    </row>
    <row r="269" spans="1:42" s="181" customFormat="1" ht="13.8" x14ac:dyDescent="0.3">
      <c r="A269" s="209"/>
      <c r="B269" s="317">
        <f t="array" ref="B269">SUM(IF(ISNUMBER(C269:AP269),C269:AP269))</f>
        <v>0</v>
      </c>
      <c r="C269" s="302" t="e">
        <f>SUM(C261:C268)</f>
        <v>#N/A</v>
      </c>
      <c r="D269" s="302" t="e">
        <f t="shared" ref="D269:AP269" si="466">SUM(D261:D268)</f>
        <v>#N/A</v>
      </c>
      <c r="E269" s="302" t="e">
        <f t="shared" si="466"/>
        <v>#N/A</v>
      </c>
      <c r="F269" s="302" t="e">
        <f t="shared" si="466"/>
        <v>#N/A</v>
      </c>
      <c r="G269" s="302" t="e">
        <f t="shared" si="466"/>
        <v>#N/A</v>
      </c>
      <c r="H269" s="302" t="e">
        <f t="shared" si="466"/>
        <v>#N/A</v>
      </c>
      <c r="I269" s="302" t="e">
        <f t="shared" si="466"/>
        <v>#N/A</v>
      </c>
      <c r="J269" s="302" t="e">
        <f t="shared" si="466"/>
        <v>#N/A</v>
      </c>
      <c r="K269" s="302" t="e">
        <f t="shared" si="466"/>
        <v>#N/A</v>
      </c>
      <c r="L269" s="302" t="e">
        <f t="shared" si="466"/>
        <v>#N/A</v>
      </c>
      <c r="M269" s="302" t="e">
        <f t="shared" si="466"/>
        <v>#N/A</v>
      </c>
      <c r="N269" s="302" t="e">
        <f t="shared" si="466"/>
        <v>#N/A</v>
      </c>
      <c r="O269" s="302" t="e">
        <f t="shared" si="466"/>
        <v>#N/A</v>
      </c>
      <c r="P269" s="302" t="e">
        <f t="shared" si="466"/>
        <v>#N/A</v>
      </c>
      <c r="Q269" s="302" t="e">
        <f t="shared" si="466"/>
        <v>#N/A</v>
      </c>
      <c r="R269" s="302" t="e">
        <f t="shared" si="466"/>
        <v>#N/A</v>
      </c>
      <c r="S269" s="302" t="e">
        <f t="shared" si="466"/>
        <v>#N/A</v>
      </c>
      <c r="T269" s="302" t="e">
        <f t="shared" si="466"/>
        <v>#N/A</v>
      </c>
      <c r="U269" s="302" t="e">
        <f t="shared" si="466"/>
        <v>#N/A</v>
      </c>
      <c r="V269" s="302" t="e">
        <f t="shared" si="466"/>
        <v>#N/A</v>
      </c>
      <c r="W269" s="302" t="e">
        <f t="shared" si="466"/>
        <v>#N/A</v>
      </c>
      <c r="X269" s="302" t="e">
        <f t="shared" si="466"/>
        <v>#N/A</v>
      </c>
      <c r="Y269" s="302" t="e">
        <f t="shared" si="466"/>
        <v>#N/A</v>
      </c>
      <c r="Z269" s="302" t="e">
        <f t="shared" si="466"/>
        <v>#N/A</v>
      </c>
      <c r="AA269" s="302" t="e">
        <f t="shared" si="466"/>
        <v>#N/A</v>
      </c>
      <c r="AB269" s="302" t="e">
        <f t="shared" si="466"/>
        <v>#N/A</v>
      </c>
      <c r="AC269" s="302" t="e">
        <f t="shared" si="466"/>
        <v>#N/A</v>
      </c>
      <c r="AD269" s="302" t="e">
        <f t="shared" si="466"/>
        <v>#N/A</v>
      </c>
      <c r="AE269" s="302" t="e">
        <f t="shared" si="466"/>
        <v>#N/A</v>
      </c>
      <c r="AF269" s="302" t="e">
        <f t="shared" si="466"/>
        <v>#N/A</v>
      </c>
      <c r="AG269" s="302" t="e">
        <f t="shared" si="466"/>
        <v>#N/A</v>
      </c>
      <c r="AH269" s="302" t="e">
        <f t="shared" si="466"/>
        <v>#N/A</v>
      </c>
      <c r="AI269" s="302" t="e">
        <f t="shared" si="466"/>
        <v>#N/A</v>
      </c>
      <c r="AJ269" s="302" t="e">
        <f t="shared" si="466"/>
        <v>#N/A</v>
      </c>
      <c r="AK269" s="302" t="e">
        <f t="shared" si="466"/>
        <v>#N/A</v>
      </c>
      <c r="AL269" s="302" t="e">
        <f t="shared" si="466"/>
        <v>#N/A</v>
      </c>
      <c r="AM269" s="302" t="e">
        <f t="shared" si="466"/>
        <v>#N/A</v>
      </c>
      <c r="AN269" s="302" t="e">
        <f t="shared" si="466"/>
        <v>#N/A</v>
      </c>
      <c r="AO269" s="302" t="e">
        <f t="shared" si="466"/>
        <v>#N/A</v>
      </c>
      <c r="AP269" s="302" t="e">
        <f t="shared" si="466"/>
        <v>#N/A</v>
      </c>
    </row>
    <row r="270" spans="1:42" s="181" customFormat="1" ht="13.8" x14ac:dyDescent="0.3">
      <c r="A270" s="209"/>
      <c r="B270" s="325"/>
      <c r="C270" s="325"/>
      <c r="D270" s="325"/>
      <c r="E270" s="325"/>
      <c r="F270" s="325"/>
      <c r="G270" s="325"/>
      <c r="H270" s="325"/>
      <c r="I270" s="325"/>
      <c r="J270" s="325"/>
      <c r="K270" s="325"/>
      <c r="L270" s="325"/>
      <c r="M270" s="325"/>
      <c r="N270" s="325"/>
      <c r="O270" s="325"/>
      <c r="P270" s="325"/>
      <c r="Q270" s="325"/>
      <c r="R270" s="325"/>
      <c r="S270" s="325"/>
      <c r="T270" s="325"/>
      <c r="U270" s="325"/>
      <c r="V270" s="325"/>
      <c r="W270" s="325"/>
      <c r="X270" s="325"/>
      <c r="Y270" s="325"/>
      <c r="Z270" s="325"/>
      <c r="AA270" s="325"/>
      <c r="AB270" s="325"/>
      <c r="AC270" s="325"/>
      <c r="AD270" s="325"/>
      <c r="AE270" s="325"/>
      <c r="AF270" s="325"/>
      <c r="AG270" s="325"/>
      <c r="AH270" s="325"/>
      <c r="AI270" s="325"/>
      <c r="AJ270" s="325"/>
      <c r="AK270" s="325"/>
      <c r="AL270" s="325"/>
      <c r="AM270" s="325"/>
      <c r="AN270" s="325"/>
      <c r="AO270" s="325"/>
      <c r="AP270" s="325"/>
    </row>
    <row r="271" spans="1:42" s="181" customFormat="1" ht="13.8" x14ac:dyDescent="0.3">
      <c r="A271" s="265"/>
      <c r="B271" s="325"/>
      <c r="C271" s="290"/>
      <c r="D271" s="290"/>
      <c r="E271" s="290"/>
      <c r="F271" s="290"/>
      <c r="G271" s="290"/>
      <c r="H271" s="290"/>
      <c r="I271" s="290"/>
      <c r="J271" s="290"/>
      <c r="K271" s="290"/>
      <c r="L271" s="290"/>
      <c r="M271" s="290"/>
      <c r="N271" s="290"/>
      <c r="O271" s="290"/>
      <c r="P271" s="290"/>
      <c r="Q271" s="290"/>
      <c r="R271" s="290"/>
      <c r="S271" s="290"/>
      <c r="T271" s="290"/>
      <c r="U271" s="290"/>
      <c r="V271" s="290"/>
      <c r="W271" s="290"/>
      <c r="X271" s="290"/>
      <c r="Y271" s="290"/>
      <c r="Z271" s="290"/>
      <c r="AA271" s="290"/>
      <c r="AB271" s="290"/>
      <c r="AC271" s="290"/>
      <c r="AD271" s="290"/>
      <c r="AE271" s="290"/>
      <c r="AF271" s="290"/>
      <c r="AG271" s="290"/>
      <c r="AH271" s="290"/>
      <c r="AI271" s="290"/>
      <c r="AJ271" s="290"/>
      <c r="AK271" s="290"/>
      <c r="AL271" s="290"/>
      <c r="AM271" s="290"/>
      <c r="AN271" s="290"/>
      <c r="AO271" s="290"/>
      <c r="AP271" s="290"/>
    </row>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sheetData>
  <mergeCells count="12">
    <mergeCell ref="Q216:Q217"/>
    <mergeCell ref="B159:C159"/>
    <mergeCell ref="D159:F159"/>
    <mergeCell ref="G159:J159"/>
    <mergeCell ref="K159:L159"/>
    <mergeCell ref="M159:O159"/>
    <mergeCell ref="Q159:Q160"/>
    <mergeCell ref="B216:C216"/>
    <mergeCell ref="D216:F216"/>
    <mergeCell ref="G216:J216"/>
    <mergeCell ref="K216:L216"/>
    <mergeCell ref="M216:O216"/>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6AFBD-BD54-4896-AD09-93CBE4A6BCB9}">
  <dimension ref="A1:G45"/>
  <sheetViews>
    <sheetView zoomScale="90" zoomScaleNormal="90" workbookViewId="0"/>
  </sheetViews>
  <sheetFormatPr defaultRowHeight="14.4" x14ac:dyDescent="0.3"/>
  <cols>
    <col min="1" max="1" width="8.88671875" style="281"/>
    <col min="2" max="7" width="15.44140625" style="281" customWidth="1"/>
    <col min="8" max="16384" width="8.88671875" style="281"/>
  </cols>
  <sheetData>
    <row r="1" spans="1:7" s="271" customFormat="1" ht="21" thickBot="1" x14ac:dyDescent="0.5">
      <c r="A1" s="266" t="s">
        <v>259</v>
      </c>
      <c r="B1" s="267"/>
      <c r="C1" s="268"/>
      <c r="D1" s="267"/>
      <c r="E1" s="269"/>
      <c r="F1" s="269"/>
      <c r="G1" s="270"/>
    </row>
    <row r="2" spans="1:7" s="271" customFormat="1" ht="13.8" x14ac:dyDescent="0.3">
      <c r="A2" s="272" t="s">
        <v>260</v>
      </c>
      <c r="B2" s="273" t="s">
        <v>199</v>
      </c>
      <c r="C2" s="273" t="s">
        <v>252</v>
      </c>
      <c r="D2" s="273" t="s">
        <v>253</v>
      </c>
      <c r="E2" s="273" t="s">
        <v>254</v>
      </c>
      <c r="F2" s="273" t="s">
        <v>255</v>
      </c>
      <c r="G2" s="273" t="s">
        <v>256</v>
      </c>
    </row>
    <row r="3" spans="1:7" s="271" customFormat="1" ht="13.8" x14ac:dyDescent="0.3">
      <c r="A3" s="274">
        <v>1</v>
      </c>
      <c r="B3" s="275">
        <v>20</v>
      </c>
      <c r="C3" s="276">
        <v>5</v>
      </c>
      <c r="D3" s="275">
        <v>10</v>
      </c>
      <c r="E3" s="275">
        <v>3.33</v>
      </c>
      <c r="F3" s="275">
        <v>2.5</v>
      </c>
      <c r="G3" s="275">
        <f>2.56410256410256*0.5</f>
        <v>1.2820512820512799</v>
      </c>
    </row>
    <row r="4" spans="1:7" s="271" customFormat="1" ht="13.8" x14ac:dyDescent="0.3">
      <c r="A4" s="277">
        <v>2</v>
      </c>
      <c r="B4" s="275">
        <v>32</v>
      </c>
      <c r="C4" s="278">
        <v>9.5</v>
      </c>
      <c r="D4" s="279">
        <v>20</v>
      </c>
      <c r="E4" s="279">
        <v>6.67</v>
      </c>
      <c r="F4" s="279">
        <v>5</v>
      </c>
      <c r="G4" s="279">
        <v>2.5641025641025599</v>
      </c>
    </row>
    <row r="5" spans="1:7" s="271" customFormat="1" ht="13.8" x14ac:dyDescent="0.3">
      <c r="A5" s="277">
        <v>3</v>
      </c>
      <c r="B5" s="275">
        <v>19.2</v>
      </c>
      <c r="C5" s="279">
        <v>8.5500000000000007</v>
      </c>
      <c r="D5" s="279">
        <v>20</v>
      </c>
      <c r="E5" s="279">
        <v>6.67</v>
      </c>
      <c r="F5" s="279">
        <v>5</v>
      </c>
      <c r="G5" s="279">
        <v>2.5641025641025599</v>
      </c>
    </row>
    <row r="6" spans="1:7" s="271" customFormat="1" ht="13.8" x14ac:dyDescent="0.3">
      <c r="A6" s="277">
        <v>4</v>
      </c>
      <c r="B6" s="275">
        <v>11.52</v>
      </c>
      <c r="C6" s="279">
        <v>7.7</v>
      </c>
      <c r="D6" s="279">
        <v>20</v>
      </c>
      <c r="E6" s="279">
        <v>6.67</v>
      </c>
      <c r="F6" s="279">
        <v>5</v>
      </c>
      <c r="G6" s="279">
        <v>2.5641025641025599</v>
      </c>
    </row>
    <row r="7" spans="1:7" s="271" customFormat="1" ht="13.8" x14ac:dyDescent="0.3">
      <c r="A7" s="277">
        <v>5</v>
      </c>
      <c r="B7" s="275">
        <v>11.52</v>
      </c>
      <c r="C7" s="279">
        <v>6.93</v>
      </c>
      <c r="D7" s="279">
        <v>20</v>
      </c>
      <c r="E7" s="279">
        <v>6.67</v>
      </c>
      <c r="F7" s="279">
        <v>5</v>
      </c>
      <c r="G7" s="279">
        <v>2.5641025641025599</v>
      </c>
    </row>
    <row r="8" spans="1:7" s="271" customFormat="1" ht="13.8" x14ac:dyDescent="0.3">
      <c r="A8" s="277">
        <v>6</v>
      </c>
      <c r="B8" s="275">
        <v>5.76</v>
      </c>
      <c r="C8" s="279">
        <v>6.23</v>
      </c>
      <c r="D8" s="279">
        <v>10</v>
      </c>
      <c r="E8" s="279">
        <v>6.67</v>
      </c>
      <c r="F8" s="279">
        <v>5</v>
      </c>
      <c r="G8" s="279">
        <v>2.5641025641025599</v>
      </c>
    </row>
    <row r="9" spans="1:7" s="271" customFormat="1" ht="13.8" x14ac:dyDescent="0.3">
      <c r="A9" s="277">
        <v>7</v>
      </c>
      <c r="B9" s="280">
        <v>0</v>
      </c>
      <c r="C9" s="279">
        <v>5.9</v>
      </c>
      <c r="D9" s="279">
        <v>0</v>
      </c>
      <c r="E9" s="279">
        <v>6.67</v>
      </c>
      <c r="F9" s="279">
        <v>5</v>
      </c>
      <c r="G9" s="279">
        <v>2.5641025641025599</v>
      </c>
    </row>
    <row r="10" spans="1:7" s="271" customFormat="1" ht="13.8" x14ac:dyDescent="0.3">
      <c r="A10" s="277">
        <v>8</v>
      </c>
      <c r="B10" s="279">
        <v>0</v>
      </c>
      <c r="C10" s="279">
        <v>5.9</v>
      </c>
      <c r="D10" s="279">
        <v>0</v>
      </c>
      <c r="E10" s="279">
        <v>6.67</v>
      </c>
      <c r="F10" s="279">
        <v>5</v>
      </c>
      <c r="G10" s="279">
        <v>2.5641025641025599</v>
      </c>
    </row>
    <row r="11" spans="1:7" s="271" customFormat="1" ht="13.8" x14ac:dyDescent="0.3">
      <c r="A11" s="277">
        <v>9</v>
      </c>
      <c r="B11" s="279">
        <v>0</v>
      </c>
      <c r="C11" s="279">
        <v>5.91</v>
      </c>
      <c r="D11" s="279">
        <v>0</v>
      </c>
      <c r="E11" s="279">
        <v>6.67</v>
      </c>
      <c r="F11" s="279">
        <v>5</v>
      </c>
      <c r="G11" s="279">
        <v>2.5641025641025599</v>
      </c>
    </row>
    <row r="12" spans="1:7" s="271" customFormat="1" ht="13.8" x14ac:dyDescent="0.3">
      <c r="A12" s="277">
        <v>10</v>
      </c>
      <c r="B12" s="279">
        <v>0</v>
      </c>
      <c r="C12" s="279">
        <v>5.9</v>
      </c>
      <c r="D12" s="279">
        <v>0</v>
      </c>
      <c r="E12" s="279">
        <v>6.67</v>
      </c>
      <c r="F12" s="279">
        <v>5</v>
      </c>
      <c r="G12" s="279">
        <v>2.5641025641025599</v>
      </c>
    </row>
    <row r="13" spans="1:7" s="271" customFormat="1" ht="13.8" x14ac:dyDescent="0.3">
      <c r="A13" s="277">
        <v>11</v>
      </c>
      <c r="B13" s="279">
        <v>0</v>
      </c>
      <c r="C13" s="279">
        <v>5.91</v>
      </c>
      <c r="D13" s="279">
        <v>0</v>
      </c>
      <c r="E13" s="279">
        <v>6.67</v>
      </c>
      <c r="F13" s="279">
        <v>5</v>
      </c>
      <c r="G13" s="279">
        <v>2.5641025641025599</v>
      </c>
    </row>
    <row r="14" spans="1:7" s="271" customFormat="1" ht="13.8" x14ac:dyDescent="0.3">
      <c r="A14" s="277">
        <v>12</v>
      </c>
      <c r="B14" s="279">
        <v>0</v>
      </c>
      <c r="C14" s="279">
        <v>5.9</v>
      </c>
      <c r="D14" s="279">
        <v>0</v>
      </c>
      <c r="E14" s="279">
        <v>6.66</v>
      </c>
      <c r="F14" s="279">
        <v>5</v>
      </c>
      <c r="G14" s="279">
        <v>2.5641025641025599</v>
      </c>
    </row>
    <row r="15" spans="1:7" s="271" customFormat="1" ht="13.8" x14ac:dyDescent="0.3">
      <c r="A15" s="277">
        <v>13</v>
      </c>
      <c r="B15" s="279">
        <v>0</v>
      </c>
      <c r="C15" s="279">
        <v>5.91</v>
      </c>
      <c r="D15" s="279">
        <v>0</v>
      </c>
      <c r="E15" s="279">
        <v>6.67</v>
      </c>
      <c r="F15" s="279">
        <v>5</v>
      </c>
      <c r="G15" s="279">
        <v>2.5641025641025599</v>
      </c>
    </row>
    <row r="16" spans="1:7" s="271" customFormat="1" ht="13.8" x14ac:dyDescent="0.3">
      <c r="A16" s="277">
        <v>14</v>
      </c>
      <c r="B16" s="279">
        <v>0</v>
      </c>
      <c r="C16" s="279">
        <v>5.9</v>
      </c>
      <c r="D16" s="279">
        <v>0</v>
      </c>
      <c r="E16" s="279">
        <v>6.66</v>
      </c>
      <c r="F16" s="279">
        <v>5</v>
      </c>
      <c r="G16" s="279">
        <v>2.5641025641025599</v>
      </c>
    </row>
    <row r="17" spans="1:7" s="271" customFormat="1" ht="13.8" x14ac:dyDescent="0.3">
      <c r="A17" s="277">
        <v>15</v>
      </c>
      <c r="B17" s="279">
        <v>0</v>
      </c>
      <c r="C17" s="279">
        <v>5.9</v>
      </c>
      <c r="D17" s="279">
        <v>0</v>
      </c>
      <c r="E17" s="279">
        <v>6.67</v>
      </c>
      <c r="F17" s="279">
        <v>5</v>
      </c>
      <c r="G17" s="279">
        <v>2.5641025641025599</v>
      </c>
    </row>
    <row r="18" spans="1:7" s="271" customFormat="1" ht="13.8" x14ac:dyDescent="0.3">
      <c r="A18" s="277">
        <v>16</v>
      </c>
      <c r="B18" s="279">
        <v>0</v>
      </c>
      <c r="C18" s="279">
        <v>2.95</v>
      </c>
      <c r="D18" s="279">
        <v>0</v>
      </c>
      <c r="E18" s="279">
        <v>3.33</v>
      </c>
      <c r="F18" s="279">
        <v>5</v>
      </c>
      <c r="G18" s="279">
        <v>2.5641025641025599</v>
      </c>
    </row>
    <row r="19" spans="1:7" s="271" customFormat="1" ht="13.8" x14ac:dyDescent="0.3">
      <c r="A19" s="277">
        <v>17</v>
      </c>
      <c r="B19" s="279">
        <v>0</v>
      </c>
      <c r="C19" s="279">
        <v>0</v>
      </c>
      <c r="D19" s="279">
        <v>0</v>
      </c>
      <c r="E19" s="279">
        <v>0</v>
      </c>
      <c r="F19" s="279">
        <v>5</v>
      </c>
      <c r="G19" s="279">
        <v>2.5641025641025599</v>
      </c>
    </row>
    <row r="20" spans="1:7" s="271" customFormat="1" ht="13.8" x14ac:dyDescent="0.3">
      <c r="A20" s="277">
        <v>18</v>
      </c>
      <c r="B20" s="279">
        <v>0</v>
      </c>
      <c r="C20" s="279">
        <v>0</v>
      </c>
      <c r="D20" s="279">
        <v>0</v>
      </c>
      <c r="E20" s="279">
        <v>0</v>
      </c>
      <c r="F20" s="279">
        <v>5</v>
      </c>
      <c r="G20" s="279">
        <v>2.5641025641025599</v>
      </c>
    </row>
    <row r="21" spans="1:7" s="271" customFormat="1" ht="13.8" x14ac:dyDescent="0.3">
      <c r="A21" s="277">
        <v>19</v>
      </c>
      <c r="B21" s="279">
        <v>0</v>
      </c>
      <c r="C21" s="279">
        <v>0</v>
      </c>
      <c r="D21" s="279">
        <v>0</v>
      </c>
      <c r="E21" s="279">
        <v>0</v>
      </c>
      <c r="F21" s="279">
        <v>5</v>
      </c>
      <c r="G21" s="279">
        <v>2.5641025641025599</v>
      </c>
    </row>
    <row r="22" spans="1:7" s="271" customFormat="1" ht="13.8" x14ac:dyDescent="0.3">
      <c r="A22" s="277">
        <v>20</v>
      </c>
      <c r="B22" s="279">
        <v>0</v>
      </c>
      <c r="C22" s="279">
        <v>0</v>
      </c>
      <c r="D22" s="279">
        <v>0</v>
      </c>
      <c r="E22" s="279">
        <v>0</v>
      </c>
      <c r="F22" s="279">
        <v>5</v>
      </c>
      <c r="G22" s="279">
        <v>2.5641025641025599</v>
      </c>
    </row>
    <row r="23" spans="1:7" s="271" customFormat="1" ht="13.8" x14ac:dyDescent="0.3">
      <c r="A23" s="277">
        <v>21</v>
      </c>
      <c r="B23" s="279">
        <v>0</v>
      </c>
      <c r="C23" s="279">
        <v>0</v>
      </c>
      <c r="D23" s="279">
        <v>0</v>
      </c>
      <c r="E23" s="279">
        <v>0</v>
      </c>
      <c r="F23" s="279">
        <v>2.5</v>
      </c>
      <c r="G23" s="279">
        <v>2.5641025641025599</v>
      </c>
    </row>
    <row r="24" spans="1:7" s="271" customFormat="1" ht="12.75" customHeight="1" x14ac:dyDescent="0.3">
      <c r="A24" s="277">
        <v>22</v>
      </c>
      <c r="B24" s="279">
        <v>0</v>
      </c>
      <c r="C24" s="279">
        <v>0</v>
      </c>
      <c r="D24" s="279">
        <v>0</v>
      </c>
      <c r="E24" s="279">
        <v>0</v>
      </c>
      <c r="F24" s="279">
        <v>0</v>
      </c>
      <c r="G24" s="279">
        <v>2.5641025641025599</v>
      </c>
    </row>
    <row r="25" spans="1:7" s="271" customFormat="1" ht="12.75" customHeight="1" x14ac:dyDescent="0.3">
      <c r="A25" s="277">
        <v>23</v>
      </c>
      <c r="B25" s="279">
        <v>0</v>
      </c>
      <c r="C25" s="279">
        <v>0</v>
      </c>
      <c r="D25" s="279">
        <v>0</v>
      </c>
      <c r="E25" s="279">
        <v>0</v>
      </c>
      <c r="F25" s="279">
        <v>0</v>
      </c>
      <c r="G25" s="279">
        <v>2.5641025641025599</v>
      </c>
    </row>
    <row r="26" spans="1:7" s="271" customFormat="1" ht="12.75" customHeight="1" x14ac:dyDescent="0.3">
      <c r="A26" s="277">
        <v>24</v>
      </c>
      <c r="B26" s="279">
        <v>0</v>
      </c>
      <c r="C26" s="279">
        <v>0</v>
      </c>
      <c r="D26" s="279">
        <v>0</v>
      </c>
      <c r="E26" s="279">
        <v>0</v>
      </c>
      <c r="F26" s="279">
        <v>0</v>
      </c>
      <c r="G26" s="279">
        <v>2.5641025641025599</v>
      </c>
    </row>
    <row r="27" spans="1:7" s="271" customFormat="1" ht="12.75" customHeight="1" x14ac:dyDescent="0.3">
      <c r="A27" s="277">
        <v>25</v>
      </c>
      <c r="B27" s="279">
        <v>0</v>
      </c>
      <c r="C27" s="279">
        <v>0</v>
      </c>
      <c r="D27" s="279">
        <v>0</v>
      </c>
      <c r="E27" s="279">
        <v>0</v>
      </c>
      <c r="F27" s="279">
        <v>0</v>
      </c>
      <c r="G27" s="279">
        <v>2.5641025641025599</v>
      </c>
    </row>
    <row r="28" spans="1:7" s="271" customFormat="1" ht="12.75" customHeight="1" x14ac:dyDescent="0.3">
      <c r="A28" s="277">
        <v>26</v>
      </c>
      <c r="B28" s="279">
        <v>0</v>
      </c>
      <c r="C28" s="279">
        <v>0</v>
      </c>
      <c r="D28" s="279">
        <v>0</v>
      </c>
      <c r="E28" s="279">
        <v>0</v>
      </c>
      <c r="F28" s="279">
        <v>0</v>
      </c>
      <c r="G28" s="279">
        <v>2.5641025641025599</v>
      </c>
    </row>
    <row r="29" spans="1:7" s="271" customFormat="1" ht="12.75" customHeight="1" x14ac:dyDescent="0.3">
      <c r="A29" s="277">
        <v>27</v>
      </c>
      <c r="B29" s="279">
        <v>0</v>
      </c>
      <c r="C29" s="279">
        <v>0</v>
      </c>
      <c r="D29" s="279">
        <v>0</v>
      </c>
      <c r="E29" s="279">
        <v>0</v>
      </c>
      <c r="F29" s="279">
        <v>0</v>
      </c>
      <c r="G29" s="279">
        <v>2.5641025641025599</v>
      </c>
    </row>
    <row r="30" spans="1:7" ht="12.75" customHeight="1" x14ac:dyDescent="0.3">
      <c r="A30" s="277">
        <v>28</v>
      </c>
      <c r="B30" s="279">
        <v>0</v>
      </c>
      <c r="C30" s="279">
        <v>0</v>
      </c>
      <c r="D30" s="279">
        <v>0</v>
      </c>
      <c r="E30" s="279">
        <v>0</v>
      </c>
      <c r="F30" s="279">
        <v>0</v>
      </c>
      <c r="G30" s="279">
        <v>2.5641025641025599</v>
      </c>
    </row>
    <row r="31" spans="1:7" ht="12.75" customHeight="1" x14ac:dyDescent="0.3">
      <c r="A31" s="277">
        <v>29</v>
      </c>
      <c r="B31" s="279">
        <v>0</v>
      </c>
      <c r="C31" s="279">
        <v>0</v>
      </c>
      <c r="D31" s="279">
        <v>0</v>
      </c>
      <c r="E31" s="279">
        <v>0</v>
      </c>
      <c r="F31" s="279">
        <v>0</v>
      </c>
      <c r="G31" s="279">
        <v>2.5641025641025599</v>
      </c>
    </row>
    <row r="32" spans="1:7" ht="12.75" customHeight="1" x14ac:dyDescent="0.3">
      <c r="A32" s="277">
        <v>30</v>
      </c>
      <c r="B32" s="279">
        <v>0</v>
      </c>
      <c r="C32" s="279">
        <v>0</v>
      </c>
      <c r="D32" s="279">
        <v>0</v>
      </c>
      <c r="E32" s="279">
        <v>0</v>
      </c>
      <c r="F32" s="279">
        <v>0</v>
      </c>
      <c r="G32" s="279">
        <v>2.5641025641025599</v>
      </c>
    </row>
    <row r="33" spans="1:7" ht="12.75" customHeight="1" x14ac:dyDescent="0.3">
      <c r="A33" s="277">
        <v>31</v>
      </c>
      <c r="B33" s="279">
        <v>0</v>
      </c>
      <c r="C33" s="279">
        <v>0</v>
      </c>
      <c r="D33" s="279">
        <v>0</v>
      </c>
      <c r="E33" s="279">
        <v>0</v>
      </c>
      <c r="F33" s="279">
        <v>0</v>
      </c>
      <c r="G33" s="279">
        <v>2.5641025641025599</v>
      </c>
    </row>
    <row r="34" spans="1:7" ht="12.75" customHeight="1" x14ac:dyDescent="0.3">
      <c r="A34" s="277">
        <v>32</v>
      </c>
      <c r="B34" s="279">
        <v>0</v>
      </c>
      <c r="C34" s="279">
        <v>0</v>
      </c>
      <c r="D34" s="279">
        <v>0</v>
      </c>
      <c r="E34" s="279">
        <v>0</v>
      </c>
      <c r="F34" s="279">
        <v>0</v>
      </c>
      <c r="G34" s="279">
        <v>2.5641025641025599</v>
      </c>
    </row>
    <row r="35" spans="1:7" ht="12.75" customHeight="1" x14ac:dyDescent="0.3">
      <c r="A35" s="277">
        <v>33</v>
      </c>
      <c r="B35" s="279">
        <v>0</v>
      </c>
      <c r="C35" s="279">
        <v>0</v>
      </c>
      <c r="D35" s="279">
        <v>0</v>
      </c>
      <c r="E35" s="279">
        <v>0</v>
      </c>
      <c r="F35" s="279">
        <v>0</v>
      </c>
      <c r="G35" s="279">
        <v>2.5641025641025599</v>
      </c>
    </row>
    <row r="36" spans="1:7" ht="12.75" customHeight="1" x14ac:dyDescent="0.3">
      <c r="A36" s="277">
        <v>34</v>
      </c>
      <c r="B36" s="279">
        <v>0</v>
      </c>
      <c r="C36" s="279">
        <v>0</v>
      </c>
      <c r="D36" s="279">
        <v>0</v>
      </c>
      <c r="E36" s="279">
        <v>0</v>
      </c>
      <c r="F36" s="279">
        <v>0</v>
      </c>
      <c r="G36" s="279">
        <v>2.5641025641025599</v>
      </c>
    </row>
    <row r="37" spans="1:7" ht="12.75" customHeight="1" x14ac:dyDescent="0.3">
      <c r="A37" s="277">
        <v>35</v>
      </c>
      <c r="B37" s="279">
        <v>0</v>
      </c>
      <c r="C37" s="279">
        <v>0</v>
      </c>
      <c r="D37" s="279">
        <v>0</v>
      </c>
      <c r="E37" s="279">
        <v>0</v>
      </c>
      <c r="F37" s="279">
        <v>0</v>
      </c>
      <c r="G37" s="279">
        <v>2.5641025641025599</v>
      </c>
    </row>
    <row r="38" spans="1:7" ht="12.75" customHeight="1" x14ac:dyDescent="0.3">
      <c r="A38" s="277">
        <v>36</v>
      </c>
      <c r="B38" s="279">
        <v>0</v>
      </c>
      <c r="C38" s="279">
        <v>0</v>
      </c>
      <c r="D38" s="279">
        <v>0</v>
      </c>
      <c r="E38" s="279">
        <v>0</v>
      </c>
      <c r="F38" s="279">
        <v>0</v>
      </c>
      <c r="G38" s="279">
        <v>2.5641025641025599</v>
      </c>
    </row>
    <row r="39" spans="1:7" ht="12.75" customHeight="1" x14ac:dyDescent="0.3">
      <c r="A39" s="277">
        <v>37</v>
      </c>
      <c r="B39" s="279">
        <v>0</v>
      </c>
      <c r="C39" s="279">
        <v>0</v>
      </c>
      <c r="D39" s="279">
        <v>0</v>
      </c>
      <c r="E39" s="279">
        <v>0</v>
      </c>
      <c r="F39" s="279">
        <v>0</v>
      </c>
      <c r="G39" s="279">
        <v>2.5641025641025599</v>
      </c>
    </row>
    <row r="40" spans="1:7" ht="12.75" customHeight="1" x14ac:dyDescent="0.3">
      <c r="A40" s="277">
        <v>38</v>
      </c>
      <c r="B40" s="279">
        <v>0</v>
      </c>
      <c r="C40" s="279">
        <v>0</v>
      </c>
      <c r="D40" s="279">
        <v>0</v>
      </c>
      <c r="E40" s="279">
        <v>0</v>
      </c>
      <c r="F40" s="279">
        <v>0</v>
      </c>
      <c r="G40" s="279">
        <v>2.5641025641025599</v>
      </c>
    </row>
    <row r="41" spans="1:7" ht="12.75" customHeight="1" x14ac:dyDescent="0.3">
      <c r="A41" s="277">
        <v>39</v>
      </c>
      <c r="B41" s="279">
        <v>0</v>
      </c>
      <c r="C41" s="279">
        <v>0</v>
      </c>
      <c r="D41" s="279">
        <v>0</v>
      </c>
      <c r="E41" s="279">
        <v>0</v>
      </c>
      <c r="F41" s="279">
        <v>0</v>
      </c>
      <c r="G41" s="279">
        <v>2.5641025641025599</v>
      </c>
    </row>
    <row r="42" spans="1:7" ht="12.75" customHeight="1" x14ac:dyDescent="0.3">
      <c r="A42" s="282">
        <v>40</v>
      </c>
      <c r="B42" s="283">
        <v>0</v>
      </c>
      <c r="C42" s="283">
        <v>0</v>
      </c>
      <c r="D42" s="283">
        <v>0</v>
      </c>
      <c r="E42" s="283">
        <v>0</v>
      </c>
      <c r="F42" s="283">
        <v>0</v>
      </c>
      <c r="G42" s="283">
        <f>2.56410256410256*0.5</f>
        <v>1.2820512820512799</v>
      </c>
    </row>
    <row r="43" spans="1:7" x14ac:dyDescent="0.3">
      <c r="A43" s="284" t="s">
        <v>261</v>
      </c>
      <c r="B43" s="284"/>
      <c r="C43" s="284"/>
      <c r="D43" s="284"/>
      <c r="E43" s="284"/>
      <c r="F43" s="284"/>
      <c r="G43" s="284"/>
    </row>
    <row r="44" spans="1:7" x14ac:dyDescent="0.3">
      <c r="A44" s="284" t="s">
        <v>262</v>
      </c>
      <c r="B44" s="284"/>
      <c r="C44" s="284"/>
      <c r="D44" s="284"/>
      <c r="E44" s="284"/>
      <c r="F44" s="284"/>
      <c r="G44" s="284"/>
    </row>
    <row r="45" spans="1:7" x14ac:dyDescent="0.3">
      <c r="A45" s="285" t="s">
        <v>263</v>
      </c>
    </row>
  </sheetData>
  <pageMargins left="0.5" right="0.5" top="0.5" bottom="0.75" header="0.3" footer="0.3"/>
  <pageSetup scale="93" orientation="portrait" horizontalDpi="4294967293" verticalDpi="0" r:id="rId1"/>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227</vt:i4>
      </vt:variant>
    </vt:vector>
  </HeadingPairs>
  <TitlesOfParts>
    <vt:vector size="230" baseType="lpstr">
      <vt:lpstr>Inputs and Outputs</vt:lpstr>
      <vt:lpstr>Cash Flow</vt:lpstr>
      <vt:lpstr>Depreciation Schedules</vt:lpstr>
      <vt:lpstr>analysis_period</vt:lpstr>
      <vt:lpstr>annual_fuel_usage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AnnualTaxFederal</vt:lpstr>
      <vt:lpstr>AnnualTaxState</vt:lpstr>
      <vt:lpstr>batt_annual_discharge_energy</vt:lpstr>
      <vt:lpstr>batt_computed_bank_capacity</vt:lpstr>
      <vt:lpstr>batt_replacement_cost</vt:lpstr>
      <vt:lpstr>batt_replacement_cost_escal</vt:lpstr>
      <vt:lpstr>batt_replacement_option</vt:lpstr>
      <vt:lpstr>BatteryReplSched</vt:lpstr>
      <vt:lpstr>CashFlow</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cf_battery_replacement_cost</vt:lpstr>
      <vt:lpstr>cf_energy_net</vt:lpstr>
      <vt:lpstr>cf_energy_value</vt:lpstr>
      <vt:lpstr>cf_energy_without_battery</vt:lpstr>
      <vt:lpstr>cf_fuelcell_replacement_cost</vt:lpstr>
      <vt:lpstr>cf_om_capacity1_expense</vt:lpstr>
      <vt:lpstr>cf_om_capacity2_expense</vt:lpstr>
      <vt:lpstr>cf_om_fixed1_expense</vt:lpstr>
      <vt:lpstr>cf_om_fixed2_expense</vt:lpstr>
      <vt:lpstr>cf_om_production1_expense</vt:lpstr>
      <vt:lpstr>cf_om_production2_expense</vt:lpstr>
      <vt:lpstr>cf_thermal_value</vt:lpstr>
      <vt:lpstr>CostFlow</vt:lpstr>
      <vt:lpstr>CumulativePaybackCashFlowWithExpenses</vt:lpstr>
      <vt:lpstr>debt_fraction</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depr_bonus_fed_sl_custom</vt:lpstr>
      <vt:lpstr>depr_bonus_sta</vt:lpstr>
      <vt:lpstr>depr_bonus_sta_custom</vt:lpstr>
      <vt:lpstr>depr_bonus_sta_macrs_15</vt:lpstr>
      <vt:lpstr>depr_bonus_sta_macrs_5</vt:lpstr>
      <vt:lpstr>depr_bonus_sta_sl_15</vt:lpstr>
      <vt:lpstr>depr_bonus_sta_sl_20</vt:lpstr>
      <vt:lpstr>depr_bonus_sta_sl_39</vt:lpstr>
      <vt:lpstr>depr_bonus_sta_sl_399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federal_tax_rate</vt:lpstr>
      <vt:lpstr>fuelcell_annual_energy_discharged</vt:lpstr>
      <vt:lpstr>FuelCellFuel</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loan_rate</vt:lpstr>
      <vt:lpstr>loan_term</vt:lpstr>
      <vt:lpstr>NominalDiscountRate</vt:lpstr>
      <vt:lpstr>om_capacity</vt:lpstr>
      <vt:lpstr>om_capacity_escal</vt:lpstr>
      <vt:lpstr>om_fixed</vt:lpstr>
      <vt:lpstr>om_fixed_escal</vt:lpstr>
      <vt:lpstr>om_fuel_cost</vt:lpstr>
      <vt:lpstr>om_fuel_cost_escal</vt:lpstr>
      <vt:lpstr>om_opt_fuel_1_cost</vt:lpstr>
      <vt:lpstr>om_opt_fuel_1_cost_escal</vt:lpstr>
      <vt:lpstr>om_opt_fuel_1_usage</vt:lpstr>
      <vt:lpstr>om_opt_fuel_2_cost</vt:lpstr>
      <vt:lpstr>om_opt_fuel_2_cost_escal</vt:lpstr>
      <vt:lpstr>om_opt_fuel_2_usage</vt:lpstr>
      <vt:lpstr>om_production</vt:lpstr>
      <vt:lpstr>om_production_escal</vt:lpstr>
      <vt:lpstr>outFedPBILineItem</vt:lpstr>
      <vt:lpstr>outFirstCost</vt:lpstr>
      <vt:lpstr>outOtherPBILineItem</vt:lpstr>
      <vt:lpstr>outPayback_cash_flow_including_expenses</vt:lpstr>
      <vt:lpstr>outStatePBILineItem</vt:lpstr>
      <vt:lpstr>outTotalAdjustedInstalledCosts</vt:lpstr>
      <vt:lpstr>outUtilityPBILineItem</vt:lpstr>
      <vt:lpstr>outYear</vt:lpstr>
      <vt:lpstr>outYearZeroCashFlow</vt:lpstr>
      <vt:lpstr>outYearZeroCostFlow</vt:lpstr>
      <vt:lpstr>pbi_fed_amount</vt:lpstr>
      <vt:lpstr>pbi_fed_escal</vt:lpstr>
      <vt:lpstr>pbi_fed_tax_fed</vt:lpstr>
      <vt:lpstr>pbi_fed_tax_sta</vt:lpstr>
      <vt:lpstr>pbi_fed_term</vt:lpstr>
      <vt:lpstr>pbi_oth_amount</vt:lpstr>
      <vt:lpstr>pbi_oth_escal</vt:lpstr>
      <vt:lpstr>pbi_oth_tax_fed</vt:lpstr>
      <vt:lpstr>pbi_oth_tax_sta</vt:lpstr>
      <vt:lpstr>pbi_oth_term</vt:lpstr>
      <vt:lpstr>pbi_sta_amount</vt:lpstr>
      <vt:lpstr>pbi_sta_escal</vt:lpstr>
      <vt:lpstr>pbi_sta_tax_fed</vt:lpstr>
      <vt:lpstr>pbi_sta_tax_sta</vt:lpstr>
      <vt:lpstr>pbi_sta_term</vt:lpstr>
      <vt:lpstr>pbi_uti_amount</vt:lpstr>
      <vt:lpstr>pbi_uti_escal</vt:lpstr>
      <vt:lpstr>pbi_uti_tax_fed</vt:lpstr>
      <vt:lpstr>pbi_uti_tax_sta</vt:lpstr>
      <vt:lpstr>pbi_uti_term</vt:lpstr>
      <vt:lpstr>prop_tax_assessed_decline</vt:lpstr>
      <vt:lpstr>prop_tax_cost_assessed_percent</vt:lpstr>
      <vt:lpstr>property_tax_rate</vt:lpstr>
      <vt:lpstr>ptc_fed_amount</vt:lpstr>
      <vt:lpstr>ptc_fed_escal</vt:lpstr>
      <vt:lpstr>ptc_fed_term</vt:lpstr>
      <vt:lpstr>ptc_sta_amount</vt:lpstr>
      <vt:lpstr>ptc_sta_escal</vt:lpstr>
      <vt:lpstr>ptc_sta_term</vt:lpstr>
      <vt:lpstr>real_discount_rate</vt:lpstr>
      <vt:lpstr>sales_tax_rate</vt:lpstr>
      <vt:lpstr>salvage_percentage</vt:lpstr>
      <vt:lpstr>state_tax_rate</vt:lpstr>
      <vt:lpstr>system_capacity</vt:lpstr>
      <vt:lpstr>system_heat_rate</vt:lpstr>
      <vt:lpstr>total_installed_cost</vt:lpstr>
      <vt:lpstr>UseTaxDeductableOpEx</vt:lpstr>
      <vt:lpstr>UseTaxDeductibleInterest</vt:lpstr>
    </vt:vector>
  </TitlesOfParts>
  <Company>jc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Mirletz, Brian</cp:lastModifiedBy>
  <cp:lastPrinted>2006-11-13T23:17:12Z</cp:lastPrinted>
  <dcterms:created xsi:type="dcterms:W3CDTF">2005-08-17T04:34:40Z</dcterms:created>
  <dcterms:modified xsi:type="dcterms:W3CDTF">2026-05-18T22:32:01Z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